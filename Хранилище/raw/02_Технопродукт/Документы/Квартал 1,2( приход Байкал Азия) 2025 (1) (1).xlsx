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Загрузка\"/>
    </mc:Choice>
  </mc:AlternateContent>
  <xr:revisionPtr revIDLastSave="0" documentId="13_ncr:1_{7170C2BF-EADD-4958-9279-D85922EAE38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Квартал 1" sheetId="1" r:id="rId1"/>
    <sheet name="Квартал 2" sheetId="2" r:id="rId2"/>
    <sheet name="Квартал 3" sheetId="3" r:id="rId3"/>
    <sheet name="Квартал 4" sheetId="4" r:id="rId4"/>
    <sheet name="Остатки красным январь" sheetId="6" state="hidden" r:id="rId5"/>
    <sheet name="Остатки краснымы 2ой квартал" sheetId="13" state="hidden" r:id="rId6"/>
    <sheet name="Счета на апрель ПРОМНГС" sheetId="15" state="hidden" r:id="rId7"/>
    <sheet name="Счета на апрель Промоборудовани" sheetId="16" state="hidden" r:id="rId8"/>
    <sheet name="Счета на май Техкомп" sheetId="17" state="hidden" r:id="rId9"/>
    <sheet name="Счета на май ПромНГС" sheetId="18" state="hidden" r:id="rId10"/>
    <sheet name="Счета на май Промоборудование" sheetId="19" state="hidden" r:id="rId11"/>
    <sheet name="Счета на май Даян" sheetId="21" state="hidden" r:id="rId12"/>
    <sheet name="Счета на июнь Промоборудование" sheetId="22" state="hidden" r:id="rId13"/>
    <sheet name="Счета на июнь Техкомп" sheetId="23" state="hidden" r:id="rId14"/>
  </sheets>
  <definedNames>
    <definedName name="_xlnm._FilterDatabase" localSheetId="2" hidden="1">'Квартал 3'!$B$1:$B$144</definedName>
    <definedName name="_xlnm._FilterDatabase" localSheetId="4" hidden="1">'Остатки красным январь'!$K$1:$K$3</definedName>
    <definedName name="_xlnm._FilterDatabase" localSheetId="5" hidden="1">'Остатки краснымы 2ой квартал'!$J$1:$J$256</definedName>
    <definedName name="_xlnm._FilterDatabase" localSheetId="6" hidden="1">#REF!</definedName>
    <definedName name="_xlnm._FilterDatabase" localSheetId="7" hidden="1">#REF!</definedName>
    <definedName name="_xlnm._FilterDatabase" localSheetId="12" hidden="1">#REF!</definedName>
    <definedName name="_xlnm._FilterDatabase" localSheetId="13" hidden="1">#REF!</definedName>
    <definedName name="_xlnm._FilterDatabase" localSheetId="11" hidden="1">#REF!</definedName>
    <definedName name="_xlnm._FilterDatabase" localSheetId="9" hidden="1">#REF!</definedName>
    <definedName name="_xlnm._FilterDatabase" localSheetId="10" hidden="1">#REF!</definedName>
    <definedName name="_xlnm._FilterDatabase" localSheetId="8" hidden="1">#REF!</definedName>
  </definedNames>
  <calcPr calcId="181029" refMode="R1C1"/>
</workbook>
</file>

<file path=xl/calcChain.xml><?xml version="1.0" encoding="utf-8"?>
<calcChain xmlns="http://schemas.openxmlformats.org/spreadsheetml/2006/main">
  <c r="H23" i="23" l="1"/>
  <c r="H16" i="23"/>
  <c r="H9" i="23"/>
  <c r="F8" i="23"/>
  <c r="F7" i="23"/>
  <c r="F6" i="23"/>
  <c r="H3" i="23"/>
  <c r="F2" i="23"/>
  <c r="H25" i="22"/>
  <c r="H23" i="22"/>
  <c r="F22" i="22"/>
  <c r="H13" i="22"/>
  <c r="G114" i="21"/>
  <c r="G106" i="21"/>
  <c r="G105" i="21"/>
  <c r="F105" i="21"/>
  <c r="F104" i="21"/>
  <c r="G104" i="21" s="1"/>
  <c r="G103" i="21"/>
  <c r="F103" i="21"/>
  <c r="F102" i="21"/>
  <c r="G102" i="21" s="1"/>
  <c r="G101" i="21"/>
  <c r="F101" i="21"/>
  <c r="F100" i="21"/>
  <c r="G100" i="21" s="1"/>
  <c r="G99" i="21"/>
  <c r="F99" i="21"/>
  <c r="F98" i="21"/>
  <c r="G98" i="21" s="1"/>
  <c r="G97" i="21"/>
  <c r="F97" i="21"/>
  <c r="F96" i="21"/>
  <c r="G96" i="21" s="1"/>
  <c r="G95" i="21"/>
  <c r="F95" i="21"/>
  <c r="G90" i="21"/>
  <c r="G78" i="21"/>
  <c r="G55" i="21"/>
  <c r="G36" i="21"/>
  <c r="G27" i="21"/>
  <c r="F27" i="21"/>
  <c r="H27" i="21" s="1"/>
  <c r="H26" i="21"/>
  <c r="G26" i="21"/>
  <c r="F26" i="21"/>
  <c r="H25" i="21"/>
  <c r="G25" i="21"/>
  <c r="F25" i="21"/>
  <c r="G24" i="21"/>
  <c r="F24" i="21"/>
  <c r="H24" i="21" s="1"/>
  <c r="G23" i="21"/>
  <c r="F23" i="21"/>
  <c r="H23" i="21" s="1"/>
  <c r="H22" i="21"/>
  <c r="G22" i="21"/>
  <c r="F22" i="21"/>
  <c r="H21" i="21"/>
  <c r="G21" i="21"/>
  <c r="F21" i="21"/>
  <c r="G20" i="21"/>
  <c r="F20" i="21"/>
  <c r="H20" i="21" s="1"/>
  <c r="G19" i="21"/>
  <c r="F19" i="21"/>
  <c r="H19" i="21" s="1"/>
  <c r="H18" i="21"/>
  <c r="G18" i="21"/>
  <c r="F18" i="21"/>
  <c r="H17" i="21"/>
  <c r="G17" i="21"/>
  <c r="F17" i="21"/>
  <c r="G16" i="21"/>
  <c r="F16" i="21"/>
  <c r="H16" i="21" s="1"/>
  <c r="G15" i="21"/>
  <c r="F15" i="21"/>
  <c r="H15" i="21" s="1"/>
  <c r="H14" i="21"/>
  <c r="G14" i="21"/>
  <c r="F14" i="21"/>
  <c r="H13" i="21"/>
  <c r="G13" i="21"/>
  <c r="F13" i="21"/>
  <c r="G12" i="21"/>
  <c r="F12" i="21"/>
  <c r="H12" i="21" s="1"/>
  <c r="G11" i="21"/>
  <c r="F11" i="21"/>
  <c r="H11" i="21" s="1"/>
  <c r="H10" i="21"/>
  <c r="G10" i="21"/>
  <c r="F10" i="21"/>
  <c r="H9" i="21"/>
  <c r="G9" i="21"/>
  <c r="F9" i="21"/>
  <c r="G8" i="21"/>
  <c r="F8" i="21"/>
  <c r="H8" i="21" s="1"/>
  <c r="G7" i="21"/>
  <c r="F7" i="21"/>
  <c r="H7" i="21" s="1"/>
  <c r="H6" i="21"/>
  <c r="G6" i="21"/>
  <c r="F6" i="21"/>
  <c r="H5" i="21"/>
  <c r="G5" i="21"/>
  <c r="F5" i="21"/>
  <c r="G4" i="21"/>
  <c r="F4" i="21"/>
  <c r="H4" i="21" s="1"/>
  <c r="G3" i="21"/>
  <c r="F3" i="21"/>
  <c r="H3" i="21" s="1"/>
  <c r="H2" i="21"/>
  <c r="G2" i="21"/>
  <c r="F2" i="21"/>
  <c r="G38" i="19"/>
  <c r="G30" i="19"/>
  <c r="G26" i="19"/>
  <c r="G16" i="19"/>
  <c r="E16" i="19"/>
  <c r="G15" i="19"/>
  <c r="E15" i="19"/>
  <c r="G14" i="19"/>
  <c r="G17" i="19" s="1"/>
  <c r="E14" i="19"/>
  <c r="G11" i="19"/>
  <c r="G10" i="19"/>
  <c r="E10" i="19"/>
  <c r="G7" i="19"/>
  <c r="G6" i="19"/>
  <c r="E6" i="19"/>
  <c r="G2" i="19"/>
  <c r="G3" i="19" s="1"/>
  <c r="E2" i="19"/>
  <c r="G50" i="18"/>
  <c r="G27" i="18"/>
  <c r="G18" i="18"/>
  <c r="G9" i="18"/>
  <c r="G8" i="18"/>
  <c r="G7" i="18"/>
  <c r="G6" i="18"/>
  <c r="G5" i="18"/>
  <c r="G4" i="18"/>
  <c r="G3" i="18"/>
  <c r="G2" i="18"/>
  <c r="G52" i="17"/>
  <c r="G40" i="17"/>
  <c r="G21" i="17"/>
  <c r="G14" i="17"/>
  <c r="H123" i="16"/>
  <c r="H4" i="15"/>
  <c r="F291" i="13"/>
  <c r="G291" i="13" s="1"/>
  <c r="H291" i="13" s="1"/>
  <c r="E291" i="13"/>
  <c r="E290" i="13"/>
  <c r="F290" i="13" s="1"/>
  <c r="G290" i="13" s="1"/>
  <c r="H290" i="13" s="1"/>
  <c r="F289" i="13"/>
  <c r="G289" i="13" s="1"/>
  <c r="H289" i="13" s="1"/>
  <c r="E289" i="13"/>
  <c r="E288" i="13"/>
  <c r="F288" i="13" s="1"/>
  <c r="G288" i="13" s="1"/>
  <c r="H288" i="13" s="1"/>
  <c r="F287" i="13"/>
  <c r="G287" i="13" s="1"/>
  <c r="H287" i="13" s="1"/>
  <c r="E287" i="13"/>
  <c r="E286" i="13"/>
  <c r="F286" i="13" s="1"/>
  <c r="G286" i="13" s="1"/>
  <c r="H286" i="13" s="1"/>
  <c r="F285" i="13"/>
  <c r="G285" i="13" s="1"/>
  <c r="H285" i="13" s="1"/>
  <c r="E285" i="13"/>
  <c r="E284" i="13"/>
  <c r="F284" i="13" s="1"/>
  <c r="G284" i="13" s="1"/>
  <c r="H284" i="13" s="1"/>
  <c r="F283" i="13"/>
  <c r="G283" i="13" s="1"/>
  <c r="H283" i="13" s="1"/>
  <c r="E283" i="13"/>
  <c r="E282" i="13"/>
  <c r="F282" i="13" s="1"/>
  <c r="G282" i="13" s="1"/>
  <c r="H282" i="13" s="1"/>
  <c r="F281" i="13"/>
  <c r="G281" i="13" s="1"/>
  <c r="H281" i="13" s="1"/>
  <c r="E281" i="13"/>
  <c r="E280" i="13"/>
  <c r="F280" i="13" s="1"/>
  <c r="G280" i="13" s="1"/>
  <c r="H280" i="13" s="1"/>
  <c r="F279" i="13"/>
  <c r="G279" i="13" s="1"/>
  <c r="H279" i="13" s="1"/>
  <c r="E279" i="13"/>
  <c r="E278" i="13"/>
  <c r="F278" i="13" s="1"/>
  <c r="G278" i="13" s="1"/>
  <c r="H278" i="13" s="1"/>
  <c r="F277" i="13"/>
  <c r="G277" i="13" s="1"/>
  <c r="H277" i="13" s="1"/>
  <c r="E277" i="13"/>
  <c r="E276" i="13"/>
  <c r="F276" i="13" s="1"/>
  <c r="G276" i="13" s="1"/>
  <c r="H276" i="13" s="1"/>
  <c r="F275" i="13"/>
  <c r="G275" i="13" s="1"/>
  <c r="H275" i="13" s="1"/>
  <c r="E275" i="13"/>
  <c r="E274" i="13"/>
  <c r="F274" i="13" s="1"/>
  <c r="G274" i="13" s="1"/>
  <c r="H274" i="13" s="1"/>
  <c r="F273" i="13"/>
  <c r="G273" i="13" s="1"/>
  <c r="H273" i="13" s="1"/>
  <c r="E273" i="13"/>
  <c r="E272" i="13"/>
  <c r="F272" i="13" s="1"/>
  <c r="G272" i="13" s="1"/>
  <c r="H272" i="13" s="1"/>
  <c r="F271" i="13"/>
  <c r="G271" i="13" s="1"/>
  <c r="H271" i="13" s="1"/>
  <c r="E271" i="13"/>
  <c r="E270" i="13"/>
  <c r="F270" i="13" s="1"/>
  <c r="G270" i="13" s="1"/>
  <c r="H270" i="13" s="1"/>
  <c r="F269" i="13"/>
  <c r="G269" i="13" s="1"/>
  <c r="H269" i="13" s="1"/>
  <c r="E269" i="13"/>
  <c r="E268" i="13"/>
  <c r="F268" i="13" s="1"/>
  <c r="G268" i="13" s="1"/>
  <c r="H268" i="13" s="1"/>
  <c r="F267" i="13"/>
  <c r="G267" i="13" s="1"/>
  <c r="H267" i="13" s="1"/>
  <c r="E267" i="13"/>
  <c r="E266" i="13"/>
  <c r="F266" i="13" s="1"/>
  <c r="G266" i="13" s="1"/>
  <c r="H266" i="13" s="1"/>
  <c r="F265" i="13"/>
  <c r="G265" i="13" s="1"/>
  <c r="H265" i="13" s="1"/>
  <c r="E265" i="13"/>
  <c r="E264" i="13"/>
  <c r="F264" i="13" s="1"/>
  <c r="G264" i="13" s="1"/>
  <c r="H264" i="13" s="1"/>
  <c r="F263" i="13"/>
  <c r="G263" i="13" s="1"/>
  <c r="H263" i="13" s="1"/>
  <c r="E263" i="13"/>
  <c r="E262" i="13"/>
  <c r="F262" i="13" s="1"/>
  <c r="G262" i="13" s="1"/>
  <c r="H262" i="13" s="1"/>
  <c r="F261" i="13"/>
  <c r="G261" i="13" s="1"/>
  <c r="H261" i="13" s="1"/>
  <c r="E261" i="13"/>
  <c r="E260" i="13"/>
  <c r="F260" i="13" s="1"/>
  <c r="G260" i="13" s="1"/>
  <c r="H260" i="13" s="1"/>
  <c r="O241" i="13"/>
  <c r="F237" i="13"/>
  <c r="G237" i="13" s="1"/>
  <c r="H237" i="13" s="1"/>
  <c r="E237" i="13"/>
  <c r="E236" i="13"/>
  <c r="F236" i="13" s="1"/>
  <c r="G236" i="13" s="1"/>
  <c r="H236" i="13" s="1"/>
  <c r="F235" i="13"/>
  <c r="G235" i="13" s="1"/>
  <c r="H235" i="13" s="1"/>
  <c r="E235" i="13"/>
  <c r="E234" i="13"/>
  <c r="F234" i="13" s="1"/>
  <c r="G234" i="13" s="1"/>
  <c r="H234" i="13" s="1"/>
  <c r="F233" i="13"/>
  <c r="G233" i="13" s="1"/>
  <c r="H233" i="13" s="1"/>
  <c r="E233" i="13"/>
  <c r="E232" i="13"/>
  <c r="F232" i="13" s="1"/>
  <c r="G232" i="13" s="1"/>
  <c r="H232" i="13" s="1"/>
  <c r="F231" i="13"/>
  <c r="G231" i="13" s="1"/>
  <c r="H231" i="13" s="1"/>
  <c r="E231" i="13"/>
  <c r="E230" i="13"/>
  <c r="F230" i="13" s="1"/>
  <c r="G230" i="13" s="1"/>
  <c r="H230" i="13" s="1"/>
  <c r="F229" i="13"/>
  <c r="G229" i="13" s="1"/>
  <c r="H229" i="13" s="1"/>
  <c r="E229" i="13"/>
  <c r="E228" i="13"/>
  <c r="F228" i="13" s="1"/>
  <c r="G228" i="13" s="1"/>
  <c r="H228" i="13" s="1"/>
  <c r="F227" i="13"/>
  <c r="G227" i="13" s="1"/>
  <c r="H227" i="13" s="1"/>
  <c r="E227" i="13"/>
  <c r="E226" i="13"/>
  <c r="F226" i="13" s="1"/>
  <c r="G226" i="13" s="1"/>
  <c r="H226" i="13" s="1"/>
  <c r="F225" i="13"/>
  <c r="G225" i="13" s="1"/>
  <c r="H225" i="13" s="1"/>
  <c r="E225" i="13"/>
  <c r="E224" i="13"/>
  <c r="F224" i="13" s="1"/>
  <c r="G224" i="13" s="1"/>
  <c r="H224" i="13" s="1"/>
  <c r="F223" i="13"/>
  <c r="G223" i="13" s="1"/>
  <c r="H223" i="13" s="1"/>
  <c r="E223" i="13"/>
  <c r="E222" i="13"/>
  <c r="F222" i="13" s="1"/>
  <c r="G222" i="13" s="1"/>
  <c r="H222" i="13" s="1"/>
  <c r="F221" i="13"/>
  <c r="G221" i="13" s="1"/>
  <c r="H221" i="13" s="1"/>
  <c r="E221" i="13"/>
  <c r="E220" i="13"/>
  <c r="F220" i="13" s="1"/>
  <c r="G220" i="13" s="1"/>
  <c r="H220" i="13" s="1"/>
  <c r="F219" i="13"/>
  <c r="G219" i="13" s="1"/>
  <c r="H219" i="13" s="1"/>
  <c r="E219" i="13"/>
  <c r="E218" i="13"/>
  <c r="F218" i="13" s="1"/>
  <c r="G218" i="13" s="1"/>
  <c r="H218" i="13" s="1"/>
  <c r="F217" i="13"/>
  <c r="G217" i="13" s="1"/>
  <c r="H217" i="13" s="1"/>
  <c r="E217" i="13"/>
  <c r="E216" i="13"/>
  <c r="F216" i="13" s="1"/>
  <c r="G216" i="13" s="1"/>
  <c r="H216" i="13" s="1"/>
  <c r="F215" i="13"/>
  <c r="G215" i="13" s="1"/>
  <c r="H215" i="13" s="1"/>
  <c r="E215" i="13"/>
  <c r="E214" i="13"/>
  <c r="F214" i="13" s="1"/>
  <c r="G214" i="13" s="1"/>
  <c r="H214" i="13" s="1"/>
  <c r="F213" i="13"/>
  <c r="G213" i="13" s="1"/>
  <c r="H213" i="13" s="1"/>
  <c r="E213" i="13"/>
  <c r="E212" i="13"/>
  <c r="F212" i="13" s="1"/>
  <c r="G212" i="13" s="1"/>
  <c r="H212" i="13" s="1"/>
  <c r="F211" i="13"/>
  <c r="G211" i="13" s="1"/>
  <c r="H211" i="13" s="1"/>
  <c r="E211" i="13"/>
  <c r="E210" i="13"/>
  <c r="F210" i="13" s="1"/>
  <c r="G210" i="13" s="1"/>
  <c r="H210" i="13" s="1"/>
  <c r="F209" i="13"/>
  <c r="G209" i="13" s="1"/>
  <c r="H209" i="13" s="1"/>
  <c r="E209" i="13"/>
  <c r="E208" i="13"/>
  <c r="F208" i="13" s="1"/>
  <c r="G208" i="13" s="1"/>
  <c r="H208" i="13" s="1"/>
  <c r="F207" i="13"/>
  <c r="G207" i="13" s="1"/>
  <c r="H207" i="13" s="1"/>
  <c r="E207" i="13"/>
  <c r="E206" i="13"/>
  <c r="F206" i="13" s="1"/>
  <c r="G206" i="13" s="1"/>
  <c r="H206" i="13" s="1"/>
  <c r="F205" i="13"/>
  <c r="G205" i="13" s="1"/>
  <c r="H205" i="13" s="1"/>
  <c r="E205" i="13"/>
  <c r="E204" i="13"/>
  <c r="F204" i="13" s="1"/>
  <c r="G204" i="13" s="1"/>
  <c r="H204" i="13" s="1"/>
  <c r="F203" i="13"/>
  <c r="G203" i="13" s="1"/>
  <c r="H203" i="13" s="1"/>
  <c r="E203" i="13"/>
  <c r="F202" i="13"/>
  <c r="G202" i="13" s="1"/>
  <c r="H202" i="13" s="1"/>
  <c r="E202" i="13"/>
  <c r="E201" i="13"/>
  <c r="F201" i="13" s="1"/>
  <c r="G201" i="13" s="1"/>
  <c r="H201" i="13" s="1"/>
  <c r="G200" i="13"/>
  <c r="H200" i="13" s="1"/>
  <c r="F200" i="13"/>
  <c r="E200" i="13"/>
  <c r="F199" i="13"/>
  <c r="G199" i="13" s="1"/>
  <c r="H199" i="13" s="1"/>
  <c r="E199" i="13"/>
  <c r="G198" i="13"/>
  <c r="H198" i="13" s="1"/>
  <c r="F198" i="13"/>
  <c r="E198" i="13"/>
  <c r="G197" i="13"/>
  <c r="H197" i="13" s="1"/>
  <c r="F197" i="13"/>
  <c r="E197" i="13"/>
  <c r="F196" i="13"/>
  <c r="G196" i="13" s="1"/>
  <c r="H196" i="13" s="1"/>
  <c r="E196" i="13"/>
  <c r="F195" i="13"/>
  <c r="G195" i="13" s="1"/>
  <c r="H195" i="13" s="1"/>
  <c r="E195" i="13"/>
  <c r="G194" i="13"/>
  <c r="H194" i="13" s="1"/>
  <c r="F194" i="13"/>
  <c r="E194" i="13"/>
  <c r="G193" i="13"/>
  <c r="H193" i="13" s="1"/>
  <c r="F193" i="13"/>
  <c r="E193" i="13"/>
  <c r="F192" i="13"/>
  <c r="G192" i="13" s="1"/>
  <c r="H192" i="13" s="1"/>
  <c r="E192" i="13"/>
  <c r="F191" i="13"/>
  <c r="G191" i="13" s="1"/>
  <c r="H191" i="13" s="1"/>
  <c r="E191" i="13"/>
  <c r="G190" i="13"/>
  <c r="H190" i="13" s="1"/>
  <c r="F190" i="13"/>
  <c r="E190" i="13"/>
  <c r="G189" i="13"/>
  <c r="H189" i="13" s="1"/>
  <c r="F189" i="13"/>
  <c r="E189" i="13"/>
  <c r="F188" i="13"/>
  <c r="G188" i="13" s="1"/>
  <c r="H188" i="13" s="1"/>
  <c r="E188" i="13"/>
  <c r="F187" i="13"/>
  <c r="G187" i="13" s="1"/>
  <c r="H187" i="13" s="1"/>
  <c r="E187" i="13"/>
  <c r="G186" i="13"/>
  <c r="H186" i="13" s="1"/>
  <c r="F186" i="13"/>
  <c r="E186" i="13"/>
  <c r="G185" i="13"/>
  <c r="H185" i="13" s="1"/>
  <c r="F185" i="13"/>
  <c r="E185" i="13"/>
  <c r="G184" i="13"/>
  <c r="H184" i="13" s="1"/>
  <c r="F184" i="13"/>
  <c r="E184" i="13"/>
  <c r="F183" i="13"/>
  <c r="G183" i="13" s="1"/>
  <c r="H183" i="13" s="1"/>
  <c r="E183" i="13"/>
  <c r="G182" i="13"/>
  <c r="H182" i="13" s="1"/>
  <c r="F182" i="13"/>
  <c r="E182" i="13"/>
  <c r="G181" i="13"/>
  <c r="H181" i="13" s="1"/>
  <c r="F181" i="13"/>
  <c r="E181" i="13"/>
  <c r="F180" i="13"/>
  <c r="G180" i="13" s="1"/>
  <c r="H180" i="13" s="1"/>
  <c r="E180" i="13"/>
  <c r="F179" i="13"/>
  <c r="G179" i="13" s="1"/>
  <c r="H179" i="13" s="1"/>
  <c r="E179" i="13"/>
  <c r="G178" i="13"/>
  <c r="H178" i="13" s="1"/>
  <c r="F178" i="13"/>
  <c r="E178" i="13"/>
  <c r="G177" i="13"/>
  <c r="H177" i="13" s="1"/>
  <c r="O250" i="13" s="1"/>
  <c r="F177" i="13"/>
  <c r="E177" i="13"/>
  <c r="F176" i="13"/>
  <c r="G176" i="13" s="1"/>
  <c r="H176" i="13" s="1"/>
  <c r="E176" i="13"/>
  <c r="F175" i="13"/>
  <c r="G175" i="13" s="1"/>
  <c r="H175" i="13" s="1"/>
  <c r="E175" i="13"/>
  <c r="G174" i="13"/>
  <c r="H174" i="13" s="1"/>
  <c r="F174" i="13"/>
  <c r="E174" i="13"/>
  <c r="G173" i="13"/>
  <c r="H173" i="13" s="1"/>
  <c r="F173" i="13"/>
  <c r="E173" i="13"/>
  <c r="F172" i="13"/>
  <c r="G172" i="13" s="1"/>
  <c r="H172" i="13" s="1"/>
  <c r="E172" i="13"/>
  <c r="F171" i="13"/>
  <c r="G171" i="13" s="1"/>
  <c r="H171" i="13" s="1"/>
  <c r="E171" i="13"/>
  <c r="G170" i="13"/>
  <c r="H170" i="13" s="1"/>
  <c r="F170" i="13"/>
  <c r="E170" i="13"/>
  <c r="G169" i="13"/>
  <c r="H169" i="13" s="1"/>
  <c r="F169" i="13"/>
  <c r="E169" i="13"/>
  <c r="G168" i="13"/>
  <c r="H168" i="13" s="1"/>
  <c r="F168" i="13"/>
  <c r="E168" i="13"/>
  <c r="F167" i="13"/>
  <c r="G167" i="13" s="1"/>
  <c r="H167" i="13" s="1"/>
  <c r="E167" i="13"/>
  <c r="G166" i="13"/>
  <c r="H166" i="13" s="1"/>
  <c r="F166" i="13"/>
  <c r="E166" i="13"/>
  <c r="G165" i="13"/>
  <c r="H165" i="13" s="1"/>
  <c r="F165" i="13"/>
  <c r="E165" i="13"/>
  <c r="F164" i="13"/>
  <c r="G164" i="13" s="1"/>
  <c r="H164" i="13" s="1"/>
  <c r="E164" i="13"/>
  <c r="F163" i="13"/>
  <c r="G163" i="13" s="1"/>
  <c r="H163" i="13" s="1"/>
  <c r="E163" i="13"/>
  <c r="G162" i="13"/>
  <c r="H162" i="13" s="1"/>
  <c r="F162" i="13"/>
  <c r="E162" i="13"/>
  <c r="G161" i="13"/>
  <c r="H161" i="13" s="1"/>
  <c r="F161" i="13"/>
  <c r="E161" i="13"/>
  <c r="F160" i="13"/>
  <c r="G160" i="13" s="1"/>
  <c r="H160" i="13" s="1"/>
  <c r="E160" i="13"/>
  <c r="F159" i="13"/>
  <c r="G159" i="13" s="1"/>
  <c r="H159" i="13" s="1"/>
  <c r="E159" i="13"/>
  <c r="G158" i="13"/>
  <c r="H158" i="13" s="1"/>
  <c r="F158" i="13"/>
  <c r="E158" i="13"/>
  <c r="G157" i="13"/>
  <c r="H157" i="13" s="1"/>
  <c r="F157" i="13"/>
  <c r="E157" i="13"/>
  <c r="F156" i="13"/>
  <c r="G156" i="13" s="1"/>
  <c r="H156" i="13" s="1"/>
  <c r="E156" i="13"/>
  <c r="F155" i="13"/>
  <c r="G155" i="13" s="1"/>
  <c r="H155" i="13" s="1"/>
  <c r="E155" i="13"/>
  <c r="G154" i="13"/>
  <c r="H154" i="13" s="1"/>
  <c r="F154" i="13"/>
  <c r="E154" i="13"/>
  <c r="G153" i="13"/>
  <c r="H153" i="13" s="1"/>
  <c r="F153" i="13"/>
  <c r="E153" i="13"/>
  <c r="G152" i="13"/>
  <c r="H152" i="13" s="1"/>
  <c r="F152" i="13"/>
  <c r="E152" i="13"/>
  <c r="F151" i="13"/>
  <c r="G151" i="13" s="1"/>
  <c r="H151" i="13" s="1"/>
  <c r="O247" i="13" s="1"/>
  <c r="E151" i="13"/>
  <c r="G150" i="13"/>
  <c r="H150" i="13" s="1"/>
  <c r="F150" i="13"/>
  <c r="E150" i="13"/>
  <c r="G149" i="13"/>
  <c r="H149" i="13" s="1"/>
  <c r="F149" i="13"/>
  <c r="E149" i="13"/>
  <c r="F148" i="13"/>
  <c r="G148" i="13" s="1"/>
  <c r="H148" i="13" s="1"/>
  <c r="O252" i="13" s="1"/>
  <c r="E148" i="13"/>
  <c r="F147" i="13"/>
  <c r="G147" i="13" s="1"/>
  <c r="H147" i="13" s="1"/>
  <c r="E147" i="13"/>
  <c r="G146" i="13"/>
  <c r="H146" i="13" s="1"/>
  <c r="F146" i="13"/>
  <c r="E146" i="13"/>
  <c r="G145" i="13"/>
  <c r="H145" i="13" s="1"/>
  <c r="F145" i="13"/>
  <c r="E145" i="13"/>
  <c r="F144" i="13"/>
  <c r="G144" i="13" s="1"/>
  <c r="H144" i="13" s="1"/>
  <c r="E144" i="13"/>
  <c r="E143" i="13"/>
  <c r="F143" i="13" s="1"/>
  <c r="G143" i="13" s="1"/>
  <c r="H143" i="13" s="1"/>
  <c r="E142" i="13"/>
  <c r="F142" i="13" s="1"/>
  <c r="G142" i="13" s="1"/>
  <c r="H142" i="13" s="1"/>
  <c r="G141" i="13"/>
  <c r="H141" i="13" s="1"/>
  <c r="F141" i="13"/>
  <c r="E141" i="13"/>
  <c r="F140" i="13"/>
  <c r="G140" i="13" s="1"/>
  <c r="H140" i="13" s="1"/>
  <c r="E140" i="13"/>
  <c r="E139" i="13"/>
  <c r="F139" i="13" s="1"/>
  <c r="G139" i="13" s="1"/>
  <c r="H139" i="13" s="1"/>
  <c r="E138" i="13"/>
  <c r="F138" i="13" s="1"/>
  <c r="G138" i="13" s="1"/>
  <c r="H138" i="13" s="1"/>
  <c r="G137" i="13"/>
  <c r="H137" i="13" s="1"/>
  <c r="F137" i="13"/>
  <c r="E137" i="13"/>
  <c r="G136" i="13"/>
  <c r="H136" i="13" s="1"/>
  <c r="F136" i="13"/>
  <c r="E136" i="13"/>
  <c r="E135" i="13"/>
  <c r="F135" i="13" s="1"/>
  <c r="G135" i="13" s="1"/>
  <c r="H135" i="13" s="1"/>
  <c r="E134" i="13"/>
  <c r="F134" i="13" s="1"/>
  <c r="G134" i="13" s="1"/>
  <c r="H134" i="13" s="1"/>
  <c r="G133" i="13"/>
  <c r="H133" i="13" s="1"/>
  <c r="F133" i="13"/>
  <c r="E133" i="13"/>
  <c r="F132" i="13"/>
  <c r="G132" i="13" s="1"/>
  <c r="H132" i="13" s="1"/>
  <c r="E132" i="13"/>
  <c r="F131" i="13"/>
  <c r="G131" i="13" s="1"/>
  <c r="H131" i="13" s="1"/>
  <c r="E131" i="13"/>
  <c r="E130" i="13"/>
  <c r="F130" i="13" s="1"/>
  <c r="G130" i="13" s="1"/>
  <c r="H130" i="13" s="1"/>
  <c r="G129" i="13"/>
  <c r="H129" i="13" s="1"/>
  <c r="F129" i="13"/>
  <c r="E129" i="13"/>
  <c r="F128" i="13"/>
  <c r="G128" i="13" s="1"/>
  <c r="H128" i="13" s="1"/>
  <c r="E128" i="13"/>
  <c r="E127" i="13"/>
  <c r="F127" i="13" s="1"/>
  <c r="G127" i="13" s="1"/>
  <c r="H127" i="13" s="1"/>
  <c r="E126" i="13"/>
  <c r="F126" i="13" s="1"/>
  <c r="G126" i="13" s="1"/>
  <c r="H126" i="13" s="1"/>
  <c r="G125" i="13"/>
  <c r="H125" i="13" s="1"/>
  <c r="F125" i="13"/>
  <c r="E125" i="13"/>
  <c r="F124" i="13"/>
  <c r="G124" i="13" s="1"/>
  <c r="H124" i="13" s="1"/>
  <c r="E124" i="13"/>
  <c r="E123" i="13"/>
  <c r="F123" i="13" s="1"/>
  <c r="G123" i="13" s="1"/>
  <c r="H123" i="13" s="1"/>
  <c r="E122" i="13"/>
  <c r="F122" i="13" s="1"/>
  <c r="G122" i="13" s="1"/>
  <c r="H122" i="13" s="1"/>
  <c r="G121" i="13"/>
  <c r="H121" i="13" s="1"/>
  <c r="F121" i="13"/>
  <c r="E121" i="13"/>
  <c r="G120" i="13"/>
  <c r="H120" i="13" s="1"/>
  <c r="F120" i="13"/>
  <c r="E120" i="13"/>
  <c r="E119" i="13"/>
  <c r="F119" i="13" s="1"/>
  <c r="G119" i="13" s="1"/>
  <c r="H119" i="13" s="1"/>
  <c r="E118" i="13"/>
  <c r="F118" i="13" s="1"/>
  <c r="G118" i="13" s="1"/>
  <c r="H118" i="13" s="1"/>
  <c r="G117" i="13"/>
  <c r="H117" i="13" s="1"/>
  <c r="F117" i="13"/>
  <c r="E117" i="13"/>
  <c r="F116" i="13"/>
  <c r="G116" i="13" s="1"/>
  <c r="H116" i="13" s="1"/>
  <c r="E116" i="13"/>
  <c r="F115" i="13"/>
  <c r="G115" i="13" s="1"/>
  <c r="H115" i="13" s="1"/>
  <c r="E115" i="13"/>
  <c r="E114" i="13"/>
  <c r="F114" i="13" s="1"/>
  <c r="G114" i="13" s="1"/>
  <c r="H114" i="13" s="1"/>
  <c r="G113" i="13"/>
  <c r="H113" i="13" s="1"/>
  <c r="F113" i="13"/>
  <c r="E113" i="13"/>
  <c r="F112" i="13"/>
  <c r="G112" i="13" s="1"/>
  <c r="H112" i="13" s="1"/>
  <c r="E112" i="13"/>
  <c r="E111" i="13"/>
  <c r="F111" i="13" s="1"/>
  <c r="G111" i="13" s="1"/>
  <c r="H111" i="13" s="1"/>
  <c r="O246" i="13" s="1"/>
  <c r="E110" i="13"/>
  <c r="F110" i="13" s="1"/>
  <c r="G110" i="13" s="1"/>
  <c r="H110" i="13" s="1"/>
  <c r="G109" i="13"/>
  <c r="H109" i="13" s="1"/>
  <c r="F109" i="13"/>
  <c r="E109" i="13"/>
  <c r="F108" i="13"/>
  <c r="G108" i="13" s="1"/>
  <c r="H108" i="13" s="1"/>
  <c r="E108" i="13"/>
  <c r="E107" i="13"/>
  <c r="F107" i="13" s="1"/>
  <c r="G107" i="13" s="1"/>
  <c r="H107" i="13" s="1"/>
  <c r="E106" i="13"/>
  <c r="F106" i="13" s="1"/>
  <c r="G106" i="13" s="1"/>
  <c r="H106" i="13" s="1"/>
  <c r="G105" i="13"/>
  <c r="H105" i="13" s="1"/>
  <c r="F105" i="13"/>
  <c r="E105" i="13"/>
  <c r="G104" i="13"/>
  <c r="H104" i="13" s="1"/>
  <c r="F104" i="13"/>
  <c r="E104" i="13"/>
  <c r="E103" i="13"/>
  <c r="F103" i="13" s="1"/>
  <c r="G103" i="13" s="1"/>
  <c r="H103" i="13" s="1"/>
  <c r="E102" i="13"/>
  <c r="F102" i="13" s="1"/>
  <c r="G102" i="13" s="1"/>
  <c r="H102" i="13" s="1"/>
  <c r="E87" i="13"/>
  <c r="F87" i="13" s="1"/>
  <c r="G87" i="13" s="1"/>
  <c r="H87" i="13" s="1"/>
  <c r="G86" i="13"/>
  <c r="H86" i="13" s="1"/>
  <c r="F86" i="13"/>
  <c r="E86" i="13"/>
  <c r="F85" i="13"/>
  <c r="G85" i="13" s="1"/>
  <c r="H85" i="13" s="1"/>
  <c r="E85" i="13"/>
  <c r="E84" i="13"/>
  <c r="F84" i="13" s="1"/>
  <c r="G84" i="13" s="1"/>
  <c r="H84" i="13" s="1"/>
  <c r="E83" i="13"/>
  <c r="F83" i="13" s="1"/>
  <c r="G83" i="13" s="1"/>
  <c r="H83" i="13" s="1"/>
  <c r="G82" i="13"/>
  <c r="H82" i="13" s="1"/>
  <c r="F82" i="13"/>
  <c r="E82" i="13"/>
  <c r="G81" i="13"/>
  <c r="H81" i="13" s="1"/>
  <c r="F81" i="13"/>
  <c r="E81" i="13"/>
  <c r="E80" i="13"/>
  <c r="F80" i="13" s="1"/>
  <c r="G80" i="13" s="1"/>
  <c r="H80" i="13" s="1"/>
  <c r="E79" i="13"/>
  <c r="F79" i="13" s="1"/>
  <c r="G79" i="13" s="1"/>
  <c r="H79" i="13" s="1"/>
  <c r="G78" i="13"/>
  <c r="H78" i="13" s="1"/>
  <c r="F78" i="13"/>
  <c r="E78" i="13"/>
  <c r="F77" i="13"/>
  <c r="G77" i="13" s="1"/>
  <c r="H77" i="13" s="1"/>
  <c r="E77" i="13"/>
  <c r="F76" i="13"/>
  <c r="G76" i="13" s="1"/>
  <c r="H76" i="13" s="1"/>
  <c r="E76" i="13"/>
  <c r="E75" i="13"/>
  <c r="F75" i="13" s="1"/>
  <c r="G75" i="13" s="1"/>
  <c r="H75" i="13" s="1"/>
  <c r="G74" i="13"/>
  <c r="H74" i="13" s="1"/>
  <c r="F74" i="13"/>
  <c r="E74" i="13"/>
  <c r="F73" i="13"/>
  <c r="G73" i="13" s="1"/>
  <c r="H73" i="13" s="1"/>
  <c r="E73" i="13"/>
  <c r="E72" i="13"/>
  <c r="F72" i="13" s="1"/>
  <c r="G72" i="13" s="1"/>
  <c r="H72" i="13" s="1"/>
  <c r="E71" i="13"/>
  <c r="F71" i="13" s="1"/>
  <c r="G71" i="13" s="1"/>
  <c r="H71" i="13" s="1"/>
  <c r="G70" i="13"/>
  <c r="H70" i="13" s="1"/>
  <c r="H99" i="13" s="1"/>
  <c r="F70" i="13"/>
  <c r="E70" i="13"/>
  <c r="F69" i="13"/>
  <c r="G69" i="13" s="1"/>
  <c r="H69" i="13" s="1"/>
  <c r="E69" i="13"/>
  <c r="E68" i="13"/>
  <c r="F68" i="13" s="1"/>
  <c r="G68" i="13" s="1"/>
  <c r="H68" i="13" s="1"/>
  <c r="H94" i="13" s="1"/>
  <c r="E67" i="13"/>
  <c r="F67" i="13" s="1"/>
  <c r="G67" i="13" s="1"/>
  <c r="H67" i="13" s="1"/>
  <c r="G66" i="13"/>
  <c r="H66" i="13" s="1"/>
  <c r="F66" i="13"/>
  <c r="E66" i="13"/>
  <c r="G65" i="13"/>
  <c r="H65" i="13" s="1"/>
  <c r="F65" i="13"/>
  <c r="E65" i="13"/>
  <c r="E64" i="13"/>
  <c r="F64" i="13" s="1"/>
  <c r="G64" i="13" s="1"/>
  <c r="H64" i="13" s="1"/>
  <c r="E63" i="13"/>
  <c r="F63" i="13" s="1"/>
  <c r="G63" i="13" s="1"/>
  <c r="H63" i="13" s="1"/>
  <c r="G62" i="13"/>
  <c r="H62" i="13" s="1"/>
  <c r="F62" i="13"/>
  <c r="E62" i="13"/>
  <c r="F61" i="13"/>
  <c r="G61" i="13" s="1"/>
  <c r="H61" i="13" s="1"/>
  <c r="E61" i="13"/>
  <c r="F60" i="13"/>
  <c r="G60" i="13" s="1"/>
  <c r="H60" i="13" s="1"/>
  <c r="E60" i="13"/>
  <c r="E59" i="13"/>
  <c r="F59" i="13" s="1"/>
  <c r="G59" i="13" s="1"/>
  <c r="H59" i="13" s="1"/>
  <c r="G58" i="13"/>
  <c r="H58" i="13" s="1"/>
  <c r="F58" i="13"/>
  <c r="E58" i="13"/>
  <c r="F57" i="13"/>
  <c r="G57" i="13" s="1"/>
  <c r="H57" i="13" s="1"/>
  <c r="E57" i="13"/>
  <c r="F56" i="13"/>
  <c r="G56" i="13" s="1"/>
  <c r="H56" i="13" s="1"/>
  <c r="E56" i="13"/>
  <c r="G55" i="13"/>
  <c r="H55" i="13" s="1"/>
  <c r="F55" i="13"/>
  <c r="E55" i="13"/>
  <c r="F54" i="13"/>
  <c r="G54" i="13" s="1"/>
  <c r="H54" i="13" s="1"/>
  <c r="E54" i="13"/>
  <c r="F53" i="13"/>
  <c r="G53" i="13" s="1"/>
  <c r="H53" i="13" s="1"/>
  <c r="E53" i="13"/>
  <c r="F52" i="13"/>
  <c r="G52" i="13" s="1"/>
  <c r="H52" i="13" s="1"/>
  <c r="E52" i="13"/>
  <c r="G51" i="13"/>
  <c r="H51" i="13" s="1"/>
  <c r="F51" i="13"/>
  <c r="E51" i="13"/>
  <c r="F50" i="13"/>
  <c r="G50" i="13" s="1"/>
  <c r="H50" i="13" s="1"/>
  <c r="E50" i="13"/>
  <c r="F49" i="13"/>
  <c r="G49" i="13" s="1"/>
  <c r="H49" i="13" s="1"/>
  <c r="E49" i="13"/>
  <c r="F48" i="13"/>
  <c r="G48" i="13" s="1"/>
  <c r="H48" i="13" s="1"/>
  <c r="E48" i="13"/>
  <c r="G47" i="13"/>
  <c r="H47" i="13" s="1"/>
  <c r="F47" i="13"/>
  <c r="E47" i="13"/>
  <c r="F46" i="13"/>
  <c r="G46" i="13" s="1"/>
  <c r="H46" i="13" s="1"/>
  <c r="E46" i="13"/>
  <c r="F45" i="13"/>
  <c r="G45" i="13" s="1"/>
  <c r="H45" i="13" s="1"/>
  <c r="E45" i="13"/>
  <c r="F44" i="13"/>
  <c r="G44" i="13" s="1"/>
  <c r="H44" i="13" s="1"/>
  <c r="E44" i="13"/>
  <c r="G43" i="13"/>
  <c r="H43" i="13" s="1"/>
  <c r="F43" i="13"/>
  <c r="E43" i="13"/>
  <c r="F42" i="13"/>
  <c r="G42" i="13" s="1"/>
  <c r="H42" i="13" s="1"/>
  <c r="E42" i="13"/>
  <c r="F41" i="13"/>
  <c r="G41" i="13" s="1"/>
  <c r="H41" i="13" s="1"/>
  <c r="H98" i="13" s="1"/>
  <c r="E41" i="13"/>
  <c r="F40" i="13"/>
  <c r="G40" i="13" s="1"/>
  <c r="H40" i="13" s="1"/>
  <c r="E40" i="13"/>
  <c r="G39" i="13"/>
  <c r="H39" i="13" s="1"/>
  <c r="F39" i="13"/>
  <c r="E39" i="13"/>
  <c r="F38" i="13"/>
  <c r="G38" i="13" s="1"/>
  <c r="H38" i="13" s="1"/>
  <c r="E38" i="13"/>
  <c r="F37" i="13"/>
  <c r="G37" i="13" s="1"/>
  <c r="H37" i="13" s="1"/>
  <c r="E37" i="13"/>
  <c r="F36" i="13"/>
  <c r="G36" i="13" s="1"/>
  <c r="H36" i="13" s="1"/>
  <c r="E36" i="13"/>
  <c r="G35" i="13"/>
  <c r="H35" i="13" s="1"/>
  <c r="F35" i="13"/>
  <c r="E35" i="13"/>
  <c r="F34" i="13"/>
  <c r="G34" i="13" s="1"/>
  <c r="H34" i="13" s="1"/>
  <c r="E34" i="13"/>
  <c r="F33" i="13"/>
  <c r="G33" i="13" s="1"/>
  <c r="H33" i="13" s="1"/>
  <c r="E33" i="13"/>
  <c r="F32" i="13"/>
  <c r="G32" i="13" s="1"/>
  <c r="H32" i="13" s="1"/>
  <c r="E32" i="13"/>
  <c r="G31" i="13"/>
  <c r="H31" i="13" s="1"/>
  <c r="F31" i="13"/>
  <c r="E31" i="13"/>
  <c r="F30" i="13"/>
  <c r="G30" i="13" s="1"/>
  <c r="H30" i="13" s="1"/>
  <c r="E30" i="13"/>
  <c r="F29" i="13"/>
  <c r="G29" i="13" s="1"/>
  <c r="H29" i="13" s="1"/>
  <c r="H96" i="13" s="1"/>
  <c r="E29" i="13"/>
  <c r="F28" i="13"/>
  <c r="G28" i="13" s="1"/>
  <c r="H28" i="13" s="1"/>
  <c r="E28" i="13"/>
  <c r="G27" i="13"/>
  <c r="H27" i="13" s="1"/>
  <c r="F27" i="13"/>
  <c r="E27" i="13"/>
  <c r="F26" i="13"/>
  <c r="G26" i="13" s="1"/>
  <c r="H26" i="13" s="1"/>
  <c r="E26" i="13"/>
  <c r="F25" i="13"/>
  <c r="G25" i="13" s="1"/>
  <c r="H25" i="13" s="1"/>
  <c r="E25" i="13"/>
  <c r="F24" i="13"/>
  <c r="G24" i="13" s="1"/>
  <c r="H24" i="13" s="1"/>
  <c r="E24" i="13"/>
  <c r="G23" i="13"/>
  <c r="H23" i="13" s="1"/>
  <c r="F23" i="13"/>
  <c r="E23" i="13"/>
  <c r="F22" i="13"/>
  <c r="G22" i="13" s="1"/>
  <c r="H22" i="13" s="1"/>
  <c r="E22" i="13"/>
  <c r="F21" i="13"/>
  <c r="G21" i="13" s="1"/>
  <c r="H21" i="13" s="1"/>
  <c r="E21" i="13"/>
  <c r="F20" i="13"/>
  <c r="G20" i="13" s="1"/>
  <c r="H20" i="13" s="1"/>
  <c r="E20" i="13"/>
  <c r="G19" i="13"/>
  <c r="H19" i="13" s="1"/>
  <c r="F19" i="13"/>
  <c r="E19" i="13"/>
  <c r="F18" i="13"/>
  <c r="G18" i="13" s="1"/>
  <c r="H18" i="13" s="1"/>
  <c r="E18" i="13"/>
  <c r="F17" i="13"/>
  <c r="G17" i="13" s="1"/>
  <c r="H17" i="13" s="1"/>
  <c r="E17" i="13"/>
  <c r="F16" i="13"/>
  <c r="G16" i="13" s="1"/>
  <c r="H16" i="13" s="1"/>
  <c r="E16" i="13"/>
  <c r="G15" i="13"/>
  <c r="H15" i="13" s="1"/>
  <c r="F15" i="13"/>
  <c r="E15" i="13"/>
  <c r="F14" i="13"/>
  <c r="G14" i="13" s="1"/>
  <c r="H14" i="13" s="1"/>
  <c r="E14" i="13"/>
  <c r="F13" i="13"/>
  <c r="G13" i="13" s="1"/>
  <c r="H13" i="13" s="1"/>
  <c r="E13" i="13"/>
  <c r="F12" i="13"/>
  <c r="G12" i="13" s="1"/>
  <c r="H12" i="13" s="1"/>
  <c r="E12" i="13"/>
  <c r="G11" i="13"/>
  <c r="H11" i="13" s="1"/>
  <c r="F11" i="13"/>
  <c r="E11" i="13"/>
  <c r="F10" i="13"/>
  <c r="G10" i="13" s="1"/>
  <c r="H10" i="13" s="1"/>
  <c r="E10" i="13"/>
  <c r="F9" i="13"/>
  <c r="G9" i="13" s="1"/>
  <c r="H9" i="13" s="1"/>
  <c r="E9" i="13"/>
  <c r="F8" i="13"/>
  <c r="G8" i="13" s="1"/>
  <c r="H8" i="13" s="1"/>
  <c r="H93" i="13" s="1"/>
  <c r="E8" i="13"/>
  <c r="G7" i="13"/>
  <c r="H7" i="13" s="1"/>
  <c r="F7" i="13"/>
  <c r="E7" i="13"/>
  <c r="F6" i="13"/>
  <c r="G6" i="13" s="1"/>
  <c r="H6" i="13" s="1"/>
  <c r="E6" i="13"/>
  <c r="F5" i="13"/>
  <c r="G5" i="13" s="1"/>
  <c r="H5" i="13" s="1"/>
  <c r="E5" i="13"/>
  <c r="F4" i="13"/>
  <c r="G4" i="13" s="1"/>
  <c r="H4" i="13" s="1"/>
  <c r="E4" i="13"/>
  <c r="G3" i="13"/>
  <c r="H3" i="13" s="1"/>
  <c r="F3" i="13"/>
  <c r="E3" i="13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71" i="6" s="1"/>
  <c r="E55" i="6"/>
  <c r="E54" i="6"/>
  <c r="E53" i="6"/>
  <c r="E52" i="6"/>
  <c r="E51" i="6"/>
  <c r="E50" i="6"/>
  <c r="E49" i="6"/>
  <c r="E56" i="6" s="1"/>
  <c r="E44" i="6"/>
  <c r="E43" i="6"/>
  <c r="E42" i="6"/>
  <c r="E41" i="6"/>
  <c r="E40" i="6"/>
  <c r="E39" i="6"/>
  <c r="E38" i="6"/>
  <c r="E37" i="6"/>
  <c r="E36" i="6"/>
  <c r="E35" i="6"/>
  <c r="E45" i="6" s="1"/>
  <c r="E73" i="6" s="1"/>
  <c r="E32" i="6"/>
  <c r="F32" i="6" s="1"/>
  <c r="F31" i="6"/>
  <c r="E31" i="6"/>
  <c r="H30" i="6"/>
  <c r="I30" i="6" s="1"/>
  <c r="G30" i="6"/>
  <c r="F30" i="6"/>
  <c r="E30" i="6"/>
  <c r="H29" i="6"/>
  <c r="I29" i="6" s="1"/>
  <c r="E29" i="6"/>
  <c r="F29" i="6" s="1"/>
  <c r="G29" i="6" s="1"/>
  <c r="E28" i="6"/>
  <c r="F28" i="6" s="1"/>
  <c r="F27" i="6"/>
  <c r="E27" i="6"/>
  <c r="H26" i="6"/>
  <c r="I26" i="6" s="1"/>
  <c r="G26" i="6"/>
  <c r="F26" i="6"/>
  <c r="E26" i="6"/>
  <c r="E25" i="6"/>
  <c r="F25" i="6" s="1"/>
  <c r="G25" i="6" s="1"/>
  <c r="E24" i="6"/>
  <c r="F24" i="6" s="1"/>
  <c r="F23" i="6"/>
  <c r="E23" i="6"/>
  <c r="H22" i="6"/>
  <c r="I22" i="6" s="1"/>
  <c r="G22" i="6"/>
  <c r="F22" i="6"/>
  <c r="E22" i="6"/>
  <c r="H21" i="6"/>
  <c r="I21" i="6" s="1"/>
  <c r="E21" i="6"/>
  <c r="F21" i="6" s="1"/>
  <c r="G21" i="6" s="1"/>
  <c r="E20" i="6"/>
  <c r="F20" i="6" s="1"/>
  <c r="F19" i="6"/>
  <c r="E19" i="6"/>
  <c r="H18" i="6"/>
  <c r="I18" i="6" s="1"/>
  <c r="G18" i="6"/>
  <c r="F18" i="6"/>
  <c r="E18" i="6"/>
  <c r="E17" i="6"/>
  <c r="F17" i="6" s="1"/>
  <c r="G17" i="6" s="1"/>
  <c r="E16" i="6"/>
  <c r="F16" i="6" s="1"/>
  <c r="F15" i="6"/>
  <c r="E15" i="6"/>
  <c r="H14" i="6"/>
  <c r="I14" i="6" s="1"/>
  <c r="G14" i="6"/>
  <c r="F14" i="6"/>
  <c r="E14" i="6"/>
  <c r="H13" i="6"/>
  <c r="I13" i="6" s="1"/>
  <c r="E13" i="6"/>
  <c r="F13" i="6" s="1"/>
  <c r="G13" i="6" s="1"/>
  <c r="E12" i="6"/>
  <c r="F12" i="6" s="1"/>
  <c r="F11" i="6"/>
  <c r="E11" i="6"/>
  <c r="H10" i="6"/>
  <c r="I10" i="6" s="1"/>
  <c r="G10" i="6"/>
  <c r="F10" i="6"/>
  <c r="E10" i="6"/>
  <c r="E9" i="6"/>
  <c r="F9" i="6" s="1"/>
  <c r="G9" i="6" s="1"/>
  <c r="E8" i="6"/>
  <c r="F8" i="6" s="1"/>
  <c r="F7" i="6"/>
  <c r="E7" i="6"/>
  <c r="H6" i="6"/>
  <c r="I6" i="6" s="1"/>
  <c r="G6" i="6"/>
  <c r="F6" i="6"/>
  <c r="E6" i="6"/>
  <c r="H5" i="6"/>
  <c r="I5" i="6" s="1"/>
  <c r="E5" i="6"/>
  <c r="F5" i="6" s="1"/>
  <c r="G5" i="6" s="1"/>
  <c r="E4" i="6"/>
  <c r="F4" i="6" s="1"/>
  <c r="F3" i="6"/>
  <c r="E3" i="6"/>
  <c r="I269" i="4"/>
  <c r="I268" i="4"/>
  <c r="I267" i="4"/>
  <c r="I264" i="4"/>
  <c r="I263" i="4"/>
  <c r="I262" i="4"/>
  <c r="I261" i="4"/>
  <c r="I260" i="4"/>
  <c r="I259" i="4"/>
  <c r="I258" i="4"/>
  <c r="I257" i="4"/>
  <c r="I256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54" i="4" s="1"/>
  <c r="I241" i="4"/>
  <c r="I240" i="4"/>
  <c r="I237" i="4"/>
  <c r="I236" i="4"/>
  <c r="I235" i="4"/>
  <c r="I234" i="4"/>
  <c r="I233" i="4"/>
  <c r="I238" i="4" s="1"/>
  <c r="I232" i="4"/>
  <c r="I231" i="4"/>
  <c r="I227" i="4"/>
  <c r="I228" i="4" s="1"/>
  <c r="I226" i="4"/>
  <c r="I225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29" i="4"/>
  <c r="J129" i="4" s="1"/>
  <c r="H129" i="4"/>
  <c r="I128" i="4"/>
  <c r="J128" i="4" s="1"/>
  <c r="H128" i="4"/>
  <c r="H127" i="4"/>
  <c r="I127" i="4" s="1"/>
  <c r="J127" i="4" s="1"/>
  <c r="J126" i="4"/>
  <c r="H126" i="4"/>
  <c r="I126" i="4" s="1"/>
  <c r="I111" i="4"/>
  <c r="J111" i="4" s="1"/>
  <c r="H111" i="4"/>
  <c r="I110" i="4"/>
  <c r="J110" i="4" s="1"/>
  <c r="H110" i="4"/>
  <c r="H109" i="4"/>
  <c r="I109" i="4" s="1"/>
  <c r="J109" i="4" s="1"/>
  <c r="J108" i="4"/>
  <c r="I108" i="4"/>
  <c r="H108" i="4"/>
  <c r="J107" i="4"/>
  <c r="I107" i="4"/>
  <c r="H107" i="4"/>
  <c r="I106" i="4"/>
  <c r="J106" i="4" s="1"/>
  <c r="H106" i="4"/>
  <c r="H105" i="4"/>
  <c r="I105" i="4" s="1"/>
  <c r="J105" i="4" s="1"/>
  <c r="H104" i="4"/>
  <c r="I104" i="4" s="1"/>
  <c r="J104" i="4" s="1"/>
  <c r="J103" i="4"/>
  <c r="I103" i="4"/>
  <c r="H103" i="4"/>
  <c r="I102" i="4"/>
  <c r="J102" i="4" s="1"/>
  <c r="H102" i="4"/>
  <c r="H101" i="4"/>
  <c r="I101" i="4" s="1"/>
  <c r="J101" i="4" s="1"/>
  <c r="H100" i="4"/>
  <c r="I100" i="4" s="1"/>
  <c r="J100" i="4" s="1"/>
  <c r="J99" i="4"/>
  <c r="I99" i="4"/>
  <c r="H99" i="4"/>
  <c r="I98" i="4"/>
  <c r="J98" i="4" s="1"/>
  <c r="H98" i="4"/>
  <c r="H97" i="4"/>
  <c r="I97" i="4" s="1"/>
  <c r="J97" i="4" s="1"/>
  <c r="H96" i="4"/>
  <c r="I96" i="4" s="1"/>
  <c r="J96" i="4" s="1"/>
  <c r="J95" i="4"/>
  <c r="I95" i="4"/>
  <c r="H95" i="4"/>
  <c r="I94" i="4"/>
  <c r="J94" i="4" s="1"/>
  <c r="H94" i="4"/>
  <c r="H93" i="4"/>
  <c r="I93" i="4" s="1"/>
  <c r="J93" i="4" s="1"/>
  <c r="H92" i="4"/>
  <c r="I92" i="4" s="1"/>
  <c r="J92" i="4" s="1"/>
  <c r="J91" i="4"/>
  <c r="I91" i="4"/>
  <c r="H91" i="4"/>
  <c r="H81" i="4"/>
  <c r="I81" i="4" s="1"/>
  <c r="I80" i="4"/>
  <c r="H80" i="4"/>
  <c r="H65" i="4"/>
  <c r="H64" i="4"/>
  <c r="H63" i="4"/>
  <c r="H62" i="4"/>
  <c r="H61" i="4"/>
  <c r="H60" i="4"/>
  <c r="H59" i="4"/>
  <c r="H58" i="4"/>
  <c r="H57" i="4"/>
  <c r="H56" i="4"/>
  <c r="I53" i="4"/>
  <c r="H53" i="4"/>
  <c r="H52" i="4"/>
  <c r="I52" i="4" s="1"/>
  <c r="I50" i="4"/>
  <c r="H50" i="4"/>
  <c r="H49" i="4"/>
  <c r="I49" i="4" s="1"/>
  <c r="H48" i="4"/>
  <c r="H46" i="4"/>
  <c r="H45" i="4"/>
  <c r="I44" i="4"/>
  <c r="H44" i="4"/>
  <c r="H43" i="4"/>
  <c r="I43" i="4" s="1"/>
  <c r="I42" i="4"/>
  <c r="H42" i="4"/>
  <c r="H41" i="4"/>
  <c r="I41" i="4" s="1"/>
  <c r="I40" i="4"/>
  <c r="H40" i="4"/>
  <c r="H39" i="4"/>
  <c r="I39" i="4" s="1"/>
  <c r="I38" i="4"/>
  <c r="H38" i="4"/>
  <c r="H36" i="4"/>
  <c r="I36" i="4" s="1"/>
  <c r="I35" i="4"/>
  <c r="H35" i="4"/>
  <c r="H34" i="4"/>
  <c r="I34" i="4" s="1"/>
  <c r="I33" i="4"/>
  <c r="H33" i="4"/>
  <c r="H32" i="4"/>
  <c r="I32" i="4" s="1"/>
  <c r="J31" i="4"/>
  <c r="I31" i="4"/>
  <c r="H31" i="4"/>
  <c r="I30" i="4"/>
  <c r="J30" i="4" s="1"/>
  <c r="H30" i="4"/>
  <c r="H29" i="4"/>
  <c r="H28" i="4"/>
  <c r="I27" i="4"/>
  <c r="H27" i="4"/>
  <c r="H26" i="4"/>
  <c r="I26" i="4" s="1"/>
  <c r="I25" i="4"/>
  <c r="H25" i="4"/>
  <c r="H24" i="4"/>
  <c r="I24" i="4" s="1"/>
  <c r="I23" i="4"/>
  <c r="H23" i="4"/>
  <c r="H22" i="4"/>
  <c r="I22" i="4" s="1"/>
  <c r="I21" i="4"/>
  <c r="H21" i="4"/>
  <c r="H20" i="4"/>
  <c r="I20" i="4" s="1"/>
  <c r="I19" i="4"/>
  <c r="H19" i="4"/>
  <c r="H18" i="4"/>
  <c r="I18" i="4" s="1"/>
  <c r="I17" i="4"/>
  <c r="H17" i="4"/>
  <c r="H16" i="4"/>
  <c r="I16" i="4" s="1"/>
  <c r="I15" i="4"/>
  <c r="H15" i="4"/>
  <c r="H14" i="4"/>
  <c r="I14" i="4" s="1"/>
  <c r="I13" i="4"/>
  <c r="H13" i="4"/>
  <c r="H12" i="4"/>
  <c r="I12" i="4" s="1"/>
  <c r="I11" i="4"/>
  <c r="H11" i="4"/>
  <c r="H10" i="4"/>
  <c r="I10" i="4" s="1"/>
  <c r="J9" i="4"/>
  <c r="I9" i="4"/>
  <c r="H9" i="4"/>
  <c r="I8" i="4"/>
  <c r="J8" i="4" s="1"/>
  <c r="H8" i="4"/>
  <c r="H7" i="4"/>
  <c r="I7" i="4" s="1"/>
  <c r="I6" i="4"/>
  <c r="H6" i="4"/>
  <c r="H5" i="4"/>
  <c r="I5" i="4" s="1"/>
  <c r="I4" i="4"/>
  <c r="H4" i="4"/>
  <c r="H3" i="4"/>
  <c r="I3" i="4" s="1"/>
  <c r="M144" i="3"/>
  <c r="N144" i="3" s="1"/>
  <c r="L144" i="3"/>
  <c r="L143" i="3"/>
  <c r="M143" i="3" s="1"/>
  <c r="N143" i="3" s="1"/>
  <c r="L142" i="3"/>
  <c r="M142" i="3" s="1"/>
  <c r="N142" i="3" s="1"/>
  <c r="L141" i="3"/>
  <c r="M141" i="3" s="1"/>
  <c r="N141" i="3" s="1"/>
  <c r="M140" i="3"/>
  <c r="N140" i="3" s="1"/>
  <c r="L140" i="3"/>
  <c r="L139" i="3"/>
  <c r="M139" i="3" s="1"/>
  <c r="N139" i="3" s="1"/>
  <c r="L138" i="3"/>
  <c r="M138" i="3" s="1"/>
  <c r="N138" i="3" s="1"/>
  <c r="L137" i="3"/>
  <c r="M137" i="3" s="1"/>
  <c r="N137" i="3" s="1"/>
  <c r="M136" i="3"/>
  <c r="N136" i="3" s="1"/>
  <c r="L136" i="3"/>
  <c r="L135" i="3"/>
  <c r="M135" i="3" s="1"/>
  <c r="N135" i="3" s="1"/>
  <c r="L134" i="3"/>
  <c r="M134" i="3" s="1"/>
  <c r="N134" i="3" s="1"/>
  <c r="L133" i="3"/>
  <c r="M133" i="3" s="1"/>
  <c r="N133" i="3" s="1"/>
  <c r="M132" i="3"/>
  <c r="N132" i="3" s="1"/>
  <c r="L132" i="3"/>
  <c r="L131" i="3"/>
  <c r="M131" i="3" s="1"/>
  <c r="N131" i="3" s="1"/>
  <c r="L130" i="3"/>
  <c r="M130" i="3" s="1"/>
  <c r="N130" i="3" s="1"/>
  <c r="L129" i="3"/>
  <c r="M129" i="3" s="1"/>
  <c r="N129" i="3" s="1"/>
  <c r="M128" i="3"/>
  <c r="N128" i="3" s="1"/>
  <c r="L128" i="3"/>
  <c r="L127" i="3"/>
  <c r="M127" i="3" s="1"/>
  <c r="N127" i="3" s="1"/>
  <c r="L126" i="3"/>
  <c r="M126" i="3" s="1"/>
  <c r="N126" i="3" s="1"/>
  <c r="L125" i="3"/>
  <c r="M125" i="3" s="1"/>
  <c r="N125" i="3" s="1"/>
  <c r="M124" i="3"/>
  <c r="N124" i="3" s="1"/>
  <c r="L124" i="3"/>
  <c r="L123" i="3"/>
  <c r="M123" i="3" s="1"/>
  <c r="N123" i="3" s="1"/>
  <c r="L122" i="3"/>
  <c r="M122" i="3" s="1"/>
  <c r="N122" i="3" s="1"/>
  <c r="L121" i="3"/>
  <c r="M121" i="3" s="1"/>
  <c r="N121" i="3" s="1"/>
  <c r="M120" i="3"/>
  <c r="N120" i="3" s="1"/>
  <c r="L120" i="3"/>
  <c r="L119" i="3"/>
  <c r="M119" i="3" s="1"/>
  <c r="N119" i="3" s="1"/>
  <c r="L118" i="3"/>
  <c r="M118" i="3" s="1"/>
  <c r="N118" i="3" s="1"/>
  <c r="L117" i="3"/>
  <c r="M117" i="3" s="1"/>
  <c r="N117" i="3" s="1"/>
  <c r="M116" i="3"/>
  <c r="N116" i="3" s="1"/>
  <c r="L116" i="3"/>
  <c r="L115" i="3"/>
  <c r="M115" i="3" s="1"/>
  <c r="N115" i="3" s="1"/>
  <c r="L114" i="3"/>
  <c r="M114" i="3" s="1"/>
  <c r="N114" i="3" s="1"/>
  <c r="L113" i="3"/>
  <c r="M113" i="3" s="1"/>
  <c r="N113" i="3" s="1"/>
  <c r="M112" i="3"/>
  <c r="N112" i="3" s="1"/>
  <c r="L112" i="3"/>
  <c r="L111" i="3"/>
  <c r="M111" i="3" s="1"/>
  <c r="N111" i="3" s="1"/>
  <c r="L110" i="3"/>
  <c r="M110" i="3" s="1"/>
  <c r="N110" i="3" s="1"/>
  <c r="L109" i="3"/>
  <c r="M109" i="3" s="1"/>
  <c r="N109" i="3" s="1"/>
  <c r="M108" i="3"/>
  <c r="N108" i="3" s="1"/>
  <c r="L108" i="3"/>
  <c r="L107" i="3"/>
  <c r="M107" i="3" s="1"/>
  <c r="N107" i="3" s="1"/>
  <c r="L106" i="3"/>
  <c r="M106" i="3" s="1"/>
  <c r="N106" i="3" s="1"/>
  <c r="L105" i="3"/>
  <c r="M105" i="3" s="1"/>
  <c r="N105" i="3" s="1"/>
  <c r="M104" i="3"/>
  <c r="N104" i="3" s="1"/>
  <c r="L104" i="3"/>
  <c r="L103" i="3"/>
  <c r="M103" i="3" s="1"/>
  <c r="N103" i="3" s="1"/>
  <c r="L102" i="3"/>
  <c r="M102" i="3" s="1"/>
  <c r="N102" i="3" s="1"/>
  <c r="L101" i="3"/>
  <c r="M101" i="3" s="1"/>
  <c r="N101" i="3" s="1"/>
  <c r="M100" i="3"/>
  <c r="N100" i="3" s="1"/>
  <c r="L100" i="3"/>
  <c r="L99" i="3"/>
  <c r="M99" i="3" s="1"/>
  <c r="N99" i="3" s="1"/>
  <c r="L98" i="3"/>
  <c r="M98" i="3" s="1"/>
  <c r="N98" i="3" s="1"/>
  <c r="L97" i="3"/>
  <c r="M97" i="3" s="1"/>
  <c r="N97" i="3" s="1"/>
  <c r="M96" i="3"/>
  <c r="N96" i="3" s="1"/>
  <c r="L96" i="3"/>
  <c r="L95" i="3"/>
  <c r="M95" i="3" s="1"/>
  <c r="N95" i="3" s="1"/>
  <c r="L94" i="3"/>
  <c r="M94" i="3" s="1"/>
  <c r="N94" i="3" s="1"/>
  <c r="L93" i="3"/>
  <c r="M93" i="3" s="1"/>
  <c r="N93" i="3" s="1"/>
  <c r="M92" i="3"/>
  <c r="N92" i="3" s="1"/>
  <c r="L92" i="3"/>
  <c r="L91" i="3"/>
  <c r="M91" i="3" s="1"/>
  <c r="N91" i="3" s="1"/>
  <c r="L90" i="3"/>
  <c r="M90" i="3" s="1"/>
  <c r="N90" i="3" s="1"/>
  <c r="L89" i="3"/>
  <c r="M89" i="3" s="1"/>
  <c r="N89" i="3" s="1"/>
  <c r="M88" i="3"/>
  <c r="N88" i="3" s="1"/>
  <c r="L88" i="3"/>
  <c r="L87" i="3"/>
  <c r="M87" i="3" s="1"/>
  <c r="N87" i="3" s="1"/>
  <c r="L86" i="3"/>
  <c r="M86" i="3" s="1"/>
  <c r="N86" i="3" s="1"/>
  <c r="L85" i="3"/>
  <c r="M85" i="3" s="1"/>
  <c r="N85" i="3" s="1"/>
  <c r="M84" i="3"/>
  <c r="N84" i="3" s="1"/>
  <c r="L84" i="3"/>
  <c r="L83" i="3"/>
  <c r="M83" i="3" s="1"/>
  <c r="N83" i="3" s="1"/>
  <c r="L82" i="3"/>
  <c r="M82" i="3" s="1"/>
  <c r="N82" i="3" s="1"/>
  <c r="L81" i="3"/>
  <c r="M81" i="3" s="1"/>
  <c r="N81" i="3" s="1"/>
  <c r="M80" i="3"/>
  <c r="N80" i="3" s="1"/>
  <c r="L80" i="3"/>
  <c r="L79" i="3"/>
  <c r="M79" i="3" s="1"/>
  <c r="N79" i="3" s="1"/>
  <c r="L78" i="3"/>
  <c r="M78" i="3" s="1"/>
  <c r="N78" i="3" s="1"/>
  <c r="L77" i="3"/>
  <c r="M77" i="3" s="1"/>
  <c r="N77" i="3" s="1"/>
  <c r="M76" i="3"/>
  <c r="N76" i="3" s="1"/>
  <c r="L76" i="3"/>
  <c r="L75" i="3"/>
  <c r="M75" i="3" s="1"/>
  <c r="N75" i="3" s="1"/>
  <c r="L74" i="3"/>
  <c r="M74" i="3" s="1"/>
  <c r="N74" i="3" s="1"/>
  <c r="L73" i="3"/>
  <c r="M73" i="3" s="1"/>
  <c r="N73" i="3" s="1"/>
  <c r="M72" i="3"/>
  <c r="N72" i="3" s="1"/>
  <c r="L72" i="3"/>
  <c r="L71" i="3"/>
  <c r="M71" i="3" s="1"/>
  <c r="N71" i="3" s="1"/>
  <c r="L70" i="3"/>
  <c r="M70" i="3" s="1"/>
  <c r="N70" i="3" s="1"/>
  <c r="L69" i="3"/>
  <c r="M69" i="3" s="1"/>
  <c r="N69" i="3" s="1"/>
  <c r="M68" i="3"/>
  <c r="N68" i="3" s="1"/>
  <c r="L68" i="3"/>
  <c r="L67" i="3"/>
  <c r="M67" i="3" s="1"/>
  <c r="N67" i="3" s="1"/>
  <c r="L66" i="3"/>
  <c r="M66" i="3" s="1"/>
  <c r="N66" i="3" s="1"/>
  <c r="L65" i="3"/>
  <c r="M65" i="3" s="1"/>
  <c r="N65" i="3" s="1"/>
  <c r="M64" i="3"/>
  <c r="N64" i="3" s="1"/>
  <c r="L64" i="3"/>
  <c r="L63" i="3"/>
  <c r="M63" i="3" s="1"/>
  <c r="N63" i="3" s="1"/>
  <c r="L62" i="3"/>
  <c r="M62" i="3" s="1"/>
  <c r="N62" i="3" s="1"/>
  <c r="L61" i="3"/>
  <c r="M61" i="3" s="1"/>
  <c r="N61" i="3" s="1"/>
  <c r="M60" i="3"/>
  <c r="N60" i="3" s="1"/>
  <c r="L60" i="3"/>
  <c r="L57" i="3"/>
  <c r="M57" i="3" s="1"/>
  <c r="N57" i="3" s="1"/>
  <c r="L56" i="3"/>
  <c r="M56" i="3" s="1"/>
  <c r="N56" i="3" s="1"/>
  <c r="L55" i="3"/>
  <c r="M55" i="3" s="1"/>
  <c r="N55" i="3" s="1"/>
  <c r="M54" i="3"/>
  <c r="N54" i="3" s="1"/>
  <c r="L54" i="3"/>
  <c r="L53" i="3"/>
  <c r="M53" i="3" s="1"/>
  <c r="N53" i="3" s="1"/>
  <c r="L52" i="3"/>
  <c r="M52" i="3" s="1"/>
  <c r="N52" i="3" s="1"/>
  <c r="L51" i="3"/>
  <c r="M51" i="3" s="1"/>
  <c r="N51" i="3" s="1"/>
  <c r="M50" i="3"/>
  <c r="N50" i="3" s="1"/>
  <c r="L50" i="3"/>
  <c r="L49" i="3"/>
  <c r="M49" i="3" s="1"/>
  <c r="N49" i="3" s="1"/>
  <c r="L48" i="3"/>
  <c r="M48" i="3" s="1"/>
  <c r="N48" i="3" s="1"/>
  <c r="L47" i="3"/>
  <c r="M47" i="3" s="1"/>
  <c r="N47" i="3" s="1"/>
  <c r="M45" i="3"/>
  <c r="N45" i="3" s="1"/>
  <c r="L45" i="3"/>
  <c r="L43" i="3"/>
  <c r="M43" i="3" s="1"/>
  <c r="N43" i="3" s="1"/>
  <c r="L42" i="3"/>
  <c r="M42" i="3" s="1"/>
  <c r="N42" i="3" s="1"/>
  <c r="L41" i="3"/>
  <c r="M41" i="3" s="1"/>
  <c r="N41" i="3" s="1"/>
  <c r="L39" i="3"/>
  <c r="M39" i="3" s="1"/>
  <c r="N39" i="3" s="1"/>
  <c r="P39" i="3" s="1"/>
  <c r="M38" i="3"/>
  <c r="N38" i="3" s="1"/>
  <c r="L38" i="3"/>
  <c r="L35" i="3"/>
  <c r="M35" i="3" s="1"/>
  <c r="N35" i="3" s="1"/>
  <c r="L31" i="3"/>
  <c r="M31" i="3" s="1"/>
  <c r="N31" i="3" s="1"/>
  <c r="L30" i="3"/>
  <c r="M30" i="3" s="1"/>
  <c r="N30" i="3" s="1"/>
  <c r="M27" i="3"/>
  <c r="N27" i="3" s="1"/>
  <c r="L27" i="3"/>
  <c r="L26" i="3"/>
  <c r="M26" i="3" s="1"/>
  <c r="N26" i="3" s="1"/>
  <c r="L25" i="3"/>
  <c r="M25" i="3" s="1"/>
  <c r="N25" i="3" s="1"/>
  <c r="L24" i="3"/>
  <c r="M24" i="3" s="1"/>
  <c r="N24" i="3" s="1"/>
  <c r="M23" i="3"/>
  <c r="N23" i="3" s="1"/>
  <c r="L23" i="3"/>
  <c r="L22" i="3"/>
  <c r="M22" i="3" s="1"/>
  <c r="N22" i="3" s="1"/>
  <c r="L18" i="3"/>
  <c r="M18" i="3" s="1"/>
  <c r="N18" i="3" s="1"/>
  <c r="L17" i="3"/>
  <c r="M17" i="3" s="1"/>
  <c r="N17" i="3" s="1"/>
  <c r="L16" i="3"/>
  <c r="M16" i="3" s="1"/>
  <c r="N16" i="3" s="1"/>
  <c r="P16" i="3" s="1"/>
  <c r="M15" i="3"/>
  <c r="N15" i="3" s="1"/>
  <c r="L15" i="3"/>
  <c r="L13" i="3"/>
  <c r="M13" i="3" s="1"/>
  <c r="N13" i="3" s="1"/>
  <c r="D13" i="3"/>
  <c r="L12" i="3"/>
  <c r="M12" i="3" s="1"/>
  <c r="N12" i="3" s="1"/>
  <c r="D12" i="3"/>
  <c r="L11" i="3"/>
  <c r="M11" i="3" s="1"/>
  <c r="N11" i="3" s="1"/>
  <c r="D11" i="3"/>
  <c r="D10" i="3"/>
  <c r="L10" i="3" s="1"/>
  <c r="M10" i="3" s="1"/>
  <c r="N10" i="3" s="1"/>
  <c r="D123" i="2"/>
  <c r="D122" i="2"/>
  <c r="D121" i="2"/>
  <c r="D120" i="2"/>
  <c r="D119" i="2"/>
  <c r="D118" i="2"/>
  <c r="D117" i="2"/>
  <c r="H116" i="2"/>
  <c r="I116" i="2" s="1"/>
  <c r="J116" i="2" s="1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H64" i="2"/>
  <c r="I64" i="2" s="1"/>
  <c r="J64" i="2" s="1"/>
  <c r="D64" i="2"/>
  <c r="D63" i="2"/>
  <c r="D62" i="2"/>
  <c r="D61" i="2"/>
  <c r="D60" i="2"/>
  <c r="D59" i="2"/>
  <c r="D58" i="2"/>
  <c r="D57" i="2"/>
  <c r="D56" i="2"/>
  <c r="H55" i="2"/>
  <c r="I55" i="2" s="1"/>
  <c r="J55" i="2" s="1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E38" i="2"/>
  <c r="D38" i="2"/>
  <c r="E37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E23" i="2"/>
  <c r="D23" i="2"/>
  <c r="E22" i="2"/>
  <c r="D22" i="2" s="1"/>
  <c r="E21" i="2"/>
  <c r="D21" i="2"/>
  <c r="E20" i="2"/>
  <c r="D20" i="2" s="1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P10" i="3" l="1"/>
  <c r="H12" i="6"/>
  <c r="I12" i="6" s="1"/>
  <c r="G12" i="6"/>
  <c r="H9" i="6"/>
  <c r="I9" i="6" s="1"/>
  <c r="H17" i="6"/>
  <c r="I17" i="6" s="1"/>
  <c r="O240" i="13"/>
  <c r="H4" i="6"/>
  <c r="I4" i="6" s="1"/>
  <c r="G4" i="6"/>
  <c r="H20" i="6"/>
  <c r="I20" i="6" s="1"/>
  <c r="G20" i="6"/>
  <c r="H28" i="6"/>
  <c r="I28" i="6" s="1"/>
  <c r="G28" i="6"/>
  <c r="H7" i="6"/>
  <c r="I7" i="6" s="1"/>
  <c r="G7" i="6"/>
  <c r="H15" i="6"/>
  <c r="I15" i="6" s="1"/>
  <c r="G15" i="6"/>
  <c r="H23" i="6"/>
  <c r="I23" i="6" s="1"/>
  <c r="G23" i="6"/>
  <c r="H25" i="6"/>
  <c r="I25" i="6" s="1"/>
  <c r="H31" i="6"/>
  <c r="I31" i="6" s="1"/>
  <c r="G31" i="6"/>
  <c r="H95" i="13"/>
  <c r="I265" i="4"/>
  <c r="I272" i="4" s="1"/>
  <c r="H8" i="6"/>
  <c r="I8" i="6" s="1"/>
  <c r="G8" i="6"/>
  <c r="H16" i="6"/>
  <c r="I16" i="6" s="1"/>
  <c r="G16" i="6"/>
  <c r="H24" i="6"/>
  <c r="I24" i="6" s="1"/>
  <c r="G24" i="6"/>
  <c r="H32" i="6"/>
  <c r="I32" i="6" s="1"/>
  <c r="G32" i="6"/>
  <c r="H92" i="13"/>
  <c r="H89" i="13"/>
  <c r="I270" i="4"/>
  <c r="H3" i="6"/>
  <c r="I3" i="6" s="1"/>
  <c r="G3" i="6"/>
  <c r="H11" i="6"/>
  <c r="I11" i="6" s="1"/>
  <c r="G11" i="6"/>
  <c r="H19" i="6"/>
  <c r="I19" i="6" s="1"/>
  <c r="G19" i="6"/>
  <c r="H27" i="6"/>
  <c r="I27" i="6" s="1"/>
  <c r="G27" i="6"/>
  <c r="H90" i="13"/>
  <c r="O249" i="13"/>
  <c r="H97" i="13"/>
  <c r="H91" i="13"/>
  <c r="O245" i="13"/>
  <c r="O251" i="13"/>
  <c r="O242" i="13"/>
  <c r="O255" i="13"/>
  <c r="G52" i="18"/>
  <c r="O254" i="13"/>
  <c r="O256" i="13"/>
  <c r="O248" i="13"/>
  <c r="H28" i="21"/>
  <c r="G91" i="21" s="1"/>
  <c r="G107" i="21"/>
  <c r="G116" i="21" s="1"/>
  <c r="G118" i="21" s="1"/>
  <c r="O253" i="13"/>
  <c r="O257" i="13"/>
  <c r="H42" i="19"/>
  <c r="G10" i="18"/>
  <c r="H100" i="13" l="1"/>
</calcChain>
</file>

<file path=xl/sharedStrings.xml><?xml version="1.0" encoding="utf-8"?>
<sst xmlns="http://schemas.openxmlformats.org/spreadsheetml/2006/main" count="2758" uniqueCount="1179">
  <si>
    <t>Наименование</t>
  </si>
  <si>
    <t>Количество</t>
  </si>
  <si>
    <t>Продажа 1 шт без НДС</t>
  </si>
  <si>
    <t>Итого без НДС</t>
  </si>
  <si>
    <t>Уплотнительная шайба X56039020</t>
  </si>
  <si>
    <t>Мембрана KHS 55010263S001 (X58899813)</t>
  </si>
  <si>
    <t>Механизм L223 В7.5 KHS X44260605</t>
  </si>
  <si>
    <t>ПРИВОД X44299113 KHS</t>
  </si>
  <si>
    <t>Насос пог Hermetic CNF 50-200 AGX8.5 IND</t>
  </si>
  <si>
    <t>Масло DELTA LUBE 06 1л Aerzen 2000015539</t>
  </si>
  <si>
    <t>Мотор вакуумный Lamb Electric 116110-01</t>
  </si>
  <si>
    <t>Блок питания S8VS-48024A OMRON</t>
  </si>
  <si>
    <t>Блок питания S8VS-24024A OMRON</t>
  </si>
  <si>
    <t>Штуцер цанговый угловой Festo QSML-M5-4,153333</t>
  </si>
  <si>
    <t>Пневматический цилиндр, одноцилиндровый, диаметром 14-1/2 дюйма, ход поршня 265 мм IMI Norgren М/31142</t>
  </si>
  <si>
    <t>Шланг KHS 94129166</t>
  </si>
  <si>
    <t>Автомат Schneider Electric LV432899</t>
  </si>
  <si>
    <t>Датчик Schneider Electric CCT15263</t>
  </si>
  <si>
    <t>Выключатель Schneider Electric CCT15369</t>
  </si>
  <si>
    <t>Контактор 3RT2028-1AP00 Siemens</t>
  </si>
  <si>
    <t>Кабель с разъемом М12, EVT068 IFM</t>
  </si>
  <si>
    <t>Клемма ножевая 6,3х2,5, арт. 730 DIN 46245 (Klauke)</t>
  </si>
  <si>
    <t>АМОРТИЗАТОР FESTO DYSC-B-8-8-Y1F</t>
  </si>
  <si>
    <t>Регулятор давления ITV1050-04F1N-X224 SMC</t>
  </si>
  <si>
    <t>Кольцо 20x30x10.7-TPE-U, 645266, FESTO</t>
  </si>
  <si>
    <t>Позиционер Tissin TS800LA51L3M</t>
  </si>
  <si>
    <t>Позиционер Siemens SIPART PS2 6DR5013-0NG00-0AA0</t>
  </si>
  <si>
    <t>Распорка арт. 100909 Novexx Solutions GmbH</t>
  </si>
  <si>
    <t>Привод ILM1002P02F0000 Schneider Electric</t>
  </si>
  <si>
    <t>отказной товар не оприходывать</t>
  </si>
  <si>
    <t>Пневмораспределитель CPV18-M1H-5LS-1/4 арт. 163190 FESTO</t>
  </si>
  <si>
    <t>Пневмораспределитель CPV18-M1H-5/3GS-1/4 арт. 176061 FESTO</t>
  </si>
  <si>
    <t xml:space="preserve">Датчик GS 61/6-S8 50110110 Leuze / GS 61/6.2 50110767 Leuze </t>
  </si>
  <si>
    <t>Контактор LC1D25BL Schneider Electric</t>
  </si>
  <si>
    <t>Силовой автомат GV2ME22 Schneider Electric</t>
  </si>
  <si>
    <t>Контактор LC1D12BD Schneider Electric</t>
  </si>
  <si>
    <t>Контактор LC1D18BD Schneider Electric</t>
  </si>
  <si>
    <t>Контактор LC1D18BL Schneider Electric</t>
  </si>
  <si>
    <t>Контактор LC1D25BD Schneider Electric</t>
  </si>
  <si>
    <t>Контактор LC1D09BD Schneider Electric</t>
  </si>
  <si>
    <t>Кронштейн KHS К0075086000</t>
  </si>
  <si>
    <t>Направляющая KHS K0053810000</t>
  </si>
  <si>
    <t>Комплект рол цепей KHS K0140088952</t>
  </si>
  <si>
    <t>Подшипник 0-902-45-671-5 Krones</t>
  </si>
  <si>
    <t>Втулка 28,4х38x55 KSB 523</t>
  </si>
  <si>
    <t>Уплотнение 0901402970 Krones</t>
  </si>
  <si>
    <t xml:space="preserve">Уплотнение 0901402970 Krones </t>
  </si>
  <si>
    <t>Электропневматический преобразователь ITV2050-31F2N SMC</t>
  </si>
  <si>
    <t>Кабель P398020-500-3 SMC</t>
  </si>
  <si>
    <t>Угловой разъем с кабелем P398020-501-3 SMC</t>
  </si>
  <si>
    <t>Вилка штока Festo CRSG-M12X1,25 арт. 13570</t>
  </si>
  <si>
    <t>Электродвигатель DN100S4/P/BE/D250 JIE JDRIVE</t>
  </si>
  <si>
    <t xml:space="preserve">Фильтр гидравлический Hydraulic filter TFX - 160х80 (аналог) </t>
  </si>
  <si>
    <t>Фильтр гидравлический Hydraulic filter ZSX - 160х10 (аналог)</t>
  </si>
  <si>
    <t>Фильтр гидравлический Hydraulic filter ZSX - 400х30 (аналог)</t>
  </si>
  <si>
    <t>Фильтр гидравлический Hydraulic filter ZX - 400х180 (аналог)</t>
  </si>
  <si>
    <t>Аккумулятор 12V 61Ah NexSys Bloc 12NXS61</t>
  </si>
  <si>
    <t>Цилиндр 12.45 мм разрезной (Кольцо Krones 0902541356)</t>
  </si>
  <si>
    <t>Втулка 301104826461 KHS</t>
  </si>
  <si>
    <t>Пластина 25416909S001 KHS</t>
  </si>
  <si>
    <t>Подшипник 301104302370 KHS</t>
  </si>
  <si>
    <t>Ролик 85233258S102 KHS</t>
  </si>
  <si>
    <t>Шестерня Krones 1018471470</t>
  </si>
  <si>
    <t>Колесо зубчатое Krones 1018451380</t>
  </si>
  <si>
    <t>Контакт Moeller / EATON  DILM1000-XHI11-SI</t>
  </si>
  <si>
    <t>ДАТЧИК IG5405 IFM</t>
  </si>
  <si>
    <t>Датчик WE27-2F450S05 Sick</t>
  </si>
  <si>
    <t>Реле давления 0159-43414-1-001 SUCO</t>
  </si>
  <si>
    <t>PILZ GmbH &amp; Co. 751107</t>
  </si>
  <si>
    <t>Уплотнение Festo SEU-1/4 GUMMI</t>
  </si>
  <si>
    <t>Распределитель Festo CPE14-M1BH-3GL-1/8</t>
  </si>
  <si>
    <t>IM5068 IFM (IM5068 обновлен до IM5123 IFM)</t>
  </si>
  <si>
    <t>Фотодатчик Leuze LSEU 18/24-S12 арт. 50103364</t>
  </si>
  <si>
    <t>Фотодатчик Leuze LSSU 18-S12 арт. 50103365</t>
  </si>
  <si>
    <t>Ступица колеса Linde 3014540215</t>
  </si>
  <si>
    <t>Подшипник наруж ступицы Linde 9246849</t>
  </si>
  <si>
    <t>Кольцо проклад ступицы Linde 9145394</t>
  </si>
  <si>
    <t>Шайба ступицы Linde 9146282</t>
  </si>
  <si>
    <t>Модуль ламп AF16 Optek 1426-3131-0801-03</t>
  </si>
  <si>
    <t>Osram HLX64445U 24V 50W GY6.35</t>
  </si>
  <si>
    <t>Клапан KHS K0140100836 с доставкой</t>
  </si>
  <si>
    <t>Фитинг 0009512745 LINDE</t>
  </si>
  <si>
    <t>Насос 0009812529 LINDE</t>
  </si>
  <si>
    <t>Преобразователь Krones 0904748238</t>
  </si>
  <si>
    <t>Датчик положения Festo SMT-8M-A-PS-24V-E-5,0-OE</t>
  </si>
  <si>
    <t>Датчик FESTO SOEG-RT-M12-PS-S-2L</t>
  </si>
  <si>
    <t>Пневмоцилиндр FESTO ADN-80-15-A-PPS-A</t>
  </si>
  <si>
    <t>Выключатель автоматический NSX250F TM250D 3P3D LV431630 Schneider Electric</t>
  </si>
  <si>
    <t>ДРОССЕЛЬ SMC AS1201F-M5-06A</t>
  </si>
  <si>
    <t>КЛАПАН СОЛЕНОИД. SMC VQD1121-5LO-M5</t>
  </si>
  <si>
    <t>РЕГУЛЯТОР ДАВЛЕНИЯ SMC AR10-M5H-A</t>
  </si>
  <si>
    <t>ЦИЛИНДР SMC CDQ2A12-15DCZ</t>
  </si>
  <si>
    <t xml:space="preserve">Пневмоцилиндр Festo ADNGF-20-30-P-A арт. 554225
</t>
  </si>
  <si>
    <t>Магнитный датчик IFM MGS201</t>
  </si>
  <si>
    <t>Датчик давления TURCK PS510-10V-01-LI2UPN8-H1141</t>
  </si>
  <si>
    <t>Датчик Turck BI4-M12-AP6X-H1141</t>
  </si>
  <si>
    <t>Позиционер SAMSON 3730- 310000004</t>
  </si>
  <si>
    <t>Кран VZBA-2"-GG-63-T-22 FESTO арт. 1686646</t>
  </si>
  <si>
    <t>Ролик 0900525261 Krones (альтернатива)</t>
  </si>
  <si>
    <t>Пылесос Karcher BVL 5/1</t>
  </si>
  <si>
    <t>Клапан электромагнитный FESTO F161360</t>
  </si>
  <si>
    <t>Клапан электромагнитный FESTO F161362</t>
  </si>
  <si>
    <t>Клапан электромагнитный FESTO MVH-5-3/8-B арт. 14945</t>
  </si>
  <si>
    <t>Пневмораспределитель VQZ215Y-5M0 SMC</t>
  </si>
  <si>
    <t>Модуль Metso Automation D200425 (Powernet ADC 7180R/24)</t>
  </si>
  <si>
    <t>Преобразователь частоты Control Techniques Emerson Unidrive SP 1403</t>
  </si>
  <si>
    <t>Модуль SM-Ethernet card</t>
  </si>
  <si>
    <t>Модуль SM-applications plus card</t>
  </si>
  <si>
    <t>Разъем IFM EVC811</t>
  </si>
  <si>
    <t>Клапан VQZ225Y-5MO SMC</t>
  </si>
  <si>
    <t>Пневмоцилиндр ADVU-12-15-A-P-A FESTO</t>
  </si>
  <si>
    <t>Датчик индуктивный IFM IV5007 состоит из IV5061+E11307</t>
  </si>
  <si>
    <t xml:space="preserve">Мото-редуктор SEW SA57 DRN100LS4/TF/0S1 (по фото) </t>
  </si>
  <si>
    <t>Пневмораспределитель FESTO MFH-3-1/4-EX арт. 535898</t>
  </si>
  <si>
    <t>Масло STABYLAN 773 ND</t>
  </si>
  <si>
    <t>Позиционер Tissin TS900LC41S30</t>
  </si>
  <si>
    <t>Позиционер NELES ND9103HX</t>
  </si>
  <si>
    <t>Устройство защитной блокировки 570630 PSEN sl-1.0p 1.1 VA/PSEN sl-1.0 1unit Pilz</t>
  </si>
  <si>
    <t>Ремкомплект Festo DNC-50-PPVA арт. 369197</t>
  </si>
  <si>
    <t>Переключатель Festo N-22-SW арт. 9301</t>
  </si>
  <si>
    <t>Винт 301132321820 KHS</t>
  </si>
  <si>
    <t>Лента скольжения KHS H29233010912</t>
  </si>
  <si>
    <t>Втулка KHS 301104821850</t>
  </si>
  <si>
    <t>Подшипник KHS X57799105</t>
  </si>
  <si>
    <t>ОТБОРНИК X44236614</t>
  </si>
  <si>
    <t>Подшипник KHS X44299068</t>
  </si>
  <si>
    <t>Ролик KHS 301104472180</t>
  </si>
  <si>
    <t>Звено цепи KHS X05120252</t>
  </si>
  <si>
    <t>Зажим клинов ремня KHS 301114120990</t>
  </si>
  <si>
    <t>Датчик WTV4FE8416A120A00 Sick 1123755</t>
  </si>
  <si>
    <t>Выдвижная арматура Cleanfit E+H CPA4501I210</t>
  </si>
  <si>
    <t>Реле 1122770000 Weidmuller</t>
  </si>
  <si>
    <t>Пневмораспределитель VUVG-L18-M52-MT-G14-1P3 FESTO</t>
  </si>
  <si>
    <t>Выключатель XCKJ10541H29 Schneider Electric</t>
  </si>
  <si>
    <t>Рычаг ZCKY41 Schneider Electric</t>
  </si>
  <si>
    <t>Пневмоцилиндр CRDNG-40-17-PPV-A арт. 160885 Festo</t>
  </si>
  <si>
    <t>Монтажный набор Festo SMBR-8-20 арт. 175095</t>
  </si>
  <si>
    <t>Пневмораспределитель арт. 537494 Festo</t>
  </si>
  <si>
    <t>Шарнирная головка SGS-M10X1.25 арт. 9261 Festo</t>
  </si>
  <si>
    <t>Шарнирная головка SGS-M6 Festo</t>
  </si>
  <si>
    <t>Пневмораспределитель SMC VQZ225Y-5MO</t>
  </si>
  <si>
    <t>Шланг полимерный FESTO PUN-H-8х1,25-SI, 50 м (558280)</t>
  </si>
  <si>
    <t>Пневмошланг полимерный FESTO PUN-H-8X1,25-BL (50м)</t>
  </si>
  <si>
    <t>Фитинг Festo NPFC-D-G14-G12-M</t>
  </si>
  <si>
    <t>Фитинг Festo NPFC-D-G14-G38-M</t>
  </si>
  <si>
    <t>Фитинг Festo NPFC-D-G18-G14-M</t>
  </si>
  <si>
    <t>Фитинг Festo NPFC-D-G18-G38-M</t>
  </si>
  <si>
    <t>Фитинг Festo NPFC-D-G38-G12-M</t>
  </si>
  <si>
    <t>Фитинг Festo NPFC-R-G12-G38-FM</t>
  </si>
  <si>
    <t>Фитинг Festo NPFC-R-G14-G18-F (8069220)</t>
  </si>
  <si>
    <t>Фитинг Festo NPFC-R-G38-G18-FM</t>
  </si>
  <si>
    <t>Шланг политетрафторэтиленовые FESTO PTFEN-8х1-NT (8061173) м</t>
  </si>
  <si>
    <t>Пневмошланг полимерный FESTO PFAN-12х1,75-NT (197065)</t>
  </si>
  <si>
    <t>Соединение штекерное FESTO QS-G1/4-8 (186099)</t>
  </si>
  <si>
    <t>Соединение штекерное с резьбой FESTO QS-G3/8-10 (186102)</t>
  </si>
  <si>
    <t>Шланг политетрафторэтиленовые FESTO PTFEN-8х1-NT (8061173) m</t>
  </si>
  <si>
    <t>Трубка пластиковая Festo PUN-4x0,75-S-1,5-BL, 1,5 м (197589)</t>
  </si>
  <si>
    <t>Комплект ремонтный FESTO (383850) FESTO (383850) DSR/L-32-180-P - 12</t>
  </si>
  <si>
    <t>Пневмоцилиндр Festo DSBC-80-80-PPVA-N3T1 (1463495)</t>
  </si>
  <si>
    <t>Проксиметр Bently Nevada 3300 XL Proximitor (330180-91-05-RU)</t>
  </si>
  <si>
    <t>Датчик токовихревой Bently Nevada 3300 XL (330101-00-08-10-02-05)</t>
  </si>
  <si>
    <t>Проксиметр Bently Nevada 3300 XL NSv Proximitor (330980-51-05)</t>
  </si>
  <si>
    <t>Распределитель с электромагнитным управлением Festo CPE10-M1BH-30L * 5A 711555 К102</t>
  </si>
  <si>
    <t>Пневмоцилиндр DSNU-25-250-PPV-A 2</t>
  </si>
  <si>
    <t>Фитинги CRQSL-1/8-4</t>
  </si>
  <si>
    <t>Фитинги CRQSL-1/8-6</t>
  </si>
  <si>
    <t>Фитинги CRQSL-1/4-6</t>
  </si>
  <si>
    <t>Ремкомплект DN 250 902100CA40990038</t>
  </si>
  <si>
    <t xml:space="preserve">Плата Danfoss MCA 120 PROFINET 130B1135 </t>
  </si>
  <si>
    <t>Позиционер Tissin TS900LC41U10</t>
  </si>
  <si>
    <t>Втулка KHS 301104821100</t>
  </si>
  <si>
    <t>Распределитель VUVG-B10-T32U-AZT-F-1T1L FESTO</t>
  </si>
  <si>
    <t>Модуль интерфейсный IM151-1 ET200S Profibus-DP 6ES7151·1ААО4·0АВО Siemens</t>
  </si>
  <si>
    <t>Модуль 6ES7 135-6HDOO-OBA 1 Siemens</t>
  </si>
  <si>
    <t>Цифровой модуль вывода 6ES7 132-6BFOO-0BA0 Siemens</t>
  </si>
  <si>
    <t>Адаптер 6GK1571-ОВАОО-ОААО Siemens</t>
  </si>
  <si>
    <t>Модуль 6ES7 193-6AR00-0AA0 Siemens</t>
  </si>
  <si>
    <t>Модуль 6ES7193-6PA00·0AA0 Siemens</t>
  </si>
  <si>
    <t>Модуль 6ES7331-7PF01-0AB0 Siemens</t>
  </si>
  <si>
    <t>Пневмоnилот MFH-5-1/4 6211 Festo</t>
  </si>
  <si>
    <t>Пневмораспределитель 7959 VЗО2 MFH-3-1/4 -S Festo</t>
  </si>
  <si>
    <t xml:space="preserve">Клапан 1/2 1002513 Festo 
</t>
  </si>
  <si>
    <t>Эжектор VAD-31B 19294 Festo</t>
  </si>
  <si>
    <t>Ремень клиновый Mitsuboshi White power 5V800</t>
  </si>
  <si>
    <t>Датчик ультразвуковой P&amp;F UB500F54UV15</t>
  </si>
  <si>
    <t>Датчик оптический Leuze PRK 8/44-S12</t>
  </si>
  <si>
    <t>Направляющая Festo FENG-50-250-KF</t>
  </si>
  <si>
    <t>Пневмоцилиндр Festo DSBC-40-400-PPSA-N3</t>
  </si>
  <si>
    <t>Пневмоцилиндр Festo DNC-50-25-PPV-A</t>
  </si>
  <si>
    <t>Энкодер BAUMER EIL580p SC10 11121851</t>
  </si>
  <si>
    <t>Мембрана насоса Ecolab 247608</t>
  </si>
  <si>
    <t>Пневмоцилиндр Festo ADVU-32-15-P-A</t>
  </si>
  <si>
    <t>Пневмоцилиндр Festo ADVU-50-15-P-A</t>
  </si>
  <si>
    <t>Цилиндр пневматический HEUFT HBP000022 DR/ST</t>
  </si>
  <si>
    <t>Датчик температуры TSMF /N01/X/6/0100/06/4/0/0/H/10C/4 Anderson-Negele</t>
  </si>
  <si>
    <t>Набор проводов измерительных Fluke TL175 TwistGuard</t>
  </si>
  <si>
    <t>Комплект зажимов FLUKE HC200 (2086410)</t>
  </si>
  <si>
    <t>соединитель weidmuller SAI-6-M 5P M12 1701240000</t>
  </si>
  <si>
    <t>соединитель weidmuller SAI-8-M 5P M12 1701250000</t>
  </si>
  <si>
    <t>Частотный преобразователь DELTA VFD022C43A-21</t>
  </si>
  <si>
    <t>Коммуникационная карта Profibus DP CMC-PD01</t>
  </si>
  <si>
    <t>Кабель двигателя 1,4 м. KHS 301254692158</t>
  </si>
  <si>
    <t>Кабель двигателя 1,4 м. KHS 301254692206</t>
  </si>
  <si>
    <t>Ремкомплект Festo ADVU/AEVU-63-A-PA</t>
  </si>
  <si>
    <t>ГОЛОВКА ПЕЧАТАЮЩАЯ 338217 MARKEM-IMAJE</t>
  </si>
  <si>
    <t>лямбда-зонт 12895 MESA MeB-und Regeltechnik</t>
  </si>
  <si>
    <t>Батарея аккумуляторная Hytera BL1807-Ex</t>
  </si>
  <si>
    <t>Динамик-микрофон Hytera SM19A1</t>
  </si>
  <si>
    <t>Аккумулятор Hytera BL2008</t>
  </si>
  <si>
    <t>Антенна Hytera (AN0435H21)</t>
  </si>
  <si>
    <t>Радиостанция Hytera MT680 Plus</t>
  </si>
  <si>
    <t>Смазка PARALIQ GTE 703 банка 750г</t>
  </si>
  <si>
    <t>Ремкомплект Festo ADVU/AEVU-32-A-PA арт. 121119</t>
  </si>
  <si>
    <t>Регулятор давления Festo LR-1-D-MAXI арт. 159627</t>
  </si>
  <si>
    <t>Электромагнитный клапан SMC LVM15R3HY-5A-Q</t>
  </si>
  <si>
    <t>Цилиндр FESTO ADNGF-16-5-P-A арт. 554212</t>
  </si>
  <si>
    <t>Фитинг Festo QSL-F-G1/4-12 арт. 533853</t>
  </si>
  <si>
    <t>Позиционер NELES ND9106HX</t>
  </si>
  <si>
    <t>Соединительный коллектор Eckardt LEXG-XN</t>
  </si>
  <si>
    <t>Позиционер NELES ND9106HXT/I02</t>
  </si>
  <si>
    <t>Позиционер электропневматический SMC 52-IP8001-034-X414</t>
  </si>
  <si>
    <t>Позиционер SAMSON 3730-310000004</t>
  </si>
  <si>
    <t xml:space="preserve">Насос пластинчатый SVPF-12-35-20 YUKEN
</t>
  </si>
  <si>
    <t>Насос роторный 103E100F31BA170 psi PROCON</t>
  </si>
  <si>
    <t>Пневмоцилиндр CDU16-10D (max 0,7MPa)</t>
  </si>
  <si>
    <t>Пневмоцилиндр CDJP286-10D (max 0,7MPa)</t>
  </si>
  <si>
    <t>Пневмоцилиндр CDQ2825-25DZ (max 1,0MPa)</t>
  </si>
  <si>
    <t>Пневмоцилиндр CDU10-15D (max 0,7MPa)</t>
  </si>
  <si>
    <t>Пневмоцилиндр CDU10-20D (max 0,7MPa)</t>
  </si>
  <si>
    <t>Пневмоцилиндр CDU16-50D (max 0,7MPa)</t>
  </si>
  <si>
    <t>Пневмоцилиндр CDQ2B32-30DZ-XC8 (max 0,8MPa)</t>
  </si>
  <si>
    <t>Пневмоцилиндр CDQ2B32-20DZ-XC8 (max 1,0MPa)</t>
  </si>
  <si>
    <t>Пневмоцилиндр CDU25-15D (max 0,7MPa)</t>
  </si>
  <si>
    <t>Пневмоцилиндр L-CDQ2B12-15DZ-XC8 (max 1,0MPa)</t>
  </si>
  <si>
    <t>Энкодер Heuft HPE700018M12</t>
  </si>
  <si>
    <t>Нагревательный элемент K0006616040 KHS</t>
  </si>
  <si>
    <t>Дорожка качения KHS H29233011491</t>
  </si>
  <si>
    <t>Шинный модуль B&amp;R X20BR9300BM01</t>
  </si>
  <si>
    <t>Втулка Krones 1950002409</t>
  </si>
  <si>
    <t>Ролик Krones 2950582550</t>
  </si>
  <si>
    <t>Электромагнитный клапан, EV220B, Функция: постоянно закрытый, G, 1 1/4, 18.000 m3/h, Размеры отверстия EPDM [мм] 32 мм 032U7132 Danfoss</t>
  </si>
  <si>
    <t>Электромагнитный клапан, EV220B, Функция: постоянно закрытое, G, 1 1/2, 24.00 m3/h, EPDM 032U7140 Danfoss</t>
  </si>
  <si>
    <t>Опорная стойка Festo SNCB-80 арт. 174394</t>
  </si>
  <si>
    <t>Пневмошланг Festo PUN-H-6X1-BL арт. 197384</t>
  </si>
  <si>
    <t>Пневмошланг Festo PUN-H-8X1,25-BL арт. 197385</t>
  </si>
  <si>
    <t>Насос SMC PA5210-F04</t>
  </si>
  <si>
    <t>Итого</t>
  </si>
  <si>
    <t>Продажа 1 шт без НДС </t>
  </si>
  <si>
    <t>Закупка за шт без НДС</t>
  </si>
  <si>
    <t>Закупка за шт с НДС</t>
  </si>
  <si>
    <t>Итого с НДС</t>
  </si>
  <si>
    <t>Датчик температуры Infineon KTY10-6</t>
  </si>
  <si>
    <t>Кнопка XB4BA3341 Schneider Electric Harmony 22 мм, IP66, Белый</t>
  </si>
  <si>
    <t>Кнопка XB4BW36B5 Schneider Electric Harmony 22 мм, 24В, IP66, Синий</t>
  </si>
  <si>
    <t>Кнопка ZB4BS52 Schneider Electric Harmony 22 мм, IP66, Черный</t>
  </si>
  <si>
    <t>Лампа сигнальная XB4BVM3 Schneider Electric Harmony, 22мм, 220В, AC, Зеленый</t>
  </si>
  <si>
    <t>Кнопка XB4BW36M5 Schneider Electric Harmony 22 мм, 240В, IP66, Синий</t>
  </si>
  <si>
    <t>Световой модуль XVUC25 Schneider Electric Harmony XVU, 60 мм, Оранжевый</t>
  </si>
  <si>
    <t>Кнопка XB4BS8442 Schneider Electric Harmony 22 мм, IP66, Красный</t>
  </si>
  <si>
    <t>Кнопка XB4BW36B1 Schneider Electric Dуст. 22мм, 1НО+1НЗ, LED подсветка 24V AC/DC, синий, лицевое кольцо - хром (металл)</t>
  </si>
  <si>
    <t>Датчик микроволновой KHS 301262411586（301262410516）</t>
  </si>
  <si>
    <t>Зонд Асептическое соединение KHS 59620157S003 (X58899301）</t>
  </si>
  <si>
    <t>Мультитестор Art4404246 FLUKE 17B+</t>
  </si>
  <si>
    <t>Реле давления 1-10бар 0180458031042 SUCO</t>
  </si>
  <si>
    <t>Тормозной диск KHS H23505010141</t>
  </si>
  <si>
    <t>Датчик IFM KI5023</t>
  </si>
  <si>
    <t>Индуктивный датчик IFM IFC204</t>
  </si>
  <si>
    <t xml:space="preserve"> 2 октября</t>
  </si>
  <si>
    <t>Оптический датчик HT23/2X-M8 Leuze</t>
  </si>
  <si>
    <t>Позиционер Foxboro Eckardt SRD991-BHNS1EA4NY-V01-LEXG-J</t>
  </si>
  <si>
    <t>Ремень зубчатый CNFULO 8M-1800-30</t>
  </si>
  <si>
    <t>Ремень зубчатый CNFULO 8M-2600-50</t>
  </si>
  <si>
    <t>Ремень узкоклиновой XPA-2482 Lp</t>
  </si>
  <si>
    <t>Ремень клиновой классический B 52 1320Li/1365Lw</t>
  </si>
  <si>
    <t>Пневмотрубка Festo PLN-6X1-SW арт. 195281</t>
  </si>
  <si>
    <t>Пневмотрубка Festo PLN-10X1,5-SW арт. 195283</t>
  </si>
  <si>
    <t>Датчик Festo SME-8-S-LED-24 арт. 150857</t>
  </si>
  <si>
    <t>Датчик Leuze RK 93/4-60 L 50022192</t>
  </si>
  <si>
    <t>Панель оператора Siemens 6AV2124-0GC01-0AX0</t>
  </si>
  <si>
    <t>Датчик IFM IFT200</t>
  </si>
  <si>
    <t>Пружина растяжения KHS 301022112430</t>
  </si>
  <si>
    <t>Прихват KHS K0096035121</t>
  </si>
  <si>
    <t>Клапан GEMU 650 8D 1373A10T1 [88423684]</t>
  </si>
  <si>
    <t>Ручка регулятора громкости Hytera для радиостанции PD715 Ex</t>
  </si>
  <si>
    <t>Ручка переключения каналов Hytera для радиостанции PD715 Ex</t>
  </si>
  <si>
    <t>Элемент фильтрующий AF60P-060S-7-5B-P SMC Pneumatik</t>
  </si>
  <si>
    <t>Распределитель с электроуправлением VUVS-L25-B52-D-G14-F8 Festo</t>
  </si>
  <si>
    <t>Позиционер YTC YT-2500LSz2421S</t>
  </si>
  <si>
    <t>Элемент фильтрующий HOKE 80410-2</t>
  </si>
  <si>
    <t>Позиционер YTC YT-3300LSN1221L</t>
  </si>
  <si>
    <t>Позиционер YTC YT-3300LSz1421S</t>
  </si>
  <si>
    <t>Датчик положения Festo SME-8M-DS-24V-K-7,5-OE арт. 543876</t>
  </si>
  <si>
    <t>Переходник SMC KQG2R12-16</t>
  </si>
  <si>
    <t>Стойка опорная Festo LBN-20/25 арт. 6059</t>
  </si>
  <si>
    <t>Пневмошланг Festo PUN-H-10X1,5-BL арт. 197386</t>
  </si>
  <si>
    <t>Распределитель Festo MEH-5/2-1/8-B арт. 173127</t>
  </si>
  <si>
    <t>Панель управления Tecno Bi MT8050iE</t>
  </si>
  <si>
    <t>Панель управления столами Tecno BiMT8071iE</t>
  </si>
  <si>
    <t>Модуль Siemens TP900 Comfort 6AV2 124-0JC01-0AX0 C-J1MB7813 28-63-36- B0-66-2E</t>
  </si>
  <si>
    <t>Карта памяти Siemens SIMATIC HMIMEMORY CARD SD-CARD</t>
  </si>
  <si>
    <t>А</t>
  </si>
  <si>
    <t>Клапан воздушный типа Masoneilan 78-80H для клапана регулирующего</t>
  </si>
  <si>
    <t>Реле бустерное типа Fairchild 4514А для клапана регулирующего</t>
  </si>
  <si>
    <t>Встряхиватель XT316-80B</t>
  </si>
  <si>
    <t>Ремкомплект Festo DSBC/G-32 арт. 753088</t>
  </si>
  <si>
    <t>Амортизатор Festo YSR-20-25-C арт. 34574</t>
  </si>
  <si>
    <t>Гайка M8 A2 DIN934 Krones 0423555002</t>
  </si>
  <si>
    <t>Блокиратор 440G-T27255 Allen Bradley</t>
  </si>
  <si>
    <t>Модуль интерфейсный SMC EX250-SPR1</t>
  </si>
  <si>
    <t>Блок питания MARKEM-IMAGE ENM338021</t>
  </si>
  <si>
    <t>Ремкомплект Festo ADVU/AEVU-50-A-PA арт. 121121</t>
  </si>
  <si>
    <t>Пневмоцилиндр Festo ADVU-50-50-A-P-A-R3</t>
  </si>
  <si>
    <t>Вентилятор CHAYSOL DA-12/12 1100 6PT K (230/400V50)F V5 - V760001</t>
  </si>
  <si>
    <t>Панель оператора KTP400 Siemens 6AV2123-2DB03-0AX0</t>
  </si>
  <si>
    <t>Аккумулятор Hytera BL2508-Ex</t>
  </si>
  <si>
    <t>Передатчик Mitutoyo U-WAVE T (02AZD880G)</t>
  </si>
  <si>
    <t>Панель оператора B&amp;R 5AP1120.1505-F06</t>
  </si>
  <si>
    <t>Датчик D-A93 SMC Pneumatik</t>
  </si>
  <si>
    <t>Датчик герконовый, положения; D-C73 SMC Pneumatik</t>
  </si>
  <si>
    <t>ИБП APC SRT10KRMXLI</t>
  </si>
  <si>
    <t>ИБП APC SUA750</t>
  </si>
  <si>
    <t>ИБП APC SMT2200RMI2UC</t>
  </si>
  <si>
    <t>Насос дозирующий SEKO MS1C138B31C4000 / MS1C138B31C4080</t>
  </si>
  <si>
    <t>Предохранитель Ferraz PC33UD60V1500TF</t>
  </si>
  <si>
    <t>Блок индикаторов красный Harmony XVBC8B4</t>
  </si>
  <si>
    <t>Автоматический индукционный электронный счетчик, конвейерная лента, инфракрасный дисплей</t>
  </si>
  <si>
    <t>Пневмоцилиндр Festo DSNU-20-15-P-A арт. 1908282</t>
  </si>
  <si>
    <t>WIKA S-11 Преобразователь давления для жидких вязких и содержащих частицы сред</t>
  </si>
  <si>
    <t>Пневматический цилиндр FESTO DGPL-32-740PPVA-KF-B-D2-SA 525264</t>
  </si>
  <si>
    <t>Пневмоцилиндр SMC CDQSB25-60DCM-XB10</t>
  </si>
  <si>
    <t>Пневмоцилиндр SMC CDQSB20-20DCM</t>
  </si>
  <si>
    <t>Ключ трещоточный со сменным кольцом 36 мм GEDORE 6256120 31 KR 20-36</t>
  </si>
  <si>
    <t>Ключ трещоточный со сменным кольцом 46 мм GEDORE 6256550 31 KR 25-46</t>
  </si>
  <si>
    <t>Ключ трещоточный со сменным кольцом 55 мм GEDORE 6256710 31 KR 30-55</t>
  </si>
  <si>
    <t>Ключ трещоточный со сменным кольцом 60 мм GEDORE 6256980 31 KR 30-60</t>
  </si>
  <si>
    <t>Световой барьер XVBC8B5 Schneider electric</t>
  </si>
  <si>
    <t>Кабель канал гибкий Igus 2605.34PZ</t>
  </si>
  <si>
    <t>Кабель канал гибкий Igus 2700.05.063</t>
  </si>
  <si>
    <t>Кабель канал гибкий Igus 250-05-100-0</t>
  </si>
  <si>
    <t>Кабель канал гибкий Igus 08.30.038</t>
  </si>
  <si>
    <t>Кабель канал гибкий Igus 2607.34PZB A1</t>
  </si>
  <si>
    <t>Кабель канал гибкий Igus 2610.34PZB</t>
  </si>
  <si>
    <t>Блок подготовки воздуха AirTAC GV200-08. 24 VDC</t>
  </si>
  <si>
    <t>25412894S001(K0061634000)</t>
  </si>
  <si>
    <t>Подшипник фланцевый KHS 301104311590</t>
  </si>
  <si>
    <t>Пневмоцилиндр Festo DNC-80-40-PPV-A арт. 163434</t>
  </si>
  <si>
    <t>Пневмоцилиндр Festo ADVU-50-10-P-A арт. 156550</t>
  </si>
  <si>
    <t>Ремкомплект Festo DNC-80-PPV-A арт. 369199</t>
  </si>
  <si>
    <t>Пневмоцилиндр Festo ADN-40-55-I-P-A арт. 536288</t>
  </si>
  <si>
    <t>Датчик IPRK 18/A L.46 LEUZE 50040278</t>
  </si>
  <si>
    <t>Пускатель Siemens 3RT1016-1AP02 обновлен до 3RT2016-1AP02</t>
  </si>
  <si>
    <t>Позиционер TISSIN TS800RN45U30</t>
  </si>
  <si>
    <t>Вентилятор Rittal 3238100</t>
  </si>
  <si>
    <t>30 октября</t>
  </si>
  <si>
    <t>Планка справа KHS X44230118</t>
  </si>
  <si>
    <t>22 декабря</t>
  </si>
  <si>
    <t>Планка слева KHS X44230119</t>
  </si>
  <si>
    <t>Предохранитель SIBA 9000413577 179021.10</t>
  </si>
  <si>
    <t>Разъем М12 угловой 4pin IFM EVF568</t>
  </si>
  <si>
    <t>Разъем М12 угловой 5pin IFM EVF572</t>
  </si>
  <si>
    <t>Кабель пластик трубчатый KHS 301255113070</t>
  </si>
  <si>
    <t>Karcher HD 6/15-4M Classic</t>
  </si>
  <si>
    <t>Nord Электрический тормоз двигателя BRE20 19031922 + Колодка тормозная BRE20 NORD SK</t>
  </si>
  <si>
    <t>Реле Finder 55.34.8.230.0040 10420069</t>
  </si>
  <si>
    <t>Реле PNOZ X2.7P 24VACDC Pilz 777305</t>
  </si>
  <si>
    <t>Лампа Shimadzu D2-L6380</t>
  </si>
  <si>
    <t>Позиционер Samson 4763-01100121000000.05</t>
  </si>
  <si>
    <t>Ключ безопасности 440T-MRPSE100C Allen-Bradley</t>
  </si>
  <si>
    <t>25 ноября</t>
  </si>
  <si>
    <t>Реле Безопасности ABB C5721SAR501032R000</t>
  </si>
  <si>
    <t>Приблизительная дата отгрузки</t>
  </si>
  <si>
    <t>Закуп с НДС</t>
  </si>
  <si>
    <t>Сумма с НДС</t>
  </si>
  <si>
    <t>ГЛУШИТЕЛЬ AN700-N12-X307 SMC</t>
  </si>
  <si>
    <t>Оплачен ИП Беляков</t>
  </si>
  <si>
    <t>Мотор-редуктор KA39/TDRN80M4/DH SEW-EURODRIVE</t>
  </si>
  <si>
    <t>Ручка выключателя (04060134) загр. TFP</t>
  </si>
  <si>
    <t>Интерфейсный модуль 3IF060.6 B&amp;R</t>
  </si>
  <si>
    <t>Карта памяти CF SSD-C64M-3076 B&amp;R</t>
  </si>
  <si>
    <t>Пневмоцилиндр FESTO DSBC-50-200-PPSA-N3 (1376310)</t>
  </si>
  <si>
    <t>Вал 3934999999, 211.0118 Speck pumpen</t>
  </si>
  <si>
    <t>фотодатчик Leuze LSSU 18-S12 арт. 50103365</t>
  </si>
  <si>
    <t>передавал Руслану в июле или начале августа, должно быть оприходовано</t>
  </si>
  <si>
    <t>Пром</t>
  </si>
  <si>
    <t>фотодатчик Leuze LSEU 18/24-S12 арт. 50103364</t>
  </si>
  <si>
    <t>Штуцер Festo NPQR-D-Q10-Q6 арт. 8043288</t>
  </si>
  <si>
    <t>Автоматический выключатель ABB T7S 1000 M PR231/P LS/I</t>
  </si>
  <si>
    <t>Мойка высокого давления Karcher HD 10/23-4</t>
  </si>
  <si>
    <t>Радиостанция носимая взрывобезопасная 
Hytera PD705 UL913</t>
  </si>
  <si>
    <t>Kreuzmeisel 250mm UNIOR 601749</t>
  </si>
  <si>
    <t>Дасян</t>
  </si>
  <si>
    <t>Kreuzmeisel 200mm. UNIOR 601748</t>
  </si>
  <si>
    <t xml:space="preserve">Втулка 22.15x28x44 525.05 SPACER SLEEVE KSB
</t>
  </si>
  <si>
    <t>Пневмоцилиндр Festo DSBC-32-550-PPVA-N3 арт. 1463254</t>
  </si>
  <si>
    <t>Выключатель аварийный 80A T5-4-15682 Eaton 207285</t>
  </si>
  <si>
    <t>Позиционер электропневматический Tissin TS800LA41U30</t>
  </si>
  <si>
    <t>Кольцо стопорное 1932.0033 Speck pumpen</t>
  </si>
  <si>
    <t>Шпонка 1941.0032 (поз. 941) Speck pumpen</t>
  </si>
  <si>
    <t>Рабочее колесо 1230.0179 (поз. 230) Speck pumpen</t>
  </si>
  <si>
    <t>Позиционер Foxboro SRI986-BIDS7ZZZZNA</t>
  </si>
  <si>
    <t>Разъем M12 SACC-M12FR-5CON-PG9-M Phoenix Contact 1681499</t>
  </si>
  <si>
    <t>Датчик ОПТЧК LEUZ 50141749</t>
  </si>
  <si>
    <t>Ремень зубчатый полиуретановый UGRT HTD 4326-14M-55</t>
  </si>
  <si>
    <t>Ремень зубчатый полиуретановый UGRT HTD 4956-14M-55</t>
  </si>
  <si>
    <t>Реле давления 10-25v IP65 Suco 161437141001</t>
  </si>
  <si>
    <t>Датчик потока FCS-G1/2A4-AP8X-H1141</t>
  </si>
  <si>
    <t>Вентилятор Ziehl-Abegg FC031-2EK.3F.V7</t>
  </si>
  <si>
    <t>Пневмоцилиндр FESTO ADVUL-32-80-P-A</t>
  </si>
  <si>
    <t>Ключ торцевой 071513753 WURTH</t>
  </si>
  <si>
    <t>Выключатель T0-4-15682/I1/SVB Eaton 207161</t>
  </si>
  <si>
    <t>Ремень зубч TOP25 2352 Krones 0902201060</t>
  </si>
  <si>
    <t>Пружина сжатия D-218 SIG-50361263</t>
  </si>
  <si>
    <t>Галогенная лампа OSRAM 64445 U AX 50W 24V GY6.35 FS1</t>
  </si>
  <si>
    <t>Электродвигатель WEG W21 100L-04 2. 2 кВт 380В/50гц</t>
  </si>
  <si>
    <t>Позиционер Tissin TS820LA41U31</t>
  </si>
  <si>
    <t>Кондиционер ШУ Rittal SK 3269.100</t>
  </si>
  <si>
    <t>Контактор Siemens 3RT1046-1AP00</t>
  </si>
  <si>
    <t>Контактор Siemens 3RT2035-3KB44-3MA0</t>
  </si>
  <si>
    <t>Контактор 7.5кВт Siemens 3RT1025-1AP00</t>
  </si>
  <si>
    <t>Муфта Krones 0901284897</t>
  </si>
  <si>
    <t>Позиционер YTC YT3300LDZ0221L</t>
  </si>
  <si>
    <t>Позиционер YTC YT3300LSZ1121L</t>
  </si>
  <si>
    <t>TDK-LAMBDA HWS300-24/HD</t>
  </si>
  <si>
    <t>6592463-001 Редуктор NRV-P 090i 30,00 B3-B6-B7-B8</t>
  </si>
  <si>
    <t>8031786-002 Коробка NRV-P 090 i 60.00 B3-B6-B7-B8</t>
  </si>
  <si>
    <t>Позиционер YTC YT-3400 RDZ5503L</t>
  </si>
  <si>
    <t>Разъем штекерный IFM E70454 Обновление до E70455</t>
  </si>
  <si>
    <t>Датчик температуры Anderson-Negele TSBF/G01/ X/0/250/06/4/0/H/04C/0/1/S</t>
  </si>
  <si>
    <t>Мотор-редуктор SA67/T DRN90L4/DH Sew-Eurodrive</t>
  </si>
  <si>
    <t>Плата управления осями Leadshine SMC304</t>
  </si>
  <si>
    <t>Радиостанция HYTERA HM 785 VHF в комплекте блок питания к радиостанции, корпус, лицензия TIER III, полка HYTERA HM 785 PALLADIUM</t>
  </si>
  <si>
    <t>Палец M12x90 KHS 94077315</t>
  </si>
  <si>
    <t>Кольцо V-обр JV 18 KHS 50178850</t>
  </si>
  <si>
    <t>Шайба 15х21х1 KHS 50180943</t>
  </si>
  <si>
    <t>Реле XMLA004A2S11 Telemecanique Sensors</t>
  </si>
  <si>
    <t>Пневмоостров серии VTUG-S VTUG-14-SH2-B1TZ-Q8LA-UL-Q6S-VKVK Festo</t>
  </si>
  <si>
    <t>Соединитель Siemens 6ES7 392-1AM00-0AA0</t>
  </si>
  <si>
    <t>Соединитель Siemens 6ES7 392-1AJ00-0AA0</t>
  </si>
  <si>
    <t>Ремень зубчатый T10-260 15мм</t>
  </si>
  <si>
    <t>Ремень клиновой AA-148</t>
  </si>
  <si>
    <t>Ремень клиновой AA-163</t>
  </si>
  <si>
    <t>Ремень зубчатый Т10-660 20мм</t>
  </si>
  <si>
    <t>8020860-004 Редуктор NMRV-P 110 i 60.00 B3-B6-B7-B8</t>
  </si>
  <si>
    <t>Реле Phoenix REL-MR-24DC/21-21 2961192</t>
  </si>
  <si>
    <t>Неконтактный детектор IFM IV5004</t>
  </si>
  <si>
    <t>Концевой выключатель/переключатель Schneider Electric XCMD2110L2</t>
  </si>
  <si>
    <t>Контактор Eaton DILM300A/22(RA250)</t>
  </si>
  <si>
    <t>Контактор Eaton DILM500/22(RA250)</t>
  </si>
  <si>
    <t>Eaton 207161</t>
  </si>
  <si>
    <t>Контроллер программируемый RES-5010</t>
  </si>
  <si>
    <t>Кабель 809 SC 1G6 Lapp Olflex 1062900</t>
  </si>
  <si>
    <t>Кабель 809 SC1G10 Lapp Olflex 1062902</t>
  </si>
  <si>
    <t>Кабель 809 SC 1X16 Lapp Olflex 1062905</t>
  </si>
  <si>
    <t>Кабель 809 SC 1х35 Lapp Olflex 1062909</t>
  </si>
  <si>
    <t>Кабель FD 810 P 4G10 Lapp Olflex 26385</t>
  </si>
  <si>
    <t>Контактор S2 18.5kW Siemens 3RT1035-1AP00</t>
  </si>
  <si>
    <t>Катушка э/м PNEUMAX MB924VDC/2W</t>
  </si>
  <si>
    <t>Реле G6D-1A 12 VDC Omron</t>
  </si>
  <si>
    <t>Контактор Siemens 3RT2028-1AP04</t>
  </si>
  <si>
    <t>Линейная шариковая каретка THK SHS35C1SSC1(GK) BLOCK</t>
  </si>
  <si>
    <t>Пневмопривод FESTO DGO-25-1600-PPV-A-B D=25 ХОД 1600, 7БАР</t>
  </si>
  <si>
    <t>Индуктивный датчик TURCK BI3U-P12SK-AP6X</t>
  </si>
  <si>
    <t>Реле SNO 4083KM-A Wieland R1.188.3590.0</t>
  </si>
  <si>
    <t>Реле Krones 0900011452</t>
  </si>
  <si>
    <t>Реле безопасности PNOZ e3.1p 774139</t>
  </si>
  <si>
    <t>Замок SZ E-поворотный Rittal 2304000</t>
  </si>
  <si>
    <t>Замок SZ поворотный Rittal 2420000</t>
  </si>
  <si>
    <t>Кабель E+H CYK10A251</t>
  </si>
  <si>
    <t>Датчик-реле давления DANFOSS CS 7-20bar</t>
  </si>
  <si>
    <t>Датчик уровня AEV-M65 (ASEPTIK)-VK5- L260/14-VE52R</t>
  </si>
  <si>
    <t>27 ноября</t>
  </si>
  <si>
    <t>Коннектор Profibus VIPA 972-0DP10 (brand of Yaskawa)</t>
  </si>
  <si>
    <t>24 ноября</t>
  </si>
  <si>
    <t>Кабель контрольный PSEN 10м Pilz 533131</t>
  </si>
  <si>
    <t>Предохранитель SIBA 4А 189020.4</t>
  </si>
  <si>
    <t>МОТОР-РЕДУКТОР SEW SA47/T DRN63M4/AL/C</t>
  </si>
  <si>
    <t>ЗАМОК TS-003-7035 Rittal арт. 5050068</t>
  </si>
  <si>
    <t>26 ноября</t>
  </si>
  <si>
    <t>Контактор DIL1AM 230V 36A Moeller 61457</t>
  </si>
  <si>
    <t>Контактор DILM65 (230V50HZ, 240V60HZ) Moeller</t>
  </si>
  <si>
    <t>Вентилятор Ziehl-Abegg FH065-SDW.4I.A7 осевой</t>
  </si>
  <si>
    <t>Активатор Allen-Bradley 440G-A27011</t>
  </si>
  <si>
    <t>Пневмопривод Kinetrol 094-100 </t>
  </si>
  <si>
    <t>Расходомер 7F2C80-GRDCCAACAAAD2SKA1+Z1</t>
  </si>
  <si>
    <t>Датчик контраста KRTM 20M/V-20-0004-S12 Leuze</t>
  </si>
  <si>
    <t>Оптический датчик измерения расстояния DD0015 обновлен до DD0203 IFM</t>
  </si>
  <si>
    <t>Муфта прямая Festo QS-10 арт. 153034</t>
  </si>
  <si>
    <t>Муфта переходная Festo QS-8-6 арт. 153038</t>
  </si>
  <si>
    <t>Муфта переходная Festo QS-12-8 арт. 130608</t>
  </si>
  <si>
    <t>Тройник прямой Festo QSY-6 арт. 153149</t>
  </si>
  <si>
    <t>Штуцер угловой Festo QSL-G1/8-4 арт. 186116</t>
  </si>
  <si>
    <t>Штуцер угловой Festo QSL-G1/4-6 арт. 186118</t>
  </si>
  <si>
    <t>Штуцер угловой Festo QSL-G1/8-6 арт. 186117</t>
  </si>
  <si>
    <t>Штуцер цанговый угловой Festo QSL-G1/8-8 арт. 186119</t>
  </si>
  <si>
    <t>Штуцер Festo QS-G1/4-12 арт. 186350</t>
  </si>
  <si>
    <t>Контактор LC1DT80AF7 Schneider electric</t>
  </si>
  <si>
    <t>Пневмоцилиндр Festo ADN-20-20-A-P-A арт. 536233</t>
  </si>
  <si>
    <t>Кабель соединительный Krones 7866005101</t>
  </si>
  <si>
    <t>Набор приводных шестерней 9338-70025 K-TRON</t>
  </si>
  <si>
    <t>Светодиод зеленый Schneider Electric DL1BDB3</t>
  </si>
  <si>
    <t>Выключатель 3VA1116-1AA36-0AA0</t>
  </si>
  <si>
    <t>6 ноября</t>
  </si>
  <si>
    <t>Блок питания Powernet ADC7180R/24</t>
  </si>
  <si>
    <t>Головка для нанесения лент ACP 339709001</t>
  </si>
  <si>
    <t>Датчик LEUZE PRK3CL1.A3/4P-200-M12</t>
  </si>
  <si>
    <t>РЕМ КОМПЛЕКТ ДЛЯ ЦИЛИНДРА DFM-40-P-A</t>
  </si>
  <si>
    <t>Пневмоцилиндр Festo DSBC-50-100-PPSA-N3 арт. 1376307</t>
  </si>
  <si>
    <t>Винт с шестигранной головкой KHS 301132151370 с доставкой</t>
  </si>
  <si>
    <t>Датчик оптический 50025609 Leuze</t>
  </si>
  <si>
    <t>Сканер штрих-кoдa Honeywell Granit 1991i беспроводной</t>
  </si>
  <si>
    <t>Реле времени ETR4-11-A Eaton</t>
  </si>
  <si>
    <t>5 ноября</t>
  </si>
  <si>
    <t>Позиционер Tissin (TS800LA41U20)</t>
  </si>
  <si>
    <t>Позиционер Tissin (TS800RA45U20)</t>
  </si>
  <si>
    <t>Клапан тип 3347. Код для заказа оборудования
3347-50-S-4176-1224-R1-P1.
Клапан тип 3347. Тип клапана 3347 (угловой клапан). DN 50.
Материал корпуса 1.4409/A 351 CF3M; Крышка корпуса -
стандарт, соединение кламп. Присоединение к трубопроводу по
DIN 11866 Series A; наружный диаметр
53.00 mm, толщина стенки 1.50 mm. Класс герметичности IV.
Привод тип 3277, площадь мебмраны 350см2. Рабочий
диапазон 1.4 ... 2.3 bar.
Позиционер тип 3725. Управляющий сигнал 4 ... 20 мА.
Степень защиты IP 66.</t>
  </si>
  <si>
    <t>Клапан тип 3241. Код для заказа оборудования
3241-40-116-S-4033-0225-R0-P1.
Клапан тип 3241. DN 40 PN16. Материал корпуса EN-GJL-250;
Крышка корпуса- стандарт. Присоединение к трубопроводу по
form B, DIN EN 1092. Класс герметичности IV. Материал
плунжера 1.4409/1.4401/1.4404. Материал седла 1.4006+QT.
Материал штока 1.4401 / 1.4404.
Привод тип 3277. Площадь мембраны 175см2. Рабочий
диапазон 0.8...2.4 bar.
Давление питания 2.6 bar(g).
Позиционер тип 3725. Управляющий сигнал 4 ... 20 мА.
Степень защиты IP 66.
БКВ тип 4746. 2x Micro switch
Степень защиты IP65.</t>
  </si>
  <si>
    <t>Клапан тип 3241. Код для заказа оборудования
3241-50-16-S-4033-0225-R0-P2.
Клапан тип 3241. DN 50 PN16. Материал корпуса EN-GJL-250;
Крышка корпуса- стандарт. Присоединение к
трубопроводу по form B, DIN EN 1092. Класс
герметичности IV. Материал плунжера
1.4409/1.4401/1.4404. Материал седла 1.4006+QT.
Материал штока 1.4401 / 1.4404.
Привод тип 3277. Площадь мембраны 350см2. Рабочий
диапазон 0.8...2.4 bar.
Давление питания 2.6 bar(g).
Позиционер тип 3725. Управляющий сигнал 4 ... 20 мА.
Степень защиты IP 66.
БКВ тип 4746. 2x Micro switch XGK 3 (silber contact).
Степень защиты IP65.</t>
  </si>
  <si>
    <t>Автомат защиты Eaton Moeller PKZMO-10</t>
  </si>
  <si>
    <t>Отправлено из Китая</t>
  </si>
  <si>
    <t>Закуп без НДС</t>
  </si>
  <si>
    <t>с НДС</t>
  </si>
  <si>
    <t>Дата приемки</t>
  </si>
  <si>
    <t>Кабель CMAC 5095 SKF</t>
  </si>
  <si>
    <t xml:space="preserve">        76 970,00 ₽ </t>
  </si>
  <si>
    <t>Датчик оптический 6044736 SICK</t>
  </si>
  <si>
    <t xml:space="preserve">        14 645,00 ₽ </t>
  </si>
  <si>
    <t>Датум</t>
  </si>
  <si>
    <t>28.11</t>
  </si>
  <si>
    <t>РАЗЪЕМ: EVC005 ADOAH040MSS0005H04, IFM</t>
  </si>
  <si>
    <t xml:space="preserve">          2 150,00 ₽ </t>
  </si>
  <si>
    <t>Пускатель LC1K1210F7 110v Telemecanique</t>
  </si>
  <si>
    <t xml:space="preserve">          2 575,00 ₽ </t>
  </si>
  <si>
    <t>Выключатель Telemecanique XCKJ167H29</t>
  </si>
  <si>
    <t xml:space="preserve">          4 043,50 ₽ </t>
  </si>
  <si>
    <t>Редуктор с ротаметр азот PROVOV YQB-731LS (100 мл мин)</t>
  </si>
  <si>
    <t xml:space="preserve">        13 300,00 ₽ </t>
  </si>
  <si>
    <t>Кабель 10м M23 BAUMER 11100431</t>
  </si>
  <si>
    <t xml:space="preserve">        35 745,00 ₽ </t>
  </si>
  <si>
    <t>ИП Комиссаров</t>
  </si>
  <si>
    <t>07.12</t>
  </si>
  <si>
    <t>Датчик TURCK 1634807</t>
  </si>
  <si>
    <t xml:space="preserve">          6 015,00 ₽ </t>
  </si>
  <si>
    <t>Шасси Yokogawa S2SC70D-SA12010</t>
  </si>
  <si>
    <t xml:space="preserve">  1 392 125,00 ₽ </t>
  </si>
  <si>
    <t>Вибровилка EMA VRM11AA02006</t>
  </si>
  <si>
    <t xml:space="preserve">        42 000,00 ₽ </t>
  </si>
  <si>
    <t>Сервопривод REXROTH R911315713</t>
  </si>
  <si>
    <t xml:space="preserve">      351 365,00 ₽ </t>
  </si>
  <si>
    <t>Руслан 1</t>
  </si>
  <si>
    <t>Опорный зажим для сопла из нержавеющей стали код SM06.00079-00 EUROPOOL</t>
  </si>
  <si>
    <t xml:space="preserve">        30 996,50 ₽ </t>
  </si>
  <si>
    <t>Реле Siemens 3RH2911-1BA10</t>
  </si>
  <si>
    <t xml:space="preserve">          6 090,00 ₽ </t>
  </si>
  <si>
    <t>Клемма Degson DC4-HE-LD24-01P-13-00Z H</t>
  </si>
  <si>
    <t xml:space="preserve">              162,50 ₽ </t>
  </si>
  <si>
    <t>Рейка DIN Degson NS35/7.5-1000-00A H</t>
  </si>
  <si>
    <t xml:space="preserve">              885,50 ₽ </t>
  </si>
  <si>
    <t>Катушка Danfoss 018F6176 (220/230V 50HZ 12W)</t>
  </si>
  <si>
    <t xml:space="preserve">          2 830,00 ₽ </t>
  </si>
  <si>
    <t>Панель оператора MT8071iP Weintek</t>
  </si>
  <si>
    <t xml:space="preserve">        12 906,00 ₽ </t>
  </si>
  <si>
    <t>Блок питания S8VM-05024CD</t>
  </si>
  <si>
    <t xml:space="preserve">          5 240,00 ₽ </t>
  </si>
  <si>
    <t>Источник питания PS-3X400-500AC/24DC/20</t>
  </si>
  <si>
    <t xml:space="preserve">        21 423,00 ₽ </t>
  </si>
  <si>
    <t>Реле времени OMRON H3DE-M1</t>
  </si>
  <si>
    <t xml:space="preserve">          4 517,00 ₽ </t>
  </si>
  <si>
    <t>Пылесос KARCHER тип NT 35/1 Me Classic</t>
  </si>
  <si>
    <t xml:space="preserve">        32 408,00 ₽ </t>
  </si>
  <si>
    <t>Разъем М12 SACC-M12MS-5CON-PG7-M 1663116 Phoenix Contact</t>
  </si>
  <si>
    <t xml:space="preserve">          2 757,50 ₽ </t>
  </si>
  <si>
    <t>Фильтрующий элемент HUS-3677530</t>
  </si>
  <si>
    <t xml:space="preserve">        14 100,00 ₽ </t>
  </si>
  <si>
    <t>Клем керам Voix CTB101015 Blomax</t>
  </si>
  <si>
    <t xml:space="preserve">              260,00 ₽ </t>
  </si>
  <si>
    <t>Датчик оптический HRT 96M/P-1610-1200-41 50025118 Leuze</t>
  </si>
  <si>
    <t xml:space="preserve">        30 300,00 ₽ </t>
  </si>
  <si>
    <t>ИП Габдинова</t>
  </si>
  <si>
    <t>03.12</t>
  </si>
  <si>
    <t>Ремкомплект испарителя Linde 3525729020</t>
  </si>
  <si>
    <t xml:space="preserve">        13 100,00 ₽ </t>
  </si>
  <si>
    <t>Мотор редуктор SA57 R17 DRN71M4 Sew Eurodrive</t>
  </si>
  <si>
    <t xml:space="preserve">      183 325,00 ₽ </t>
  </si>
  <si>
    <t>Комплект Alfa Laval 9611923075</t>
  </si>
  <si>
    <t xml:space="preserve">          5 545,00 ₽ </t>
  </si>
  <si>
    <t>Моторный тормоз BRE5</t>
  </si>
  <si>
    <t xml:space="preserve">        29 037,00 ₽ </t>
  </si>
  <si>
    <t>ИП Бахтиева</t>
  </si>
  <si>
    <t>01.12</t>
  </si>
  <si>
    <t>Коммутатор 2891929, Unmanaged Ethernet Switches FL SWITCH SFN 8TX 8 COPPER WIRE PORTS</t>
  </si>
  <si>
    <t xml:space="preserve">        30 442,00 ₽ </t>
  </si>
  <si>
    <t>Разъем штекeр IFM SDOAH040VASFKPG EVF566</t>
  </si>
  <si>
    <t xml:space="preserve">          3 415,00 ₽ </t>
  </si>
  <si>
    <t>Колодка реле Degson DPSF05A-E1</t>
  </si>
  <si>
    <t xml:space="preserve">          2 905,50 ₽ </t>
  </si>
  <si>
    <t>Выключатель автоматический PKZM0-10 EATON / Moeller</t>
  </si>
  <si>
    <t xml:space="preserve">          6 020,00 ₽ </t>
  </si>
  <si>
    <t>Разъем кабельный DOS-1205-W Sick 6009720</t>
  </si>
  <si>
    <t xml:space="preserve">          1 843,50 ₽ </t>
  </si>
  <si>
    <t>Выключатель Siemens 3LD2264-1GP53</t>
  </si>
  <si>
    <t xml:space="preserve">        13 702,50 ₽ </t>
  </si>
  <si>
    <t>Расходомер жидкостей электромагнитный BURKERT 8045</t>
  </si>
  <si>
    <t xml:space="preserve">      218 440,00 ₽ </t>
  </si>
  <si>
    <t xml:space="preserve">        218 440,00 ₽ </t>
  </si>
  <si>
    <t>Штуцер цанговый NPQR-DK-G18-Q6 (NPQR-DK-G18-Q6)</t>
  </si>
  <si>
    <t xml:space="preserve">          1 450,00 ₽ </t>
  </si>
  <si>
    <t>Выключатель концевой XCMD2110L5 Schneider Electric</t>
  </si>
  <si>
    <t xml:space="preserve">        14 815,00 ₽ </t>
  </si>
  <si>
    <t>Направляющая FESTO FEN-12/16-160 GF арт 19168</t>
  </si>
  <si>
    <t xml:space="preserve">          7 280,00 ₽ </t>
  </si>
  <si>
    <t>Элемент контактный STAHL (8082/1-1-00)</t>
  </si>
  <si>
    <t xml:space="preserve">          8 390,00 ₽ </t>
  </si>
  <si>
    <t>Элемент контактный STAHL (8082/1-2-00)</t>
  </si>
  <si>
    <t>Ремкомплект пневмоцилиндра SMC CS95-80 80</t>
  </si>
  <si>
    <t xml:space="preserve">              437,00 ₽ </t>
  </si>
  <si>
    <t>Элемент фильтрующий сменный SMC AFD30P-060AS</t>
  </si>
  <si>
    <t xml:space="preserve">              873,00 ₽ </t>
  </si>
  <si>
    <t>Кабель с разъемом EVT014 ADOAH050VAS0010E05</t>
  </si>
  <si>
    <t xml:space="preserve">          4 800,00 ₽ </t>
  </si>
  <si>
    <t>Модуль Siemens 6ES7193-4CA20-0AA0</t>
  </si>
  <si>
    <t xml:space="preserve">          4 720,50 ₽ </t>
  </si>
  <si>
    <t>Мотор-редуктор SA47 DRN90S4/IS/TF SEW-EURODRIVE</t>
  </si>
  <si>
    <t xml:space="preserve">      142 285,00 ₽ </t>
  </si>
  <si>
    <t xml:space="preserve">        142 285,00 ₽ </t>
  </si>
  <si>
    <t>Катушка эл/м Bosch/rexroth 1824210243</t>
  </si>
  <si>
    <t xml:space="preserve">          7 715,00 ₽ </t>
  </si>
  <si>
    <t>Реле Siemens 3RN2012-1BW30</t>
  </si>
  <si>
    <t xml:space="preserve">        21 685,00 ₽ </t>
  </si>
  <si>
    <t>Реле PILZ PNOZ ms2p TTL арт. 773816</t>
  </si>
  <si>
    <t xml:space="preserve">      159 260,00 ₽ </t>
  </si>
  <si>
    <t>Кабель сервисный Rotronic AC3006 обновился до AC3016</t>
  </si>
  <si>
    <t xml:space="preserve">        40 965,00 ₽ </t>
  </si>
  <si>
    <t xml:space="preserve">           40 965,00 ₽ </t>
  </si>
  <si>
    <t>Блок контактов ZBE101 Telemecanique</t>
  </si>
  <si>
    <t xml:space="preserve">              860,00 ₽ </t>
  </si>
  <si>
    <t>Канистра 5 л</t>
  </si>
  <si>
    <t xml:space="preserve">          2 550,00 ₽ </t>
  </si>
  <si>
    <t>Датчики давления Wika 7139382 Eco-1</t>
  </si>
  <si>
    <t xml:space="preserve">        34 310,00 ₽ </t>
  </si>
  <si>
    <t xml:space="preserve">           68 620,00 ₽ </t>
  </si>
  <si>
    <t xml:space="preserve">          2 385,00 ₽ </t>
  </si>
  <si>
    <t xml:space="preserve">             9 540,00 ₽ </t>
  </si>
  <si>
    <t>Выключатель Schneider Electric GV3P80</t>
  </si>
  <si>
    <t xml:space="preserve">        18 642,50 ₽ </t>
  </si>
  <si>
    <t>Руслан 2</t>
  </si>
  <si>
    <t xml:space="preserve">          1 500,00 ₽ </t>
  </si>
  <si>
    <t>Привод пневматический ASR0850S12</t>
  </si>
  <si>
    <t xml:space="preserve">        84 484,00 ₽ </t>
  </si>
  <si>
    <t>Привод пневматический ASR0130S10</t>
  </si>
  <si>
    <t xml:space="preserve">        26 339,00 ₽ </t>
  </si>
  <si>
    <t>Привод пневматический ASR0850S10 NO</t>
  </si>
  <si>
    <t>Привод пневматический ASR2100S14</t>
  </si>
  <si>
    <t xml:space="preserve">      204 660,00 ₽ </t>
  </si>
  <si>
    <t>Концентратор Digi AW02-G300</t>
  </si>
  <si>
    <t xml:space="preserve">        89 825,00 ₽ </t>
  </si>
  <si>
    <t>Электромагнитный клапан для Norgren 2636247</t>
  </si>
  <si>
    <t xml:space="preserve">        25 726,00 ₽ </t>
  </si>
  <si>
    <t>Пускатель Eaton Moeller MSC-D-25-M25 (230V50HZ) арт. 283151</t>
  </si>
  <si>
    <t xml:space="preserve">        30 028,50 ₽ </t>
  </si>
  <si>
    <t>Реле Phoenix Contact REL-MR-230AC/21HC AU арт. 2961529</t>
  </si>
  <si>
    <t xml:space="preserve">          1 485,00 ₽ </t>
  </si>
  <si>
    <t xml:space="preserve">        11 461,50 ₽ </t>
  </si>
  <si>
    <t xml:space="preserve">           11 461,50 ₽ </t>
  </si>
  <si>
    <t>Пускатель 283152 MOELLER/Eaton (PKZM0-32 25-32A+PKZM0-XDM32+DILM32-10)</t>
  </si>
  <si>
    <t xml:space="preserve">        31 388,50 ₽ </t>
  </si>
  <si>
    <t xml:space="preserve">           62 777,00 ₽ </t>
  </si>
  <si>
    <t>Цилиндр FESTO ADVU-80-50-P-A-S2</t>
  </si>
  <si>
    <t xml:space="preserve">          8 955,00 ₽ </t>
  </si>
  <si>
    <t xml:space="preserve">             8 955,00 ₽ </t>
  </si>
  <si>
    <t>Цилиндр Festo DNC-40-160-PPV-A арт. 163343</t>
  </si>
  <si>
    <t xml:space="preserve">          5 275,00 ₽ </t>
  </si>
  <si>
    <t xml:space="preserve">             5 275,00 ₽ </t>
  </si>
  <si>
    <t>Цилиндр Festo ADVU-32-25-A-P-A арт. 156620</t>
  </si>
  <si>
    <t xml:space="preserve">          3 350,00 ₽ </t>
  </si>
  <si>
    <t xml:space="preserve">           10 050,00 ₽ </t>
  </si>
  <si>
    <t>Камера Xispek R201010011</t>
  </si>
  <si>
    <t xml:space="preserve">      150 400,00 ₽ </t>
  </si>
  <si>
    <t xml:space="preserve">        150 400,00 ₽ </t>
  </si>
  <si>
    <t>Реле Pilz 774730 PNOZ X4 24VDC</t>
  </si>
  <si>
    <t xml:space="preserve">        27 445,00 ₽ </t>
  </si>
  <si>
    <t xml:space="preserve">           27 445,00 ₽ </t>
  </si>
  <si>
    <t>Кабель Datalogic 93A050124 CAB-ETH-X-M05 M12-IP67 GETH-X CAB 5M</t>
  </si>
  <si>
    <t xml:space="preserve">        10 910,00 ₽ </t>
  </si>
  <si>
    <t xml:space="preserve">           10 910,00 ₽ </t>
  </si>
  <si>
    <t>Выключатель P1-25/I2/SVB/HI11 Eaton 207297</t>
  </si>
  <si>
    <t xml:space="preserve">          7 060,00 ₽ </t>
  </si>
  <si>
    <t xml:space="preserve">           28 240,00 ₽ </t>
  </si>
  <si>
    <t>Трубка ротаметра GEMU 85720SMR22341000</t>
  </si>
  <si>
    <t xml:space="preserve">          9 990,00 ₽ </t>
  </si>
  <si>
    <t xml:space="preserve">           99 900,00 ₽ </t>
  </si>
  <si>
    <t xml:space="preserve">          1 655,00 ₽ </t>
  </si>
  <si>
    <t xml:space="preserve">           33 100,00 ₽ </t>
  </si>
  <si>
    <t>Направляющая Festo EAGF-V2-KF-40-320 арт. 2783047</t>
  </si>
  <si>
    <t xml:space="preserve">        50 055,00 ₽ </t>
  </si>
  <si>
    <t xml:space="preserve">        200 220,00 ₽ </t>
  </si>
  <si>
    <t>Пневмоцилиндр Festo CRDNGS-40-250-PPV-A арт. 160891</t>
  </si>
  <si>
    <t xml:space="preserve">        30 425,00 ₽ </t>
  </si>
  <si>
    <t xml:space="preserve">        121 700,00 ₽ </t>
  </si>
  <si>
    <t xml:space="preserve">        11 710,00 ₽ </t>
  </si>
  <si>
    <t xml:space="preserve">           70 260,00 ₽ </t>
  </si>
  <si>
    <t>Фильтр Airtac GAF200-004-1 40 мкм</t>
  </si>
  <si>
    <t xml:space="preserve">          1 810,00 ₽ </t>
  </si>
  <si>
    <t>Фитинг Festo QSL-3/8-6 арт. 190660</t>
  </si>
  <si>
    <t xml:space="preserve">              104,50 ₽ </t>
  </si>
  <si>
    <t>Регулятор давления Festo LR-3/8-D-I-MINI арт. 192302</t>
  </si>
  <si>
    <t xml:space="preserve">          2 398,50 ₽ </t>
  </si>
  <si>
    <t xml:space="preserve">           47 970,00 ₽ </t>
  </si>
  <si>
    <t>Панель управления LCP 31 для VLT Danfoss 132B0200</t>
  </si>
  <si>
    <t xml:space="preserve">          8 683,50 ₽ </t>
  </si>
  <si>
    <t xml:space="preserve">           17 367,00 ₽ </t>
  </si>
  <si>
    <t>Узел подшипниковый TU 50 TF SKF</t>
  </si>
  <si>
    <t xml:space="preserve">          8 925,00 ₽ </t>
  </si>
  <si>
    <t xml:space="preserve">           17 850,00 ₽ </t>
  </si>
  <si>
    <t>Реле безопасности Siemens 3SF1324-1SD21-1BA1</t>
  </si>
  <si>
    <t xml:space="preserve">        42 790,00 ₽ </t>
  </si>
  <si>
    <t xml:space="preserve">           42 790,00 ₽ </t>
  </si>
  <si>
    <t>Источник питания QUINT-UPS 1AC 1AC 500VA арт. 2320270 Phoenix Contact</t>
  </si>
  <si>
    <t xml:space="preserve">        83 520,00 ₽ </t>
  </si>
  <si>
    <t xml:space="preserve">           83 520,00 ₽ </t>
  </si>
  <si>
    <t>Реле безопасности Siemens 3TK2821-1CB30</t>
  </si>
  <si>
    <t xml:space="preserve">        18 462,50 ₽ </t>
  </si>
  <si>
    <t xml:space="preserve">           18 462,50 ₽ </t>
  </si>
  <si>
    <t>Выключатель Schmersal ZR 256-11z-M20</t>
  </si>
  <si>
    <t xml:space="preserve">          8 065,00 ₽ </t>
  </si>
  <si>
    <t xml:space="preserve">             8 065,00 ₽ </t>
  </si>
  <si>
    <t>Электрический интерфейс Festo CPV10-GE-ASI-4E4A-M8 175732</t>
  </si>
  <si>
    <t xml:space="preserve">        14 460,00 ₽ </t>
  </si>
  <si>
    <t xml:space="preserve">           72 300,00 ₽ </t>
  </si>
  <si>
    <t>Контактор Siemens 3RT1055-6AP36</t>
  </si>
  <si>
    <t xml:space="preserve">        30 240,00 ₽ </t>
  </si>
  <si>
    <t xml:space="preserve">           30 240,00 ₽ </t>
  </si>
  <si>
    <t>Держатель бумаги Herma 616023</t>
  </si>
  <si>
    <t xml:space="preserve">              417,00 ₽ </t>
  </si>
  <si>
    <t>Шестерня Herma 70066487</t>
  </si>
  <si>
    <t xml:space="preserve">        12 232,00 ₽ </t>
  </si>
  <si>
    <t>Колесо зубчатое Herma 646542</t>
  </si>
  <si>
    <t xml:space="preserve">          2 434,00 ₽ </t>
  </si>
  <si>
    <t>Пружина растяж Herma 617879</t>
  </si>
  <si>
    <t xml:space="preserve">              724,00 ₽ </t>
  </si>
  <si>
    <t>Колесо зубчатое Herma 646515</t>
  </si>
  <si>
    <t xml:space="preserve">        10 741,00 ₽ </t>
  </si>
  <si>
    <t>Колодка тормозная Herma 70001758</t>
  </si>
  <si>
    <t xml:space="preserve">          8 330,00 ₽ </t>
  </si>
  <si>
    <t>Ролик Herma гладкий 70047506</t>
  </si>
  <si>
    <t xml:space="preserve">        11 267,00 ₽ </t>
  </si>
  <si>
    <t>Ремень зубчатый Herma 70036996</t>
  </si>
  <si>
    <t xml:space="preserve">          1 535,00 ₽ </t>
  </si>
  <si>
    <t>Ролик приводной Herma 70076151</t>
  </si>
  <si>
    <t xml:space="preserve">        44 410,00 ₽ </t>
  </si>
  <si>
    <t>Зубчатый ремень Herma 617587</t>
  </si>
  <si>
    <t xml:space="preserve">          4 713,00 ₽ </t>
  </si>
  <si>
    <t>Ролик Herma (пластик) 621370</t>
  </si>
  <si>
    <t xml:space="preserve">              242,00 ₽ </t>
  </si>
  <si>
    <t>Шкив Herma 70001191</t>
  </si>
  <si>
    <t xml:space="preserve">          6 664,00 ₽ </t>
  </si>
  <si>
    <t>Шкив Herma 70001383</t>
  </si>
  <si>
    <t xml:space="preserve">          1 206,00 ₽ </t>
  </si>
  <si>
    <t>Пружина Herma 617899</t>
  </si>
  <si>
    <t xml:space="preserve">              877,00 ₽ </t>
  </si>
  <si>
    <t>Ролик Herma 621374</t>
  </si>
  <si>
    <t xml:space="preserve">          2 324,00 ₽ </t>
  </si>
  <si>
    <t>Ролик Herma 70041147</t>
  </si>
  <si>
    <t xml:space="preserve">          5 152,00 ₽ </t>
  </si>
  <si>
    <t>Ролик Herma 70004647</t>
  </si>
  <si>
    <t xml:space="preserve">        37 549,00 ₽ </t>
  </si>
  <si>
    <t>Пружина Herma 618301</t>
  </si>
  <si>
    <t>Шкив Herma 646923</t>
  </si>
  <si>
    <t xml:space="preserve">          7 585,00 ₽ </t>
  </si>
  <si>
    <t>Ремень Herma 70040491</t>
  </si>
  <si>
    <t xml:space="preserve">          2 806,00 ₽ </t>
  </si>
  <si>
    <t>Ролик Herma 70014590</t>
  </si>
  <si>
    <t>Кабель UNITRONIC 100 21G0 34 LAPP 0028052 замена на 0028421 UNITRONIC LiYY 21x0,34</t>
  </si>
  <si>
    <t xml:space="preserve">              820,00 ₽ </t>
  </si>
  <si>
    <t xml:space="preserve">           82 000,00 ₽ </t>
  </si>
  <si>
    <t>Подшипник 6313-2Z/C3 ZWZ</t>
  </si>
  <si>
    <t xml:space="preserve">          1 150,00 ₽ </t>
  </si>
  <si>
    <t xml:space="preserve">             6 900,00 ₽ </t>
  </si>
  <si>
    <t>Разъединитель разм.00, 160A, 690В арт. 9343010 Rittal SV NH</t>
  </si>
  <si>
    <t xml:space="preserve">        20 740,00 ₽ </t>
  </si>
  <si>
    <t xml:space="preserve">           41 480,00 ₽ </t>
  </si>
  <si>
    <t>Датчик ESB-B30N Akusense</t>
  </si>
  <si>
    <t xml:space="preserve">          5 250,00 ₽ </t>
  </si>
  <si>
    <t xml:space="preserve">           10 500,00 ₽ </t>
  </si>
  <si>
    <t>Реле TOS 24VDC2A Weidmuller 1127170000</t>
  </si>
  <si>
    <t xml:space="preserve">          7 145,00 ₽ </t>
  </si>
  <si>
    <t xml:space="preserve">             7 145,00 ₽ </t>
  </si>
  <si>
    <t>Кабель канал гибкий Igus 2400.05.100 (250-05-100-0)</t>
  </si>
  <si>
    <t xml:space="preserve">        140 520,00 ₽ </t>
  </si>
  <si>
    <t>ролик 301104472930</t>
  </si>
  <si>
    <t xml:space="preserve">          4 202,00 ₽ </t>
  </si>
  <si>
    <t xml:space="preserve">           42 020,00 ₽ </t>
  </si>
  <si>
    <t>Ролик контактный 301104703760</t>
  </si>
  <si>
    <t xml:space="preserve">          6 432,00 ₽ </t>
  </si>
  <si>
    <t xml:space="preserve">        102 912,00 ₽ </t>
  </si>
  <si>
    <t>Ролик KHS X85305150</t>
  </si>
  <si>
    <t xml:space="preserve">          9 056,00 ₽ </t>
  </si>
  <si>
    <t xml:space="preserve">        217 344,00 ₽ </t>
  </si>
  <si>
    <t>Ролик Лентопротяжный 301104472870</t>
  </si>
  <si>
    <t xml:space="preserve">          5 574,00 ₽ </t>
  </si>
  <si>
    <t xml:space="preserve">           89 184,00 ₽ </t>
  </si>
  <si>
    <t>Шланг Parker Push-Lok 801-12-BLK-RL</t>
  </si>
  <si>
    <t xml:space="preserve">          1 455,00 ₽ </t>
  </si>
  <si>
    <t xml:space="preserve">           29 100,00 ₽ </t>
  </si>
  <si>
    <t>Энкодер Baumer EIL580-SC10.78N.01024.A - 11140113</t>
  </si>
  <si>
    <t xml:space="preserve">        69 870,00 ₽ </t>
  </si>
  <si>
    <t xml:space="preserve">           69 870,00 ₽ </t>
  </si>
  <si>
    <t>Дроссель с обратным клапаном Festo GR-QS-8 арт. 193970</t>
  </si>
  <si>
    <t xml:space="preserve">              780,00 ₽ </t>
  </si>
  <si>
    <t xml:space="preserve">             7 800,00 ₽ </t>
  </si>
  <si>
    <t>Клеммник DEGSON DG12HS-1.2-12P-17-00A(H) 2.5-10mm</t>
  </si>
  <si>
    <t xml:space="preserve">          1 000,00 ₽ </t>
  </si>
  <si>
    <t xml:space="preserve">             6 000,00 ₽ </t>
  </si>
  <si>
    <t>Карта памяти SSD-C25M-3500 Westem Digital Technologies. Inc</t>
  </si>
  <si>
    <t xml:space="preserve">          3 137,50 ₽ </t>
  </si>
  <si>
    <t>25.12</t>
  </si>
  <si>
    <t>Карта памяти SQF-S10S1-1G-S9C Advantech</t>
  </si>
  <si>
    <t xml:space="preserve">          5 313,50 ₽ </t>
  </si>
  <si>
    <t>Карта памяти SQF-P10S1-1G-P8E Advantech</t>
  </si>
  <si>
    <t xml:space="preserve">          3 710,50 ₽ </t>
  </si>
  <si>
    <t>Карта памяти SQF-P10S2-2G-P8E Advantech</t>
  </si>
  <si>
    <t xml:space="preserve">          2 805,50 ₽ </t>
  </si>
  <si>
    <t xml:space="preserve">        69 760,00 ₽ </t>
  </si>
  <si>
    <t xml:space="preserve">           69 760,00 ₽ </t>
  </si>
  <si>
    <t xml:space="preserve">        19 136,00 ₽ </t>
  </si>
  <si>
    <t xml:space="preserve">           76 544,00 ₽ </t>
  </si>
  <si>
    <t xml:space="preserve">          5 140,00 ₽ </t>
  </si>
  <si>
    <t xml:space="preserve">        102 800,00 ₽ </t>
  </si>
  <si>
    <t>Разъем с кабелем Leuze 50130857 KD U-M8-4A-P1-100</t>
  </si>
  <si>
    <t xml:space="preserve">          3 860,00 ₽ </t>
  </si>
  <si>
    <t xml:space="preserve">           11 580,00 ₽ </t>
  </si>
  <si>
    <t>Фланец с осью Festo SUA-50 арт. 157324</t>
  </si>
  <si>
    <t xml:space="preserve">          2 885,00 ₽ </t>
  </si>
  <si>
    <t xml:space="preserve">             5 770,00 ₽ </t>
  </si>
  <si>
    <t>Пневмоцилиндр Festo ADVU-50-60-A-P-A арт. 156643</t>
  </si>
  <si>
    <t>Опорная стойка Festo LN-50 арт. 5149</t>
  </si>
  <si>
    <t xml:space="preserve">          1 760,00 ₽ </t>
  </si>
  <si>
    <t xml:space="preserve">             1 760,00 ₽ </t>
  </si>
  <si>
    <t>Переходник Siemens 6GK15710BA000AA0</t>
  </si>
  <si>
    <t xml:space="preserve">        18 472,00 ₽ </t>
  </si>
  <si>
    <t xml:space="preserve">           18 472,00 ₽ </t>
  </si>
  <si>
    <t>Переходник Siemens 6ES79720CB200XA0</t>
  </si>
  <si>
    <t xml:space="preserve">          7 180,00 ₽ </t>
  </si>
  <si>
    <t xml:space="preserve">             7 180,00 ₽ </t>
  </si>
  <si>
    <t>Контактор DILM32-10 277260 EATON/MOELLER</t>
  </si>
  <si>
    <t xml:space="preserve">          9 610,00 ₽ </t>
  </si>
  <si>
    <t xml:space="preserve">             9 610,00 ₽ </t>
  </si>
  <si>
    <t>Автомат защ PKE32/XTU-32 Moeller 121734</t>
  </si>
  <si>
    <t xml:space="preserve">        32 780,00 ₽ </t>
  </si>
  <si>
    <t xml:space="preserve">           32 780,00 ₽ </t>
  </si>
  <si>
    <t>Переключатель с замком ЕАО 14-136.025K2</t>
  </si>
  <si>
    <t xml:space="preserve">        19 925,00 ₽ </t>
  </si>
  <si>
    <t xml:space="preserve">           39 850,00 ₽ </t>
  </si>
  <si>
    <t>Соединение угловое резьбовое SMC KQG2L06-M5</t>
  </si>
  <si>
    <t xml:space="preserve">          1 560,00 ₽ </t>
  </si>
  <si>
    <t>Коннектор IBS STME 24 BK-T арт. 2754367 Phoenix Contact</t>
  </si>
  <si>
    <t xml:space="preserve">        81 560,00 ₽ </t>
  </si>
  <si>
    <t xml:space="preserve">           81 560,00 ₽ </t>
  </si>
  <si>
    <t>Реле DEGSON DRPS-1C-D24-06Z(H)</t>
  </si>
  <si>
    <t xml:space="preserve">          2 880,00 ₽ </t>
  </si>
  <si>
    <t xml:space="preserve">             5 760,00 ₽ </t>
  </si>
  <si>
    <t>Катушка AVENTICS R422003028 (Bosch 1824210280)</t>
  </si>
  <si>
    <t xml:space="preserve">        40 980,00 ₽ </t>
  </si>
  <si>
    <t xml:space="preserve">           40 980,00 ₽ </t>
  </si>
  <si>
    <t>Вставка плавкая Siemens 3NE1227-0</t>
  </si>
  <si>
    <t xml:space="preserve">          5 300,00 ₽ </t>
  </si>
  <si>
    <t xml:space="preserve">           15 900,00 ₽ </t>
  </si>
  <si>
    <t xml:space="preserve">          3 400,00 ₽ </t>
  </si>
  <si>
    <t xml:space="preserve">        108 800,00 ₽ </t>
  </si>
  <si>
    <t>Индикатор 5308843 SICK</t>
  </si>
  <si>
    <t xml:space="preserve">          6 357,50 ₽ </t>
  </si>
  <si>
    <t xml:space="preserve">             6 357,50 ₽ </t>
  </si>
  <si>
    <t>Фильтр PSRF C15/30</t>
  </si>
  <si>
    <t xml:space="preserve">        12 585,00 ₽ </t>
  </si>
  <si>
    <t xml:space="preserve">           25 170,00 ₽ </t>
  </si>
  <si>
    <t>Устройство плавного пуска Danfoss MCD 201-015-T4-CV3 175G5166</t>
  </si>
  <si>
    <t xml:space="preserve">        51 200,00 ₽ </t>
  </si>
  <si>
    <t xml:space="preserve">        102 400,00 ₽ </t>
  </si>
  <si>
    <t>Датчик Endress+Hauser FTL31-GR4V3AAWBJ</t>
  </si>
  <si>
    <t xml:space="preserve">        44 455,00 ₽ </t>
  </si>
  <si>
    <t xml:space="preserve">           44 455,00 ₽ </t>
  </si>
  <si>
    <t xml:space="preserve">        40 092,00 ₽ </t>
  </si>
  <si>
    <t xml:space="preserve">        120 276,00 ₽ </t>
  </si>
  <si>
    <t>Мотор-редуктор SEW SA37/T DRN71MS4</t>
  </si>
  <si>
    <t xml:space="preserve">      157 330,00 ₽ </t>
  </si>
  <si>
    <t xml:space="preserve">        157 330,00 ₽ </t>
  </si>
  <si>
    <t>Карта памяти 5CFCRD.0512-04/ SSD-C512M-01-0101 B&amp;R</t>
  </si>
  <si>
    <t xml:space="preserve">      103 956,50 ₽ </t>
  </si>
  <si>
    <t xml:space="preserve">        831 652,00 ₽ </t>
  </si>
  <si>
    <t>Линейный привод FESTO DGC-32-1025-KF-YSRW-A арт. 532448</t>
  </si>
  <si>
    <t xml:space="preserve">        83 962,50 ₽ </t>
  </si>
  <si>
    <t xml:space="preserve">        167 925,00 ₽ </t>
  </si>
  <si>
    <t>Трубка полиуретановая FESTO PUN-H-12X2-BL арт. 197387</t>
  </si>
  <si>
    <t xml:space="preserve">              127,50 ₽ </t>
  </si>
  <si>
    <t xml:space="preserve">             6 375,00 ₽ </t>
  </si>
  <si>
    <t>Карта памяти 5CFCRD.1024-04 / SSD-C001G-01-0101 B&amp;R</t>
  </si>
  <si>
    <t xml:space="preserve">        66 136,50 ₽ </t>
  </si>
  <si>
    <t xml:space="preserve">           66 136,50 ₽ </t>
  </si>
  <si>
    <t xml:space="preserve">        20 490,00 ₽ </t>
  </si>
  <si>
    <t xml:space="preserve">           20 490,00 ₽ </t>
  </si>
  <si>
    <t xml:space="preserve">        26 480,00 ₽ </t>
  </si>
  <si>
    <t xml:space="preserve">        105 920,00 ₽ </t>
  </si>
  <si>
    <t>Выключатель безопасности AZ 16-02ZVK-M16 Schmersal</t>
  </si>
  <si>
    <t>Катушка электромагнитная FESTO MEH-3-24V DC арт. 107107</t>
  </si>
  <si>
    <t xml:space="preserve">          4 950,00 ₽ </t>
  </si>
  <si>
    <t xml:space="preserve">             9 900,00 ₽ </t>
  </si>
  <si>
    <t xml:space="preserve">        12 750,00 ₽ </t>
  </si>
  <si>
    <t xml:space="preserve">           12 750,00 ₽ </t>
  </si>
  <si>
    <t>Кабель KHS 301999958660</t>
  </si>
  <si>
    <t xml:space="preserve">        65 375,00 ₽ </t>
  </si>
  <si>
    <t xml:space="preserve">           65 375,00 ₽ </t>
  </si>
  <si>
    <t>Кабель KHS 301268895280</t>
  </si>
  <si>
    <t xml:space="preserve">        61 475,00 ₽ </t>
  </si>
  <si>
    <t xml:space="preserve">           61 475,00 ₽ </t>
  </si>
  <si>
    <t>Помпа JYY B-Y-10-I (24 В, 3 Вт)</t>
  </si>
  <si>
    <t xml:space="preserve">           13 800,00 ₽ </t>
  </si>
  <si>
    <t>Клапан MS6-SV-1/2-E-10V24-SO-AD1-MP1 FESTO арт. 548713</t>
  </si>
  <si>
    <t xml:space="preserve">        75 755,00 ₽ </t>
  </si>
  <si>
    <t xml:space="preserve">           75 755,00 ₽ </t>
  </si>
  <si>
    <t>Пневмоцилиндр Festo DNCB 40-160 PPV-A</t>
  </si>
  <si>
    <t xml:space="preserve">          2 685,00 ₽ </t>
  </si>
  <si>
    <t xml:space="preserve">             2 685,00 ₽ </t>
  </si>
  <si>
    <t>Контактор LC1D95M7 Schneider Electric</t>
  </si>
  <si>
    <t xml:space="preserve">        13 965,00 ₽ </t>
  </si>
  <si>
    <t xml:space="preserve">           13 965,00 ₽ </t>
  </si>
  <si>
    <t>Двухдвигательный силовой модуль Siemens 6SL3120-2TE21-8AC0</t>
  </si>
  <si>
    <t xml:space="preserve">      172 770,00 ₽ </t>
  </si>
  <si>
    <t xml:space="preserve">        172 770,00 ₽ </t>
  </si>
  <si>
    <t>Реле PNOZ m EF 16DI PILZ арт. 772140</t>
  </si>
  <si>
    <t xml:space="preserve">        17 185,00 ₽ </t>
  </si>
  <si>
    <t xml:space="preserve">           17 185,00 ₽ </t>
  </si>
  <si>
    <t>Контактор Siemens 3RT1026-1AP00</t>
  </si>
  <si>
    <t xml:space="preserve">          8 705,00 ₽ </t>
  </si>
  <si>
    <t xml:space="preserve">           26 115,00 ₽ </t>
  </si>
  <si>
    <t xml:space="preserve">          1 800,00 ₽ </t>
  </si>
  <si>
    <t xml:space="preserve">             5 400,00 ₽ </t>
  </si>
  <si>
    <t>Автомат защиты Eaton Moeller PKZMO-25</t>
  </si>
  <si>
    <t xml:space="preserve">        12 445,00 ₽ </t>
  </si>
  <si>
    <t xml:space="preserve">           24 890,00 ₽ </t>
  </si>
  <si>
    <t xml:space="preserve">        177 820,00 ₽ </t>
  </si>
  <si>
    <t>Катушка электромагнита 018F6757 Danfoss 1013689</t>
  </si>
  <si>
    <t xml:space="preserve">          9 892,50 ₽ </t>
  </si>
  <si>
    <t xml:space="preserve">             9 892,50 ₽ </t>
  </si>
  <si>
    <t>Дополнительный контакт NHI21-PKZ0 Eaton</t>
  </si>
  <si>
    <t xml:space="preserve">          4 551,50 ₽ </t>
  </si>
  <si>
    <t xml:space="preserve">             4 551,50 ₽ </t>
  </si>
  <si>
    <t>Модуль безопасности AS-I ClassicLine AC2505 Артикул: ClassicLine45 4DI M12</t>
  </si>
  <si>
    <t xml:space="preserve">        37 038,00 ₽ </t>
  </si>
  <si>
    <t xml:space="preserve">        185 190,00 ₽ </t>
  </si>
  <si>
    <t>за шт в руб без НДС</t>
  </si>
  <si>
    <t>6 ноябяр</t>
  </si>
  <si>
    <t>5 ноябяр</t>
  </si>
  <si>
    <t>2 октября</t>
  </si>
  <si>
    <t>Батарея ПЛК 6ES7291-8BA20-0XA0 для карты памяти Siemens S7-200 CPU 8BA20 224XP</t>
  </si>
  <si>
    <t>1 октября</t>
  </si>
  <si>
    <t>Отвертка плоская шлицевая Felo для точных работ, 3,0X0,5X60 24003360</t>
  </si>
  <si>
    <t>Растворитель ржавчины Rust-Crack 400мл</t>
  </si>
  <si>
    <t>9 декабря</t>
  </si>
  <si>
    <t>Ручка шарового крана Letaosk SW9 9 мм</t>
  </si>
  <si>
    <t>28 ноября</t>
  </si>
  <si>
    <t>Спиральная обмотка для проводов, оплетка для кабеля, шланга (серый, 22 мм, 2 м)</t>
  </si>
  <si>
    <t>Тестер Duoyi DY28 Диагностика свечей и проводов зажигания автомобиля, 220V</t>
  </si>
  <si>
    <t>17 декабря</t>
  </si>
  <si>
    <t>Шприц вакуумный с шкалой</t>
  </si>
  <si>
    <t>12 ноября</t>
  </si>
  <si>
    <t>Экраны защитные для точильного станка для глаз, 2 шт., с кронштейном</t>
  </si>
  <si>
    <t>Насадка для мойки высокого давления</t>
  </si>
  <si>
    <t>Укупорочный патрон 2022571 ZALKIN</t>
  </si>
  <si>
    <t>6 октября</t>
  </si>
  <si>
    <t>Аксессуар для защитных очков</t>
  </si>
  <si>
    <t>Кран шаровый ф/ф DN 050 PN 40 БРОЕН</t>
  </si>
  <si>
    <t>24 октября</t>
  </si>
  <si>
    <t>Кран шаровый ф/ф DN 080 PN 25 БРОЕН</t>
  </si>
  <si>
    <t>ШТУЦЕР СПЕЦ. Д15,5 ЕЛКА (нерж)</t>
  </si>
  <si>
    <t>15 декабря</t>
  </si>
  <si>
    <t>Ролик заслонки DN80 Huppman 105275 (комплект)</t>
  </si>
  <si>
    <t>шт</t>
  </si>
  <si>
    <t>без ндс за шт</t>
  </si>
  <si>
    <t>сумма</t>
  </si>
  <si>
    <t>Сумма</t>
  </si>
  <si>
    <t>8 декабря</t>
  </si>
  <si>
    <t>ИТОГО</t>
  </si>
  <si>
    <t>Кол-во</t>
  </si>
  <si>
    <t>Продажа сумма без НДС</t>
  </si>
  <si>
    <t>Закупка сумма без НДС</t>
  </si>
  <si>
    <t>Примечание</t>
  </si>
  <si>
    <t>Дата</t>
  </si>
  <si>
    <t>Кол.</t>
  </si>
  <si>
    <t>?</t>
  </si>
  <si>
    <t>Июль</t>
  </si>
  <si>
    <t>19.01</t>
  </si>
  <si>
    <t>12.01</t>
  </si>
  <si>
    <t>13.01</t>
  </si>
  <si>
    <t>21.01</t>
  </si>
  <si>
    <t>Пневмоцилиндр Festo ADN-20-20-A-P-A -S20 арт. 536233</t>
  </si>
  <si>
    <t>20.01</t>
  </si>
  <si>
    <t>Телекоммуникационный шкаф</t>
  </si>
  <si>
    <t>Озон наличка</t>
  </si>
  <si>
    <t>Удлинительный соединитель для шланга мойки высокого давления M22 14 мм - 15 мм</t>
  </si>
  <si>
    <t>ИП Филиппов</t>
  </si>
  <si>
    <t>09.01</t>
  </si>
  <si>
    <t>ИП</t>
  </si>
  <si>
    <t>16.01</t>
  </si>
  <si>
    <t>Суммы</t>
  </si>
  <si>
    <t>кол-во в шт</t>
  </si>
  <si>
    <t>цена с ндс за шт</t>
  </si>
  <si>
    <t>сумма с ндс</t>
  </si>
  <si>
    <t> </t>
  </si>
  <si>
    <t>цена без ндс за шт</t>
  </si>
  <si>
    <t>сумма без ндс</t>
  </si>
  <si>
    <t>Апрель</t>
  </si>
  <si>
    <t>24.04</t>
  </si>
  <si>
    <t>Вал шлицевой (ведомый)</t>
  </si>
  <si>
    <t>03.04</t>
  </si>
  <si>
    <t>Винт + втулка-шестерня</t>
  </si>
  <si>
    <t>Втулка Sidel 01127391001</t>
  </si>
  <si>
    <t>09.04</t>
  </si>
  <si>
    <t>Выключатель XCKJ10541H29 Schneider Electric (XCKJ10541H29C=ZCKJ1H29C+ZCKE05C+ZCKY41C)</t>
  </si>
  <si>
    <t>08.04</t>
  </si>
  <si>
    <t>Датчик оптический Leuze IPRK 95/44 L.5 50034512 </t>
  </si>
  <si>
    <t>Датчик оптический Leuze PRK 18/24 DL.46 50032798</t>
  </si>
  <si>
    <t>Держатель ролик. копира KHS K0075087000</t>
  </si>
  <si>
    <t>21.04</t>
  </si>
  <si>
    <t>02.04</t>
  </si>
  <si>
    <t>Клапан SMC VQD1121-5LO-M5 </t>
  </si>
  <si>
    <t>Клапан VQZ225Y-5M0 SMC</t>
  </si>
  <si>
    <t>08.04 и 22.04</t>
  </si>
  <si>
    <t>Комплект ходового вала (Шестерня, бронзовая втулка, гайка, шпонка)</t>
  </si>
  <si>
    <t>Комплект шестерен Krones 0900890138</t>
  </si>
  <si>
    <t>Лямбда-зонт 12895 MESA MeB-undRegeltechnik</t>
  </si>
  <si>
    <t>22.04</t>
  </si>
  <si>
    <t>Модуль SM-Ethernet card </t>
  </si>
  <si>
    <t>Направляющая кривая KHS К0053811000</t>
  </si>
  <si>
    <t>Насос LINDE 0009812529</t>
  </si>
  <si>
    <t>О-Кольцо 1295 EPDM Filtrox 103469</t>
  </si>
  <si>
    <t>Переключатель Festo N-22-SW  арт. 9301</t>
  </si>
  <si>
    <t>Плата Danfoss MCA 120 PROFINET 130B1135 </t>
  </si>
  <si>
    <t>Пневмораспределитель Festo VUVG L18-M52-MT-G14-1P3</t>
  </si>
  <si>
    <t>25.04</t>
  </si>
  <si>
    <t>Пневмоцилиндр CRDNG-40-17-PPV-A арт. 160885 Festo </t>
  </si>
  <si>
    <t>Пневмоцилиндр Festo ADNGF-20-30-P-A арт. 554225</t>
  </si>
  <si>
    <t>04.04</t>
  </si>
  <si>
    <t>Преобразователь частоты Control TechniquesEmerson Unidrive SP 1403</t>
  </si>
  <si>
    <t>Пружина сжатия KHS K0150002676</t>
  </si>
  <si>
    <t>Спросить у Ольги</t>
  </si>
  <si>
    <t>Регулятор давления SMC AR10-M5H-A</t>
  </si>
  <si>
    <t>Реле времени Реле и Автоматика, переключатель звезда-треугольник ВЛ-32М1 A8223-76911199</t>
  </si>
  <si>
    <t>Рычаг ZCKY41 Schneider Electric </t>
  </si>
  <si>
    <t>Система видеонаблюдения 26122304450_GUAN_G5J7B7</t>
  </si>
  <si>
    <t>14.04</t>
  </si>
  <si>
    <t>Статор SP-38-02 xNBR</t>
  </si>
  <si>
    <t>29.04</t>
  </si>
  <si>
    <t>Стержень KHS K0150002553</t>
  </si>
  <si>
    <t>Устройство поддержки бутылок (нерж. сталь)</t>
  </si>
  <si>
    <t>Фитинг CRQSL1/4-6</t>
  </si>
  <si>
    <t>Фитинг CRQSL1/8-4</t>
  </si>
  <si>
    <t>Фитинг CRQSL1/8-6</t>
  </si>
  <si>
    <t>Фитинг Linde 0009512745</t>
  </si>
  <si>
    <t>Цилиндр  DSNU25250PPVA</t>
  </si>
  <si>
    <t>Циркуляционная система смазки KHS 301148069220</t>
  </si>
  <si>
    <t>Шарнирная головка SGS-M6 Festo </t>
  </si>
  <si>
    <t>Шестерня (32зуба)</t>
  </si>
  <si>
    <t>Шестерня насоса 1М63</t>
  </si>
  <si>
    <t>Шестерня привода насоса 1М63</t>
  </si>
  <si>
    <t>не оприходованна</t>
  </si>
  <si>
    <t>Май</t>
  </si>
  <si>
    <t>25.06</t>
  </si>
  <si>
    <t>Техкомп на 26.05</t>
  </si>
  <si>
    <t>Промоборудование</t>
  </si>
  <si>
    <t>Техкомп</t>
  </si>
  <si>
    <t>13.05</t>
  </si>
  <si>
    <t>Датчик температуры Anderson-negele TSMF /N01/X/6/0100/06/4/0/0/H/10C/4</t>
  </si>
  <si>
    <t>ПромНГС</t>
  </si>
  <si>
    <t>Клапан 1/2 Festo 1002513</t>
  </si>
  <si>
    <t>Клапан Rexroth 5811230000</t>
  </si>
  <si>
    <t>Клапан вакуумный KHS K0140100836</t>
  </si>
  <si>
    <t>Клапан воздушный Masoneilan 08-80H для клапана регулирующего</t>
  </si>
  <si>
    <t>27.06</t>
  </si>
  <si>
    <t>Клапан воздушный Masoneilan 78-80H для клапана регулирующего</t>
  </si>
  <si>
    <t>Кнопка XB4BW36B1 Schneider Electric Dуст. 22мм, 1НО+1НЗ, LED подсветка 24V AC/DC, синий</t>
  </si>
  <si>
    <t>Комплект ремонтный FESTO (383850) кмп FESTO (383850) DSR/L-32-180-P - 12</t>
  </si>
  <si>
    <t>Модуль 6ES7 135-6HD00-0BA1 Siemens</t>
  </si>
  <si>
    <t>Модуль 6ES7193-6PA00-0AA0 Siemens 301268753771</t>
  </si>
  <si>
    <t>Модуль Metso Automation D200425</t>
  </si>
  <si>
    <t>26.06</t>
  </si>
  <si>
    <t>Модуль SM331 AI8xRTD 16Bit Siemens 6ES7331-7PF01-0AB0</t>
  </si>
  <si>
    <t>Модуль интерфейсный IM151-1 ET 200S Profibus-DP</t>
  </si>
  <si>
    <t>Мото-редуктор SEW SA57 DRN100LS4/TF/0S1 (по фото)</t>
  </si>
  <si>
    <t>Промнгс 15.05</t>
  </si>
  <si>
    <t>Насос пластинчатый SVPF-12-35-20 YUKEN</t>
  </si>
  <si>
    <t>Насос роторный 103E100F31BA170 psi PROCON</t>
  </si>
  <si>
    <t>Пневматический цилиндр ход поршня 265 мм IMI Norgren  М/31142</t>
  </si>
  <si>
    <t>Пневмопилот MFH-5-1/4 Festo 6211</t>
  </si>
  <si>
    <t>Пневмораспределитель 7959 V302 Festo MFH-3-1/4-S</t>
  </si>
  <si>
    <t>Пневмоцилиндр CDJP286-10D</t>
  </si>
  <si>
    <t>Пневмоцилиндр CDQ2825-25DZ</t>
  </si>
  <si>
    <t>Пневмоцилиндр CDQ2B32-20DZ-XC8</t>
  </si>
  <si>
    <t>Пневмоцилиндр CDQ2B32-30DZ-XC8</t>
  </si>
  <si>
    <t>Пневмоцилиндр CDU10-15D</t>
  </si>
  <si>
    <t>Пневмоцилиндр CDU10-20D</t>
  </si>
  <si>
    <t>Пневмоцилиндр CDU25-15D</t>
  </si>
  <si>
    <t>Пневмоцилиндр L-CDQ2B12-15DZ-XC8</t>
  </si>
  <si>
    <t xml:space="preserve">Промнгс </t>
  </si>
  <si>
    <t>Пневмошланг полимерный FESTO PUN-8х1,25-BL (159666)</t>
  </si>
  <si>
    <t>Позиционер SAMSON</t>
  </si>
  <si>
    <t>Профиль МА900942.1</t>
  </si>
  <si>
    <t>Профиль МА900942.2</t>
  </si>
  <si>
    <t>Распределитель Festo CPE10-M1BH-30L * 5А 711555 К102</t>
  </si>
  <si>
    <t>Распределитель VUVG-B10-T32UAZT-F-1T1L FESTO 573411</t>
  </si>
  <si>
    <t>Техкомп на 20.05</t>
  </si>
  <si>
    <t>Реле бустерное Fairchild 4514А для клапана регулирующего</t>
  </si>
  <si>
    <t>Ремень 0955299261 Krones AG</t>
  </si>
  <si>
    <t>Техкомп на 27.05</t>
  </si>
  <si>
    <t>Сервопривод COSMOS 3000 SMI EG100723</t>
  </si>
  <si>
    <t>Уплотнительная шайба X56039020 KHS</t>
  </si>
  <si>
    <t>Цифровой модуль вывода 6ES7 132-6BF00-0BA0 Siemens</t>
  </si>
  <si>
    <t>Шланг политетрафторэтиленовые FESTO PTFEN-8х1-NT (8061173)</t>
  </si>
  <si>
    <t>Эжектор VAD-3/8 Festo 19294</t>
  </si>
  <si>
    <t>Электромагнитный клапан 032U7132 Danfoss</t>
  </si>
  <si>
    <t>Электромагнитный клапан 032U7140 Danfoss</t>
  </si>
  <si>
    <t>06.05</t>
  </si>
  <si>
    <t>Даян</t>
  </si>
  <si>
    <t>07.05</t>
  </si>
  <si>
    <t>12.05</t>
  </si>
  <si>
    <t>15.05</t>
  </si>
  <si>
    <t>Промнгс</t>
  </si>
  <si>
    <t>16.05</t>
  </si>
  <si>
    <t>19.05</t>
  </si>
  <si>
    <t>20.05</t>
  </si>
  <si>
    <t>23.05</t>
  </si>
  <si>
    <t>26.05</t>
  </si>
  <si>
    <t>Июнь</t>
  </si>
  <si>
    <t>Комплект цепей K0140088952SA (K0140088952) KHS</t>
  </si>
  <si>
    <t>Кронштейн K0075086000 KHS</t>
  </si>
  <si>
    <t>Направляющая K0053810000 KHS</t>
  </si>
  <si>
    <t>Нарукавники защитные, серые, длина 450 мм</t>
  </si>
  <si>
    <t>Озон</t>
  </si>
  <si>
    <t>Насос дозирующий SEKO MS1C138B31C4000</t>
  </si>
  <si>
    <t>Сигнальный Маяк</t>
  </si>
  <si>
    <t>Упд №             от 01.04.25</t>
  </si>
  <si>
    <t>Перенесено на ИП</t>
  </si>
  <si>
    <t>Упд №              от 02.04.25</t>
  </si>
  <si>
    <t>Упд №              от 03.04.25</t>
  </si>
  <si>
    <t>Упд №             от 04.04.25</t>
  </si>
  <si>
    <t>Упд №                 от 07.04.25</t>
  </si>
  <si>
    <t>Упд №                 от 08.04.25</t>
  </si>
  <si>
    <t>Упд №                 от 09.04.25</t>
  </si>
  <si>
    <t>Упд №                 от 17.04.25</t>
  </si>
  <si>
    <t>Упд №                от 21.04.25</t>
  </si>
  <si>
    <t>Упд №                 от 24.04.25</t>
  </si>
  <si>
    <t>Упд №                 от 25.04.25</t>
  </si>
  <si>
    <t>Упд №             от 19.05.25</t>
  </si>
  <si>
    <t>перенесено ИП</t>
  </si>
  <si>
    <t>Упд №             от 20.05.25</t>
  </si>
  <si>
    <t>Упд №             от 26.05.25</t>
  </si>
  <si>
    <t>Перенесено Даян</t>
  </si>
  <si>
    <t>Упд №             от 27.05.25</t>
  </si>
  <si>
    <t>Упд №              от 06.05.25</t>
  </si>
  <si>
    <t>на ИП</t>
  </si>
  <si>
    <t>Упд №              от 12.05.25</t>
  </si>
  <si>
    <t>на Даян</t>
  </si>
  <si>
    <t>Упд №              от 15.05.25</t>
  </si>
  <si>
    <t>Упд №              от 19.05.25</t>
  </si>
  <si>
    <t>Сумма Май</t>
  </si>
  <si>
    <t>Упд №             от 05.05.25</t>
  </si>
  <si>
    <t>Упд №             от 06.05.25</t>
  </si>
  <si>
    <t>Упд №             от 07.05.25</t>
  </si>
  <si>
    <t>Упд №             от 12.05.25</t>
  </si>
  <si>
    <t>Упд №             от 16.05.25</t>
  </si>
  <si>
    <t>Упд №             от 23.05.25</t>
  </si>
  <si>
    <t>Общая</t>
  </si>
  <si>
    <t>Упд №             от 15.05.25</t>
  </si>
  <si>
    <t>Сумма МАЙ</t>
  </si>
  <si>
    <t>Упд №             от 16.06.25</t>
  </si>
  <si>
    <t>Упд №             от 10.06.25</t>
  </si>
  <si>
    <t>Сумма ИЮНЬ</t>
  </si>
  <si>
    <t>Упд №             от 09.06.25</t>
  </si>
  <si>
    <t>Упд №              от 10.06.25</t>
  </si>
  <si>
    <t>Упд №              от 02.06.25</t>
  </si>
  <si>
    <t>Упд №              от 05.06.25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</si>
</sst>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₽;[Red]\-#,##0\ \₽"/>
    <numFmt numFmtId="165" formatCode="#,##0.00\ \₽;[Red]\-#,##0.00\ \₽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8"/>
      <name val="Arial"/>
    </font>
    <font>
      <sz val="11"/>
      <name val="Calibri"/>
    </font>
    <font>
      <sz val="11"/>
      <name val="Calibri"/>
    </font>
    <font>
      <sz val="9"/>
      <color indexed="64"/>
      <name val="Arial"/>
    </font>
    <font>
      <sz val="11"/>
      <color theme="1"/>
      <name val="Calibri"/>
      <scheme val="minor"/>
    </font>
    <font>
      <sz val="9"/>
      <name val="Arial"/>
    </font>
    <font>
      <sz val="9"/>
      <name val="Arial"/>
    </font>
    <font>
      <sz val="11"/>
      <name val="Arial"/>
    </font>
    <font>
      <sz val="9"/>
      <color indexed="2"/>
      <name val="Arial"/>
    </font>
    <font>
      <sz val="10"/>
      <name val="Arial"/>
    </font>
    <font>
      <b/>
      <sz val="11"/>
      <name val="Calibri"/>
    </font>
    <font>
      <sz val="8"/>
      <name val="Arial"/>
    </font>
    <font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indexed="2"/>
        <bgColor indexed="2"/>
      </patternFill>
    </fill>
    <fill>
      <patternFill patternType="solid">
        <fgColor rgb="FFF0F6EF"/>
        <bgColor rgb="FFF0F6EF"/>
      </patternFill>
    </fill>
  </fills>
  <borders count="25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 style="thin">
        <color rgb="FFACC8BD"/>
      </right>
      <top/>
      <bottom style="thin">
        <color rgb="FFACC8BD"/>
      </bottom>
      <diagonal/>
    </border>
    <border>
      <left style="thin">
        <color rgb="FFACC8BD"/>
      </left>
      <right style="thin">
        <color rgb="FFACC8BD"/>
      </right>
      <top/>
      <bottom/>
      <diagonal/>
    </border>
    <border>
      <left/>
      <right style="thin">
        <color rgb="FFACC8BD"/>
      </right>
      <top/>
      <bottom/>
      <diagonal/>
    </border>
    <border>
      <left/>
      <right style="thin">
        <color rgb="FFACC8BD"/>
      </right>
      <top/>
      <bottom style="thin">
        <color rgb="FFACC8BD"/>
      </bottom>
      <diagonal/>
    </border>
    <border>
      <left/>
      <right style="thin">
        <color auto="1"/>
      </right>
      <top style="thin">
        <color auto="1"/>
      </top>
      <bottom style="thin">
        <color rgb="FFACC8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CC8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ACC8BD"/>
      </left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auto="1"/>
      </bottom>
      <diagonal/>
    </border>
    <border>
      <left style="thin">
        <color rgb="FFACC8BD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ACC8BD"/>
      </top>
      <bottom/>
      <diagonal/>
    </border>
    <border>
      <left style="thin">
        <color rgb="FFACC8BD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0" fillId="5" borderId="0" xfId="0" applyFill="1"/>
    <xf numFmtId="0" fontId="0" fillId="3" borderId="0" xfId="0" applyFill="1" applyAlignment="1">
      <alignment wrapText="1"/>
    </xf>
    <xf numFmtId="0" fontId="0" fillId="6" borderId="0" xfId="0" applyFill="1"/>
    <xf numFmtId="0" fontId="0" fillId="7" borderId="0" xfId="0" applyFill="1"/>
    <xf numFmtId="1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8" borderId="0" xfId="0" applyFill="1"/>
    <xf numFmtId="14" fontId="0" fillId="0" borderId="0" xfId="0" applyNumberFormat="1"/>
    <xf numFmtId="0" fontId="0" fillId="9" borderId="0" xfId="0" applyFill="1"/>
    <xf numFmtId="0" fontId="0" fillId="8" borderId="0" xfId="0" applyFill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4" fillId="3" borderId="0" xfId="0" applyNumberFormat="1" applyFont="1" applyFill="1" applyAlignment="1">
      <alignment horizontal="right"/>
    </xf>
    <xf numFmtId="2" fontId="0" fillId="3" borderId="0" xfId="0" applyNumberFormat="1" applyFill="1"/>
    <xf numFmtId="1" fontId="0" fillId="3" borderId="0" xfId="0" applyNumberFormat="1" applyFill="1"/>
    <xf numFmtId="14" fontId="4" fillId="0" borderId="0" xfId="0" applyNumberFormat="1" applyFont="1" applyAlignment="1">
      <alignment horizontal="center"/>
    </xf>
    <xf numFmtId="164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/>
    </xf>
    <xf numFmtId="0" fontId="6" fillId="3" borderId="0" xfId="0" applyFont="1" applyFill="1"/>
    <xf numFmtId="0" fontId="6" fillId="0" borderId="0" xfId="0" applyFont="1"/>
    <xf numFmtId="14" fontId="0" fillId="3" borderId="0" xfId="0" applyNumberFormat="1" applyFill="1" applyAlignment="1">
      <alignment horizontal="left"/>
    </xf>
    <xf numFmtId="0" fontId="4" fillId="5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14" fontId="4" fillId="4" borderId="0" xfId="0" applyNumberFormat="1" applyFont="1" applyFill="1" applyAlignment="1">
      <alignment horizontal="right"/>
    </xf>
    <xf numFmtId="2" fontId="0" fillId="4" borderId="0" xfId="0" applyNumberFormat="1" applyFill="1"/>
    <xf numFmtId="1" fontId="0" fillId="4" borderId="0" xfId="0" applyNumberFormat="1" applyFill="1"/>
    <xf numFmtId="14" fontId="0" fillId="4" borderId="0" xfId="0" applyNumberFormat="1" applyFill="1" applyAlignment="1">
      <alignment horizontal="left"/>
    </xf>
    <xf numFmtId="14" fontId="4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5" borderId="0" xfId="0" applyFont="1" applyFill="1" applyAlignment="1">
      <alignment horizontal="left" wrapText="1"/>
    </xf>
    <xf numFmtId="2" fontId="4" fillId="3" borderId="0" xfId="0" applyNumberFormat="1" applyFont="1" applyFill="1" applyAlignment="1">
      <alignment horizontal="left"/>
    </xf>
    <xf numFmtId="0" fontId="7" fillId="3" borderId="1" xfId="0" applyFont="1" applyFill="1" applyBorder="1" applyAlignment="1">
      <alignment horizontal="left" vertical="top" wrapText="1"/>
    </xf>
    <xf numFmtId="3" fontId="0" fillId="3" borderId="0" xfId="0" applyNumberFormat="1" applyFill="1"/>
    <xf numFmtId="3" fontId="0" fillId="0" borderId="0" xfId="0" applyNumberFormat="1"/>
    <xf numFmtId="0" fontId="7" fillId="10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horizontal="left" vertical="top"/>
    </xf>
    <xf numFmtId="0" fontId="7" fillId="0" borderId="2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6" xfId="0" applyBorder="1"/>
    <xf numFmtId="0" fontId="9" fillId="0" borderId="1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/>
    </xf>
    <xf numFmtId="1" fontId="8" fillId="0" borderId="0" xfId="0" applyNumberFormat="1" applyFont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10" fillId="0" borderId="4" xfId="0" applyFont="1" applyBorder="1" applyAlignment="1">
      <alignment horizontal="right" vertical="top" wrapText="1"/>
    </xf>
    <xf numFmtId="1" fontId="0" fillId="8" borderId="0" xfId="0" applyNumberFormat="1" applyFill="1"/>
    <xf numFmtId="0" fontId="3" fillId="4" borderId="8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right" vertical="center"/>
    </xf>
    <xf numFmtId="1" fontId="3" fillId="0" borderId="1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wrapText="1"/>
    </xf>
    <xf numFmtId="1" fontId="3" fillId="0" borderId="1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12" fillId="0" borderId="0" xfId="0" applyNumberFormat="1" applyFont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top" wrapText="1"/>
    </xf>
    <xf numFmtId="1" fontId="11" fillId="0" borderId="10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right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0" fontId="3" fillId="4" borderId="16" xfId="0" applyFont="1" applyFill="1" applyBorder="1" applyAlignment="1">
      <alignment horizontal="left" vertical="center" wrapText="1"/>
    </xf>
    <xf numFmtId="1" fontId="11" fillId="0" borderId="12" xfId="0" applyNumberFormat="1" applyFont="1" applyBorder="1" applyAlignment="1">
      <alignment horizontal="left" vertical="center" wrapText="1"/>
    </xf>
    <xf numFmtId="1" fontId="3" fillId="0" borderId="10" xfId="0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1" fontId="3" fillId="0" borderId="16" xfId="0" applyNumberFormat="1" applyFont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" fontId="1" fillId="0" borderId="0" xfId="0" applyNumberFormat="1" applyFont="1"/>
    <xf numFmtId="0" fontId="11" fillId="0" borderId="16" xfId="0" applyFont="1" applyBorder="1" applyAlignment="1">
      <alignment horizontal="left" vertical="center" wrapText="1"/>
    </xf>
    <xf numFmtId="1" fontId="11" fillId="0" borderId="16" xfId="0" applyNumberFormat="1" applyFont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/>
    </xf>
    <xf numFmtId="0" fontId="0" fillId="0" borderId="22" xfId="0" applyBorder="1"/>
    <xf numFmtId="0" fontId="8" fillId="4" borderId="0" xfId="0" applyFont="1" applyFill="1" applyAlignment="1">
      <alignment horizontal="left" vertical="center" wrapText="1"/>
    </xf>
    <xf numFmtId="1" fontId="8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0" fontId="8" fillId="0" borderId="1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1" fontId="0" fillId="0" borderId="0" xfId="0" applyNumberFormat="1" applyAlignment="1">
      <alignment wrapText="1"/>
    </xf>
    <xf numFmtId="0" fontId="8" fillId="4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3" fontId="8" fillId="0" borderId="7" xfId="0" applyNumberFormat="1" applyFont="1" applyBorder="1" applyAlignment="1">
      <alignment horizontal="right" vertical="top" wrapText="1"/>
    </xf>
    <xf numFmtId="0" fontId="8" fillId="12" borderId="1" xfId="0" applyFont="1" applyFill="1" applyBorder="1" applyAlignment="1">
      <alignment horizontal="left" vertical="top" wrapText="1"/>
    </xf>
    <xf numFmtId="1" fontId="0" fillId="0" borderId="17" xfId="0" applyNumberFormat="1" applyBorder="1" applyAlignment="1">
      <alignment wrapText="1"/>
    </xf>
    <xf numFmtId="0" fontId="8" fillId="13" borderId="1" xfId="0" applyFont="1" applyFill="1" applyBorder="1" applyAlignment="1">
      <alignment horizontal="left" vertical="top" wrapText="1"/>
    </xf>
    <xf numFmtId="0" fontId="8" fillId="13" borderId="4" xfId="0" applyFont="1" applyFill="1" applyBorder="1" applyAlignment="1">
      <alignment horizontal="right" vertical="top" wrapText="1"/>
    </xf>
    <xf numFmtId="16" fontId="8" fillId="13" borderId="4" xfId="0" applyNumberFormat="1" applyFont="1" applyFill="1" applyBorder="1" applyAlignment="1">
      <alignment horizontal="right" vertical="top" wrapText="1"/>
    </xf>
    <xf numFmtId="14" fontId="8" fillId="13" borderId="4" xfId="0" applyNumberFormat="1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horizontal="left" vertical="top" wrapText="1"/>
    </xf>
    <xf numFmtId="14" fontId="8" fillId="13" borderId="2" xfId="0" applyNumberFormat="1" applyFont="1" applyFill="1" applyBorder="1" applyAlignment="1">
      <alignment horizontal="right" vertical="top" wrapText="1"/>
    </xf>
    <xf numFmtId="0" fontId="1" fillId="4" borderId="0" xfId="0" applyFont="1" applyFill="1"/>
    <xf numFmtId="1" fontId="1" fillId="4" borderId="0" xfId="0" applyNumberFormat="1" applyFont="1" applyFill="1"/>
    <xf numFmtId="0" fontId="8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center"/>
    </xf>
    <xf numFmtId="0" fontId="3" fillId="4" borderId="1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top" wrapText="1"/>
    </xf>
    <xf numFmtId="1" fontId="3" fillId="0" borderId="0" xfId="0" applyNumberFormat="1" applyFont="1" applyAlignment="1">
      <alignment horizontal="right" wrapText="1"/>
    </xf>
    <xf numFmtId="1" fontId="3" fillId="0" borderId="14" xfId="0" applyNumberFormat="1" applyFont="1" applyBorder="1" applyAlignment="1">
      <alignment horizontal="right" vertical="center"/>
    </xf>
    <xf numFmtId="0" fontId="8" fillId="4" borderId="4" xfId="0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left" vertical="top" wrapText="1"/>
    </xf>
    <xf numFmtId="3" fontId="3" fillId="0" borderId="0" xfId="0" applyNumberFormat="1" applyFont="1" applyAlignment="1">
      <alignment horizontal="right" wrapText="1"/>
    </xf>
    <xf numFmtId="0" fontId="8" fillId="10" borderId="4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center" wrapText="1"/>
    </xf>
    <xf numFmtId="1" fontId="3" fillId="0" borderId="14" xfId="0" applyNumberFormat="1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1" fontId="11" fillId="0" borderId="14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1" fontId="3" fillId="0" borderId="15" xfId="0" applyNumberFormat="1" applyFont="1" applyBorder="1" applyAlignment="1">
      <alignment horizontal="left" vertical="center" wrapText="1"/>
    </xf>
    <xf numFmtId="1" fontId="3" fillId="0" borderId="15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horizontal="left"/>
    </xf>
    <xf numFmtId="0" fontId="3" fillId="4" borderId="12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8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8" borderId="1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top" wrapText="1"/>
    </xf>
    <xf numFmtId="0" fontId="13" fillId="8" borderId="0" xfId="0" applyFont="1" applyFill="1" applyAlignment="1">
      <alignment horizontal="right" wrapText="1"/>
    </xf>
    <xf numFmtId="0" fontId="3" fillId="8" borderId="0" xfId="0" applyFont="1" applyFill="1" applyAlignment="1">
      <alignment horizontal="right"/>
    </xf>
    <xf numFmtId="0" fontId="3" fillId="8" borderId="12" xfId="0" applyFont="1" applyFill="1" applyBorder="1" applyAlignment="1">
      <alignment horizontal="right" vertical="center"/>
    </xf>
    <xf numFmtId="0" fontId="3" fillId="8" borderId="0" xfId="0" applyFont="1" applyFill="1" applyAlignment="1">
      <alignment horizontal="right" wrapText="1"/>
    </xf>
    <xf numFmtId="1" fontId="3" fillId="8" borderId="0" xfId="0" applyNumberFormat="1" applyFont="1" applyFill="1" applyAlignment="1">
      <alignment horizontal="right" wrapText="1"/>
    </xf>
    <xf numFmtId="1" fontId="3" fillId="8" borderId="14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top" wrapText="1"/>
    </xf>
    <xf numFmtId="0" fontId="13" fillId="8" borderId="0" xfId="0" applyFont="1" applyFill="1" applyAlignment="1">
      <alignment horizontal="right"/>
    </xf>
    <xf numFmtId="0" fontId="3" fillId="8" borderId="12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1" fontId="3" fillId="8" borderId="0" xfId="0" applyNumberFormat="1" applyFont="1" applyFill="1" applyAlignment="1">
      <alignment horizontal="right" vertical="center"/>
    </xf>
    <xf numFmtId="0" fontId="1" fillId="8" borderId="0" xfId="0" applyFont="1" applyFill="1"/>
    <xf numFmtId="0" fontId="3" fillId="8" borderId="8" xfId="0" applyFont="1" applyFill="1" applyBorder="1" applyAlignment="1">
      <alignment horizontal="left" vertical="center"/>
    </xf>
    <xf numFmtId="0" fontId="11" fillId="8" borderId="10" xfId="0" applyFont="1" applyFill="1" applyBorder="1" applyAlignment="1">
      <alignment horizontal="left" vertical="center"/>
    </xf>
    <xf numFmtId="0" fontId="11" fillId="8" borderId="10" xfId="0" applyFont="1" applyFill="1" applyBorder="1" applyAlignment="1">
      <alignment horizontal="left" vertical="center" wrapText="1"/>
    </xf>
    <xf numFmtId="1" fontId="3" fillId="8" borderId="12" xfId="0" applyNumberFormat="1" applyFont="1" applyFill="1" applyBorder="1" applyAlignment="1">
      <alignment horizontal="righ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right" wrapText="1"/>
    </xf>
    <xf numFmtId="0" fontId="3" fillId="4" borderId="0" xfId="0" applyFont="1" applyFill="1" applyAlignment="1">
      <alignment horizontal="right"/>
    </xf>
    <xf numFmtId="0" fontId="3" fillId="4" borderId="12" xfId="0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right" wrapText="1"/>
    </xf>
    <xf numFmtId="1" fontId="3" fillId="4" borderId="0" xfId="0" applyNumberFormat="1" applyFont="1" applyFill="1" applyAlignment="1">
      <alignment horizontal="right" wrapText="1"/>
    </xf>
    <xf numFmtId="1" fontId="3" fillId="4" borderId="12" xfId="0" applyNumberFormat="1" applyFont="1" applyFill="1" applyBorder="1" applyAlignment="1">
      <alignment horizontal="right" vertical="center"/>
    </xf>
    <xf numFmtId="1" fontId="3" fillId="4" borderId="0" xfId="0" applyNumberFormat="1" applyFont="1" applyFill="1" applyAlignment="1">
      <alignment horizontal="right" vertical="center"/>
    </xf>
    <xf numFmtId="0" fontId="13" fillId="4" borderId="0" xfId="0" applyFont="1" applyFill="1" applyAlignment="1">
      <alignment horizontal="right"/>
    </xf>
    <xf numFmtId="1" fontId="0" fillId="4" borderId="0" xfId="0" applyNumberFormat="1" applyFill="1" applyAlignment="1">
      <alignment wrapText="1"/>
    </xf>
    <xf numFmtId="0" fontId="11" fillId="4" borderId="12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 wrapText="1"/>
    </xf>
    <xf numFmtId="1" fontId="11" fillId="4" borderId="12" xfId="0" applyNumberFormat="1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" fontId="12" fillId="4" borderId="0" xfId="0" applyNumberFormat="1" applyFont="1" applyFill="1" applyAlignment="1">
      <alignment horizontal="right" vertical="center"/>
    </xf>
    <xf numFmtId="0" fontId="3" fillId="8" borderId="8" xfId="0" applyFont="1" applyFill="1" applyBorder="1" applyAlignment="1">
      <alignment horizontal="left" vertical="center" wrapText="1"/>
    </xf>
    <xf numFmtId="1" fontId="11" fillId="8" borderId="10" xfId="0" applyNumberFormat="1" applyFont="1" applyFill="1" applyBorder="1" applyAlignment="1">
      <alignment horizontal="left" vertical="center" wrapText="1"/>
    </xf>
    <xf numFmtId="1" fontId="0" fillId="8" borderId="0" xfId="0" applyNumberFormat="1" applyFill="1" applyAlignment="1">
      <alignment wrapText="1"/>
    </xf>
    <xf numFmtId="0" fontId="3" fillId="8" borderId="10" xfId="0" applyFont="1" applyFill="1" applyBorder="1" applyAlignment="1">
      <alignment horizontal="left" vertical="center" wrapText="1"/>
    </xf>
    <xf numFmtId="1" fontId="12" fillId="8" borderId="0" xfId="0" applyNumberFormat="1" applyFont="1" applyFill="1" applyAlignment="1">
      <alignment horizontal="right" vertical="center"/>
    </xf>
    <xf numFmtId="1" fontId="11" fillId="4" borderId="10" xfId="0" applyNumberFormat="1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top" wrapText="1"/>
    </xf>
    <xf numFmtId="0" fontId="8" fillId="11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right"/>
    </xf>
    <xf numFmtId="0" fontId="14" fillId="0" borderId="18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right" vertical="top" wrapText="1"/>
    </xf>
    <xf numFmtId="0" fontId="13" fillId="0" borderId="0" xfId="0" applyFont="1" applyAlignment="1">
      <alignment horizontal="right" wrapText="1"/>
    </xf>
    <xf numFmtId="0" fontId="3" fillId="0" borderId="19" xfId="0" applyFont="1" applyBorder="1" applyAlignment="1">
      <alignment horizontal="right"/>
    </xf>
    <xf numFmtId="1" fontId="0" fillId="0" borderId="16" xfId="0" applyNumberFormat="1" applyBorder="1"/>
    <xf numFmtId="1" fontId="0" fillId="0" borderId="15" xfId="0" applyNumberFormat="1" applyBorder="1" applyAlignment="1">
      <alignment wrapText="1"/>
    </xf>
    <xf numFmtId="1" fontId="0" fillId="0" borderId="15" xfId="0" applyNumberFormat="1" applyBorder="1"/>
    <xf numFmtId="0" fontId="13" fillId="0" borderId="1" xfId="0" applyFont="1" applyBorder="1" applyAlignment="1">
      <alignment horizontal="right" wrapText="1"/>
    </xf>
    <xf numFmtId="0" fontId="8" fillId="13" borderId="18" xfId="0" applyFont="1" applyFill="1" applyBorder="1" applyAlignment="1">
      <alignment horizontal="left" vertical="top" wrapText="1"/>
    </xf>
    <xf numFmtId="1" fontId="0" fillId="0" borderId="22" xfId="0" applyNumberFormat="1" applyBorder="1" applyAlignment="1">
      <alignment wrapText="1"/>
    </xf>
    <xf numFmtId="1" fontId="3" fillId="0" borderId="0" xfId="0" applyNumberFormat="1" applyFont="1" applyAlignment="1">
      <alignment horizontal="right" vertical="center"/>
    </xf>
    <xf numFmtId="1" fontId="0" fillId="0" borderId="16" xfId="0" applyNumberFormat="1" applyBorder="1" applyAlignment="1">
      <alignment wrapText="1"/>
    </xf>
    <xf numFmtId="0" fontId="8" fillId="13" borderId="0" xfId="0" applyFont="1" applyFill="1" applyAlignment="1">
      <alignment horizontal="left" vertical="top" wrapText="1"/>
    </xf>
    <xf numFmtId="1" fontId="12" fillId="0" borderId="0" xfId="0" applyNumberFormat="1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5" xfId="0" applyBorder="1"/>
    <xf numFmtId="0" fontId="0" fillId="0" borderId="24" xfId="0" applyBorder="1" applyAlignment="1">
      <alignment wrapText="1"/>
    </xf>
    <xf numFmtId="0" fontId="8" fillId="0" borderId="23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1" fontId="12" fillId="0" borderId="11" xfId="0" applyNumberFormat="1" applyFont="1" applyBorder="1" applyAlignment="1">
      <alignment horizontal="left" vertical="center"/>
    </xf>
    <xf numFmtId="1" fontId="12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54.28515625" customWidth="1"/>
    <col min="3" max="3" width="8.42578125" customWidth="1"/>
    <col min="4" max="4" width="15.28515625" customWidth="1"/>
    <col min="5" max="5" width="15" customWidth="1"/>
  </cols>
  <sheetData>
    <row r="1" spans="1:16" ht="30" x14ac:dyDescent="0.25"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>
        <v>1</v>
      </c>
      <c r="B2" t="s">
        <v>4</v>
      </c>
      <c r="C2">
        <v>14</v>
      </c>
      <c r="D2">
        <f t="shared" ref="D2:D63" si="0">E2/C2</f>
        <v>4685</v>
      </c>
      <c r="E2">
        <v>65590</v>
      </c>
    </row>
    <row r="3" spans="1:16" x14ac:dyDescent="0.25">
      <c r="A3">
        <v>2</v>
      </c>
      <c r="B3" t="s">
        <v>5</v>
      </c>
      <c r="C3">
        <v>575</v>
      </c>
      <c r="D3">
        <f t="shared" si="0"/>
        <v>3150</v>
      </c>
      <c r="E3">
        <v>1811250</v>
      </c>
    </row>
    <row r="4" spans="1:16" x14ac:dyDescent="0.25">
      <c r="A4">
        <v>3</v>
      </c>
      <c r="B4" t="s">
        <v>6</v>
      </c>
      <c r="C4">
        <v>2</v>
      </c>
      <c r="D4">
        <f t="shared" si="0"/>
        <v>92095</v>
      </c>
      <c r="E4">
        <v>184190</v>
      </c>
    </row>
    <row r="5" spans="1:16" x14ac:dyDescent="0.25">
      <c r="A5">
        <v>4</v>
      </c>
      <c r="B5" t="s">
        <v>7</v>
      </c>
      <c r="C5">
        <v>1</v>
      </c>
      <c r="D5">
        <f t="shared" si="0"/>
        <v>575780</v>
      </c>
      <c r="E5">
        <v>575780</v>
      </c>
    </row>
    <row r="6" spans="1:16" x14ac:dyDescent="0.25">
      <c r="A6">
        <v>5</v>
      </c>
      <c r="B6" t="s">
        <v>8</v>
      </c>
      <c r="C6">
        <v>1</v>
      </c>
      <c r="D6">
        <f t="shared" si="0"/>
        <v>2592840</v>
      </c>
      <c r="E6">
        <v>2592840</v>
      </c>
    </row>
    <row r="7" spans="1:16" x14ac:dyDescent="0.25">
      <c r="A7">
        <v>6</v>
      </c>
      <c r="B7" t="s">
        <v>9</v>
      </c>
      <c r="C7">
        <v>5</v>
      </c>
      <c r="D7">
        <f t="shared" si="0"/>
        <v>15010</v>
      </c>
      <c r="E7">
        <v>75050</v>
      </c>
    </row>
    <row r="8" spans="1:16" x14ac:dyDescent="0.25">
      <c r="A8">
        <v>7</v>
      </c>
      <c r="B8" t="s">
        <v>10</v>
      </c>
      <c r="C8">
        <v>2</v>
      </c>
      <c r="D8">
        <f t="shared" si="0"/>
        <v>52980</v>
      </c>
      <c r="E8">
        <v>105960</v>
      </c>
    </row>
    <row r="9" spans="1:16" x14ac:dyDescent="0.25">
      <c r="A9">
        <v>8</v>
      </c>
      <c r="B9" t="s">
        <v>11</v>
      </c>
      <c r="C9">
        <v>5</v>
      </c>
      <c r="D9">
        <f t="shared" si="0"/>
        <v>23810</v>
      </c>
      <c r="E9">
        <v>119050</v>
      </c>
    </row>
    <row r="10" spans="1:16" x14ac:dyDescent="0.25">
      <c r="A10">
        <v>9</v>
      </c>
      <c r="B10" t="s">
        <v>12</v>
      </c>
      <c r="C10">
        <v>5</v>
      </c>
      <c r="D10">
        <f t="shared" si="0"/>
        <v>15360</v>
      </c>
      <c r="E10">
        <v>76800</v>
      </c>
    </row>
    <row r="11" spans="1:16" x14ac:dyDescent="0.25">
      <c r="A11">
        <v>10</v>
      </c>
      <c r="B11" t="s">
        <v>13</v>
      </c>
      <c r="C11">
        <v>20</v>
      </c>
      <c r="D11">
        <f t="shared" si="0"/>
        <v>300</v>
      </c>
      <c r="E11">
        <v>6000</v>
      </c>
    </row>
    <row r="12" spans="1:16" x14ac:dyDescent="0.25">
      <c r="A12">
        <v>11</v>
      </c>
      <c r="B12" t="s">
        <v>14</v>
      </c>
      <c r="C12">
        <v>1</v>
      </c>
      <c r="D12">
        <f t="shared" si="0"/>
        <v>79905</v>
      </c>
      <c r="E12">
        <v>79905</v>
      </c>
    </row>
    <row r="13" spans="1:16" x14ac:dyDescent="0.25">
      <c r="A13">
        <v>12</v>
      </c>
      <c r="B13" t="s">
        <v>15</v>
      </c>
      <c r="C13">
        <v>3</v>
      </c>
      <c r="D13">
        <f t="shared" si="0"/>
        <v>62965</v>
      </c>
      <c r="E13">
        <v>188895</v>
      </c>
    </row>
    <row r="14" spans="1:16" x14ac:dyDescent="0.25">
      <c r="A14">
        <v>13</v>
      </c>
      <c r="B14" t="s">
        <v>16</v>
      </c>
      <c r="C14">
        <v>1</v>
      </c>
      <c r="D14">
        <f t="shared" si="0"/>
        <v>76800</v>
      </c>
      <c r="E14">
        <v>76800</v>
      </c>
    </row>
    <row r="15" spans="1:16" x14ac:dyDescent="0.25">
      <c r="A15">
        <v>14</v>
      </c>
      <c r="B15" t="s">
        <v>17</v>
      </c>
      <c r="C15">
        <v>1</v>
      </c>
      <c r="D15">
        <f t="shared" si="0"/>
        <v>9730</v>
      </c>
      <c r="E15">
        <v>9730</v>
      </c>
    </row>
    <row r="16" spans="1:16" x14ac:dyDescent="0.25">
      <c r="A16">
        <v>15</v>
      </c>
      <c r="B16" t="s">
        <v>18</v>
      </c>
      <c r="C16">
        <v>2</v>
      </c>
      <c r="D16">
        <f t="shared" si="0"/>
        <v>16130</v>
      </c>
      <c r="E16">
        <v>32260</v>
      </c>
    </row>
    <row r="17" spans="1:6" x14ac:dyDescent="0.25">
      <c r="A17">
        <v>16</v>
      </c>
      <c r="B17" t="s">
        <v>19</v>
      </c>
      <c r="C17">
        <v>2</v>
      </c>
      <c r="D17">
        <f t="shared" si="0"/>
        <v>14400</v>
      </c>
      <c r="E17">
        <v>28800</v>
      </c>
    </row>
    <row r="18" spans="1:6" x14ac:dyDescent="0.25">
      <c r="A18">
        <v>17</v>
      </c>
      <c r="B18" t="s">
        <v>20</v>
      </c>
      <c r="C18">
        <v>1</v>
      </c>
      <c r="D18">
        <f t="shared" si="0"/>
        <v>17875</v>
      </c>
      <c r="E18">
        <v>17875</v>
      </c>
    </row>
    <row r="19" spans="1:6" x14ac:dyDescent="0.25">
      <c r="A19">
        <v>18</v>
      </c>
      <c r="B19" t="s">
        <v>21</v>
      </c>
      <c r="C19">
        <v>1100</v>
      </c>
      <c r="D19">
        <f t="shared" si="0"/>
        <v>47</v>
      </c>
      <c r="E19">
        <v>51700</v>
      </c>
    </row>
    <row r="20" spans="1:6" x14ac:dyDescent="0.25">
      <c r="A20">
        <v>19</v>
      </c>
      <c r="B20" t="s">
        <v>22</v>
      </c>
      <c r="C20">
        <v>4</v>
      </c>
      <c r="D20">
        <f t="shared" si="0"/>
        <v>4445</v>
      </c>
      <c r="E20">
        <v>17780</v>
      </c>
    </row>
    <row r="21" spans="1:6" x14ac:dyDescent="0.25">
      <c r="A21">
        <v>20</v>
      </c>
      <c r="B21" t="s">
        <v>23</v>
      </c>
      <c r="C21">
        <v>2</v>
      </c>
      <c r="D21">
        <f t="shared" si="0"/>
        <v>16845</v>
      </c>
      <c r="E21">
        <v>33690</v>
      </c>
    </row>
    <row r="22" spans="1:6" x14ac:dyDescent="0.25">
      <c r="A22">
        <v>21</v>
      </c>
      <c r="B22" t="s">
        <v>24</v>
      </c>
      <c r="C22">
        <v>3</v>
      </c>
      <c r="D22">
        <f t="shared" si="0"/>
        <v>2835</v>
      </c>
      <c r="E22">
        <v>8505</v>
      </c>
    </row>
    <row r="23" spans="1:6" x14ac:dyDescent="0.25">
      <c r="A23">
        <v>22</v>
      </c>
      <c r="B23" t="s">
        <v>25</v>
      </c>
      <c r="C23">
        <v>1</v>
      </c>
      <c r="D23">
        <f t="shared" si="0"/>
        <v>119560</v>
      </c>
      <c r="E23">
        <v>119560</v>
      </c>
    </row>
    <row r="24" spans="1:6" x14ac:dyDescent="0.25">
      <c r="A24">
        <v>23</v>
      </c>
      <c r="B24" t="s">
        <v>26</v>
      </c>
      <c r="C24">
        <v>2</v>
      </c>
      <c r="D24">
        <f t="shared" si="0"/>
        <v>109300</v>
      </c>
      <c r="E24">
        <v>218600</v>
      </c>
    </row>
    <row r="25" spans="1:6" x14ac:dyDescent="0.25">
      <c r="A25">
        <v>24</v>
      </c>
      <c r="B25" t="s">
        <v>27</v>
      </c>
      <c r="C25">
        <v>13</v>
      </c>
      <c r="D25">
        <f t="shared" si="0"/>
        <v>10652</v>
      </c>
      <c r="E25">
        <v>138476</v>
      </c>
    </row>
    <row r="26" spans="1:6" x14ac:dyDescent="0.25">
      <c r="A26">
        <v>25</v>
      </c>
      <c r="B26" s="2" t="s">
        <v>28</v>
      </c>
      <c r="C26">
        <v>1</v>
      </c>
      <c r="D26">
        <f t="shared" si="0"/>
        <v>92280</v>
      </c>
      <c r="E26">
        <v>92280</v>
      </c>
      <c r="F26" t="s">
        <v>29</v>
      </c>
    </row>
    <row r="27" spans="1:6" x14ac:dyDescent="0.25">
      <c r="A27">
        <v>26</v>
      </c>
      <c r="B27" t="s">
        <v>30</v>
      </c>
      <c r="C27">
        <v>10</v>
      </c>
      <c r="D27">
        <f t="shared" si="0"/>
        <v>8895</v>
      </c>
      <c r="E27">
        <v>88950</v>
      </c>
    </row>
    <row r="28" spans="1:6" x14ac:dyDescent="0.25">
      <c r="A28">
        <v>27</v>
      </c>
      <c r="B28" t="s">
        <v>31</v>
      </c>
      <c r="C28">
        <v>8</v>
      </c>
      <c r="D28">
        <f t="shared" si="0"/>
        <v>11845</v>
      </c>
      <c r="E28">
        <v>94760</v>
      </c>
    </row>
    <row r="29" spans="1:6" x14ac:dyDescent="0.25">
      <c r="A29">
        <v>28</v>
      </c>
      <c r="B29" t="s">
        <v>32</v>
      </c>
      <c r="C29">
        <v>2</v>
      </c>
      <c r="D29">
        <f t="shared" si="0"/>
        <v>8445</v>
      </c>
      <c r="E29">
        <v>16890</v>
      </c>
    </row>
    <row r="30" spans="1:6" x14ac:dyDescent="0.25">
      <c r="A30">
        <v>29</v>
      </c>
      <c r="B30" t="s">
        <v>33</v>
      </c>
      <c r="C30">
        <v>3</v>
      </c>
      <c r="D30">
        <f t="shared" si="0"/>
        <v>5375</v>
      </c>
      <c r="E30">
        <v>16125</v>
      </c>
    </row>
    <row r="31" spans="1:6" x14ac:dyDescent="0.25">
      <c r="A31">
        <v>30</v>
      </c>
      <c r="B31" t="s">
        <v>33</v>
      </c>
      <c r="C31">
        <v>1</v>
      </c>
      <c r="D31">
        <f t="shared" si="0"/>
        <v>5375</v>
      </c>
      <c r="E31">
        <v>5375</v>
      </c>
    </row>
    <row r="32" spans="1:6" x14ac:dyDescent="0.25">
      <c r="A32">
        <v>31</v>
      </c>
      <c r="B32" t="s">
        <v>34</v>
      </c>
      <c r="C32">
        <v>1</v>
      </c>
      <c r="D32">
        <f t="shared" si="0"/>
        <v>4865</v>
      </c>
      <c r="E32">
        <v>4865</v>
      </c>
    </row>
    <row r="33" spans="1:5" x14ac:dyDescent="0.25">
      <c r="A33">
        <v>32</v>
      </c>
      <c r="B33" t="s">
        <v>35</v>
      </c>
      <c r="C33">
        <v>10</v>
      </c>
      <c r="D33">
        <f t="shared" si="0"/>
        <v>3840</v>
      </c>
      <c r="E33">
        <v>38400</v>
      </c>
    </row>
    <row r="34" spans="1:5" x14ac:dyDescent="0.25">
      <c r="A34">
        <v>33</v>
      </c>
      <c r="B34" t="s">
        <v>36</v>
      </c>
      <c r="C34">
        <v>5</v>
      </c>
      <c r="D34">
        <f t="shared" si="0"/>
        <v>5630</v>
      </c>
      <c r="E34">
        <v>28150</v>
      </c>
    </row>
    <row r="35" spans="1:5" x14ac:dyDescent="0.25">
      <c r="A35">
        <v>34</v>
      </c>
      <c r="B35" t="s">
        <v>37</v>
      </c>
      <c r="C35">
        <v>4</v>
      </c>
      <c r="D35">
        <f t="shared" si="0"/>
        <v>5375</v>
      </c>
      <c r="E35">
        <v>21500</v>
      </c>
    </row>
    <row r="36" spans="1:5" x14ac:dyDescent="0.25">
      <c r="A36">
        <v>35</v>
      </c>
      <c r="B36" t="s">
        <v>38</v>
      </c>
      <c r="C36">
        <v>1</v>
      </c>
      <c r="D36">
        <f t="shared" si="0"/>
        <v>6145</v>
      </c>
      <c r="E36">
        <v>6145</v>
      </c>
    </row>
    <row r="37" spans="1:5" x14ac:dyDescent="0.25">
      <c r="A37">
        <v>36</v>
      </c>
      <c r="B37" t="s">
        <v>39</v>
      </c>
      <c r="C37">
        <v>8</v>
      </c>
      <c r="D37">
        <f t="shared" si="0"/>
        <v>3070</v>
      </c>
      <c r="E37">
        <v>24560</v>
      </c>
    </row>
    <row r="38" spans="1:5" x14ac:dyDescent="0.25">
      <c r="A38">
        <v>37</v>
      </c>
      <c r="B38" t="s">
        <v>40</v>
      </c>
      <c r="C38">
        <v>3</v>
      </c>
      <c r="D38">
        <f t="shared" si="0"/>
        <v>66340</v>
      </c>
      <c r="E38">
        <v>199020</v>
      </c>
    </row>
    <row r="39" spans="1:5" x14ac:dyDescent="0.25">
      <c r="A39">
        <v>38</v>
      </c>
      <c r="B39" t="s">
        <v>41</v>
      </c>
      <c r="C39">
        <v>1</v>
      </c>
      <c r="D39">
        <f t="shared" si="0"/>
        <v>40610</v>
      </c>
      <c r="E39">
        <v>40610</v>
      </c>
    </row>
    <row r="40" spans="1:5" x14ac:dyDescent="0.25">
      <c r="A40">
        <v>39</v>
      </c>
      <c r="B40" t="s">
        <v>42</v>
      </c>
      <c r="C40">
        <v>1</v>
      </c>
      <c r="D40">
        <f t="shared" si="0"/>
        <v>547230</v>
      </c>
      <c r="E40">
        <v>547230</v>
      </c>
    </row>
    <row r="41" spans="1:5" x14ac:dyDescent="0.25">
      <c r="A41">
        <v>40</v>
      </c>
      <c r="B41" t="s">
        <v>43</v>
      </c>
      <c r="C41">
        <v>1</v>
      </c>
      <c r="D41">
        <f t="shared" si="0"/>
        <v>12675</v>
      </c>
      <c r="E41">
        <v>12675</v>
      </c>
    </row>
    <row r="42" spans="1:5" x14ac:dyDescent="0.25">
      <c r="A42">
        <v>41</v>
      </c>
      <c r="B42" t="s">
        <v>44</v>
      </c>
      <c r="C42">
        <v>1</v>
      </c>
      <c r="D42">
        <f t="shared" si="0"/>
        <v>28820</v>
      </c>
      <c r="E42">
        <v>28820</v>
      </c>
    </row>
    <row r="43" spans="1:5" x14ac:dyDescent="0.25">
      <c r="A43">
        <v>42</v>
      </c>
      <c r="B43" t="s">
        <v>45</v>
      </c>
      <c r="C43">
        <v>16</v>
      </c>
      <c r="D43">
        <f t="shared" si="0"/>
        <v>4185</v>
      </c>
      <c r="E43">
        <v>66960</v>
      </c>
    </row>
    <row r="44" spans="1:5" x14ac:dyDescent="0.25">
      <c r="A44">
        <v>43</v>
      </c>
      <c r="B44" t="s">
        <v>46</v>
      </c>
      <c r="C44">
        <v>16</v>
      </c>
      <c r="D44">
        <f t="shared" si="0"/>
        <v>4185</v>
      </c>
      <c r="E44">
        <v>66960</v>
      </c>
    </row>
    <row r="45" spans="1:5" x14ac:dyDescent="0.25">
      <c r="A45">
        <v>44</v>
      </c>
      <c r="B45" t="s">
        <v>47</v>
      </c>
      <c r="C45">
        <v>1</v>
      </c>
      <c r="D45">
        <f t="shared" si="0"/>
        <v>18980</v>
      </c>
      <c r="E45">
        <v>18980</v>
      </c>
    </row>
    <row r="46" spans="1:5" x14ac:dyDescent="0.25">
      <c r="A46">
        <v>45</v>
      </c>
      <c r="B46" t="s">
        <v>48</v>
      </c>
      <c r="C46">
        <v>1</v>
      </c>
      <c r="D46">
        <f t="shared" si="0"/>
        <v>3120</v>
      </c>
      <c r="E46">
        <v>3120</v>
      </c>
    </row>
    <row r="47" spans="1:5" x14ac:dyDescent="0.25">
      <c r="A47">
        <v>46</v>
      </c>
      <c r="B47" t="s">
        <v>49</v>
      </c>
      <c r="C47">
        <v>1</v>
      </c>
      <c r="D47">
        <f t="shared" si="0"/>
        <v>2780</v>
      </c>
      <c r="E47">
        <v>2780</v>
      </c>
    </row>
    <row r="48" spans="1:5" x14ac:dyDescent="0.25">
      <c r="A48">
        <v>47</v>
      </c>
      <c r="B48" t="s">
        <v>50</v>
      </c>
      <c r="C48">
        <v>10</v>
      </c>
      <c r="D48">
        <f t="shared" si="0"/>
        <v>1690</v>
      </c>
      <c r="E48">
        <v>16900</v>
      </c>
    </row>
    <row r="49" spans="1:6" x14ac:dyDescent="0.25">
      <c r="A49">
        <v>48</v>
      </c>
      <c r="B49" t="s">
        <v>51</v>
      </c>
      <c r="C49">
        <v>1</v>
      </c>
      <c r="D49">
        <f t="shared" si="0"/>
        <v>104560</v>
      </c>
      <c r="E49">
        <v>104560</v>
      </c>
    </row>
    <row r="50" spans="1:6" x14ac:dyDescent="0.25">
      <c r="A50">
        <v>49</v>
      </c>
      <c r="B50" t="s">
        <v>52</v>
      </c>
      <c r="C50">
        <v>3</v>
      </c>
      <c r="D50">
        <f t="shared" si="0"/>
        <v>3184</v>
      </c>
      <c r="E50">
        <v>9552</v>
      </c>
    </row>
    <row r="51" spans="1:6" x14ac:dyDescent="0.25">
      <c r="A51">
        <v>50</v>
      </c>
      <c r="B51" t="s">
        <v>53</v>
      </c>
      <c r="C51">
        <v>3</v>
      </c>
      <c r="D51">
        <f t="shared" si="0"/>
        <v>4375</v>
      </c>
      <c r="E51">
        <v>13125</v>
      </c>
    </row>
    <row r="52" spans="1:6" x14ac:dyDescent="0.25">
      <c r="A52">
        <v>51</v>
      </c>
      <c r="B52" t="s">
        <v>54</v>
      </c>
      <c r="C52">
        <v>3</v>
      </c>
      <c r="D52">
        <f t="shared" si="0"/>
        <v>5342.0000000000009</v>
      </c>
      <c r="E52">
        <v>16026.000000000002</v>
      </c>
    </row>
    <row r="53" spans="1:6" x14ac:dyDescent="0.25">
      <c r="A53">
        <v>52</v>
      </c>
      <c r="B53" t="s">
        <v>55</v>
      </c>
      <c r="C53">
        <v>3</v>
      </c>
      <c r="D53">
        <f t="shared" si="0"/>
        <v>3978</v>
      </c>
      <c r="E53">
        <v>11934</v>
      </c>
    </row>
    <row r="54" spans="1:6" x14ac:dyDescent="0.25">
      <c r="A54">
        <v>53</v>
      </c>
      <c r="B54" s="2" t="s">
        <v>56</v>
      </c>
      <c r="C54">
        <v>10</v>
      </c>
      <c r="D54">
        <f t="shared" si="0"/>
        <v>57760</v>
      </c>
      <c r="E54">
        <v>577600</v>
      </c>
      <c r="F54" t="s">
        <v>29</v>
      </c>
    </row>
    <row r="55" spans="1:6" x14ac:dyDescent="0.25">
      <c r="A55">
        <v>54</v>
      </c>
      <c r="B55" t="s">
        <v>57</v>
      </c>
      <c r="C55">
        <v>40</v>
      </c>
      <c r="D55">
        <f t="shared" si="0"/>
        <v>350</v>
      </c>
      <c r="E55">
        <v>14000</v>
      </c>
    </row>
    <row r="56" spans="1:6" x14ac:dyDescent="0.25">
      <c r="A56">
        <v>55</v>
      </c>
      <c r="B56" t="s">
        <v>58</v>
      </c>
      <c r="C56">
        <v>26</v>
      </c>
      <c r="D56">
        <f t="shared" si="0"/>
        <v>4835</v>
      </c>
      <c r="E56">
        <v>125710</v>
      </c>
    </row>
    <row r="57" spans="1:6" x14ac:dyDescent="0.25">
      <c r="A57">
        <v>56</v>
      </c>
      <c r="B57" t="s">
        <v>59</v>
      </c>
      <c r="C57">
        <v>6</v>
      </c>
      <c r="D57">
        <f t="shared" si="0"/>
        <v>20810</v>
      </c>
      <c r="E57">
        <v>124860</v>
      </c>
    </row>
    <row r="58" spans="1:6" x14ac:dyDescent="0.25">
      <c r="A58">
        <v>57</v>
      </c>
      <c r="B58" t="s">
        <v>60</v>
      </c>
      <c r="C58">
        <v>2</v>
      </c>
      <c r="D58">
        <f t="shared" si="0"/>
        <v>32605</v>
      </c>
      <c r="E58">
        <v>65210</v>
      </c>
    </row>
    <row r="59" spans="1:6" x14ac:dyDescent="0.25">
      <c r="A59">
        <v>58</v>
      </c>
      <c r="B59" t="s">
        <v>61</v>
      </c>
      <c r="C59">
        <v>3</v>
      </c>
      <c r="D59">
        <f t="shared" si="0"/>
        <v>270455</v>
      </c>
      <c r="E59">
        <v>811365</v>
      </c>
    </row>
    <row r="60" spans="1:6" x14ac:dyDescent="0.25">
      <c r="A60">
        <v>59</v>
      </c>
      <c r="B60" t="s">
        <v>62</v>
      </c>
      <c r="C60">
        <v>8</v>
      </c>
      <c r="D60">
        <f t="shared" si="0"/>
        <v>18450</v>
      </c>
      <c r="E60">
        <v>147600</v>
      </c>
    </row>
    <row r="61" spans="1:6" x14ac:dyDescent="0.25">
      <c r="A61">
        <v>60</v>
      </c>
      <c r="B61" t="s">
        <v>63</v>
      </c>
      <c r="C61">
        <v>1</v>
      </c>
      <c r="D61">
        <f t="shared" si="0"/>
        <v>29690</v>
      </c>
      <c r="E61">
        <v>29690</v>
      </c>
    </row>
    <row r="62" spans="1:6" x14ac:dyDescent="0.25">
      <c r="A62">
        <v>61</v>
      </c>
      <c r="B62" t="s">
        <v>64</v>
      </c>
      <c r="C62">
        <v>3</v>
      </c>
      <c r="D62">
        <f t="shared" si="0"/>
        <v>2540</v>
      </c>
      <c r="E62">
        <v>7620</v>
      </c>
    </row>
    <row r="63" spans="1:6" x14ac:dyDescent="0.25">
      <c r="A63">
        <v>62</v>
      </c>
      <c r="B63" t="s">
        <v>65</v>
      </c>
      <c r="C63">
        <v>20</v>
      </c>
      <c r="D63">
        <f t="shared" si="0"/>
        <v>10330</v>
      </c>
      <c r="E63">
        <v>206600</v>
      </c>
    </row>
    <row r="64" spans="1:6" x14ac:dyDescent="0.25">
      <c r="A64">
        <v>63</v>
      </c>
      <c r="B64" t="s">
        <v>66</v>
      </c>
      <c r="C64">
        <v>5</v>
      </c>
      <c r="D64">
        <f t="shared" ref="D64:D126" si="1">E64/C64</f>
        <v>21000</v>
      </c>
      <c r="E64">
        <v>105000</v>
      </c>
    </row>
    <row r="65" spans="1:5" x14ac:dyDescent="0.25">
      <c r="A65">
        <v>64</v>
      </c>
      <c r="B65" t="s">
        <v>67</v>
      </c>
      <c r="C65">
        <v>1</v>
      </c>
      <c r="D65">
        <f t="shared" si="1"/>
        <v>28290</v>
      </c>
      <c r="E65">
        <v>28290</v>
      </c>
    </row>
    <row r="66" spans="1:5" x14ac:dyDescent="0.25">
      <c r="A66">
        <v>65</v>
      </c>
      <c r="B66" t="s">
        <v>68</v>
      </c>
      <c r="C66">
        <v>1</v>
      </c>
      <c r="D66">
        <f t="shared" si="1"/>
        <v>19120</v>
      </c>
      <c r="E66">
        <v>19120</v>
      </c>
    </row>
    <row r="67" spans="1:5" x14ac:dyDescent="0.25">
      <c r="A67">
        <v>66</v>
      </c>
      <c r="B67" t="s">
        <v>69</v>
      </c>
      <c r="C67">
        <v>16</v>
      </c>
      <c r="D67">
        <f t="shared" si="1"/>
        <v>785</v>
      </c>
      <c r="E67">
        <v>12560</v>
      </c>
    </row>
    <row r="68" spans="1:5" x14ac:dyDescent="0.25">
      <c r="A68">
        <v>67</v>
      </c>
      <c r="B68" t="s">
        <v>70</v>
      </c>
      <c r="C68">
        <v>2</v>
      </c>
      <c r="D68">
        <f t="shared" si="1"/>
        <v>4145</v>
      </c>
      <c r="E68">
        <v>8290</v>
      </c>
    </row>
    <row r="69" spans="1:5" x14ac:dyDescent="0.25">
      <c r="A69">
        <v>68</v>
      </c>
      <c r="B69" t="s">
        <v>71</v>
      </c>
      <c r="C69">
        <v>2</v>
      </c>
      <c r="D69">
        <f t="shared" si="1"/>
        <v>8070</v>
      </c>
      <c r="E69">
        <v>16140</v>
      </c>
    </row>
    <row r="70" spans="1:5" x14ac:dyDescent="0.25">
      <c r="A70">
        <v>69</v>
      </c>
      <c r="B70" t="s">
        <v>72</v>
      </c>
      <c r="C70">
        <v>1</v>
      </c>
      <c r="D70">
        <f t="shared" si="1"/>
        <v>35200</v>
      </c>
      <c r="E70">
        <v>35200</v>
      </c>
    </row>
    <row r="71" spans="1:5" x14ac:dyDescent="0.25">
      <c r="A71">
        <v>70</v>
      </c>
      <c r="B71" t="s">
        <v>73</v>
      </c>
      <c r="C71">
        <v>1</v>
      </c>
      <c r="D71">
        <f t="shared" si="1"/>
        <v>31000</v>
      </c>
      <c r="E71">
        <v>31000</v>
      </c>
    </row>
    <row r="72" spans="1:5" x14ac:dyDescent="0.25">
      <c r="A72">
        <v>71</v>
      </c>
      <c r="B72" t="s">
        <v>74</v>
      </c>
      <c r="C72">
        <v>1</v>
      </c>
      <c r="D72">
        <f t="shared" si="1"/>
        <v>23480</v>
      </c>
      <c r="E72">
        <v>23480</v>
      </c>
    </row>
    <row r="73" spans="1:5" x14ac:dyDescent="0.25">
      <c r="A73">
        <v>72</v>
      </c>
      <c r="B73" t="s">
        <v>75</v>
      </c>
      <c r="C73">
        <v>1</v>
      </c>
      <c r="D73">
        <f t="shared" si="1"/>
        <v>32955</v>
      </c>
      <c r="E73">
        <v>32955</v>
      </c>
    </row>
    <row r="74" spans="1:5" x14ac:dyDescent="0.25">
      <c r="A74">
        <v>73</v>
      </c>
      <c r="B74" t="s">
        <v>76</v>
      </c>
      <c r="C74">
        <v>1</v>
      </c>
      <c r="D74">
        <f t="shared" si="1"/>
        <v>3770</v>
      </c>
      <c r="E74">
        <v>3770</v>
      </c>
    </row>
    <row r="75" spans="1:5" x14ac:dyDescent="0.25">
      <c r="A75">
        <v>74</v>
      </c>
      <c r="B75" t="s">
        <v>77</v>
      </c>
      <c r="C75">
        <v>1</v>
      </c>
      <c r="D75">
        <f t="shared" si="1"/>
        <v>3770</v>
      </c>
      <c r="E75">
        <v>3770</v>
      </c>
    </row>
    <row r="76" spans="1:5" x14ac:dyDescent="0.25">
      <c r="A76">
        <v>75</v>
      </c>
      <c r="B76" t="s">
        <v>78</v>
      </c>
      <c r="C76">
        <v>2</v>
      </c>
      <c r="D76">
        <f t="shared" si="1"/>
        <v>68265</v>
      </c>
      <c r="E76">
        <v>136530</v>
      </c>
    </row>
    <row r="77" spans="1:5" x14ac:dyDescent="0.25">
      <c r="A77">
        <v>76</v>
      </c>
      <c r="B77" t="s">
        <v>79</v>
      </c>
      <c r="C77">
        <v>15</v>
      </c>
      <c r="D77">
        <f t="shared" si="1"/>
        <v>1610</v>
      </c>
      <c r="E77">
        <v>24150</v>
      </c>
    </row>
    <row r="78" spans="1:5" x14ac:dyDescent="0.25">
      <c r="A78">
        <v>77</v>
      </c>
      <c r="B78" t="s">
        <v>80</v>
      </c>
      <c r="C78">
        <v>1</v>
      </c>
      <c r="D78">
        <f t="shared" si="1"/>
        <v>290650</v>
      </c>
      <c r="E78">
        <v>290650</v>
      </c>
    </row>
    <row r="79" spans="1:5" x14ac:dyDescent="0.25">
      <c r="A79">
        <v>78</v>
      </c>
      <c r="B79" t="s">
        <v>81</v>
      </c>
      <c r="C79">
        <v>5</v>
      </c>
      <c r="D79">
        <f t="shared" si="1"/>
        <v>3960</v>
      </c>
      <c r="E79">
        <v>19800</v>
      </c>
    </row>
    <row r="80" spans="1:5" x14ac:dyDescent="0.25">
      <c r="A80">
        <v>79</v>
      </c>
      <c r="B80" t="s">
        <v>82</v>
      </c>
      <c r="C80">
        <v>1</v>
      </c>
      <c r="D80">
        <f t="shared" si="1"/>
        <v>155760</v>
      </c>
      <c r="E80">
        <v>155760</v>
      </c>
    </row>
    <row r="81" spans="1:5" x14ac:dyDescent="0.25">
      <c r="A81">
        <v>80</v>
      </c>
      <c r="B81" t="s">
        <v>83</v>
      </c>
      <c r="C81">
        <v>6</v>
      </c>
      <c r="D81">
        <f t="shared" si="1"/>
        <v>520410</v>
      </c>
      <c r="E81">
        <v>3122460</v>
      </c>
    </row>
    <row r="82" spans="1:5" x14ac:dyDescent="0.25">
      <c r="A82">
        <v>81</v>
      </c>
      <c r="B82" t="s">
        <v>84</v>
      </c>
      <c r="C82">
        <v>5</v>
      </c>
      <c r="D82">
        <f t="shared" si="1"/>
        <v>2115</v>
      </c>
      <c r="E82">
        <v>10575</v>
      </c>
    </row>
    <row r="83" spans="1:5" x14ac:dyDescent="0.25">
      <c r="A83">
        <v>82</v>
      </c>
      <c r="B83" t="s">
        <v>85</v>
      </c>
      <c r="C83">
        <v>10</v>
      </c>
      <c r="D83">
        <f t="shared" si="1"/>
        <v>10875</v>
      </c>
      <c r="E83">
        <v>108750</v>
      </c>
    </row>
    <row r="84" spans="1:5" x14ac:dyDescent="0.25">
      <c r="A84">
        <v>83</v>
      </c>
      <c r="B84" t="s">
        <v>86</v>
      </c>
      <c r="C84">
        <v>4</v>
      </c>
      <c r="D84">
        <f t="shared" si="1"/>
        <v>11163</v>
      </c>
      <c r="E84">
        <v>44652</v>
      </c>
    </row>
    <row r="85" spans="1:5" x14ac:dyDescent="0.25">
      <c r="A85">
        <v>84</v>
      </c>
      <c r="B85" t="s">
        <v>87</v>
      </c>
      <c r="C85">
        <v>2</v>
      </c>
      <c r="D85">
        <f t="shared" si="1"/>
        <v>23555</v>
      </c>
      <c r="E85">
        <v>47110</v>
      </c>
    </row>
    <row r="86" spans="1:5" x14ac:dyDescent="0.25">
      <c r="A86">
        <v>85</v>
      </c>
      <c r="B86" t="s">
        <v>88</v>
      </c>
      <c r="C86">
        <v>20</v>
      </c>
      <c r="D86">
        <f t="shared" si="1"/>
        <v>250</v>
      </c>
      <c r="E86">
        <v>5000</v>
      </c>
    </row>
    <row r="87" spans="1:5" x14ac:dyDescent="0.25">
      <c r="A87">
        <v>86</v>
      </c>
      <c r="B87" t="s">
        <v>89</v>
      </c>
      <c r="C87">
        <v>12</v>
      </c>
      <c r="D87">
        <f t="shared" si="1"/>
        <v>3560</v>
      </c>
      <c r="E87">
        <v>42720</v>
      </c>
    </row>
    <row r="88" spans="1:5" x14ac:dyDescent="0.25">
      <c r="A88">
        <v>87</v>
      </c>
      <c r="B88" t="s">
        <v>90</v>
      </c>
      <c r="C88">
        <v>2</v>
      </c>
      <c r="D88">
        <f t="shared" si="1"/>
        <v>1615</v>
      </c>
      <c r="E88">
        <v>3230</v>
      </c>
    </row>
    <row r="89" spans="1:5" x14ac:dyDescent="0.25">
      <c r="A89">
        <v>88</v>
      </c>
      <c r="B89" t="s">
        <v>91</v>
      </c>
      <c r="C89">
        <v>1</v>
      </c>
      <c r="D89">
        <f t="shared" si="1"/>
        <v>1245</v>
      </c>
      <c r="E89">
        <v>1245</v>
      </c>
    </row>
    <row r="90" spans="1:5" x14ac:dyDescent="0.25">
      <c r="A90">
        <v>89</v>
      </c>
      <c r="B90" t="s">
        <v>92</v>
      </c>
      <c r="C90">
        <v>7</v>
      </c>
      <c r="D90">
        <f t="shared" si="1"/>
        <v>3940</v>
      </c>
      <c r="E90">
        <v>27580</v>
      </c>
    </row>
    <row r="91" spans="1:5" x14ac:dyDescent="0.25">
      <c r="A91">
        <v>90</v>
      </c>
      <c r="B91" t="s">
        <v>93</v>
      </c>
      <c r="C91">
        <v>5</v>
      </c>
      <c r="D91">
        <f t="shared" si="1"/>
        <v>12850</v>
      </c>
      <c r="E91">
        <v>64250</v>
      </c>
    </row>
    <row r="92" spans="1:5" x14ac:dyDescent="0.25">
      <c r="A92">
        <v>91</v>
      </c>
      <c r="B92" t="s">
        <v>94</v>
      </c>
      <c r="C92">
        <v>2</v>
      </c>
      <c r="D92">
        <f t="shared" si="1"/>
        <v>44740</v>
      </c>
      <c r="E92">
        <v>89480</v>
      </c>
    </row>
    <row r="93" spans="1:5" x14ac:dyDescent="0.25">
      <c r="A93">
        <v>92</v>
      </c>
      <c r="B93" t="s">
        <v>95</v>
      </c>
      <c r="C93">
        <v>6</v>
      </c>
      <c r="D93">
        <f t="shared" si="1"/>
        <v>2285</v>
      </c>
      <c r="E93">
        <v>13710</v>
      </c>
    </row>
    <row r="94" spans="1:5" x14ac:dyDescent="0.25">
      <c r="A94">
        <v>93</v>
      </c>
      <c r="B94" t="s">
        <v>96</v>
      </c>
      <c r="C94">
        <v>1</v>
      </c>
      <c r="D94">
        <f t="shared" si="1"/>
        <v>205928</v>
      </c>
      <c r="E94">
        <v>205928</v>
      </c>
    </row>
    <row r="95" spans="1:5" x14ac:dyDescent="0.25">
      <c r="A95">
        <v>94</v>
      </c>
      <c r="B95" t="s">
        <v>97</v>
      </c>
      <c r="C95">
        <v>1</v>
      </c>
      <c r="D95">
        <f t="shared" si="1"/>
        <v>40604</v>
      </c>
      <c r="E95">
        <v>40604</v>
      </c>
    </row>
    <row r="96" spans="1:5" x14ac:dyDescent="0.25">
      <c r="A96">
        <v>95</v>
      </c>
      <c r="B96" t="s">
        <v>98</v>
      </c>
      <c r="C96">
        <v>2</v>
      </c>
      <c r="D96">
        <f t="shared" si="1"/>
        <v>4390</v>
      </c>
      <c r="E96">
        <v>8780</v>
      </c>
    </row>
    <row r="97" spans="1:5" x14ac:dyDescent="0.25">
      <c r="A97">
        <v>96</v>
      </c>
      <c r="B97" t="s">
        <v>99</v>
      </c>
      <c r="C97">
        <v>1</v>
      </c>
      <c r="D97">
        <f t="shared" si="1"/>
        <v>179520</v>
      </c>
      <c r="E97">
        <v>179520</v>
      </c>
    </row>
    <row r="98" spans="1:5" x14ac:dyDescent="0.25">
      <c r="A98">
        <v>97</v>
      </c>
      <c r="B98" t="s">
        <v>100</v>
      </c>
      <c r="C98">
        <v>5</v>
      </c>
      <c r="D98">
        <f t="shared" si="1"/>
        <v>5910</v>
      </c>
      <c r="E98">
        <v>29550</v>
      </c>
    </row>
    <row r="99" spans="1:5" x14ac:dyDescent="0.25">
      <c r="A99">
        <v>98</v>
      </c>
      <c r="B99" t="s">
        <v>101</v>
      </c>
      <c r="C99">
        <v>5</v>
      </c>
      <c r="D99">
        <f t="shared" si="1"/>
        <v>3955</v>
      </c>
      <c r="E99">
        <v>19775</v>
      </c>
    </row>
    <row r="100" spans="1:5" x14ac:dyDescent="0.25">
      <c r="A100">
        <v>99</v>
      </c>
      <c r="B100" t="s">
        <v>102</v>
      </c>
      <c r="C100">
        <v>1</v>
      </c>
      <c r="D100">
        <f t="shared" si="1"/>
        <v>19080</v>
      </c>
      <c r="E100">
        <v>19080</v>
      </c>
    </row>
    <row r="101" spans="1:5" x14ac:dyDescent="0.25">
      <c r="A101">
        <v>100</v>
      </c>
      <c r="B101" t="s">
        <v>103</v>
      </c>
      <c r="C101">
        <v>60</v>
      </c>
      <c r="D101">
        <f t="shared" si="1"/>
        <v>10185</v>
      </c>
      <c r="E101">
        <v>611100</v>
      </c>
    </row>
    <row r="102" spans="1:5" x14ac:dyDescent="0.25">
      <c r="A102">
        <v>101</v>
      </c>
      <c r="B102" t="s">
        <v>104</v>
      </c>
      <c r="C102">
        <v>1</v>
      </c>
      <c r="D102">
        <f t="shared" si="1"/>
        <v>172448</v>
      </c>
      <c r="E102">
        <v>172448</v>
      </c>
    </row>
    <row r="103" spans="1:5" x14ac:dyDescent="0.25">
      <c r="A103">
        <v>102</v>
      </c>
      <c r="B103" t="s">
        <v>105</v>
      </c>
      <c r="C103">
        <v>1</v>
      </c>
      <c r="D103">
        <f t="shared" si="1"/>
        <v>220400</v>
      </c>
      <c r="E103">
        <v>220400</v>
      </c>
    </row>
    <row r="104" spans="1:5" x14ac:dyDescent="0.25">
      <c r="A104">
        <v>103</v>
      </c>
      <c r="B104" t="s">
        <v>106</v>
      </c>
      <c r="C104">
        <v>1</v>
      </c>
      <c r="D104">
        <f t="shared" si="1"/>
        <v>48840</v>
      </c>
      <c r="E104">
        <v>48840</v>
      </c>
    </row>
    <row r="105" spans="1:5" x14ac:dyDescent="0.25">
      <c r="A105">
        <v>104</v>
      </c>
      <c r="B105" t="s">
        <v>107</v>
      </c>
      <c r="C105">
        <v>1</v>
      </c>
      <c r="D105">
        <f t="shared" si="1"/>
        <v>13890</v>
      </c>
      <c r="E105">
        <v>13890</v>
      </c>
    </row>
    <row r="106" spans="1:5" x14ac:dyDescent="0.25">
      <c r="A106">
        <v>105</v>
      </c>
      <c r="B106" t="s">
        <v>108</v>
      </c>
      <c r="C106">
        <v>4</v>
      </c>
      <c r="D106">
        <f t="shared" si="1"/>
        <v>3100</v>
      </c>
      <c r="E106">
        <v>12400</v>
      </c>
    </row>
    <row r="107" spans="1:5" x14ac:dyDescent="0.25">
      <c r="A107">
        <v>106</v>
      </c>
      <c r="B107" t="s">
        <v>109</v>
      </c>
      <c r="C107">
        <v>6</v>
      </c>
      <c r="D107">
        <f t="shared" si="1"/>
        <v>10660</v>
      </c>
      <c r="E107">
        <v>63960</v>
      </c>
    </row>
    <row r="108" spans="1:5" x14ac:dyDescent="0.25">
      <c r="A108">
        <v>107</v>
      </c>
      <c r="B108" t="s">
        <v>110</v>
      </c>
      <c r="C108">
        <v>2</v>
      </c>
      <c r="D108">
        <f t="shared" si="1"/>
        <v>7235</v>
      </c>
      <c r="E108">
        <v>14470</v>
      </c>
    </row>
    <row r="109" spans="1:5" x14ac:dyDescent="0.25">
      <c r="A109">
        <v>108</v>
      </c>
      <c r="B109" t="s">
        <v>111</v>
      </c>
      <c r="C109">
        <v>5</v>
      </c>
      <c r="D109">
        <f t="shared" si="1"/>
        <v>20665</v>
      </c>
      <c r="E109">
        <v>103325</v>
      </c>
    </row>
    <row r="110" spans="1:5" x14ac:dyDescent="0.25">
      <c r="A110">
        <v>109</v>
      </c>
      <c r="B110" t="s">
        <v>112</v>
      </c>
      <c r="C110">
        <v>1</v>
      </c>
      <c r="D110">
        <f t="shared" si="1"/>
        <v>230220</v>
      </c>
      <c r="E110">
        <v>230220</v>
      </c>
    </row>
    <row r="111" spans="1:5" x14ac:dyDescent="0.25">
      <c r="A111">
        <v>110</v>
      </c>
      <c r="B111" t="s">
        <v>113</v>
      </c>
      <c r="C111">
        <v>8</v>
      </c>
      <c r="D111">
        <f t="shared" si="1"/>
        <v>10155</v>
      </c>
      <c r="E111">
        <v>81240</v>
      </c>
    </row>
    <row r="112" spans="1:5" x14ac:dyDescent="0.25">
      <c r="A112">
        <v>111</v>
      </c>
      <c r="B112" t="s">
        <v>114</v>
      </c>
      <c r="C112">
        <v>18</v>
      </c>
      <c r="D112">
        <f t="shared" si="1"/>
        <v>2812.6666666666665</v>
      </c>
      <c r="E112">
        <v>50628</v>
      </c>
    </row>
    <row r="113" spans="1:5" x14ac:dyDescent="0.25">
      <c r="A113">
        <v>112</v>
      </c>
      <c r="B113" t="s">
        <v>115</v>
      </c>
      <c r="C113">
        <v>2</v>
      </c>
      <c r="D113">
        <f t="shared" si="1"/>
        <v>112880</v>
      </c>
      <c r="E113">
        <v>225760</v>
      </c>
    </row>
    <row r="114" spans="1:5" x14ac:dyDescent="0.25">
      <c r="A114">
        <v>113</v>
      </c>
      <c r="B114" t="s">
        <v>116</v>
      </c>
      <c r="C114">
        <v>1</v>
      </c>
      <c r="D114">
        <f t="shared" si="1"/>
        <v>224784</v>
      </c>
      <c r="E114">
        <v>224784</v>
      </c>
    </row>
    <row r="115" spans="1:5" x14ac:dyDescent="0.25">
      <c r="A115">
        <v>114</v>
      </c>
      <c r="B115" t="s">
        <v>117</v>
      </c>
      <c r="C115">
        <v>1</v>
      </c>
      <c r="D115">
        <f t="shared" si="1"/>
        <v>153100</v>
      </c>
      <c r="E115">
        <v>153100</v>
      </c>
    </row>
    <row r="116" spans="1:5" x14ac:dyDescent="0.25">
      <c r="A116">
        <v>115</v>
      </c>
      <c r="B116" t="s">
        <v>118</v>
      </c>
      <c r="C116">
        <v>20</v>
      </c>
      <c r="D116">
        <f t="shared" si="1"/>
        <v>2740</v>
      </c>
      <c r="E116">
        <v>54800</v>
      </c>
    </row>
    <row r="117" spans="1:5" x14ac:dyDescent="0.25">
      <c r="A117">
        <v>116</v>
      </c>
      <c r="B117" t="s">
        <v>119</v>
      </c>
      <c r="C117">
        <v>10</v>
      </c>
      <c r="D117">
        <f t="shared" si="1"/>
        <v>2800</v>
      </c>
      <c r="E117">
        <v>28000</v>
      </c>
    </row>
    <row r="118" spans="1:5" x14ac:dyDescent="0.25">
      <c r="A118">
        <v>117</v>
      </c>
      <c r="B118" t="s">
        <v>120</v>
      </c>
      <c r="C118">
        <v>50</v>
      </c>
      <c r="D118">
        <f t="shared" si="1"/>
        <v>180</v>
      </c>
      <c r="E118">
        <v>9000</v>
      </c>
    </row>
    <row r="119" spans="1:5" x14ac:dyDescent="0.25">
      <c r="A119">
        <v>118</v>
      </c>
      <c r="B119" t="s">
        <v>121</v>
      </c>
      <c r="C119">
        <v>4</v>
      </c>
      <c r="D119">
        <f t="shared" si="1"/>
        <v>24160</v>
      </c>
      <c r="E119">
        <v>96640</v>
      </c>
    </row>
    <row r="120" spans="1:5" x14ac:dyDescent="0.25">
      <c r="A120">
        <v>119</v>
      </c>
      <c r="B120" t="s">
        <v>122</v>
      </c>
      <c r="C120">
        <v>4</v>
      </c>
      <c r="D120">
        <f t="shared" si="1"/>
        <v>3570</v>
      </c>
      <c r="E120">
        <v>14280</v>
      </c>
    </row>
    <row r="121" spans="1:5" x14ac:dyDescent="0.25">
      <c r="A121">
        <v>120</v>
      </c>
      <c r="B121" t="s">
        <v>123</v>
      </c>
      <c r="C121">
        <v>4</v>
      </c>
      <c r="D121">
        <f t="shared" si="1"/>
        <v>13620</v>
      </c>
      <c r="E121">
        <v>54480</v>
      </c>
    </row>
    <row r="122" spans="1:5" x14ac:dyDescent="0.25">
      <c r="A122">
        <v>121</v>
      </c>
      <c r="B122" t="s">
        <v>124</v>
      </c>
      <c r="C122">
        <v>2</v>
      </c>
      <c r="D122">
        <f t="shared" si="1"/>
        <v>104180</v>
      </c>
      <c r="E122">
        <v>208360</v>
      </c>
    </row>
    <row r="123" spans="1:5" x14ac:dyDescent="0.25">
      <c r="A123">
        <v>122</v>
      </c>
      <c r="B123" t="s">
        <v>125</v>
      </c>
      <c r="C123">
        <v>3</v>
      </c>
      <c r="D123">
        <f t="shared" si="1"/>
        <v>7675</v>
      </c>
      <c r="E123">
        <v>23025</v>
      </c>
    </row>
    <row r="124" spans="1:5" x14ac:dyDescent="0.25">
      <c r="A124">
        <v>123</v>
      </c>
      <c r="B124" t="s">
        <v>126</v>
      </c>
      <c r="C124">
        <v>2</v>
      </c>
      <c r="D124">
        <f t="shared" si="1"/>
        <v>31000</v>
      </c>
      <c r="E124">
        <v>62000</v>
      </c>
    </row>
    <row r="125" spans="1:5" x14ac:dyDescent="0.25">
      <c r="A125">
        <v>124</v>
      </c>
      <c r="B125" t="s">
        <v>127</v>
      </c>
      <c r="C125">
        <v>12</v>
      </c>
      <c r="D125">
        <f t="shared" si="1"/>
        <v>3695</v>
      </c>
      <c r="E125">
        <v>44340</v>
      </c>
    </row>
    <row r="126" spans="1:5" x14ac:dyDescent="0.25">
      <c r="A126">
        <v>125</v>
      </c>
      <c r="B126" t="s">
        <v>128</v>
      </c>
      <c r="C126">
        <v>2</v>
      </c>
      <c r="D126">
        <f t="shared" si="1"/>
        <v>10240</v>
      </c>
      <c r="E126">
        <v>20480</v>
      </c>
    </row>
    <row r="127" spans="1:5" x14ac:dyDescent="0.25">
      <c r="A127">
        <v>126</v>
      </c>
      <c r="B127" t="s">
        <v>129</v>
      </c>
      <c r="C127">
        <v>6</v>
      </c>
      <c r="D127">
        <f t="shared" ref="D127:D190" si="2">E127/C127</f>
        <v>4545</v>
      </c>
      <c r="E127">
        <v>27270</v>
      </c>
    </row>
    <row r="128" spans="1:5" x14ac:dyDescent="0.25">
      <c r="A128">
        <v>127</v>
      </c>
      <c r="B128" t="s">
        <v>130</v>
      </c>
      <c r="C128">
        <v>1</v>
      </c>
      <c r="D128">
        <f t="shared" si="2"/>
        <v>366080</v>
      </c>
      <c r="E128">
        <v>366080</v>
      </c>
    </row>
    <row r="129" spans="1:5" x14ac:dyDescent="0.25">
      <c r="A129">
        <v>128</v>
      </c>
      <c r="B129" t="s">
        <v>131</v>
      </c>
      <c r="C129">
        <v>5</v>
      </c>
      <c r="D129">
        <f t="shared" si="2"/>
        <v>3400</v>
      </c>
      <c r="E129">
        <v>17000</v>
      </c>
    </row>
    <row r="130" spans="1:5" x14ac:dyDescent="0.25">
      <c r="A130">
        <v>129</v>
      </c>
      <c r="B130" t="s">
        <v>132</v>
      </c>
      <c r="C130">
        <v>2</v>
      </c>
      <c r="D130">
        <f t="shared" si="2"/>
        <v>5970</v>
      </c>
      <c r="E130">
        <v>11940</v>
      </c>
    </row>
    <row r="131" spans="1:5" x14ac:dyDescent="0.25">
      <c r="A131">
        <v>130</v>
      </c>
      <c r="B131" t="s">
        <v>133</v>
      </c>
      <c r="C131">
        <v>4</v>
      </c>
      <c r="D131">
        <f t="shared" si="2"/>
        <v>6900</v>
      </c>
      <c r="E131">
        <v>27600</v>
      </c>
    </row>
    <row r="132" spans="1:5" x14ac:dyDescent="0.25">
      <c r="A132">
        <v>131</v>
      </c>
      <c r="B132" t="s">
        <v>134</v>
      </c>
      <c r="C132">
        <v>6</v>
      </c>
      <c r="D132">
        <f t="shared" si="2"/>
        <v>850</v>
      </c>
      <c r="E132">
        <v>5100</v>
      </c>
    </row>
    <row r="133" spans="1:5" x14ac:dyDescent="0.25">
      <c r="A133">
        <v>132</v>
      </c>
      <c r="B133" t="s">
        <v>135</v>
      </c>
      <c r="C133">
        <v>2</v>
      </c>
      <c r="D133">
        <f t="shared" si="2"/>
        <v>34225</v>
      </c>
      <c r="E133">
        <v>68450</v>
      </c>
    </row>
    <row r="134" spans="1:5" x14ac:dyDescent="0.25">
      <c r="A134">
        <v>133</v>
      </c>
      <c r="B134" t="s">
        <v>136</v>
      </c>
      <c r="C134">
        <v>5</v>
      </c>
      <c r="D134">
        <f t="shared" si="2"/>
        <v>785</v>
      </c>
      <c r="E134">
        <v>3925</v>
      </c>
    </row>
    <row r="135" spans="1:5" x14ac:dyDescent="0.25">
      <c r="A135">
        <v>134</v>
      </c>
      <c r="B135" t="s">
        <v>137</v>
      </c>
      <c r="C135">
        <v>3</v>
      </c>
      <c r="D135">
        <f t="shared" si="2"/>
        <v>25010</v>
      </c>
      <c r="E135">
        <v>75030</v>
      </c>
    </row>
    <row r="136" spans="1:5" x14ac:dyDescent="0.25">
      <c r="A136">
        <v>135</v>
      </c>
      <c r="B136" t="s">
        <v>138</v>
      </c>
      <c r="C136">
        <v>40</v>
      </c>
      <c r="D136">
        <f t="shared" si="2"/>
        <v>570</v>
      </c>
      <c r="E136">
        <v>22800</v>
      </c>
    </row>
    <row r="137" spans="1:5" x14ac:dyDescent="0.25">
      <c r="A137">
        <v>136</v>
      </c>
      <c r="B137" t="s">
        <v>139</v>
      </c>
      <c r="C137">
        <v>10</v>
      </c>
      <c r="D137">
        <f t="shared" si="2"/>
        <v>1715</v>
      </c>
      <c r="E137">
        <v>17150</v>
      </c>
    </row>
    <row r="138" spans="1:5" x14ac:dyDescent="0.25">
      <c r="A138">
        <v>137</v>
      </c>
      <c r="B138" t="s">
        <v>21</v>
      </c>
      <c r="C138">
        <v>100</v>
      </c>
      <c r="D138">
        <f t="shared" si="2"/>
        <v>47</v>
      </c>
      <c r="E138">
        <v>4700</v>
      </c>
    </row>
    <row r="139" spans="1:5" x14ac:dyDescent="0.25">
      <c r="A139">
        <v>138</v>
      </c>
      <c r="B139" t="s">
        <v>140</v>
      </c>
      <c r="C139">
        <v>80</v>
      </c>
      <c r="D139">
        <f t="shared" si="2"/>
        <v>13490</v>
      </c>
      <c r="E139">
        <v>1079200</v>
      </c>
    </row>
    <row r="140" spans="1:5" x14ac:dyDescent="0.25">
      <c r="A140">
        <v>139</v>
      </c>
      <c r="B140" t="s">
        <v>141</v>
      </c>
      <c r="C140">
        <v>1</v>
      </c>
      <c r="D140">
        <f t="shared" si="2"/>
        <v>5662</v>
      </c>
      <c r="E140">
        <v>5662</v>
      </c>
    </row>
    <row r="141" spans="1:5" x14ac:dyDescent="0.25">
      <c r="A141">
        <v>140</v>
      </c>
      <c r="B141" t="s">
        <v>142</v>
      </c>
      <c r="C141">
        <v>1</v>
      </c>
      <c r="D141">
        <f t="shared" si="2"/>
        <v>5033</v>
      </c>
      <c r="E141">
        <v>5033</v>
      </c>
    </row>
    <row r="142" spans="1:5" x14ac:dyDescent="0.25">
      <c r="A142">
        <v>141</v>
      </c>
      <c r="B142" t="s">
        <v>143</v>
      </c>
      <c r="C142">
        <v>10</v>
      </c>
      <c r="D142">
        <f t="shared" si="2"/>
        <v>101</v>
      </c>
      <c r="E142">
        <v>1010</v>
      </c>
    </row>
    <row r="143" spans="1:5" x14ac:dyDescent="0.25">
      <c r="A143">
        <v>142</v>
      </c>
      <c r="B143" t="s">
        <v>144</v>
      </c>
      <c r="C143">
        <v>10</v>
      </c>
      <c r="D143">
        <f t="shared" si="2"/>
        <v>127</v>
      </c>
      <c r="E143">
        <v>1270</v>
      </c>
    </row>
    <row r="144" spans="1:5" x14ac:dyDescent="0.25">
      <c r="A144">
        <v>143</v>
      </c>
      <c r="B144" t="s">
        <v>145</v>
      </c>
      <c r="C144">
        <v>10</v>
      </c>
      <c r="D144">
        <f t="shared" si="2"/>
        <v>101</v>
      </c>
      <c r="E144">
        <v>1010</v>
      </c>
    </row>
    <row r="145" spans="1:5" x14ac:dyDescent="0.25">
      <c r="A145">
        <v>144</v>
      </c>
      <c r="B145" t="s">
        <v>146</v>
      </c>
      <c r="C145">
        <v>10</v>
      </c>
      <c r="D145">
        <f t="shared" si="2"/>
        <v>101</v>
      </c>
      <c r="E145">
        <v>1010</v>
      </c>
    </row>
    <row r="146" spans="1:5" x14ac:dyDescent="0.25">
      <c r="A146">
        <v>145</v>
      </c>
      <c r="B146" t="s">
        <v>147</v>
      </c>
      <c r="C146">
        <v>10</v>
      </c>
      <c r="D146">
        <f t="shared" si="2"/>
        <v>152</v>
      </c>
      <c r="E146">
        <v>1520</v>
      </c>
    </row>
    <row r="147" spans="1:5" x14ac:dyDescent="0.25">
      <c r="A147">
        <v>146</v>
      </c>
      <c r="B147" t="s">
        <v>148</v>
      </c>
      <c r="C147">
        <v>10</v>
      </c>
      <c r="D147">
        <f t="shared" si="2"/>
        <v>252</v>
      </c>
      <c r="E147">
        <v>2520</v>
      </c>
    </row>
    <row r="148" spans="1:5" x14ac:dyDescent="0.25">
      <c r="A148">
        <v>147</v>
      </c>
      <c r="B148" t="s">
        <v>149</v>
      </c>
      <c r="C148">
        <v>10</v>
      </c>
      <c r="D148">
        <f t="shared" si="2"/>
        <v>177</v>
      </c>
      <c r="E148">
        <v>1770</v>
      </c>
    </row>
    <row r="149" spans="1:5" x14ac:dyDescent="0.25">
      <c r="A149">
        <v>148</v>
      </c>
      <c r="B149" t="s">
        <v>150</v>
      </c>
      <c r="C149">
        <v>10</v>
      </c>
      <c r="D149">
        <f t="shared" si="2"/>
        <v>202</v>
      </c>
      <c r="E149">
        <v>2020</v>
      </c>
    </row>
    <row r="150" spans="1:5" x14ac:dyDescent="0.25">
      <c r="A150">
        <v>149</v>
      </c>
      <c r="B150" t="s">
        <v>151</v>
      </c>
      <c r="C150">
        <v>50</v>
      </c>
      <c r="D150">
        <f t="shared" si="2"/>
        <v>697</v>
      </c>
      <c r="E150">
        <v>34850</v>
      </c>
    </row>
    <row r="151" spans="1:5" x14ac:dyDescent="0.25">
      <c r="A151">
        <v>150</v>
      </c>
      <c r="B151" t="s">
        <v>152</v>
      </c>
      <c r="C151">
        <v>50</v>
      </c>
      <c r="D151">
        <f t="shared" si="2"/>
        <v>3272</v>
      </c>
      <c r="E151">
        <v>163600</v>
      </c>
    </row>
    <row r="152" spans="1:5" x14ac:dyDescent="0.25">
      <c r="A152">
        <v>151</v>
      </c>
      <c r="B152" t="s">
        <v>153</v>
      </c>
      <c r="C152">
        <v>20</v>
      </c>
      <c r="D152">
        <f t="shared" si="2"/>
        <v>177</v>
      </c>
      <c r="E152">
        <v>3540</v>
      </c>
    </row>
    <row r="153" spans="1:5" x14ac:dyDescent="0.25">
      <c r="A153">
        <v>152</v>
      </c>
      <c r="B153" t="s">
        <v>154</v>
      </c>
      <c r="C153">
        <v>10</v>
      </c>
      <c r="D153">
        <f t="shared" si="2"/>
        <v>202</v>
      </c>
      <c r="E153">
        <v>2020</v>
      </c>
    </row>
    <row r="154" spans="1:5" x14ac:dyDescent="0.25">
      <c r="A154">
        <v>153</v>
      </c>
      <c r="B154" t="s">
        <v>144</v>
      </c>
      <c r="C154">
        <v>20</v>
      </c>
      <c r="D154">
        <f t="shared" si="2"/>
        <v>127</v>
      </c>
      <c r="E154">
        <v>2540</v>
      </c>
    </row>
    <row r="155" spans="1:5" x14ac:dyDescent="0.25">
      <c r="A155">
        <v>154</v>
      </c>
      <c r="B155" t="s">
        <v>147</v>
      </c>
      <c r="C155">
        <v>20</v>
      </c>
      <c r="D155">
        <f t="shared" si="2"/>
        <v>152</v>
      </c>
      <c r="E155">
        <v>3040</v>
      </c>
    </row>
    <row r="156" spans="1:5" x14ac:dyDescent="0.25">
      <c r="A156">
        <v>155</v>
      </c>
      <c r="B156" t="s">
        <v>148</v>
      </c>
      <c r="C156">
        <v>20</v>
      </c>
      <c r="D156">
        <f t="shared" si="2"/>
        <v>252</v>
      </c>
      <c r="E156">
        <v>5040</v>
      </c>
    </row>
    <row r="157" spans="1:5" x14ac:dyDescent="0.25">
      <c r="A157">
        <v>156</v>
      </c>
      <c r="B157" t="s">
        <v>149</v>
      </c>
      <c r="C157">
        <v>20</v>
      </c>
      <c r="D157">
        <f t="shared" si="2"/>
        <v>177</v>
      </c>
      <c r="E157">
        <v>3540</v>
      </c>
    </row>
    <row r="158" spans="1:5" x14ac:dyDescent="0.25">
      <c r="A158">
        <v>157</v>
      </c>
      <c r="B158" t="s">
        <v>150</v>
      </c>
      <c r="C158">
        <v>20</v>
      </c>
      <c r="D158">
        <f t="shared" si="2"/>
        <v>202</v>
      </c>
      <c r="E158">
        <v>4040</v>
      </c>
    </row>
    <row r="159" spans="1:5" x14ac:dyDescent="0.25">
      <c r="A159">
        <v>158</v>
      </c>
      <c r="B159" t="s">
        <v>153</v>
      </c>
      <c r="C159">
        <v>20</v>
      </c>
      <c r="D159">
        <f t="shared" si="2"/>
        <v>177</v>
      </c>
      <c r="E159">
        <v>3540</v>
      </c>
    </row>
    <row r="160" spans="1:5" x14ac:dyDescent="0.25">
      <c r="A160">
        <v>159</v>
      </c>
      <c r="B160" t="s">
        <v>155</v>
      </c>
      <c r="C160">
        <v>50</v>
      </c>
      <c r="D160">
        <f t="shared" si="2"/>
        <v>697</v>
      </c>
      <c r="E160">
        <v>34850</v>
      </c>
    </row>
    <row r="161" spans="1:5" x14ac:dyDescent="0.25">
      <c r="A161">
        <v>160</v>
      </c>
      <c r="B161" t="s">
        <v>156</v>
      </c>
      <c r="C161">
        <v>30</v>
      </c>
      <c r="D161">
        <f t="shared" si="2"/>
        <v>881</v>
      </c>
      <c r="E161">
        <v>26430</v>
      </c>
    </row>
    <row r="162" spans="1:5" x14ac:dyDescent="0.25">
      <c r="A162">
        <v>161</v>
      </c>
      <c r="B162" t="s">
        <v>157</v>
      </c>
      <c r="C162">
        <v>12</v>
      </c>
      <c r="D162">
        <f t="shared" si="2"/>
        <v>11323</v>
      </c>
      <c r="E162">
        <v>135876</v>
      </c>
    </row>
    <row r="163" spans="1:5" x14ac:dyDescent="0.25">
      <c r="A163">
        <v>162</v>
      </c>
      <c r="B163" t="s">
        <v>158</v>
      </c>
      <c r="C163">
        <v>1</v>
      </c>
      <c r="D163">
        <f t="shared" si="2"/>
        <v>21387</v>
      </c>
      <c r="E163">
        <v>21387</v>
      </c>
    </row>
    <row r="164" spans="1:5" x14ac:dyDescent="0.25">
      <c r="A164">
        <v>163</v>
      </c>
      <c r="B164" t="s">
        <v>156</v>
      </c>
      <c r="C164">
        <v>14</v>
      </c>
      <c r="D164">
        <f t="shared" si="2"/>
        <v>881</v>
      </c>
      <c r="E164">
        <v>12334</v>
      </c>
    </row>
    <row r="165" spans="1:5" x14ac:dyDescent="0.25">
      <c r="A165">
        <v>164</v>
      </c>
      <c r="B165" t="s">
        <v>156</v>
      </c>
      <c r="C165">
        <v>14</v>
      </c>
      <c r="D165">
        <f t="shared" si="2"/>
        <v>881</v>
      </c>
      <c r="E165">
        <v>12334</v>
      </c>
    </row>
    <row r="166" spans="1:5" x14ac:dyDescent="0.25">
      <c r="A166">
        <v>165</v>
      </c>
      <c r="B166" t="s">
        <v>159</v>
      </c>
      <c r="C166">
        <v>1</v>
      </c>
      <c r="D166">
        <f t="shared" si="2"/>
        <v>78224</v>
      </c>
      <c r="E166">
        <v>78224</v>
      </c>
    </row>
    <row r="167" spans="1:5" x14ac:dyDescent="0.25">
      <c r="A167">
        <v>166</v>
      </c>
      <c r="B167" t="s">
        <v>160</v>
      </c>
      <c r="C167">
        <v>1</v>
      </c>
      <c r="D167">
        <f t="shared" si="2"/>
        <v>72196</v>
      </c>
      <c r="E167">
        <v>72196</v>
      </c>
    </row>
    <row r="168" spans="1:5" x14ac:dyDescent="0.25">
      <c r="A168">
        <v>167</v>
      </c>
      <c r="B168" t="s">
        <v>161</v>
      </c>
      <c r="C168">
        <v>2</v>
      </c>
      <c r="D168">
        <f t="shared" si="2"/>
        <v>75703</v>
      </c>
      <c r="E168">
        <v>151406</v>
      </c>
    </row>
    <row r="169" spans="1:5" x14ac:dyDescent="0.25">
      <c r="A169">
        <v>168</v>
      </c>
      <c r="B169" t="s">
        <v>162</v>
      </c>
      <c r="C169">
        <v>4</v>
      </c>
      <c r="D169">
        <f t="shared" si="2"/>
        <v>10216</v>
      </c>
      <c r="E169">
        <v>40864</v>
      </c>
    </row>
    <row r="170" spans="1:5" x14ac:dyDescent="0.25">
      <c r="A170">
        <v>169</v>
      </c>
      <c r="B170" t="s">
        <v>163</v>
      </c>
      <c r="C170">
        <v>2</v>
      </c>
      <c r="D170">
        <f t="shared" si="2"/>
        <v>4103</v>
      </c>
      <c r="E170">
        <v>8206</v>
      </c>
    </row>
    <row r="171" spans="1:5" x14ac:dyDescent="0.25">
      <c r="A171">
        <v>170</v>
      </c>
      <c r="B171" t="s">
        <v>164</v>
      </c>
      <c r="C171">
        <v>20</v>
      </c>
      <c r="D171">
        <f t="shared" si="2"/>
        <v>1093</v>
      </c>
      <c r="E171">
        <v>21860</v>
      </c>
    </row>
    <row r="172" spans="1:5" x14ac:dyDescent="0.25">
      <c r="A172">
        <v>171</v>
      </c>
      <c r="B172" t="s">
        <v>165</v>
      </c>
      <c r="C172">
        <v>15</v>
      </c>
      <c r="D172">
        <f t="shared" si="2"/>
        <v>1093</v>
      </c>
      <c r="E172">
        <v>16395</v>
      </c>
    </row>
    <row r="173" spans="1:5" x14ac:dyDescent="0.25">
      <c r="A173">
        <v>172</v>
      </c>
      <c r="B173" t="s">
        <v>166</v>
      </c>
      <c r="C173">
        <v>15</v>
      </c>
      <c r="D173">
        <f t="shared" si="2"/>
        <v>1093</v>
      </c>
      <c r="E173">
        <v>16395</v>
      </c>
    </row>
    <row r="174" spans="1:5" x14ac:dyDescent="0.25">
      <c r="A174">
        <v>173</v>
      </c>
      <c r="B174" t="s">
        <v>167</v>
      </c>
      <c r="C174">
        <v>1</v>
      </c>
      <c r="D174">
        <f t="shared" si="2"/>
        <v>69760</v>
      </c>
      <c r="E174">
        <v>69760</v>
      </c>
    </row>
    <row r="175" spans="1:5" x14ac:dyDescent="0.25">
      <c r="A175">
        <v>174</v>
      </c>
      <c r="B175" t="s">
        <v>168</v>
      </c>
      <c r="C175">
        <v>2</v>
      </c>
      <c r="D175">
        <f t="shared" si="2"/>
        <v>28040</v>
      </c>
      <c r="E175">
        <v>56080</v>
      </c>
    </row>
    <row r="176" spans="1:5" x14ac:dyDescent="0.25">
      <c r="A176">
        <v>175</v>
      </c>
      <c r="B176" t="s">
        <v>169</v>
      </c>
      <c r="C176">
        <v>3</v>
      </c>
      <c r="D176">
        <f t="shared" si="2"/>
        <v>129720</v>
      </c>
      <c r="E176">
        <v>389160</v>
      </c>
    </row>
    <row r="177" spans="1:5" x14ac:dyDescent="0.25">
      <c r="A177">
        <v>176</v>
      </c>
      <c r="B177" t="s">
        <v>170</v>
      </c>
      <c r="C177">
        <v>120</v>
      </c>
      <c r="D177">
        <f t="shared" si="2"/>
        <v>2380</v>
      </c>
      <c r="E177">
        <v>285600</v>
      </c>
    </row>
    <row r="178" spans="1:5" x14ac:dyDescent="0.25">
      <c r="A178">
        <v>177</v>
      </c>
      <c r="B178" t="s">
        <v>171</v>
      </c>
      <c r="C178">
        <v>150</v>
      </c>
      <c r="D178">
        <f t="shared" si="2"/>
        <v>5790</v>
      </c>
      <c r="E178">
        <v>868500</v>
      </c>
    </row>
    <row r="179" spans="1:5" x14ac:dyDescent="0.25">
      <c r="A179">
        <v>178</v>
      </c>
      <c r="B179" t="s">
        <v>172</v>
      </c>
      <c r="C179">
        <v>1</v>
      </c>
      <c r="D179">
        <f t="shared" si="2"/>
        <v>11904</v>
      </c>
      <c r="E179">
        <v>11904</v>
      </c>
    </row>
    <row r="180" spans="1:5" x14ac:dyDescent="0.25">
      <c r="A180">
        <v>179</v>
      </c>
      <c r="B180" t="s">
        <v>173</v>
      </c>
      <c r="C180">
        <v>2</v>
      </c>
      <c r="D180">
        <f t="shared" si="2"/>
        <v>27280</v>
      </c>
      <c r="E180">
        <v>54560</v>
      </c>
    </row>
    <row r="181" spans="1:5" x14ac:dyDescent="0.25">
      <c r="A181">
        <v>180</v>
      </c>
      <c r="B181" t="s">
        <v>174</v>
      </c>
      <c r="C181">
        <v>2</v>
      </c>
      <c r="D181">
        <f t="shared" si="2"/>
        <v>9424</v>
      </c>
      <c r="E181">
        <v>18848</v>
      </c>
    </row>
    <row r="182" spans="1:5" x14ac:dyDescent="0.25">
      <c r="A182">
        <v>181</v>
      </c>
      <c r="B182" t="s">
        <v>175</v>
      </c>
      <c r="C182">
        <v>1</v>
      </c>
      <c r="D182">
        <f t="shared" si="2"/>
        <v>14384</v>
      </c>
      <c r="E182">
        <v>14384</v>
      </c>
    </row>
    <row r="183" spans="1:5" x14ac:dyDescent="0.25">
      <c r="A183">
        <v>182</v>
      </c>
      <c r="B183" t="s">
        <v>176</v>
      </c>
      <c r="C183">
        <v>2</v>
      </c>
      <c r="D183">
        <f t="shared" si="2"/>
        <v>5952</v>
      </c>
      <c r="E183">
        <v>11904</v>
      </c>
    </row>
    <row r="184" spans="1:5" x14ac:dyDescent="0.25">
      <c r="A184">
        <v>183</v>
      </c>
      <c r="B184" t="s">
        <v>177</v>
      </c>
      <c r="C184">
        <v>1</v>
      </c>
      <c r="D184">
        <f t="shared" si="2"/>
        <v>6448</v>
      </c>
      <c r="E184">
        <v>6448</v>
      </c>
    </row>
    <row r="185" spans="1:5" x14ac:dyDescent="0.25">
      <c r="A185">
        <v>184</v>
      </c>
      <c r="B185" t="s">
        <v>178</v>
      </c>
      <c r="C185">
        <v>4</v>
      </c>
      <c r="D185">
        <f t="shared" si="2"/>
        <v>22320</v>
      </c>
      <c r="E185">
        <v>89280</v>
      </c>
    </row>
    <row r="186" spans="1:5" x14ac:dyDescent="0.25">
      <c r="A186">
        <v>185</v>
      </c>
      <c r="B186" t="s">
        <v>179</v>
      </c>
      <c r="C186">
        <v>1</v>
      </c>
      <c r="D186">
        <f t="shared" si="2"/>
        <v>4716</v>
      </c>
      <c r="E186">
        <v>4716</v>
      </c>
    </row>
    <row r="187" spans="1:5" x14ac:dyDescent="0.25">
      <c r="A187">
        <v>186</v>
      </c>
      <c r="B187" t="s">
        <v>180</v>
      </c>
      <c r="C187">
        <v>1</v>
      </c>
      <c r="D187">
        <f t="shared" si="2"/>
        <v>5659.8</v>
      </c>
      <c r="E187">
        <v>5659.8</v>
      </c>
    </row>
    <row r="188" spans="1:5" x14ac:dyDescent="0.25">
      <c r="A188">
        <v>187</v>
      </c>
      <c r="B188" t="s">
        <v>181</v>
      </c>
      <c r="C188">
        <v>2</v>
      </c>
      <c r="D188">
        <f t="shared" si="2"/>
        <v>31438</v>
      </c>
      <c r="E188">
        <v>62876</v>
      </c>
    </row>
    <row r="189" spans="1:5" x14ac:dyDescent="0.25">
      <c r="A189">
        <v>188</v>
      </c>
      <c r="B189" t="s">
        <v>182</v>
      </c>
      <c r="C189">
        <v>5</v>
      </c>
      <c r="D189">
        <f t="shared" si="2"/>
        <v>4087.8</v>
      </c>
      <c r="E189">
        <v>20439</v>
      </c>
    </row>
    <row r="190" spans="1:5" x14ac:dyDescent="0.25">
      <c r="A190">
        <v>189</v>
      </c>
      <c r="B190" t="s">
        <v>183</v>
      </c>
      <c r="C190">
        <v>12</v>
      </c>
      <c r="D190">
        <f t="shared" si="2"/>
        <v>1488</v>
      </c>
      <c r="E190">
        <v>17856</v>
      </c>
    </row>
    <row r="191" spans="1:5" x14ac:dyDescent="0.25">
      <c r="A191">
        <v>190</v>
      </c>
      <c r="B191" t="s">
        <v>184</v>
      </c>
      <c r="C191">
        <v>1</v>
      </c>
      <c r="D191">
        <f t="shared" ref="D191:D254" si="3">E191/C191</f>
        <v>37540</v>
      </c>
      <c r="E191">
        <v>37540</v>
      </c>
    </row>
    <row r="192" spans="1:5" x14ac:dyDescent="0.25">
      <c r="A192">
        <v>191</v>
      </c>
      <c r="B192" t="s">
        <v>185</v>
      </c>
      <c r="C192">
        <v>3</v>
      </c>
      <c r="D192">
        <f t="shared" si="3"/>
        <v>30260</v>
      </c>
      <c r="E192">
        <v>90780</v>
      </c>
    </row>
    <row r="193" spans="1:5" x14ac:dyDescent="0.25">
      <c r="A193">
        <v>192</v>
      </c>
      <c r="B193" t="s">
        <v>186</v>
      </c>
      <c r="C193">
        <v>1</v>
      </c>
      <c r="D193">
        <f t="shared" si="3"/>
        <v>56105</v>
      </c>
      <c r="E193">
        <v>56105</v>
      </c>
    </row>
    <row r="194" spans="1:5" x14ac:dyDescent="0.25">
      <c r="A194">
        <v>193</v>
      </c>
      <c r="B194" t="s">
        <v>187</v>
      </c>
      <c r="C194">
        <v>1</v>
      </c>
      <c r="D194">
        <f t="shared" si="3"/>
        <v>8630</v>
      </c>
      <c r="E194">
        <v>8630</v>
      </c>
    </row>
    <row r="195" spans="1:5" x14ac:dyDescent="0.25">
      <c r="A195">
        <v>194</v>
      </c>
      <c r="B195" t="s">
        <v>188</v>
      </c>
      <c r="C195">
        <v>1</v>
      </c>
      <c r="D195">
        <f t="shared" si="3"/>
        <v>6490</v>
      </c>
      <c r="E195">
        <v>6490</v>
      </c>
    </row>
    <row r="196" spans="1:5" x14ac:dyDescent="0.25">
      <c r="A196">
        <v>195</v>
      </c>
      <c r="B196" t="s">
        <v>189</v>
      </c>
      <c r="C196">
        <v>3</v>
      </c>
      <c r="D196">
        <f t="shared" si="3"/>
        <v>66695</v>
      </c>
      <c r="E196">
        <v>200085</v>
      </c>
    </row>
    <row r="197" spans="1:5" x14ac:dyDescent="0.25">
      <c r="A197">
        <v>196</v>
      </c>
      <c r="B197" t="s">
        <v>190</v>
      </c>
      <c r="C197">
        <v>1</v>
      </c>
      <c r="D197">
        <f t="shared" si="3"/>
        <v>39510</v>
      </c>
      <c r="E197">
        <v>39510</v>
      </c>
    </row>
    <row r="198" spans="1:5" x14ac:dyDescent="0.25">
      <c r="A198">
        <v>197</v>
      </c>
      <c r="B198" t="s">
        <v>191</v>
      </c>
      <c r="C198">
        <v>3</v>
      </c>
      <c r="D198">
        <f t="shared" si="3"/>
        <v>6145</v>
      </c>
      <c r="E198">
        <v>18435</v>
      </c>
    </row>
    <row r="199" spans="1:5" x14ac:dyDescent="0.25">
      <c r="A199">
        <v>198</v>
      </c>
      <c r="B199" t="s">
        <v>192</v>
      </c>
      <c r="C199">
        <v>4</v>
      </c>
      <c r="D199">
        <f t="shared" si="3"/>
        <v>7040</v>
      </c>
      <c r="E199">
        <v>28160</v>
      </c>
    </row>
    <row r="200" spans="1:5" x14ac:dyDescent="0.25">
      <c r="A200">
        <v>199</v>
      </c>
      <c r="B200" t="s">
        <v>193</v>
      </c>
      <c r="C200">
        <v>1</v>
      </c>
      <c r="D200">
        <f t="shared" si="3"/>
        <v>62675</v>
      </c>
      <c r="E200">
        <v>62675</v>
      </c>
    </row>
    <row r="201" spans="1:5" x14ac:dyDescent="0.25">
      <c r="A201">
        <v>200</v>
      </c>
      <c r="B201" t="s">
        <v>194</v>
      </c>
      <c r="C201">
        <v>3</v>
      </c>
      <c r="D201">
        <f t="shared" si="3"/>
        <v>93095</v>
      </c>
      <c r="E201">
        <v>279285</v>
      </c>
    </row>
    <row r="202" spans="1:5" x14ac:dyDescent="0.25">
      <c r="A202">
        <v>201</v>
      </c>
      <c r="B202" t="s">
        <v>195</v>
      </c>
      <c r="C202">
        <v>3</v>
      </c>
      <c r="D202">
        <f t="shared" si="3"/>
        <v>5567</v>
      </c>
      <c r="E202">
        <v>16701</v>
      </c>
    </row>
    <row r="203" spans="1:5" x14ac:dyDescent="0.25">
      <c r="A203">
        <v>202</v>
      </c>
      <c r="B203" t="s">
        <v>196</v>
      </c>
      <c r="C203">
        <v>1</v>
      </c>
      <c r="D203">
        <f t="shared" si="3"/>
        <v>10806</v>
      </c>
      <c r="E203">
        <v>10806</v>
      </c>
    </row>
    <row r="204" spans="1:5" x14ac:dyDescent="0.25">
      <c r="A204">
        <v>203</v>
      </c>
      <c r="B204" t="s">
        <v>197</v>
      </c>
      <c r="C204">
        <v>3</v>
      </c>
      <c r="D204">
        <f t="shared" si="3"/>
        <v>8343</v>
      </c>
      <c r="E204">
        <v>25029</v>
      </c>
    </row>
    <row r="205" spans="1:5" x14ac:dyDescent="0.25">
      <c r="A205">
        <v>204</v>
      </c>
      <c r="B205" t="s">
        <v>198</v>
      </c>
      <c r="C205">
        <v>3</v>
      </c>
      <c r="D205">
        <f t="shared" si="3"/>
        <v>9636</v>
      </c>
      <c r="E205">
        <v>28908</v>
      </c>
    </row>
    <row r="206" spans="1:5" x14ac:dyDescent="0.25">
      <c r="A206">
        <v>205</v>
      </c>
      <c r="B206" t="s">
        <v>199</v>
      </c>
      <c r="C206">
        <v>2</v>
      </c>
      <c r="D206">
        <f t="shared" si="3"/>
        <v>46981</v>
      </c>
      <c r="E206">
        <v>93962</v>
      </c>
    </row>
    <row r="207" spans="1:5" x14ac:dyDescent="0.25">
      <c r="A207">
        <v>206</v>
      </c>
      <c r="B207" t="s">
        <v>200</v>
      </c>
      <c r="C207">
        <v>2</v>
      </c>
      <c r="D207">
        <f t="shared" si="3"/>
        <v>19576</v>
      </c>
      <c r="E207">
        <v>39152</v>
      </c>
    </row>
    <row r="208" spans="1:5" x14ac:dyDescent="0.25">
      <c r="A208">
        <v>207</v>
      </c>
      <c r="B208" t="s">
        <v>201</v>
      </c>
      <c r="C208">
        <v>1</v>
      </c>
      <c r="D208">
        <f t="shared" si="3"/>
        <v>85330</v>
      </c>
      <c r="E208">
        <v>85330</v>
      </c>
    </row>
    <row r="209" spans="1:5" x14ac:dyDescent="0.25">
      <c r="A209">
        <v>208</v>
      </c>
      <c r="B209" t="s">
        <v>202</v>
      </c>
      <c r="C209">
        <v>1</v>
      </c>
      <c r="D209">
        <f t="shared" si="3"/>
        <v>74180</v>
      </c>
      <c r="E209">
        <v>74180</v>
      </c>
    </row>
    <row r="210" spans="1:5" x14ac:dyDescent="0.25">
      <c r="A210">
        <v>209</v>
      </c>
      <c r="B210" t="s">
        <v>141</v>
      </c>
      <c r="C210">
        <v>3</v>
      </c>
      <c r="D210">
        <f t="shared" si="3"/>
        <v>5662</v>
      </c>
      <c r="E210">
        <v>16986</v>
      </c>
    </row>
    <row r="211" spans="1:5" x14ac:dyDescent="0.25">
      <c r="A211">
        <v>210</v>
      </c>
      <c r="B211" t="s">
        <v>142</v>
      </c>
      <c r="C211">
        <v>9</v>
      </c>
      <c r="D211">
        <f t="shared" si="3"/>
        <v>5033</v>
      </c>
      <c r="E211">
        <v>45297</v>
      </c>
    </row>
    <row r="212" spans="1:5" x14ac:dyDescent="0.25">
      <c r="A212">
        <v>211</v>
      </c>
      <c r="B212" t="s">
        <v>203</v>
      </c>
      <c r="C212">
        <v>2</v>
      </c>
      <c r="D212">
        <f t="shared" si="3"/>
        <v>8870</v>
      </c>
      <c r="E212">
        <v>17740</v>
      </c>
    </row>
    <row r="213" spans="1:5" x14ac:dyDescent="0.25">
      <c r="A213">
        <v>212</v>
      </c>
      <c r="B213" t="s">
        <v>204</v>
      </c>
      <c r="C213">
        <v>4</v>
      </c>
      <c r="D213">
        <f t="shared" si="3"/>
        <v>113860</v>
      </c>
      <c r="E213">
        <v>455440</v>
      </c>
    </row>
    <row r="214" spans="1:5" x14ac:dyDescent="0.25">
      <c r="A214">
        <v>213</v>
      </c>
      <c r="B214" t="s">
        <v>205</v>
      </c>
      <c r="C214">
        <v>2</v>
      </c>
      <c r="D214">
        <f t="shared" si="3"/>
        <v>145500</v>
      </c>
      <c r="E214">
        <v>291000</v>
      </c>
    </row>
    <row r="215" spans="1:5" x14ac:dyDescent="0.25">
      <c r="A215">
        <v>214</v>
      </c>
      <c r="B215" t="s">
        <v>206</v>
      </c>
      <c r="C215">
        <v>30</v>
      </c>
      <c r="D215">
        <f t="shared" si="3"/>
        <v>20850</v>
      </c>
      <c r="E215">
        <v>625500</v>
      </c>
    </row>
    <row r="216" spans="1:5" x14ac:dyDescent="0.25">
      <c r="A216">
        <v>215</v>
      </c>
      <c r="B216" t="s">
        <v>207</v>
      </c>
      <c r="C216">
        <v>5</v>
      </c>
      <c r="D216">
        <f t="shared" si="3"/>
        <v>8200</v>
      </c>
      <c r="E216">
        <v>41000</v>
      </c>
    </row>
    <row r="217" spans="1:5" x14ac:dyDescent="0.25">
      <c r="A217">
        <v>216</v>
      </c>
      <c r="B217" t="s">
        <v>208</v>
      </c>
      <c r="C217">
        <v>10</v>
      </c>
      <c r="D217">
        <f t="shared" si="3"/>
        <v>6958</v>
      </c>
      <c r="E217">
        <v>69580</v>
      </c>
    </row>
    <row r="218" spans="1:5" x14ac:dyDescent="0.25">
      <c r="A218">
        <v>217</v>
      </c>
      <c r="B218" t="s">
        <v>209</v>
      </c>
      <c r="C218">
        <v>50</v>
      </c>
      <c r="D218">
        <f t="shared" si="3"/>
        <v>1616</v>
      </c>
      <c r="E218">
        <v>80800</v>
      </c>
    </row>
    <row r="219" spans="1:5" x14ac:dyDescent="0.25">
      <c r="A219">
        <v>218</v>
      </c>
      <c r="B219" t="s">
        <v>210</v>
      </c>
      <c r="C219">
        <v>2</v>
      </c>
      <c r="D219">
        <f t="shared" si="3"/>
        <v>132335</v>
      </c>
      <c r="E219">
        <v>264670</v>
      </c>
    </row>
    <row r="220" spans="1:5" x14ac:dyDescent="0.25">
      <c r="A220">
        <v>219</v>
      </c>
      <c r="B220" t="s">
        <v>211</v>
      </c>
      <c r="C220">
        <v>5</v>
      </c>
      <c r="D220">
        <f t="shared" si="3"/>
        <v>31440</v>
      </c>
      <c r="E220">
        <v>157200</v>
      </c>
    </row>
    <row r="221" spans="1:5" x14ac:dyDescent="0.25">
      <c r="A221">
        <v>220</v>
      </c>
      <c r="B221" t="s">
        <v>212</v>
      </c>
      <c r="C221">
        <v>8</v>
      </c>
      <c r="D221">
        <f t="shared" si="3"/>
        <v>3735</v>
      </c>
      <c r="E221">
        <v>29880</v>
      </c>
    </row>
    <row r="222" spans="1:5" x14ac:dyDescent="0.25">
      <c r="A222">
        <v>221</v>
      </c>
      <c r="B222" t="s">
        <v>213</v>
      </c>
      <c r="C222">
        <v>1</v>
      </c>
      <c r="D222">
        <f t="shared" si="3"/>
        <v>11855</v>
      </c>
      <c r="E222">
        <v>11855</v>
      </c>
    </row>
    <row r="223" spans="1:5" x14ac:dyDescent="0.25">
      <c r="A223">
        <v>222</v>
      </c>
      <c r="B223" t="s">
        <v>214</v>
      </c>
      <c r="C223">
        <v>3</v>
      </c>
      <c r="D223">
        <f t="shared" si="3"/>
        <v>11320</v>
      </c>
      <c r="E223">
        <v>33960</v>
      </c>
    </row>
    <row r="224" spans="1:5" x14ac:dyDescent="0.25">
      <c r="A224">
        <v>223</v>
      </c>
      <c r="B224" t="s">
        <v>215</v>
      </c>
      <c r="C224">
        <v>15</v>
      </c>
      <c r="D224">
        <f t="shared" si="3"/>
        <v>3810</v>
      </c>
      <c r="E224">
        <v>57150</v>
      </c>
    </row>
    <row r="225" spans="1:5" x14ac:dyDescent="0.25">
      <c r="A225">
        <v>224</v>
      </c>
      <c r="B225" t="s">
        <v>216</v>
      </c>
      <c r="C225">
        <v>4</v>
      </c>
      <c r="D225">
        <f t="shared" si="3"/>
        <v>1390</v>
      </c>
      <c r="E225">
        <v>5560</v>
      </c>
    </row>
    <row r="226" spans="1:5" x14ac:dyDescent="0.25">
      <c r="A226">
        <v>225</v>
      </c>
      <c r="B226" t="s">
        <v>116</v>
      </c>
      <c r="C226">
        <v>1</v>
      </c>
      <c r="D226">
        <f t="shared" si="3"/>
        <v>196860</v>
      </c>
      <c r="E226">
        <v>196860</v>
      </c>
    </row>
    <row r="227" spans="1:5" x14ac:dyDescent="0.25">
      <c r="A227">
        <v>226</v>
      </c>
      <c r="B227" t="s">
        <v>217</v>
      </c>
      <c r="C227">
        <v>1</v>
      </c>
      <c r="D227">
        <f t="shared" si="3"/>
        <v>196860</v>
      </c>
      <c r="E227">
        <v>196860</v>
      </c>
    </row>
    <row r="228" spans="1:5" x14ac:dyDescent="0.25">
      <c r="A228">
        <v>227</v>
      </c>
      <c r="B228" t="s">
        <v>218</v>
      </c>
      <c r="C228">
        <v>1</v>
      </c>
      <c r="D228">
        <f t="shared" si="3"/>
        <v>10059</v>
      </c>
      <c r="E228">
        <v>10059</v>
      </c>
    </row>
    <row r="229" spans="1:5" x14ac:dyDescent="0.25">
      <c r="A229">
        <v>228</v>
      </c>
      <c r="B229" t="s">
        <v>219</v>
      </c>
      <c r="C229">
        <v>1</v>
      </c>
      <c r="D229">
        <f t="shared" si="3"/>
        <v>380736</v>
      </c>
      <c r="E229">
        <v>380736</v>
      </c>
    </row>
    <row r="230" spans="1:5" x14ac:dyDescent="0.25">
      <c r="A230">
        <v>229</v>
      </c>
      <c r="B230" t="s">
        <v>220</v>
      </c>
      <c r="C230">
        <v>1</v>
      </c>
      <c r="D230">
        <f t="shared" si="3"/>
        <v>312825</v>
      </c>
      <c r="E230">
        <v>312825</v>
      </c>
    </row>
    <row r="231" spans="1:5" x14ac:dyDescent="0.25">
      <c r="A231">
        <v>230</v>
      </c>
      <c r="B231" t="s">
        <v>221</v>
      </c>
      <c r="C231">
        <v>1</v>
      </c>
      <c r="D231">
        <f t="shared" si="3"/>
        <v>210672</v>
      </c>
      <c r="E231">
        <v>210672</v>
      </c>
    </row>
    <row r="232" spans="1:5" x14ac:dyDescent="0.25">
      <c r="A232">
        <v>231</v>
      </c>
      <c r="B232" t="s">
        <v>222</v>
      </c>
      <c r="C232">
        <v>2</v>
      </c>
      <c r="D232">
        <f t="shared" si="3"/>
        <v>11008</v>
      </c>
      <c r="E232">
        <v>22016</v>
      </c>
    </row>
    <row r="233" spans="1:5" x14ac:dyDescent="0.25">
      <c r="A233">
        <v>232</v>
      </c>
      <c r="B233" t="s">
        <v>223</v>
      </c>
      <c r="C233">
        <v>2</v>
      </c>
      <c r="D233">
        <f t="shared" si="3"/>
        <v>47085</v>
      </c>
      <c r="E233">
        <v>94170</v>
      </c>
    </row>
    <row r="234" spans="1:5" x14ac:dyDescent="0.25">
      <c r="A234">
        <v>233</v>
      </c>
      <c r="B234" t="s">
        <v>224</v>
      </c>
      <c r="C234">
        <v>2</v>
      </c>
      <c r="D234">
        <f t="shared" si="3"/>
        <v>1126</v>
      </c>
      <c r="E234">
        <v>2252</v>
      </c>
    </row>
    <row r="235" spans="1:5" x14ac:dyDescent="0.25">
      <c r="A235">
        <v>234</v>
      </c>
      <c r="B235" t="s">
        <v>225</v>
      </c>
      <c r="C235">
        <v>2</v>
      </c>
      <c r="D235">
        <f t="shared" si="3"/>
        <v>913</v>
      </c>
      <c r="E235">
        <v>1826</v>
      </c>
    </row>
    <row r="236" spans="1:5" x14ac:dyDescent="0.25">
      <c r="A236">
        <v>235</v>
      </c>
      <c r="B236" t="s">
        <v>226</v>
      </c>
      <c r="C236">
        <v>2</v>
      </c>
      <c r="D236">
        <f t="shared" si="3"/>
        <v>1293</v>
      </c>
      <c r="E236">
        <v>2586</v>
      </c>
    </row>
    <row r="237" spans="1:5" x14ac:dyDescent="0.25">
      <c r="A237">
        <v>236</v>
      </c>
      <c r="B237" t="s">
        <v>227</v>
      </c>
      <c r="C237">
        <v>2</v>
      </c>
      <c r="D237">
        <f t="shared" si="3"/>
        <v>822</v>
      </c>
      <c r="E237">
        <v>1644</v>
      </c>
    </row>
    <row r="238" spans="1:5" x14ac:dyDescent="0.25">
      <c r="A238">
        <v>237</v>
      </c>
      <c r="B238" t="s">
        <v>228</v>
      </c>
      <c r="C238">
        <v>2</v>
      </c>
      <c r="D238">
        <f t="shared" si="3"/>
        <v>865</v>
      </c>
      <c r="E238">
        <v>1730</v>
      </c>
    </row>
    <row r="239" spans="1:5" x14ac:dyDescent="0.25">
      <c r="A239">
        <v>238</v>
      </c>
      <c r="B239" t="s">
        <v>229</v>
      </c>
      <c r="C239">
        <v>2</v>
      </c>
      <c r="D239">
        <f t="shared" si="3"/>
        <v>1169</v>
      </c>
      <c r="E239">
        <v>2338</v>
      </c>
    </row>
    <row r="240" spans="1:5" x14ac:dyDescent="0.25">
      <c r="A240">
        <v>239</v>
      </c>
      <c r="B240" t="s">
        <v>230</v>
      </c>
      <c r="C240">
        <v>2</v>
      </c>
      <c r="D240">
        <f t="shared" si="3"/>
        <v>2373</v>
      </c>
      <c r="E240">
        <v>4746</v>
      </c>
    </row>
    <row r="241" spans="1:5" x14ac:dyDescent="0.25">
      <c r="A241">
        <v>240</v>
      </c>
      <c r="B241" t="s">
        <v>231</v>
      </c>
      <c r="C241">
        <v>2</v>
      </c>
      <c r="D241">
        <f t="shared" si="3"/>
        <v>2191</v>
      </c>
      <c r="E241">
        <v>4382</v>
      </c>
    </row>
    <row r="242" spans="1:5" x14ac:dyDescent="0.25">
      <c r="A242">
        <v>241</v>
      </c>
      <c r="B242" t="s">
        <v>232</v>
      </c>
      <c r="C242">
        <v>2</v>
      </c>
      <c r="D242">
        <f t="shared" si="3"/>
        <v>1534</v>
      </c>
      <c r="E242">
        <v>3068</v>
      </c>
    </row>
    <row r="243" spans="1:5" x14ac:dyDescent="0.25">
      <c r="A243">
        <v>242</v>
      </c>
      <c r="B243" t="s">
        <v>233</v>
      </c>
      <c r="C243">
        <v>2</v>
      </c>
      <c r="D243">
        <f t="shared" si="3"/>
        <v>1643</v>
      </c>
      <c r="E243">
        <v>3286</v>
      </c>
    </row>
    <row r="244" spans="1:5" x14ac:dyDescent="0.25">
      <c r="A244">
        <v>243</v>
      </c>
      <c r="B244" t="s">
        <v>234</v>
      </c>
      <c r="C244">
        <v>1</v>
      </c>
      <c r="D244">
        <f t="shared" si="3"/>
        <v>235820</v>
      </c>
      <c r="E244">
        <v>235820</v>
      </c>
    </row>
    <row r="245" spans="1:5" x14ac:dyDescent="0.25">
      <c r="A245">
        <v>244</v>
      </c>
      <c r="B245" t="s">
        <v>235</v>
      </c>
      <c r="C245">
        <v>1</v>
      </c>
      <c r="D245">
        <f t="shared" si="3"/>
        <v>33900</v>
      </c>
      <c r="E245">
        <v>33900</v>
      </c>
    </row>
    <row r="246" spans="1:5" x14ac:dyDescent="0.25">
      <c r="A246">
        <v>245</v>
      </c>
      <c r="B246" t="s">
        <v>236</v>
      </c>
      <c r="C246">
        <v>4</v>
      </c>
      <c r="D246">
        <f t="shared" si="3"/>
        <v>10440</v>
      </c>
      <c r="E246">
        <v>41760</v>
      </c>
    </row>
    <row r="247" spans="1:5" x14ac:dyDescent="0.25">
      <c r="A247">
        <v>246</v>
      </c>
      <c r="B247" t="s">
        <v>237</v>
      </c>
      <c r="C247">
        <v>10</v>
      </c>
      <c r="D247">
        <f t="shared" si="3"/>
        <v>20210</v>
      </c>
      <c r="E247">
        <v>202100</v>
      </c>
    </row>
    <row r="248" spans="1:5" x14ac:dyDescent="0.25">
      <c r="A248">
        <v>247</v>
      </c>
      <c r="B248" t="s">
        <v>238</v>
      </c>
      <c r="C248">
        <v>12</v>
      </c>
      <c r="D248">
        <f t="shared" si="3"/>
        <v>2580</v>
      </c>
      <c r="E248">
        <v>30960</v>
      </c>
    </row>
    <row r="249" spans="1:5" x14ac:dyDescent="0.25">
      <c r="A249">
        <v>248</v>
      </c>
      <c r="B249" t="s">
        <v>239</v>
      </c>
      <c r="C249">
        <v>2</v>
      </c>
      <c r="D249">
        <f t="shared" si="3"/>
        <v>15675</v>
      </c>
      <c r="E249">
        <v>31350</v>
      </c>
    </row>
    <row r="250" spans="1:5" x14ac:dyDescent="0.25">
      <c r="A250">
        <v>249</v>
      </c>
      <c r="B250" t="s">
        <v>240</v>
      </c>
      <c r="C250">
        <v>1</v>
      </c>
      <c r="D250">
        <f t="shared" si="3"/>
        <v>39730</v>
      </c>
      <c r="E250">
        <v>39730</v>
      </c>
    </row>
    <row r="251" spans="1:5" x14ac:dyDescent="0.25">
      <c r="A251">
        <v>250</v>
      </c>
      <c r="B251" t="s">
        <v>241</v>
      </c>
      <c r="C251">
        <v>1</v>
      </c>
      <c r="D251">
        <f t="shared" si="3"/>
        <v>50820</v>
      </c>
      <c r="E251">
        <v>50820</v>
      </c>
    </row>
    <row r="252" spans="1:5" x14ac:dyDescent="0.25">
      <c r="A252">
        <v>251</v>
      </c>
      <c r="B252" t="s">
        <v>242</v>
      </c>
      <c r="C252">
        <v>50</v>
      </c>
      <c r="D252">
        <f t="shared" si="3"/>
        <v>2105</v>
      </c>
      <c r="E252">
        <v>105250</v>
      </c>
    </row>
    <row r="253" spans="1:5" x14ac:dyDescent="0.25">
      <c r="A253">
        <v>252</v>
      </c>
      <c r="B253" t="s">
        <v>243</v>
      </c>
      <c r="C253">
        <v>100</v>
      </c>
      <c r="D253">
        <f t="shared" si="3"/>
        <v>55</v>
      </c>
      <c r="E253">
        <v>5500</v>
      </c>
    </row>
    <row r="254" spans="1:5" x14ac:dyDescent="0.25">
      <c r="A254">
        <v>253</v>
      </c>
      <c r="B254" t="s">
        <v>244</v>
      </c>
      <c r="C254">
        <v>100</v>
      </c>
      <c r="D254">
        <f t="shared" si="3"/>
        <v>80</v>
      </c>
      <c r="E254">
        <v>8000</v>
      </c>
    </row>
    <row r="255" spans="1:5" x14ac:dyDescent="0.25">
      <c r="A255">
        <v>254</v>
      </c>
      <c r="B255" t="s">
        <v>245</v>
      </c>
      <c r="C255">
        <v>1</v>
      </c>
      <c r="D255">
        <f t="shared" ref="D255" si="4">E255/C255</f>
        <v>129705</v>
      </c>
      <c r="E255">
        <v>129705</v>
      </c>
    </row>
    <row r="256" spans="1:5" x14ac:dyDescent="0.25">
      <c r="D256" s="3" t="s">
        <v>246</v>
      </c>
      <c r="E256" s="3">
        <f>SUM(E2:E255)</f>
        <v>28598910.800000001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3"/>
  <sheetViews>
    <sheetView topLeftCell="A97" workbookViewId="0">
      <selection activeCell="E124" sqref="E124"/>
    </sheetView>
  </sheetViews>
  <sheetFormatPr defaultRowHeight="15" x14ac:dyDescent="0.25"/>
  <cols>
    <col min="1" max="1" width="6.28515625" customWidth="1"/>
    <col min="2" max="2" width="54.28515625" customWidth="1"/>
    <col min="3" max="3" width="8.42578125" customWidth="1"/>
    <col min="4" max="4" width="15.28515625" customWidth="1"/>
    <col min="5" max="6" width="15" customWidth="1"/>
  </cols>
  <sheetData>
    <row r="1" spans="1:16" ht="34.5" x14ac:dyDescent="0.25">
      <c r="B1" s="1" t="s">
        <v>0</v>
      </c>
      <c r="C1" s="1" t="s">
        <v>1</v>
      </c>
      <c r="D1" s="1" t="s">
        <v>2</v>
      </c>
      <c r="E1" s="1" t="s">
        <v>3</v>
      </c>
      <c r="F1" s="1"/>
      <c r="G1" s="4" t="s">
        <v>247</v>
      </c>
      <c r="H1" s="4" t="s">
        <v>248</v>
      </c>
      <c r="I1" s="4" t="s">
        <v>249</v>
      </c>
      <c r="J1" s="4" t="s">
        <v>250</v>
      </c>
      <c r="K1" s="1"/>
      <c r="L1" s="1"/>
      <c r="M1" s="1"/>
      <c r="N1" s="1"/>
      <c r="O1" s="1"/>
      <c r="P1" s="1"/>
    </row>
    <row r="2" spans="1:16" x14ac:dyDescent="0.25">
      <c r="A2">
        <v>1</v>
      </c>
      <c r="B2" s="5" t="s">
        <v>251</v>
      </c>
      <c r="C2">
        <v>2</v>
      </c>
      <c r="D2">
        <f t="shared" ref="D2:D65" si="0">E2/C2</f>
        <v>3500</v>
      </c>
      <c r="E2">
        <v>7000</v>
      </c>
      <c r="G2" s="6"/>
      <c r="H2" s="6"/>
      <c r="I2" s="6"/>
      <c r="J2" s="6"/>
    </row>
    <row r="3" spans="1:16" x14ac:dyDescent="0.25">
      <c r="A3">
        <v>2</v>
      </c>
      <c r="B3" s="5" t="s">
        <v>252</v>
      </c>
      <c r="C3">
        <v>8</v>
      </c>
      <c r="D3">
        <f t="shared" si="0"/>
        <v>1080</v>
      </c>
      <c r="E3">
        <v>8640</v>
      </c>
      <c r="G3" s="6"/>
      <c r="H3" s="6"/>
      <c r="I3" s="6"/>
      <c r="J3" s="6"/>
    </row>
    <row r="4" spans="1:16" x14ac:dyDescent="0.25">
      <c r="A4">
        <v>3</v>
      </c>
      <c r="B4" s="5" t="s">
        <v>253</v>
      </c>
      <c r="C4">
        <v>2</v>
      </c>
      <c r="D4">
        <f t="shared" si="0"/>
        <v>650</v>
      </c>
      <c r="E4">
        <v>1300</v>
      </c>
      <c r="G4" s="6"/>
      <c r="H4" s="6"/>
      <c r="I4" s="6"/>
      <c r="J4" s="6"/>
    </row>
    <row r="5" spans="1:16" x14ac:dyDescent="0.25">
      <c r="A5">
        <v>4</v>
      </c>
      <c r="B5" s="5" t="s">
        <v>254</v>
      </c>
      <c r="C5">
        <v>1</v>
      </c>
      <c r="D5">
        <f t="shared" si="0"/>
        <v>1190</v>
      </c>
      <c r="E5">
        <v>1190</v>
      </c>
      <c r="G5" s="6"/>
      <c r="H5" s="6"/>
      <c r="I5" s="6"/>
      <c r="J5" s="6"/>
    </row>
    <row r="6" spans="1:16" x14ac:dyDescent="0.25">
      <c r="A6">
        <v>5</v>
      </c>
      <c r="B6" s="5" t="s">
        <v>255</v>
      </c>
      <c r="C6">
        <v>10</v>
      </c>
      <c r="D6">
        <f t="shared" si="0"/>
        <v>1510</v>
      </c>
      <c r="E6">
        <v>15100</v>
      </c>
      <c r="G6" s="6"/>
      <c r="H6" s="6"/>
      <c r="I6" s="6"/>
      <c r="J6" s="6"/>
    </row>
    <row r="7" spans="1:16" x14ac:dyDescent="0.25">
      <c r="A7">
        <v>6</v>
      </c>
      <c r="B7" s="5" t="s">
        <v>256</v>
      </c>
      <c r="C7">
        <v>1</v>
      </c>
      <c r="D7">
        <f t="shared" si="0"/>
        <v>675</v>
      </c>
      <c r="E7">
        <v>675</v>
      </c>
      <c r="G7" s="6"/>
      <c r="H7" s="6"/>
      <c r="I7" s="6"/>
      <c r="J7" s="6"/>
    </row>
    <row r="8" spans="1:16" x14ac:dyDescent="0.25">
      <c r="A8">
        <v>7</v>
      </c>
      <c r="B8" s="5" t="s">
        <v>257</v>
      </c>
      <c r="C8">
        <v>1</v>
      </c>
      <c r="D8">
        <f t="shared" si="0"/>
        <v>3295</v>
      </c>
      <c r="E8">
        <v>3295</v>
      </c>
      <c r="G8" s="6"/>
      <c r="H8" s="6"/>
      <c r="I8" s="6"/>
      <c r="J8" s="6"/>
    </row>
    <row r="9" spans="1:16" x14ac:dyDescent="0.25">
      <c r="A9">
        <v>8</v>
      </c>
      <c r="B9" s="5" t="s">
        <v>258</v>
      </c>
      <c r="C9">
        <v>5</v>
      </c>
      <c r="D9">
        <f t="shared" si="0"/>
        <v>1620</v>
      </c>
      <c r="E9">
        <v>8100</v>
      </c>
      <c r="G9" s="6"/>
      <c r="H9" s="6"/>
      <c r="I9" s="6"/>
      <c r="J9" s="6"/>
    </row>
    <row r="10" spans="1:16" x14ac:dyDescent="0.25">
      <c r="A10">
        <v>9</v>
      </c>
      <c r="B10" s="5" t="s">
        <v>259</v>
      </c>
      <c r="C10">
        <v>2</v>
      </c>
      <c r="D10">
        <f t="shared" si="0"/>
        <v>2215</v>
      </c>
      <c r="E10">
        <v>4430</v>
      </c>
      <c r="G10" s="6"/>
      <c r="H10" s="6"/>
      <c r="I10" s="6"/>
      <c r="J10" s="6"/>
    </row>
    <row r="11" spans="1:16" x14ac:dyDescent="0.25">
      <c r="A11">
        <v>10</v>
      </c>
      <c r="B11" s="5" t="s">
        <v>260</v>
      </c>
      <c r="C11">
        <v>1</v>
      </c>
      <c r="D11">
        <f t="shared" si="0"/>
        <v>91690</v>
      </c>
      <c r="E11">
        <v>91690</v>
      </c>
      <c r="G11" s="6"/>
      <c r="H11" s="6"/>
      <c r="I11" s="6"/>
      <c r="J11" s="6"/>
    </row>
    <row r="12" spans="1:16" x14ac:dyDescent="0.25">
      <c r="A12">
        <v>11</v>
      </c>
      <c r="B12" s="5" t="s">
        <v>261</v>
      </c>
      <c r="C12">
        <v>1</v>
      </c>
      <c r="D12">
        <f t="shared" si="0"/>
        <v>213675</v>
      </c>
      <c r="E12">
        <v>213675</v>
      </c>
      <c r="G12" s="6"/>
      <c r="H12" s="6"/>
      <c r="I12" s="6"/>
      <c r="J12" s="6"/>
    </row>
    <row r="13" spans="1:16" x14ac:dyDescent="0.25">
      <c r="A13">
        <v>12</v>
      </c>
      <c r="B13" s="5" t="s">
        <v>262</v>
      </c>
      <c r="C13">
        <v>1</v>
      </c>
      <c r="D13">
        <f t="shared" si="0"/>
        <v>18895</v>
      </c>
      <c r="E13">
        <v>18895</v>
      </c>
      <c r="G13" s="6"/>
      <c r="H13" s="6"/>
      <c r="I13" s="6"/>
      <c r="J13" s="6"/>
    </row>
    <row r="14" spans="1:16" x14ac:dyDescent="0.25">
      <c r="A14">
        <v>13</v>
      </c>
      <c r="B14" s="5" t="s">
        <v>263</v>
      </c>
      <c r="C14">
        <v>2</v>
      </c>
      <c r="D14">
        <f t="shared" si="0"/>
        <v>21900</v>
      </c>
      <c r="E14">
        <v>43800</v>
      </c>
      <c r="G14" s="6"/>
      <c r="H14" s="6"/>
      <c r="I14" s="6"/>
      <c r="J14" s="6"/>
    </row>
    <row r="15" spans="1:16" x14ac:dyDescent="0.25">
      <c r="A15">
        <v>14</v>
      </c>
      <c r="B15" s="5" t="s">
        <v>264</v>
      </c>
      <c r="C15">
        <v>200</v>
      </c>
      <c r="D15">
        <f t="shared" si="0"/>
        <v>585</v>
      </c>
      <c r="E15">
        <v>117000</v>
      </c>
      <c r="G15" s="6"/>
      <c r="H15" s="6"/>
      <c r="I15" s="6"/>
      <c r="J15" s="6"/>
    </row>
    <row r="16" spans="1:16" x14ac:dyDescent="0.25">
      <c r="A16">
        <v>15</v>
      </c>
      <c r="B16" s="5" t="s">
        <v>265</v>
      </c>
      <c r="C16">
        <v>1</v>
      </c>
      <c r="D16">
        <f t="shared" si="0"/>
        <v>13100</v>
      </c>
      <c r="E16">
        <v>13100</v>
      </c>
      <c r="G16" s="6"/>
      <c r="H16" s="6"/>
      <c r="I16" s="6"/>
      <c r="J16" s="6"/>
    </row>
    <row r="17" spans="1:10" x14ac:dyDescent="0.25">
      <c r="A17">
        <v>16</v>
      </c>
      <c r="B17" s="7" t="s">
        <v>266</v>
      </c>
      <c r="C17">
        <v>3</v>
      </c>
      <c r="D17">
        <f t="shared" si="0"/>
        <v>5960</v>
      </c>
      <c r="E17">
        <v>17880</v>
      </c>
      <c r="F17" t="s">
        <v>267</v>
      </c>
      <c r="G17" s="6"/>
      <c r="H17" s="6"/>
      <c r="I17" s="6"/>
      <c r="J17" s="6"/>
    </row>
    <row r="18" spans="1:10" x14ac:dyDescent="0.25">
      <c r="A18">
        <v>17</v>
      </c>
      <c r="B18" s="5" t="s">
        <v>268</v>
      </c>
      <c r="C18">
        <v>1</v>
      </c>
      <c r="D18">
        <f t="shared" si="0"/>
        <v>8545</v>
      </c>
      <c r="E18">
        <v>8545</v>
      </c>
      <c r="G18" s="6"/>
      <c r="H18" s="6"/>
      <c r="I18" s="6"/>
      <c r="J18" s="6"/>
    </row>
    <row r="19" spans="1:10" x14ac:dyDescent="0.25">
      <c r="A19">
        <v>18</v>
      </c>
      <c r="B19" s="8" t="s">
        <v>269</v>
      </c>
      <c r="C19">
        <v>2</v>
      </c>
      <c r="D19">
        <f t="shared" si="0"/>
        <v>280530</v>
      </c>
      <c r="E19">
        <v>561060</v>
      </c>
      <c r="G19" s="6"/>
      <c r="H19" s="6"/>
      <c r="I19" s="6"/>
      <c r="J19" s="6"/>
    </row>
    <row r="20" spans="1:10" x14ac:dyDescent="0.25">
      <c r="A20">
        <v>19</v>
      </c>
      <c r="B20" s="8" t="s">
        <v>270</v>
      </c>
      <c r="C20">
        <v>50</v>
      </c>
      <c r="D20">
        <f t="shared" si="0"/>
        <v>1386</v>
      </c>
      <c r="E20">
        <f>1386*C20</f>
        <v>69300</v>
      </c>
      <c r="G20" s="6"/>
      <c r="H20" s="6"/>
      <c r="I20" s="6"/>
      <c r="J20" s="6"/>
    </row>
    <row r="21" spans="1:10" x14ac:dyDescent="0.25">
      <c r="A21">
        <v>20</v>
      </c>
      <c r="B21" s="8" t="s">
        <v>271</v>
      </c>
      <c r="C21">
        <v>60</v>
      </c>
      <c r="D21">
        <f t="shared" si="0"/>
        <v>3318</v>
      </c>
      <c r="E21">
        <f>3318*C21</f>
        <v>199080</v>
      </c>
      <c r="G21" s="6"/>
      <c r="H21" s="6"/>
      <c r="I21" s="6"/>
      <c r="J21" s="6"/>
    </row>
    <row r="22" spans="1:10" x14ac:dyDescent="0.25">
      <c r="A22">
        <v>21</v>
      </c>
      <c r="B22" s="8" t="s">
        <v>272</v>
      </c>
      <c r="C22">
        <v>30</v>
      </c>
      <c r="D22">
        <f t="shared" si="0"/>
        <v>647</v>
      </c>
      <c r="E22">
        <f>647*C22</f>
        <v>19410</v>
      </c>
      <c r="G22" s="6"/>
      <c r="H22" s="6"/>
      <c r="I22" s="6"/>
      <c r="J22" s="6"/>
    </row>
    <row r="23" spans="1:10" x14ac:dyDescent="0.25">
      <c r="A23">
        <v>22</v>
      </c>
      <c r="B23" s="8" t="s">
        <v>273</v>
      </c>
      <c r="C23">
        <v>10</v>
      </c>
      <c r="D23">
        <f t="shared" si="0"/>
        <v>302</v>
      </c>
      <c r="E23">
        <f>302*C23</f>
        <v>3020</v>
      </c>
      <c r="G23" s="6"/>
      <c r="H23" s="6"/>
      <c r="I23" s="6"/>
      <c r="J23" s="6"/>
    </row>
    <row r="24" spans="1:10" x14ac:dyDescent="0.25">
      <c r="A24">
        <v>23</v>
      </c>
      <c r="B24" s="5" t="s">
        <v>274</v>
      </c>
      <c r="C24">
        <v>100</v>
      </c>
      <c r="D24">
        <f t="shared" si="0"/>
        <v>140</v>
      </c>
      <c r="E24">
        <v>14000</v>
      </c>
      <c r="G24" s="6"/>
      <c r="H24" s="6"/>
      <c r="I24" s="6"/>
      <c r="J24" s="6"/>
    </row>
    <row r="25" spans="1:10" x14ac:dyDescent="0.25">
      <c r="A25">
        <v>24</v>
      </c>
      <c r="B25" s="5" t="s">
        <v>275</v>
      </c>
      <c r="C25">
        <v>100</v>
      </c>
      <c r="D25">
        <f t="shared" si="0"/>
        <v>280</v>
      </c>
      <c r="E25">
        <v>28000</v>
      </c>
      <c r="G25" s="6"/>
      <c r="H25" s="6"/>
      <c r="I25" s="6"/>
      <c r="J25" s="6"/>
    </row>
    <row r="26" spans="1:10" x14ac:dyDescent="0.25">
      <c r="A26">
        <v>25</v>
      </c>
      <c r="B26" s="5" t="s">
        <v>276</v>
      </c>
      <c r="C26">
        <v>10</v>
      </c>
      <c r="D26">
        <f t="shared" si="0"/>
        <v>1455</v>
      </c>
      <c r="E26">
        <v>14550</v>
      </c>
      <c r="G26" s="6"/>
      <c r="H26" s="6"/>
      <c r="I26" s="6"/>
      <c r="J26" s="6"/>
    </row>
    <row r="27" spans="1:10" x14ac:dyDescent="0.25">
      <c r="A27">
        <v>26</v>
      </c>
      <c r="B27" s="5" t="s">
        <v>277</v>
      </c>
      <c r="C27">
        <v>2</v>
      </c>
      <c r="D27">
        <f t="shared" si="0"/>
        <v>44230</v>
      </c>
      <c r="E27">
        <v>88460</v>
      </c>
      <c r="G27" s="6"/>
      <c r="H27" s="6"/>
      <c r="I27" s="6"/>
      <c r="J27" s="6"/>
    </row>
    <row r="28" spans="1:10" x14ac:dyDescent="0.25">
      <c r="A28">
        <v>27</v>
      </c>
      <c r="B28" s="5" t="s">
        <v>278</v>
      </c>
      <c r="C28">
        <v>1</v>
      </c>
      <c r="D28">
        <f t="shared" si="0"/>
        <v>110025</v>
      </c>
      <c r="E28">
        <v>110025</v>
      </c>
      <c r="G28" s="6"/>
      <c r="H28" s="6"/>
      <c r="I28" s="6"/>
      <c r="J28" s="6"/>
    </row>
    <row r="29" spans="1:10" x14ac:dyDescent="0.25">
      <c r="A29">
        <v>28</v>
      </c>
      <c r="B29" s="5" t="s">
        <v>279</v>
      </c>
      <c r="C29">
        <v>4</v>
      </c>
      <c r="D29">
        <f t="shared" si="0"/>
        <v>4850</v>
      </c>
      <c r="E29">
        <v>19400</v>
      </c>
      <c r="G29" s="6"/>
      <c r="H29" s="6"/>
      <c r="I29" s="6"/>
      <c r="J29" s="6"/>
    </row>
    <row r="30" spans="1:10" x14ac:dyDescent="0.25">
      <c r="A30">
        <v>29</v>
      </c>
      <c r="B30" s="5" t="s">
        <v>280</v>
      </c>
      <c r="C30">
        <v>4</v>
      </c>
      <c r="D30">
        <f t="shared" si="0"/>
        <v>24880</v>
      </c>
      <c r="E30">
        <v>99520</v>
      </c>
      <c r="G30" s="6"/>
      <c r="H30" s="6"/>
      <c r="I30" s="6"/>
      <c r="J30" s="6"/>
    </row>
    <row r="31" spans="1:10" x14ac:dyDescent="0.25">
      <c r="A31">
        <v>30</v>
      </c>
      <c r="B31" s="5" t="s">
        <v>281</v>
      </c>
      <c r="C31">
        <v>2</v>
      </c>
      <c r="D31">
        <f t="shared" si="0"/>
        <v>10195</v>
      </c>
      <c r="E31">
        <v>20390</v>
      </c>
      <c r="G31" s="6"/>
      <c r="H31" s="6"/>
      <c r="I31" s="6"/>
      <c r="J31" s="6"/>
    </row>
    <row r="32" spans="1:10" x14ac:dyDescent="0.25">
      <c r="A32">
        <v>31</v>
      </c>
      <c r="B32" s="9" t="s">
        <v>282</v>
      </c>
      <c r="C32">
        <v>1</v>
      </c>
      <c r="D32">
        <f t="shared" si="0"/>
        <v>69300</v>
      </c>
      <c r="E32">
        <v>69300</v>
      </c>
      <c r="G32" s="6"/>
      <c r="H32" s="6"/>
      <c r="I32" s="6"/>
      <c r="J32" s="6"/>
    </row>
    <row r="33" spans="1:10" x14ac:dyDescent="0.25">
      <c r="A33">
        <v>32</v>
      </c>
      <c r="B33" s="10" t="s">
        <v>283</v>
      </c>
      <c r="C33">
        <v>50</v>
      </c>
      <c r="D33">
        <f t="shared" si="0"/>
        <v>586</v>
      </c>
      <c r="E33">
        <v>29300</v>
      </c>
      <c r="G33" s="6"/>
      <c r="H33" s="6"/>
      <c r="I33" s="6"/>
      <c r="J33" s="6"/>
    </row>
    <row r="34" spans="1:10" x14ac:dyDescent="0.25">
      <c r="A34">
        <v>33</v>
      </c>
      <c r="B34" s="10" t="s">
        <v>284</v>
      </c>
      <c r="C34">
        <v>30</v>
      </c>
      <c r="D34">
        <f t="shared" si="0"/>
        <v>586</v>
      </c>
      <c r="E34">
        <v>17580</v>
      </c>
      <c r="G34" s="6"/>
      <c r="H34" s="6"/>
      <c r="I34" s="6"/>
      <c r="J34" s="6"/>
    </row>
    <row r="35" spans="1:10" x14ac:dyDescent="0.25">
      <c r="A35">
        <v>34</v>
      </c>
      <c r="B35" s="10" t="s">
        <v>285</v>
      </c>
      <c r="C35">
        <v>20</v>
      </c>
      <c r="D35">
        <f t="shared" si="0"/>
        <v>2357</v>
      </c>
      <c r="E35">
        <v>47140</v>
      </c>
      <c r="G35" s="6"/>
      <c r="H35" s="6"/>
      <c r="I35" s="6"/>
      <c r="J35" s="6"/>
    </row>
    <row r="36" spans="1:10" x14ac:dyDescent="0.25">
      <c r="A36">
        <v>35</v>
      </c>
      <c r="B36" s="11" t="s">
        <v>286</v>
      </c>
      <c r="C36">
        <v>10</v>
      </c>
      <c r="D36">
        <f t="shared" si="0"/>
        <v>4524</v>
      </c>
      <c r="E36">
        <v>45240</v>
      </c>
      <c r="G36" s="6"/>
      <c r="H36" s="6"/>
      <c r="I36" s="6"/>
      <c r="J36" s="6"/>
    </row>
    <row r="37" spans="1:10" x14ac:dyDescent="0.25">
      <c r="A37">
        <v>36</v>
      </c>
      <c r="B37" s="8" t="s">
        <v>287</v>
      </c>
      <c r="C37">
        <v>2</v>
      </c>
      <c r="D37">
        <f t="shared" si="0"/>
        <v>181500</v>
      </c>
      <c r="E37">
        <f>181500*2</f>
        <v>363000</v>
      </c>
      <c r="G37" s="6"/>
      <c r="H37" s="6"/>
      <c r="I37" s="6"/>
      <c r="J37" s="6"/>
    </row>
    <row r="38" spans="1:10" x14ac:dyDescent="0.25">
      <c r="A38">
        <v>37</v>
      </c>
      <c r="B38" s="8" t="s">
        <v>288</v>
      </c>
      <c r="C38">
        <v>6</v>
      </c>
      <c r="D38">
        <f t="shared" si="0"/>
        <v>10950</v>
      </c>
      <c r="E38">
        <f>10950*6</f>
        <v>65700</v>
      </c>
      <c r="G38" s="6"/>
      <c r="H38" s="6"/>
      <c r="I38" s="6"/>
      <c r="J38" s="6"/>
    </row>
    <row r="39" spans="1:10" x14ac:dyDescent="0.25">
      <c r="A39">
        <v>38</v>
      </c>
      <c r="B39" s="8" t="s">
        <v>289</v>
      </c>
      <c r="C39">
        <v>1</v>
      </c>
      <c r="D39">
        <f t="shared" si="0"/>
        <v>165750</v>
      </c>
      <c r="E39">
        <v>165750</v>
      </c>
      <c r="G39" s="6"/>
      <c r="H39" s="6"/>
      <c r="I39" s="6"/>
      <c r="J39" s="6"/>
    </row>
    <row r="40" spans="1:10" x14ac:dyDescent="0.25">
      <c r="A40">
        <v>39</v>
      </c>
      <c r="B40" s="8" t="s">
        <v>290</v>
      </c>
      <c r="C40">
        <v>1</v>
      </c>
      <c r="D40">
        <f t="shared" si="0"/>
        <v>150000</v>
      </c>
      <c r="E40">
        <v>150000</v>
      </c>
      <c r="G40" s="6"/>
      <c r="H40" s="6"/>
      <c r="I40" s="6"/>
      <c r="J40" s="6"/>
    </row>
    <row r="41" spans="1:10" x14ac:dyDescent="0.25">
      <c r="A41">
        <v>40</v>
      </c>
      <c r="B41" s="5" t="s">
        <v>291</v>
      </c>
      <c r="C41">
        <v>4</v>
      </c>
      <c r="D41">
        <f t="shared" si="0"/>
        <v>3570</v>
      </c>
      <c r="E41">
        <v>14280</v>
      </c>
      <c r="G41" s="6"/>
      <c r="H41" s="6"/>
      <c r="I41" s="6"/>
      <c r="J41" s="6"/>
    </row>
    <row r="42" spans="1:10" x14ac:dyDescent="0.25">
      <c r="A42">
        <v>41</v>
      </c>
      <c r="B42" s="5" t="s">
        <v>292</v>
      </c>
      <c r="C42">
        <v>8</v>
      </c>
      <c r="D42">
        <f t="shared" si="0"/>
        <v>1910</v>
      </c>
      <c r="E42">
        <v>15280</v>
      </c>
      <c r="G42" s="6"/>
      <c r="H42" s="6"/>
      <c r="I42" s="6"/>
      <c r="J42" s="6"/>
    </row>
    <row r="43" spans="1:10" x14ac:dyDescent="0.25">
      <c r="A43">
        <v>42</v>
      </c>
      <c r="B43" s="5" t="s">
        <v>293</v>
      </c>
      <c r="C43">
        <v>40</v>
      </c>
      <c r="D43">
        <f t="shared" si="0"/>
        <v>710</v>
      </c>
      <c r="E43">
        <v>28400</v>
      </c>
      <c r="G43" s="6"/>
      <c r="H43" s="6"/>
      <c r="I43" s="6"/>
      <c r="J43" s="6"/>
    </row>
    <row r="44" spans="1:10" x14ac:dyDescent="0.25">
      <c r="A44">
        <v>43</v>
      </c>
      <c r="B44" s="5" t="s">
        <v>294</v>
      </c>
      <c r="C44">
        <v>100</v>
      </c>
      <c r="D44">
        <f t="shared" si="0"/>
        <v>120</v>
      </c>
      <c r="E44">
        <v>12000</v>
      </c>
      <c r="G44" s="6"/>
      <c r="H44" s="6"/>
      <c r="I44" s="6"/>
      <c r="J44" s="6"/>
    </row>
    <row r="45" spans="1:10" x14ac:dyDescent="0.25">
      <c r="A45">
        <v>44</v>
      </c>
      <c r="B45" s="5" t="s">
        <v>295</v>
      </c>
      <c r="C45">
        <v>20</v>
      </c>
      <c r="D45">
        <f t="shared" si="0"/>
        <v>7415</v>
      </c>
      <c r="E45">
        <v>148300</v>
      </c>
      <c r="G45" s="6"/>
      <c r="H45" s="6"/>
      <c r="I45" s="6"/>
      <c r="J45" s="6"/>
    </row>
    <row r="46" spans="1:10" x14ac:dyDescent="0.25">
      <c r="A46">
        <v>45</v>
      </c>
      <c r="B46" s="11" t="s">
        <v>296</v>
      </c>
      <c r="C46">
        <v>1</v>
      </c>
      <c r="D46">
        <f t="shared" si="0"/>
        <v>24618</v>
      </c>
      <c r="E46">
        <v>24618</v>
      </c>
      <c r="G46" s="6"/>
      <c r="H46" s="6"/>
      <c r="I46" s="6"/>
      <c r="J46" s="6"/>
    </row>
    <row r="47" spans="1:10" x14ac:dyDescent="0.25">
      <c r="A47">
        <v>46</v>
      </c>
      <c r="B47" s="11" t="s">
        <v>297</v>
      </c>
      <c r="C47">
        <v>1</v>
      </c>
      <c r="D47">
        <f t="shared" si="0"/>
        <v>23170</v>
      </c>
      <c r="E47">
        <v>23170</v>
      </c>
      <c r="G47" s="6"/>
      <c r="H47" s="6"/>
      <c r="I47" s="6"/>
      <c r="J47" s="6"/>
    </row>
    <row r="48" spans="1:10" x14ac:dyDescent="0.25">
      <c r="A48">
        <v>47</v>
      </c>
      <c r="B48" s="11" t="s">
        <v>298</v>
      </c>
      <c r="C48">
        <v>1</v>
      </c>
      <c r="D48">
        <f t="shared" si="0"/>
        <v>217216</v>
      </c>
      <c r="E48">
        <v>217216</v>
      </c>
      <c r="G48" s="6"/>
      <c r="H48" s="6"/>
      <c r="I48" s="6"/>
      <c r="J48" s="6"/>
    </row>
    <row r="49" spans="1:10" x14ac:dyDescent="0.25">
      <c r="A49">
        <v>48</v>
      </c>
      <c r="B49" s="11" t="s">
        <v>299</v>
      </c>
      <c r="C49">
        <v>1</v>
      </c>
      <c r="D49">
        <f t="shared" si="0"/>
        <v>5793</v>
      </c>
      <c r="E49">
        <v>5793</v>
      </c>
      <c r="G49" s="6"/>
      <c r="H49" s="6"/>
      <c r="I49" s="6"/>
      <c r="J49" s="6"/>
    </row>
    <row r="50" spans="1:10" x14ac:dyDescent="0.25">
      <c r="A50">
        <v>49</v>
      </c>
      <c r="B50" s="11" t="s">
        <v>300</v>
      </c>
      <c r="C50">
        <v>1</v>
      </c>
      <c r="D50">
        <f t="shared" si="0"/>
        <v>161280</v>
      </c>
      <c r="E50">
        <v>161280</v>
      </c>
      <c r="G50" s="6"/>
      <c r="H50" s="6"/>
      <c r="I50" s="6"/>
      <c r="J50" s="6"/>
    </row>
    <row r="51" spans="1:10" x14ac:dyDescent="0.25">
      <c r="A51">
        <v>50</v>
      </c>
      <c r="B51" s="11" t="s">
        <v>301</v>
      </c>
      <c r="C51">
        <v>1</v>
      </c>
      <c r="D51">
        <f t="shared" si="0"/>
        <v>256000</v>
      </c>
      <c r="E51">
        <v>256000</v>
      </c>
      <c r="G51" s="6"/>
      <c r="H51" s="6"/>
      <c r="I51" s="6"/>
      <c r="J51" s="6"/>
    </row>
    <row r="52" spans="1:10" x14ac:dyDescent="0.25">
      <c r="A52">
        <v>51</v>
      </c>
      <c r="B52" s="11" t="s">
        <v>302</v>
      </c>
      <c r="C52">
        <v>1</v>
      </c>
      <c r="D52">
        <f t="shared" si="0"/>
        <v>101888</v>
      </c>
      <c r="E52">
        <v>101888</v>
      </c>
      <c r="G52" s="6"/>
      <c r="H52" s="6"/>
      <c r="I52" s="6"/>
      <c r="J52" s="6"/>
    </row>
    <row r="53" spans="1:10" x14ac:dyDescent="0.25">
      <c r="A53">
        <v>52</v>
      </c>
      <c r="B53" s="8" t="s">
        <v>303</v>
      </c>
      <c r="C53">
        <v>3</v>
      </c>
      <c r="D53">
        <f t="shared" si="0"/>
        <v>82080</v>
      </c>
      <c r="E53">
        <v>246240</v>
      </c>
      <c r="G53" s="6"/>
      <c r="H53" s="6"/>
      <c r="I53" s="6"/>
      <c r="J53" s="6"/>
    </row>
    <row r="54" spans="1:10" x14ac:dyDescent="0.25">
      <c r="A54">
        <v>53</v>
      </c>
      <c r="B54" s="5" t="s">
        <v>304</v>
      </c>
      <c r="C54">
        <v>2</v>
      </c>
      <c r="D54">
        <f t="shared" si="0"/>
        <v>5340</v>
      </c>
      <c r="E54">
        <v>10680</v>
      </c>
      <c r="G54" s="6"/>
      <c r="H54" s="6"/>
      <c r="I54" s="6"/>
      <c r="J54" s="6"/>
    </row>
    <row r="55" spans="1:10" x14ac:dyDescent="0.25">
      <c r="A55">
        <v>54</v>
      </c>
      <c r="B55" s="5" t="s">
        <v>305</v>
      </c>
      <c r="C55">
        <v>2</v>
      </c>
      <c r="D55">
        <f t="shared" si="0"/>
        <v>6230</v>
      </c>
      <c r="E55">
        <v>12460</v>
      </c>
      <c r="G55" s="12">
        <v>6230</v>
      </c>
      <c r="H55" s="12">
        <f>G55*0.97</f>
        <v>6043.0999999999995</v>
      </c>
      <c r="I55" s="12">
        <f>H55*1.2</f>
        <v>7251.7199999999993</v>
      </c>
      <c r="J55" s="12">
        <f>I55*C55</f>
        <v>14503.439999999999</v>
      </c>
    </row>
    <row r="56" spans="1:10" x14ac:dyDescent="0.25">
      <c r="A56">
        <v>55</v>
      </c>
      <c r="B56" s="5" t="s">
        <v>306</v>
      </c>
      <c r="C56">
        <v>84</v>
      </c>
      <c r="D56">
        <f t="shared" si="0"/>
        <v>80</v>
      </c>
      <c r="E56">
        <v>6720</v>
      </c>
      <c r="G56" s="6"/>
      <c r="H56" s="6"/>
      <c r="I56" s="6"/>
      <c r="J56" s="6"/>
    </row>
    <row r="57" spans="1:10" x14ac:dyDescent="0.25">
      <c r="A57">
        <v>56</v>
      </c>
      <c r="B57" s="5" t="s">
        <v>307</v>
      </c>
      <c r="C57">
        <v>1</v>
      </c>
      <c r="D57">
        <f t="shared" si="0"/>
        <v>34700</v>
      </c>
      <c r="E57">
        <v>34700</v>
      </c>
      <c r="G57" s="6"/>
      <c r="H57" s="6"/>
      <c r="I57" s="6"/>
      <c r="J57" s="6"/>
    </row>
    <row r="58" spans="1:10" x14ac:dyDescent="0.25">
      <c r="A58">
        <v>57</v>
      </c>
      <c r="B58" s="5" t="s">
        <v>308</v>
      </c>
      <c r="C58">
        <v>2</v>
      </c>
      <c r="D58">
        <f t="shared" si="0"/>
        <v>30925</v>
      </c>
      <c r="E58">
        <v>61850</v>
      </c>
      <c r="G58" s="6"/>
      <c r="H58" s="6"/>
      <c r="I58" s="6"/>
      <c r="J58" s="6"/>
    </row>
    <row r="59" spans="1:10" x14ac:dyDescent="0.25">
      <c r="A59">
        <v>58</v>
      </c>
      <c r="B59" s="5" t="s">
        <v>309</v>
      </c>
      <c r="C59">
        <v>1</v>
      </c>
      <c r="D59">
        <f t="shared" si="0"/>
        <v>407925</v>
      </c>
      <c r="E59">
        <v>407925</v>
      </c>
      <c r="G59" s="6"/>
      <c r="H59" s="6"/>
      <c r="I59" s="6"/>
      <c r="J59" s="6"/>
    </row>
    <row r="60" spans="1:10" x14ac:dyDescent="0.25">
      <c r="A60">
        <v>59</v>
      </c>
      <c r="B60" s="5" t="s">
        <v>310</v>
      </c>
      <c r="C60">
        <v>5</v>
      </c>
      <c r="D60">
        <f t="shared" si="0"/>
        <v>3675</v>
      </c>
      <c r="E60">
        <v>18375</v>
      </c>
      <c r="G60" s="6"/>
      <c r="H60" s="6"/>
      <c r="I60" s="6"/>
      <c r="J60" s="6"/>
    </row>
    <row r="61" spans="1:10" x14ac:dyDescent="0.25">
      <c r="A61">
        <v>60</v>
      </c>
      <c r="B61" s="5" t="s">
        <v>311</v>
      </c>
      <c r="C61">
        <v>2</v>
      </c>
      <c r="D61">
        <f t="shared" si="0"/>
        <v>4960</v>
      </c>
      <c r="E61">
        <v>9920</v>
      </c>
      <c r="G61" s="6"/>
      <c r="H61" s="6"/>
      <c r="I61" s="6"/>
      <c r="J61" s="6"/>
    </row>
    <row r="62" spans="1:10" x14ac:dyDescent="0.25">
      <c r="A62">
        <v>61</v>
      </c>
      <c r="B62" s="5" t="s">
        <v>312</v>
      </c>
      <c r="C62">
        <v>1</v>
      </c>
      <c r="D62">
        <f t="shared" si="0"/>
        <v>221140</v>
      </c>
      <c r="E62">
        <v>221140</v>
      </c>
      <c r="G62" s="6"/>
      <c r="H62" s="6"/>
      <c r="I62" s="6"/>
      <c r="J62" s="6"/>
    </row>
    <row r="63" spans="1:10" x14ac:dyDescent="0.25">
      <c r="A63">
        <v>62</v>
      </c>
      <c r="B63" s="5" t="s">
        <v>313</v>
      </c>
      <c r="C63">
        <v>1</v>
      </c>
      <c r="D63">
        <f t="shared" si="0"/>
        <v>36200</v>
      </c>
      <c r="E63">
        <v>36200</v>
      </c>
      <c r="G63" s="6"/>
      <c r="H63" s="6"/>
      <c r="I63" s="6"/>
      <c r="J63" s="6"/>
    </row>
    <row r="64" spans="1:10" x14ac:dyDescent="0.25">
      <c r="A64">
        <v>63</v>
      </c>
      <c r="B64" s="10" t="s">
        <v>314</v>
      </c>
      <c r="C64">
        <v>10</v>
      </c>
      <c r="D64">
        <f t="shared" si="0"/>
        <v>23602</v>
      </c>
      <c r="E64">
        <v>236020</v>
      </c>
      <c r="G64" s="12">
        <v>23602</v>
      </c>
      <c r="H64" s="12">
        <f>G64*0.97</f>
        <v>22893.94</v>
      </c>
      <c r="I64" s="12">
        <f>H64*1.2</f>
        <v>27472.727999999999</v>
      </c>
      <c r="J64" s="12">
        <f>I64*C64</f>
        <v>274727.27999999997</v>
      </c>
    </row>
    <row r="65" spans="1:10" x14ac:dyDescent="0.25">
      <c r="A65">
        <v>64</v>
      </c>
      <c r="B65" s="10" t="s">
        <v>209</v>
      </c>
      <c r="C65">
        <v>10</v>
      </c>
      <c r="D65">
        <f t="shared" si="0"/>
        <v>1181</v>
      </c>
      <c r="E65">
        <v>11810</v>
      </c>
      <c r="G65" s="6"/>
      <c r="H65" s="6"/>
      <c r="I65" s="6"/>
      <c r="J65" s="6"/>
    </row>
    <row r="66" spans="1:10" x14ac:dyDescent="0.25">
      <c r="A66">
        <v>65</v>
      </c>
      <c r="B66" s="8" t="s">
        <v>315</v>
      </c>
      <c r="C66">
        <v>1</v>
      </c>
      <c r="D66">
        <f t="shared" ref="D66:D123" si="1">E66/C66</f>
        <v>45000</v>
      </c>
      <c r="E66">
        <v>45000</v>
      </c>
      <c r="G66" s="6"/>
      <c r="H66" s="6"/>
      <c r="I66" s="6"/>
      <c r="J66" s="6"/>
    </row>
    <row r="67" spans="1:10" x14ac:dyDescent="0.25">
      <c r="A67">
        <v>66</v>
      </c>
      <c r="B67" s="11" t="s">
        <v>316</v>
      </c>
      <c r="C67">
        <v>1</v>
      </c>
      <c r="D67">
        <f t="shared" si="1"/>
        <v>451810</v>
      </c>
      <c r="E67">
        <v>451810</v>
      </c>
      <c r="G67" s="6"/>
      <c r="H67" s="6"/>
      <c r="I67" s="6"/>
      <c r="J67" s="6"/>
    </row>
    <row r="68" spans="1:10" x14ac:dyDescent="0.25">
      <c r="A68">
        <v>67</v>
      </c>
      <c r="B68" s="10" t="s">
        <v>317</v>
      </c>
      <c r="C68">
        <v>30</v>
      </c>
      <c r="D68">
        <f t="shared" si="1"/>
        <v>269</v>
      </c>
      <c r="E68">
        <v>8070</v>
      </c>
      <c r="G68" s="6"/>
      <c r="H68" s="6"/>
      <c r="I68" s="6"/>
      <c r="J68" s="6"/>
    </row>
    <row r="69" spans="1:10" x14ac:dyDescent="0.25">
      <c r="A69">
        <v>68</v>
      </c>
      <c r="B69" s="10" t="s">
        <v>318</v>
      </c>
      <c r="C69">
        <v>30</v>
      </c>
      <c r="D69">
        <f t="shared" si="1"/>
        <v>269</v>
      </c>
      <c r="E69">
        <v>8070</v>
      </c>
      <c r="G69" s="6"/>
      <c r="H69" s="6"/>
      <c r="I69" s="6"/>
      <c r="J69" s="6"/>
    </row>
    <row r="70" spans="1:10" x14ac:dyDescent="0.25">
      <c r="A70">
        <v>69</v>
      </c>
      <c r="B70" s="5" t="s">
        <v>319</v>
      </c>
      <c r="C70">
        <v>1</v>
      </c>
      <c r="D70">
        <f t="shared" si="1"/>
        <v>549180</v>
      </c>
      <c r="E70">
        <v>549180</v>
      </c>
      <c r="G70" s="6"/>
      <c r="H70" s="6"/>
      <c r="I70" s="6"/>
      <c r="J70" s="6"/>
    </row>
    <row r="71" spans="1:10" x14ac:dyDescent="0.25">
      <c r="A71">
        <v>70</v>
      </c>
      <c r="B71" s="5" t="s">
        <v>320</v>
      </c>
      <c r="C71">
        <v>1</v>
      </c>
      <c r="D71">
        <f t="shared" si="1"/>
        <v>30960</v>
      </c>
      <c r="E71">
        <v>30960</v>
      </c>
      <c r="G71" s="6"/>
      <c r="H71" s="6"/>
      <c r="I71" s="6"/>
      <c r="J71" s="6"/>
    </row>
    <row r="72" spans="1:10" x14ac:dyDescent="0.25">
      <c r="A72">
        <v>71</v>
      </c>
      <c r="B72" s="5" t="s">
        <v>321</v>
      </c>
      <c r="C72">
        <v>1</v>
      </c>
      <c r="D72">
        <f t="shared" si="1"/>
        <v>168480</v>
      </c>
      <c r="E72">
        <v>168480</v>
      </c>
      <c r="G72" s="6"/>
      <c r="H72" s="6"/>
      <c r="I72" s="6"/>
      <c r="J72" s="6"/>
    </row>
    <row r="73" spans="1:10" x14ac:dyDescent="0.25">
      <c r="A73">
        <v>72</v>
      </c>
      <c r="B73" s="5" t="s">
        <v>322</v>
      </c>
      <c r="C73">
        <v>1</v>
      </c>
      <c r="D73">
        <f t="shared" si="1"/>
        <v>69600</v>
      </c>
      <c r="E73">
        <v>69600</v>
      </c>
      <c r="G73" s="6"/>
      <c r="H73" s="6"/>
      <c r="I73" s="6"/>
      <c r="J73" s="6"/>
    </row>
    <row r="74" spans="1:10" x14ac:dyDescent="0.25">
      <c r="A74">
        <v>73</v>
      </c>
      <c r="B74" s="5" t="s">
        <v>323</v>
      </c>
      <c r="C74">
        <v>3</v>
      </c>
      <c r="D74">
        <f t="shared" si="1"/>
        <v>25785</v>
      </c>
      <c r="E74">
        <v>77355</v>
      </c>
      <c r="G74" s="6"/>
      <c r="H74" s="6"/>
      <c r="I74" s="6"/>
      <c r="J74" s="6"/>
    </row>
    <row r="75" spans="1:10" x14ac:dyDescent="0.25">
      <c r="A75">
        <v>74</v>
      </c>
      <c r="B75" s="5" t="s">
        <v>324</v>
      </c>
      <c r="C75">
        <v>1</v>
      </c>
      <c r="D75">
        <f t="shared" si="1"/>
        <v>32920</v>
      </c>
      <c r="E75">
        <v>32920</v>
      </c>
      <c r="G75" s="6"/>
      <c r="H75" s="6"/>
      <c r="I75" s="6"/>
      <c r="J75" s="6"/>
    </row>
    <row r="76" spans="1:10" x14ac:dyDescent="0.25">
      <c r="A76">
        <v>75</v>
      </c>
      <c r="B76" s="5" t="s">
        <v>325</v>
      </c>
      <c r="C76">
        <v>3</v>
      </c>
      <c r="D76">
        <f t="shared" si="1"/>
        <v>15000</v>
      </c>
      <c r="E76">
        <v>45000</v>
      </c>
      <c r="G76" s="6"/>
      <c r="H76" s="6"/>
      <c r="I76" s="6"/>
      <c r="J76" s="6"/>
    </row>
    <row r="77" spans="1:10" x14ac:dyDescent="0.25">
      <c r="A77">
        <v>76</v>
      </c>
      <c r="B77" s="5" t="s">
        <v>326</v>
      </c>
      <c r="C77">
        <v>20</v>
      </c>
      <c r="D77">
        <f t="shared" si="1"/>
        <v>1795</v>
      </c>
      <c r="E77">
        <v>35900</v>
      </c>
      <c r="G77" s="6"/>
      <c r="H77" s="6"/>
      <c r="I77" s="6"/>
      <c r="J77" s="6"/>
    </row>
    <row r="78" spans="1:10" x14ac:dyDescent="0.25">
      <c r="A78">
        <v>77</v>
      </c>
      <c r="B78" s="11" t="s">
        <v>327</v>
      </c>
      <c r="C78">
        <v>4</v>
      </c>
      <c r="D78">
        <f t="shared" si="1"/>
        <v>50240</v>
      </c>
      <c r="E78">
        <v>200960</v>
      </c>
      <c r="G78" s="6"/>
      <c r="H78" s="6"/>
      <c r="I78" s="6"/>
      <c r="J78" s="6"/>
    </row>
    <row r="79" spans="1:10" x14ac:dyDescent="0.25">
      <c r="A79">
        <v>78</v>
      </c>
      <c r="B79" s="5" t="s">
        <v>328</v>
      </c>
      <c r="C79">
        <v>1</v>
      </c>
      <c r="D79">
        <f t="shared" si="1"/>
        <v>113450</v>
      </c>
      <c r="E79">
        <v>113450</v>
      </c>
      <c r="G79" s="6"/>
      <c r="H79" s="6"/>
      <c r="I79" s="6"/>
      <c r="J79" s="6"/>
    </row>
    <row r="80" spans="1:10" x14ac:dyDescent="0.25">
      <c r="A80">
        <v>79</v>
      </c>
      <c r="B80" s="5" t="s">
        <v>329</v>
      </c>
      <c r="C80">
        <v>6</v>
      </c>
      <c r="D80">
        <f t="shared" si="1"/>
        <v>4650</v>
      </c>
      <c r="E80">
        <v>27900</v>
      </c>
      <c r="G80" s="6"/>
      <c r="H80" s="6"/>
      <c r="I80" s="6"/>
      <c r="J80" s="6"/>
    </row>
    <row r="81" spans="1:10" x14ac:dyDescent="0.25">
      <c r="A81">
        <v>80</v>
      </c>
      <c r="B81" s="5" t="s">
        <v>330</v>
      </c>
      <c r="C81">
        <v>1</v>
      </c>
      <c r="D81">
        <f t="shared" si="1"/>
        <v>1960</v>
      </c>
      <c r="E81">
        <v>1960</v>
      </c>
      <c r="G81" s="6"/>
      <c r="H81" s="6"/>
      <c r="I81" s="6"/>
      <c r="J81" s="6"/>
    </row>
    <row r="82" spans="1:10" x14ac:dyDescent="0.25">
      <c r="A82">
        <v>81</v>
      </c>
      <c r="B82" s="5" t="s">
        <v>331</v>
      </c>
      <c r="C82">
        <v>1</v>
      </c>
      <c r="D82">
        <f t="shared" si="1"/>
        <v>30160</v>
      </c>
      <c r="E82">
        <v>30160</v>
      </c>
      <c r="G82" s="6"/>
      <c r="H82" s="6"/>
      <c r="I82" s="6"/>
      <c r="J82" s="6"/>
    </row>
    <row r="83" spans="1:10" x14ac:dyDescent="0.25">
      <c r="A83">
        <v>82</v>
      </c>
      <c r="B83" s="5" t="s">
        <v>332</v>
      </c>
      <c r="C83">
        <v>1</v>
      </c>
      <c r="D83">
        <f t="shared" si="1"/>
        <v>43615</v>
      </c>
      <c r="E83">
        <v>43615</v>
      </c>
      <c r="G83" s="6"/>
      <c r="H83" s="6"/>
      <c r="I83" s="6"/>
      <c r="J83" s="6"/>
    </row>
    <row r="84" spans="1:10" x14ac:dyDescent="0.25">
      <c r="A84">
        <v>83</v>
      </c>
      <c r="B84" s="5" t="s">
        <v>333</v>
      </c>
      <c r="C84">
        <v>1</v>
      </c>
      <c r="D84">
        <f t="shared" si="1"/>
        <v>61480</v>
      </c>
      <c r="E84">
        <v>61480</v>
      </c>
      <c r="G84" s="6"/>
      <c r="H84" s="6"/>
      <c r="I84" s="6"/>
      <c r="J84" s="6"/>
    </row>
    <row r="85" spans="1:10" x14ac:dyDescent="0.25">
      <c r="A85">
        <v>84</v>
      </c>
      <c r="B85" s="5" t="s">
        <v>334</v>
      </c>
      <c r="C85">
        <v>1</v>
      </c>
      <c r="D85">
        <f t="shared" si="1"/>
        <v>61480</v>
      </c>
      <c r="E85">
        <v>61480</v>
      </c>
      <c r="G85" s="6"/>
      <c r="H85" s="6"/>
      <c r="I85" s="6"/>
      <c r="J85" s="6"/>
    </row>
    <row r="86" spans="1:10" x14ac:dyDescent="0.25">
      <c r="A86">
        <v>85</v>
      </c>
      <c r="B86" s="5" t="s">
        <v>335</v>
      </c>
      <c r="C86">
        <v>1</v>
      </c>
      <c r="D86">
        <f t="shared" si="1"/>
        <v>41000</v>
      </c>
      <c r="E86">
        <v>41000</v>
      </c>
      <c r="G86" s="6"/>
      <c r="H86" s="6"/>
      <c r="I86" s="6"/>
      <c r="J86" s="6"/>
    </row>
    <row r="87" spans="1:10" x14ac:dyDescent="0.25">
      <c r="A87">
        <v>86</v>
      </c>
      <c r="B87" s="5" t="s">
        <v>336</v>
      </c>
      <c r="C87">
        <v>20</v>
      </c>
      <c r="D87">
        <f t="shared" si="1"/>
        <v>2200</v>
      </c>
      <c r="E87">
        <v>44000</v>
      </c>
      <c r="G87" s="6"/>
      <c r="H87" s="6"/>
      <c r="I87" s="6"/>
      <c r="J87" s="6"/>
    </row>
    <row r="88" spans="1:10" x14ac:dyDescent="0.25">
      <c r="A88">
        <v>87</v>
      </c>
      <c r="B88" s="5" t="s">
        <v>337</v>
      </c>
      <c r="C88">
        <v>10</v>
      </c>
      <c r="D88">
        <f t="shared" si="1"/>
        <v>1545</v>
      </c>
      <c r="E88">
        <v>15450</v>
      </c>
      <c r="G88" s="6"/>
      <c r="H88" s="6"/>
      <c r="I88" s="6"/>
      <c r="J88" s="6"/>
    </row>
    <row r="89" spans="1:10" x14ac:dyDescent="0.25">
      <c r="A89">
        <v>88</v>
      </c>
      <c r="B89" s="5" t="s">
        <v>338</v>
      </c>
      <c r="C89">
        <v>10</v>
      </c>
      <c r="D89">
        <f t="shared" si="1"/>
        <v>1040</v>
      </c>
      <c r="E89">
        <v>10400</v>
      </c>
      <c r="G89" s="6"/>
      <c r="H89" s="6"/>
      <c r="I89" s="6"/>
      <c r="J89" s="6"/>
    </row>
    <row r="90" spans="1:10" x14ac:dyDescent="0.25">
      <c r="A90">
        <v>89</v>
      </c>
      <c r="B90" s="5" t="s">
        <v>339</v>
      </c>
      <c r="C90">
        <v>10</v>
      </c>
      <c r="D90">
        <f t="shared" si="1"/>
        <v>770</v>
      </c>
      <c r="E90">
        <v>7700</v>
      </c>
      <c r="G90" s="6"/>
      <c r="H90" s="6"/>
      <c r="I90" s="6"/>
      <c r="J90" s="6"/>
    </row>
    <row r="91" spans="1:10" x14ac:dyDescent="0.25">
      <c r="A91">
        <v>90</v>
      </c>
      <c r="B91" s="5" t="s">
        <v>340</v>
      </c>
      <c r="C91">
        <v>10</v>
      </c>
      <c r="D91">
        <f t="shared" si="1"/>
        <v>3840</v>
      </c>
      <c r="E91">
        <v>38400</v>
      </c>
      <c r="G91" s="6"/>
      <c r="H91" s="6"/>
      <c r="I91" s="6"/>
      <c r="J91" s="6"/>
    </row>
    <row r="92" spans="1:10" x14ac:dyDescent="0.25">
      <c r="A92">
        <v>91</v>
      </c>
      <c r="B92" s="5" t="s">
        <v>341</v>
      </c>
      <c r="C92">
        <v>10</v>
      </c>
      <c r="D92">
        <f t="shared" si="1"/>
        <v>4085</v>
      </c>
      <c r="E92">
        <v>40850</v>
      </c>
      <c r="G92" s="6"/>
      <c r="H92" s="6"/>
      <c r="I92" s="6"/>
      <c r="J92" s="6"/>
    </row>
    <row r="93" spans="1:10" x14ac:dyDescent="0.25">
      <c r="A93">
        <v>92</v>
      </c>
      <c r="B93" s="5" t="s">
        <v>342</v>
      </c>
      <c r="C93">
        <v>11</v>
      </c>
      <c r="D93">
        <f t="shared" si="1"/>
        <v>10000</v>
      </c>
      <c r="E93">
        <v>110000</v>
      </c>
      <c r="G93" s="6"/>
      <c r="H93" s="6"/>
      <c r="I93" s="6"/>
      <c r="J93" s="6"/>
    </row>
    <row r="94" spans="1:10" x14ac:dyDescent="0.25">
      <c r="A94">
        <v>93</v>
      </c>
      <c r="B94" s="5" t="s">
        <v>343</v>
      </c>
      <c r="C94">
        <v>2</v>
      </c>
      <c r="D94">
        <f t="shared" si="1"/>
        <v>26800</v>
      </c>
      <c r="E94">
        <v>53600</v>
      </c>
      <c r="G94" s="6"/>
      <c r="H94" s="6"/>
      <c r="I94" s="6"/>
      <c r="J94" s="6"/>
    </row>
    <row r="95" spans="1:10" x14ac:dyDescent="0.25">
      <c r="A95">
        <v>94</v>
      </c>
      <c r="B95" s="5" t="s">
        <v>344</v>
      </c>
      <c r="C95">
        <v>4</v>
      </c>
      <c r="D95">
        <f t="shared" si="1"/>
        <v>15645</v>
      </c>
      <c r="E95">
        <v>62580</v>
      </c>
      <c r="G95" s="6"/>
      <c r="H95" s="6"/>
      <c r="I95" s="6"/>
      <c r="J95" s="6"/>
    </row>
    <row r="96" spans="1:10" x14ac:dyDescent="0.25">
      <c r="A96">
        <v>95</v>
      </c>
      <c r="B96" s="5" t="s">
        <v>345</v>
      </c>
      <c r="C96">
        <v>1</v>
      </c>
      <c r="D96">
        <f t="shared" si="1"/>
        <v>7305</v>
      </c>
      <c r="E96">
        <v>7305</v>
      </c>
      <c r="G96" s="6"/>
      <c r="H96" s="6"/>
      <c r="I96" s="6"/>
      <c r="J96" s="6"/>
    </row>
    <row r="97" spans="1:10" x14ac:dyDescent="0.25">
      <c r="A97">
        <v>96</v>
      </c>
      <c r="B97" s="5" t="s">
        <v>346</v>
      </c>
      <c r="C97">
        <v>10</v>
      </c>
      <c r="D97">
        <f t="shared" si="1"/>
        <v>3880</v>
      </c>
      <c r="E97">
        <v>38800</v>
      </c>
      <c r="G97" s="6"/>
      <c r="H97" s="6"/>
      <c r="I97" s="6"/>
      <c r="J97" s="6"/>
    </row>
    <row r="98" spans="1:10" x14ac:dyDescent="0.25">
      <c r="A98">
        <v>97</v>
      </c>
      <c r="B98" s="5" t="s">
        <v>203</v>
      </c>
      <c r="C98">
        <v>10</v>
      </c>
      <c r="D98">
        <f t="shared" si="1"/>
        <v>2090</v>
      </c>
      <c r="E98">
        <v>20900</v>
      </c>
      <c r="G98" s="6"/>
      <c r="H98" s="6"/>
      <c r="I98" s="6"/>
      <c r="J98" s="6"/>
    </row>
    <row r="99" spans="1:10" x14ac:dyDescent="0.25">
      <c r="A99">
        <v>98</v>
      </c>
      <c r="B99" s="5" t="s">
        <v>347</v>
      </c>
      <c r="C99">
        <v>4</v>
      </c>
      <c r="D99">
        <f t="shared" si="1"/>
        <v>2090</v>
      </c>
      <c r="E99">
        <v>8360</v>
      </c>
      <c r="G99" s="6"/>
      <c r="H99" s="6"/>
      <c r="I99" s="6"/>
      <c r="J99" s="6"/>
    </row>
    <row r="100" spans="1:10" x14ac:dyDescent="0.25">
      <c r="A100">
        <v>99</v>
      </c>
      <c r="B100" s="5" t="s">
        <v>348</v>
      </c>
      <c r="C100">
        <v>2</v>
      </c>
      <c r="D100">
        <f t="shared" si="1"/>
        <v>4035</v>
      </c>
      <c r="E100">
        <v>8070</v>
      </c>
      <c r="G100" s="6"/>
      <c r="H100" s="6"/>
      <c r="I100" s="6"/>
      <c r="J100" s="6"/>
    </row>
    <row r="101" spans="1:10" x14ac:dyDescent="0.25">
      <c r="A101">
        <v>100</v>
      </c>
      <c r="B101" s="5" t="s">
        <v>345</v>
      </c>
      <c r="C101">
        <v>1</v>
      </c>
      <c r="D101">
        <f t="shared" si="1"/>
        <v>7305</v>
      </c>
      <c r="E101">
        <v>7305</v>
      </c>
      <c r="G101" s="6"/>
      <c r="H101" s="6"/>
      <c r="I101" s="6"/>
      <c r="J101" s="6"/>
    </row>
    <row r="102" spans="1:10" x14ac:dyDescent="0.25">
      <c r="A102">
        <v>101</v>
      </c>
      <c r="B102" s="5" t="s">
        <v>347</v>
      </c>
      <c r="C102">
        <v>4</v>
      </c>
      <c r="D102">
        <f t="shared" si="1"/>
        <v>7305</v>
      </c>
      <c r="E102">
        <v>29220</v>
      </c>
      <c r="G102" s="6"/>
      <c r="H102" s="6"/>
      <c r="I102" s="6"/>
      <c r="J102" s="6"/>
    </row>
    <row r="103" spans="1:10" x14ac:dyDescent="0.25">
      <c r="A103">
        <v>102</v>
      </c>
      <c r="B103" s="5" t="s">
        <v>349</v>
      </c>
      <c r="C103">
        <v>2</v>
      </c>
      <c r="D103">
        <f t="shared" si="1"/>
        <v>27840</v>
      </c>
      <c r="E103">
        <v>55680</v>
      </c>
      <c r="G103" s="6"/>
      <c r="H103" s="6"/>
      <c r="I103" s="6"/>
      <c r="J103" s="6"/>
    </row>
    <row r="104" spans="1:10" x14ac:dyDescent="0.25">
      <c r="A104">
        <v>103</v>
      </c>
      <c r="B104" s="5" t="s">
        <v>350</v>
      </c>
      <c r="C104">
        <v>16</v>
      </c>
      <c r="D104">
        <f t="shared" si="1"/>
        <v>2865</v>
      </c>
      <c r="E104">
        <v>45840</v>
      </c>
      <c r="G104" s="6"/>
      <c r="H104" s="6"/>
      <c r="I104" s="6"/>
      <c r="J104" s="6"/>
    </row>
    <row r="105" spans="1:10" x14ac:dyDescent="0.25">
      <c r="A105">
        <v>104</v>
      </c>
      <c r="B105" s="8" t="s">
        <v>351</v>
      </c>
      <c r="C105">
        <v>5</v>
      </c>
      <c r="D105">
        <f t="shared" si="1"/>
        <v>87040</v>
      </c>
      <c r="E105">
        <v>435200</v>
      </c>
      <c r="G105" s="6"/>
      <c r="H105" s="6"/>
      <c r="I105" s="6"/>
      <c r="J105" s="6"/>
    </row>
    <row r="106" spans="1:10" x14ac:dyDescent="0.25">
      <c r="A106">
        <v>105</v>
      </c>
      <c r="B106" s="5" t="s">
        <v>352</v>
      </c>
      <c r="C106">
        <v>1</v>
      </c>
      <c r="D106">
        <f t="shared" si="1"/>
        <v>28590</v>
      </c>
      <c r="E106">
        <v>28590</v>
      </c>
      <c r="G106" s="6"/>
      <c r="H106" s="6"/>
      <c r="I106" s="6"/>
      <c r="J106" s="6"/>
    </row>
    <row r="107" spans="1:10" x14ac:dyDescent="0.25">
      <c r="A107">
        <v>106</v>
      </c>
      <c r="B107" s="7" t="s">
        <v>6</v>
      </c>
      <c r="C107">
        <v>4</v>
      </c>
      <c r="D107">
        <f t="shared" si="1"/>
        <v>92095</v>
      </c>
      <c r="E107">
        <v>368380</v>
      </c>
      <c r="F107" t="s">
        <v>353</v>
      </c>
      <c r="G107" s="6"/>
      <c r="H107" s="6"/>
      <c r="I107" s="6"/>
      <c r="J107" s="6"/>
    </row>
    <row r="108" spans="1:10" x14ac:dyDescent="0.25">
      <c r="A108">
        <v>107</v>
      </c>
      <c r="B108" s="7" t="s">
        <v>354</v>
      </c>
      <c r="C108">
        <v>2</v>
      </c>
      <c r="D108">
        <f t="shared" si="1"/>
        <v>22700</v>
      </c>
      <c r="E108">
        <v>45400</v>
      </c>
      <c r="F108" t="s">
        <v>355</v>
      </c>
      <c r="G108" s="6"/>
      <c r="H108" s="6"/>
      <c r="I108" s="6"/>
      <c r="J108" s="6"/>
    </row>
    <row r="109" spans="1:10" x14ac:dyDescent="0.25">
      <c r="A109">
        <v>108</v>
      </c>
      <c r="B109" s="7" t="s">
        <v>356</v>
      </c>
      <c r="C109">
        <v>2</v>
      </c>
      <c r="D109">
        <f t="shared" si="1"/>
        <v>22700</v>
      </c>
      <c r="E109">
        <v>45400</v>
      </c>
      <c r="F109" t="s">
        <v>355</v>
      </c>
      <c r="G109" s="6"/>
      <c r="H109" s="6"/>
      <c r="I109" s="6"/>
      <c r="J109" s="6"/>
    </row>
    <row r="110" spans="1:10" x14ac:dyDescent="0.25">
      <c r="A110">
        <v>109</v>
      </c>
      <c r="B110" s="5" t="s">
        <v>357</v>
      </c>
      <c r="C110">
        <v>18</v>
      </c>
      <c r="D110">
        <f t="shared" si="1"/>
        <v>880</v>
      </c>
      <c r="E110">
        <v>15840</v>
      </c>
      <c r="G110" s="6"/>
      <c r="H110" s="6"/>
      <c r="I110" s="6"/>
      <c r="J110" s="6"/>
    </row>
    <row r="111" spans="1:10" x14ac:dyDescent="0.25">
      <c r="A111">
        <v>110</v>
      </c>
      <c r="B111" s="5" t="s">
        <v>358</v>
      </c>
      <c r="C111">
        <v>10</v>
      </c>
      <c r="D111">
        <f t="shared" si="1"/>
        <v>5090</v>
      </c>
      <c r="E111">
        <v>50900</v>
      </c>
      <c r="G111" s="6"/>
      <c r="H111" s="6"/>
      <c r="I111" s="6"/>
      <c r="J111" s="6"/>
    </row>
    <row r="112" spans="1:10" x14ac:dyDescent="0.25">
      <c r="A112">
        <v>111</v>
      </c>
      <c r="B112" s="5" t="s">
        <v>359</v>
      </c>
      <c r="C112">
        <v>10</v>
      </c>
      <c r="D112">
        <f t="shared" si="1"/>
        <v>4705</v>
      </c>
      <c r="E112">
        <v>47050</v>
      </c>
      <c r="G112" s="6"/>
      <c r="H112" s="6"/>
      <c r="I112" s="6"/>
      <c r="J112" s="6"/>
    </row>
    <row r="113" spans="1:10" x14ac:dyDescent="0.25">
      <c r="A113">
        <v>112</v>
      </c>
      <c r="B113" s="5" t="s">
        <v>360</v>
      </c>
      <c r="C113">
        <v>4</v>
      </c>
      <c r="D113">
        <f t="shared" si="1"/>
        <v>15660</v>
      </c>
      <c r="E113">
        <v>62640</v>
      </c>
      <c r="G113" s="6"/>
      <c r="H113" s="6"/>
      <c r="I113" s="6"/>
      <c r="J113" s="6"/>
    </row>
    <row r="114" spans="1:10" x14ac:dyDescent="0.25">
      <c r="A114">
        <v>113</v>
      </c>
      <c r="B114" s="5" t="s">
        <v>44</v>
      </c>
      <c r="C114">
        <v>2</v>
      </c>
      <c r="D114">
        <f t="shared" si="1"/>
        <v>29110</v>
      </c>
      <c r="E114">
        <v>58220</v>
      </c>
      <c r="G114" s="6"/>
      <c r="H114" s="6"/>
      <c r="I114" s="6"/>
      <c r="J114" s="6"/>
    </row>
    <row r="115" spans="1:10" x14ac:dyDescent="0.25">
      <c r="A115">
        <v>114</v>
      </c>
      <c r="B115" s="8" t="s">
        <v>220</v>
      </c>
      <c r="C115">
        <v>1</v>
      </c>
      <c r="D115">
        <f t="shared" si="1"/>
        <v>287750</v>
      </c>
      <c r="E115">
        <v>287750</v>
      </c>
      <c r="G115" s="6"/>
      <c r="H115" s="6"/>
      <c r="I115" s="6"/>
      <c r="J115" s="6"/>
    </row>
    <row r="116" spans="1:10" x14ac:dyDescent="0.25">
      <c r="A116">
        <v>115</v>
      </c>
      <c r="B116" s="10" t="s">
        <v>361</v>
      </c>
      <c r="C116">
        <v>1</v>
      </c>
      <c r="D116">
        <f t="shared" si="1"/>
        <v>92445</v>
      </c>
      <c r="E116">
        <v>92445</v>
      </c>
      <c r="G116">
        <v>92445</v>
      </c>
      <c r="H116" s="12">
        <f>G116*0.97</f>
        <v>89671.65</v>
      </c>
      <c r="I116" s="12">
        <f>H116*1.2</f>
        <v>107605.98</v>
      </c>
      <c r="J116" s="12">
        <f>I116*C116</f>
        <v>107605.98</v>
      </c>
    </row>
    <row r="117" spans="1:10" x14ac:dyDescent="0.25">
      <c r="A117">
        <v>116</v>
      </c>
      <c r="B117" s="5" t="s">
        <v>362</v>
      </c>
      <c r="C117">
        <v>2</v>
      </c>
      <c r="D117">
        <f t="shared" si="1"/>
        <v>32200</v>
      </c>
      <c r="E117">
        <v>64400</v>
      </c>
      <c r="G117" s="6"/>
      <c r="H117" s="6"/>
      <c r="I117" s="6"/>
      <c r="J117" s="6"/>
    </row>
    <row r="118" spans="1:10" x14ac:dyDescent="0.25">
      <c r="A118">
        <v>117</v>
      </c>
      <c r="B118" s="5" t="s">
        <v>363</v>
      </c>
      <c r="C118">
        <v>10</v>
      </c>
      <c r="D118">
        <f t="shared" si="1"/>
        <v>1920</v>
      </c>
      <c r="E118">
        <v>19200</v>
      </c>
      <c r="G118" s="6"/>
      <c r="H118" s="6"/>
      <c r="I118" s="6"/>
      <c r="J118" s="6"/>
    </row>
    <row r="119" spans="1:10" x14ac:dyDescent="0.25">
      <c r="A119">
        <v>118</v>
      </c>
      <c r="B119" s="5" t="s">
        <v>364</v>
      </c>
      <c r="C119">
        <v>1</v>
      </c>
      <c r="D119">
        <f t="shared" si="1"/>
        <v>32115</v>
      </c>
      <c r="E119">
        <v>32115</v>
      </c>
      <c r="G119" s="6"/>
      <c r="H119" s="6"/>
      <c r="I119" s="6"/>
      <c r="J119" s="6"/>
    </row>
    <row r="120" spans="1:10" x14ac:dyDescent="0.25">
      <c r="A120">
        <v>119</v>
      </c>
      <c r="B120" s="5" t="s">
        <v>365</v>
      </c>
      <c r="C120">
        <v>1</v>
      </c>
      <c r="D120">
        <f t="shared" si="1"/>
        <v>60145</v>
      </c>
      <c r="E120">
        <v>60145</v>
      </c>
      <c r="G120" s="6"/>
      <c r="H120" s="6"/>
      <c r="I120" s="6"/>
      <c r="J120" s="6"/>
    </row>
    <row r="121" spans="1:10" x14ac:dyDescent="0.25">
      <c r="A121">
        <v>120</v>
      </c>
      <c r="B121" s="5" t="s">
        <v>366</v>
      </c>
      <c r="C121">
        <v>1</v>
      </c>
      <c r="D121">
        <f t="shared" si="1"/>
        <v>200800</v>
      </c>
      <c r="E121">
        <v>200800</v>
      </c>
      <c r="G121" s="6"/>
      <c r="H121" s="6"/>
      <c r="I121" s="6"/>
      <c r="J121" s="6"/>
    </row>
    <row r="122" spans="1:10" x14ac:dyDescent="0.25">
      <c r="A122">
        <v>121</v>
      </c>
      <c r="B122" s="7" t="s">
        <v>367</v>
      </c>
      <c r="C122">
        <v>2</v>
      </c>
      <c r="D122">
        <f t="shared" si="1"/>
        <v>69165</v>
      </c>
      <c r="E122">
        <v>138330</v>
      </c>
      <c r="F122" t="s">
        <v>368</v>
      </c>
      <c r="G122" s="6"/>
      <c r="H122" s="6"/>
      <c r="I122" s="6"/>
      <c r="J122" s="6"/>
    </row>
    <row r="123" spans="1:10" x14ac:dyDescent="0.25">
      <c r="A123">
        <v>122</v>
      </c>
      <c r="B123" s="11" t="s">
        <v>369</v>
      </c>
      <c r="C123">
        <v>1</v>
      </c>
      <c r="D123">
        <f t="shared" si="1"/>
        <v>53750</v>
      </c>
      <c r="E123">
        <v>53750</v>
      </c>
      <c r="G123" s="6"/>
      <c r="H123" s="6"/>
      <c r="I123" s="6"/>
      <c r="J123" s="6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4"/>
  <sheetViews>
    <sheetView topLeftCell="A115" workbookViewId="0">
      <selection activeCell="E124" sqref="E124"/>
    </sheetView>
  </sheetViews>
  <sheetFormatPr defaultRowHeight="15" x14ac:dyDescent="0.25"/>
  <cols>
    <col min="1" max="1" width="6.28515625" customWidth="1"/>
    <col min="2" max="2" width="59.5703125" customWidth="1"/>
    <col min="3" max="3" width="8.42578125" customWidth="1"/>
    <col min="4" max="4" width="15.28515625" customWidth="1"/>
    <col min="5" max="6" width="15" customWidth="1"/>
    <col min="7" max="7" width="14" customWidth="1"/>
  </cols>
  <sheetData>
    <row r="1" spans="1:16" ht="45" x14ac:dyDescent="0.25"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370</v>
      </c>
      <c r="H1" s="1"/>
      <c r="I1" s="1"/>
      <c r="J1" s="1"/>
      <c r="K1" s="1"/>
      <c r="L1" s="1" t="s">
        <v>371</v>
      </c>
      <c r="M1" s="1"/>
      <c r="N1" t="s">
        <v>372</v>
      </c>
    </row>
    <row r="2" spans="1:16" x14ac:dyDescent="0.25">
      <c r="A2">
        <v>1</v>
      </c>
      <c r="B2" s="13" t="s">
        <v>373</v>
      </c>
      <c r="C2" s="14">
        <v>12</v>
      </c>
      <c r="D2" s="14">
        <v>7555</v>
      </c>
      <c r="E2" s="14">
        <v>90660</v>
      </c>
      <c r="F2" t="s">
        <v>374</v>
      </c>
    </row>
    <row r="3" spans="1:16" x14ac:dyDescent="0.25">
      <c r="A3">
        <v>2</v>
      </c>
      <c r="B3" s="13" t="s">
        <v>276</v>
      </c>
      <c r="C3" s="14">
        <v>16</v>
      </c>
      <c r="D3" s="14">
        <v>1770</v>
      </c>
      <c r="E3" s="14">
        <v>28320</v>
      </c>
      <c r="F3" t="s">
        <v>374</v>
      </c>
    </row>
    <row r="4" spans="1:16" x14ac:dyDescent="0.25">
      <c r="A4">
        <v>3</v>
      </c>
      <c r="B4" s="13" t="s">
        <v>375</v>
      </c>
      <c r="C4" s="14">
        <v>1</v>
      </c>
      <c r="D4" s="14">
        <v>157680</v>
      </c>
      <c r="E4" s="14">
        <v>157680</v>
      </c>
      <c r="F4" t="s">
        <v>374</v>
      </c>
    </row>
    <row r="5" spans="1:16" x14ac:dyDescent="0.25">
      <c r="A5">
        <v>4</v>
      </c>
      <c r="B5" s="13" t="s">
        <v>376</v>
      </c>
      <c r="C5" s="14">
        <v>1</v>
      </c>
      <c r="D5" s="14">
        <v>38250</v>
      </c>
      <c r="E5" s="14">
        <v>38250</v>
      </c>
      <c r="F5" t="s">
        <v>374</v>
      </c>
    </row>
    <row r="6" spans="1:16" x14ac:dyDescent="0.25">
      <c r="A6">
        <v>5</v>
      </c>
      <c r="B6" s="13" t="s">
        <v>377</v>
      </c>
      <c r="C6" s="14">
        <v>1</v>
      </c>
      <c r="D6" s="14">
        <v>97440</v>
      </c>
      <c r="E6" s="14">
        <v>97440</v>
      </c>
      <c r="F6" t="s">
        <v>374</v>
      </c>
    </row>
    <row r="7" spans="1:16" x14ac:dyDescent="0.25">
      <c r="A7">
        <v>6</v>
      </c>
      <c r="B7" s="13" t="s">
        <v>378</v>
      </c>
      <c r="C7" s="14">
        <v>1</v>
      </c>
      <c r="D7" s="14">
        <v>43802</v>
      </c>
      <c r="E7" s="14">
        <v>43802</v>
      </c>
      <c r="F7" t="s">
        <v>374</v>
      </c>
    </row>
    <row r="8" spans="1:16" x14ac:dyDescent="0.25">
      <c r="A8">
        <v>7</v>
      </c>
      <c r="B8" s="13" t="s">
        <v>379</v>
      </c>
      <c r="C8" s="14">
        <v>2</v>
      </c>
      <c r="D8" s="14">
        <v>5481</v>
      </c>
      <c r="E8" s="14">
        <v>10962</v>
      </c>
      <c r="F8" t="s">
        <v>374</v>
      </c>
    </row>
    <row r="9" spans="1:16" x14ac:dyDescent="0.25">
      <c r="A9">
        <v>8</v>
      </c>
      <c r="B9" s="13" t="s">
        <v>380</v>
      </c>
      <c r="C9" s="14">
        <v>1</v>
      </c>
      <c r="D9" s="14">
        <v>41000</v>
      </c>
      <c r="E9" s="14">
        <v>41000</v>
      </c>
      <c r="F9" t="s">
        <v>374</v>
      </c>
    </row>
    <row r="10" spans="1:16" x14ac:dyDescent="0.25">
      <c r="A10">
        <v>9</v>
      </c>
      <c r="B10" s="5" t="s">
        <v>381</v>
      </c>
      <c r="C10" s="5">
        <v>1</v>
      </c>
      <c r="D10" s="5">
        <f t="shared" ref="D10:D13" si="0">E10/C10</f>
        <v>29335</v>
      </c>
      <c r="E10" s="5">
        <v>29335</v>
      </c>
      <c r="F10" t="s">
        <v>382</v>
      </c>
      <c r="L10">
        <f t="shared" ref="L10:L73" si="1">D10*1.2*0.97</f>
        <v>34145.94</v>
      </c>
      <c r="M10">
        <f t="shared" ref="M10:M73" si="2">ROUND(L10,0)</f>
        <v>34146</v>
      </c>
      <c r="N10">
        <f t="shared" ref="N10:N73" si="3">M10*C10</f>
        <v>34146</v>
      </c>
      <c r="O10" s="235" t="s">
        <v>383</v>
      </c>
      <c r="P10">
        <f>SUM(N10:N15)</f>
        <v>1403436</v>
      </c>
    </row>
    <row r="11" spans="1:16" x14ac:dyDescent="0.25">
      <c r="A11">
        <v>10</v>
      </c>
      <c r="B11" s="5" t="s">
        <v>384</v>
      </c>
      <c r="C11" s="5">
        <v>1</v>
      </c>
      <c r="D11" s="5">
        <f t="shared" si="0"/>
        <v>31550</v>
      </c>
      <c r="E11" s="5">
        <v>31550</v>
      </c>
      <c r="F11" t="s">
        <v>382</v>
      </c>
      <c r="L11">
        <f t="shared" si="1"/>
        <v>36724.199999999997</v>
      </c>
      <c r="M11">
        <f t="shared" si="2"/>
        <v>36724</v>
      </c>
      <c r="N11">
        <f t="shared" si="3"/>
        <v>36724</v>
      </c>
      <c r="O11" s="235"/>
    </row>
    <row r="12" spans="1:16" x14ac:dyDescent="0.25">
      <c r="A12">
        <v>11</v>
      </c>
      <c r="B12" s="5" t="s">
        <v>385</v>
      </c>
      <c r="C12" s="5">
        <v>100</v>
      </c>
      <c r="D12" s="5">
        <f t="shared" si="0"/>
        <v>285</v>
      </c>
      <c r="E12" s="5">
        <v>28500</v>
      </c>
      <c r="F12" t="s">
        <v>382</v>
      </c>
      <c r="L12">
        <f t="shared" si="1"/>
        <v>331.74</v>
      </c>
      <c r="M12">
        <f t="shared" si="2"/>
        <v>332</v>
      </c>
      <c r="N12">
        <f t="shared" si="3"/>
        <v>33200</v>
      </c>
      <c r="O12" s="235"/>
    </row>
    <row r="13" spans="1:16" x14ac:dyDescent="0.25">
      <c r="A13">
        <v>12</v>
      </c>
      <c r="B13" s="5" t="s">
        <v>386</v>
      </c>
      <c r="C13" s="5">
        <v>1</v>
      </c>
      <c r="D13" s="5">
        <f t="shared" si="0"/>
        <v>214136</v>
      </c>
      <c r="E13" s="5">
        <v>214136</v>
      </c>
      <c r="F13" t="s">
        <v>382</v>
      </c>
      <c r="L13">
        <f t="shared" si="1"/>
        <v>249254.30399999997</v>
      </c>
      <c r="M13">
        <f t="shared" si="2"/>
        <v>249254</v>
      </c>
      <c r="N13">
        <f t="shared" si="3"/>
        <v>249254</v>
      </c>
      <c r="O13" s="235"/>
    </row>
    <row r="14" spans="1:16" x14ac:dyDescent="0.25">
      <c r="A14">
        <v>13</v>
      </c>
      <c r="B14" s="16" t="s">
        <v>387</v>
      </c>
      <c r="C14">
        <v>1</v>
      </c>
      <c r="D14">
        <v>165600</v>
      </c>
      <c r="E14">
        <v>165600</v>
      </c>
      <c r="G14" s="17">
        <v>45855</v>
      </c>
      <c r="O14" s="236"/>
    </row>
    <row r="15" spans="1:16" ht="30" x14ac:dyDescent="0.25">
      <c r="A15">
        <v>14</v>
      </c>
      <c r="B15" s="9" t="s">
        <v>388</v>
      </c>
      <c r="C15">
        <v>14</v>
      </c>
      <c r="D15">
        <v>64440</v>
      </c>
      <c r="E15">
        <v>902160</v>
      </c>
      <c r="G15" s="17">
        <v>45855</v>
      </c>
      <c r="L15">
        <f t="shared" si="1"/>
        <v>75008.160000000003</v>
      </c>
      <c r="M15">
        <f t="shared" si="2"/>
        <v>75008</v>
      </c>
      <c r="N15">
        <f t="shared" si="3"/>
        <v>1050112</v>
      </c>
      <c r="O15" s="235"/>
    </row>
    <row r="16" spans="1:16" x14ac:dyDescent="0.25">
      <c r="A16">
        <v>15</v>
      </c>
      <c r="B16" s="5" t="s">
        <v>389</v>
      </c>
      <c r="C16">
        <v>1</v>
      </c>
      <c r="D16">
        <v>8728</v>
      </c>
      <c r="E16">
        <v>8728</v>
      </c>
      <c r="G16" s="17">
        <v>45855</v>
      </c>
      <c r="L16">
        <f t="shared" si="1"/>
        <v>10159.392</v>
      </c>
      <c r="M16">
        <f t="shared" si="2"/>
        <v>10159</v>
      </c>
      <c r="N16">
        <f t="shared" si="3"/>
        <v>10159</v>
      </c>
      <c r="O16" s="235" t="s">
        <v>390</v>
      </c>
      <c r="P16">
        <f>SUM(N16:N38)</f>
        <v>1293662</v>
      </c>
    </row>
    <row r="17" spans="1:15" x14ac:dyDescent="0.25">
      <c r="A17">
        <v>16</v>
      </c>
      <c r="B17" s="5" t="s">
        <v>391</v>
      </c>
      <c r="C17">
        <v>1</v>
      </c>
      <c r="D17">
        <v>8032</v>
      </c>
      <c r="E17">
        <v>8032</v>
      </c>
      <c r="G17" s="17">
        <v>45855</v>
      </c>
      <c r="L17">
        <f t="shared" si="1"/>
        <v>9349.2479999999996</v>
      </c>
      <c r="M17">
        <f t="shared" si="2"/>
        <v>9349</v>
      </c>
      <c r="N17">
        <f t="shared" si="3"/>
        <v>9349</v>
      </c>
      <c r="O17" s="235"/>
    </row>
    <row r="18" spans="1:15" x14ac:dyDescent="0.25">
      <c r="A18">
        <v>17</v>
      </c>
      <c r="B18" s="5" t="s">
        <v>392</v>
      </c>
      <c r="C18">
        <v>1</v>
      </c>
      <c r="D18">
        <v>22736</v>
      </c>
      <c r="E18">
        <v>22736</v>
      </c>
      <c r="G18" s="17">
        <v>45891</v>
      </c>
      <c r="L18">
        <f t="shared" si="1"/>
        <v>26464.704000000002</v>
      </c>
      <c r="M18">
        <f t="shared" si="2"/>
        <v>26465</v>
      </c>
      <c r="N18">
        <f t="shared" si="3"/>
        <v>26465</v>
      </c>
      <c r="O18" s="235"/>
    </row>
    <row r="19" spans="1:15" x14ac:dyDescent="0.25">
      <c r="A19">
        <v>18</v>
      </c>
      <c r="B19" s="16" t="s">
        <v>393</v>
      </c>
      <c r="C19">
        <v>1</v>
      </c>
      <c r="D19">
        <v>9405</v>
      </c>
      <c r="E19">
        <v>9405</v>
      </c>
      <c r="G19" s="17">
        <v>45855</v>
      </c>
      <c r="O19" s="236"/>
    </row>
    <row r="20" spans="1:15" x14ac:dyDescent="0.25">
      <c r="A20">
        <v>19</v>
      </c>
      <c r="B20" s="16" t="s">
        <v>394</v>
      </c>
      <c r="C20">
        <v>2</v>
      </c>
      <c r="D20">
        <v>35020</v>
      </c>
      <c r="E20">
        <v>70040</v>
      </c>
      <c r="G20" s="17">
        <v>45891</v>
      </c>
      <c r="O20" s="236"/>
    </row>
    <row r="21" spans="1:15" x14ac:dyDescent="0.25">
      <c r="A21">
        <v>20</v>
      </c>
      <c r="B21" s="5" t="s">
        <v>395</v>
      </c>
      <c r="C21">
        <v>1</v>
      </c>
      <c r="D21">
        <v>100048</v>
      </c>
      <c r="E21">
        <v>100048</v>
      </c>
      <c r="G21" s="17">
        <v>45881</v>
      </c>
      <c r="O21" s="236"/>
    </row>
    <row r="22" spans="1:15" x14ac:dyDescent="0.25">
      <c r="A22">
        <v>21</v>
      </c>
      <c r="B22" s="18" t="s">
        <v>396</v>
      </c>
      <c r="C22">
        <v>2</v>
      </c>
      <c r="D22">
        <v>9250</v>
      </c>
      <c r="E22">
        <v>18500</v>
      </c>
      <c r="L22">
        <f t="shared" si="1"/>
        <v>10767</v>
      </c>
      <c r="M22">
        <f t="shared" si="2"/>
        <v>10767</v>
      </c>
      <c r="N22">
        <f t="shared" si="3"/>
        <v>21534</v>
      </c>
      <c r="O22" s="235"/>
    </row>
    <row r="23" spans="1:15" x14ac:dyDescent="0.25">
      <c r="A23">
        <v>22</v>
      </c>
      <c r="B23" s="18" t="s">
        <v>397</v>
      </c>
      <c r="C23">
        <v>1</v>
      </c>
      <c r="D23">
        <v>66500</v>
      </c>
      <c r="E23">
        <v>66500</v>
      </c>
      <c r="L23">
        <f t="shared" si="1"/>
        <v>77406</v>
      </c>
      <c r="M23">
        <f t="shared" si="2"/>
        <v>77406</v>
      </c>
      <c r="N23">
        <f t="shared" si="3"/>
        <v>77406</v>
      </c>
      <c r="O23" s="235"/>
    </row>
    <row r="24" spans="1:15" x14ac:dyDescent="0.25">
      <c r="A24">
        <v>23</v>
      </c>
      <c r="B24" s="18" t="s">
        <v>398</v>
      </c>
      <c r="C24">
        <v>1</v>
      </c>
      <c r="D24">
        <v>7610</v>
      </c>
      <c r="E24">
        <v>7610</v>
      </c>
      <c r="L24">
        <f t="shared" si="1"/>
        <v>8858.0399999999991</v>
      </c>
      <c r="M24">
        <f t="shared" si="2"/>
        <v>8858</v>
      </c>
      <c r="N24">
        <f t="shared" si="3"/>
        <v>8858</v>
      </c>
      <c r="O24" s="235"/>
    </row>
    <row r="25" spans="1:15" x14ac:dyDescent="0.25">
      <c r="A25">
        <v>24</v>
      </c>
      <c r="B25" s="18" t="s">
        <v>399</v>
      </c>
      <c r="C25">
        <v>2</v>
      </c>
      <c r="D25">
        <v>142680</v>
      </c>
      <c r="E25">
        <v>285360</v>
      </c>
      <c r="L25">
        <f t="shared" si="1"/>
        <v>166079.51999999999</v>
      </c>
      <c r="M25">
        <f t="shared" si="2"/>
        <v>166080</v>
      </c>
      <c r="N25">
        <f t="shared" si="3"/>
        <v>332160</v>
      </c>
      <c r="O25" s="235"/>
    </row>
    <row r="26" spans="1:15" x14ac:dyDescent="0.25">
      <c r="A26">
        <v>25</v>
      </c>
      <c r="B26" s="18" t="s">
        <v>400</v>
      </c>
      <c r="C26">
        <v>6</v>
      </c>
      <c r="D26">
        <v>3590</v>
      </c>
      <c r="E26">
        <v>21540</v>
      </c>
      <c r="L26">
        <f t="shared" si="1"/>
        <v>4178.76</v>
      </c>
      <c r="M26">
        <f t="shared" si="2"/>
        <v>4179</v>
      </c>
      <c r="N26">
        <f t="shared" si="3"/>
        <v>25074</v>
      </c>
      <c r="O26" s="235"/>
    </row>
    <row r="27" spans="1:15" x14ac:dyDescent="0.25">
      <c r="A27">
        <v>26</v>
      </c>
      <c r="B27" s="5" t="s">
        <v>401</v>
      </c>
      <c r="C27">
        <v>5</v>
      </c>
      <c r="D27">
        <v>15312</v>
      </c>
      <c r="E27">
        <v>76560</v>
      </c>
      <c r="G27" s="17">
        <v>45875</v>
      </c>
      <c r="L27">
        <f t="shared" si="1"/>
        <v>17823.167999999998</v>
      </c>
      <c r="M27">
        <f t="shared" si="2"/>
        <v>17823</v>
      </c>
      <c r="N27">
        <f t="shared" si="3"/>
        <v>89115</v>
      </c>
      <c r="O27" s="235"/>
    </row>
    <row r="28" spans="1:15" x14ac:dyDescent="0.25">
      <c r="A28">
        <v>27</v>
      </c>
      <c r="B28" s="16" t="s">
        <v>402</v>
      </c>
      <c r="C28">
        <v>20</v>
      </c>
      <c r="D28">
        <v>6463</v>
      </c>
      <c r="E28">
        <v>129260</v>
      </c>
      <c r="G28" s="17">
        <v>45891</v>
      </c>
      <c r="O28" s="236"/>
    </row>
    <row r="29" spans="1:15" x14ac:dyDescent="0.25">
      <c r="A29">
        <v>28</v>
      </c>
      <c r="B29" s="16" t="s">
        <v>403</v>
      </c>
      <c r="C29">
        <v>20</v>
      </c>
      <c r="D29">
        <v>6653</v>
      </c>
      <c r="E29">
        <v>133060</v>
      </c>
      <c r="G29" s="17">
        <v>45891</v>
      </c>
      <c r="O29" s="236"/>
    </row>
    <row r="30" spans="1:15" x14ac:dyDescent="0.25">
      <c r="A30">
        <v>29</v>
      </c>
      <c r="B30" s="18" t="s">
        <v>404</v>
      </c>
      <c r="C30">
        <v>1</v>
      </c>
      <c r="D30">
        <v>81295</v>
      </c>
      <c r="E30">
        <v>81295</v>
      </c>
      <c r="L30">
        <f t="shared" si="1"/>
        <v>94627.38</v>
      </c>
      <c r="M30">
        <f t="shared" si="2"/>
        <v>94627</v>
      </c>
      <c r="N30">
        <f t="shared" si="3"/>
        <v>94627</v>
      </c>
      <c r="O30" s="235"/>
    </row>
    <row r="31" spans="1:15" x14ac:dyDescent="0.25">
      <c r="A31">
        <v>30</v>
      </c>
      <c r="B31" s="18" t="s">
        <v>78</v>
      </c>
      <c r="C31">
        <v>3</v>
      </c>
      <c r="D31">
        <v>59085</v>
      </c>
      <c r="E31">
        <v>177255</v>
      </c>
      <c r="L31">
        <f t="shared" si="1"/>
        <v>68774.94</v>
      </c>
      <c r="M31">
        <f t="shared" si="2"/>
        <v>68775</v>
      </c>
      <c r="N31">
        <f t="shared" si="3"/>
        <v>206325</v>
      </c>
      <c r="O31" s="235"/>
    </row>
    <row r="32" spans="1:15" x14ac:dyDescent="0.25">
      <c r="A32">
        <v>31</v>
      </c>
      <c r="B32" s="19" t="s">
        <v>405</v>
      </c>
      <c r="C32">
        <v>2</v>
      </c>
      <c r="D32">
        <v>48000</v>
      </c>
      <c r="E32">
        <v>96000</v>
      </c>
      <c r="G32" s="17">
        <v>45875</v>
      </c>
      <c r="O32" s="236"/>
    </row>
    <row r="33" spans="1:16" x14ac:dyDescent="0.25">
      <c r="A33">
        <v>32</v>
      </c>
      <c r="B33" s="16" t="s">
        <v>406</v>
      </c>
      <c r="C33">
        <v>1</v>
      </c>
      <c r="D33">
        <v>28870</v>
      </c>
      <c r="E33">
        <v>28870</v>
      </c>
      <c r="G33" s="17">
        <v>45875</v>
      </c>
      <c r="O33" s="236"/>
    </row>
    <row r="34" spans="1:16" x14ac:dyDescent="0.25">
      <c r="A34">
        <v>33</v>
      </c>
      <c r="B34" s="16" t="s">
        <v>407</v>
      </c>
      <c r="C34">
        <v>2</v>
      </c>
      <c r="D34">
        <v>8175</v>
      </c>
      <c r="E34">
        <v>16350</v>
      </c>
      <c r="G34" s="17">
        <v>45875</v>
      </c>
      <c r="O34" s="236"/>
    </row>
    <row r="35" spans="1:16" x14ac:dyDescent="0.25">
      <c r="A35">
        <v>34</v>
      </c>
      <c r="B35" s="18" t="s">
        <v>6</v>
      </c>
      <c r="C35">
        <v>2</v>
      </c>
      <c r="D35">
        <v>92095</v>
      </c>
      <c r="E35">
        <v>184190</v>
      </c>
      <c r="L35">
        <f t="shared" si="1"/>
        <v>107198.58</v>
      </c>
      <c r="M35">
        <f t="shared" si="2"/>
        <v>107199</v>
      </c>
      <c r="N35">
        <f t="shared" si="3"/>
        <v>214398</v>
      </c>
      <c r="O35" s="235"/>
    </row>
    <row r="36" spans="1:16" x14ac:dyDescent="0.25">
      <c r="A36">
        <v>35</v>
      </c>
      <c r="B36" s="5" t="s">
        <v>408</v>
      </c>
      <c r="C36">
        <v>1</v>
      </c>
      <c r="D36">
        <v>9980</v>
      </c>
      <c r="E36">
        <v>9980</v>
      </c>
      <c r="O36" s="236"/>
    </row>
    <row r="37" spans="1:16" x14ac:dyDescent="0.25">
      <c r="A37">
        <v>36</v>
      </c>
      <c r="B37" s="16" t="s">
        <v>409</v>
      </c>
      <c r="C37">
        <v>5</v>
      </c>
      <c r="D37">
        <v>8900</v>
      </c>
      <c r="E37">
        <v>44500</v>
      </c>
      <c r="G37" s="17">
        <v>45875</v>
      </c>
      <c r="O37" s="236"/>
    </row>
    <row r="38" spans="1:16" x14ac:dyDescent="0.25">
      <c r="A38">
        <v>37</v>
      </c>
      <c r="B38" s="5" t="s">
        <v>410</v>
      </c>
      <c r="C38">
        <v>8</v>
      </c>
      <c r="D38">
        <v>19136</v>
      </c>
      <c r="E38">
        <v>153088</v>
      </c>
      <c r="G38" s="17">
        <v>45891</v>
      </c>
      <c r="L38">
        <f t="shared" si="1"/>
        <v>22274.304</v>
      </c>
      <c r="M38">
        <f t="shared" si="2"/>
        <v>22274</v>
      </c>
      <c r="N38">
        <f t="shared" si="3"/>
        <v>178192</v>
      </c>
      <c r="O38" s="235"/>
    </row>
    <row r="39" spans="1:16" x14ac:dyDescent="0.25">
      <c r="A39">
        <v>38</v>
      </c>
      <c r="B39" s="18" t="s">
        <v>411</v>
      </c>
      <c r="C39">
        <v>1</v>
      </c>
      <c r="D39">
        <v>6375</v>
      </c>
      <c r="E39">
        <v>6375</v>
      </c>
      <c r="L39">
        <f t="shared" si="1"/>
        <v>7420.5</v>
      </c>
      <c r="M39">
        <f t="shared" si="2"/>
        <v>7421</v>
      </c>
      <c r="N39">
        <f t="shared" si="3"/>
        <v>7421</v>
      </c>
      <c r="O39" s="235" t="s">
        <v>383</v>
      </c>
      <c r="P39">
        <f>SUM(N39:N53)</f>
        <v>1239385</v>
      </c>
    </row>
    <row r="40" spans="1:16" x14ac:dyDescent="0.25">
      <c r="A40">
        <v>39</v>
      </c>
      <c r="B40" s="16" t="s">
        <v>412</v>
      </c>
      <c r="C40">
        <v>12</v>
      </c>
      <c r="D40">
        <v>1855</v>
      </c>
      <c r="E40">
        <v>22260</v>
      </c>
      <c r="G40" s="17">
        <v>45875</v>
      </c>
      <c r="O40" s="236"/>
    </row>
    <row r="41" spans="1:16" x14ac:dyDescent="0.25">
      <c r="A41">
        <v>40</v>
      </c>
      <c r="B41" s="18" t="s">
        <v>413</v>
      </c>
      <c r="C41">
        <v>1</v>
      </c>
      <c r="D41">
        <v>51210</v>
      </c>
      <c r="E41">
        <v>51210</v>
      </c>
      <c r="L41">
        <f t="shared" si="1"/>
        <v>59608.439999999995</v>
      </c>
      <c r="M41">
        <f t="shared" si="2"/>
        <v>59608</v>
      </c>
      <c r="N41">
        <f t="shared" si="3"/>
        <v>59608</v>
      </c>
      <c r="O41" s="235"/>
    </row>
    <row r="42" spans="1:16" x14ac:dyDescent="0.25">
      <c r="A42">
        <v>41</v>
      </c>
      <c r="B42" s="18" t="s">
        <v>414</v>
      </c>
      <c r="C42">
        <v>2</v>
      </c>
      <c r="D42">
        <v>132649</v>
      </c>
      <c r="E42">
        <v>265298</v>
      </c>
      <c r="L42">
        <f t="shared" si="1"/>
        <v>154403.43599999999</v>
      </c>
      <c r="M42">
        <f t="shared" si="2"/>
        <v>154403</v>
      </c>
      <c r="N42">
        <f t="shared" si="3"/>
        <v>308806</v>
      </c>
      <c r="O42" s="235"/>
    </row>
    <row r="43" spans="1:16" x14ac:dyDescent="0.25">
      <c r="A43">
        <v>42</v>
      </c>
      <c r="B43" s="5" t="s">
        <v>415</v>
      </c>
      <c r="C43">
        <v>1</v>
      </c>
      <c r="D43">
        <v>13720</v>
      </c>
      <c r="E43">
        <v>13720</v>
      </c>
      <c r="G43" s="17">
        <v>45875</v>
      </c>
      <c r="L43">
        <f t="shared" si="1"/>
        <v>15970.08</v>
      </c>
      <c r="M43">
        <f t="shared" si="2"/>
        <v>15970</v>
      </c>
      <c r="N43">
        <f t="shared" si="3"/>
        <v>15970</v>
      </c>
      <c r="O43" s="235"/>
    </row>
    <row r="44" spans="1:16" x14ac:dyDescent="0.25">
      <c r="A44">
        <v>43</v>
      </c>
      <c r="B44" s="16" t="s">
        <v>416</v>
      </c>
      <c r="C44">
        <v>4</v>
      </c>
      <c r="D44">
        <v>18535</v>
      </c>
      <c r="E44">
        <v>74140</v>
      </c>
      <c r="G44" s="17">
        <v>45891</v>
      </c>
      <c r="O44" s="236"/>
    </row>
    <row r="45" spans="1:16" x14ac:dyDescent="0.25">
      <c r="A45">
        <v>44</v>
      </c>
      <c r="B45" s="18" t="s">
        <v>417</v>
      </c>
      <c r="C45">
        <v>1</v>
      </c>
      <c r="D45">
        <v>26760</v>
      </c>
      <c r="E45">
        <v>26760</v>
      </c>
      <c r="L45">
        <f t="shared" si="1"/>
        <v>31148.639999999999</v>
      </c>
      <c r="M45">
        <f t="shared" si="2"/>
        <v>31149</v>
      </c>
      <c r="N45">
        <f t="shared" si="3"/>
        <v>31149</v>
      </c>
      <c r="O45" s="235"/>
    </row>
    <row r="46" spans="1:16" x14ac:dyDescent="0.25">
      <c r="A46">
        <v>45</v>
      </c>
      <c r="B46" s="16" t="s">
        <v>418</v>
      </c>
      <c r="C46">
        <v>3</v>
      </c>
      <c r="D46">
        <v>14740</v>
      </c>
      <c r="E46">
        <v>44220</v>
      </c>
      <c r="G46" s="17">
        <v>45891</v>
      </c>
      <c r="O46" s="236"/>
    </row>
    <row r="47" spans="1:16" x14ac:dyDescent="0.25">
      <c r="A47">
        <v>46</v>
      </c>
      <c r="B47" s="18" t="s">
        <v>419</v>
      </c>
      <c r="C47">
        <v>1</v>
      </c>
      <c r="D47">
        <v>62980</v>
      </c>
      <c r="E47">
        <v>62980</v>
      </c>
      <c r="L47">
        <f t="shared" si="1"/>
        <v>73308.72</v>
      </c>
      <c r="M47">
        <f t="shared" si="2"/>
        <v>73309</v>
      </c>
      <c r="N47">
        <f t="shared" si="3"/>
        <v>73309</v>
      </c>
      <c r="O47" s="235"/>
    </row>
    <row r="48" spans="1:16" x14ac:dyDescent="0.25">
      <c r="A48">
        <v>47</v>
      </c>
      <c r="B48" s="18" t="s">
        <v>420</v>
      </c>
      <c r="C48">
        <v>1</v>
      </c>
      <c r="D48">
        <v>134775</v>
      </c>
      <c r="E48">
        <v>134775</v>
      </c>
      <c r="L48">
        <f t="shared" si="1"/>
        <v>156878.1</v>
      </c>
      <c r="M48">
        <f t="shared" si="2"/>
        <v>156878</v>
      </c>
      <c r="N48">
        <f t="shared" si="3"/>
        <v>156878</v>
      </c>
      <c r="O48" s="235"/>
    </row>
    <row r="49" spans="1:15" x14ac:dyDescent="0.25">
      <c r="A49">
        <v>48</v>
      </c>
      <c r="B49" s="18" t="s">
        <v>421</v>
      </c>
      <c r="C49">
        <v>1</v>
      </c>
      <c r="D49">
        <v>132180</v>
      </c>
      <c r="E49">
        <v>132180</v>
      </c>
      <c r="L49">
        <f t="shared" si="1"/>
        <v>153857.51999999999</v>
      </c>
      <c r="M49">
        <f t="shared" si="2"/>
        <v>153858</v>
      </c>
      <c r="N49">
        <f t="shared" si="3"/>
        <v>153858</v>
      </c>
      <c r="O49" s="235"/>
    </row>
    <row r="50" spans="1:15" x14ac:dyDescent="0.25">
      <c r="A50">
        <v>49</v>
      </c>
      <c r="B50" s="5" t="s">
        <v>422</v>
      </c>
      <c r="C50">
        <v>1</v>
      </c>
      <c r="D50">
        <v>46176</v>
      </c>
      <c r="E50">
        <v>46176</v>
      </c>
      <c r="G50" s="17">
        <v>45891</v>
      </c>
      <c r="L50">
        <f t="shared" si="1"/>
        <v>53748.863999999994</v>
      </c>
      <c r="M50">
        <f t="shared" si="2"/>
        <v>53749</v>
      </c>
      <c r="N50">
        <f t="shared" si="3"/>
        <v>53749</v>
      </c>
      <c r="O50" s="235"/>
    </row>
    <row r="51" spans="1:15" x14ac:dyDescent="0.25">
      <c r="A51">
        <v>50</v>
      </c>
      <c r="B51" s="18" t="s">
        <v>423</v>
      </c>
      <c r="C51">
        <v>1</v>
      </c>
      <c r="D51">
        <v>103090</v>
      </c>
      <c r="E51">
        <v>103090</v>
      </c>
      <c r="L51">
        <f t="shared" si="1"/>
        <v>119996.76</v>
      </c>
      <c r="M51">
        <f t="shared" si="2"/>
        <v>119997</v>
      </c>
      <c r="N51">
        <f t="shared" si="3"/>
        <v>119997</v>
      </c>
      <c r="O51" s="235"/>
    </row>
    <row r="52" spans="1:15" x14ac:dyDescent="0.25">
      <c r="A52">
        <v>51</v>
      </c>
      <c r="B52" s="18" t="s">
        <v>424</v>
      </c>
      <c r="C52">
        <v>1</v>
      </c>
      <c r="D52">
        <v>78048</v>
      </c>
      <c r="E52">
        <v>78048</v>
      </c>
      <c r="L52">
        <f t="shared" si="1"/>
        <v>90847.871999999988</v>
      </c>
      <c r="M52">
        <f t="shared" si="2"/>
        <v>90848</v>
      </c>
      <c r="N52">
        <f t="shared" si="3"/>
        <v>90848</v>
      </c>
      <c r="O52" s="235"/>
    </row>
    <row r="53" spans="1:15" x14ac:dyDescent="0.25">
      <c r="A53">
        <v>52</v>
      </c>
      <c r="B53" s="18" t="s">
        <v>425</v>
      </c>
      <c r="C53">
        <v>1</v>
      </c>
      <c r="D53">
        <v>144151</v>
      </c>
      <c r="E53">
        <v>144151</v>
      </c>
      <c r="L53">
        <f t="shared" si="1"/>
        <v>167791.76399999997</v>
      </c>
      <c r="M53">
        <f t="shared" si="2"/>
        <v>167792</v>
      </c>
      <c r="N53">
        <f t="shared" si="3"/>
        <v>167792</v>
      </c>
      <c r="O53" s="235"/>
    </row>
    <row r="54" spans="1:15" x14ac:dyDescent="0.25">
      <c r="A54">
        <v>53</v>
      </c>
      <c r="B54" s="18" t="s">
        <v>426</v>
      </c>
      <c r="C54">
        <v>5</v>
      </c>
      <c r="D54">
        <v>5385</v>
      </c>
      <c r="E54">
        <v>26925</v>
      </c>
      <c r="L54">
        <f t="shared" si="1"/>
        <v>6268.1399999999994</v>
      </c>
      <c r="M54">
        <f t="shared" si="2"/>
        <v>6268</v>
      </c>
      <c r="N54">
        <f t="shared" si="3"/>
        <v>31340</v>
      </c>
    </row>
    <row r="55" spans="1:15" x14ac:dyDescent="0.25">
      <c r="A55">
        <v>54</v>
      </c>
      <c r="B55" s="18" t="s">
        <v>427</v>
      </c>
      <c r="C55">
        <v>1</v>
      </c>
      <c r="D55">
        <v>69050</v>
      </c>
      <c r="E55">
        <v>69050</v>
      </c>
      <c r="L55">
        <f t="shared" si="1"/>
        <v>80374.2</v>
      </c>
      <c r="M55">
        <f t="shared" si="2"/>
        <v>80374</v>
      </c>
      <c r="N55">
        <f t="shared" si="3"/>
        <v>80374</v>
      </c>
    </row>
    <row r="56" spans="1:15" x14ac:dyDescent="0.25">
      <c r="A56">
        <v>55</v>
      </c>
      <c r="B56" s="18" t="s">
        <v>428</v>
      </c>
      <c r="C56">
        <v>1</v>
      </c>
      <c r="D56">
        <v>170995</v>
      </c>
      <c r="E56">
        <v>170995</v>
      </c>
      <c r="L56">
        <f t="shared" si="1"/>
        <v>199038.18</v>
      </c>
      <c r="M56">
        <f t="shared" si="2"/>
        <v>199038</v>
      </c>
      <c r="N56">
        <f t="shared" si="3"/>
        <v>199038</v>
      </c>
    </row>
    <row r="57" spans="1:15" x14ac:dyDescent="0.25">
      <c r="A57">
        <v>56</v>
      </c>
      <c r="B57" s="18" t="s">
        <v>329</v>
      </c>
      <c r="C57">
        <v>6</v>
      </c>
      <c r="D57">
        <v>4650</v>
      </c>
      <c r="E57">
        <v>27900</v>
      </c>
      <c r="L57">
        <f t="shared" si="1"/>
        <v>5412.5999999999995</v>
      </c>
      <c r="M57">
        <f t="shared" si="2"/>
        <v>5413</v>
      </c>
      <c r="N57">
        <f t="shared" si="3"/>
        <v>32478</v>
      </c>
    </row>
    <row r="58" spans="1:15" x14ac:dyDescent="0.25">
      <c r="A58">
        <v>57</v>
      </c>
      <c r="B58" s="16" t="s">
        <v>429</v>
      </c>
      <c r="C58">
        <v>1</v>
      </c>
      <c r="D58">
        <v>105140</v>
      </c>
      <c r="E58">
        <v>105140</v>
      </c>
      <c r="G58" s="17">
        <v>45891</v>
      </c>
    </row>
    <row r="59" spans="1:15" x14ac:dyDescent="0.25">
      <c r="A59">
        <v>58</v>
      </c>
      <c r="B59" s="5" t="s">
        <v>349</v>
      </c>
      <c r="C59">
        <v>4</v>
      </c>
      <c r="D59">
        <v>34800</v>
      </c>
      <c r="E59">
        <v>139200</v>
      </c>
    </row>
    <row r="60" spans="1:15" x14ac:dyDescent="0.25">
      <c r="A60">
        <v>59</v>
      </c>
      <c r="B60" s="5" t="s">
        <v>430</v>
      </c>
      <c r="C60">
        <v>13</v>
      </c>
      <c r="D60">
        <v>74224</v>
      </c>
      <c r="E60">
        <v>964912</v>
      </c>
      <c r="L60">
        <f t="shared" si="1"/>
        <v>86396.736000000004</v>
      </c>
      <c r="M60">
        <f t="shared" si="2"/>
        <v>86397</v>
      </c>
      <c r="N60">
        <f t="shared" si="3"/>
        <v>1123161</v>
      </c>
    </row>
    <row r="61" spans="1:15" x14ac:dyDescent="0.25">
      <c r="A61">
        <v>60</v>
      </c>
      <c r="B61" s="18" t="s">
        <v>431</v>
      </c>
      <c r="C61">
        <v>1</v>
      </c>
      <c r="D61">
        <v>24355</v>
      </c>
      <c r="E61">
        <v>24355</v>
      </c>
      <c r="L61">
        <f t="shared" si="1"/>
        <v>28349.219999999998</v>
      </c>
      <c r="M61">
        <f t="shared" si="2"/>
        <v>28349</v>
      </c>
      <c r="N61">
        <f t="shared" si="3"/>
        <v>28349</v>
      </c>
    </row>
    <row r="62" spans="1:15" x14ac:dyDescent="0.25">
      <c r="A62">
        <v>61</v>
      </c>
      <c r="B62" s="18" t="s">
        <v>432</v>
      </c>
      <c r="C62">
        <v>6</v>
      </c>
      <c r="D62">
        <v>1420</v>
      </c>
      <c r="E62">
        <v>8520</v>
      </c>
      <c r="L62">
        <f t="shared" si="1"/>
        <v>1652.8799999999999</v>
      </c>
      <c r="M62">
        <f t="shared" si="2"/>
        <v>1653</v>
      </c>
      <c r="N62">
        <f t="shared" si="3"/>
        <v>9918</v>
      </c>
    </row>
    <row r="63" spans="1:15" x14ac:dyDescent="0.25">
      <c r="A63">
        <v>62</v>
      </c>
      <c r="B63" s="18" t="s">
        <v>432</v>
      </c>
      <c r="C63">
        <v>5</v>
      </c>
      <c r="D63">
        <v>1420</v>
      </c>
      <c r="E63">
        <v>7100</v>
      </c>
      <c r="L63">
        <f t="shared" si="1"/>
        <v>1652.8799999999999</v>
      </c>
      <c r="M63">
        <f t="shared" si="2"/>
        <v>1653</v>
      </c>
      <c r="N63">
        <f t="shared" si="3"/>
        <v>8265</v>
      </c>
    </row>
    <row r="64" spans="1:15" x14ac:dyDescent="0.25">
      <c r="A64">
        <v>63</v>
      </c>
      <c r="B64" s="18" t="s">
        <v>433</v>
      </c>
      <c r="C64">
        <v>10</v>
      </c>
      <c r="D64">
        <v>2145</v>
      </c>
      <c r="E64">
        <v>21450</v>
      </c>
      <c r="L64">
        <f t="shared" si="1"/>
        <v>2496.7799999999997</v>
      </c>
      <c r="M64">
        <f t="shared" si="2"/>
        <v>2497</v>
      </c>
      <c r="N64">
        <f t="shared" si="3"/>
        <v>24970</v>
      </c>
    </row>
    <row r="65" spans="1:14" x14ac:dyDescent="0.25">
      <c r="A65">
        <v>64</v>
      </c>
      <c r="B65" s="18" t="s">
        <v>434</v>
      </c>
      <c r="C65">
        <v>6</v>
      </c>
      <c r="D65">
        <v>14275</v>
      </c>
      <c r="E65">
        <v>85650</v>
      </c>
      <c r="L65">
        <f t="shared" si="1"/>
        <v>16616.099999999999</v>
      </c>
      <c r="M65">
        <f t="shared" si="2"/>
        <v>16616</v>
      </c>
      <c r="N65">
        <f t="shared" si="3"/>
        <v>99696</v>
      </c>
    </row>
    <row r="66" spans="1:14" x14ac:dyDescent="0.25">
      <c r="A66">
        <v>65</v>
      </c>
      <c r="B66" s="18" t="s">
        <v>435</v>
      </c>
      <c r="C66">
        <v>1</v>
      </c>
      <c r="D66">
        <v>197936</v>
      </c>
      <c r="E66">
        <v>197936</v>
      </c>
      <c r="L66">
        <f t="shared" si="1"/>
        <v>230397.50399999999</v>
      </c>
      <c r="M66">
        <f t="shared" si="2"/>
        <v>230398</v>
      </c>
      <c r="N66">
        <f t="shared" si="3"/>
        <v>230398</v>
      </c>
    </row>
    <row r="67" spans="1:14" x14ac:dyDescent="0.25">
      <c r="A67">
        <v>66</v>
      </c>
      <c r="B67" s="18" t="s">
        <v>436</v>
      </c>
      <c r="C67">
        <v>5</v>
      </c>
      <c r="D67">
        <v>2468</v>
      </c>
      <c r="E67">
        <v>12340</v>
      </c>
      <c r="L67">
        <f t="shared" si="1"/>
        <v>2872.752</v>
      </c>
      <c r="M67">
        <f t="shared" si="2"/>
        <v>2873</v>
      </c>
      <c r="N67">
        <f t="shared" si="3"/>
        <v>14365</v>
      </c>
    </row>
    <row r="68" spans="1:14" x14ac:dyDescent="0.25">
      <c r="A68">
        <v>67</v>
      </c>
      <c r="B68" s="18" t="s">
        <v>437</v>
      </c>
      <c r="C68">
        <v>5</v>
      </c>
      <c r="D68">
        <v>1810</v>
      </c>
      <c r="E68">
        <v>9050</v>
      </c>
      <c r="L68">
        <f t="shared" si="1"/>
        <v>2106.84</v>
      </c>
      <c r="M68">
        <f t="shared" si="2"/>
        <v>2107</v>
      </c>
      <c r="N68">
        <f t="shared" si="3"/>
        <v>10535</v>
      </c>
    </row>
    <row r="69" spans="1:14" x14ac:dyDescent="0.25">
      <c r="A69">
        <v>68</v>
      </c>
      <c r="B69" s="18" t="s">
        <v>438</v>
      </c>
      <c r="C69">
        <v>20</v>
      </c>
      <c r="D69">
        <v>148</v>
      </c>
      <c r="E69">
        <v>2960</v>
      </c>
      <c r="L69">
        <f t="shared" si="1"/>
        <v>172.27199999999999</v>
      </c>
      <c r="M69">
        <f t="shared" si="2"/>
        <v>172</v>
      </c>
      <c r="N69">
        <f t="shared" si="3"/>
        <v>3440</v>
      </c>
    </row>
    <row r="70" spans="1:14" x14ac:dyDescent="0.25">
      <c r="A70">
        <v>69</v>
      </c>
      <c r="B70" s="18" t="s">
        <v>438</v>
      </c>
      <c r="C70">
        <v>20</v>
      </c>
      <c r="D70">
        <v>148</v>
      </c>
      <c r="E70">
        <v>2960</v>
      </c>
      <c r="L70">
        <f t="shared" si="1"/>
        <v>172.27199999999999</v>
      </c>
      <c r="M70">
        <f t="shared" si="2"/>
        <v>172</v>
      </c>
      <c r="N70">
        <f t="shared" si="3"/>
        <v>3440</v>
      </c>
    </row>
    <row r="71" spans="1:14" x14ac:dyDescent="0.25">
      <c r="A71">
        <v>70</v>
      </c>
      <c r="B71" s="18" t="s">
        <v>439</v>
      </c>
      <c r="C71">
        <v>40</v>
      </c>
      <c r="D71">
        <v>1242</v>
      </c>
      <c r="E71">
        <v>49680</v>
      </c>
      <c r="L71">
        <f t="shared" si="1"/>
        <v>1445.6879999999999</v>
      </c>
      <c r="M71">
        <f t="shared" si="2"/>
        <v>1446</v>
      </c>
      <c r="N71">
        <f t="shared" si="3"/>
        <v>57840</v>
      </c>
    </row>
    <row r="72" spans="1:14" x14ac:dyDescent="0.25">
      <c r="A72">
        <v>71</v>
      </c>
      <c r="B72" s="18" t="s">
        <v>440</v>
      </c>
      <c r="C72">
        <v>40</v>
      </c>
      <c r="D72">
        <v>1530</v>
      </c>
      <c r="E72">
        <v>61200</v>
      </c>
      <c r="L72">
        <f t="shared" si="1"/>
        <v>1780.9199999999998</v>
      </c>
      <c r="M72">
        <f t="shared" si="2"/>
        <v>1781</v>
      </c>
      <c r="N72">
        <f t="shared" si="3"/>
        <v>71240</v>
      </c>
    </row>
    <row r="73" spans="1:14" x14ac:dyDescent="0.25">
      <c r="A73">
        <v>72</v>
      </c>
      <c r="B73" s="18" t="s">
        <v>441</v>
      </c>
      <c r="C73">
        <v>40</v>
      </c>
      <c r="D73">
        <v>470</v>
      </c>
      <c r="E73">
        <v>18800</v>
      </c>
      <c r="L73">
        <f t="shared" si="1"/>
        <v>547.08000000000004</v>
      </c>
      <c r="M73">
        <f t="shared" si="2"/>
        <v>547</v>
      </c>
      <c r="N73">
        <f t="shared" si="3"/>
        <v>21880</v>
      </c>
    </row>
    <row r="74" spans="1:14" x14ac:dyDescent="0.25">
      <c r="A74">
        <v>73</v>
      </c>
      <c r="B74" s="18" t="s">
        <v>442</v>
      </c>
      <c r="C74">
        <v>1</v>
      </c>
      <c r="D74">
        <v>131240</v>
      </c>
      <c r="E74">
        <v>131240</v>
      </c>
      <c r="L74">
        <f t="shared" ref="L74:L99" si="4">D74*1.2*0.97</f>
        <v>152763.35999999999</v>
      </c>
      <c r="M74">
        <f t="shared" ref="M74:M99" si="5">ROUND(L74,0)</f>
        <v>152763</v>
      </c>
      <c r="N74">
        <f t="shared" ref="N74:N99" si="6">M74*C74</f>
        <v>152763</v>
      </c>
    </row>
    <row r="75" spans="1:14" x14ac:dyDescent="0.25">
      <c r="A75">
        <v>74</v>
      </c>
      <c r="B75" s="18" t="s">
        <v>443</v>
      </c>
      <c r="C75">
        <v>5</v>
      </c>
      <c r="D75">
        <v>1530</v>
      </c>
      <c r="E75">
        <v>7650</v>
      </c>
      <c r="L75">
        <f t="shared" si="4"/>
        <v>1780.9199999999998</v>
      </c>
      <c r="M75">
        <f t="shared" si="5"/>
        <v>1781</v>
      </c>
      <c r="N75">
        <f t="shared" si="6"/>
        <v>8905</v>
      </c>
    </row>
    <row r="76" spans="1:14" x14ac:dyDescent="0.25">
      <c r="A76">
        <v>75</v>
      </c>
      <c r="B76" s="18" t="s">
        <v>444</v>
      </c>
      <c r="C76">
        <v>1</v>
      </c>
      <c r="D76">
        <v>15960</v>
      </c>
      <c r="E76">
        <v>15960</v>
      </c>
      <c r="L76">
        <f t="shared" si="4"/>
        <v>18577.439999999999</v>
      </c>
      <c r="M76">
        <f t="shared" si="5"/>
        <v>18577</v>
      </c>
      <c r="N76">
        <f t="shared" si="6"/>
        <v>18577</v>
      </c>
    </row>
    <row r="77" spans="1:14" x14ac:dyDescent="0.25">
      <c r="A77">
        <v>76</v>
      </c>
      <c r="B77" s="18" t="s">
        <v>445</v>
      </c>
      <c r="C77">
        <v>1</v>
      </c>
      <c r="D77">
        <v>7630</v>
      </c>
      <c r="E77">
        <v>7630</v>
      </c>
      <c r="L77">
        <f t="shared" si="4"/>
        <v>8881.32</v>
      </c>
      <c r="M77">
        <f t="shared" si="5"/>
        <v>8881</v>
      </c>
      <c r="N77">
        <f t="shared" si="6"/>
        <v>8881</v>
      </c>
    </row>
    <row r="78" spans="1:14" x14ac:dyDescent="0.25">
      <c r="A78">
        <v>77</v>
      </c>
      <c r="B78" s="18" t="s">
        <v>446</v>
      </c>
      <c r="C78">
        <v>1</v>
      </c>
      <c r="D78">
        <v>156403.5</v>
      </c>
      <c r="E78">
        <v>156403.5</v>
      </c>
      <c r="L78">
        <f t="shared" si="4"/>
        <v>182053.67399999997</v>
      </c>
      <c r="M78">
        <f t="shared" si="5"/>
        <v>182054</v>
      </c>
      <c r="N78">
        <f t="shared" si="6"/>
        <v>182054</v>
      </c>
    </row>
    <row r="79" spans="1:14" x14ac:dyDescent="0.25">
      <c r="A79">
        <v>78</v>
      </c>
      <c r="B79" s="18" t="s">
        <v>447</v>
      </c>
      <c r="C79">
        <v>2</v>
      </c>
      <c r="D79">
        <v>148828.5</v>
      </c>
      <c r="E79">
        <v>297657</v>
      </c>
      <c r="L79">
        <f t="shared" si="4"/>
        <v>173236.37399999998</v>
      </c>
      <c r="M79">
        <f t="shared" si="5"/>
        <v>173236</v>
      </c>
      <c r="N79">
        <f t="shared" si="6"/>
        <v>346472</v>
      </c>
    </row>
    <row r="80" spans="1:14" x14ac:dyDescent="0.25">
      <c r="A80">
        <v>79</v>
      </c>
      <c r="B80" s="18" t="s">
        <v>448</v>
      </c>
      <c r="C80">
        <v>6</v>
      </c>
      <c r="D80">
        <v>6690</v>
      </c>
      <c r="E80">
        <v>40140</v>
      </c>
      <c r="L80">
        <f t="shared" si="4"/>
        <v>7787.16</v>
      </c>
      <c r="M80">
        <f t="shared" si="5"/>
        <v>7787</v>
      </c>
      <c r="N80">
        <f t="shared" si="6"/>
        <v>46722</v>
      </c>
    </row>
    <row r="81" spans="1:14" x14ac:dyDescent="0.25">
      <c r="A81">
        <v>80</v>
      </c>
      <c r="B81" s="18" t="s">
        <v>449</v>
      </c>
      <c r="C81">
        <v>1</v>
      </c>
      <c r="D81">
        <v>234642</v>
      </c>
      <c r="E81">
        <v>234642</v>
      </c>
      <c r="L81">
        <f t="shared" si="4"/>
        <v>273123.28799999994</v>
      </c>
      <c r="M81">
        <f t="shared" si="5"/>
        <v>273123</v>
      </c>
      <c r="N81">
        <f t="shared" si="6"/>
        <v>273123</v>
      </c>
    </row>
    <row r="82" spans="1:14" x14ac:dyDescent="0.25">
      <c r="A82">
        <v>81</v>
      </c>
      <c r="B82" s="18" t="s">
        <v>450</v>
      </c>
      <c r="C82">
        <v>140</v>
      </c>
      <c r="D82">
        <v>390</v>
      </c>
      <c r="E82">
        <v>54600</v>
      </c>
      <c r="L82">
        <f t="shared" si="4"/>
        <v>453.96</v>
      </c>
      <c r="M82">
        <f t="shared" si="5"/>
        <v>454</v>
      </c>
      <c r="N82">
        <f t="shared" si="6"/>
        <v>63560</v>
      </c>
    </row>
    <row r="83" spans="1:14" x14ac:dyDescent="0.25">
      <c r="A83">
        <v>82</v>
      </c>
      <c r="B83" s="18" t="s">
        <v>451</v>
      </c>
      <c r="C83">
        <v>36</v>
      </c>
      <c r="D83">
        <v>700</v>
      </c>
      <c r="E83">
        <v>25200</v>
      </c>
      <c r="L83">
        <f t="shared" si="4"/>
        <v>814.8</v>
      </c>
      <c r="M83">
        <f t="shared" si="5"/>
        <v>815</v>
      </c>
      <c r="N83">
        <f t="shared" si="6"/>
        <v>29340</v>
      </c>
    </row>
    <row r="84" spans="1:14" x14ac:dyDescent="0.25">
      <c r="A84">
        <v>83</v>
      </c>
      <c r="B84" s="18" t="s">
        <v>452</v>
      </c>
      <c r="C84">
        <v>35</v>
      </c>
      <c r="D84">
        <v>905</v>
      </c>
      <c r="E84">
        <v>31675</v>
      </c>
      <c r="L84">
        <f t="shared" si="4"/>
        <v>1053.42</v>
      </c>
      <c r="M84">
        <f t="shared" si="5"/>
        <v>1053</v>
      </c>
      <c r="N84">
        <f t="shared" si="6"/>
        <v>36855</v>
      </c>
    </row>
    <row r="85" spans="1:14" x14ac:dyDescent="0.25">
      <c r="A85">
        <v>84</v>
      </c>
      <c r="B85" s="18" t="s">
        <v>453</v>
      </c>
      <c r="C85">
        <v>20</v>
      </c>
      <c r="D85">
        <v>1885</v>
      </c>
      <c r="E85">
        <v>37700</v>
      </c>
      <c r="L85">
        <f t="shared" si="4"/>
        <v>2194.14</v>
      </c>
      <c r="M85">
        <f t="shared" si="5"/>
        <v>2194</v>
      </c>
      <c r="N85">
        <f t="shared" si="6"/>
        <v>43880</v>
      </c>
    </row>
    <row r="86" spans="1:14" x14ac:dyDescent="0.25">
      <c r="A86">
        <v>85</v>
      </c>
      <c r="B86" s="18" t="s">
        <v>454</v>
      </c>
      <c r="C86">
        <v>20</v>
      </c>
      <c r="D86">
        <v>3245</v>
      </c>
      <c r="E86">
        <v>64900</v>
      </c>
      <c r="L86">
        <f t="shared" si="4"/>
        <v>3777.18</v>
      </c>
      <c r="M86">
        <f t="shared" si="5"/>
        <v>3777</v>
      </c>
      <c r="N86">
        <f t="shared" si="6"/>
        <v>75540</v>
      </c>
    </row>
    <row r="87" spans="1:14" x14ac:dyDescent="0.25">
      <c r="A87">
        <v>86</v>
      </c>
      <c r="B87" s="18" t="s">
        <v>455</v>
      </c>
      <c r="C87">
        <v>2</v>
      </c>
      <c r="D87">
        <v>14150</v>
      </c>
      <c r="E87">
        <v>28300</v>
      </c>
      <c r="L87">
        <f t="shared" si="4"/>
        <v>16470.599999999999</v>
      </c>
      <c r="M87">
        <f t="shared" si="5"/>
        <v>16471</v>
      </c>
      <c r="N87">
        <f t="shared" si="6"/>
        <v>32942</v>
      </c>
    </row>
    <row r="88" spans="1:14" x14ac:dyDescent="0.25">
      <c r="A88">
        <v>87</v>
      </c>
      <c r="B88" s="18" t="s">
        <v>456</v>
      </c>
      <c r="C88">
        <v>4</v>
      </c>
      <c r="D88">
        <v>2070</v>
      </c>
      <c r="E88">
        <v>8280</v>
      </c>
      <c r="L88">
        <f t="shared" si="4"/>
        <v>2409.48</v>
      </c>
      <c r="M88">
        <f t="shared" si="5"/>
        <v>2409</v>
      </c>
      <c r="N88">
        <f t="shared" si="6"/>
        <v>9636</v>
      </c>
    </row>
    <row r="89" spans="1:14" x14ac:dyDescent="0.25">
      <c r="A89">
        <v>88</v>
      </c>
      <c r="B89" s="18" t="s">
        <v>457</v>
      </c>
      <c r="C89">
        <v>2</v>
      </c>
      <c r="D89">
        <v>2620</v>
      </c>
      <c r="E89">
        <v>5240</v>
      </c>
      <c r="L89">
        <f t="shared" si="4"/>
        <v>3049.68</v>
      </c>
      <c r="M89">
        <f t="shared" si="5"/>
        <v>3050</v>
      </c>
      <c r="N89">
        <f t="shared" si="6"/>
        <v>6100</v>
      </c>
    </row>
    <row r="90" spans="1:14" x14ac:dyDescent="0.25">
      <c r="A90">
        <v>89</v>
      </c>
      <c r="B90" s="18" t="s">
        <v>458</v>
      </c>
      <c r="C90">
        <v>2</v>
      </c>
      <c r="D90">
        <v>16310</v>
      </c>
      <c r="E90">
        <v>32620</v>
      </c>
      <c r="L90">
        <f t="shared" si="4"/>
        <v>18984.84</v>
      </c>
      <c r="M90">
        <f t="shared" si="5"/>
        <v>18985</v>
      </c>
      <c r="N90">
        <f t="shared" si="6"/>
        <v>37970</v>
      </c>
    </row>
    <row r="91" spans="1:14" x14ac:dyDescent="0.25">
      <c r="A91">
        <v>90</v>
      </c>
      <c r="B91" s="18" t="s">
        <v>459</v>
      </c>
      <c r="C91">
        <v>1</v>
      </c>
      <c r="D91">
        <v>12010</v>
      </c>
      <c r="E91">
        <v>12010</v>
      </c>
      <c r="L91">
        <f t="shared" si="4"/>
        <v>13979.64</v>
      </c>
      <c r="M91">
        <f t="shared" si="5"/>
        <v>13980</v>
      </c>
      <c r="N91">
        <f t="shared" si="6"/>
        <v>13980</v>
      </c>
    </row>
    <row r="92" spans="1:14" x14ac:dyDescent="0.25">
      <c r="A92">
        <v>91</v>
      </c>
      <c r="B92" s="18" t="s">
        <v>460</v>
      </c>
      <c r="C92">
        <v>2</v>
      </c>
      <c r="D92">
        <v>25345</v>
      </c>
      <c r="E92">
        <v>50690</v>
      </c>
      <c r="L92">
        <f t="shared" si="4"/>
        <v>29501.579999999998</v>
      </c>
      <c r="M92">
        <f t="shared" si="5"/>
        <v>29502</v>
      </c>
      <c r="N92">
        <f t="shared" si="6"/>
        <v>59004</v>
      </c>
    </row>
    <row r="93" spans="1:14" x14ac:dyDescent="0.25">
      <c r="A93">
        <v>92</v>
      </c>
      <c r="B93" s="18" t="s">
        <v>461</v>
      </c>
      <c r="C93">
        <v>10</v>
      </c>
      <c r="D93">
        <v>6753</v>
      </c>
      <c r="E93">
        <v>67530</v>
      </c>
      <c r="L93">
        <f t="shared" si="4"/>
        <v>7860.4919999999993</v>
      </c>
      <c r="M93">
        <f t="shared" si="5"/>
        <v>7860</v>
      </c>
      <c r="N93">
        <f t="shared" si="6"/>
        <v>78600</v>
      </c>
    </row>
    <row r="94" spans="1:14" x14ac:dyDescent="0.25">
      <c r="A94">
        <v>93</v>
      </c>
      <c r="B94" s="18" t="s">
        <v>462</v>
      </c>
      <c r="C94">
        <v>1</v>
      </c>
      <c r="D94">
        <v>98290</v>
      </c>
      <c r="E94">
        <v>98290</v>
      </c>
      <c r="L94">
        <f t="shared" si="4"/>
        <v>114409.56</v>
      </c>
      <c r="M94">
        <f t="shared" si="5"/>
        <v>114410</v>
      </c>
      <c r="N94">
        <f t="shared" si="6"/>
        <v>114410</v>
      </c>
    </row>
    <row r="95" spans="1:14" x14ac:dyDescent="0.25">
      <c r="A95">
        <v>94</v>
      </c>
      <c r="B95" s="18" t="s">
        <v>463</v>
      </c>
      <c r="C95">
        <v>1</v>
      </c>
      <c r="D95">
        <v>130145</v>
      </c>
      <c r="E95">
        <v>130145</v>
      </c>
      <c r="L95">
        <f t="shared" si="4"/>
        <v>151488.78</v>
      </c>
      <c r="M95">
        <f t="shared" si="5"/>
        <v>151489</v>
      </c>
      <c r="N95">
        <f t="shared" si="6"/>
        <v>151489</v>
      </c>
    </row>
    <row r="96" spans="1:14" x14ac:dyDescent="0.25">
      <c r="A96">
        <v>95</v>
      </c>
      <c r="B96" s="18" t="s">
        <v>464</v>
      </c>
      <c r="C96">
        <v>2</v>
      </c>
      <c r="D96">
        <v>30915</v>
      </c>
      <c r="E96">
        <v>61830</v>
      </c>
      <c r="L96">
        <f t="shared" si="4"/>
        <v>35985.06</v>
      </c>
      <c r="M96">
        <f t="shared" si="5"/>
        <v>35985</v>
      </c>
      <c r="N96">
        <f t="shared" si="6"/>
        <v>71970</v>
      </c>
    </row>
    <row r="97" spans="1:14" x14ac:dyDescent="0.25">
      <c r="A97">
        <v>96</v>
      </c>
      <c r="B97" s="18" t="s">
        <v>465</v>
      </c>
      <c r="C97">
        <v>5</v>
      </c>
      <c r="D97">
        <v>11340</v>
      </c>
      <c r="E97">
        <v>56700</v>
      </c>
      <c r="L97">
        <f t="shared" si="4"/>
        <v>13199.76</v>
      </c>
      <c r="M97">
        <f t="shared" si="5"/>
        <v>13200</v>
      </c>
      <c r="N97">
        <f t="shared" si="6"/>
        <v>66000</v>
      </c>
    </row>
    <row r="98" spans="1:14" x14ac:dyDescent="0.25">
      <c r="A98">
        <v>97</v>
      </c>
      <c r="B98" s="18" t="s">
        <v>466</v>
      </c>
      <c r="C98">
        <v>5</v>
      </c>
      <c r="D98">
        <v>2360</v>
      </c>
      <c r="E98">
        <v>11800</v>
      </c>
      <c r="L98">
        <f t="shared" si="4"/>
        <v>2747.04</v>
      </c>
      <c r="M98">
        <f t="shared" si="5"/>
        <v>2747</v>
      </c>
      <c r="N98">
        <f t="shared" si="6"/>
        <v>13735</v>
      </c>
    </row>
    <row r="99" spans="1:14" x14ac:dyDescent="0.25">
      <c r="A99">
        <v>98</v>
      </c>
      <c r="B99" s="18" t="s">
        <v>467</v>
      </c>
      <c r="C99">
        <v>1</v>
      </c>
      <c r="D99">
        <v>42265</v>
      </c>
      <c r="E99">
        <v>42265</v>
      </c>
      <c r="L99">
        <f t="shared" si="4"/>
        <v>49196.46</v>
      </c>
      <c r="M99">
        <f t="shared" si="5"/>
        <v>49196</v>
      </c>
      <c r="N99">
        <f t="shared" si="6"/>
        <v>49196</v>
      </c>
    </row>
    <row r="100" spans="1:14" x14ac:dyDescent="0.25">
      <c r="A100">
        <v>99</v>
      </c>
      <c r="B100" s="18" t="s">
        <v>468</v>
      </c>
      <c r="C100">
        <v>1</v>
      </c>
      <c r="D100">
        <v>11255</v>
      </c>
      <c r="E100">
        <v>11255</v>
      </c>
      <c r="L100">
        <f t="shared" ref="L100:L144" si="7">D100*1.2*0.97</f>
        <v>13100.82</v>
      </c>
      <c r="M100">
        <f t="shared" ref="M100:M144" si="8">ROUND(L100,0)</f>
        <v>13101</v>
      </c>
      <c r="N100">
        <f t="shared" ref="N100:N144" si="9">M100*C100</f>
        <v>13101</v>
      </c>
    </row>
    <row r="101" spans="1:14" x14ac:dyDescent="0.25">
      <c r="A101">
        <v>100</v>
      </c>
      <c r="B101" s="7" t="s">
        <v>469</v>
      </c>
      <c r="C101">
        <v>2</v>
      </c>
      <c r="D101">
        <v>213800</v>
      </c>
      <c r="E101">
        <v>427600</v>
      </c>
      <c r="F101" t="s">
        <v>470</v>
      </c>
      <c r="L101">
        <f t="shared" ref="L101:L104" si="10">D101*0.97</f>
        <v>207386</v>
      </c>
      <c r="M101">
        <f t="shared" si="8"/>
        <v>207386</v>
      </c>
      <c r="N101">
        <f t="shared" si="9"/>
        <v>414772</v>
      </c>
    </row>
    <row r="102" spans="1:14" x14ac:dyDescent="0.25">
      <c r="A102">
        <v>101</v>
      </c>
      <c r="B102" s="7" t="s">
        <v>471</v>
      </c>
      <c r="C102">
        <v>6</v>
      </c>
      <c r="D102">
        <v>12195</v>
      </c>
      <c r="E102">
        <v>73170</v>
      </c>
      <c r="F102" t="s">
        <v>472</v>
      </c>
      <c r="L102">
        <f t="shared" si="10"/>
        <v>11829.15</v>
      </c>
      <c r="M102">
        <f t="shared" si="8"/>
        <v>11829</v>
      </c>
      <c r="N102">
        <f t="shared" si="9"/>
        <v>70974</v>
      </c>
    </row>
    <row r="103" spans="1:14" x14ac:dyDescent="0.25">
      <c r="A103">
        <v>102</v>
      </c>
      <c r="B103" s="7" t="s">
        <v>473</v>
      </c>
      <c r="C103">
        <v>8</v>
      </c>
      <c r="D103">
        <v>5000</v>
      </c>
      <c r="E103">
        <v>40000</v>
      </c>
      <c r="F103" t="s">
        <v>368</v>
      </c>
      <c r="L103">
        <f t="shared" si="10"/>
        <v>4850</v>
      </c>
      <c r="M103">
        <f t="shared" si="8"/>
        <v>4850</v>
      </c>
      <c r="N103">
        <f t="shared" si="9"/>
        <v>38800</v>
      </c>
    </row>
    <row r="104" spans="1:14" x14ac:dyDescent="0.25">
      <c r="A104">
        <v>103</v>
      </c>
      <c r="B104" s="7" t="s">
        <v>474</v>
      </c>
      <c r="C104">
        <v>20</v>
      </c>
      <c r="D104">
        <v>615</v>
      </c>
      <c r="E104">
        <v>12300</v>
      </c>
      <c r="F104" t="s">
        <v>368</v>
      </c>
      <c r="L104">
        <f t="shared" si="10"/>
        <v>596.54999999999995</v>
      </c>
      <c r="M104">
        <f t="shared" si="8"/>
        <v>597</v>
      </c>
      <c r="N104">
        <f t="shared" si="9"/>
        <v>11940</v>
      </c>
    </row>
    <row r="105" spans="1:14" x14ac:dyDescent="0.25">
      <c r="A105">
        <v>104</v>
      </c>
      <c r="B105" s="8" t="s">
        <v>475</v>
      </c>
      <c r="C105">
        <v>1</v>
      </c>
      <c r="D105">
        <v>94720</v>
      </c>
      <c r="E105">
        <v>94720</v>
      </c>
      <c r="L105">
        <f t="shared" si="7"/>
        <v>110254.08</v>
      </c>
      <c r="M105">
        <f t="shared" si="8"/>
        <v>110254</v>
      </c>
      <c r="N105">
        <f t="shared" si="9"/>
        <v>110254</v>
      </c>
    </row>
    <row r="106" spans="1:14" x14ac:dyDescent="0.25">
      <c r="A106">
        <v>105</v>
      </c>
      <c r="B106" s="7" t="s">
        <v>476</v>
      </c>
      <c r="C106">
        <v>1</v>
      </c>
      <c r="D106">
        <v>6440</v>
      </c>
      <c r="E106">
        <v>6440</v>
      </c>
      <c r="F106" t="s">
        <v>477</v>
      </c>
      <c r="L106">
        <f>D106*0.97</f>
        <v>6246.8</v>
      </c>
      <c r="M106">
        <f t="shared" si="8"/>
        <v>6247</v>
      </c>
      <c r="N106">
        <f t="shared" si="9"/>
        <v>6247</v>
      </c>
    </row>
    <row r="107" spans="1:14" x14ac:dyDescent="0.25">
      <c r="A107">
        <v>106</v>
      </c>
      <c r="B107" t="s">
        <v>478</v>
      </c>
      <c r="C107">
        <v>5</v>
      </c>
      <c r="D107">
        <v>11825</v>
      </c>
      <c r="E107">
        <v>59125</v>
      </c>
      <c r="F107" t="s">
        <v>368</v>
      </c>
      <c r="L107">
        <f t="shared" si="7"/>
        <v>13764.3</v>
      </c>
      <c r="M107">
        <f t="shared" si="8"/>
        <v>13764</v>
      </c>
      <c r="N107">
        <f t="shared" si="9"/>
        <v>68820</v>
      </c>
    </row>
    <row r="108" spans="1:14" x14ac:dyDescent="0.25">
      <c r="A108">
        <v>107</v>
      </c>
      <c r="B108" t="s">
        <v>479</v>
      </c>
      <c r="C108">
        <v>5</v>
      </c>
      <c r="D108">
        <v>16910</v>
      </c>
      <c r="E108">
        <v>84550</v>
      </c>
      <c r="F108" t="s">
        <v>368</v>
      </c>
      <c r="L108">
        <f t="shared" si="7"/>
        <v>19683.239999999998</v>
      </c>
      <c r="M108">
        <f t="shared" si="8"/>
        <v>19683</v>
      </c>
      <c r="N108">
        <f t="shared" si="9"/>
        <v>98415</v>
      </c>
    </row>
    <row r="109" spans="1:14" x14ac:dyDescent="0.25">
      <c r="A109">
        <v>108</v>
      </c>
      <c r="B109" t="s">
        <v>480</v>
      </c>
      <c r="C109">
        <v>2</v>
      </c>
      <c r="D109">
        <v>37510</v>
      </c>
      <c r="E109">
        <v>75020</v>
      </c>
      <c r="F109" t="s">
        <v>477</v>
      </c>
      <c r="L109">
        <f t="shared" si="7"/>
        <v>43661.64</v>
      </c>
      <c r="M109">
        <f t="shared" si="8"/>
        <v>43662</v>
      </c>
      <c r="N109">
        <f t="shared" si="9"/>
        <v>87324</v>
      </c>
    </row>
    <row r="110" spans="1:14" x14ac:dyDescent="0.25">
      <c r="A110">
        <v>109</v>
      </c>
      <c r="B110" s="7" t="s">
        <v>481</v>
      </c>
      <c r="C110">
        <v>2</v>
      </c>
      <c r="D110">
        <v>5130</v>
      </c>
      <c r="E110">
        <v>10260</v>
      </c>
      <c r="F110" t="s">
        <v>477</v>
      </c>
      <c r="L110">
        <f t="shared" ref="L110:L111" si="11">D110*0.97</f>
        <v>4976.0999999999995</v>
      </c>
      <c r="M110">
        <f t="shared" si="8"/>
        <v>4976</v>
      </c>
      <c r="N110">
        <f t="shared" si="9"/>
        <v>9952</v>
      </c>
    </row>
    <row r="111" spans="1:14" x14ac:dyDescent="0.25">
      <c r="A111">
        <v>110</v>
      </c>
      <c r="B111" s="7" t="s">
        <v>482</v>
      </c>
      <c r="C111">
        <v>6</v>
      </c>
      <c r="D111">
        <v>62825</v>
      </c>
      <c r="E111">
        <v>376950</v>
      </c>
      <c r="F111" t="s">
        <v>472</v>
      </c>
      <c r="L111">
        <f t="shared" si="11"/>
        <v>60940.25</v>
      </c>
      <c r="M111">
        <f t="shared" si="8"/>
        <v>60940</v>
      </c>
      <c r="N111">
        <f t="shared" si="9"/>
        <v>365640</v>
      </c>
    </row>
    <row r="112" spans="1:14" x14ac:dyDescent="0.25">
      <c r="A112">
        <v>111</v>
      </c>
      <c r="B112" t="s">
        <v>483</v>
      </c>
      <c r="C112">
        <v>1</v>
      </c>
      <c r="D112">
        <v>343595</v>
      </c>
      <c r="E112">
        <v>343595</v>
      </c>
      <c r="L112">
        <f t="shared" si="7"/>
        <v>399944.58</v>
      </c>
      <c r="M112">
        <f t="shared" si="8"/>
        <v>399945</v>
      </c>
      <c r="N112">
        <f t="shared" si="9"/>
        <v>399945</v>
      </c>
    </row>
    <row r="113" spans="1:14" x14ac:dyDescent="0.25">
      <c r="A113">
        <v>112</v>
      </c>
      <c r="B113" t="s">
        <v>484</v>
      </c>
      <c r="C113">
        <v>1</v>
      </c>
      <c r="D113">
        <v>49470</v>
      </c>
      <c r="E113">
        <v>49470</v>
      </c>
      <c r="L113">
        <f t="shared" si="7"/>
        <v>57583.08</v>
      </c>
      <c r="M113">
        <f t="shared" si="8"/>
        <v>57583</v>
      </c>
      <c r="N113">
        <f t="shared" si="9"/>
        <v>57583</v>
      </c>
    </row>
    <row r="114" spans="1:14" x14ac:dyDescent="0.25">
      <c r="A114">
        <v>113</v>
      </c>
      <c r="B114" s="7" t="s">
        <v>485</v>
      </c>
      <c r="C114">
        <v>4</v>
      </c>
      <c r="D114">
        <v>31220</v>
      </c>
      <c r="E114">
        <v>124880</v>
      </c>
      <c r="F114" t="s">
        <v>353</v>
      </c>
      <c r="L114">
        <f t="shared" ref="L114:L123" si="12">D114*0.97</f>
        <v>30283.399999999998</v>
      </c>
      <c r="M114">
        <f t="shared" si="8"/>
        <v>30283</v>
      </c>
      <c r="N114">
        <f t="shared" si="9"/>
        <v>121132</v>
      </c>
    </row>
    <row r="115" spans="1:14" x14ac:dyDescent="0.25">
      <c r="A115">
        <v>114</v>
      </c>
      <c r="B115" s="7" t="s">
        <v>486</v>
      </c>
      <c r="C115">
        <v>200</v>
      </c>
      <c r="D115">
        <v>61.5</v>
      </c>
      <c r="E115">
        <v>12300</v>
      </c>
      <c r="F115" t="s">
        <v>353</v>
      </c>
      <c r="L115">
        <f t="shared" si="12"/>
        <v>59.655000000000001</v>
      </c>
      <c r="M115">
        <f t="shared" si="8"/>
        <v>60</v>
      </c>
      <c r="N115">
        <f t="shared" si="9"/>
        <v>12000</v>
      </c>
    </row>
    <row r="116" spans="1:14" x14ac:dyDescent="0.25">
      <c r="A116">
        <v>115</v>
      </c>
      <c r="B116" s="7" t="s">
        <v>487</v>
      </c>
      <c r="C116">
        <v>200</v>
      </c>
      <c r="D116">
        <v>58.5</v>
      </c>
      <c r="E116">
        <v>11700</v>
      </c>
      <c r="F116" t="s">
        <v>353</v>
      </c>
      <c r="L116">
        <f t="shared" si="12"/>
        <v>56.744999999999997</v>
      </c>
      <c r="M116">
        <f t="shared" si="8"/>
        <v>57</v>
      </c>
      <c r="N116">
        <f t="shared" si="9"/>
        <v>11400</v>
      </c>
    </row>
    <row r="117" spans="1:14" x14ac:dyDescent="0.25">
      <c r="A117">
        <v>116</v>
      </c>
      <c r="B117" s="7" t="s">
        <v>488</v>
      </c>
      <c r="C117">
        <v>200</v>
      </c>
      <c r="D117">
        <v>79.5</v>
      </c>
      <c r="E117">
        <v>15900</v>
      </c>
      <c r="F117" t="s">
        <v>353</v>
      </c>
      <c r="L117">
        <f t="shared" si="12"/>
        <v>77.114999999999995</v>
      </c>
      <c r="M117">
        <f t="shared" si="8"/>
        <v>77</v>
      </c>
      <c r="N117">
        <f t="shared" si="9"/>
        <v>15400</v>
      </c>
    </row>
    <row r="118" spans="1:14" x14ac:dyDescent="0.25">
      <c r="A118">
        <v>117</v>
      </c>
      <c r="B118" s="7" t="s">
        <v>489</v>
      </c>
      <c r="C118">
        <v>200</v>
      </c>
      <c r="D118">
        <v>64.5</v>
      </c>
      <c r="E118">
        <v>12900</v>
      </c>
      <c r="F118" t="s">
        <v>353</v>
      </c>
      <c r="L118">
        <f t="shared" si="12"/>
        <v>62.564999999999998</v>
      </c>
      <c r="M118">
        <f t="shared" si="8"/>
        <v>63</v>
      </c>
      <c r="N118">
        <f t="shared" si="9"/>
        <v>12600</v>
      </c>
    </row>
    <row r="119" spans="1:14" x14ac:dyDescent="0.25">
      <c r="A119">
        <v>118</v>
      </c>
      <c r="B119" s="7" t="s">
        <v>490</v>
      </c>
      <c r="C119">
        <v>200</v>
      </c>
      <c r="D119">
        <v>165</v>
      </c>
      <c r="E119">
        <v>33000</v>
      </c>
      <c r="F119" t="s">
        <v>353</v>
      </c>
      <c r="L119">
        <f t="shared" si="12"/>
        <v>160.04999999999998</v>
      </c>
      <c r="M119">
        <f t="shared" si="8"/>
        <v>160</v>
      </c>
      <c r="N119">
        <f t="shared" si="9"/>
        <v>32000</v>
      </c>
    </row>
    <row r="120" spans="1:14" x14ac:dyDescent="0.25">
      <c r="A120">
        <v>119</v>
      </c>
      <c r="B120" s="7" t="s">
        <v>491</v>
      </c>
      <c r="C120">
        <v>200</v>
      </c>
      <c r="D120">
        <v>87.5</v>
      </c>
      <c r="E120">
        <v>17500</v>
      </c>
      <c r="F120" t="s">
        <v>353</v>
      </c>
      <c r="L120">
        <f t="shared" si="12"/>
        <v>84.875</v>
      </c>
      <c r="M120">
        <f t="shared" si="8"/>
        <v>85</v>
      </c>
      <c r="N120">
        <f t="shared" si="9"/>
        <v>17000</v>
      </c>
    </row>
    <row r="121" spans="1:14" x14ac:dyDescent="0.25">
      <c r="A121">
        <v>120</v>
      </c>
      <c r="B121" s="7" t="s">
        <v>492</v>
      </c>
      <c r="C121">
        <v>200</v>
      </c>
      <c r="D121">
        <v>70.5</v>
      </c>
      <c r="E121">
        <v>14100</v>
      </c>
      <c r="F121" t="s">
        <v>353</v>
      </c>
      <c r="L121">
        <f t="shared" si="12"/>
        <v>68.385000000000005</v>
      </c>
      <c r="M121">
        <f t="shared" si="8"/>
        <v>68</v>
      </c>
      <c r="N121">
        <f t="shared" si="9"/>
        <v>13600</v>
      </c>
    </row>
    <row r="122" spans="1:14" x14ac:dyDescent="0.25">
      <c r="A122">
        <v>121</v>
      </c>
      <c r="B122" s="7" t="s">
        <v>493</v>
      </c>
      <c r="C122">
        <v>200</v>
      </c>
      <c r="D122">
        <v>215</v>
      </c>
      <c r="E122">
        <v>43000</v>
      </c>
      <c r="F122" t="s">
        <v>353</v>
      </c>
      <c r="L122">
        <f t="shared" si="12"/>
        <v>208.54999999999998</v>
      </c>
      <c r="M122">
        <f t="shared" si="8"/>
        <v>209</v>
      </c>
      <c r="N122">
        <f t="shared" si="9"/>
        <v>41800</v>
      </c>
    </row>
    <row r="123" spans="1:14" x14ac:dyDescent="0.25">
      <c r="A123">
        <v>122</v>
      </c>
      <c r="B123" s="7" t="s">
        <v>494</v>
      </c>
      <c r="C123">
        <v>200</v>
      </c>
      <c r="D123">
        <v>95</v>
      </c>
      <c r="E123">
        <v>19000</v>
      </c>
      <c r="F123" t="s">
        <v>353</v>
      </c>
      <c r="L123">
        <f t="shared" si="12"/>
        <v>92.149999999999991</v>
      </c>
      <c r="M123">
        <f t="shared" si="8"/>
        <v>92</v>
      </c>
      <c r="N123">
        <f t="shared" si="9"/>
        <v>18400</v>
      </c>
    </row>
    <row r="124" spans="1:14" x14ac:dyDescent="0.25">
      <c r="A124">
        <v>123</v>
      </c>
      <c r="B124" s="8" t="s">
        <v>495</v>
      </c>
      <c r="C124">
        <v>1</v>
      </c>
      <c r="D124">
        <v>26940</v>
      </c>
      <c r="E124">
        <v>26940</v>
      </c>
      <c r="L124">
        <f t="shared" si="7"/>
        <v>31358.16</v>
      </c>
      <c r="M124">
        <f t="shared" si="8"/>
        <v>31358</v>
      </c>
      <c r="N124">
        <f t="shared" si="9"/>
        <v>31358</v>
      </c>
    </row>
    <row r="125" spans="1:14" x14ac:dyDescent="0.25">
      <c r="A125">
        <v>124</v>
      </c>
      <c r="B125" t="s">
        <v>496</v>
      </c>
      <c r="C125">
        <v>4</v>
      </c>
      <c r="D125">
        <v>3360</v>
      </c>
      <c r="E125">
        <v>13440</v>
      </c>
      <c r="L125">
        <f t="shared" si="7"/>
        <v>3911.04</v>
      </c>
      <c r="M125">
        <f t="shared" si="8"/>
        <v>3911</v>
      </c>
      <c r="N125">
        <f t="shared" si="9"/>
        <v>15644</v>
      </c>
    </row>
    <row r="126" spans="1:14" x14ac:dyDescent="0.25">
      <c r="A126">
        <v>125</v>
      </c>
      <c r="B126" t="s">
        <v>497</v>
      </c>
      <c r="C126">
        <v>1</v>
      </c>
      <c r="D126">
        <v>30045</v>
      </c>
      <c r="E126">
        <v>30045</v>
      </c>
      <c r="L126">
        <f t="shared" si="7"/>
        <v>34972.379999999997</v>
      </c>
      <c r="M126">
        <f t="shared" si="8"/>
        <v>34972</v>
      </c>
      <c r="N126">
        <f t="shared" si="9"/>
        <v>34972</v>
      </c>
    </row>
    <row r="127" spans="1:14" x14ac:dyDescent="0.25">
      <c r="A127">
        <v>126</v>
      </c>
      <c r="B127" s="8" t="s">
        <v>498</v>
      </c>
      <c r="C127">
        <v>1</v>
      </c>
      <c r="D127">
        <v>75280</v>
      </c>
      <c r="E127">
        <v>75280</v>
      </c>
      <c r="L127">
        <f t="shared" si="7"/>
        <v>87625.919999999998</v>
      </c>
      <c r="M127">
        <f t="shared" si="8"/>
        <v>87626</v>
      </c>
      <c r="N127">
        <f t="shared" si="9"/>
        <v>87626</v>
      </c>
    </row>
    <row r="128" spans="1:14" x14ac:dyDescent="0.25">
      <c r="A128">
        <v>127</v>
      </c>
      <c r="B128" s="8" t="s">
        <v>499</v>
      </c>
      <c r="C128">
        <v>2</v>
      </c>
      <c r="D128">
        <v>5435</v>
      </c>
      <c r="E128">
        <v>10870</v>
      </c>
      <c r="L128">
        <f t="shared" si="7"/>
        <v>6326.34</v>
      </c>
      <c r="M128">
        <f t="shared" si="8"/>
        <v>6326</v>
      </c>
      <c r="N128">
        <f t="shared" si="9"/>
        <v>12652</v>
      </c>
    </row>
    <row r="129" spans="1:14" x14ac:dyDescent="0.25">
      <c r="A129">
        <v>128</v>
      </c>
      <c r="B129" s="7" t="s">
        <v>500</v>
      </c>
      <c r="C129">
        <v>1</v>
      </c>
      <c r="D129">
        <v>13060</v>
      </c>
      <c r="E129">
        <v>13060</v>
      </c>
      <c r="F129" t="s">
        <v>501</v>
      </c>
      <c r="L129">
        <f>D129*0.97</f>
        <v>12668.199999999999</v>
      </c>
      <c r="M129">
        <f t="shared" si="8"/>
        <v>12668</v>
      </c>
      <c r="N129">
        <f t="shared" si="9"/>
        <v>12668</v>
      </c>
    </row>
    <row r="130" spans="1:14" x14ac:dyDescent="0.25">
      <c r="A130">
        <v>129</v>
      </c>
      <c r="B130" s="8" t="s">
        <v>502</v>
      </c>
      <c r="C130">
        <v>2</v>
      </c>
      <c r="D130">
        <v>215254</v>
      </c>
      <c r="E130">
        <v>430508</v>
      </c>
      <c r="L130">
        <f t="shared" si="7"/>
        <v>250555.65599999999</v>
      </c>
      <c r="M130">
        <f t="shared" si="8"/>
        <v>250556</v>
      </c>
      <c r="N130">
        <f t="shared" si="9"/>
        <v>501112</v>
      </c>
    </row>
    <row r="131" spans="1:14" x14ac:dyDescent="0.25">
      <c r="A131">
        <v>130</v>
      </c>
      <c r="B131" s="8" t="s">
        <v>503</v>
      </c>
      <c r="C131">
        <v>2</v>
      </c>
      <c r="D131">
        <v>283754</v>
      </c>
      <c r="E131">
        <v>567508</v>
      </c>
      <c r="L131">
        <f t="shared" si="7"/>
        <v>330289.65599999996</v>
      </c>
      <c r="M131">
        <f t="shared" si="8"/>
        <v>330290</v>
      </c>
      <c r="N131">
        <f t="shared" si="9"/>
        <v>660580</v>
      </c>
    </row>
    <row r="132" spans="1:14" x14ac:dyDescent="0.25">
      <c r="A132">
        <v>131</v>
      </c>
      <c r="B132" s="8" t="s">
        <v>504</v>
      </c>
      <c r="C132">
        <v>2</v>
      </c>
      <c r="D132">
        <v>19138</v>
      </c>
      <c r="E132">
        <v>38276</v>
      </c>
      <c r="L132">
        <f t="shared" si="7"/>
        <v>22276.631999999998</v>
      </c>
      <c r="M132">
        <f t="shared" si="8"/>
        <v>22277</v>
      </c>
      <c r="N132">
        <f t="shared" si="9"/>
        <v>44554</v>
      </c>
    </row>
    <row r="133" spans="1:14" x14ac:dyDescent="0.25">
      <c r="A133">
        <v>132</v>
      </c>
      <c r="B133" s="7" t="s">
        <v>276</v>
      </c>
      <c r="C133">
        <v>17</v>
      </c>
      <c r="D133">
        <v>1610</v>
      </c>
      <c r="E133">
        <v>27370</v>
      </c>
      <c r="F133" t="s">
        <v>353</v>
      </c>
      <c r="L133">
        <f t="shared" ref="L133:L134" si="13">D133*0.97</f>
        <v>1561.7</v>
      </c>
      <c r="M133">
        <f t="shared" si="8"/>
        <v>1562</v>
      </c>
      <c r="N133">
        <f t="shared" si="9"/>
        <v>26554</v>
      </c>
    </row>
    <row r="134" spans="1:14" x14ac:dyDescent="0.25">
      <c r="A134">
        <v>133</v>
      </c>
      <c r="B134" s="7" t="s">
        <v>505</v>
      </c>
      <c r="C134">
        <v>1</v>
      </c>
      <c r="D134">
        <v>7185</v>
      </c>
      <c r="E134">
        <v>7185</v>
      </c>
      <c r="F134" t="s">
        <v>353</v>
      </c>
      <c r="L134">
        <f t="shared" si="13"/>
        <v>6969.45</v>
      </c>
      <c r="M134">
        <f t="shared" si="8"/>
        <v>6969</v>
      </c>
      <c r="N134">
        <f t="shared" si="9"/>
        <v>6969</v>
      </c>
    </row>
    <row r="135" spans="1:14" x14ac:dyDescent="0.25">
      <c r="A135">
        <v>134</v>
      </c>
      <c r="B135" t="s">
        <v>506</v>
      </c>
      <c r="C135">
        <v>20</v>
      </c>
      <c r="D135">
        <v>5140</v>
      </c>
      <c r="E135">
        <v>102800</v>
      </c>
      <c r="L135">
        <f t="shared" si="7"/>
        <v>5982.96</v>
      </c>
      <c r="M135">
        <f t="shared" si="8"/>
        <v>5983</v>
      </c>
      <c r="N135">
        <f t="shared" si="9"/>
        <v>119660</v>
      </c>
    </row>
    <row r="136" spans="1:14" x14ac:dyDescent="0.25">
      <c r="A136">
        <v>135</v>
      </c>
      <c r="B136" t="s">
        <v>507</v>
      </c>
      <c r="C136">
        <v>20</v>
      </c>
      <c r="D136">
        <v>460</v>
      </c>
      <c r="E136">
        <v>9200</v>
      </c>
      <c r="L136">
        <f t="shared" si="7"/>
        <v>535.43999999999994</v>
      </c>
      <c r="M136">
        <f t="shared" si="8"/>
        <v>535</v>
      </c>
      <c r="N136">
        <f t="shared" si="9"/>
        <v>10700</v>
      </c>
    </row>
    <row r="137" spans="1:14" x14ac:dyDescent="0.25">
      <c r="A137">
        <v>136</v>
      </c>
      <c r="B137" s="8" t="s">
        <v>508</v>
      </c>
      <c r="C137">
        <v>3</v>
      </c>
      <c r="D137">
        <v>33600</v>
      </c>
      <c r="E137">
        <v>100800</v>
      </c>
      <c r="L137">
        <f t="shared" si="7"/>
        <v>39110.400000000001</v>
      </c>
      <c r="M137">
        <f t="shared" si="8"/>
        <v>39110</v>
      </c>
      <c r="N137">
        <f t="shared" si="9"/>
        <v>117330</v>
      </c>
    </row>
    <row r="138" spans="1:14" x14ac:dyDescent="0.25">
      <c r="A138">
        <v>137</v>
      </c>
      <c r="B138" s="7" t="s">
        <v>509</v>
      </c>
      <c r="C138">
        <v>7</v>
      </c>
      <c r="D138">
        <v>80600</v>
      </c>
      <c r="E138">
        <v>564200</v>
      </c>
      <c r="F138" t="s">
        <v>501</v>
      </c>
      <c r="L138">
        <f t="shared" ref="L138:L139" si="14">D138*0.97</f>
        <v>78182</v>
      </c>
      <c r="M138">
        <f t="shared" si="8"/>
        <v>78182</v>
      </c>
      <c r="N138">
        <f t="shared" si="9"/>
        <v>547274</v>
      </c>
    </row>
    <row r="139" spans="1:14" x14ac:dyDescent="0.25">
      <c r="A139">
        <v>138</v>
      </c>
      <c r="B139" s="8" t="s">
        <v>510</v>
      </c>
      <c r="C139">
        <v>1</v>
      </c>
      <c r="D139">
        <v>10825</v>
      </c>
      <c r="E139">
        <v>10825</v>
      </c>
      <c r="F139" t="s">
        <v>511</v>
      </c>
      <c r="L139">
        <f t="shared" si="14"/>
        <v>10500.25</v>
      </c>
      <c r="M139">
        <f t="shared" si="8"/>
        <v>10500</v>
      </c>
      <c r="N139">
        <f t="shared" si="9"/>
        <v>10500</v>
      </c>
    </row>
    <row r="140" spans="1:14" x14ac:dyDescent="0.25">
      <c r="A140">
        <v>139</v>
      </c>
      <c r="B140" s="8" t="s">
        <v>512</v>
      </c>
      <c r="C140">
        <v>1</v>
      </c>
      <c r="D140">
        <v>84200</v>
      </c>
      <c r="E140">
        <v>84200</v>
      </c>
      <c r="L140">
        <f t="shared" si="7"/>
        <v>98008.8</v>
      </c>
      <c r="M140">
        <f t="shared" si="8"/>
        <v>98009</v>
      </c>
      <c r="N140">
        <f t="shared" si="9"/>
        <v>98009</v>
      </c>
    </row>
    <row r="141" spans="1:14" x14ac:dyDescent="0.25">
      <c r="A141">
        <v>140</v>
      </c>
      <c r="B141" s="8" t="s">
        <v>513</v>
      </c>
      <c r="C141">
        <v>1</v>
      </c>
      <c r="D141">
        <v>84200</v>
      </c>
      <c r="E141">
        <v>84200</v>
      </c>
      <c r="L141">
        <f t="shared" si="7"/>
        <v>98008.8</v>
      </c>
      <c r="M141">
        <f t="shared" si="8"/>
        <v>98009</v>
      </c>
      <c r="N141">
        <f t="shared" si="9"/>
        <v>98009</v>
      </c>
    </row>
    <row r="142" spans="1:14" x14ac:dyDescent="0.25">
      <c r="A142">
        <v>141</v>
      </c>
      <c r="B142" s="8" t="s">
        <v>514</v>
      </c>
      <c r="C142">
        <v>1</v>
      </c>
      <c r="D142">
        <v>1053195.3330000001</v>
      </c>
      <c r="E142">
        <v>1053195.3330000001</v>
      </c>
      <c r="L142">
        <f t="shared" si="7"/>
        <v>1225919.3676120001</v>
      </c>
      <c r="M142">
        <f t="shared" si="8"/>
        <v>1225919</v>
      </c>
      <c r="N142">
        <f t="shared" si="9"/>
        <v>1225919</v>
      </c>
    </row>
    <row r="143" spans="1:14" x14ac:dyDescent="0.25">
      <c r="A143">
        <v>142</v>
      </c>
      <c r="B143" s="8" t="s">
        <v>515</v>
      </c>
      <c r="C143">
        <v>1</v>
      </c>
      <c r="D143">
        <v>672691.66669999994</v>
      </c>
      <c r="E143">
        <v>672691.66669999994</v>
      </c>
      <c r="L143">
        <f t="shared" si="7"/>
        <v>783013.10003879992</v>
      </c>
      <c r="M143">
        <f t="shared" si="8"/>
        <v>783013</v>
      </c>
      <c r="N143">
        <f t="shared" si="9"/>
        <v>783013</v>
      </c>
    </row>
    <row r="144" spans="1:14" x14ac:dyDescent="0.25">
      <c r="A144">
        <v>143</v>
      </c>
      <c r="B144" t="s">
        <v>516</v>
      </c>
      <c r="C144">
        <v>1</v>
      </c>
      <c r="D144">
        <v>713696.86670000001</v>
      </c>
      <c r="E144">
        <v>713696.86670000001</v>
      </c>
      <c r="L144">
        <f t="shared" si="7"/>
        <v>830743.15283879987</v>
      </c>
      <c r="M144">
        <f t="shared" si="8"/>
        <v>830743</v>
      </c>
      <c r="N144">
        <f t="shared" si="9"/>
        <v>830743</v>
      </c>
    </row>
  </sheetData>
  <autoFilter ref="B1:B144" xr:uid="{00000000-0009-0000-0000-000002000000}"/>
  <mergeCells count="3">
    <mergeCell ref="O10:O15"/>
    <mergeCell ref="O16:O38"/>
    <mergeCell ref="O39:O5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2"/>
  <sheetViews>
    <sheetView tabSelected="1" topLeftCell="A141" workbookViewId="0">
      <selection sqref="A1:A2"/>
    </sheetView>
  </sheetViews>
  <sheetFormatPr defaultRowHeight="15" x14ac:dyDescent="0.25"/>
  <cols>
    <col min="1" max="1" width="4.42578125" customWidth="1"/>
    <col min="2" max="2" width="72" customWidth="1"/>
    <col min="4" max="4" width="15.7109375" customWidth="1"/>
    <col min="5" max="5" width="18.7109375" style="20" customWidth="1"/>
    <col min="6" max="6" width="12.7109375" customWidth="1"/>
    <col min="8" max="8" width="13.5703125" style="20" customWidth="1"/>
    <col min="9" max="9" width="11.5703125" style="6" customWidth="1"/>
    <col min="10" max="10" width="9.140625" style="6"/>
    <col min="12" max="12" width="10.85546875" style="15" customWidth="1"/>
  </cols>
  <sheetData>
    <row r="1" spans="1:13" ht="30" x14ac:dyDescent="0.25">
      <c r="A1" s="237" t="s">
        <v>517</v>
      </c>
      <c r="B1" s="1" t="s">
        <v>0</v>
      </c>
      <c r="C1" s="1" t="s">
        <v>1</v>
      </c>
      <c r="D1" s="1" t="s">
        <v>2</v>
      </c>
      <c r="E1" s="21" t="s">
        <v>3</v>
      </c>
      <c r="F1" s="22" t="s">
        <v>518</v>
      </c>
      <c r="H1" s="20" t="s">
        <v>519</v>
      </c>
      <c r="I1" s="6" t="s">
        <v>520</v>
      </c>
      <c r="L1" s="15" t="s">
        <v>521</v>
      </c>
    </row>
    <row r="2" spans="1:13" x14ac:dyDescent="0.25">
      <c r="A2" s="238"/>
      <c r="B2" s="23" t="s">
        <v>522</v>
      </c>
      <c r="C2" s="24">
        <v>1</v>
      </c>
      <c r="D2" s="25" t="s">
        <v>523</v>
      </c>
      <c r="E2">
        <v>76970</v>
      </c>
      <c r="F2" s="26"/>
      <c r="M2" s="25"/>
    </row>
    <row r="3" spans="1:13" x14ac:dyDescent="0.25">
      <c r="A3" s="5">
        <v>2</v>
      </c>
      <c r="B3" s="13" t="s">
        <v>524</v>
      </c>
      <c r="C3" s="14">
        <v>1</v>
      </c>
      <c r="D3" s="13" t="s">
        <v>525</v>
      </c>
      <c r="E3" s="5">
        <v>14645</v>
      </c>
      <c r="F3" s="27">
        <v>45939</v>
      </c>
      <c r="G3" s="5" t="s">
        <v>526</v>
      </c>
      <c r="H3" s="28">
        <f t="shared" ref="H3:H9" si="0">E3*0.9</f>
        <v>13180.5</v>
      </c>
      <c r="I3" s="29">
        <f t="shared" ref="I3:I9" si="1">H3*1.2</f>
        <v>15816.599999999999</v>
      </c>
      <c r="L3" s="30" t="s">
        <v>527</v>
      </c>
      <c r="M3" s="25"/>
    </row>
    <row r="4" spans="1:13" x14ac:dyDescent="0.25">
      <c r="A4" s="5">
        <v>3</v>
      </c>
      <c r="B4" s="13" t="s">
        <v>528</v>
      </c>
      <c r="C4" s="14">
        <v>6</v>
      </c>
      <c r="D4" s="13" t="s">
        <v>529</v>
      </c>
      <c r="E4" s="5">
        <v>12900</v>
      </c>
      <c r="F4" s="27">
        <v>45939</v>
      </c>
      <c r="G4" s="5" t="s">
        <v>526</v>
      </c>
      <c r="H4" s="28">
        <f t="shared" si="0"/>
        <v>11610</v>
      </c>
      <c r="I4" s="29">
        <f t="shared" si="1"/>
        <v>13932</v>
      </c>
      <c r="L4" s="30" t="s">
        <v>527</v>
      </c>
      <c r="M4" s="25"/>
    </row>
    <row r="5" spans="1:13" x14ac:dyDescent="0.25">
      <c r="A5" s="5">
        <v>4</v>
      </c>
      <c r="B5" s="13" t="s">
        <v>530</v>
      </c>
      <c r="C5" s="14">
        <v>9</v>
      </c>
      <c r="D5" s="13" t="s">
        <v>531</v>
      </c>
      <c r="E5" s="31">
        <v>23175</v>
      </c>
      <c r="F5" s="27">
        <v>45939</v>
      </c>
      <c r="G5" s="5" t="s">
        <v>526</v>
      </c>
      <c r="H5" s="28">
        <f t="shared" si="0"/>
        <v>20857.5</v>
      </c>
      <c r="I5" s="29">
        <f t="shared" si="1"/>
        <v>25029</v>
      </c>
      <c r="L5" s="30" t="s">
        <v>527</v>
      </c>
      <c r="M5" s="25"/>
    </row>
    <row r="6" spans="1:13" x14ac:dyDescent="0.25">
      <c r="A6" s="5">
        <v>5</v>
      </c>
      <c r="B6" s="13" t="s">
        <v>532</v>
      </c>
      <c r="C6" s="14">
        <v>9</v>
      </c>
      <c r="D6" s="13" t="s">
        <v>533</v>
      </c>
      <c r="E6" s="32">
        <v>36391.5</v>
      </c>
      <c r="F6" s="27">
        <v>45939</v>
      </c>
      <c r="G6" s="5" t="s">
        <v>526</v>
      </c>
      <c r="H6" s="28">
        <f t="shared" si="0"/>
        <v>32752.350000000002</v>
      </c>
      <c r="I6" s="29">
        <f t="shared" si="1"/>
        <v>39302.82</v>
      </c>
      <c r="L6" s="30" t="s">
        <v>527</v>
      </c>
      <c r="M6" s="25"/>
    </row>
    <row r="7" spans="1:13" x14ac:dyDescent="0.25">
      <c r="A7" s="5">
        <v>6</v>
      </c>
      <c r="B7" s="13" t="s">
        <v>534</v>
      </c>
      <c r="C7" s="14">
        <v>1</v>
      </c>
      <c r="D7" s="13" t="s">
        <v>535</v>
      </c>
      <c r="E7" s="31">
        <v>13300</v>
      </c>
      <c r="F7" s="27">
        <v>45939</v>
      </c>
      <c r="G7" s="5" t="s">
        <v>526</v>
      </c>
      <c r="H7" s="28">
        <f t="shared" si="0"/>
        <v>11970</v>
      </c>
      <c r="I7" s="29">
        <f t="shared" si="1"/>
        <v>14364</v>
      </c>
      <c r="L7" s="30" t="s">
        <v>527</v>
      </c>
      <c r="M7" s="25"/>
    </row>
    <row r="8" spans="1:13" x14ac:dyDescent="0.25">
      <c r="A8" s="5">
        <v>7</v>
      </c>
      <c r="B8" s="13" t="s">
        <v>536</v>
      </c>
      <c r="C8" s="14">
        <v>3</v>
      </c>
      <c r="D8" s="13" t="s">
        <v>537</v>
      </c>
      <c r="E8" s="5">
        <v>107235</v>
      </c>
      <c r="F8" s="33"/>
      <c r="G8" s="34" t="s">
        <v>538</v>
      </c>
      <c r="H8" s="28">
        <f t="shared" si="0"/>
        <v>96511.5</v>
      </c>
      <c r="I8" s="29">
        <f t="shared" si="1"/>
        <v>115813.8</v>
      </c>
      <c r="J8" s="6">
        <f t="shared" ref="J8:J9" si="2">I8/C8</f>
        <v>38604.6</v>
      </c>
      <c r="K8" s="35"/>
      <c r="L8" s="30" t="s">
        <v>539</v>
      </c>
      <c r="M8" s="25"/>
    </row>
    <row r="9" spans="1:13" x14ac:dyDescent="0.25">
      <c r="A9" s="5">
        <v>8</v>
      </c>
      <c r="B9" s="13" t="s">
        <v>540</v>
      </c>
      <c r="C9" s="14">
        <v>10</v>
      </c>
      <c r="D9" s="13" t="s">
        <v>541</v>
      </c>
      <c r="E9" s="5">
        <v>60150</v>
      </c>
      <c r="F9" s="36">
        <v>46006</v>
      </c>
      <c r="G9" s="34" t="s">
        <v>538</v>
      </c>
      <c r="H9" s="28">
        <f t="shared" si="0"/>
        <v>54135</v>
      </c>
      <c r="I9" s="29">
        <f t="shared" si="1"/>
        <v>64962</v>
      </c>
      <c r="J9" s="6">
        <f t="shared" si="2"/>
        <v>6496.2</v>
      </c>
      <c r="K9" s="35"/>
      <c r="L9" s="30" t="s">
        <v>539</v>
      </c>
      <c r="M9" s="25"/>
    </row>
    <row r="10" spans="1:13" x14ac:dyDescent="0.25">
      <c r="A10">
        <v>9</v>
      </c>
      <c r="B10" s="37" t="s">
        <v>542</v>
      </c>
      <c r="C10" s="24">
        <v>1</v>
      </c>
      <c r="D10" s="25" t="s">
        <v>543</v>
      </c>
      <c r="E10">
        <v>1392125</v>
      </c>
      <c r="F10" s="38">
        <v>46006</v>
      </c>
      <c r="H10" s="20">
        <f t="shared" ref="H10:H65" si="3">E10*0.9</f>
        <v>1252912.5</v>
      </c>
      <c r="I10" s="6">
        <f t="shared" ref="I10:I53" si="4">H10*1.2</f>
        <v>1503495</v>
      </c>
      <c r="L10" s="30"/>
      <c r="M10" s="25"/>
    </row>
    <row r="11" spans="1:13" x14ac:dyDescent="0.25">
      <c r="A11" s="5">
        <v>10</v>
      </c>
      <c r="B11" s="13" t="s">
        <v>544</v>
      </c>
      <c r="C11" s="14">
        <v>1</v>
      </c>
      <c r="D11" s="13" t="s">
        <v>545</v>
      </c>
      <c r="E11" s="31">
        <v>42000</v>
      </c>
      <c r="F11" s="27">
        <v>45939</v>
      </c>
      <c r="G11" s="5" t="s">
        <v>526</v>
      </c>
      <c r="H11" s="28">
        <f t="shared" si="3"/>
        <v>37800</v>
      </c>
      <c r="I11" s="29">
        <f t="shared" si="4"/>
        <v>45360</v>
      </c>
      <c r="L11" s="30" t="s">
        <v>527</v>
      </c>
      <c r="M11" s="25"/>
    </row>
    <row r="12" spans="1:13" x14ac:dyDescent="0.25">
      <c r="A12" s="7">
        <v>11</v>
      </c>
      <c r="B12" s="39" t="s">
        <v>546</v>
      </c>
      <c r="C12" s="40">
        <v>1</v>
      </c>
      <c r="D12" s="39" t="s">
        <v>547</v>
      </c>
      <c r="E12" s="7">
        <v>351365</v>
      </c>
      <c r="F12" s="41">
        <v>45943</v>
      </c>
      <c r="G12" s="7"/>
      <c r="H12" s="42">
        <f t="shared" si="3"/>
        <v>316228.5</v>
      </c>
      <c r="I12" s="43">
        <f t="shared" si="4"/>
        <v>379474.2</v>
      </c>
      <c r="J12" s="43"/>
      <c r="K12" s="7" t="s">
        <v>548</v>
      </c>
      <c r="L12" s="30"/>
      <c r="M12" s="25"/>
    </row>
    <row r="13" spans="1:13" x14ac:dyDescent="0.25">
      <c r="A13" s="5">
        <v>12</v>
      </c>
      <c r="B13" s="13" t="s">
        <v>549</v>
      </c>
      <c r="C13" s="14">
        <v>2</v>
      </c>
      <c r="D13" s="13" t="s">
        <v>550</v>
      </c>
      <c r="E13" s="31">
        <v>61993</v>
      </c>
      <c r="F13" s="27">
        <v>45958</v>
      </c>
      <c r="G13" s="5" t="s">
        <v>526</v>
      </c>
      <c r="H13" s="28">
        <f t="shared" si="3"/>
        <v>55793.700000000004</v>
      </c>
      <c r="I13" s="29">
        <f t="shared" si="4"/>
        <v>66952.44</v>
      </c>
      <c r="L13" s="30" t="s">
        <v>527</v>
      </c>
      <c r="M13" s="25"/>
    </row>
    <row r="14" spans="1:13" x14ac:dyDescent="0.25">
      <c r="A14" s="5">
        <v>13</v>
      </c>
      <c r="B14" s="13" t="s">
        <v>551</v>
      </c>
      <c r="C14" s="14">
        <v>1</v>
      </c>
      <c r="D14" s="13" t="s">
        <v>552</v>
      </c>
      <c r="E14" s="31">
        <v>6090</v>
      </c>
      <c r="F14" s="27">
        <v>45943</v>
      </c>
      <c r="G14" s="5" t="s">
        <v>526</v>
      </c>
      <c r="H14" s="28">
        <f t="shared" si="3"/>
        <v>5481</v>
      </c>
      <c r="I14" s="29">
        <f t="shared" si="4"/>
        <v>6577.2</v>
      </c>
      <c r="L14" s="30" t="s">
        <v>527</v>
      </c>
      <c r="M14" s="25"/>
    </row>
    <row r="15" spans="1:13" x14ac:dyDescent="0.25">
      <c r="A15" s="5">
        <v>14</v>
      </c>
      <c r="B15" s="13" t="s">
        <v>553</v>
      </c>
      <c r="C15" s="14">
        <v>400</v>
      </c>
      <c r="D15" s="13" t="s">
        <v>554</v>
      </c>
      <c r="E15" s="31">
        <v>65000</v>
      </c>
      <c r="F15" s="27">
        <v>45939</v>
      </c>
      <c r="G15" s="5" t="s">
        <v>526</v>
      </c>
      <c r="H15" s="28">
        <f t="shared" si="3"/>
        <v>58500</v>
      </c>
      <c r="I15" s="29">
        <f t="shared" si="4"/>
        <v>70200</v>
      </c>
      <c r="L15" s="30" t="s">
        <v>527</v>
      </c>
      <c r="M15" s="25"/>
    </row>
    <row r="16" spans="1:13" x14ac:dyDescent="0.25">
      <c r="A16" s="5">
        <v>15</v>
      </c>
      <c r="B16" s="13" t="s">
        <v>555</v>
      </c>
      <c r="C16" s="14">
        <v>15</v>
      </c>
      <c r="D16" s="13" t="s">
        <v>556</v>
      </c>
      <c r="E16" s="32">
        <v>13282.5</v>
      </c>
      <c r="F16" s="27">
        <v>45939</v>
      </c>
      <c r="G16" s="5" t="s">
        <v>526</v>
      </c>
      <c r="H16" s="28">
        <f t="shared" si="3"/>
        <v>11954.25</v>
      </c>
      <c r="I16" s="29">
        <f t="shared" si="4"/>
        <v>14345.1</v>
      </c>
      <c r="L16" s="30" t="s">
        <v>527</v>
      </c>
      <c r="M16" s="25"/>
    </row>
    <row r="17" spans="1:15" x14ac:dyDescent="0.25">
      <c r="A17" s="5">
        <v>16</v>
      </c>
      <c r="B17" s="13" t="s">
        <v>557</v>
      </c>
      <c r="C17" s="14">
        <v>10</v>
      </c>
      <c r="D17" s="13" t="s">
        <v>558</v>
      </c>
      <c r="E17" s="31">
        <v>28300</v>
      </c>
      <c r="F17" s="27">
        <v>45939</v>
      </c>
      <c r="G17" s="5" t="s">
        <v>526</v>
      </c>
      <c r="H17" s="28">
        <f t="shared" si="3"/>
        <v>25470</v>
      </c>
      <c r="I17" s="29">
        <f t="shared" si="4"/>
        <v>30564</v>
      </c>
      <c r="L17" s="30" t="s">
        <v>527</v>
      </c>
      <c r="M17" s="25"/>
    </row>
    <row r="18" spans="1:15" x14ac:dyDescent="0.25">
      <c r="A18" s="5">
        <v>17</v>
      </c>
      <c r="B18" s="13" t="s">
        <v>559</v>
      </c>
      <c r="C18" s="14">
        <v>1</v>
      </c>
      <c r="D18" s="13" t="s">
        <v>560</v>
      </c>
      <c r="E18" s="31">
        <v>12906</v>
      </c>
      <c r="F18" s="27">
        <v>45939</v>
      </c>
      <c r="G18" s="5" t="s">
        <v>526</v>
      </c>
      <c r="H18" s="28">
        <f t="shared" si="3"/>
        <v>11615.4</v>
      </c>
      <c r="I18" s="29">
        <f t="shared" si="4"/>
        <v>13938.48</v>
      </c>
      <c r="L18" s="30" t="s">
        <v>527</v>
      </c>
      <c r="M18" s="25"/>
    </row>
    <row r="19" spans="1:15" x14ac:dyDescent="0.25">
      <c r="A19" s="5">
        <v>18</v>
      </c>
      <c r="B19" s="13" t="s">
        <v>561</v>
      </c>
      <c r="C19" s="14">
        <v>2</v>
      </c>
      <c r="D19" s="13" t="s">
        <v>562</v>
      </c>
      <c r="E19" s="31">
        <v>10480</v>
      </c>
      <c r="F19" s="27">
        <v>45939</v>
      </c>
      <c r="G19" s="5" t="s">
        <v>526</v>
      </c>
      <c r="H19" s="28">
        <f t="shared" si="3"/>
        <v>9432</v>
      </c>
      <c r="I19" s="29">
        <f t="shared" si="4"/>
        <v>11318.4</v>
      </c>
      <c r="L19" s="30" t="s">
        <v>527</v>
      </c>
      <c r="M19" s="25"/>
    </row>
    <row r="20" spans="1:15" x14ac:dyDescent="0.25">
      <c r="A20" s="5">
        <v>19</v>
      </c>
      <c r="B20" s="13" t="s">
        <v>563</v>
      </c>
      <c r="C20" s="14">
        <v>2</v>
      </c>
      <c r="D20" s="13" t="s">
        <v>564</v>
      </c>
      <c r="E20" s="31">
        <v>42846</v>
      </c>
      <c r="F20" s="27">
        <v>45939</v>
      </c>
      <c r="G20" s="5" t="s">
        <v>526</v>
      </c>
      <c r="H20" s="28">
        <f t="shared" si="3"/>
        <v>38561.4</v>
      </c>
      <c r="I20" s="29">
        <f t="shared" si="4"/>
        <v>46273.68</v>
      </c>
      <c r="L20" s="30" t="s">
        <v>527</v>
      </c>
      <c r="M20" s="25"/>
    </row>
    <row r="21" spans="1:15" x14ac:dyDescent="0.25">
      <c r="A21" s="5">
        <v>20</v>
      </c>
      <c r="B21" s="13" t="s">
        <v>565</v>
      </c>
      <c r="C21" s="14">
        <v>2</v>
      </c>
      <c r="D21" s="13" t="s">
        <v>566</v>
      </c>
      <c r="E21" s="31">
        <v>9034</v>
      </c>
      <c r="F21" s="27">
        <v>45939</v>
      </c>
      <c r="G21" s="5" t="s">
        <v>526</v>
      </c>
      <c r="H21" s="28">
        <f t="shared" si="3"/>
        <v>8130.6</v>
      </c>
      <c r="I21" s="29">
        <f t="shared" si="4"/>
        <v>9756.7199999999993</v>
      </c>
      <c r="L21" s="30" t="s">
        <v>527</v>
      </c>
      <c r="M21" s="25"/>
    </row>
    <row r="22" spans="1:15" x14ac:dyDescent="0.25">
      <c r="A22" s="5">
        <v>21</v>
      </c>
      <c r="B22" s="13" t="s">
        <v>567</v>
      </c>
      <c r="C22" s="14">
        <v>1</v>
      </c>
      <c r="D22" s="13" t="s">
        <v>568</v>
      </c>
      <c r="E22" s="31">
        <v>32408</v>
      </c>
      <c r="F22" s="27">
        <v>45943</v>
      </c>
      <c r="G22" s="5" t="s">
        <v>526</v>
      </c>
      <c r="H22" s="28">
        <f t="shared" si="3"/>
        <v>29167.200000000001</v>
      </c>
      <c r="I22" s="29">
        <f t="shared" si="4"/>
        <v>35000.639999999999</v>
      </c>
      <c r="L22" s="30" t="s">
        <v>527</v>
      </c>
      <c r="M22" s="25"/>
    </row>
    <row r="23" spans="1:15" x14ac:dyDescent="0.25">
      <c r="A23" s="5">
        <v>22</v>
      </c>
      <c r="B23" s="13" t="s">
        <v>569</v>
      </c>
      <c r="C23" s="14">
        <v>10</v>
      </c>
      <c r="D23" s="13" t="s">
        <v>570</v>
      </c>
      <c r="E23" s="31">
        <v>27575</v>
      </c>
      <c r="F23" s="27">
        <v>45939</v>
      </c>
      <c r="G23" s="5" t="s">
        <v>526</v>
      </c>
      <c r="H23" s="28">
        <f t="shared" si="3"/>
        <v>24817.5</v>
      </c>
      <c r="I23" s="29">
        <f t="shared" si="4"/>
        <v>29781</v>
      </c>
      <c r="L23" s="30" t="s">
        <v>527</v>
      </c>
      <c r="M23" s="25"/>
    </row>
    <row r="24" spans="1:15" x14ac:dyDescent="0.25">
      <c r="A24" s="5">
        <v>23</v>
      </c>
      <c r="B24" s="13" t="s">
        <v>571</v>
      </c>
      <c r="C24" s="14">
        <v>2</v>
      </c>
      <c r="D24" s="13" t="s">
        <v>572</v>
      </c>
      <c r="E24" s="31">
        <v>28200</v>
      </c>
      <c r="F24" s="27">
        <v>45939</v>
      </c>
      <c r="G24" s="5" t="s">
        <v>526</v>
      </c>
      <c r="H24" s="28">
        <f t="shared" si="3"/>
        <v>25380</v>
      </c>
      <c r="I24" s="29">
        <f t="shared" si="4"/>
        <v>30456</v>
      </c>
      <c r="L24" s="30" t="s">
        <v>527</v>
      </c>
      <c r="M24" s="25"/>
    </row>
    <row r="25" spans="1:15" x14ac:dyDescent="0.25">
      <c r="A25" s="5">
        <v>24</v>
      </c>
      <c r="B25" s="13" t="s">
        <v>573</v>
      </c>
      <c r="C25" s="14">
        <v>60</v>
      </c>
      <c r="D25" s="13" t="s">
        <v>574</v>
      </c>
      <c r="E25" s="31">
        <v>15600</v>
      </c>
      <c r="F25" s="27">
        <v>45939</v>
      </c>
      <c r="G25" s="5" t="s">
        <v>526</v>
      </c>
      <c r="H25" s="28">
        <f t="shared" si="3"/>
        <v>14040</v>
      </c>
      <c r="I25" s="29">
        <f t="shared" si="4"/>
        <v>16848</v>
      </c>
      <c r="L25" s="30" t="s">
        <v>527</v>
      </c>
      <c r="M25" s="25"/>
    </row>
    <row r="26" spans="1:15" x14ac:dyDescent="0.25">
      <c r="A26" s="5">
        <v>25</v>
      </c>
      <c r="B26" s="13" t="s">
        <v>575</v>
      </c>
      <c r="C26" s="14">
        <v>2</v>
      </c>
      <c r="D26" s="13" t="s">
        <v>576</v>
      </c>
      <c r="E26" s="5">
        <v>60600</v>
      </c>
      <c r="F26" s="36">
        <v>45978</v>
      </c>
      <c r="G26" s="5" t="s">
        <v>577</v>
      </c>
      <c r="H26" s="28">
        <f t="shared" si="3"/>
        <v>54540</v>
      </c>
      <c r="I26" s="29">
        <f t="shared" si="4"/>
        <v>65448</v>
      </c>
      <c r="L26" s="30" t="s">
        <v>578</v>
      </c>
      <c r="M26" s="25"/>
    </row>
    <row r="27" spans="1:15" x14ac:dyDescent="0.25">
      <c r="A27" s="5">
        <v>26</v>
      </c>
      <c r="B27" s="13" t="s">
        <v>579</v>
      </c>
      <c r="C27" s="14">
        <v>2</v>
      </c>
      <c r="D27" s="13" t="s">
        <v>580</v>
      </c>
      <c r="E27" s="31">
        <v>26200</v>
      </c>
      <c r="F27" s="27">
        <v>45939</v>
      </c>
      <c r="G27" s="5" t="s">
        <v>526</v>
      </c>
      <c r="H27" s="28">
        <f t="shared" si="3"/>
        <v>23580</v>
      </c>
      <c r="I27" s="29">
        <f t="shared" si="4"/>
        <v>28296</v>
      </c>
      <c r="L27" s="30" t="s">
        <v>527</v>
      </c>
      <c r="M27" s="25"/>
    </row>
    <row r="28" spans="1:15" x14ac:dyDescent="0.25">
      <c r="A28" s="7">
        <v>27</v>
      </c>
      <c r="B28" s="39" t="s">
        <v>581</v>
      </c>
      <c r="C28" s="40">
        <v>1</v>
      </c>
      <c r="D28" s="39" t="s">
        <v>582</v>
      </c>
      <c r="E28" s="7">
        <v>183325</v>
      </c>
      <c r="F28" s="44">
        <v>46006</v>
      </c>
      <c r="G28" s="7"/>
      <c r="H28" s="42">
        <f t="shared" si="3"/>
        <v>164992.5</v>
      </c>
      <c r="I28" s="43"/>
      <c r="J28" s="43"/>
      <c r="K28" s="7" t="s">
        <v>548</v>
      </c>
      <c r="L28" s="30"/>
      <c r="M28" s="25"/>
    </row>
    <row r="29" spans="1:15" x14ac:dyDescent="0.25">
      <c r="A29" s="7">
        <v>28</v>
      </c>
      <c r="B29" s="39" t="s">
        <v>583</v>
      </c>
      <c r="C29" s="40">
        <v>5</v>
      </c>
      <c r="D29" s="39" t="s">
        <v>584</v>
      </c>
      <c r="E29" s="7">
        <v>27725</v>
      </c>
      <c r="F29" s="44">
        <v>46006</v>
      </c>
      <c r="G29" s="7"/>
      <c r="H29" s="42">
        <f t="shared" si="3"/>
        <v>24952.5</v>
      </c>
      <c r="I29" s="43"/>
      <c r="J29" s="43"/>
      <c r="K29" s="7" t="s">
        <v>548</v>
      </c>
      <c r="L29" s="30"/>
      <c r="M29" s="25"/>
    </row>
    <row r="30" spans="1:15" x14ac:dyDescent="0.25">
      <c r="A30" s="5">
        <v>29</v>
      </c>
      <c r="B30" s="13" t="s">
        <v>585</v>
      </c>
      <c r="C30" s="14">
        <v>1</v>
      </c>
      <c r="D30" s="13" t="s">
        <v>586</v>
      </c>
      <c r="E30" s="5">
        <v>29037</v>
      </c>
      <c r="F30" s="27">
        <v>45958</v>
      </c>
      <c r="G30" s="5" t="s">
        <v>587</v>
      </c>
      <c r="H30" s="28">
        <f t="shared" si="3"/>
        <v>26133.3</v>
      </c>
      <c r="I30" s="29">
        <f t="shared" si="4"/>
        <v>31359.96</v>
      </c>
      <c r="J30" s="6">
        <f t="shared" ref="J30:J93" si="5">I30/C30</f>
        <v>31359.96</v>
      </c>
      <c r="L30" s="30" t="s">
        <v>588</v>
      </c>
      <c r="M30" s="25"/>
      <c r="O30" s="6"/>
    </row>
    <row r="31" spans="1:15" x14ac:dyDescent="0.25">
      <c r="A31" s="5">
        <v>30</v>
      </c>
      <c r="B31" s="13" t="s">
        <v>589</v>
      </c>
      <c r="C31" s="14">
        <v>3</v>
      </c>
      <c r="D31" s="13" t="s">
        <v>590</v>
      </c>
      <c r="E31" s="5">
        <v>91326</v>
      </c>
      <c r="F31" s="27">
        <v>45958</v>
      </c>
      <c r="G31" s="5" t="s">
        <v>587</v>
      </c>
      <c r="H31" s="28">
        <f t="shared" si="3"/>
        <v>82193.400000000009</v>
      </c>
      <c r="I31" s="29">
        <f t="shared" si="4"/>
        <v>98632.08</v>
      </c>
      <c r="J31" s="6">
        <f t="shared" si="5"/>
        <v>32877.360000000001</v>
      </c>
      <c r="L31" s="30" t="s">
        <v>588</v>
      </c>
      <c r="M31" s="25"/>
      <c r="O31" s="6"/>
    </row>
    <row r="32" spans="1:15" x14ac:dyDescent="0.25">
      <c r="A32" s="5">
        <v>31</v>
      </c>
      <c r="B32" s="13" t="s">
        <v>591</v>
      </c>
      <c r="C32" s="14">
        <v>5</v>
      </c>
      <c r="D32" s="13" t="s">
        <v>592</v>
      </c>
      <c r="E32" s="5">
        <v>17075</v>
      </c>
      <c r="F32" s="36">
        <v>45978</v>
      </c>
      <c r="G32" s="5" t="s">
        <v>577</v>
      </c>
      <c r="H32" s="28">
        <f t="shared" si="3"/>
        <v>15367.5</v>
      </c>
      <c r="I32" s="29">
        <f t="shared" si="4"/>
        <v>18441</v>
      </c>
      <c r="L32" s="30" t="s">
        <v>578</v>
      </c>
      <c r="M32" s="25"/>
    </row>
    <row r="33" spans="1:13" x14ac:dyDescent="0.25">
      <c r="A33" s="5">
        <v>32</v>
      </c>
      <c r="B33" s="13" t="s">
        <v>593</v>
      </c>
      <c r="C33" s="14">
        <v>1</v>
      </c>
      <c r="D33" s="13" t="s">
        <v>594</v>
      </c>
      <c r="E33" s="5">
        <v>2905.5</v>
      </c>
      <c r="F33" s="27">
        <v>45958</v>
      </c>
      <c r="G33" s="5" t="s">
        <v>587</v>
      </c>
      <c r="H33" s="28">
        <f t="shared" si="3"/>
        <v>2614.9500000000003</v>
      </c>
      <c r="I33" s="29">
        <f t="shared" si="4"/>
        <v>3137.94</v>
      </c>
      <c r="L33" s="30" t="s">
        <v>588</v>
      </c>
      <c r="M33" s="25"/>
    </row>
    <row r="34" spans="1:13" x14ac:dyDescent="0.25">
      <c r="A34" s="5">
        <v>33</v>
      </c>
      <c r="B34" s="13" t="s">
        <v>595</v>
      </c>
      <c r="C34" s="14">
        <v>2</v>
      </c>
      <c r="D34" s="13" t="s">
        <v>596</v>
      </c>
      <c r="E34" s="5">
        <v>12040</v>
      </c>
      <c r="F34" s="27">
        <v>45958</v>
      </c>
      <c r="G34" s="5" t="s">
        <v>587</v>
      </c>
      <c r="H34" s="28">
        <f t="shared" si="3"/>
        <v>10836</v>
      </c>
      <c r="I34" s="29">
        <f t="shared" si="4"/>
        <v>13003.199999999999</v>
      </c>
      <c r="L34" s="30" t="s">
        <v>588</v>
      </c>
      <c r="M34" s="25"/>
    </row>
    <row r="35" spans="1:13" x14ac:dyDescent="0.25">
      <c r="A35" s="5">
        <v>34</v>
      </c>
      <c r="B35" s="13" t="s">
        <v>597</v>
      </c>
      <c r="C35" s="14">
        <v>7</v>
      </c>
      <c r="D35" s="13" t="s">
        <v>598</v>
      </c>
      <c r="E35" s="5">
        <v>12904.5</v>
      </c>
      <c r="F35" s="27">
        <v>45958</v>
      </c>
      <c r="G35" s="5" t="s">
        <v>587</v>
      </c>
      <c r="H35" s="28">
        <f t="shared" si="3"/>
        <v>11614.050000000001</v>
      </c>
      <c r="I35" s="29">
        <f t="shared" si="4"/>
        <v>13936.86</v>
      </c>
      <c r="L35" s="30" t="s">
        <v>588</v>
      </c>
      <c r="M35" s="25"/>
    </row>
    <row r="36" spans="1:13" x14ac:dyDescent="0.25">
      <c r="A36" s="5">
        <v>35</v>
      </c>
      <c r="B36" s="13" t="s">
        <v>599</v>
      </c>
      <c r="C36" s="14">
        <v>1</v>
      </c>
      <c r="D36" s="13" t="s">
        <v>600</v>
      </c>
      <c r="E36" s="5">
        <v>13702.5</v>
      </c>
      <c r="F36" s="27">
        <v>45958</v>
      </c>
      <c r="G36" s="5" t="s">
        <v>587</v>
      </c>
      <c r="H36" s="28">
        <f t="shared" si="3"/>
        <v>12332.25</v>
      </c>
      <c r="I36" s="29">
        <f t="shared" si="4"/>
        <v>14798.699999999999</v>
      </c>
      <c r="L36" s="30" t="s">
        <v>588</v>
      </c>
      <c r="M36" s="25"/>
    </row>
    <row r="37" spans="1:13" x14ac:dyDescent="0.25">
      <c r="A37">
        <v>36</v>
      </c>
      <c r="B37" s="37" t="s">
        <v>601</v>
      </c>
      <c r="C37" s="24">
        <v>1</v>
      </c>
      <c r="D37" s="25" t="s">
        <v>602</v>
      </c>
      <c r="E37" t="s">
        <v>603</v>
      </c>
      <c r="F37" s="38">
        <v>46006</v>
      </c>
      <c r="L37" s="30"/>
      <c r="M37" s="25"/>
    </row>
    <row r="38" spans="1:13" x14ac:dyDescent="0.25">
      <c r="A38" s="5">
        <v>37</v>
      </c>
      <c r="B38" s="13" t="s">
        <v>604</v>
      </c>
      <c r="C38" s="14">
        <v>30</v>
      </c>
      <c r="D38" s="13" t="s">
        <v>605</v>
      </c>
      <c r="E38" s="5">
        <v>43500</v>
      </c>
      <c r="F38" s="27">
        <v>45958</v>
      </c>
      <c r="G38" s="5" t="s">
        <v>577</v>
      </c>
      <c r="H38" s="28">
        <f t="shared" si="3"/>
        <v>39150</v>
      </c>
      <c r="I38" s="29">
        <f t="shared" si="4"/>
        <v>46980</v>
      </c>
      <c r="L38" s="30" t="s">
        <v>578</v>
      </c>
      <c r="M38" s="25"/>
    </row>
    <row r="39" spans="1:13" x14ac:dyDescent="0.25">
      <c r="A39" s="5">
        <v>38</v>
      </c>
      <c r="B39" s="13" t="s">
        <v>606</v>
      </c>
      <c r="C39" s="14">
        <v>1</v>
      </c>
      <c r="D39" s="13" t="s">
        <v>607</v>
      </c>
      <c r="E39" s="5">
        <v>14815</v>
      </c>
      <c r="F39" s="27">
        <v>45958</v>
      </c>
      <c r="G39" s="5" t="s">
        <v>587</v>
      </c>
      <c r="H39" s="28">
        <f t="shared" si="3"/>
        <v>13333.5</v>
      </c>
      <c r="I39" s="29">
        <f t="shared" si="4"/>
        <v>16000.199999999999</v>
      </c>
      <c r="L39" s="30" t="s">
        <v>588</v>
      </c>
      <c r="M39" s="25"/>
    </row>
    <row r="40" spans="1:13" x14ac:dyDescent="0.25">
      <c r="A40" s="5">
        <v>39</v>
      </c>
      <c r="B40" s="13" t="s">
        <v>608</v>
      </c>
      <c r="C40" s="14">
        <v>3</v>
      </c>
      <c r="D40" s="13" t="s">
        <v>609</v>
      </c>
      <c r="E40" s="5">
        <v>21840</v>
      </c>
      <c r="F40" s="27">
        <v>45958</v>
      </c>
      <c r="G40" s="5" t="s">
        <v>577</v>
      </c>
      <c r="H40" s="28">
        <f t="shared" si="3"/>
        <v>19656</v>
      </c>
      <c r="I40" s="29">
        <f t="shared" si="4"/>
        <v>23587.200000000001</v>
      </c>
      <c r="L40" s="30" t="s">
        <v>578</v>
      </c>
      <c r="M40" s="25"/>
    </row>
    <row r="41" spans="1:13" x14ac:dyDescent="0.25">
      <c r="A41" s="5">
        <v>40</v>
      </c>
      <c r="B41" s="13" t="s">
        <v>610</v>
      </c>
      <c r="C41" s="14">
        <v>1</v>
      </c>
      <c r="D41" s="13" t="s">
        <v>611</v>
      </c>
      <c r="E41" s="5">
        <v>8390</v>
      </c>
      <c r="F41" s="36">
        <v>45978</v>
      </c>
      <c r="G41" s="5" t="s">
        <v>587</v>
      </c>
      <c r="H41" s="28">
        <f t="shared" si="3"/>
        <v>7551</v>
      </c>
      <c r="I41" s="29">
        <f t="shared" si="4"/>
        <v>9061.1999999999989</v>
      </c>
      <c r="L41" s="30" t="s">
        <v>588</v>
      </c>
      <c r="M41" s="25"/>
    </row>
    <row r="42" spans="1:13" x14ac:dyDescent="0.25">
      <c r="A42" s="5">
        <v>41</v>
      </c>
      <c r="B42" s="13" t="s">
        <v>612</v>
      </c>
      <c r="C42" s="14">
        <v>1</v>
      </c>
      <c r="D42" s="13" t="s">
        <v>611</v>
      </c>
      <c r="E42" s="5">
        <v>8390</v>
      </c>
      <c r="F42" s="36">
        <v>45978</v>
      </c>
      <c r="G42" s="5" t="s">
        <v>587</v>
      </c>
      <c r="H42" s="28">
        <f t="shared" si="3"/>
        <v>7551</v>
      </c>
      <c r="I42" s="29">
        <f t="shared" si="4"/>
        <v>9061.1999999999989</v>
      </c>
      <c r="L42" s="30" t="s">
        <v>588</v>
      </c>
      <c r="M42" s="25"/>
    </row>
    <row r="43" spans="1:13" x14ac:dyDescent="0.25">
      <c r="A43" s="5">
        <v>42</v>
      </c>
      <c r="B43" s="13" t="s">
        <v>613</v>
      </c>
      <c r="C43" s="14">
        <v>5</v>
      </c>
      <c r="D43" s="13" t="s">
        <v>614</v>
      </c>
      <c r="E43" s="5">
        <v>2185</v>
      </c>
      <c r="F43" s="27">
        <v>45958</v>
      </c>
      <c r="G43" s="5" t="s">
        <v>587</v>
      </c>
      <c r="H43" s="28">
        <f t="shared" si="3"/>
        <v>1966.5</v>
      </c>
      <c r="I43" s="29">
        <f t="shared" si="4"/>
        <v>2359.7999999999997</v>
      </c>
      <c r="L43" s="30" t="s">
        <v>588</v>
      </c>
      <c r="M43" s="25"/>
    </row>
    <row r="44" spans="1:13" x14ac:dyDescent="0.25">
      <c r="A44" s="5">
        <v>43</v>
      </c>
      <c r="B44" s="13" t="s">
        <v>615</v>
      </c>
      <c r="C44" s="14">
        <v>20</v>
      </c>
      <c r="D44" s="13" t="s">
        <v>616</v>
      </c>
      <c r="E44" s="5">
        <v>17460</v>
      </c>
      <c r="F44" s="27">
        <v>45958</v>
      </c>
      <c r="G44" s="5" t="s">
        <v>577</v>
      </c>
      <c r="H44" s="28">
        <f t="shared" si="3"/>
        <v>15714</v>
      </c>
      <c r="I44" s="29">
        <f t="shared" si="4"/>
        <v>18856.8</v>
      </c>
      <c r="L44" s="30" t="s">
        <v>578</v>
      </c>
      <c r="M44" s="25"/>
    </row>
    <row r="45" spans="1:13" x14ac:dyDescent="0.25">
      <c r="A45">
        <v>44</v>
      </c>
      <c r="B45" s="23" t="s">
        <v>617</v>
      </c>
      <c r="C45" s="24">
        <v>160</v>
      </c>
      <c r="D45" s="25" t="s">
        <v>618</v>
      </c>
      <c r="E45">
        <v>768000</v>
      </c>
      <c r="F45" s="26"/>
      <c r="H45" s="20">
        <f t="shared" si="3"/>
        <v>691200</v>
      </c>
      <c r="M45" s="25"/>
    </row>
    <row r="46" spans="1:13" x14ac:dyDescent="0.25">
      <c r="A46" s="7">
        <v>45</v>
      </c>
      <c r="B46" s="37" t="s">
        <v>619</v>
      </c>
      <c r="C46" s="40">
        <v>10</v>
      </c>
      <c r="D46" s="39" t="s">
        <v>620</v>
      </c>
      <c r="E46" s="7">
        <v>47205</v>
      </c>
      <c r="F46" s="41">
        <v>45958</v>
      </c>
      <c r="G46" s="7"/>
      <c r="H46" s="42">
        <f t="shared" si="3"/>
        <v>42484.5</v>
      </c>
      <c r="I46" s="43"/>
      <c r="J46" s="43"/>
      <c r="K46" s="7" t="s">
        <v>548</v>
      </c>
      <c r="L46" s="30"/>
      <c r="M46" s="25"/>
    </row>
    <row r="47" spans="1:13" x14ac:dyDescent="0.25">
      <c r="A47">
        <v>46</v>
      </c>
      <c r="B47" s="23" t="s">
        <v>621</v>
      </c>
      <c r="C47" s="24">
        <v>1</v>
      </c>
      <c r="D47" s="25" t="s">
        <v>622</v>
      </c>
      <c r="E47" t="s">
        <v>623</v>
      </c>
      <c r="F47" s="26"/>
      <c r="M47" s="25"/>
    </row>
    <row r="48" spans="1:13" x14ac:dyDescent="0.25">
      <c r="A48" s="5">
        <v>47</v>
      </c>
      <c r="B48" s="13" t="s">
        <v>624</v>
      </c>
      <c r="C48" s="14">
        <v>1</v>
      </c>
      <c r="D48" s="13" t="s">
        <v>625</v>
      </c>
      <c r="E48" s="5">
        <v>7715</v>
      </c>
      <c r="F48" s="27">
        <v>45958</v>
      </c>
      <c r="G48" s="5" t="s">
        <v>587</v>
      </c>
      <c r="H48" s="28">
        <f t="shared" si="3"/>
        <v>6943.5</v>
      </c>
      <c r="I48" s="29">
        <v>6775.98</v>
      </c>
      <c r="L48" s="30" t="s">
        <v>588</v>
      </c>
      <c r="M48" s="25"/>
    </row>
    <row r="49" spans="1:13" x14ac:dyDescent="0.25">
      <c r="A49">
        <v>48</v>
      </c>
      <c r="B49" s="25" t="s">
        <v>626</v>
      </c>
      <c r="C49" s="24">
        <v>1</v>
      </c>
      <c r="D49" s="25" t="s">
        <v>627</v>
      </c>
      <c r="E49">
        <v>21685</v>
      </c>
      <c r="F49" s="45">
        <v>45958</v>
      </c>
      <c r="G49" t="s">
        <v>577</v>
      </c>
      <c r="H49" s="20">
        <f t="shared" si="3"/>
        <v>19516.5</v>
      </c>
      <c r="I49" s="6">
        <f t="shared" si="4"/>
        <v>23419.8</v>
      </c>
      <c r="L49" s="30"/>
      <c r="M49" s="25"/>
    </row>
    <row r="50" spans="1:13" x14ac:dyDescent="0.25">
      <c r="A50">
        <v>49</v>
      </c>
      <c r="B50" s="25" t="s">
        <v>628</v>
      </c>
      <c r="C50" s="24">
        <v>1</v>
      </c>
      <c r="D50" s="25" t="s">
        <v>629</v>
      </c>
      <c r="E50">
        <v>159260</v>
      </c>
      <c r="F50" s="45">
        <v>45958</v>
      </c>
      <c r="G50" t="s">
        <v>577</v>
      </c>
      <c r="H50" s="20">
        <f t="shared" si="3"/>
        <v>143334</v>
      </c>
      <c r="I50" s="6">
        <f t="shared" si="4"/>
        <v>172000.8</v>
      </c>
      <c r="L50" s="30"/>
      <c r="M50" s="25"/>
    </row>
    <row r="51" spans="1:13" x14ac:dyDescent="0.25">
      <c r="A51">
        <v>50</v>
      </c>
      <c r="B51" s="25" t="s">
        <v>630</v>
      </c>
      <c r="C51" s="24">
        <v>1</v>
      </c>
      <c r="D51" s="25" t="s">
        <v>631</v>
      </c>
      <c r="E51" t="s">
        <v>632</v>
      </c>
      <c r="F51" s="26"/>
      <c r="M51" s="25"/>
    </row>
    <row r="52" spans="1:13" x14ac:dyDescent="0.25">
      <c r="A52" s="5">
        <v>51</v>
      </c>
      <c r="B52" s="13" t="s">
        <v>633</v>
      </c>
      <c r="C52" s="14">
        <v>10</v>
      </c>
      <c r="D52" s="13" t="s">
        <v>634</v>
      </c>
      <c r="E52" s="5">
        <v>8600</v>
      </c>
      <c r="F52" s="27">
        <v>45958</v>
      </c>
      <c r="G52" s="5" t="s">
        <v>587</v>
      </c>
      <c r="H52" s="28">
        <f t="shared" si="3"/>
        <v>7740</v>
      </c>
      <c r="I52" s="29">
        <f t="shared" si="4"/>
        <v>9288</v>
      </c>
      <c r="L52" s="30" t="s">
        <v>588</v>
      </c>
      <c r="M52" s="25"/>
    </row>
    <row r="53" spans="1:13" x14ac:dyDescent="0.25">
      <c r="A53" s="5">
        <v>52</v>
      </c>
      <c r="B53" s="13" t="s">
        <v>635</v>
      </c>
      <c r="C53" s="14">
        <v>5</v>
      </c>
      <c r="D53" s="13" t="s">
        <v>636</v>
      </c>
      <c r="E53" s="5">
        <v>12750</v>
      </c>
      <c r="F53" s="27">
        <v>45958</v>
      </c>
      <c r="G53" s="5" t="s">
        <v>577</v>
      </c>
      <c r="H53" s="28">
        <f t="shared" si="3"/>
        <v>11475</v>
      </c>
      <c r="I53" s="29">
        <f t="shared" si="4"/>
        <v>13770</v>
      </c>
      <c r="L53" s="30" t="s">
        <v>578</v>
      </c>
      <c r="M53" s="25"/>
    </row>
    <row r="54" spans="1:13" x14ac:dyDescent="0.25">
      <c r="A54">
        <v>53</v>
      </c>
      <c r="B54" s="37" t="s">
        <v>637</v>
      </c>
      <c r="C54" s="24">
        <v>2</v>
      </c>
      <c r="D54" s="25" t="s">
        <v>638</v>
      </c>
      <c r="E54" t="s">
        <v>639</v>
      </c>
      <c r="F54" s="38">
        <v>45978</v>
      </c>
      <c r="L54" s="30"/>
      <c r="M54" s="25"/>
    </row>
    <row r="55" spans="1:13" x14ac:dyDescent="0.25">
      <c r="A55">
        <v>54</v>
      </c>
      <c r="B55" s="23" t="s">
        <v>108</v>
      </c>
      <c r="C55" s="24">
        <v>4</v>
      </c>
      <c r="D55" s="25" t="s">
        <v>640</v>
      </c>
      <c r="E55" t="s">
        <v>641</v>
      </c>
      <c r="F55" s="26"/>
      <c r="M55" s="25"/>
    </row>
    <row r="56" spans="1:13" x14ac:dyDescent="0.25">
      <c r="A56" s="7">
        <v>55</v>
      </c>
      <c r="B56" s="39" t="s">
        <v>642</v>
      </c>
      <c r="C56" s="40">
        <v>1</v>
      </c>
      <c r="D56" s="39" t="s">
        <v>643</v>
      </c>
      <c r="E56" s="7">
        <v>18642.5</v>
      </c>
      <c r="F56" s="41">
        <v>45958</v>
      </c>
      <c r="G56" s="7"/>
      <c r="H56" s="42">
        <f t="shared" si="3"/>
        <v>16778.25</v>
      </c>
      <c r="I56" s="43"/>
      <c r="J56" s="43"/>
      <c r="K56" s="7" t="s">
        <v>644</v>
      </c>
      <c r="L56" s="30"/>
      <c r="M56" s="25"/>
    </row>
    <row r="57" spans="1:13" x14ac:dyDescent="0.25">
      <c r="A57" s="7">
        <v>56</v>
      </c>
      <c r="B57" s="39" t="s">
        <v>412</v>
      </c>
      <c r="C57" s="40">
        <v>24</v>
      </c>
      <c r="D57" s="39" t="s">
        <v>645</v>
      </c>
      <c r="E57" s="7">
        <v>36000</v>
      </c>
      <c r="F57" s="41">
        <v>45958</v>
      </c>
      <c r="G57" s="7"/>
      <c r="H57" s="42">
        <f t="shared" si="3"/>
        <v>32400</v>
      </c>
      <c r="I57" s="43"/>
      <c r="J57" s="43"/>
      <c r="K57" s="7" t="s">
        <v>644</v>
      </c>
      <c r="L57" s="30"/>
      <c r="M57" s="25"/>
    </row>
    <row r="58" spans="1:13" x14ac:dyDescent="0.25">
      <c r="A58" s="7">
        <v>57</v>
      </c>
      <c r="B58" s="39" t="s">
        <v>646</v>
      </c>
      <c r="C58" s="40">
        <v>1</v>
      </c>
      <c r="D58" s="39" t="s">
        <v>647</v>
      </c>
      <c r="E58" s="7">
        <v>84484</v>
      </c>
      <c r="F58" s="44">
        <v>46006</v>
      </c>
      <c r="G58" s="7"/>
      <c r="H58" s="42">
        <f t="shared" si="3"/>
        <v>76035.600000000006</v>
      </c>
      <c r="I58" s="43"/>
      <c r="J58" s="43"/>
      <c r="K58" s="7" t="s">
        <v>644</v>
      </c>
      <c r="L58" s="30"/>
      <c r="M58" s="25"/>
    </row>
    <row r="59" spans="1:13" x14ac:dyDescent="0.25">
      <c r="A59" s="7">
        <v>58</v>
      </c>
      <c r="B59" s="39" t="s">
        <v>648</v>
      </c>
      <c r="C59" s="40">
        <v>1</v>
      </c>
      <c r="D59" s="39" t="s">
        <v>649</v>
      </c>
      <c r="E59" s="7">
        <v>26339</v>
      </c>
      <c r="F59" s="44">
        <v>46006</v>
      </c>
      <c r="G59" s="7"/>
      <c r="H59" s="42">
        <f t="shared" si="3"/>
        <v>23705.100000000002</v>
      </c>
      <c r="I59" s="43"/>
      <c r="J59" s="43"/>
      <c r="K59" s="7" t="s">
        <v>644</v>
      </c>
      <c r="L59" s="30"/>
      <c r="M59" s="25"/>
    </row>
    <row r="60" spans="1:13" x14ac:dyDescent="0.25">
      <c r="A60" s="7">
        <v>59</v>
      </c>
      <c r="B60" s="39" t="s">
        <v>650</v>
      </c>
      <c r="C60" s="40">
        <v>1</v>
      </c>
      <c r="D60" s="39" t="s">
        <v>647</v>
      </c>
      <c r="E60" s="7">
        <v>84484</v>
      </c>
      <c r="F60" s="44">
        <v>46006</v>
      </c>
      <c r="G60" s="7"/>
      <c r="H60" s="42">
        <f t="shared" si="3"/>
        <v>76035.600000000006</v>
      </c>
      <c r="I60" s="43"/>
      <c r="J60" s="43"/>
      <c r="K60" s="7" t="s">
        <v>644</v>
      </c>
      <c r="L60" s="30"/>
      <c r="M60" s="25"/>
    </row>
    <row r="61" spans="1:13" x14ac:dyDescent="0.25">
      <c r="A61" s="7">
        <v>60</v>
      </c>
      <c r="B61" s="39" t="s">
        <v>651</v>
      </c>
      <c r="C61" s="40">
        <v>1</v>
      </c>
      <c r="D61" s="39" t="s">
        <v>652</v>
      </c>
      <c r="E61" s="7">
        <v>204660</v>
      </c>
      <c r="F61" s="44">
        <v>46006</v>
      </c>
      <c r="G61" s="7"/>
      <c r="H61" s="42">
        <f t="shared" si="3"/>
        <v>184194</v>
      </c>
      <c r="I61" s="43"/>
      <c r="J61" s="43"/>
      <c r="K61" s="7" t="s">
        <v>644</v>
      </c>
      <c r="L61" s="30"/>
      <c r="M61" s="25"/>
    </row>
    <row r="62" spans="1:13" x14ac:dyDescent="0.25">
      <c r="A62" s="7">
        <v>61</v>
      </c>
      <c r="B62" s="39" t="s">
        <v>653</v>
      </c>
      <c r="C62" s="40">
        <v>1</v>
      </c>
      <c r="D62" s="39" t="s">
        <v>654</v>
      </c>
      <c r="E62" s="7">
        <v>89825</v>
      </c>
      <c r="F62" s="46"/>
      <c r="G62" s="7"/>
      <c r="H62" s="42">
        <f t="shared" si="3"/>
        <v>80842.5</v>
      </c>
      <c r="I62" s="43"/>
      <c r="J62" s="43"/>
      <c r="K62" s="7" t="s">
        <v>644</v>
      </c>
      <c r="M62" s="25"/>
    </row>
    <row r="63" spans="1:13" x14ac:dyDescent="0.25">
      <c r="A63" s="7">
        <v>62</v>
      </c>
      <c r="B63" s="39" t="s">
        <v>655</v>
      </c>
      <c r="C63" s="40">
        <v>1</v>
      </c>
      <c r="D63" s="39" t="s">
        <v>656</v>
      </c>
      <c r="E63" s="7">
        <v>25726</v>
      </c>
      <c r="F63" s="46"/>
      <c r="G63" s="7"/>
      <c r="H63" s="42">
        <f t="shared" si="3"/>
        <v>23153.4</v>
      </c>
      <c r="I63" s="43"/>
      <c r="J63" s="43"/>
      <c r="K63" s="7" t="s">
        <v>644</v>
      </c>
      <c r="M63" s="25"/>
    </row>
    <row r="64" spans="1:13" x14ac:dyDescent="0.25">
      <c r="A64" s="7">
        <v>63</v>
      </c>
      <c r="B64" s="39" t="s">
        <v>657</v>
      </c>
      <c r="C64" s="40">
        <v>1</v>
      </c>
      <c r="D64" s="39" t="s">
        <v>658</v>
      </c>
      <c r="E64" s="7">
        <v>30025.5</v>
      </c>
      <c r="F64" s="44">
        <v>45978</v>
      </c>
      <c r="G64" s="7"/>
      <c r="H64" s="42">
        <f t="shared" si="3"/>
        <v>27022.95</v>
      </c>
      <c r="I64" s="43"/>
      <c r="J64" s="43"/>
      <c r="K64" s="7" t="s">
        <v>644</v>
      </c>
      <c r="L64" s="30"/>
      <c r="M64" s="25"/>
    </row>
    <row r="65" spans="1:13" x14ac:dyDescent="0.25">
      <c r="A65" s="7">
        <v>64</v>
      </c>
      <c r="B65" s="39" t="s">
        <v>659</v>
      </c>
      <c r="C65" s="40">
        <v>14</v>
      </c>
      <c r="D65" s="39" t="s">
        <v>660</v>
      </c>
      <c r="E65" s="7">
        <v>20790</v>
      </c>
      <c r="F65" s="44">
        <v>45978</v>
      </c>
      <c r="G65" s="7"/>
      <c r="H65" s="42">
        <f t="shared" si="3"/>
        <v>18711</v>
      </c>
      <c r="I65" s="43"/>
      <c r="J65" s="43"/>
      <c r="K65" s="7" t="s">
        <v>644</v>
      </c>
      <c r="L65" s="30"/>
      <c r="M65" s="25"/>
    </row>
    <row r="66" spans="1:13" x14ac:dyDescent="0.25">
      <c r="A66">
        <v>65</v>
      </c>
      <c r="B66" s="25" t="s">
        <v>510</v>
      </c>
      <c r="C66" s="24">
        <v>1</v>
      </c>
      <c r="D66" s="25" t="s">
        <v>661</v>
      </c>
      <c r="E66" t="s">
        <v>662</v>
      </c>
      <c r="F66" s="38">
        <v>45978</v>
      </c>
      <c r="L66" s="30"/>
      <c r="M66" s="25"/>
    </row>
    <row r="67" spans="1:13" x14ac:dyDescent="0.25">
      <c r="A67">
        <v>66</v>
      </c>
      <c r="B67" s="37" t="s">
        <v>663</v>
      </c>
      <c r="C67" s="24">
        <v>2</v>
      </c>
      <c r="D67" s="25" t="s">
        <v>664</v>
      </c>
      <c r="E67" t="s">
        <v>665</v>
      </c>
      <c r="F67" s="38">
        <v>45978</v>
      </c>
      <c r="L67" s="30"/>
      <c r="M67" s="25"/>
    </row>
    <row r="68" spans="1:13" x14ac:dyDescent="0.25">
      <c r="A68">
        <v>67</v>
      </c>
      <c r="B68" s="25" t="s">
        <v>666</v>
      </c>
      <c r="C68" s="24">
        <v>1</v>
      </c>
      <c r="D68" s="25" t="s">
        <v>667</v>
      </c>
      <c r="E68" t="s">
        <v>668</v>
      </c>
      <c r="F68" s="38">
        <v>45978</v>
      </c>
      <c r="L68" s="30"/>
      <c r="M68" s="25"/>
    </row>
    <row r="69" spans="1:13" x14ac:dyDescent="0.25">
      <c r="A69">
        <v>68</v>
      </c>
      <c r="B69" s="25" t="s">
        <v>669</v>
      </c>
      <c r="C69" s="24">
        <v>1</v>
      </c>
      <c r="D69" s="25" t="s">
        <v>670</v>
      </c>
      <c r="E69" t="s">
        <v>671</v>
      </c>
      <c r="F69" s="38">
        <v>45978</v>
      </c>
      <c r="L69" s="30"/>
      <c r="M69" s="25"/>
    </row>
    <row r="70" spans="1:13" x14ac:dyDescent="0.25">
      <c r="A70">
        <v>69</v>
      </c>
      <c r="B70" s="25" t="s">
        <v>672</v>
      </c>
      <c r="C70" s="24">
        <v>3</v>
      </c>
      <c r="D70" s="25" t="s">
        <v>673</v>
      </c>
      <c r="E70" t="s">
        <v>674</v>
      </c>
      <c r="F70" s="38">
        <v>45978</v>
      </c>
      <c r="L70" s="30"/>
      <c r="M70" s="25"/>
    </row>
    <row r="71" spans="1:13" x14ac:dyDescent="0.25">
      <c r="A71">
        <v>70</v>
      </c>
      <c r="B71" s="37" t="s">
        <v>675</v>
      </c>
      <c r="C71" s="24">
        <v>1</v>
      </c>
      <c r="D71" s="25" t="s">
        <v>676</v>
      </c>
      <c r="E71" t="s">
        <v>677</v>
      </c>
      <c r="F71" s="38">
        <v>45978</v>
      </c>
      <c r="L71" s="30"/>
      <c r="M71" s="25"/>
    </row>
    <row r="72" spans="1:13" x14ac:dyDescent="0.25">
      <c r="A72">
        <v>71</v>
      </c>
      <c r="B72" s="37" t="s">
        <v>678</v>
      </c>
      <c r="C72" s="24">
        <v>1</v>
      </c>
      <c r="D72" s="25" t="s">
        <v>679</v>
      </c>
      <c r="E72" t="s">
        <v>680</v>
      </c>
      <c r="F72" s="38">
        <v>45978</v>
      </c>
      <c r="L72" s="30"/>
      <c r="M72" s="25"/>
    </row>
    <row r="73" spans="1:13" x14ac:dyDescent="0.25">
      <c r="A73">
        <v>72</v>
      </c>
      <c r="B73" s="23" t="s">
        <v>681</v>
      </c>
      <c r="C73" s="24">
        <v>1</v>
      </c>
      <c r="D73" s="25" t="s">
        <v>682</v>
      </c>
      <c r="E73" t="s">
        <v>683</v>
      </c>
      <c r="F73" s="38">
        <v>45978</v>
      </c>
      <c r="L73" s="30"/>
      <c r="M73" s="25"/>
    </row>
    <row r="74" spans="1:13" x14ac:dyDescent="0.25">
      <c r="A74">
        <v>73</v>
      </c>
      <c r="B74" s="37" t="s">
        <v>684</v>
      </c>
      <c r="C74" s="24">
        <v>4</v>
      </c>
      <c r="D74" s="25" t="s">
        <v>685</v>
      </c>
      <c r="E74" t="s">
        <v>686</v>
      </c>
      <c r="F74" s="38">
        <v>45978</v>
      </c>
      <c r="L74" s="30"/>
      <c r="M74" s="25"/>
    </row>
    <row r="75" spans="1:13" x14ac:dyDescent="0.25">
      <c r="A75">
        <v>74</v>
      </c>
      <c r="B75" s="23" t="s">
        <v>687</v>
      </c>
      <c r="C75" s="24">
        <v>10</v>
      </c>
      <c r="D75" s="25" t="s">
        <v>688</v>
      </c>
      <c r="E75" t="s">
        <v>689</v>
      </c>
      <c r="F75" s="26"/>
      <c r="M75" s="25"/>
    </row>
    <row r="76" spans="1:13" x14ac:dyDescent="0.25">
      <c r="A76">
        <v>75</v>
      </c>
      <c r="B76" s="25" t="s">
        <v>326</v>
      </c>
      <c r="C76" s="24">
        <v>20</v>
      </c>
      <c r="D76" s="25" t="s">
        <v>690</v>
      </c>
      <c r="E76" t="s">
        <v>691</v>
      </c>
      <c r="F76" s="38">
        <v>45978</v>
      </c>
      <c r="L76" s="30"/>
      <c r="M76" s="25"/>
    </row>
    <row r="77" spans="1:13" x14ac:dyDescent="0.25">
      <c r="A77">
        <v>76</v>
      </c>
      <c r="B77" s="37" t="s">
        <v>692</v>
      </c>
      <c r="C77" s="24">
        <v>4</v>
      </c>
      <c r="D77" s="25" t="s">
        <v>693</v>
      </c>
      <c r="E77" t="s">
        <v>694</v>
      </c>
      <c r="F77" s="38">
        <v>46006</v>
      </c>
      <c r="L77" s="30"/>
      <c r="M77" s="25"/>
    </row>
    <row r="78" spans="1:13" x14ac:dyDescent="0.25">
      <c r="A78">
        <v>77</v>
      </c>
      <c r="B78" s="37" t="s">
        <v>695</v>
      </c>
      <c r="C78" s="24">
        <v>4</v>
      </c>
      <c r="D78" s="25" t="s">
        <v>696</v>
      </c>
      <c r="E78" t="s">
        <v>697</v>
      </c>
      <c r="F78" s="38">
        <v>46006</v>
      </c>
      <c r="L78" s="30"/>
      <c r="M78" s="25"/>
    </row>
    <row r="79" spans="1:13" x14ac:dyDescent="0.25">
      <c r="A79">
        <v>78</v>
      </c>
      <c r="B79" s="25" t="s">
        <v>338</v>
      </c>
      <c r="C79" s="24">
        <v>6</v>
      </c>
      <c r="D79" s="25" t="s">
        <v>698</v>
      </c>
      <c r="E79" t="s">
        <v>699</v>
      </c>
      <c r="F79" s="38">
        <v>45978</v>
      </c>
      <c r="L79" s="30"/>
      <c r="M79" s="25"/>
    </row>
    <row r="80" spans="1:13" x14ac:dyDescent="0.25">
      <c r="A80" s="5">
        <v>79</v>
      </c>
      <c r="B80" s="23" t="s">
        <v>700</v>
      </c>
      <c r="C80" s="14">
        <v>3</v>
      </c>
      <c r="D80" s="13" t="s">
        <v>701</v>
      </c>
      <c r="E80" s="5">
        <v>5430</v>
      </c>
      <c r="F80" s="36">
        <v>45978</v>
      </c>
      <c r="G80" s="5" t="s">
        <v>587</v>
      </c>
      <c r="H80" s="28">
        <f t="shared" ref="H80:H99" si="6">E80*0.9</f>
        <v>4887</v>
      </c>
      <c r="I80" s="29">
        <f t="shared" ref="I80:I99" si="7">H80*1.2</f>
        <v>5864.4</v>
      </c>
      <c r="K80" s="45"/>
      <c r="L80" s="30" t="s">
        <v>588</v>
      </c>
      <c r="M80" s="25"/>
    </row>
    <row r="81" spans="1:15" x14ac:dyDescent="0.25">
      <c r="A81" s="5">
        <v>80</v>
      </c>
      <c r="B81" s="13" t="s">
        <v>702</v>
      </c>
      <c r="C81" s="14">
        <v>10</v>
      </c>
      <c r="D81" s="13" t="s">
        <v>703</v>
      </c>
      <c r="E81" s="5">
        <v>1045</v>
      </c>
      <c r="F81" s="36">
        <v>45978</v>
      </c>
      <c r="G81" s="5" t="s">
        <v>587</v>
      </c>
      <c r="H81" s="28">
        <f t="shared" si="6"/>
        <v>940.5</v>
      </c>
      <c r="I81" s="29">
        <f t="shared" si="7"/>
        <v>1128.5999999999999</v>
      </c>
      <c r="K81" s="45"/>
      <c r="L81" s="30" t="s">
        <v>588</v>
      </c>
      <c r="M81" s="25"/>
    </row>
    <row r="82" spans="1:15" x14ac:dyDescent="0.25">
      <c r="A82">
        <v>81</v>
      </c>
      <c r="B82" s="37" t="s">
        <v>704</v>
      </c>
      <c r="C82" s="24">
        <v>20</v>
      </c>
      <c r="D82" s="25" t="s">
        <v>705</v>
      </c>
      <c r="E82" t="s">
        <v>706</v>
      </c>
      <c r="F82" s="38">
        <v>45978</v>
      </c>
      <c r="L82" s="30"/>
      <c r="M82" s="25"/>
    </row>
    <row r="83" spans="1:15" x14ac:dyDescent="0.25">
      <c r="A83">
        <v>82</v>
      </c>
      <c r="B83" s="37" t="s">
        <v>707</v>
      </c>
      <c r="C83" s="24">
        <v>2</v>
      </c>
      <c r="D83" s="25" t="s">
        <v>708</v>
      </c>
      <c r="E83" t="s">
        <v>709</v>
      </c>
      <c r="F83" s="38">
        <v>45978</v>
      </c>
      <c r="L83" s="30"/>
      <c r="M83" s="25"/>
    </row>
    <row r="84" spans="1:15" x14ac:dyDescent="0.25">
      <c r="A84">
        <v>83</v>
      </c>
      <c r="B84" s="25" t="s">
        <v>710</v>
      </c>
      <c r="C84" s="24">
        <v>2</v>
      </c>
      <c r="D84" s="25" t="s">
        <v>711</v>
      </c>
      <c r="E84" t="s">
        <v>712</v>
      </c>
      <c r="F84" s="38">
        <v>45978</v>
      </c>
      <c r="L84" s="30"/>
      <c r="M84" s="25"/>
    </row>
    <row r="85" spans="1:15" x14ac:dyDescent="0.25">
      <c r="A85">
        <v>84</v>
      </c>
      <c r="B85" s="23" t="s">
        <v>713</v>
      </c>
      <c r="C85" s="24">
        <v>1</v>
      </c>
      <c r="D85" s="25" t="s">
        <v>714</v>
      </c>
      <c r="E85" t="s">
        <v>715</v>
      </c>
      <c r="F85" s="26"/>
      <c r="M85" s="25"/>
    </row>
    <row r="86" spans="1:15" x14ac:dyDescent="0.25">
      <c r="A86">
        <v>85</v>
      </c>
      <c r="B86" s="37" t="s">
        <v>716</v>
      </c>
      <c r="C86" s="24">
        <v>1</v>
      </c>
      <c r="D86" s="25" t="s">
        <v>717</v>
      </c>
      <c r="E86" t="s">
        <v>718</v>
      </c>
      <c r="F86" s="38">
        <v>46006</v>
      </c>
      <c r="L86" s="30"/>
      <c r="M86" s="25"/>
    </row>
    <row r="87" spans="1:15" x14ac:dyDescent="0.25">
      <c r="A87">
        <v>86</v>
      </c>
      <c r="B87" s="37" t="s">
        <v>719</v>
      </c>
      <c r="C87" s="24">
        <v>1</v>
      </c>
      <c r="D87" s="25" t="s">
        <v>720</v>
      </c>
      <c r="E87" t="s">
        <v>721</v>
      </c>
      <c r="F87" s="26"/>
      <c r="M87" s="25"/>
    </row>
    <row r="88" spans="1:15" x14ac:dyDescent="0.25">
      <c r="A88">
        <v>87</v>
      </c>
      <c r="B88" s="25" t="s">
        <v>722</v>
      </c>
      <c r="C88" s="24">
        <v>1</v>
      </c>
      <c r="D88" s="25" t="s">
        <v>723</v>
      </c>
      <c r="E88" t="s">
        <v>724</v>
      </c>
      <c r="F88" s="26"/>
      <c r="M88" s="25"/>
    </row>
    <row r="89" spans="1:15" x14ac:dyDescent="0.25">
      <c r="A89">
        <v>88</v>
      </c>
      <c r="B89" s="37" t="s">
        <v>725</v>
      </c>
      <c r="C89" s="24">
        <v>5</v>
      </c>
      <c r="D89" s="25" t="s">
        <v>726</v>
      </c>
      <c r="E89" t="s">
        <v>727</v>
      </c>
      <c r="F89" s="38">
        <v>46006</v>
      </c>
      <c r="L89" s="30"/>
      <c r="M89" s="25"/>
    </row>
    <row r="90" spans="1:15" x14ac:dyDescent="0.25">
      <c r="A90">
        <v>89</v>
      </c>
      <c r="B90" s="37" t="s">
        <v>728</v>
      </c>
      <c r="C90" s="24">
        <v>1</v>
      </c>
      <c r="D90" s="25" t="s">
        <v>729</v>
      </c>
      <c r="E90" t="s">
        <v>730</v>
      </c>
      <c r="F90" s="38">
        <v>46006</v>
      </c>
      <c r="L90" s="30"/>
      <c r="M90" s="25"/>
    </row>
    <row r="91" spans="1:15" x14ac:dyDescent="0.25">
      <c r="A91" s="5">
        <v>90</v>
      </c>
      <c r="B91" s="13" t="s">
        <v>731</v>
      </c>
      <c r="C91" s="14">
        <v>4</v>
      </c>
      <c r="D91" s="13" t="s">
        <v>732</v>
      </c>
      <c r="E91" s="5">
        <v>1668</v>
      </c>
      <c r="F91" s="36">
        <v>46006</v>
      </c>
      <c r="G91" s="34" t="s">
        <v>538</v>
      </c>
      <c r="H91" s="29">
        <f t="shared" si="6"/>
        <v>1501.2</v>
      </c>
      <c r="I91" s="29">
        <f t="shared" si="7"/>
        <v>1801.44</v>
      </c>
      <c r="J91" s="29">
        <f t="shared" si="5"/>
        <v>450.36</v>
      </c>
      <c r="L91" s="30" t="s">
        <v>539</v>
      </c>
      <c r="M91" s="24"/>
      <c r="O91" s="6"/>
    </row>
    <row r="92" spans="1:15" x14ac:dyDescent="0.25">
      <c r="A92" s="5">
        <v>91</v>
      </c>
      <c r="B92" s="13" t="s">
        <v>733</v>
      </c>
      <c r="C92" s="14">
        <v>2</v>
      </c>
      <c r="D92" s="13" t="s">
        <v>734</v>
      </c>
      <c r="E92" s="5">
        <v>24464</v>
      </c>
      <c r="F92" s="36">
        <v>46006</v>
      </c>
      <c r="G92" s="34" t="s">
        <v>538</v>
      </c>
      <c r="H92" s="29">
        <f t="shared" si="6"/>
        <v>22017.600000000002</v>
      </c>
      <c r="I92" s="29">
        <f t="shared" si="7"/>
        <v>26421.120000000003</v>
      </c>
      <c r="J92" s="29">
        <f t="shared" si="5"/>
        <v>13210.560000000001</v>
      </c>
      <c r="K92" s="35"/>
      <c r="L92" s="30" t="s">
        <v>539</v>
      </c>
      <c r="M92" s="24"/>
      <c r="O92" s="6"/>
    </row>
    <row r="93" spans="1:15" x14ac:dyDescent="0.25">
      <c r="A93" s="5">
        <v>92</v>
      </c>
      <c r="B93" s="13" t="s">
        <v>735</v>
      </c>
      <c r="C93" s="14">
        <v>2</v>
      </c>
      <c r="D93" s="13" t="s">
        <v>736</v>
      </c>
      <c r="E93" s="5">
        <v>4868</v>
      </c>
      <c r="F93" s="36">
        <v>46006</v>
      </c>
      <c r="G93" s="34" t="s">
        <v>538</v>
      </c>
      <c r="H93" s="29">
        <f t="shared" si="6"/>
        <v>4381.2</v>
      </c>
      <c r="I93" s="29">
        <f t="shared" si="7"/>
        <v>5257.44</v>
      </c>
      <c r="J93" s="29">
        <f t="shared" si="5"/>
        <v>2628.72</v>
      </c>
      <c r="K93" s="35"/>
      <c r="L93" s="30" t="s">
        <v>539</v>
      </c>
      <c r="M93" s="24"/>
      <c r="O93" s="6"/>
    </row>
    <row r="94" spans="1:15" x14ac:dyDescent="0.25">
      <c r="A94" s="5">
        <v>93</v>
      </c>
      <c r="B94" s="13" t="s">
        <v>737</v>
      </c>
      <c r="C94" s="14">
        <v>2</v>
      </c>
      <c r="D94" s="13" t="s">
        <v>738</v>
      </c>
      <c r="E94" s="5">
        <v>1448</v>
      </c>
      <c r="F94" s="36">
        <v>46006</v>
      </c>
      <c r="G94" s="34" t="s">
        <v>538</v>
      </c>
      <c r="H94" s="29">
        <f t="shared" si="6"/>
        <v>1303.2</v>
      </c>
      <c r="I94" s="29">
        <f t="shared" si="7"/>
        <v>1563.84</v>
      </c>
      <c r="J94" s="29">
        <f t="shared" ref="J94:J99" si="8">I94/C94</f>
        <v>781.92</v>
      </c>
      <c r="K94" s="35"/>
      <c r="L94" s="30" t="s">
        <v>539</v>
      </c>
      <c r="M94" s="24"/>
      <c r="O94" s="6"/>
    </row>
    <row r="95" spans="1:15" x14ac:dyDescent="0.25">
      <c r="A95" s="5">
        <v>94</v>
      </c>
      <c r="B95" s="13" t="s">
        <v>739</v>
      </c>
      <c r="C95" s="14">
        <v>2</v>
      </c>
      <c r="D95" s="13" t="s">
        <v>740</v>
      </c>
      <c r="E95" s="5">
        <v>21482</v>
      </c>
      <c r="F95" s="36">
        <v>46006</v>
      </c>
      <c r="G95" s="34" t="s">
        <v>538</v>
      </c>
      <c r="H95" s="29">
        <f t="shared" si="6"/>
        <v>19333.8</v>
      </c>
      <c r="I95" s="29">
        <f t="shared" si="7"/>
        <v>23200.559999999998</v>
      </c>
      <c r="J95" s="29">
        <f t="shared" si="8"/>
        <v>11600.279999999999</v>
      </c>
      <c r="K95" s="35"/>
      <c r="L95" s="30" t="s">
        <v>539</v>
      </c>
      <c r="M95" s="24"/>
      <c r="O95" s="6"/>
    </row>
    <row r="96" spans="1:15" x14ac:dyDescent="0.25">
      <c r="A96" s="5">
        <v>95</v>
      </c>
      <c r="B96" s="13" t="s">
        <v>741</v>
      </c>
      <c r="C96" s="14">
        <v>2</v>
      </c>
      <c r="D96" s="13" t="s">
        <v>742</v>
      </c>
      <c r="E96" s="5">
        <v>16660</v>
      </c>
      <c r="F96" s="36">
        <v>46006</v>
      </c>
      <c r="G96" s="34" t="s">
        <v>538</v>
      </c>
      <c r="H96" s="29">
        <f t="shared" si="6"/>
        <v>14994</v>
      </c>
      <c r="I96" s="29">
        <f t="shared" si="7"/>
        <v>17992.8</v>
      </c>
      <c r="J96" s="29">
        <f t="shared" si="8"/>
        <v>8996.4</v>
      </c>
      <c r="K96" s="35"/>
      <c r="L96" s="30" t="s">
        <v>539</v>
      </c>
      <c r="M96" s="24"/>
      <c r="O96" s="6"/>
    </row>
    <row r="97" spans="1:15" x14ac:dyDescent="0.25">
      <c r="A97" s="5">
        <v>96</v>
      </c>
      <c r="B97" s="13" t="s">
        <v>743</v>
      </c>
      <c r="C97" s="14">
        <v>4</v>
      </c>
      <c r="D97" s="13" t="s">
        <v>744</v>
      </c>
      <c r="E97" s="5">
        <v>45068</v>
      </c>
      <c r="F97" s="36">
        <v>46006</v>
      </c>
      <c r="G97" s="34" t="s">
        <v>538</v>
      </c>
      <c r="H97" s="29">
        <f t="shared" si="6"/>
        <v>40561.200000000004</v>
      </c>
      <c r="I97" s="29">
        <f t="shared" si="7"/>
        <v>48673.440000000002</v>
      </c>
      <c r="J97" s="29">
        <f t="shared" si="8"/>
        <v>12168.36</v>
      </c>
      <c r="K97" s="35"/>
      <c r="L97" s="30" t="s">
        <v>539</v>
      </c>
      <c r="M97" s="24"/>
      <c r="O97" s="6"/>
    </row>
    <row r="98" spans="1:15" x14ac:dyDescent="0.25">
      <c r="A98" s="5">
        <v>97</v>
      </c>
      <c r="B98" s="13" t="s">
        <v>745</v>
      </c>
      <c r="C98" s="14">
        <v>2</v>
      </c>
      <c r="D98" s="13" t="s">
        <v>746</v>
      </c>
      <c r="E98" s="5">
        <v>3070</v>
      </c>
      <c r="F98" s="36">
        <v>46006</v>
      </c>
      <c r="G98" s="34" t="s">
        <v>538</v>
      </c>
      <c r="H98" s="29">
        <f t="shared" si="6"/>
        <v>2763</v>
      </c>
      <c r="I98" s="29">
        <f t="shared" si="7"/>
        <v>3315.6</v>
      </c>
      <c r="J98" s="29">
        <f t="shared" si="8"/>
        <v>1657.8</v>
      </c>
      <c r="K98" s="35"/>
      <c r="L98" s="30" t="s">
        <v>539</v>
      </c>
      <c r="M98" s="24"/>
      <c r="O98" s="6"/>
    </row>
    <row r="99" spans="1:15" x14ac:dyDescent="0.25">
      <c r="A99" s="5">
        <v>98</v>
      </c>
      <c r="B99" s="13" t="s">
        <v>747</v>
      </c>
      <c r="C99" s="14">
        <v>1</v>
      </c>
      <c r="D99" s="13" t="s">
        <v>748</v>
      </c>
      <c r="E99" s="5">
        <v>44410</v>
      </c>
      <c r="F99" s="36">
        <v>46006</v>
      </c>
      <c r="G99" s="34" t="s">
        <v>538</v>
      </c>
      <c r="H99" s="29">
        <f t="shared" si="6"/>
        <v>39969</v>
      </c>
      <c r="I99" s="29">
        <f t="shared" si="7"/>
        <v>47962.799999999996</v>
      </c>
      <c r="J99" s="29">
        <f t="shared" si="8"/>
        <v>47962.799999999996</v>
      </c>
      <c r="K99" s="35"/>
      <c r="L99" s="30" t="s">
        <v>539</v>
      </c>
      <c r="M99" s="24"/>
      <c r="O99" s="6"/>
    </row>
    <row r="100" spans="1:15" x14ac:dyDescent="0.25">
      <c r="A100" s="5">
        <v>99</v>
      </c>
      <c r="B100" s="13" t="s">
        <v>749</v>
      </c>
      <c r="C100" s="14">
        <v>2</v>
      </c>
      <c r="D100" s="13" t="s">
        <v>750</v>
      </c>
      <c r="E100" s="5">
        <v>9426</v>
      </c>
      <c r="F100" s="36">
        <v>46006</v>
      </c>
      <c r="G100" s="34" t="s">
        <v>538</v>
      </c>
      <c r="H100" s="29">
        <f t="shared" ref="H100:H129" si="9">E100*0.9</f>
        <v>8483.4</v>
      </c>
      <c r="I100" s="29">
        <f t="shared" ref="I100:I129" si="10">H100*1.2</f>
        <v>10180.08</v>
      </c>
      <c r="J100" s="29">
        <f t="shared" ref="J100:J129" si="11">I100/C100</f>
        <v>5090.04</v>
      </c>
      <c r="K100" s="35"/>
      <c r="L100" s="30" t="s">
        <v>539</v>
      </c>
      <c r="M100" s="24"/>
      <c r="O100" s="6"/>
    </row>
    <row r="101" spans="1:15" x14ac:dyDescent="0.25">
      <c r="A101" s="5">
        <v>100</v>
      </c>
      <c r="B101" s="13" t="s">
        <v>751</v>
      </c>
      <c r="C101" s="14">
        <v>2</v>
      </c>
      <c r="D101" s="13" t="s">
        <v>752</v>
      </c>
      <c r="E101" s="5">
        <v>484</v>
      </c>
      <c r="F101" s="36">
        <v>46006</v>
      </c>
      <c r="G101" s="34" t="s">
        <v>538</v>
      </c>
      <c r="H101" s="29">
        <f t="shared" si="9"/>
        <v>435.6</v>
      </c>
      <c r="I101" s="29">
        <f t="shared" si="10"/>
        <v>522.72</v>
      </c>
      <c r="J101" s="29">
        <f t="shared" si="11"/>
        <v>261.36</v>
      </c>
      <c r="K101" s="35"/>
      <c r="L101" s="30" t="s">
        <v>539</v>
      </c>
      <c r="M101" s="24"/>
      <c r="O101" s="6"/>
    </row>
    <row r="102" spans="1:15" x14ac:dyDescent="0.25">
      <c r="A102" s="5">
        <v>101</v>
      </c>
      <c r="B102" s="13" t="s">
        <v>753</v>
      </c>
      <c r="C102" s="14">
        <v>2</v>
      </c>
      <c r="D102" s="13" t="s">
        <v>754</v>
      </c>
      <c r="E102" s="5">
        <v>13328</v>
      </c>
      <c r="F102" s="36">
        <v>46006</v>
      </c>
      <c r="G102" s="34" t="s">
        <v>538</v>
      </c>
      <c r="H102" s="29">
        <f t="shared" si="9"/>
        <v>11995.2</v>
      </c>
      <c r="I102" s="29">
        <f t="shared" si="10"/>
        <v>14394.24</v>
      </c>
      <c r="J102" s="29">
        <f t="shared" si="11"/>
        <v>7197.12</v>
      </c>
      <c r="K102" s="35"/>
      <c r="L102" s="30" t="s">
        <v>539</v>
      </c>
      <c r="M102" s="24"/>
      <c r="O102" s="6"/>
    </row>
    <row r="103" spans="1:15" x14ac:dyDescent="0.25">
      <c r="A103" s="5">
        <v>102</v>
      </c>
      <c r="B103" s="13" t="s">
        <v>755</v>
      </c>
      <c r="C103" s="14">
        <v>2</v>
      </c>
      <c r="D103" s="13" t="s">
        <v>756</v>
      </c>
      <c r="E103" s="5">
        <v>2412</v>
      </c>
      <c r="F103" s="36">
        <v>46006</v>
      </c>
      <c r="G103" s="34" t="s">
        <v>538</v>
      </c>
      <c r="H103" s="29">
        <f t="shared" si="9"/>
        <v>2170.8000000000002</v>
      </c>
      <c r="I103" s="29">
        <f t="shared" si="10"/>
        <v>2604.96</v>
      </c>
      <c r="J103" s="29">
        <f t="shared" si="11"/>
        <v>1302.48</v>
      </c>
      <c r="K103" s="35"/>
      <c r="L103" s="30" t="s">
        <v>539</v>
      </c>
      <c r="M103" s="24"/>
      <c r="O103" s="6"/>
    </row>
    <row r="104" spans="1:15" x14ac:dyDescent="0.25">
      <c r="A104" s="5">
        <v>103</v>
      </c>
      <c r="B104" s="13" t="s">
        <v>757</v>
      </c>
      <c r="C104" s="14">
        <v>2</v>
      </c>
      <c r="D104" s="13" t="s">
        <v>758</v>
      </c>
      <c r="E104" s="5">
        <v>1754</v>
      </c>
      <c r="F104" s="36">
        <v>46006</v>
      </c>
      <c r="G104" s="34" t="s">
        <v>538</v>
      </c>
      <c r="H104" s="29">
        <f t="shared" si="9"/>
        <v>1578.6000000000001</v>
      </c>
      <c r="I104" s="29">
        <f t="shared" si="10"/>
        <v>1894.3200000000002</v>
      </c>
      <c r="J104" s="29">
        <f t="shared" si="11"/>
        <v>947.16000000000008</v>
      </c>
      <c r="K104" s="35"/>
      <c r="L104" s="30" t="s">
        <v>539</v>
      </c>
      <c r="M104" s="24"/>
      <c r="O104" s="6"/>
    </row>
    <row r="105" spans="1:15" x14ac:dyDescent="0.25">
      <c r="A105" s="5">
        <v>104</v>
      </c>
      <c r="B105" s="13" t="s">
        <v>759</v>
      </c>
      <c r="C105" s="14">
        <v>8</v>
      </c>
      <c r="D105" s="13" t="s">
        <v>760</v>
      </c>
      <c r="E105" s="5">
        <v>18592</v>
      </c>
      <c r="F105" s="36">
        <v>46006</v>
      </c>
      <c r="G105" s="34" t="s">
        <v>538</v>
      </c>
      <c r="H105" s="29">
        <f t="shared" si="9"/>
        <v>16732.8</v>
      </c>
      <c r="I105" s="29">
        <f t="shared" si="10"/>
        <v>20079.359999999997</v>
      </c>
      <c r="J105" s="29">
        <f t="shared" si="11"/>
        <v>2509.9199999999996</v>
      </c>
      <c r="K105" s="35"/>
      <c r="L105" s="30" t="s">
        <v>539</v>
      </c>
      <c r="M105" s="24"/>
      <c r="O105" s="6"/>
    </row>
    <row r="106" spans="1:15" x14ac:dyDescent="0.25">
      <c r="A106" s="5">
        <v>105</v>
      </c>
      <c r="B106" s="13" t="s">
        <v>761</v>
      </c>
      <c r="C106" s="14">
        <v>4</v>
      </c>
      <c r="D106" s="13" t="s">
        <v>762</v>
      </c>
      <c r="E106" s="5">
        <v>20608</v>
      </c>
      <c r="F106" s="36">
        <v>46006</v>
      </c>
      <c r="G106" s="34" t="s">
        <v>538</v>
      </c>
      <c r="H106" s="29">
        <f t="shared" si="9"/>
        <v>18547.2</v>
      </c>
      <c r="I106" s="29">
        <f t="shared" si="10"/>
        <v>22256.639999999999</v>
      </c>
      <c r="J106" s="29">
        <f t="shared" si="11"/>
        <v>5564.16</v>
      </c>
      <c r="K106" s="35"/>
      <c r="L106" s="30" t="s">
        <v>539</v>
      </c>
      <c r="M106" s="24"/>
      <c r="O106" s="6"/>
    </row>
    <row r="107" spans="1:15" x14ac:dyDescent="0.25">
      <c r="A107" s="5">
        <v>106</v>
      </c>
      <c r="B107" s="13" t="s">
        <v>763</v>
      </c>
      <c r="C107" s="14">
        <v>2</v>
      </c>
      <c r="D107" s="13" t="s">
        <v>764</v>
      </c>
      <c r="E107" s="5">
        <v>75098</v>
      </c>
      <c r="F107" s="36">
        <v>46006</v>
      </c>
      <c r="G107" s="34" t="s">
        <v>538</v>
      </c>
      <c r="H107" s="29">
        <f t="shared" si="9"/>
        <v>67588.2</v>
      </c>
      <c r="I107" s="29">
        <f t="shared" si="10"/>
        <v>81105.84</v>
      </c>
      <c r="J107" s="29">
        <f t="shared" si="11"/>
        <v>40552.92</v>
      </c>
      <c r="K107" s="35"/>
      <c r="L107" s="30" t="s">
        <v>539</v>
      </c>
      <c r="M107" s="24"/>
      <c r="O107" s="6"/>
    </row>
    <row r="108" spans="1:15" x14ac:dyDescent="0.25">
      <c r="A108" s="5">
        <v>107</v>
      </c>
      <c r="B108" s="13" t="s">
        <v>765</v>
      </c>
      <c r="C108" s="14">
        <v>8</v>
      </c>
      <c r="D108" s="13" t="s">
        <v>752</v>
      </c>
      <c r="E108" s="5">
        <v>1936</v>
      </c>
      <c r="F108" s="36">
        <v>46006</v>
      </c>
      <c r="G108" s="34" t="s">
        <v>538</v>
      </c>
      <c r="H108" s="29">
        <f t="shared" si="9"/>
        <v>1742.4</v>
      </c>
      <c r="I108" s="29">
        <f t="shared" si="10"/>
        <v>2090.88</v>
      </c>
      <c r="J108" s="29">
        <f t="shared" si="11"/>
        <v>261.36</v>
      </c>
      <c r="K108" s="35"/>
      <c r="L108" s="30" t="s">
        <v>539</v>
      </c>
      <c r="M108" s="24"/>
      <c r="O108" s="6"/>
    </row>
    <row r="109" spans="1:15" x14ac:dyDescent="0.25">
      <c r="A109" s="5">
        <v>108</v>
      </c>
      <c r="B109" s="13" t="s">
        <v>766</v>
      </c>
      <c r="C109" s="14">
        <v>2</v>
      </c>
      <c r="D109" s="13" t="s">
        <v>767</v>
      </c>
      <c r="E109" s="5">
        <v>15170</v>
      </c>
      <c r="F109" s="36">
        <v>46006</v>
      </c>
      <c r="G109" s="34" t="s">
        <v>538</v>
      </c>
      <c r="H109" s="29">
        <f t="shared" si="9"/>
        <v>13653</v>
      </c>
      <c r="I109" s="29">
        <f t="shared" si="10"/>
        <v>16383.599999999999</v>
      </c>
      <c r="J109" s="29">
        <f t="shared" si="11"/>
        <v>8191.7999999999993</v>
      </c>
      <c r="K109" s="35"/>
      <c r="L109" s="30" t="s">
        <v>539</v>
      </c>
      <c r="M109" s="24"/>
      <c r="O109" s="6"/>
    </row>
    <row r="110" spans="1:15" x14ac:dyDescent="0.25">
      <c r="A110" s="5">
        <v>109</v>
      </c>
      <c r="B110" s="13" t="s">
        <v>768</v>
      </c>
      <c r="C110" s="14">
        <v>2</v>
      </c>
      <c r="D110" s="13" t="s">
        <v>769</v>
      </c>
      <c r="E110" s="5">
        <v>5612</v>
      </c>
      <c r="F110" s="36">
        <v>46006</v>
      </c>
      <c r="G110" s="34" t="s">
        <v>538</v>
      </c>
      <c r="H110" s="29">
        <f t="shared" si="9"/>
        <v>5050.8</v>
      </c>
      <c r="I110" s="29">
        <f t="shared" si="10"/>
        <v>6060.96</v>
      </c>
      <c r="J110" s="29">
        <f t="shared" si="11"/>
        <v>3030.48</v>
      </c>
      <c r="K110" s="35"/>
      <c r="L110" s="30" t="s">
        <v>539</v>
      </c>
      <c r="M110" s="24"/>
      <c r="O110" s="6"/>
    </row>
    <row r="111" spans="1:15" x14ac:dyDescent="0.25">
      <c r="A111" s="5">
        <v>110</v>
      </c>
      <c r="B111" s="13" t="s">
        <v>770</v>
      </c>
      <c r="C111" s="14">
        <v>4</v>
      </c>
      <c r="D111" s="13" t="s">
        <v>744</v>
      </c>
      <c r="E111" s="5">
        <v>45068</v>
      </c>
      <c r="F111" s="36">
        <v>46006</v>
      </c>
      <c r="G111" s="34" t="s">
        <v>538</v>
      </c>
      <c r="H111" s="29">
        <f t="shared" si="9"/>
        <v>40561.200000000004</v>
      </c>
      <c r="I111" s="29">
        <f t="shared" si="10"/>
        <v>48673.440000000002</v>
      </c>
      <c r="J111" s="29">
        <f t="shared" si="11"/>
        <v>12168.36</v>
      </c>
      <c r="K111" s="35"/>
      <c r="L111" s="30" t="s">
        <v>539</v>
      </c>
      <c r="M111" s="24"/>
      <c r="O111" s="6"/>
    </row>
    <row r="112" spans="1:15" x14ac:dyDescent="0.25">
      <c r="A112">
        <v>111</v>
      </c>
      <c r="B112" s="23" t="s">
        <v>771</v>
      </c>
      <c r="C112" s="24">
        <v>100</v>
      </c>
      <c r="D112" s="25" t="s">
        <v>772</v>
      </c>
      <c r="E112" s="47" t="s">
        <v>773</v>
      </c>
      <c r="F112" s="26"/>
      <c r="G112" s="26"/>
    </row>
    <row r="113" spans="1:12" x14ac:dyDescent="0.25">
      <c r="A113">
        <v>112</v>
      </c>
      <c r="B113" s="37" t="s">
        <v>774</v>
      </c>
      <c r="C113" s="24">
        <v>6</v>
      </c>
      <c r="D113" s="25" t="s">
        <v>775</v>
      </c>
      <c r="E113" s="47" t="s">
        <v>776</v>
      </c>
      <c r="F113" s="45">
        <v>46006</v>
      </c>
      <c r="G113" s="26"/>
    </row>
    <row r="114" spans="1:12" x14ac:dyDescent="0.25">
      <c r="A114">
        <v>113</v>
      </c>
      <c r="B114" s="37" t="s">
        <v>777</v>
      </c>
      <c r="C114" s="24">
        <v>2</v>
      </c>
      <c r="D114" s="25" t="s">
        <v>778</v>
      </c>
      <c r="E114" s="47" t="s">
        <v>779</v>
      </c>
      <c r="F114" s="45">
        <v>46006</v>
      </c>
      <c r="G114" s="26"/>
    </row>
    <row r="115" spans="1:12" x14ac:dyDescent="0.25">
      <c r="A115">
        <v>114</v>
      </c>
      <c r="B115" s="48" t="s">
        <v>780</v>
      </c>
      <c r="C115" s="24">
        <v>2</v>
      </c>
      <c r="D115" s="25" t="s">
        <v>781</v>
      </c>
      <c r="E115" s="47" t="s">
        <v>782</v>
      </c>
      <c r="F115" s="45">
        <v>46006</v>
      </c>
      <c r="G115" s="26"/>
    </row>
    <row r="116" spans="1:12" x14ac:dyDescent="0.25">
      <c r="A116">
        <v>115</v>
      </c>
      <c r="B116" s="37" t="s">
        <v>783</v>
      </c>
      <c r="C116" s="24">
        <v>1</v>
      </c>
      <c r="D116" s="25" t="s">
        <v>784</v>
      </c>
      <c r="E116" s="47" t="s">
        <v>785</v>
      </c>
      <c r="F116" s="45">
        <v>46006</v>
      </c>
      <c r="G116" s="26"/>
    </row>
    <row r="117" spans="1:12" x14ac:dyDescent="0.25">
      <c r="A117">
        <v>116</v>
      </c>
      <c r="B117" s="37" t="s">
        <v>786</v>
      </c>
      <c r="C117" s="24">
        <v>12</v>
      </c>
      <c r="D117" s="25" t="s">
        <v>698</v>
      </c>
      <c r="E117" s="47" t="s">
        <v>787</v>
      </c>
      <c r="F117" s="45">
        <v>46006</v>
      </c>
      <c r="G117" s="26"/>
    </row>
    <row r="118" spans="1:12" x14ac:dyDescent="0.25">
      <c r="A118">
        <v>117</v>
      </c>
      <c r="B118" s="25" t="s">
        <v>788</v>
      </c>
      <c r="C118" s="24">
        <v>10</v>
      </c>
      <c r="D118" s="25" t="s">
        <v>789</v>
      </c>
      <c r="E118" s="47" t="s">
        <v>790</v>
      </c>
      <c r="F118" s="26"/>
      <c r="G118" s="26"/>
    </row>
    <row r="119" spans="1:12" x14ac:dyDescent="0.25">
      <c r="A119">
        <v>118</v>
      </c>
      <c r="B119" s="25" t="s">
        <v>791</v>
      </c>
      <c r="C119" s="24">
        <v>16</v>
      </c>
      <c r="D119" s="25" t="s">
        <v>792</v>
      </c>
      <c r="E119" s="47" t="s">
        <v>793</v>
      </c>
      <c r="F119" s="26"/>
      <c r="G119" s="26"/>
    </row>
    <row r="120" spans="1:12" x14ac:dyDescent="0.25">
      <c r="A120">
        <v>119</v>
      </c>
      <c r="B120" s="25" t="s">
        <v>794</v>
      </c>
      <c r="C120" s="24">
        <v>24</v>
      </c>
      <c r="D120" s="25" t="s">
        <v>795</v>
      </c>
      <c r="E120" s="47" t="s">
        <v>796</v>
      </c>
      <c r="F120" s="26"/>
      <c r="G120" s="26"/>
    </row>
    <row r="121" spans="1:12" x14ac:dyDescent="0.25">
      <c r="A121">
        <v>120</v>
      </c>
      <c r="B121" s="25" t="s">
        <v>797</v>
      </c>
      <c r="C121" s="24">
        <v>16</v>
      </c>
      <c r="D121" s="25" t="s">
        <v>798</v>
      </c>
      <c r="E121" s="47" t="s">
        <v>799</v>
      </c>
      <c r="F121" s="26"/>
      <c r="G121" s="26"/>
    </row>
    <row r="122" spans="1:12" x14ac:dyDescent="0.25">
      <c r="A122">
        <v>121</v>
      </c>
      <c r="B122" s="37" t="s">
        <v>800</v>
      </c>
      <c r="C122" s="24">
        <v>20</v>
      </c>
      <c r="D122" s="25" t="s">
        <v>801</v>
      </c>
      <c r="E122" s="47" t="s">
        <v>802</v>
      </c>
      <c r="F122" s="45">
        <v>46006</v>
      </c>
      <c r="G122" s="26"/>
    </row>
    <row r="123" spans="1:12" x14ac:dyDescent="0.25">
      <c r="A123">
        <v>122</v>
      </c>
      <c r="B123" s="25" t="s">
        <v>803</v>
      </c>
      <c r="C123" s="24">
        <v>1</v>
      </c>
      <c r="D123" s="25" t="s">
        <v>804</v>
      </c>
      <c r="E123" s="47" t="s">
        <v>805</v>
      </c>
      <c r="F123" s="26"/>
      <c r="G123" s="26"/>
    </row>
    <row r="124" spans="1:12" x14ac:dyDescent="0.25">
      <c r="A124">
        <v>123</v>
      </c>
      <c r="B124" s="37" t="s">
        <v>806</v>
      </c>
      <c r="C124" s="24">
        <v>10</v>
      </c>
      <c r="D124" s="25" t="s">
        <v>807</v>
      </c>
      <c r="E124" s="47" t="s">
        <v>808</v>
      </c>
      <c r="F124" s="45">
        <v>46006</v>
      </c>
      <c r="G124" s="26"/>
    </row>
    <row r="125" spans="1:12" x14ac:dyDescent="0.25">
      <c r="A125">
        <v>124</v>
      </c>
      <c r="B125" s="37" t="s">
        <v>809</v>
      </c>
      <c r="C125" s="24">
        <v>6</v>
      </c>
      <c r="D125" s="25" t="s">
        <v>810</v>
      </c>
      <c r="E125" s="47" t="s">
        <v>811</v>
      </c>
      <c r="F125" s="45">
        <v>46006</v>
      </c>
      <c r="G125" s="26"/>
    </row>
    <row r="126" spans="1:12" x14ac:dyDescent="0.25">
      <c r="A126" s="5">
        <v>125</v>
      </c>
      <c r="B126" s="13" t="s">
        <v>812</v>
      </c>
      <c r="C126" s="14">
        <v>2</v>
      </c>
      <c r="D126" s="13" t="s">
        <v>813</v>
      </c>
      <c r="E126" s="49">
        <v>6275</v>
      </c>
      <c r="F126" s="27">
        <v>46006</v>
      </c>
      <c r="G126" s="34" t="s">
        <v>538</v>
      </c>
      <c r="H126" s="6">
        <f t="shared" si="9"/>
        <v>5647.5</v>
      </c>
      <c r="I126" s="6">
        <f t="shared" si="10"/>
        <v>6777</v>
      </c>
      <c r="J126" s="6">
        <f t="shared" si="11"/>
        <v>3388.5</v>
      </c>
      <c r="K126" s="47"/>
      <c r="L126" s="15" t="s">
        <v>814</v>
      </c>
    </row>
    <row r="127" spans="1:12" x14ac:dyDescent="0.25">
      <c r="A127" s="5">
        <v>126</v>
      </c>
      <c r="B127" s="13" t="s">
        <v>815</v>
      </c>
      <c r="C127" s="14">
        <v>2</v>
      </c>
      <c r="D127" s="13" t="s">
        <v>816</v>
      </c>
      <c r="E127" s="49">
        <v>10627</v>
      </c>
      <c r="F127" s="27">
        <v>46006</v>
      </c>
      <c r="G127" s="34" t="s">
        <v>538</v>
      </c>
      <c r="H127" s="6">
        <f t="shared" si="9"/>
        <v>9564.3000000000011</v>
      </c>
      <c r="I127" s="6">
        <f t="shared" si="10"/>
        <v>11477.160000000002</v>
      </c>
      <c r="J127" s="6">
        <f t="shared" si="11"/>
        <v>5738.5800000000008</v>
      </c>
      <c r="K127" s="47"/>
      <c r="L127" s="15" t="s">
        <v>814</v>
      </c>
    </row>
    <row r="128" spans="1:12" x14ac:dyDescent="0.25">
      <c r="A128" s="5">
        <v>127</v>
      </c>
      <c r="B128" s="13" t="s">
        <v>817</v>
      </c>
      <c r="C128" s="14">
        <v>2</v>
      </c>
      <c r="D128" s="13" t="s">
        <v>818</v>
      </c>
      <c r="E128" s="49">
        <v>7421</v>
      </c>
      <c r="F128" s="27">
        <v>46006</v>
      </c>
      <c r="G128" s="34" t="s">
        <v>538</v>
      </c>
      <c r="H128" s="6">
        <f t="shared" si="9"/>
        <v>6678.9000000000005</v>
      </c>
      <c r="I128" s="6">
        <f t="shared" si="10"/>
        <v>8014.68</v>
      </c>
      <c r="J128" s="6">
        <f t="shared" si="11"/>
        <v>4007.34</v>
      </c>
      <c r="K128" s="47"/>
      <c r="L128" s="15" t="s">
        <v>814</v>
      </c>
    </row>
    <row r="129" spans="1:12" x14ac:dyDescent="0.25">
      <c r="A129" s="5">
        <v>128</v>
      </c>
      <c r="B129" s="13" t="s">
        <v>819</v>
      </c>
      <c r="C129" s="14">
        <v>13</v>
      </c>
      <c r="D129" s="13" t="s">
        <v>820</v>
      </c>
      <c r="E129" s="49">
        <v>36471</v>
      </c>
      <c r="F129" s="27">
        <v>46006</v>
      </c>
      <c r="G129" s="34" t="s">
        <v>538</v>
      </c>
      <c r="H129" s="6">
        <f t="shared" si="9"/>
        <v>32823.9</v>
      </c>
      <c r="I129" s="6">
        <f t="shared" si="10"/>
        <v>39388.68</v>
      </c>
      <c r="J129" s="6">
        <f t="shared" si="11"/>
        <v>3029.8984615384616</v>
      </c>
      <c r="K129" s="47"/>
      <c r="L129" s="15" t="s">
        <v>814</v>
      </c>
    </row>
    <row r="130" spans="1:12" x14ac:dyDescent="0.25">
      <c r="A130">
        <v>129</v>
      </c>
      <c r="B130" s="37" t="s">
        <v>167</v>
      </c>
      <c r="C130" s="24">
        <v>1</v>
      </c>
      <c r="D130" s="25" t="s">
        <v>821</v>
      </c>
      <c r="E130" s="47" t="s">
        <v>822</v>
      </c>
      <c r="F130" s="45">
        <v>46006</v>
      </c>
      <c r="G130" s="26"/>
    </row>
    <row r="131" spans="1:12" x14ac:dyDescent="0.25">
      <c r="A131">
        <v>130</v>
      </c>
      <c r="B131" s="37" t="s">
        <v>410</v>
      </c>
      <c r="C131" s="24">
        <v>4</v>
      </c>
      <c r="D131" s="25" t="s">
        <v>823</v>
      </c>
      <c r="E131" s="47" t="s">
        <v>824</v>
      </c>
      <c r="F131" s="45">
        <v>46006</v>
      </c>
      <c r="G131" s="26"/>
    </row>
    <row r="132" spans="1:12" x14ac:dyDescent="0.25">
      <c r="A132">
        <v>131</v>
      </c>
      <c r="B132" s="37" t="s">
        <v>506</v>
      </c>
      <c r="C132" s="24">
        <v>20</v>
      </c>
      <c r="D132" s="25" t="s">
        <v>825</v>
      </c>
      <c r="E132" s="47" t="s">
        <v>826</v>
      </c>
      <c r="F132" s="45">
        <v>46006</v>
      </c>
      <c r="G132" s="26"/>
    </row>
    <row r="133" spans="1:12" x14ac:dyDescent="0.25">
      <c r="A133">
        <v>132</v>
      </c>
      <c r="B133" s="25" t="s">
        <v>827</v>
      </c>
      <c r="C133" s="24">
        <v>3</v>
      </c>
      <c r="D133" s="25" t="s">
        <v>828</v>
      </c>
      <c r="E133" s="47" t="s">
        <v>829</v>
      </c>
      <c r="F133" s="26"/>
      <c r="G133" s="26"/>
    </row>
    <row r="134" spans="1:12" x14ac:dyDescent="0.25">
      <c r="A134">
        <v>133</v>
      </c>
      <c r="B134" s="37" t="s">
        <v>830</v>
      </c>
      <c r="C134" s="24">
        <v>2</v>
      </c>
      <c r="D134" s="25" t="s">
        <v>831</v>
      </c>
      <c r="E134" s="47" t="s">
        <v>832</v>
      </c>
      <c r="F134" s="45">
        <v>46006</v>
      </c>
      <c r="G134" s="26"/>
    </row>
    <row r="135" spans="1:12" x14ac:dyDescent="0.25">
      <c r="A135">
        <v>134</v>
      </c>
      <c r="B135" s="37" t="s">
        <v>833</v>
      </c>
      <c r="C135" s="24">
        <v>1</v>
      </c>
      <c r="D135" s="25" t="s">
        <v>670</v>
      </c>
      <c r="E135" s="47" t="s">
        <v>671</v>
      </c>
      <c r="F135" s="45">
        <v>46006</v>
      </c>
      <c r="G135" s="26"/>
    </row>
    <row r="136" spans="1:12" x14ac:dyDescent="0.25">
      <c r="A136">
        <v>135</v>
      </c>
      <c r="B136" s="25" t="s">
        <v>834</v>
      </c>
      <c r="C136" s="24">
        <v>1</v>
      </c>
      <c r="D136" s="25" t="s">
        <v>835</v>
      </c>
      <c r="E136" s="47" t="s">
        <v>836</v>
      </c>
      <c r="F136" s="45">
        <v>46006</v>
      </c>
      <c r="G136" s="26"/>
    </row>
    <row r="137" spans="1:12" x14ac:dyDescent="0.25">
      <c r="A137">
        <v>136</v>
      </c>
      <c r="B137" s="37" t="s">
        <v>837</v>
      </c>
      <c r="C137" s="24">
        <v>1</v>
      </c>
      <c r="D137" s="25" t="s">
        <v>838</v>
      </c>
      <c r="E137" s="47" t="s">
        <v>839</v>
      </c>
      <c r="F137" s="45">
        <v>46006</v>
      </c>
      <c r="G137" s="26"/>
    </row>
    <row r="138" spans="1:12" x14ac:dyDescent="0.25">
      <c r="A138">
        <v>137</v>
      </c>
      <c r="B138" s="37" t="s">
        <v>840</v>
      </c>
      <c r="C138" s="24">
        <v>1</v>
      </c>
      <c r="D138" s="25" t="s">
        <v>838</v>
      </c>
      <c r="E138" s="47" t="s">
        <v>839</v>
      </c>
      <c r="F138" s="45">
        <v>46006</v>
      </c>
      <c r="G138" s="26"/>
    </row>
    <row r="139" spans="1:12" x14ac:dyDescent="0.25">
      <c r="A139">
        <v>138</v>
      </c>
      <c r="B139" s="37" t="s">
        <v>606</v>
      </c>
      <c r="C139" s="24">
        <v>1</v>
      </c>
      <c r="D139" s="25" t="s">
        <v>841</v>
      </c>
      <c r="E139" s="47" t="s">
        <v>842</v>
      </c>
      <c r="F139" s="45">
        <v>46006</v>
      </c>
      <c r="G139" s="26"/>
    </row>
    <row r="140" spans="1:12" x14ac:dyDescent="0.25">
      <c r="A140">
        <v>139</v>
      </c>
      <c r="B140" s="37" t="s">
        <v>843</v>
      </c>
      <c r="C140" s="24">
        <v>1</v>
      </c>
      <c r="D140" s="25" t="s">
        <v>844</v>
      </c>
      <c r="E140" s="47" t="s">
        <v>845</v>
      </c>
      <c r="F140" s="45">
        <v>46006</v>
      </c>
      <c r="G140" s="26"/>
    </row>
    <row r="141" spans="1:12" x14ac:dyDescent="0.25">
      <c r="A141">
        <v>140</v>
      </c>
      <c r="B141" s="37" t="s">
        <v>846</v>
      </c>
      <c r="C141" s="24">
        <v>1</v>
      </c>
      <c r="D141" s="25" t="s">
        <v>847</v>
      </c>
      <c r="E141" s="47" t="s">
        <v>848</v>
      </c>
      <c r="F141" s="45">
        <v>46006</v>
      </c>
      <c r="G141" s="26"/>
    </row>
    <row r="142" spans="1:12" x14ac:dyDescent="0.25">
      <c r="A142">
        <v>141</v>
      </c>
      <c r="B142" s="37" t="s">
        <v>849</v>
      </c>
      <c r="C142" s="24">
        <v>2</v>
      </c>
      <c r="D142" s="25" t="s">
        <v>850</v>
      </c>
      <c r="E142" s="47" t="s">
        <v>851</v>
      </c>
      <c r="F142" s="45">
        <v>46006</v>
      </c>
      <c r="G142" s="26"/>
    </row>
    <row r="143" spans="1:12" x14ac:dyDescent="0.25">
      <c r="A143">
        <v>142</v>
      </c>
      <c r="B143" s="37" t="s">
        <v>852</v>
      </c>
      <c r="C143" s="24">
        <v>5</v>
      </c>
      <c r="D143" s="25" t="s">
        <v>853</v>
      </c>
      <c r="E143" s="47" t="s">
        <v>808</v>
      </c>
      <c r="F143" s="45">
        <v>46006</v>
      </c>
      <c r="G143" s="26"/>
    </row>
    <row r="144" spans="1:12" x14ac:dyDescent="0.25">
      <c r="A144">
        <v>143</v>
      </c>
      <c r="B144" s="37" t="s">
        <v>854</v>
      </c>
      <c r="C144" s="24">
        <v>1</v>
      </c>
      <c r="D144" s="25" t="s">
        <v>855</v>
      </c>
      <c r="E144" s="47" t="s">
        <v>856</v>
      </c>
      <c r="F144" s="45">
        <v>46006</v>
      </c>
      <c r="G144" s="26"/>
    </row>
    <row r="145" spans="1:12" x14ac:dyDescent="0.25">
      <c r="A145">
        <v>144</v>
      </c>
      <c r="B145" s="37" t="s">
        <v>857</v>
      </c>
      <c r="C145" s="24">
        <v>2</v>
      </c>
      <c r="D145" s="25" t="s">
        <v>858</v>
      </c>
      <c r="E145" s="47" t="s">
        <v>859</v>
      </c>
      <c r="F145" s="45">
        <v>46006</v>
      </c>
      <c r="G145" s="26"/>
    </row>
    <row r="146" spans="1:12" x14ac:dyDescent="0.25">
      <c r="A146">
        <v>145</v>
      </c>
      <c r="B146" s="37" t="s">
        <v>860</v>
      </c>
      <c r="C146" s="24">
        <v>1</v>
      </c>
      <c r="D146" s="25" t="s">
        <v>861</v>
      </c>
      <c r="E146" s="47" t="s">
        <v>862</v>
      </c>
      <c r="F146" s="45">
        <v>46006</v>
      </c>
      <c r="G146" s="26"/>
    </row>
    <row r="147" spans="1:12" x14ac:dyDescent="0.25">
      <c r="A147">
        <v>146</v>
      </c>
      <c r="B147" s="37" t="s">
        <v>863</v>
      </c>
      <c r="C147" s="24">
        <v>3</v>
      </c>
      <c r="D147" s="25" t="s">
        <v>864</v>
      </c>
      <c r="E147" s="47" t="s">
        <v>865</v>
      </c>
      <c r="F147" s="45">
        <v>46006</v>
      </c>
      <c r="G147" s="26"/>
    </row>
    <row r="148" spans="1:12" x14ac:dyDescent="0.25">
      <c r="A148">
        <v>147</v>
      </c>
      <c r="B148" s="25" t="s">
        <v>863</v>
      </c>
      <c r="C148" s="24">
        <v>3</v>
      </c>
      <c r="D148" s="25" t="s">
        <v>864</v>
      </c>
      <c r="E148" s="47" t="s">
        <v>865</v>
      </c>
      <c r="F148" s="26"/>
      <c r="G148" s="26"/>
    </row>
    <row r="149" spans="1:12" x14ac:dyDescent="0.25">
      <c r="A149">
        <v>148</v>
      </c>
      <c r="B149" s="25" t="s">
        <v>591</v>
      </c>
      <c r="C149" s="24">
        <v>32</v>
      </c>
      <c r="D149" s="25" t="s">
        <v>866</v>
      </c>
      <c r="E149" s="47" t="s">
        <v>867</v>
      </c>
      <c r="F149" s="26"/>
      <c r="G149" s="26"/>
    </row>
    <row r="150" spans="1:12" x14ac:dyDescent="0.25">
      <c r="A150">
        <v>149</v>
      </c>
      <c r="B150" s="25" t="s">
        <v>868</v>
      </c>
      <c r="C150" s="24">
        <v>1</v>
      </c>
      <c r="D150" s="25" t="s">
        <v>869</v>
      </c>
      <c r="E150" s="47" t="s">
        <v>870</v>
      </c>
      <c r="F150" s="26"/>
      <c r="G150" s="26"/>
    </row>
    <row r="151" spans="1:12" x14ac:dyDescent="0.25">
      <c r="A151">
        <v>150</v>
      </c>
      <c r="B151" s="37" t="s">
        <v>871</v>
      </c>
      <c r="C151" s="24">
        <v>2</v>
      </c>
      <c r="D151" s="25" t="s">
        <v>872</v>
      </c>
      <c r="E151" s="47" t="s">
        <v>873</v>
      </c>
      <c r="F151" s="45">
        <v>46006</v>
      </c>
      <c r="G151" s="26"/>
    </row>
    <row r="152" spans="1:12" x14ac:dyDescent="0.25">
      <c r="A152">
        <v>151</v>
      </c>
      <c r="B152" s="37" t="s">
        <v>874</v>
      </c>
      <c r="C152" s="24">
        <v>2</v>
      </c>
      <c r="D152" s="25" t="s">
        <v>875</v>
      </c>
      <c r="E152" s="47" t="s">
        <v>876</v>
      </c>
      <c r="F152" s="26"/>
      <c r="G152" s="26"/>
    </row>
    <row r="153" spans="1:12" x14ac:dyDescent="0.25">
      <c r="A153">
        <v>152</v>
      </c>
      <c r="B153" s="25" t="s">
        <v>877</v>
      </c>
      <c r="C153" s="24">
        <v>1</v>
      </c>
      <c r="D153" s="25" t="s">
        <v>878</v>
      </c>
      <c r="E153" s="47" t="s">
        <v>879</v>
      </c>
      <c r="F153" s="26"/>
      <c r="G153" s="26"/>
    </row>
    <row r="154" spans="1:12" x14ac:dyDescent="0.25">
      <c r="A154">
        <v>153</v>
      </c>
      <c r="B154" s="25" t="s">
        <v>405</v>
      </c>
      <c r="C154" s="24">
        <v>3</v>
      </c>
      <c r="D154" s="25" t="s">
        <v>880</v>
      </c>
      <c r="E154" s="47" t="s">
        <v>881</v>
      </c>
      <c r="F154" s="45">
        <v>46006</v>
      </c>
      <c r="G154" s="26"/>
    </row>
    <row r="155" spans="1:12" x14ac:dyDescent="0.25">
      <c r="A155">
        <v>154</v>
      </c>
      <c r="B155" s="37" t="s">
        <v>882</v>
      </c>
      <c r="C155" s="24">
        <v>1</v>
      </c>
      <c r="D155" s="25" t="s">
        <v>883</v>
      </c>
      <c r="E155" s="47" t="s">
        <v>884</v>
      </c>
      <c r="F155" s="26"/>
      <c r="G155" s="26"/>
    </row>
    <row r="156" spans="1:12" x14ac:dyDescent="0.25">
      <c r="A156" s="5">
        <v>155</v>
      </c>
      <c r="B156" s="13" t="s">
        <v>885</v>
      </c>
      <c r="C156" s="14">
        <v>8</v>
      </c>
      <c r="D156" s="13" t="s">
        <v>886</v>
      </c>
      <c r="E156" s="49" t="s">
        <v>887</v>
      </c>
      <c r="F156" s="27">
        <v>46006</v>
      </c>
      <c r="G156" s="34" t="s">
        <v>538</v>
      </c>
      <c r="L156" s="15" t="s">
        <v>814</v>
      </c>
    </row>
    <row r="157" spans="1:12" x14ac:dyDescent="0.25">
      <c r="A157">
        <v>156</v>
      </c>
      <c r="B157" s="23" t="s">
        <v>888</v>
      </c>
      <c r="C157" s="24">
        <v>2</v>
      </c>
      <c r="D157" s="25" t="s">
        <v>889</v>
      </c>
      <c r="E157" s="47" t="s">
        <v>890</v>
      </c>
      <c r="F157" s="26"/>
      <c r="G157" s="26"/>
    </row>
    <row r="158" spans="1:12" x14ac:dyDescent="0.25">
      <c r="A158">
        <v>157</v>
      </c>
      <c r="B158" s="23" t="s">
        <v>891</v>
      </c>
      <c r="C158" s="24">
        <v>50</v>
      </c>
      <c r="D158" s="25" t="s">
        <v>892</v>
      </c>
      <c r="E158" s="47" t="s">
        <v>893</v>
      </c>
      <c r="F158" s="26"/>
      <c r="G158" s="26"/>
    </row>
    <row r="159" spans="1:12" x14ac:dyDescent="0.25">
      <c r="A159" s="5">
        <v>158</v>
      </c>
      <c r="B159" s="13" t="s">
        <v>894</v>
      </c>
      <c r="C159" s="14">
        <v>1</v>
      </c>
      <c r="D159" s="13" t="s">
        <v>895</v>
      </c>
      <c r="E159" s="49" t="s">
        <v>896</v>
      </c>
      <c r="F159" s="27">
        <v>46006</v>
      </c>
      <c r="G159" s="34" t="s">
        <v>538</v>
      </c>
      <c r="L159" s="15" t="s">
        <v>814</v>
      </c>
    </row>
    <row r="160" spans="1:12" x14ac:dyDescent="0.25">
      <c r="A160">
        <v>159</v>
      </c>
      <c r="B160" s="25" t="s">
        <v>860</v>
      </c>
      <c r="C160" s="24">
        <v>1</v>
      </c>
      <c r="D160" s="25" t="s">
        <v>897</v>
      </c>
      <c r="E160" s="47" t="s">
        <v>898</v>
      </c>
      <c r="F160" s="26"/>
      <c r="G160" s="26"/>
    </row>
    <row r="161" spans="1:7" x14ac:dyDescent="0.25">
      <c r="A161">
        <v>160</v>
      </c>
      <c r="B161" s="37" t="s">
        <v>44</v>
      </c>
      <c r="C161" s="24">
        <v>4</v>
      </c>
      <c r="D161" s="25" t="s">
        <v>899</v>
      </c>
      <c r="E161" s="47" t="s">
        <v>900</v>
      </c>
      <c r="F161" s="45">
        <v>46006</v>
      </c>
      <c r="G161" s="26"/>
    </row>
    <row r="162" spans="1:7" x14ac:dyDescent="0.25">
      <c r="A162">
        <v>161</v>
      </c>
      <c r="B162" s="23" t="s">
        <v>901</v>
      </c>
      <c r="C162" s="24">
        <v>1</v>
      </c>
      <c r="D162" s="25" t="s">
        <v>841</v>
      </c>
      <c r="E162" s="47" t="s">
        <v>842</v>
      </c>
      <c r="F162" s="26"/>
      <c r="G162" s="26"/>
    </row>
    <row r="163" spans="1:7" x14ac:dyDescent="0.25">
      <c r="A163">
        <v>162</v>
      </c>
      <c r="B163" s="23" t="s">
        <v>902</v>
      </c>
      <c r="C163" s="24">
        <v>2</v>
      </c>
      <c r="D163" s="25" t="s">
        <v>903</v>
      </c>
      <c r="E163" s="47" t="s">
        <v>904</v>
      </c>
      <c r="F163" s="26"/>
      <c r="G163" s="26"/>
    </row>
    <row r="164" spans="1:7" x14ac:dyDescent="0.25">
      <c r="A164">
        <v>163</v>
      </c>
      <c r="B164" s="23" t="s">
        <v>517</v>
      </c>
      <c r="C164" s="24">
        <v>1</v>
      </c>
      <c r="D164" s="25" t="s">
        <v>905</v>
      </c>
      <c r="E164" s="47" t="s">
        <v>906</v>
      </c>
      <c r="F164" s="26"/>
      <c r="G164" s="26"/>
    </row>
    <row r="165" spans="1:7" x14ac:dyDescent="0.25">
      <c r="A165">
        <v>164</v>
      </c>
      <c r="B165" s="25" t="s">
        <v>907</v>
      </c>
      <c r="C165" s="24">
        <v>1</v>
      </c>
      <c r="D165" s="25" t="s">
        <v>908</v>
      </c>
      <c r="E165" s="47" t="s">
        <v>909</v>
      </c>
      <c r="F165" s="26"/>
      <c r="G165" s="26"/>
    </row>
    <row r="166" spans="1:7" x14ac:dyDescent="0.25">
      <c r="A166">
        <v>165</v>
      </c>
      <c r="B166" s="25" t="s">
        <v>910</v>
      </c>
      <c r="C166" s="24">
        <v>1</v>
      </c>
      <c r="D166" s="25" t="s">
        <v>911</v>
      </c>
      <c r="E166" s="47" t="s">
        <v>912</v>
      </c>
      <c r="F166" s="26"/>
      <c r="G166" s="26"/>
    </row>
    <row r="167" spans="1:7" x14ac:dyDescent="0.25">
      <c r="A167">
        <v>166</v>
      </c>
      <c r="B167" s="23" t="s">
        <v>913</v>
      </c>
      <c r="C167" s="24">
        <v>12</v>
      </c>
      <c r="D167" s="25" t="s">
        <v>775</v>
      </c>
      <c r="E167" s="47" t="s">
        <v>914</v>
      </c>
      <c r="F167" s="26"/>
      <c r="G167" s="26"/>
    </row>
    <row r="168" spans="1:7" x14ac:dyDescent="0.25">
      <c r="A168">
        <v>167</v>
      </c>
      <c r="B168" s="23" t="s">
        <v>915</v>
      </c>
      <c r="C168" s="24">
        <v>1</v>
      </c>
      <c r="D168" s="25" t="s">
        <v>916</v>
      </c>
      <c r="E168" s="47" t="s">
        <v>917</v>
      </c>
      <c r="F168" s="26"/>
      <c r="G168" s="26"/>
    </row>
    <row r="169" spans="1:7" x14ac:dyDescent="0.25">
      <c r="A169">
        <v>168</v>
      </c>
      <c r="B169" s="23" t="s">
        <v>918</v>
      </c>
      <c r="C169" s="24">
        <v>1</v>
      </c>
      <c r="D169" s="25" t="s">
        <v>919</v>
      </c>
      <c r="E169" s="47" t="s">
        <v>920</v>
      </c>
      <c r="F169" s="26"/>
      <c r="G169" s="26"/>
    </row>
    <row r="170" spans="1:7" x14ac:dyDescent="0.25">
      <c r="A170">
        <v>169</v>
      </c>
      <c r="B170" s="25" t="s">
        <v>921</v>
      </c>
      <c r="C170" s="24">
        <v>1</v>
      </c>
      <c r="D170" s="25" t="s">
        <v>922</v>
      </c>
      <c r="E170" s="47" t="s">
        <v>923</v>
      </c>
      <c r="F170" s="26"/>
      <c r="G170" s="26"/>
    </row>
    <row r="171" spans="1:7" x14ac:dyDescent="0.25">
      <c r="A171">
        <v>170</v>
      </c>
      <c r="B171" s="23" t="s">
        <v>924</v>
      </c>
      <c r="C171" s="24">
        <v>1</v>
      </c>
      <c r="D171" s="25" t="s">
        <v>925</v>
      </c>
      <c r="E171" s="47" t="s">
        <v>926</v>
      </c>
      <c r="F171" s="26"/>
      <c r="G171" s="26"/>
    </row>
    <row r="172" spans="1:7" x14ac:dyDescent="0.25">
      <c r="A172">
        <v>171</v>
      </c>
      <c r="B172" s="23" t="s">
        <v>927</v>
      </c>
      <c r="C172" s="24">
        <v>1</v>
      </c>
      <c r="D172" s="25" t="s">
        <v>928</v>
      </c>
      <c r="E172" s="47" t="s">
        <v>929</v>
      </c>
      <c r="F172" s="26"/>
      <c r="G172" s="26"/>
    </row>
    <row r="173" spans="1:7" x14ac:dyDescent="0.25">
      <c r="A173">
        <v>172</v>
      </c>
      <c r="B173" s="23" t="s">
        <v>930</v>
      </c>
      <c r="C173" s="24">
        <v>3</v>
      </c>
      <c r="D173" s="25" t="s">
        <v>931</v>
      </c>
      <c r="E173" s="47" t="s">
        <v>932</v>
      </c>
      <c r="F173" s="26"/>
      <c r="G173" s="26"/>
    </row>
    <row r="174" spans="1:7" x14ac:dyDescent="0.25">
      <c r="A174">
        <v>173</v>
      </c>
      <c r="B174" s="25" t="s">
        <v>700</v>
      </c>
      <c r="C174" s="24">
        <v>3</v>
      </c>
      <c r="D174" s="25" t="s">
        <v>933</v>
      </c>
      <c r="E174" s="47" t="s">
        <v>934</v>
      </c>
      <c r="F174" s="26"/>
      <c r="G174" s="26"/>
    </row>
    <row r="175" spans="1:7" x14ac:dyDescent="0.25">
      <c r="A175">
        <v>174</v>
      </c>
      <c r="B175" s="25" t="s">
        <v>935</v>
      </c>
      <c r="C175" s="24">
        <v>2</v>
      </c>
      <c r="D175" s="25" t="s">
        <v>936</v>
      </c>
      <c r="E175" s="47" t="s">
        <v>937</v>
      </c>
      <c r="F175" s="26"/>
      <c r="G175" s="26"/>
    </row>
    <row r="176" spans="1:7" x14ac:dyDescent="0.25">
      <c r="A176">
        <v>175</v>
      </c>
      <c r="B176" s="25" t="s">
        <v>877</v>
      </c>
      <c r="C176" s="24">
        <v>4</v>
      </c>
      <c r="D176" s="25" t="s">
        <v>878</v>
      </c>
      <c r="E176" s="47" t="s">
        <v>938</v>
      </c>
      <c r="F176" s="26"/>
      <c r="G176" s="26"/>
    </row>
    <row r="177" spans="1:9" x14ac:dyDescent="0.25">
      <c r="A177">
        <v>176</v>
      </c>
      <c r="B177" s="23" t="s">
        <v>939</v>
      </c>
      <c r="C177" s="24">
        <v>1</v>
      </c>
      <c r="D177" s="25" t="s">
        <v>940</v>
      </c>
      <c r="E177" s="47" t="s">
        <v>941</v>
      </c>
      <c r="F177" s="26"/>
      <c r="G177" s="26"/>
    </row>
    <row r="178" spans="1:9" x14ac:dyDescent="0.25">
      <c r="A178">
        <v>177</v>
      </c>
      <c r="B178" s="23" t="s">
        <v>942</v>
      </c>
      <c r="C178" s="24">
        <v>1</v>
      </c>
      <c r="D178" s="25" t="s">
        <v>943</v>
      </c>
      <c r="E178" s="47" t="s">
        <v>944</v>
      </c>
      <c r="F178" s="26"/>
      <c r="G178" s="26"/>
    </row>
    <row r="179" spans="1:9" x14ac:dyDescent="0.25">
      <c r="A179">
        <v>178</v>
      </c>
      <c r="B179" s="23" t="s">
        <v>945</v>
      </c>
      <c r="C179" s="24">
        <v>5</v>
      </c>
      <c r="D179" s="25" t="s">
        <v>946</v>
      </c>
      <c r="E179" s="47" t="s">
        <v>947</v>
      </c>
      <c r="F179" s="26"/>
      <c r="G179" s="26"/>
    </row>
    <row r="180" spans="1:9" x14ac:dyDescent="0.25">
      <c r="H180" s="20" t="s">
        <v>948</v>
      </c>
    </row>
    <row r="181" spans="1:9" x14ac:dyDescent="0.25">
      <c r="B181" s="5" t="s">
        <v>469</v>
      </c>
      <c r="C181" s="5">
        <v>2</v>
      </c>
      <c r="D181" s="5"/>
      <c r="E181" s="28"/>
      <c r="F181" s="5" t="s">
        <v>470</v>
      </c>
      <c r="G181" s="5"/>
      <c r="H181" s="28">
        <v>207386</v>
      </c>
      <c r="I181" s="29">
        <f t="shared" ref="I181:I227" si="12">H181*C181</f>
        <v>414772</v>
      </c>
    </row>
    <row r="182" spans="1:9" x14ac:dyDescent="0.25">
      <c r="B182" s="5" t="s">
        <v>471</v>
      </c>
      <c r="C182" s="5">
        <v>6</v>
      </c>
      <c r="D182" s="5"/>
      <c r="E182" s="28"/>
      <c r="F182" s="5" t="s">
        <v>472</v>
      </c>
      <c r="G182" s="5"/>
      <c r="H182" s="28">
        <v>11829.15</v>
      </c>
      <c r="I182" s="29">
        <f t="shared" si="12"/>
        <v>70974.899999999994</v>
      </c>
    </row>
    <row r="183" spans="1:9" x14ac:dyDescent="0.25">
      <c r="B183" s="5" t="s">
        <v>473</v>
      </c>
      <c r="C183" s="5">
        <v>8</v>
      </c>
      <c r="D183" s="5"/>
      <c r="E183" s="28"/>
      <c r="F183" s="5" t="s">
        <v>368</v>
      </c>
      <c r="G183" s="5"/>
      <c r="H183" s="28">
        <v>4850</v>
      </c>
      <c r="I183" s="29">
        <f t="shared" si="12"/>
        <v>38800</v>
      </c>
    </row>
    <row r="184" spans="1:9" x14ac:dyDescent="0.25">
      <c r="B184" s="5" t="s">
        <v>474</v>
      </c>
      <c r="C184" s="5">
        <v>20</v>
      </c>
      <c r="D184" s="5"/>
      <c r="E184" s="28"/>
      <c r="F184" s="5" t="s">
        <v>368</v>
      </c>
      <c r="G184" s="5"/>
      <c r="H184" s="28">
        <v>596.54999999999995</v>
      </c>
      <c r="I184" s="29">
        <f t="shared" si="12"/>
        <v>11931</v>
      </c>
    </row>
    <row r="185" spans="1:9" x14ac:dyDescent="0.25">
      <c r="B185" s="5" t="s">
        <v>476</v>
      </c>
      <c r="C185" s="5">
        <v>1</v>
      </c>
      <c r="D185" s="5"/>
      <c r="E185" s="28"/>
      <c r="F185" s="5" t="s">
        <v>477</v>
      </c>
      <c r="G185" s="5"/>
      <c r="H185" s="28">
        <v>6246.8</v>
      </c>
      <c r="I185" s="29">
        <f t="shared" si="12"/>
        <v>6246.8</v>
      </c>
    </row>
    <row r="186" spans="1:9" x14ac:dyDescent="0.25">
      <c r="B186" s="5" t="s">
        <v>481</v>
      </c>
      <c r="C186" s="5">
        <v>2</v>
      </c>
      <c r="D186" s="5"/>
      <c r="E186" s="28"/>
      <c r="F186" s="5" t="s">
        <v>477</v>
      </c>
      <c r="G186" s="5"/>
      <c r="H186" s="28">
        <v>4976.0999999999995</v>
      </c>
      <c r="I186" s="29">
        <f t="shared" si="12"/>
        <v>9952.1999999999989</v>
      </c>
    </row>
    <row r="187" spans="1:9" x14ac:dyDescent="0.25">
      <c r="B187" s="5" t="s">
        <v>482</v>
      </c>
      <c r="C187" s="5">
        <v>6</v>
      </c>
      <c r="D187" s="5"/>
      <c r="E187" s="28"/>
      <c r="F187" s="5" t="s">
        <v>472</v>
      </c>
      <c r="G187" s="5"/>
      <c r="H187" s="28">
        <v>60940.25</v>
      </c>
      <c r="I187" s="29">
        <f t="shared" si="12"/>
        <v>365641.5</v>
      </c>
    </row>
    <row r="188" spans="1:9" x14ac:dyDescent="0.25">
      <c r="B188" s="5" t="s">
        <v>485</v>
      </c>
      <c r="C188" s="5">
        <v>4</v>
      </c>
      <c r="D188" s="5"/>
      <c r="E188" s="28"/>
      <c r="F188" s="5" t="s">
        <v>353</v>
      </c>
      <c r="G188" s="5"/>
      <c r="H188" s="28">
        <v>30283.399999999998</v>
      </c>
      <c r="I188" s="29">
        <f t="shared" si="12"/>
        <v>121133.59999999999</v>
      </c>
    </row>
    <row r="189" spans="1:9" x14ac:dyDescent="0.25">
      <c r="B189" s="5" t="s">
        <v>486</v>
      </c>
      <c r="C189" s="5">
        <v>200</v>
      </c>
      <c r="D189" s="5"/>
      <c r="E189" s="28"/>
      <c r="F189" s="5" t="s">
        <v>353</v>
      </c>
      <c r="G189" s="5"/>
      <c r="H189" s="28">
        <v>59.655000000000001</v>
      </c>
      <c r="I189" s="29">
        <f t="shared" si="12"/>
        <v>11931</v>
      </c>
    </row>
    <row r="190" spans="1:9" x14ac:dyDescent="0.25">
      <c r="B190" s="5" t="s">
        <v>487</v>
      </c>
      <c r="C190" s="5">
        <v>200</v>
      </c>
      <c r="D190" s="5"/>
      <c r="E190" s="28"/>
      <c r="F190" s="5" t="s">
        <v>353</v>
      </c>
      <c r="G190" s="5"/>
      <c r="H190" s="28">
        <v>56.744999999999997</v>
      </c>
      <c r="I190" s="29">
        <f t="shared" si="12"/>
        <v>11349</v>
      </c>
    </row>
    <row r="191" spans="1:9" x14ac:dyDescent="0.25">
      <c r="B191" s="5" t="s">
        <v>488</v>
      </c>
      <c r="C191" s="5">
        <v>200</v>
      </c>
      <c r="D191" s="5"/>
      <c r="E191" s="28"/>
      <c r="F191" s="5" t="s">
        <v>353</v>
      </c>
      <c r="G191" s="5"/>
      <c r="H191" s="28">
        <v>77.114999999999995</v>
      </c>
      <c r="I191" s="29">
        <f t="shared" si="12"/>
        <v>15422.999999999998</v>
      </c>
    </row>
    <row r="192" spans="1:9" x14ac:dyDescent="0.25">
      <c r="B192" s="5" t="s">
        <v>489</v>
      </c>
      <c r="C192" s="5">
        <v>200</v>
      </c>
      <c r="D192" s="5"/>
      <c r="E192" s="28"/>
      <c r="F192" s="5" t="s">
        <v>353</v>
      </c>
      <c r="G192" s="5"/>
      <c r="H192" s="28">
        <v>62.564999999999998</v>
      </c>
      <c r="I192" s="29">
        <f t="shared" si="12"/>
        <v>12513</v>
      </c>
    </row>
    <row r="193" spans="2:9" x14ac:dyDescent="0.25">
      <c r="B193" s="5" t="s">
        <v>490</v>
      </c>
      <c r="C193" s="5">
        <v>200</v>
      </c>
      <c r="D193" s="5"/>
      <c r="E193" s="28"/>
      <c r="F193" s="5" t="s">
        <v>353</v>
      </c>
      <c r="G193" s="5"/>
      <c r="H193" s="28">
        <v>160.04999999999998</v>
      </c>
      <c r="I193" s="29">
        <f t="shared" si="12"/>
        <v>32009.999999999996</v>
      </c>
    </row>
    <row r="194" spans="2:9" x14ac:dyDescent="0.25">
      <c r="B194" s="5" t="s">
        <v>491</v>
      </c>
      <c r="C194" s="5">
        <v>200</v>
      </c>
      <c r="D194" s="5"/>
      <c r="E194" s="28"/>
      <c r="F194" s="5" t="s">
        <v>353</v>
      </c>
      <c r="G194" s="5"/>
      <c r="H194" s="28">
        <v>84.875</v>
      </c>
      <c r="I194" s="29">
        <f t="shared" si="12"/>
        <v>16975</v>
      </c>
    </row>
    <row r="195" spans="2:9" x14ac:dyDescent="0.25">
      <c r="B195" s="5" t="s">
        <v>492</v>
      </c>
      <c r="C195" s="5">
        <v>200</v>
      </c>
      <c r="D195" s="5"/>
      <c r="E195" s="28"/>
      <c r="F195" s="5" t="s">
        <v>353</v>
      </c>
      <c r="G195" s="5"/>
      <c r="H195" s="28">
        <v>68.385000000000005</v>
      </c>
      <c r="I195" s="29">
        <f t="shared" si="12"/>
        <v>13677.000000000002</v>
      </c>
    </row>
    <row r="196" spans="2:9" x14ac:dyDescent="0.25">
      <c r="B196" s="5" t="s">
        <v>493</v>
      </c>
      <c r="C196" s="5">
        <v>200</v>
      </c>
      <c r="D196" s="5"/>
      <c r="E196" s="28"/>
      <c r="F196" s="5" t="s">
        <v>353</v>
      </c>
      <c r="G196" s="5"/>
      <c r="H196" s="28">
        <v>208.54999999999998</v>
      </c>
      <c r="I196" s="29">
        <f t="shared" si="12"/>
        <v>41710</v>
      </c>
    </row>
    <row r="197" spans="2:9" x14ac:dyDescent="0.25">
      <c r="B197" s="5" t="s">
        <v>494</v>
      </c>
      <c r="C197" s="5">
        <v>200</v>
      </c>
      <c r="D197" s="5"/>
      <c r="E197" s="28"/>
      <c r="F197" s="5" t="s">
        <v>353</v>
      </c>
      <c r="G197" s="5"/>
      <c r="H197" s="28">
        <v>92.149999999999991</v>
      </c>
      <c r="I197" s="29">
        <f t="shared" si="12"/>
        <v>18430</v>
      </c>
    </row>
    <row r="198" spans="2:9" x14ac:dyDescent="0.25">
      <c r="B198" s="5" t="s">
        <v>500</v>
      </c>
      <c r="C198" s="5">
        <v>1</v>
      </c>
      <c r="D198" s="5"/>
      <c r="E198" s="28"/>
      <c r="F198" s="5" t="s">
        <v>949</v>
      </c>
      <c r="G198" s="5"/>
      <c r="H198" s="28">
        <v>12668.199999999999</v>
      </c>
      <c r="I198" s="29">
        <f t="shared" si="12"/>
        <v>12668.199999999999</v>
      </c>
    </row>
    <row r="199" spans="2:9" x14ac:dyDescent="0.25">
      <c r="B199" s="5" t="s">
        <v>276</v>
      </c>
      <c r="C199" s="5">
        <v>17</v>
      </c>
      <c r="D199" s="5"/>
      <c r="E199" s="28"/>
      <c r="F199" s="5" t="s">
        <v>353</v>
      </c>
      <c r="G199" s="5"/>
      <c r="H199" s="28">
        <v>1561.7</v>
      </c>
      <c r="I199" s="29">
        <f t="shared" si="12"/>
        <v>26548.9</v>
      </c>
    </row>
    <row r="200" spans="2:9" x14ac:dyDescent="0.25">
      <c r="B200" s="5" t="s">
        <v>505</v>
      </c>
      <c r="C200" s="5">
        <v>1</v>
      </c>
      <c r="D200" s="5"/>
      <c r="E200" s="28"/>
      <c r="F200" s="5" t="s">
        <v>353</v>
      </c>
      <c r="G200" s="5"/>
      <c r="H200" s="28">
        <v>6969.45</v>
      </c>
      <c r="I200" s="29">
        <f t="shared" si="12"/>
        <v>6969.45</v>
      </c>
    </row>
    <row r="201" spans="2:9" x14ac:dyDescent="0.25">
      <c r="B201" s="5" t="s">
        <v>509</v>
      </c>
      <c r="C201" s="5">
        <v>7</v>
      </c>
      <c r="D201" s="5"/>
      <c r="E201" s="28"/>
      <c r="F201" s="5" t="s">
        <v>949</v>
      </c>
      <c r="G201" s="5"/>
      <c r="H201" s="28">
        <v>78182</v>
      </c>
      <c r="I201" s="29">
        <f t="shared" si="12"/>
        <v>547274</v>
      </c>
    </row>
    <row r="202" spans="2:9" x14ac:dyDescent="0.25">
      <c r="B202" s="5" t="s">
        <v>510</v>
      </c>
      <c r="C202" s="5">
        <v>1</v>
      </c>
      <c r="D202" s="5"/>
      <c r="E202" s="28"/>
      <c r="F202" s="5" t="s">
        <v>950</v>
      </c>
      <c r="G202" s="5"/>
      <c r="H202" s="28">
        <v>10500.25</v>
      </c>
      <c r="I202" s="29">
        <f t="shared" si="12"/>
        <v>10500.25</v>
      </c>
    </row>
    <row r="203" spans="2:9" x14ac:dyDescent="0.25">
      <c r="B203" s="5" t="s">
        <v>266</v>
      </c>
      <c r="C203" s="5">
        <v>3</v>
      </c>
      <c r="D203" s="5"/>
      <c r="E203" s="28"/>
      <c r="F203" s="5" t="s">
        <v>951</v>
      </c>
      <c r="G203" s="5"/>
      <c r="H203" s="28">
        <v>5900</v>
      </c>
      <c r="I203" s="29">
        <f t="shared" si="12"/>
        <v>17700</v>
      </c>
    </row>
    <row r="204" spans="2:9" x14ac:dyDescent="0.25">
      <c r="B204" s="5" t="s">
        <v>6</v>
      </c>
      <c r="C204" s="5">
        <v>4</v>
      </c>
      <c r="D204" s="5"/>
      <c r="E204" s="28"/>
      <c r="F204" s="5" t="s">
        <v>353</v>
      </c>
      <c r="G204" s="5"/>
      <c r="H204" s="28">
        <v>92000</v>
      </c>
      <c r="I204" s="29">
        <f t="shared" si="12"/>
        <v>368000</v>
      </c>
    </row>
    <row r="205" spans="2:9" x14ac:dyDescent="0.25">
      <c r="B205" s="5" t="s">
        <v>354</v>
      </c>
      <c r="C205" s="5">
        <v>2</v>
      </c>
      <c r="D205" s="5"/>
      <c r="E205" s="28"/>
      <c r="F205" s="5" t="s">
        <v>355</v>
      </c>
      <c r="G205" s="5"/>
      <c r="H205" s="28">
        <v>22000</v>
      </c>
      <c r="I205" s="29">
        <f t="shared" si="12"/>
        <v>44000</v>
      </c>
    </row>
    <row r="206" spans="2:9" x14ac:dyDescent="0.25">
      <c r="B206" s="5" t="s">
        <v>356</v>
      </c>
      <c r="C206" s="5">
        <v>2</v>
      </c>
      <c r="D206" s="5"/>
      <c r="E206" s="28"/>
      <c r="F206" s="5" t="s">
        <v>355</v>
      </c>
      <c r="G206" s="5"/>
      <c r="H206" s="28">
        <v>22000</v>
      </c>
      <c r="I206" s="29">
        <f t="shared" si="12"/>
        <v>44000</v>
      </c>
    </row>
    <row r="207" spans="2:9" x14ac:dyDescent="0.25">
      <c r="B207" s="5" t="s">
        <v>367</v>
      </c>
      <c r="C207" s="5">
        <v>2</v>
      </c>
      <c r="D207" s="5"/>
      <c r="E207" s="28"/>
      <c r="F207" s="5" t="s">
        <v>368</v>
      </c>
      <c r="G207" s="5"/>
      <c r="H207" s="28">
        <v>69000</v>
      </c>
      <c r="I207" s="29">
        <f t="shared" si="12"/>
        <v>138000</v>
      </c>
    </row>
    <row r="208" spans="2:9" ht="24" x14ac:dyDescent="0.25">
      <c r="B208" s="50" t="s">
        <v>952</v>
      </c>
      <c r="C208" s="5">
        <v>1</v>
      </c>
      <c r="D208" s="5"/>
      <c r="E208" s="28"/>
      <c r="F208" s="5" t="s">
        <v>953</v>
      </c>
      <c r="G208" s="5"/>
      <c r="H208" s="28">
        <v>2000</v>
      </c>
      <c r="I208" s="29">
        <f t="shared" si="12"/>
        <v>2000</v>
      </c>
    </row>
    <row r="209" spans="2:9" x14ac:dyDescent="0.25">
      <c r="B209" s="5" t="s">
        <v>954</v>
      </c>
      <c r="C209" s="5">
        <v>2</v>
      </c>
      <c r="D209" s="5"/>
      <c r="E209" s="28"/>
      <c r="F209" s="5" t="s">
        <v>501</v>
      </c>
      <c r="G209" s="5"/>
      <c r="H209" s="28">
        <v>2500</v>
      </c>
      <c r="I209" s="29">
        <f t="shared" si="12"/>
        <v>5000</v>
      </c>
    </row>
    <row r="210" spans="2:9" x14ac:dyDescent="0.25">
      <c r="B210" s="5" t="s">
        <v>955</v>
      </c>
      <c r="C210" s="5">
        <v>216</v>
      </c>
      <c r="D210" s="5"/>
      <c r="E210" s="28"/>
      <c r="F210" s="5" t="s">
        <v>956</v>
      </c>
      <c r="G210" s="5"/>
      <c r="H210" s="28">
        <v>250</v>
      </c>
      <c r="I210" s="29">
        <f t="shared" si="12"/>
        <v>54000</v>
      </c>
    </row>
    <row r="211" spans="2:9" x14ac:dyDescent="0.25">
      <c r="B211" s="5" t="s">
        <v>957</v>
      </c>
      <c r="C211" s="5">
        <v>20</v>
      </c>
      <c r="D211" s="5"/>
      <c r="E211" s="28"/>
      <c r="F211" s="5" t="s">
        <v>958</v>
      </c>
      <c r="G211" s="5"/>
      <c r="H211" s="28">
        <v>1450</v>
      </c>
      <c r="I211" s="29">
        <f t="shared" si="12"/>
        <v>29000</v>
      </c>
    </row>
    <row r="212" spans="2:9" x14ac:dyDescent="0.25">
      <c r="B212" s="5" t="s">
        <v>959</v>
      </c>
      <c r="C212" s="5">
        <v>16</v>
      </c>
      <c r="D212" s="5"/>
      <c r="E212" s="28"/>
      <c r="F212" s="5" t="s">
        <v>355</v>
      </c>
      <c r="G212" s="5"/>
      <c r="H212" s="28">
        <v>150</v>
      </c>
      <c r="I212" s="29">
        <f t="shared" si="12"/>
        <v>2400</v>
      </c>
    </row>
    <row r="213" spans="2:9" x14ac:dyDescent="0.25">
      <c r="B213" s="5" t="s">
        <v>960</v>
      </c>
      <c r="C213" s="5">
        <v>1</v>
      </c>
      <c r="D213" s="5"/>
      <c r="E213" s="28"/>
      <c r="F213" s="5" t="s">
        <v>961</v>
      </c>
      <c r="G213" s="5"/>
      <c r="H213" s="28">
        <v>3500</v>
      </c>
      <c r="I213" s="29">
        <f t="shared" si="12"/>
        <v>3500</v>
      </c>
    </row>
    <row r="214" spans="2:9" x14ac:dyDescent="0.25">
      <c r="B214" s="5" t="s">
        <v>962</v>
      </c>
      <c r="C214" s="5">
        <v>2</v>
      </c>
      <c r="D214" s="5"/>
      <c r="E214" s="28"/>
      <c r="F214" s="5" t="s">
        <v>963</v>
      </c>
      <c r="G214" s="5"/>
      <c r="H214" s="28">
        <v>600</v>
      </c>
      <c r="I214" s="29">
        <f t="shared" si="12"/>
        <v>1200</v>
      </c>
    </row>
    <row r="215" spans="2:9" x14ac:dyDescent="0.25">
      <c r="B215" s="5" t="s">
        <v>964</v>
      </c>
      <c r="C215" s="5">
        <v>1</v>
      </c>
      <c r="D215" s="5"/>
      <c r="E215" s="28"/>
      <c r="F215" s="5" t="s">
        <v>355</v>
      </c>
      <c r="G215" s="5"/>
      <c r="H215" s="28">
        <v>500</v>
      </c>
      <c r="I215" s="29">
        <f t="shared" si="12"/>
        <v>500</v>
      </c>
    </row>
    <row r="216" spans="2:9" x14ac:dyDescent="0.25">
      <c r="B216" s="5" t="s">
        <v>965</v>
      </c>
      <c r="C216" s="5">
        <v>2</v>
      </c>
      <c r="D216" s="5"/>
      <c r="E216" s="28"/>
      <c r="F216" s="5" t="s">
        <v>355</v>
      </c>
      <c r="G216" s="5"/>
      <c r="H216" s="28">
        <v>650</v>
      </c>
      <c r="I216" s="29">
        <f t="shared" si="12"/>
        <v>1300</v>
      </c>
    </row>
    <row r="217" spans="2:9" x14ac:dyDescent="0.25">
      <c r="B217" s="5" t="s">
        <v>966</v>
      </c>
      <c r="C217" s="5">
        <v>1</v>
      </c>
      <c r="D217" s="5"/>
      <c r="E217" s="28"/>
      <c r="F217" s="5" t="s">
        <v>967</v>
      </c>
      <c r="G217" s="5"/>
      <c r="H217" s="51">
        <v>790855</v>
      </c>
      <c r="I217" s="29">
        <f t="shared" si="12"/>
        <v>790855</v>
      </c>
    </row>
    <row r="218" spans="2:9" x14ac:dyDescent="0.25">
      <c r="B218" s="50" t="s">
        <v>968</v>
      </c>
      <c r="C218" s="5">
        <v>1</v>
      </c>
      <c r="D218" s="5"/>
      <c r="E218" s="28"/>
      <c r="F218" s="5" t="s">
        <v>355</v>
      </c>
      <c r="G218" s="5"/>
      <c r="H218" s="28">
        <v>300</v>
      </c>
      <c r="I218" s="29">
        <f t="shared" si="12"/>
        <v>300</v>
      </c>
    </row>
    <row r="219" spans="2:9" x14ac:dyDescent="0.25">
      <c r="B219" s="5" t="s">
        <v>969</v>
      </c>
      <c r="C219" s="5">
        <v>3</v>
      </c>
      <c r="D219" s="5"/>
      <c r="E219" s="28"/>
      <c r="F219" s="5" t="s">
        <v>970</v>
      </c>
      <c r="G219" s="5"/>
      <c r="H219" s="28">
        <v>12500</v>
      </c>
      <c r="I219" s="29">
        <f t="shared" si="12"/>
        <v>37500</v>
      </c>
    </row>
    <row r="220" spans="2:9" x14ac:dyDescent="0.25">
      <c r="B220" s="5" t="s">
        <v>971</v>
      </c>
      <c r="C220" s="5">
        <v>5</v>
      </c>
      <c r="D220" s="5"/>
      <c r="E220" s="28"/>
      <c r="F220" s="5" t="s">
        <v>970</v>
      </c>
      <c r="G220" s="5"/>
      <c r="H220" s="28">
        <v>21000</v>
      </c>
      <c r="I220" s="29">
        <f t="shared" si="12"/>
        <v>105000</v>
      </c>
    </row>
    <row r="221" spans="2:9" x14ac:dyDescent="0.25">
      <c r="B221" s="5" t="s">
        <v>972</v>
      </c>
      <c r="C221" s="5">
        <v>1</v>
      </c>
      <c r="D221" s="5"/>
      <c r="E221" s="28"/>
      <c r="F221" s="5" t="s">
        <v>973</v>
      </c>
      <c r="G221" s="5"/>
      <c r="H221" s="28"/>
      <c r="I221" s="29"/>
    </row>
    <row r="222" spans="2:9" x14ac:dyDescent="0.25">
      <c r="B222" s="5" t="s">
        <v>974</v>
      </c>
      <c r="C222" s="5">
        <v>1</v>
      </c>
      <c r="D222" s="5"/>
      <c r="E222" s="28"/>
      <c r="F222" s="5" t="s">
        <v>511</v>
      </c>
      <c r="G222" s="5"/>
      <c r="H222" s="28"/>
      <c r="I222" s="29"/>
    </row>
    <row r="224" spans="2:9" x14ac:dyDescent="0.25">
      <c r="B224" t="s">
        <v>953</v>
      </c>
      <c r="C224" t="s">
        <v>975</v>
      </c>
      <c r="H224" s="20" t="s">
        <v>976</v>
      </c>
      <c r="I224" s="6" t="s">
        <v>977</v>
      </c>
    </row>
    <row r="225" spans="2:9" x14ac:dyDescent="0.25">
      <c r="B225" t="s">
        <v>266</v>
      </c>
      <c r="C225">
        <v>3</v>
      </c>
      <c r="H225" s="20">
        <v>5900</v>
      </c>
      <c r="I225" s="6">
        <f t="shared" si="12"/>
        <v>17700</v>
      </c>
    </row>
    <row r="226" spans="2:9" x14ac:dyDescent="0.25">
      <c r="B226" t="s">
        <v>966</v>
      </c>
      <c r="C226">
        <v>1</v>
      </c>
      <c r="H226" s="52">
        <v>790855</v>
      </c>
      <c r="I226" s="6">
        <f t="shared" si="12"/>
        <v>790855</v>
      </c>
    </row>
    <row r="227" spans="2:9" ht="24" x14ac:dyDescent="0.25">
      <c r="B227" s="53" t="s">
        <v>952</v>
      </c>
      <c r="C227">
        <v>1</v>
      </c>
      <c r="H227" s="20">
        <v>2000</v>
      </c>
      <c r="I227" s="6">
        <f t="shared" si="12"/>
        <v>2000</v>
      </c>
    </row>
    <row r="228" spans="2:9" x14ac:dyDescent="0.25">
      <c r="H228" s="42" t="s">
        <v>978</v>
      </c>
      <c r="I228" s="43">
        <f>I225+I226+I227</f>
        <v>810555</v>
      </c>
    </row>
    <row r="230" spans="2:9" x14ac:dyDescent="0.25">
      <c r="B230" t="s">
        <v>970</v>
      </c>
    </row>
    <row r="231" spans="2:9" x14ac:dyDescent="0.25">
      <c r="B231" t="s">
        <v>969</v>
      </c>
      <c r="C231">
        <v>3</v>
      </c>
      <c r="H231" s="20">
        <v>12500</v>
      </c>
      <c r="I231" s="6">
        <f t="shared" ref="I231:I237" si="13">H231*C231</f>
        <v>37500</v>
      </c>
    </row>
    <row r="232" spans="2:9" x14ac:dyDescent="0.25">
      <c r="B232" t="s">
        <v>971</v>
      </c>
      <c r="C232">
        <v>5</v>
      </c>
      <c r="H232" s="20">
        <v>21000</v>
      </c>
      <c r="I232" s="6">
        <f t="shared" si="13"/>
        <v>105000</v>
      </c>
    </row>
    <row r="233" spans="2:9" x14ac:dyDescent="0.25">
      <c r="B233" t="s">
        <v>974</v>
      </c>
      <c r="C233">
        <v>1</v>
      </c>
      <c r="H233" s="20">
        <v>3500</v>
      </c>
      <c r="I233" s="6">
        <f t="shared" si="13"/>
        <v>3500</v>
      </c>
    </row>
    <row r="234" spans="2:9" x14ac:dyDescent="0.25">
      <c r="B234" t="s">
        <v>962</v>
      </c>
      <c r="C234">
        <v>2</v>
      </c>
      <c r="H234" s="20">
        <v>600</v>
      </c>
      <c r="I234" s="6">
        <f t="shared" si="13"/>
        <v>1200</v>
      </c>
    </row>
    <row r="235" spans="2:9" x14ac:dyDescent="0.25">
      <c r="B235" t="s">
        <v>954</v>
      </c>
      <c r="C235">
        <v>2</v>
      </c>
      <c r="H235" s="20">
        <v>2500</v>
      </c>
      <c r="I235" s="6">
        <f t="shared" si="13"/>
        <v>5000</v>
      </c>
    </row>
    <row r="236" spans="2:9" x14ac:dyDescent="0.25">
      <c r="B236" t="s">
        <v>6</v>
      </c>
      <c r="C236">
        <v>4</v>
      </c>
      <c r="H236" s="20">
        <v>92000</v>
      </c>
      <c r="I236" s="6">
        <f t="shared" si="13"/>
        <v>368000</v>
      </c>
    </row>
    <row r="237" spans="2:9" x14ac:dyDescent="0.25">
      <c r="B237" t="s">
        <v>485</v>
      </c>
      <c r="C237">
        <v>4</v>
      </c>
      <c r="H237" s="20">
        <v>30283.399999999998</v>
      </c>
      <c r="I237" s="6">
        <f t="shared" si="13"/>
        <v>121133.59999999999</v>
      </c>
    </row>
    <row r="238" spans="2:9" x14ac:dyDescent="0.25">
      <c r="H238" s="42" t="s">
        <v>977</v>
      </c>
      <c r="I238" s="43">
        <f>SUM(I231:I237)</f>
        <v>641333.6</v>
      </c>
    </row>
    <row r="239" spans="2:9" x14ac:dyDescent="0.25">
      <c r="B239" t="s">
        <v>353</v>
      </c>
    </row>
    <row r="240" spans="2:9" x14ac:dyDescent="0.25">
      <c r="B240" t="s">
        <v>486</v>
      </c>
      <c r="C240">
        <v>200</v>
      </c>
      <c r="H240" s="20">
        <v>59.655000000000001</v>
      </c>
      <c r="I240" s="6">
        <f t="shared" ref="I240:I253" si="14">H240*C240</f>
        <v>11931</v>
      </c>
    </row>
    <row r="241" spans="2:9" x14ac:dyDescent="0.25">
      <c r="B241" t="s">
        <v>487</v>
      </c>
      <c r="C241">
        <v>200</v>
      </c>
      <c r="H241" s="20">
        <v>56.744999999999997</v>
      </c>
      <c r="I241" s="6">
        <f t="shared" si="14"/>
        <v>11349</v>
      </c>
    </row>
    <row r="242" spans="2:9" x14ac:dyDescent="0.25">
      <c r="B242" t="s">
        <v>488</v>
      </c>
      <c r="C242">
        <v>200</v>
      </c>
      <c r="H242" s="20">
        <v>77.114999999999995</v>
      </c>
      <c r="I242" s="6">
        <f t="shared" si="14"/>
        <v>15422.999999999998</v>
      </c>
    </row>
    <row r="243" spans="2:9" x14ac:dyDescent="0.25">
      <c r="B243" t="s">
        <v>489</v>
      </c>
      <c r="C243">
        <v>200</v>
      </c>
      <c r="H243" s="20">
        <v>62.564999999999998</v>
      </c>
      <c r="I243" s="6">
        <f t="shared" si="14"/>
        <v>12513</v>
      </c>
    </row>
    <row r="244" spans="2:9" x14ac:dyDescent="0.25">
      <c r="B244" t="s">
        <v>490</v>
      </c>
      <c r="C244">
        <v>200</v>
      </c>
      <c r="H244" s="20">
        <v>160.04999999999998</v>
      </c>
      <c r="I244" s="6">
        <f t="shared" si="14"/>
        <v>32009.999999999996</v>
      </c>
    </row>
    <row r="245" spans="2:9" x14ac:dyDescent="0.25">
      <c r="B245" t="s">
        <v>491</v>
      </c>
      <c r="C245">
        <v>200</v>
      </c>
      <c r="H245" s="20">
        <v>84.875</v>
      </c>
      <c r="I245" s="6">
        <f t="shared" si="14"/>
        <v>16975</v>
      </c>
    </row>
    <row r="246" spans="2:9" x14ac:dyDescent="0.25">
      <c r="B246" t="s">
        <v>492</v>
      </c>
      <c r="C246">
        <v>200</v>
      </c>
      <c r="H246" s="20">
        <v>68.385000000000005</v>
      </c>
      <c r="I246" s="6">
        <f t="shared" si="14"/>
        <v>13677.000000000002</v>
      </c>
    </row>
    <row r="247" spans="2:9" x14ac:dyDescent="0.25">
      <c r="B247" t="s">
        <v>493</v>
      </c>
      <c r="C247">
        <v>200</v>
      </c>
      <c r="H247" s="20">
        <v>208.54999999999998</v>
      </c>
      <c r="I247" s="6">
        <f t="shared" si="14"/>
        <v>41710</v>
      </c>
    </row>
    <row r="248" spans="2:9" x14ac:dyDescent="0.25">
      <c r="B248" t="s">
        <v>494</v>
      </c>
      <c r="C248">
        <v>200</v>
      </c>
      <c r="H248" s="20">
        <v>92.149999999999991</v>
      </c>
      <c r="I248" s="6">
        <f t="shared" si="14"/>
        <v>18430</v>
      </c>
    </row>
    <row r="249" spans="2:9" x14ac:dyDescent="0.25">
      <c r="B249" t="s">
        <v>500</v>
      </c>
      <c r="C249">
        <v>1</v>
      </c>
      <c r="H249" s="20">
        <v>12668.199999999999</v>
      </c>
      <c r="I249" s="6">
        <f t="shared" si="14"/>
        <v>12668.199999999999</v>
      </c>
    </row>
    <row r="250" spans="2:9" x14ac:dyDescent="0.25">
      <c r="B250" t="s">
        <v>276</v>
      </c>
      <c r="C250">
        <v>17</v>
      </c>
      <c r="H250" s="20">
        <v>1561.7</v>
      </c>
      <c r="I250" s="6">
        <f t="shared" si="14"/>
        <v>26548.9</v>
      </c>
    </row>
    <row r="251" spans="2:9" x14ac:dyDescent="0.25">
      <c r="B251" t="s">
        <v>505</v>
      </c>
      <c r="C251">
        <v>1</v>
      </c>
      <c r="H251" s="20">
        <v>6969.45</v>
      </c>
      <c r="I251" s="6">
        <f t="shared" si="14"/>
        <v>6969.45</v>
      </c>
    </row>
    <row r="252" spans="2:9" x14ac:dyDescent="0.25">
      <c r="B252" t="s">
        <v>509</v>
      </c>
      <c r="C252">
        <v>7</v>
      </c>
      <c r="H252" s="20">
        <v>78182</v>
      </c>
      <c r="I252" s="6">
        <f t="shared" si="14"/>
        <v>547274</v>
      </c>
    </row>
    <row r="253" spans="2:9" x14ac:dyDescent="0.25">
      <c r="B253" t="s">
        <v>510</v>
      </c>
      <c r="C253">
        <v>1</v>
      </c>
      <c r="H253" s="20">
        <v>10500.25</v>
      </c>
      <c r="I253" s="6">
        <f t="shared" si="14"/>
        <v>10500.25</v>
      </c>
    </row>
    <row r="254" spans="2:9" x14ac:dyDescent="0.25">
      <c r="H254" s="42" t="s">
        <v>977</v>
      </c>
      <c r="I254" s="43">
        <f>SUM(I240:I253)</f>
        <v>777978.8</v>
      </c>
    </row>
    <row r="255" spans="2:9" x14ac:dyDescent="0.25">
      <c r="B255" t="s">
        <v>472</v>
      </c>
    </row>
    <row r="256" spans="2:9" x14ac:dyDescent="0.25">
      <c r="B256" t="s">
        <v>469</v>
      </c>
      <c r="C256">
        <v>2</v>
      </c>
      <c r="H256" s="20">
        <v>207386</v>
      </c>
      <c r="I256" s="6">
        <f t="shared" ref="I256:I264" si="15">H256*C256</f>
        <v>414772</v>
      </c>
    </row>
    <row r="257" spans="2:9" x14ac:dyDescent="0.25">
      <c r="B257" t="s">
        <v>471</v>
      </c>
      <c r="C257">
        <v>6</v>
      </c>
      <c r="H257" s="20">
        <v>11829.15</v>
      </c>
      <c r="I257" s="6">
        <f t="shared" si="15"/>
        <v>70974.899999999994</v>
      </c>
    </row>
    <row r="258" spans="2:9" x14ac:dyDescent="0.25">
      <c r="B258" t="s">
        <v>473</v>
      </c>
      <c r="C258">
        <v>8</v>
      </c>
      <c r="H258" s="20">
        <v>4850</v>
      </c>
      <c r="I258" s="6">
        <f t="shared" si="15"/>
        <v>38800</v>
      </c>
    </row>
    <row r="259" spans="2:9" x14ac:dyDescent="0.25">
      <c r="B259" t="s">
        <v>474</v>
      </c>
      <c r="C259">
        <v>20</v>
      </c>
      <c r="H259" s="20">
        <v>596.54999999999995</v>
      </c>
      <c r="I259" s="6">
        <f t="shared" si="15"/>
        <v>11931</v>
      </c>
    </row>
    <row r="260" spans="2:9" x14ac:dyDescent="0.25">
      <c r="B260" t="s">
        <v>476</v>
      </c>
      <c r="C260">
        <v>1</v>
      </c>
      <c r="H260" s="20">
        <v>6246.8</v>
      </c>
      <c r="I260" s="6">
        <f t="shared" si="15"/>
        <v>6246.8</v>
      </c>
    </row>
    <row r="261" spans="2:9" x14ac:dyDescent="0.25">
      <c r="B261" t="s">
        <v>481</v>
      </c>
      <c r="C261">
        <v>2</v>
      </c>
      <c r="H261" s="20">
        <v>4976.0999999999995</v>
      </c>
      <c r="I261" s="6">
        <f t="shared" si="15"/>
        <v>9952.1999999999989</v>
      </c>
    </row>
    <row r="262" spans="2:9" x14ac:dyDescent="0.25">
      <c r="B262" t="s">
        <v>482</v>
      </c>
      <c r="C262">
        <v>6</v>
      </c>
      <c r="H262" s="20">
        <v>60940.25</v>
      </c>
      <c r="I262" s="6">
        <f t="shared" si="15"/>
        <v>365641.5</v>
      </c>
    </row>
    <row r="263" spans="2:9" x14ac:dyDescent="0.25">
      <c r="B263" t="s">
        <v>367</v>
      </c>
      <c r="C263">
        <v>2</v>
      </c>
      <c r="H263" s="20">
        <v>69000</v>
      </c>
      <c r="I263" s="6">
        <f t="shared" si="15"/>
        <v>138000</v>
      </c>
    </row>
    <row r="264" spans="2:9" x14ac:dyDescent="0.25">
      <c r="B264" t="s">
        <v>957</v>
      </c>
      <c r="C264">
        <v>20</v>
      </c>
      <c r="H264" s="20">
        <v>1450</v>
      </c>
      <c r="I264" s="6">
        <f t="shared" si="15"/>
        <v>29000</v>
      </c>
    </row>
    <row r="265" spans="2:9" x14ac:dyDescent="0.25">
      <c r="H265" s="42" t="s">
        <v>977</v>
      </c>
      <c r="I265" s="43">
        <f>SUM(I256:I264)</f>
        <v>1085318.3999999999</v>
      </c>
    </row>
    <row r="266" spans="2:9" x14ac:dyDescent="0.25">
      <c r="B266" t="s">
        <v>979</v>
      </c>
    </row>
    <row r="267" spans="2:9" x14ac:dyDescent="0.25">
      <c r="B267" t="s">
        <v>955</v>
      </c>
      <c r="C267">
        <v>216</v>
      </c>
      <c r="H267" s="20">
        <v>250</v>
      </c>
      <c r="I267" s="6">
        <f t="shared" ref="I267:I269" si="16">H267*C267</f>
        <v>54000</v>
      </c>
    </row>
    <row r="268" spans="2:9" x14ac:dyDescent="0.25">
      <c r="B268" t="s">
        <v>354</v>
      </c>
      <c r="C268">
        <v>2</v>
      </c>
      <c r="H268" s="20">
        <v>22000</v>
      </c>
      <c r="I268" s="6">
        <f t="shared" si="16"/>
        <v>44000</v>
      </c>
    </row>
    <row r="269" spans="2:9" x14ac:dyDescent="0.25">
      <c r="B269" t="s">
        <v>356</v>
      </c>
      <c r="C269">
        <v>2</v>
      </c>
      <c r="H269" s="20">
        <v>22000</v>
      </c>
      <c r="I269" s="6">
        <f t="shared" si="16"/>
        <v>44000</v>
      </c>
    </row>
    <row r="270" spans="2:9" x14ac:dyDescent="0.25">
      <c r="H270" s="42" t="s">
        <v>977</v>
      </c>
      <c r="I270" s="43">
        <f>SUM(I267:I269)</f>
        <v>142000</v>
      </c>
    </row>
    <row r="272" spans="2:9" x14ac:dyDescent="0.25">
      <c r="H272" s="20" t="s">
        <v>980</v>
      </c>
      <c r="I272" s="6">
        <f>I228+I238+I254+I265+I270</f>
        <v>3457185.8000000003</v>
      </c>
    </row>
  </sheetData>
  <mergeCells count="1">
    <mergeCell ref="A1:A2"/>
  </mergeCell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.85546875" customWidth="1"/>
    <col min="4" max="4" width="15.140625" customWidth="1"/>
    <col min="5" max="5" width="11.28515625" customWidth="1"/>
    <col min="6" max="7" width="12.140625" customWidth="1"/>
    <col min="8" max="8" width="10.85546875" customWidth="1"/>
    <col min="9" max="9" width="11.5703125" customWidth="1"/>
    <col min="10" max="10" width="21.85546875" customWidth="1"/>
    <col min="11" max="11" width="11.140625" customWidth="1"/>
    <col min="12" max="12" width="11.85546875" customWidth="1"/>
    <col min="13" max="13" width="9.28515625" bestFit="1"/>
  </cols>
  <sheetData>
    <row r="1" spans="1:12" ht="26.25" customHeight="1" x14ac:dyDescent="0.25">
      <c r="A1" s="15" t="s">
        <v>0</v>
      </c>
      <c r="C1" t="s">
        <v>981</v>
      </c>
      <c r="D1" s="4" t="s">
        <v>982</v>
      </c>
      <c r="E1" s="4" t="s">
        <v>247</v>
      </c>
      <c r="F1" s="4" t="s">
        <v>248</v>
      </c>
      <c r="G1" s="4" t="s">
        <v>983</v>
      </c>
      <c r="H1" s="4" t="s">
        <v>249</v>
      </c>
      <c r="I1" s="4" t="s">
        <v>250</v>
      </c>
      <c r="J1" s="4" t="s">
        <v>984</v>
      </c>
      <c r="K1" s="4" t="s">
        <v>985</v>
      </c>
    </row>
    <row r="2" spans="1:12" x14ac:dyDescent="0.25">
      <c r="A2" s="239" t="s">
        <v>988</v>
      </c>
      <c r="B2" s="239"/>
      <c r="C2" s="239"/>
      <c r="D2" s="54"/>
    </row>
    <row r="3" spans="1:12" x14ac:dyDescent="0.25">
      <c r="A3" s="59" t="s">
        <v>502</v>
      </c>
      <c r="B3" s="55" t="s">
        <v>986</v>
      </c>
      <c r="C3" s="56">
        <v>2</v>
      </c>
      <c r="D3" s="57">
        <v>430508</v>
      </c>
      <c r="E3" s="12">
        <f t="shared" ref="E3:E9" si="0">D3/C3</f>
        <v>215254</v>
      </c>
      <c r="F3" s="12">
        <f t="shared" ref="F3:F9" si="1">E3*0.97</f>
        <v>208796.38</v>
      </c>
      <c r="G3" s="12">
        <f t="shared" ref="G3:G9" si="2">F3*C3</f>
        <v>417592.76</v>
      </c>
      <c r="H3" s="12">
        <f t="shared" ref="H3:H9" si="3">F3*1.2</f>
        <v>250555.65599999999</v>
      </c>
      <c r="I3" s="6">
        <f t="shared" ref="I3:I9" si="4">H3*C3</f>
        <v>501111.31199999998</v>
      </c>
      <c r="K3" s="57" t="s">
        <v>989</v>
      </c>
    </row>
    <row r="4" spans="1:12" x14ac:dyDescent="0.25">
      <c r="A4" s="25" t="s">
        <v>684</v>
      </c>
      <c r="C4">
        <v>4</v>
      </c>
      <c r="D4">
        <v>28240</v>
      </c>
      <c r="E4" s="12">
        <f t="shared" si="0"/>
        <v>7060</v>
      </c>
      <c r="F4" s="12">
        <f t="shared" si="1"/>
        <v>6848.2</v>
      </c>
      <c r="G4" s="12">
        <f t="shared" si="2"/>
        <v>27392.799999999999</v>
      </c>
      <c r="H4" s="12">
        <f t="shared" si="3"/>
        <v>8217.84</v>
      </c>
      <c r="I4" s="6">
        <f t="shared" si="4"/>
        <v>32871.360000000001</v>
      </c>
      <c r="K4" t="s">
        <v>989</v>
      </c>
    </row>
    <row r="5" spans="1:12" x14ac:dyDescent="0.25">
      <c r="A5" s="7" t="s">
        <v>349</v>
      </c>
      <c r="B5" s="7"/>
      <c r="C5" s="7">
        <v>4</v>
      </c>
      <c r="D5">
        <v>139200</v>
      </c>
      <c r="E5" s="12">
        <f t="shared" si="0"/>
        <v>34800</v>
      </c>
      <c r="F5" s="12">
        <f t="shared" si="1"/>
        <v>33756</v>
      </c>
      <c r="G5" s="12">
        <f t="shared" si="2"/>
        <v>135024</v>
      </c>
      <c r="H5" s="12">
        <f t="shared" si="3"/>
        <v>40507.199999999997</v>
      </c>
      <c r="I5" s="6">
        <f t="shared" si="4"/>
        <v>162028.79999999999</v>
      </c>
      <c r="K5" t="s">
        <v>990</v>
      </c>
    </row>
    <row r="6" spans="1:12" x14ac:dyDescent="0.25">
      <c r="A6" s="7" t="s">
        <v>504</v>
      </c>
      <c r="B6" s="7"/>
      <c r="C6" s="7">
        <v>2</v>
      </c>
      <c r="D6">
        <v>38278</v>
      </c>
      <c r="E6" s="12">
        <f t="shared" si="0"/>
        <v>19139</v>
      </c>
      <c r="F6" s="12">
        <f t="shared" si="1"/>
        <v>18564.829999999998</v>
      </c>
      <c r="G6" s="12">
        <f t="shared" si="2"/>
        <v>37129.659999999996</v>
      </c>
      <c r="H6" s="12">
        <f t="shared" si="3"/>
        <v>22277.795999999998</v>
      </c>
      <c r="I6" s="6">
        <f t="shared" si="4"/>
        <v>44555.591999999997</v>
      </c>
      <c r="K6" t="s">
        <v>991</v>
      </c>
    </row>
    <row r="7" spans="1:12" x14ac:dyDescent="0.25">
      <c r="A7" s="7" t="s">
        <v>508</v>
      </c>
      <c r="B7" s="7"/>
      <c r="C7" s="7">
        <v>3</v>
      </c>
      <c r="D7">
        <v>100800</v>
      </c>
      <c r="E7" s="12">
        <f t="shared" si="0"/>
        <v>33600</v>
      </c>
      <c r="F7" s="12">
        <f t="shared" si="1"/>
        <v>32592</v>
      </c>
      <c r="G7" s="12">
        <f t="shared" si="2"/>
        <v>97776</v>
      </c>
      <c r="H7" s="12">
        <f t="shared" si="3"/>
        <v>39110.400000000001</v>
      </c>
      <c r="I7" s="6">
        <f t="shared" si="4"/>
        <v>117331.20000000001</v>
      </c>
      <c r="K7" t="s">
        <v>990</v>
      </c>
    </row>
    <row r="8" spans="1:12" x14ac:dyDescent="0.25">
      <c r="A8" t="s">
        <v>637</v>
      </c>
      <c r="C8">
        <v>2</v>
      </c>
      <c r="D8">
        <v>68620</v>
      </c>
      <c r="E8" s="12">
        <f t="shared" si="0"/>
        <v>34310</v>
      </c>
      <c r="F8" s="12">
        <f t="shared" si="1"/>
        <v>33280.699999999997</v>
      </c>
      <c r="G8" s="12">
        <f t="shared" si="2"/>
        <v>66561.399999999994</v>
      </c>
      <c r="H8" s="12">
        <f t="shared" si="3"/>
        <v>39936.839999999997</v>
      </c>
      <c r="I8" s="6">
        <f t="shared" si="4"/>
        <v>79873.679999999993</v>
      </c>
      <c r="K8" t="s">
        <v>989</v>
      </c>
    </row>
    <row r="9" spans="1:12" x14ac:dyDescent="0.25">
      <c r="A9" s="25" t="s">
        <v>681</v>
      </c>
      <c r="C9">
        <v>1</v>
      </c>
      <c r="D9">
        <v>10910</v>
      </c>
      <c r="E9" s="12">
        <f t="shared" si="0"/>
        <v>10910</v>
      </c>
      <c r="F9" s="12">
        <f t="shared" si="1"/>
        <v>10582.699999999999</v>
      </c>
      <c r="G9" s="12">
        <f t="shared" si="2"/>
        <v>10582.699999999999</v>
      </c>
      <c r="H9" s="12">
        <f t="shared" si="3"/>
        <v>12699.239999999998</v>
      </c>
      <c r="I9" s="6">
        <f t="shared" si="4"/>
        <v>12699.239999999998</v>
      </c>
      <c r="K9" t="s">
        <v>992</v>
      </c>
    </row>
    <row r="10" spans="1:12" x14ac:dyDescent="0.25">
      <c r="A10" t="s">
        <v>786</v>
      </c>
      <c r="C10">
        <v>6</v>
      </c>
      <c r="D10">
        <v>70260</v>
      </c>
      <c r="E10" s="12">
        <f t="shared" ref="E10:E32" si="5">D10/C10</f>
        <v>11710</v>
      </c>
      <c r="F10" s="12">
        <f t="shared" ref="F10:F32" si="6">E10*0.97</f>
        <v>11358.699999999999</v>
      </c>
      <c r="G10" s="12">
        <f t="shared" ref="G10:G32" si="7">F10*C10</f>
        <v>68152.2</v>
      </c>
      <c r="H10" s="12">
        <f t="shared" ref="H10:H32" si="8">F10*1.2</f>
        <v>13630.439999999999</v>
      </c>
      <c r="I10" s="6">
        <f t="shared" ref="I10:I32" si="9">H10*C10</f>
        <v>81782.639999999985</v>
      </c>
      <c r="K10" t="s">
        <v>989</v>
      </c>
    </row>
    <row r="11" spans="1:12" x14ac:dyDescent="0.25">
      <c r="A11" t="s">
        <v>675</v>
      </c>
      <c r="C11">
        <v>1</v>
      </c>
      <c r="D11">
        <v>150400</v>
      </c>
      <c r="E11" s="12">
        <f t="shared" si="5"/>
        <v>150400</v>
      </c>
      <c r="F11" s="12">
        <f t="shared" si="6"/>
        <v>145888</v>
      </c>
      <c r="G11" s="12">
        <f t="shared" si="7"/>
        <v>145888</v>
      </c>
      <c r="H11" s="12">
        <f t="shared" si="8"/>
        <v>175065.60000000001</v>
      </c>
      <c r="I11" s="6">
        <f t="shared" si="9"/>
        <v>175065.60000000001</v>
      </c>
      <c r="K11" t="s">
        <v>989</v>
      </c>
    </row>
    <row r="12" spans="1:12" x14ac:dyDescent="0.25">
      <c r="A12" s="7" t="s">
        <v>593</v>
      </c>
      <c r="B12" s="7"/>
      <c r="C12" s="7">
        <v>1</v>
      </c>
      <c r="D12">
        <v>2095</v>
      </c>
      <c r="E12" s="12">
        <f t="shared" si="5"/>
        <v>2095</v>
      </c>
      <c r="F12" s="12">
        <f t="shared" si="6"/>
        <v>2032.1499999999999</v>
      </c>
      <c r="G12" s="12">
        <f t="shared" si="7"/>
        <v>2032.1499999999999</v>
      </c>
      <c r="H12" s="12">
        <f t="shared" si="8"/>
        <v>2438.58</v>
      </c>
      <c r="I12" s="6">
        <f t="shared" si="9"/>
        <v>2438.58</v>
      </c>
      <c r="K12" t="s">
        <v>990</v>
      </c>
    </row>
    <row r="13" spans="1:12" x14ac:dyDescent="0.25">
      <c r="A13" s="7" t="s">
        <v>495</v>
      </c>
      <c r="B13" s="7"/>
      <c r="C13" s="7">
        <v>1</v>
      </c>
      <c r="D13">
        <v>26940</v>
      </c>
      <c r="E13" s="12">
        <f t="shared" si="5"/>
        <v>26940</v>
      </c>
      <c r="F13" s="12">
        <f t="shared" si="6"/>
        <v>26131.8</v>
      </c>
      <c r="G13" s="12">
        <f t="shared" si="7"/>
        <v>26131.8</v>
      </c>
      <c r="H13" s="12">
        <f t="shared" si="8"/>
        <v>31358.159999999996</v>
      </c>
      <c r="I13" s="6">
        <f t="shared" si="9"/>
        <v>31358.159999999996</v>
      </c>
      <c r="K13" t="s">
        <v>990</v>
      </c>
    </row>
    <row r="14" spans="1:12" x14ac:dyDescent="0.25">
      <c r="A14" s="7" t="s">
        <v>619</v>
      </c>
      <c r="B14" s="7"/>
      <c r="C14" s="7">
        <v>10</v>
      </c>
      <c r="D14">
        <v>47205</v>
      </c>
      <c r="E14" s="12">
        <f t="shared" si="5"/>
        <v>4720.5</v>
      </c>
      <c r="F14" s="12">
        <f t="shared" si="6"/>
        <v>4578.8850000000002</v>
      </c>
      <c r="G14" s="12">
        <f t="shared" si="7"/>
        <v>45788.850000000006</v>
      </c>
      <c r="H14" s="12">
        <f t="shared" si="8"/>
        <v>5494.6620000000003</v>
      </c>
      <c r="I14" s="6">
        <f t="shared" si="9"/>
        <v>54946.62</v>
      </c>
      <c r="K14" t="s">
        <v>990</v>
      </c>
      <c r="L14" t="s">
        <v>987</v>
      </c>
    </row>
    <row r="15" spans="1:12" x14ac:dyDescent="0.25">
      <c r="A15" t="s">
        <v>475</v>
      </c>
      <c r="C15">
        <v>1</v>
      </c>
      <c r="D15">
        <v>94720</v>
      </c>
      <c r="E15" s="12">
        <f t="shared" si="5"/>
        <v>94720</v>
      </c>
      <c r="F15" s="12">
        <f t="shared" si="6"/>
        <v>91878.399999999994</v>
      </c>
      <c r="G15" s="12">
        <f t="shared" si="7"/>
        <v>91878.399999999994</v>
      </c>
      <c r="H15" s="12">
        <f t="shared" si="8"/>
        <v>110254.07999999999</v>
      </c>
      <c r="I15" s="6">
        <f t="shared" si="9"/>
        <v>110254.07999999999</v>
      </c>
      <c r="K15" t="s">
        <v>989</v>
      </c>
    </row>
    <row r="16" spans="1:12" x14ac:dyDescent="0.25">
      <c r="A16" s="7" t="s">
        <v>498</v>
      </c>
      <c r="B16" s="7"/>
      <c r="C16" s="7">
        <v>1</v>
      </c>
      <c r="D16">
        <v>75280</v>
      </c>
      <c r="E16" s="12">
        <f t="shared" si="5"/>
        <v>75280</v>
      </c>
      <c r="F16" s="12">
        <f t="shared" si="6"/>
        <v>73021.599999999991</v>
      </c>
      <c r="G16" s="12">
        <f t="shared" si="7"/>
        <v>73021.599999999991</v>
      </c>
      <c r="H16" s="12">
        <f t="shared" si="8"/>
        <v>87625.919999999984</v>
      </c>
      <c r="I16" s="6">
        <f t="shared" si="9"/>
        <v>87625.919999999984</v>
      </c>
      <c r="K16" t="s">
        <v>990</v>
      </c>
    </row>
    <row r="17" spans="1:12" x14ac:dyDescent="0.25">
      <c r="A17" s="7" t="s">
        <v>993</v>
      </c>
      <c r="B17" s="7"/>
      <c r="C17" s="7">
        <v>4</v>
      </c>
      <c r="D17">
        <v>13440</v>
      </c>
      <c r="E17" s="12">
        <f t="shared" si="5"/>
        <v>3360</v>
      </c>
      <c r="F17" s="12">
        <f t="shared" si="6"/>
        <v>3259.2</v>
      </c>
      <c r="G17" s="12">
        <f t="shared" si="7"/>
        <v>13036.8</v>
      </c>
      <c r="H17" s="12">
        <f t="shared" si="8"/>
        <v>3911.0399999999995</v>
      </c>
      <c r="I17" s="6">
        <f t="shared" si="9"/>
        <v>15644.159999999998</v>
      </c>
      <c r="K17" t="s">
        <v>990</v>
      </c>
    </row>
    <row r="18" spans="1:12" x14ac:dyDescent="0.25">
      <c r="A18" s="7" t="s">
        <v>512</v>
      </c>
      <c r="B18" s="7"/>
      <c r="C18" s="7">
        <v>1</v>
      </c>
      <c r="D18">
        <v>84200</v>
      </c>
      <c r="E18" s="12">
        <f t="shared" si="5"/>
        <v>84200</v>
      </c>
      <c r="F18" s="12">
        <f t="shared" si="6"/>
        <v>81674</v>
      </c>
      <c r="G18" s="12">
        <f t="shared" si="7"/>
        <v>81674</v>
      </c>
      <c r="H18" s="12">
        <f t="shared" si="8"/>
        <v>98008.8</v>
      </c>
      <c r="I18" s="6">
        <f t="shared" si="9"/>
        <v>98008.8</v>
      </c>
      <c r="K18" t="s">
        <v>990</v>
      </c>
    </row>
    <row r="19" spans="1:12" x14ac:dyDescent="0.25">
      <c r="A19" s="7" t="s">
        <v>513</v>
      </c>
      <c r="B19" s="7"/>
      <c r="C19" s="7">
        <v>1</v>
      </c>
      <c r="D19">
        <v>84200</v>
      </c>
      <c r="E19" s="12">
        <f t="shared" si="5"/>
        <v>84200</v>
      </c>
      <c r="F19" s="12">
        <f t="shared" si="6"/>
        <v>81674</v>
      </c>
      <c r="G19" s="12">
        <f t="shared" si="7"/>
        <v>81674</v>
      </c>
      <c r="H19" s="12">
        <f t="shared" si="8"/>
        <v>98008.8</v>
      </c>
      <c r="I19" s="6">
        <f t="shared" si="9"/>
        <v>98008.8</v>
      </c>
      <c r="K19" t="s">
        <v>990</v>
      </c>
    </row>
    <row r="20" spans="1:12" x14ac:dyDescent="0.25">
      <c r="A20" t="s">
        <v>663</v>
      </c>
      <c r="C20">
        <v>2</v>
      </c>
      <c r="D20">
        <v>62777</v>
      </c>
      <c r="E20" s="12">
        <f t="shared" si="5"/>
        <v>31388.5</v>
      </c>
      <c r="F20" s="12">
        <f t="shared" si="6"/>
        <v>30446.844999999998</v>
      </c>
      <c r="G20" s="12">
        <f t="shared" si="7"/>
        <v>60893.689999999995</v>
      </c>
      <c r="H20" s="12">
        <f t="shared" si="8"/>
        <v>36536.213999999993</v>
      </c>
      <c r="I20" s="6">
        <f t="shared" si="9"/>
        <v>73072.427999999985</v>
      </c>
      <c r="K20" t="s">
        <v>989</v>
      </c>
    </row>
    <row r="21" spans="1:12" x14ac:dyDescent="0.25">
      <c r="A21" t="s">
        <v>657</v>
      </c>
      <c r="C21">
        <v>1</v>
      </c>
      <c r="D21">
        <v>30028</v>
      </c>
      <c r="E21" s="12">
        <f t="shared" si="5"/>
        <v>30028</v>
      </c>
      <c r="F21" s="12">
        <f t="shared" si="6"/>
        <v>29127.16</v>
      </c>
      <c r="G21" s="12">
        <f t="shared" si="7"/>
        <v>29127.16</v>
      </c>
      <c r="H21" s="12">
        <f t="shared" si="8"/>
        <v>34952.591999999997</v>
      </c>
      <c r="I21" s="6">
        <f t="shared" si="9"/>
        <v>34952.591999999997</v>
      </c>
      <c r="K21" t="s">
        <v>989</v>
      </c>
      <c r="L21" t="s">
        <v>987</v>
      </c>
    </row>
    <row r="22" spans="1:12" x14ac:dyDescent="0.25">
      <c r="A22" t="s">
        <v>704</v>
      </c>
      <c r="C22">
        <v>20</v>
      </c>
      <c r="D22">
        <v>47970</v>
      </c>
      <c r="E22" s="12">
        <f t="shared" si="5"/>
        <v>2398.5</v>
      </c>
      <c r="F22" s="12">
        <f t="shared" si="6"/>
        <v>2326.5450000000001</v>
      </c>
      <c r="G22" s="12">
        <f t="shared" si="7"/>
        <v>46530.9</v>
      </c>
      <c r="H22" s="12">
        <f t="shared" si="8"/>
        <v>2791.8539999999998</v>
      </c>
      <c r="I22" s="6">
        <f t="shared" si="9"/>
        <v>55837.079999999994</v>
      </c>
      <c r="K22" t="s">
        <v>989</v>
      </c>
    </row>
    <row r="23" spans="1:12" x14ac:dyDescent="0.25">
      <c r="A23" t="s">
        <v>659</v>
      </c>
      <c r="C23">
        <v>14</v>
      </c>
      <c r="D23">
        <v>20790</v>
      </c>
      <c r="E23" s="12">
        <f t="shared" si="5"/>
        <v>1485</v>
      </c>
      <c r="F23" s="12">
        <f t="shared" si="6"/>
        <v>1440.45</v>
      </c>
      <c r="G23" s="12">
        <f t="shared" si="7"/>
        <v>20166.3</v>
      </c>
      <c r="H23" s="12">
        <f t="shared" si="8"/>
        <v>1728.54</v>
      </c>
      <c r="I23" s="6">
        <f t="shared" si="9"/>
        <v>24199.559999999998</v>
      </c>
      <c r="K23" t="s">
        <v>989</v>
      </c>
      <c r="L23" t="s">
        <v>987</v>
      </c>
    </row>
    <row r="24" spans="1:12" x14ac:dyDescent="0.25">
      <c r="A24" t="s">
        <v>678</v>
      </c>
      <c r="C24">
        <v>1</v>
      </c>
      <c r="D24">
        <v>27445</v>
      </c>
      <c r="E24" s="12">
        <f t="shared" si="5"/>
        <v>27445</v>
      </c>
      <c r="F24" s="12">
        <f t="shared" si="6"/>
        <v>26621.649999999998</v>
      </c>
      <c r="G24" s="12">
        <f t="shared" si="7"/>
        <v>26621.649999999998</v>
      </c>
      <c r="H24" s="12">
        <f t="shared" si="8"/>
        <v>31945.979999999996</v>
      </c>
      <c r="I24" s="6">
        <f t="shared" si="9"/>
        <v>31945.979999999996</v>
      </c>
      <c r="K24" t="s">
        <v>989</v>
      </c>
    </row>
    <row r="25" spans="1:12" x14ac:dyDescent="0.25">
      <c r="A25" t="s">
        <v>510</v>
      </c>
      <c r="C25">
        <v>1</v>
      </c>
      <c r="D25">
        <v>10825</v>
      </c>
      <c r="E25" s="12">
        <f t="shared" si="5"/>
        <v>10825</v>
      </c>
      <c r="F25" s="12">
        <f t="shared" si="6"/>
        <v>10500.25</v>
      </c>
      <c r="G25" s="12">
        <f t="shared" si="7"/>
        <v>10500.25</v>
      </c>
      <c r="H25" s="12">
        <f t="shared" si="8"/>
        <v>12600.3</v>
      </c>
      <c r="I25" s="6">
        <f t="shared" si="9"/>
        <v>12600.3</v>
      </c>
      <c r="K25" t="s">
        <v>989</v>
      </c>
    </row>
    <row r="26" spans="1:12" x14ac:dyDescent="0.25">
      <c r="A26" t="s">
        <v>499</v>
      </c>
      <c r="C26">
        <v>2</v>
      </c>
      <c r="D26">
        <v>10870</v>
      </c>
      <c r="E26" s="12">
        <f t="shared" si="5"/>
        <v>5435</v>
      </c>
      <c r="F26" s="12">
        <f t="shared" si="6"/>
        <v>5271.95</v>
      </c>
      <c r="G26" s="12">
        <f t="shared" si="7"/>
        <v>10543.9</v>
      </c>
      <c r="H26" s="12">
        <f t="shared" si="8"/>
        <v>6326.3399999999992</v>
      </c>
      <c r="I26" s="6">
        <f t="shared" si="9"/>
        <v>12652.679999999998</v>
      </c>
      <c r="K26" t="s">
        <v>994</v>
      </c>
    </row>
    <row r="27" spans="1:12" x14ac:dyDescent="0.25">
      <c r="A27" t="s">
        <v>995</v>
      </c>
      <c r="B27" t="s">
        <v>996</v>
      </c>
      <c r="C27">
        <v>1</v>
      </c>
      <c r="D27">
        <v>6080</v>
      </c>
      <c r="E27" s="12">
        <f t="shared" si="5"/>
        <v>6080</v>
      </c>
      <c r="F27" s="12">
        <f t="shared" si="6"/>
        <v>5897.5999999999995</v>
      </c>
      <c r="G27" s="12">
        <f t="shared" si="7"/>
        <v>5897.5999999999995</v>
      </c>
      <c r="H27" s="12">
        <f t="shared" si="8"/>
        <v>7077.119999999999</v>
      </c>
      <c r="I27" s="6">
        <f t="shared" si="9"/>
        <v>7077.119999999999</v>
      </c>
      <c r="K27" t="s">
        <v>994</v>
      </c>
    </row>
    <row r="28" spans="1:12" x14ac:dyDescent="0.25">
      <c r="A28" t="s">
        <v>997</v>
      </c>
      <c r="B28" t="s">
        <v>996</v>
      </c>
      <c r="C28">
        <v>1</v>
      </c>
      <c r="D28">
        <v>340</v>
      </c>
      <c r="E28" s="12">
        <f t="shared" si="5"/>
        <v>340</v>
      </c>
      <c r="F28" s="12">
        <f t="shared" si="6"/>
        <v>329.8</v>
      </c>
      <c r="G28" s="12">
        <f t="shared" si="7"/>
        <v>329.8</v>
      </c>
      <c r="H28" s="12">
        <f t="shared" si="8"/>
        <v>395.76</v>
      </c>
      <c r="I28" s="6">
        <f t="shared" si="9"/>
        <v>395.76</v>
      </c>
      <c r="K28" t="s">
        <v>989</v>
      </c>
    </row>
    <row r="29" spans="1:12" x14ac:dyDescent="0.25">
      <c r="A29" t="s">
        <v>710</v>
      </c>
      <c r="C29">
        <v>2</v>
      </c>
      <c r="D29">
        <v>17850</v>
      </c>
      <c r="E29" s="12">
        <f t="shared" si="5"/>
        <v>8925</v>
      </c>
      <c r="F29" s="12">
        <f t="shared" si="6"/>
        <v>8657.25</v>
      </c>
      <c r="G29" s="12">
        <f t="shared" si="7"/>
        <v>17314.5</v>
      </c>
      <c r="H29" s="12">
        <f t="shared" si="8"/>
        <v>10388.699999999999</v>
      </c>
      <c r="I29" s="6">
        <f t="shared" si="9"/>
        <v>20777.399999999998</v>
      </c>
      <c r="K29" t="s">
        <v>989</v>
      </c>
    </row>
    <row r="30" spans="1:12" x14ac:dyDescent="0.25">
      <c r="A30" t="s">
        <v>672</v>
      </c>
      <c r="C30">
        <v>3</v>
      </c>
      <c r="D30">
        <v>10050</v>
      </c>
      <c r="E30" s="12">
        <f t="shared" si="5"/>
        <v>3350</v>
      </c>
      <c r="F30" s="12">
        <f t="shared" si="6"/>
        <v>3249.5</v>
      </c>
      <c r="G30" s="12">
        <f t="shared" si="7"/>
        <v>9748.5</v>
      </c>
      <c r="H30" s="12">
        <f t="shared" si="8"/>
        <v>3899.3999999999996</v>
      </c>
      <c r="I30" s="6">
        <f t="shared" si="9"/>
        <v>11698.199999999999</v>
      </c>
      <c r="K30" t="s">
        <v>989</v>
      </c>
    </row>
    <row r="31" spans="1:12" x14ac:dyDescent="0.25">
      <c r="A31" t="s">
        <v>666</v>
      </c>
      <c r="C31">
        <v>1</v>
      </c>
      <c r="D31">
        <v>8955</v>
      </c>
      <c r="E31" s="12">
        <f t="shared" si="5"/>
        <v>8955</v>
      </c>
      <c r="F31" s="12">
        <f t="shared" si="6"/>
        <v>8686.35</v>
      </c>
      <c r="G31" s="12">
        <f t="shared" si="7"/>
        <v>8686.35</v>
      </c>
      <c r="H31" s="12">
        <f t="shared" si="8"/>
        <v>10423.620000000001</v>
      </c>
      <c r="I31" s="6">
        <f t="shared" si="9"/>
        <v>10423.620000000001</v>
      </c>
      <c r="K31" t="s">
        <v>989</v>
      </c>
    </row>
    <row r="32" spans="1:12" x14ac:dyDescent="0.25">
      <c r="A32" t="s">
        <v>669</v>
      </c>
      <c r="C32">
        <v>1</v>
      </c>
      <c r="D32">
        <v>5275</v>
      </c>
      <c r="E32" s="12">
        <f t="shared" si="5"/>
        <v>5275</v>
      </c>
      <c r="F32" s="12">
        <f t="shared" si="6"/>
        <v>5116.75</v>
      </c>
      <c r="G32" s="12">
        <f t="shared" si="7"/>
        <v>5116.75</v>
      </c>
      <c r="H32" s="12">
        <f t="shared" si="8"/>
        <v>6140.0999999999995</v>
      </c>
      <c r="I32" s="6">
        <f t="shared" si="9"/>
        <v>6140.0999999999995</v>
      </c>
      <c r="K32" t="s">
        <v>989</v>
      </c>
    </row>
    <row r="33" spans="1:7" x14ac:dyDescent="0.25">
      <c r="G33" s="6"/>
    </row>
    <row r="34" spans="1:7" x14ac:dyDescent="0.25">
      <c r="A34" s="7" t="s">
        <v>998</v>
      </c>
    </row>
    <row r="35" spans="1:7" x14ac:dyDescent="0.25">
      <c r="A35" t="s">
        <v>349</v>
      </c>
      <c r="C35">
        <v>4</v>
      </c>
      <c r="D35">
        <v>33756</v>
      </c>
      <c r="E35">
        <f t="shared" ref="E35:E44" si="10">D35*C35</f>
        <v>135024</v>
      </c>
      <c r="F35" t="s">
        <v>999</v>
      </c>
    </row>
    <row r="36" spans="1:7" x14ac:dyDescent="0.25">
      <c r="A36" t="s">
        <v>504</v>
      </c>
      <c r="C36">
        <v>2</v>
      </c>
      <c r="D36">
        <v>18565</v>
      </c>
      <c r="E36">
        <f t="shared" si="10"/>
        <v>37130</v>
      </c>
      <c r="F36" t="s">
        <v>999</v>
      </c>
    </row>
    <row r="37" spans="1:7" x14ac:dyDescent="0.25">
      <c r="A37" t="s">
        <v>508</v>
      </c>
      <c r="C37">
        <v>3</v>
      </c>
      <c r="D37">
        <v>32592</v>
      </c>
      <c r="E37">
        <f t="shared" si="10"/>
        <v>97776</v>
      </c>
      <c r="F37" t="s">
        <v>999</v>
      </c>
    </row>
    <row r="38" spans="1:7" x14ac:dyDescent="0.25">
      <c r="A38" t="s">
        <v>593</v>
      </c>
      <c r="C38">
        <v>1</v>
      </c>
      <c r="D38">
        <v>2032</v>
      </c>
      <c r="E38">
        <f t="shared" si="10"/>
        <v>2032</v>
      </c>
      <c r="F38" t="s">
        <v>999</v>
      </c>
    </row>
    <row r="39" spans="1:7" x14ac:dyDescent="0.25">
      <c r="A39" t="s">
        <v>495</v>
      </c>
      <c r="C39">
        <v>1</v>
      </c>
      <c r="D39">
        <v>26132</v>
      </c>
      <c r="E39">
        <f t="shared" si="10"/>
        <v>26132</v>
      </c>
      <c r="F39" t="s">
        <v>999</v>
      </c>
    </row>
    <row r="40" spans="1:7" x14ac:dyDescent="0.25">
      <c r="A40" t="s">
        <v>619</v>
      </c>
      <c r="C40">
        <v>10</v>
      </c>
      <c r="D40">
        <v>4560</v>
      </c>
      <c r="E40">
        <f t="shared" si="10"/>
        <v>45600</v>
      </c>
      <c r="F40" t="s">
        <v>999</v>
      </c>
    </row>
    <row r="41" spans="1:7" x14ac:dyDescent="0.25">
      <c r="A41" t="s">
        <v>498</v>
      </c>
      <c r="C41">
        <v>1</v>
      </c>
      <c r="D41">
        <v>73022</v>
      </c>
      <c r="E41">
        <f t="shared" si="10"/>
        <v>73022</v>
      </c>
      <c r="F41" t="s">
        <v>999</v>
      </c>
    </row>
    <row r="42" spans="1:7" x14ac:dyDescent="0.25">
      <c r="A42" t="s">
        <v>993</v>
      </c>
      <c r="C42">
        <v>4</v>
      </c>
      <c r="D42">
        <v>3260</v>
      </c>
      <c r="E42">
        <f t="shared" si="10"/>
        <v>13040</v>
      </c>
      <c r="F42" t="s">
        <v>999</v>
      </c>
    </row>
    <row r="43" spans="1:7" x14ac:dyDescent="0.25">
      <c r="A43" t="s">
        <v>512</v>
      </c>
      <c r="C43">
        <v>1</v>
      </c>
      <c r="D43">
        <v>81674</v>
      </c>
      <c r="E43">
        <f t="shared" si="10"/>
        <v>81674</v>
      </c>
      <c r="F43" t="s">
        <v>999</v>
      </c>
    </row>
    <row r="44" spans="1:7" x14ac:dyDescent="0.25">
      <c r="A44" t="s">
        <v>513</v>
      </c>
      <c r="C44">
        <v>1</v>
      </c>
      <c r="D44">
        <v>81674</v>
      </c>
      <c r="E44">
        <f t="shared" si="10"/>
        <v>81674</v>
      </c>
      <c r="F44" t="s">
        <v>999</v>
      </c>
    </row>
    <row r="45" spans="1:7" x14ac:dyDescent="0.25">
      <c r="D45" s="7" t="s">
        <v>980</v>
      </c>
      <c r="E45" s="7">
        <f>SUM(E35:E44)</f>
        <v>593104</v>
      </c>
    </row>
    <row r="47" spans="1:7" x14ac:dyDescent="0.25">
      <c r="A47" t="s">
        <v>1000</v>
      </c>
    </row>
    <row r="48" spans="1:7" x14ac:dyDescent="0.25">
      <c r="A48">
        <v>1</v>
      </c>
    </row>
    <row r="49" spans="1:6" x14ac:dyDescent="0.25">
      <c r="A49" s="59" t="s">
        <v>502</v>
      </c>
      <c r="B49" s="55" t="s">
        <v>986</v>
      </c>
      <c r="C49" s="56">
        <v>2</v>
      </c>
      <c r="D49">
        <v>208796</v>
      </c>
      <c r="E49">
        <f t="shared" ref="E49:E55" si="11">D49*C49</f>
        <v>417592</v>
      </c>
      <c r="F49" t="s">
        <v>1001</v>
      </c>
    </row>
    <row r="50" spans="1:6" x14ac:dyDescent="0.25">
      <c r="A50" s="25" t="s">
        <v>684</v>
      </c>
      <c r="C50">
        <v>4</v>
      </c>
      <c r="D50">
        <v>6848</v>
      </c>
      <c r="E50">
        <f t="shared" si="11"/>
        <v>27392</v>
      </c>
      <c r="F50" t="s">
        <v>1001</v>
      </c>
    </row>
    <row r="51" spans="1:6" x14ac:dyDescent="0.25">
      <c r="A51" t="s">
        <v>637</v>
      </c>
      <c r="C51">
        <v>2</v>
      </c>
      <c r="D51">
        <v>33281</v>
      </c>
      <c r="E51">
        <f t="shared" si="11"/>
        <v>66562</v>
      </c>
      <c r="F51" t="s">
        <v>1001</v>
      </c>
    </row>
    <row r="52" spans="1:6" x14ac:dyDescent="0.25">
      <c r="A52" s="25" t="s">
        <v>681</v>
      </c>
      <c r="C52">
        <v>1</v>
      </c>
      <c r="D52">
        <v>10583</v>
      </c>
      <c r="E52">
        <f t="shared" si="11"/>
        <v>10583</v>
      </c>
      <c r="F52" t="s">
        <v>1001</v>
      </c>
    </row>
    <row r="53" spans="1:6" x14ac:dyDescent="0.25">
      <c r="A53" t="s">
        <v>786</v>
      </c>
      <c r="C53">
        <v>6</v>
      </c>
      <c r="D53">
        <v>11359</v>
      </c>
      <c r="E53">
        <f t="shared" si="11"/>
        <v>68154</v>
      </c>
      <c r="F53" t="s">
        <v>1001</v>
      </c>
    </row>
    <row r="54" spans="1:6" x14ac:dyDescent="0.25">
      <c r="A54" t="s">
        <v>675</v>
      </c>
      <c r="C54">
        <v>1</v>
      </c>
      <c r="D54">
        <v>145888</v>
      </c>
      <c r="E54">
        <f t="shared" si="11"/>
        <v>145888</v>
      </c>
      <c r="F54" t="s">
        <v>1001</v>
      </c>
    </row>
    <row r="55" spans="1:6" x14ac:dyDescent="0.25">
      <c r="A55" t="s">
        <v>475</v>
      </c>
      <c r="C55">
        <v>1</v>
      </c>
      <c r="D55">
        <v>91878</v>
      </c>
      <c r="E55">
        <f t="shared" si="11"/>
        <v>91878</v>
      </c>
      <c r="F55" t="s">
        <v>1001</v>
      </c>
    </row>
    <row r="56" spans="1:6" x14ac:dyDescent="0.25">
      <c r="D56" s="7" t="s">
        <v>980</v>
      </c>
      <c r="E56" s="7">
        <f>SUM(E49:E55)</f>
        <v>828049</v>
      </c>
    </row>
    <row r="57" spans="1:6" x14ac:dyDescent="0.25">
      <c r="A57">
        <v>2</v>
      </c>
    </row>
    <row r="58" spans="1:6" x14ac:dyDescent="0.25">
      <c r="A58" t="s">
        <v>663</v>
      </c>
      <c r="C58">
        <v>2</v>
      </c>
      <c r="D58">
        <v>30447</v>
      </c>
      <c r="E58">
        <f t="shared" ref="E58:E70" si="12">D58*C58</f>
        <v>60894</v>
      </c>
      <c r="F58" t="s">
        <v>989</v>
      </c>
    </row>
    <row r="59" spans="1:6" x14ac:dyDescent="0.25">
      <c r="A59" t="s">
        <v>657</v>
      </c>
      <c r="C59">
        <v>1</v>
      </c>
      <c r="D59">
        <v>29127</v>
      </c>
      <c r="E59">
        <f t="shared" si="12"/>
        <v>29127</v>
      </c>
      <c r="F59" t="s">
        <v>989</v>
      </c>
    </row>
    <row r="60" spans="1:6" x14ac:dyDescent="0.25">
      <c r="A60" t="s">
        <v>704</v>
      </c>
      <c r="C60">
        <v>20</v>
      </c>
      <c r="D60">
        <v>2326.5</v>
      </c>
      <c r="E60">
        <f t="shared" si="12"/>
        <v>46530</v>
      </c>
      <c r="F60" t="s">
        <v>989</v>
      </c>
    </row>
    <row r="61" spans="1:6" x14ac:dyDescent="0.25">
      <c r="A61" t="s">
        <v>659</v>
      </c>
      <c r="C61">
        <v>14</v>
      </c>
      <c r="D61">
        <v>1440</v>
      </c>
      <c r="E61">
        <f t="shared" si="12"/>
        <v>20160</v>
      </c>
      <c r="F61" t="s">
        <v>989</v>
      </c>
    </row>
    <row r="62" spans="1:6" x14ac:dyDescent="0.25">
      <c r="A62" t="s">
        <v>678</v>
      </c>
      <c r="C62">
        <v>1</v>
      </c>
      <c r="D62">
        <v>26622</v>
      </c>
      <c r="E62">
        <f t="shared" si="12"/>
        <v>26622</v>
      </c>
      <c r="F62" t="s">
        <v>989</v>
      </c>
    </row>
    <row r="63" spans="1:6" x14ac:dyDescent="0.25">
      <c r="A63" t="s">
        <v>510</v>
      </c>
      <c r="C63">
        <v>1</v>
      </c>
      <c r="D63">
        <v>10500</v>
      </c>
      <c r="E63">
        <f t="shared" si="12"/>
        <v>10500</v>
      </c>
      <c r="F63" t="s">
        <v>989</v>
      </c>
    </row>
    <row r="64" spans="1:6" x14ac:dyDescent="0.25">
      <c r="A64" t="s">
        <v>499</v>
      </c>
      <c r="C64">
        <v>2</v>
      </c>
      <c r="D64">
        <v>5272</v>
      </c>
      <c r="E64">
        <f t="shared" si="12"/>
        <v>10544</v>
      </c>
      <c r="F64" t="s">
        <v>989</v>
      </c>
    </row>
    <row r="65" spans="1:6" x14ac:dyDescent="0.25">
      <c r="A65" t="s">
        <v>995</v>
      </c>
      <c r="B65" t="s">
        <v>996</v>
      </c>
      <c r="C65">
        <v>1</v>
      </c>
      <c r="D65">
        <v>5898</v>
      </c>
      <c r="E65">
        <f t="shared" si="12"/>
        <v>5898</v>
      </c>
      <c r="F65" t="s">
        <v>989</v>
      </c>
    </row>
    <row r="66" spans="1:6" x14ac:dyDescent="0.25">
      <c r="A66" t="s">
        <v>997</v>
      </c>
      <c r="B66" t="s">
        <v>996</v>
      </c>
      <c r="C66">
        <v>1</v>
      </c>
      <c r="D66">
        <v>330</v>
      </c>
      <c r="E66">
        <f t="shared" si="12"/>
        <v>330</v>
      </c>
      <c r="F66" t="s">
        <v>989</v>
      </c>
    </row>
    <row r="67" spans="1:6" x14ac:dyDescent="0.25">
      <c r="A67" t="s">
        <v>710</v>
      </c>
      <c r="C67">
        <v>2</v>
      </c>
      <c r="D67">
        <v>8657</v>
      </c>
      <c r="E67">
        <f t="shared" si="12"/>
        <v>17314</v>
      </c>
      <c r="F67" t="s">
        <v>989</v>
      </c>
    </row>
    <row r="68" spans="1:6" x14ac:dyDescent="0.25">
      <c r="A68" t="s">
        <v>672</v>
      </c>
      <c r="C68">
        <v>3</v>
      </c>
      <c r="D68">
        <v>3249.5</v>
      </c>
      <c r="E68">
        <f t="shared" si="12"/>
        <v>9748.5</v>
      </c>
      <c r="F68" t="s">
        <v>989</v>
      </c>
    </row>
    <row r="69" spans="1:6" x14ac:dyDescent="0.25">
      <c r="A69" t="s">
        <v>666</v>
      </c>
      <c r="C69">
        <v>1</v>
      </c>
      <c r="D69">
        <v>3250</v>
      </c>
      <c r="E69">
        <f t="shared" si="12"/>
        <v>3250</v>
      </c>
      <c r="F69" t="s">
        <v>989</v>
      </c>
    </row>
    <row r="70" spans="1:6" x14ac:dyDescent="0.25">
      <c r="A70" t="s">
        <v>669</v>
      </c>
      <c r="C70">
        <v>1</v>
      </c>
      <c r="D70">
        <v>5117</v>
      </c>
      <c r="E70">
        <f t="shared" si="12"/>
        <v>5117</v>
      </c>
      <c r="F70" t="s">
        <v>989</v>
      </c>
    </row>
    <row r="71" spans="1:6" x14ac:dyDescent="0.25">
      <c r="D71" s="7" t="s">
        <v>980</v>
      </c>
      <c r="E71" s="7">
        <f>SUM(E58:E70)</f>
        <v>246034.5</v>
      </c>
    </row>
    <row r="73" spans="1:6" x14ac:dyDescent="0.25">
      <c r="E73">
        <f>E45+E56+E71</f>
        <v>1667187.5</v>
      </c>
    </row>
  </sheetData>
  <autoFilter ref="K1:K3" xr:uid="{00000000-0009-0000-0000-000005000000}"/>
  <mergeCells count="1">
    <mergeCell ref="A2:C2"/>
  </mergeCells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.85546875" customWidth="1"/>
    <col min="4" max="4" width="15.140625" customWidth="1"/>
    <col min="5" max="5" width="11.28515625" customWidth="1"/>
    <col min="6" max="6" width="12.140625" customWidth="1"/>
    <col min="7" max="7" width="10.85546875" customWidth="1"/>
    <col min="8" max="8" width="11.5703125" customWidth="1"/>
    <col min="9" max="9" width="16.140625" customWidth="1"/>
    <col min="10" max="10" width="11.140625" customWidth="1"/>
  </cols>
  <sheetData>
    <row r="1" spans="1:10" ht="26.25" customHeight="1" x14ac:dyDescent="0.25">
      <c r="A1" s="15" t="s">
        <v>0</v>
      </c>
      <c r="C1" t="s">
        <v>981</v>
      </c>
      <c r="D1" s="4" t="s">
        <v>982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984</v>
      </c>
      <c r="J1" s="4" t="s">
        <v>985</v>
      </c>
    </row>
    <row r="2" spans="1:10" x14ac:dyDescent="0.25">
      <c r="A2" s="239" t="s">
        <v>1009</v>
      </c>
      <c r="B2" s="239"/>
      <c r="C2" s="239"/>
      <c r="D2" s="54"/>
    </row>
    <row r="3" spans="1:10" x14ac:dyDescent="0.25">
      <c r="A3" s="122" t="s">
        <v>208</v>
      </c>
      <c r="B3" s="55" t="s">
        <v>986</v>
      </c>
      <c r="C3" s="81">
        <v>10</v>
      </c>
      <c r="D3" s="123">
        <v>69580</v>
      </c>
      <c r="E3" s="6">
        <f t="shared" ref="E3:E9" si="0">D3/C3</f>
        <v>6958</v>
      </c>
      <c r="F3" s="6">
        <f t="shared" ref="F3:F9" si="1">E3*0.97</f>
        <v>6749.26</v>
      </c>
      <c r="G3" s="6">
        <f t="shared" ref="G3:G9" si="2">F3*1.2</f>
        <v>8099.1120000000001</v>
      </c>
      <c r="H3" s="6">
        <f t="shared" ref="H3:H9" si="3">G3*C3</f>
        <v>80991.12</v>
      </c>
      <c r="J3" t="s">
        <v>1010</v>
      </c>
    </row>
    <row r="4" spans="1:10" x14ac:dyDescent="0.25">
      <c r="A4" s="122" t="s">
        <v>209</v>
      </c>
      <c r="B4" s="60" t="s">
        <v>986</v>
      </c>
      <c r="C4" s="62">
        <v>50</v>
      </c>
      <c r="D4" s="57">
        <v>11810</v>
      </c>
      <c r="E4" s="6">
        <f t="shared" si="0"/>
        <v>236.2</v>
      </c>
      <c r="F4" s="6">
        <f t="shared" si="1"/>
        <v>229.11399999999998</v>
      </c>
      <c r="G4" s="6">
        <f t="shared" si="2"/>
        <v>274.93679999999995</v>
      </c>
      <c r="H4" s="6">
        <f t="shared" si="3"/>
        <v>13746.839999999997</v>
      </c>
      <c r="J4" t="s">
        <v>1010</v>
      </c>
    </row>
    <row r="5" spans="1:10" x14ac:dyDescent="0.25">
      <c r="A5" s="122" t="s">
        <v>206</v>
      </c>
      <c r="B5" s="60" t="s">
        <v>986</v>
      </c>
      <c r="C5" s="62">
        <v>30</v>
      </c>
      <c r="D5" s="57">
        <v>625500</v>
      </c>
      <c r="E5" s="6">
        <f t="shared" si="0"/>
        <v>20850</v>
      </c>
      <c r="F5" s="6">
        <f t="shared" si="1"/>
        <v>20224.5</v>
      </c>
      <c r="G5" s="6">
        <f t="shared" si="2"/>
        <v>24269.399999999998</v>
      </c>
      <c r="H5" s="6">
        <f t="shared" si="3"/>
        <v>728081.99999999988</v>
      </c>
      <c r="J5" t="s">
        <v>1010</v>
      </c>
    </row>
    <row r="6" spans="1:10" x14ac:dyDescent="0.25">
      <c r="A6" s="122" t="s">
        <v>1011</v>
      </c>
      <c r="B6" s="60" t="s">
        <v>986</v>
      </c>
      <c r="C6" s="62">
        <v>1</v>
      </c>
      <c r="D6" s="61">
        <v>38933.33</v>
      </c>
      <c r="E6" s="6">
        <f t="shared" si="0"/>
        <v>38933.33</v>
      </c>
      <c r="F6" s="6">
        <f t="shared" si="1"/>
        <v>37765.330099999999</v>
      </c>
      <c r="G6" s="6">
        <f t="shared" si="2"/>
        <v>45318.396119999998</v>
      </c>
      <c r="H6" s="6">
        <f t="shared" si="3"/>
        <v>45318.396119999998</v>
      </c>
      <c r="J6" t="s">
        <v>1012</v>
      </c>
    </row>
    <row r="7" spans="1:10" x14ac:dyDescent="0.25">
      <c r="A7" s="122" t="s">
        <v>1013</v>
      </c>
      <c r="B7" s="60" t="s">
        <v>986</v>
      </c>
      <c r="C7" s="62">
        <v>1</v>
      </c>
      <c r="D7" s="61">
        <v>33525</v>
      </c>
      <c r="E7" s="6">
        <f t="shared" si="0"/>
        <v>33525</v>
      </c>
      <c r="F7" s="6">
        <f t="shared" si="1"/>
        <v>32519.25</v>
      </c>
      <c r="G7" s="6">
        <f t="shared" si="2"/>
        <v>39023.1</v>
      </c>
      <c r="H7" s="6">
        <f t="shared" si="3"/>
        <v>39023.1</v>
      </c>
      <c r="J7" t="s">
        <v>1012</v>
      </c>
    </row>
    <row r="8" spans="1:10" x14ac:dyDescent="0.25">
      <c r="A8" s="124" t="s">
        <v>1014</v>
      </c>
      <c r="B8" s="60" t="s">
        <v>986</v>
      </c>
      <c r="C8" s="62">
        <v>50</v>
      </c>
      <c r="D8" s="61">
        <v>100000</v>
      </c>
      <c r="E8" s="6">
        <f t="shared" si="0"/>
        <v>2000</v>
      </c>
      <c r="F8" s="6">
        <f t="shared" si="1"/>
        <v>1940</v>
      </c>
      <c r="G8" s="6">
        <f t="shared" si="2"/>
        <v>2328</v>
      </c>
      <c r="H8" s="6">
        <f t="shared" si="3"/>
        <v>116400</v>
      </c>
      <c r="J8" t="s">
        <v>1015</v>
      </c>
    </row>
    <row r="9" spans="1:10" ht="48" x14ac:dyDescent="0.25">
      <c r="A9" s="122" t="s">
        <v>1016</v>
      </c>
      <c r="B9" s="60" t="s">
        <v>986</v>
      </c>
      <c r="C9" s="62">
        <v>4</v>
      </c>
      <c r="D9" s="57">
        <v>27600</v>
      </c>
      <c r="E9" s="6">
        <f t="shared" si="0"/>
        <v>6900</v>
      </c>
      <c r="F9" s="6">
        <f t="shared" si="1"/>
        <v>6693</v>
      </c>
      <c r="G9" s="6">
        <f t="shared" si="2"/>
        <v>8031.5999999999995</v>
      </c>
      <c r="H9" s="6">
        <f t="shared" si="3"/>
        <v>32126.399999999998</v>
      </c>
      <c r="J9" t="s">
        <v>1017</v>
      </c>
    </row>
    <row r="10" spans="1:10" x14ac:dyDescent="0.25">
      <c r="A10" s="122" t="s">
        <v>129</v>
      </c>
      <c r="B10" s="60" t="s">
        <v>986</v>
      </c>
      <c r="C10" s="62">
        <v>6</v>
      </c>
      <c r="D10" s="57">
        <v>27270</v>
      </c>
      <c r="E10" s="6">
        <f t="shared" ref="E10:E73" si="4">D10/C10</f>
        <v>4545</v>
      </c>
      <c r="F10" s="6">
        <f t="shared" ref="F10:F73" si="5">E10*0.97</f>
        <v>4408.6499999999996</v>
      </c>
      <c r="G10" s="6">
        <f t="shared" ref="G10:G73" si="6">F10*1.2</f>
        <v>5290.3799999999992</v>
      </c>
      <c r="H10" s="6">
        <f t="shared" ref="H10:H73" si="7">G10*C10</f>
        <v>31742.279999999995</v>
      </c>
      <c r="J10" t="s">
        <v>1017</v>
      </c>
    </row>
    <row r="11" spans="1:10" ht="24" x14ac:dyDescent="0.25">
      <c r="A11" s="125" t="s">
        <v>1018</v>
      </c>
      <c r="B11" s="60" t="s">
        <v>986</v>
      </c>
      <c r="C11" s="62">
        <v>2</v>
      </c>
      <c r="D11" s="61">
        <v>30476</v>
      </c>
      <c r="E11" s="6">
        <f t="shared" si="4"/>
        <v>15238</v>
      </c>
      <c r="F11" s="6">
        <f t="shared" si="5"/>
        <v>14780.859999999999</v>
      </c>
      <c r="G11" s="6">
        <f t="shared" si="6"/>
        <v>17737.031999999999</v>
      </c>
      <c r="H11" s="6">
        <f t="shared" si="7"/>
        <v>35474.063999999998</v>
      </c>
      <c r="J11" t="s">
        <v>1012</v>
      </c>
    </row>
    <row r="12" spans="1:10" ht="24" x14ac:dyDescent="0.25">
      <c r="A12" s="125" t="s">
        <v>1019</v>
      </c>
      <c r="B12" s="60" t="s">
        <v>986</v>
      </c>
      <c r="C12" s="62">
        <v>2</v>
      </c>
      <c r="D12" s="61">
        <v>34995</v>
      </c>
      <c r="E12" s="6">
        <f t="shared" si="4"/>
        <v>17497.5</v>
      </c>
      <c r="F12" s="6">
        <f t="shared" si="5"/>
        <v>16972.575000000001</v>
      </c>
      <c r="G12" s="6">
        <f t="shared" si="6"/>
        <v>20367.09</v>
      </c>
      <c r="H12" s="6">
        <f t="shared" si="7"/>
        <v>40734.18</v>
      </c>
      <c r="J12" t="s">
        <v>1012</v>
      </c>
    </row>
    <row r="13" spans="1:10" ht="24" x14ac:dyDescent="0.25">
      <c r="A13" s="122" t="s">
        <v>160</v>
      </c>
      <c r="B13" s="60" t="s">
        <v>986</v>
      </c>
      <c r="C13" s="62">
        <v>1</v>
      </c>
      <c r="D13" s="57">
        <v>72196</v>
      </c>
      <c r="E13" s="6">
        <f t="shared" si="4"/>
        <v>72196</v>
      </c>
      <c r="F13" s="6">
        <f t="shared" si="5"/>
        <v>70030.12</v>
      </c>
      <c r="G13" s="6">
        <f t="shared" si="6"/>
        <v>84036.143999999986</v>
      </c>
      <c r="H13" s="6">
        <f t="shared" si="7"/>
        <v>84036.143999999986</v>
      </c>
      <c r="J13" t="s">
        <v>1017</v>
      </c>
    </row>
    <row r="14" spans="1:10" x14ac:dyDescent="0.25">
      <c r="A14" s="124" t="s">
        <v>1020</v>
      </c>
      <c r="B14" s="60" t="s">
        <v>986</v>
      </c>
      <c r="C14" s="62">
        <v>5</v>
      </c>
      <c r="D14" s="61">
        <v>109300</v>
      </c>
      <c r="E14" s="6">
        <f t="shared" si="4"/>
        <v>21860</v>
      </c>
      <c r="F14" s="6">
        <f t="shared" si="5"/>
        <v>21204.2</v>
      </c>
      <c r="G14" s="6">
        <f t="shared" si="6"/>
        <v>25445.040000000001</v>
      </c>
      <c r="H14" s="6">
        <f t="shared" si="7"/>
        <v>127225.20000000001</v>
      </c>
      <c r="J14" t="s">
        <v>1021</v>
      </c>
    </row>
    <row r="15" spans="1:10" x14ac:dyDescent="0.25">
      <c r="A15" s="122" t="s">
        <v>207</v>
      </c>
      <c r="B15" s="60" t="s">
        <v>986</v>
      </c>
      <c r="C15" s="62">
        <v>5</v>
      </c>
      <c r="D15" s="57">
        <v>41000</v>
      </c>
      <c r="E15" s="6">
        <f t="shared" si="4"/>
        <v>8200</v>
      </c>
      <c r="F15" s="6">
        <f t="shared" si="5"/>
        <v>7954</v>
      </c>
      <c r="G15" s="6">
        <f t="shared" si="6"/>
        <v>9544.7999999999993</v>
      </c>
      <c r="H15" s="6">
        <f t="shared" si="7"/>
        <v>47724</v>
      </c>
      <c r="J15" t="s">
        <v>1010</v>
      </c>
    </row>
    <row r="16" spans="1:10" x14ac:dyDescent="0.25">
      <c r="A16" s="122" t="s">
        <v>88</v>
      </c>
      <c r="B16" s="60" t="s">
        <v>986</v>
      </c>
      <c r="C16" s="62">
        <v>20</v>
      </c>
      <c r="D16" s="57">
        <v>5000</v>
      </c>
      <c r="E16" s="6">
        <f t="shared" si="4"/>
        <v>250</v>
      </c>
      <c r="F16" s="6">
        <f t="shared" si="5"/>
        <v>242.5</v>
      </c>
      <c r="G16" s="6">
        <f t="shared" si="6"/>
        <v>291</v>
      </c>
      <c r="H16" s="6">
        <f t="shared" si="7"/>
        <v>5820</v>
      </c>
      <c r="J16" t="s">
        <v>1022</v>
      </c>
    </row>
    <row r="17" spans="1:10" x14ac:dyDescent="0.25">
      <c r="A17" s="122" t="s">
        <v>20</v>
      </c>
      <c r="B17" s="60" t="s">
        <v>986</v>
      </c>
      <c r="C17" s="62">
        <v>1</v>
      </c>
      <c r="D17" s="57">
        <v>17875</v>
      </c>
      <c r="E17" s="6">
        <f t="shared" si="4"/>
        <v>17875</v>
      </c>
      <c r="F17" s="6">
        <f t="shared" si="5"/>
        <v>17338.75</v>
      </c>
      <c r="G17" s="6">
        <f t="shared" si="6"/>
        <v>20806.5</v>
      </c>
      <c r="H17" s="6">
        <f t="shared" si="7"/>
        <v>20806.5</v>
      </c>
      <c r="J17" t="s">
        <v>1022</v>
      </c>
    </row>
    <row r="18" spans="1:10" x14ac:dyDescent="0.25">
      <c r="A18" s="122" t="s">
        <v>1023</v>
      </c>
      <c r="B18" s="60" t="s">
        <v>986</v>
      </c>
      <c r="C18" s="62">
        <v>12</v>
      </c>
      <c r="D18" s="57">
        <v>42720</v>
      </c>
      <c r="E18" s="6">
        <f t="shared" si="4"/>
        <v>3560</v>
      </c>
      <c r="F18" s="6">
        <f t="shared" si="5"/>
        <v>3453.2</v>
      </c>
      <c r="G18" s="6">
        <f t="shared" si="6"/>
        <v>4143.8399999999992</v>
      </c>
      <c r="H18" s="6">
        <f t="shared" si="7"/>
        <v>49726.079999999987</v>
      </c>
      <c r="J18" t="s">
        <v>1022</v>
      </c>
    </row>
    <row r="19" spans="1:10" x14ac:dyDescent="0.25">
      <c r="A19" s="122" t="s">
        <v>1024</v>
      </c>
      <c r="B19" s="60" t="s">
        <v>986</v>
      </c>
      <c r="C19" s="62">
        <v>6</v>
      </c>
      <c r="D19" s="57">
        <v>63960</v>
      </c>
      <c r="E19" s="6">
        <f t="shared" si="4"/>
        <v>10660</v>
      </c>
      <c r="F19" s="6">
        <f t="shared" si="5"/>
        <v>10340.199999999999</v>
      </c>
      <c r="G19" s="6">
        <f t="shared" si="6"/>
        <v>12408.239999999998</v>
      </c>
      <c r="H19" s="6">
        <f t="shared" si="7"/>
        <v>74449.439999999988</v>
      </c>
      <c r="J19" t="s">
        <v>1017</v>
      </c>
    </row>
    <row r="20" spans="1:10" x14ac:dyDescent="0.25">
      <c r="A20" s="122" t="s">
        <v>100</v>
      </c>
      <c r="B20" s="60" t="s">
        <v>986</v>
      </c>
      <c r="C20" s="62">
        <v>5</v>
      </c>
      <c r="D20" s="57">
        <v>29550</v>
      </c>
      <c r="E20" s="6">
        <f t="shared" si="4"/>
        <v>5910</v>
      </c>
      <c r="F20" s="6">
        <f t="shared" si="5"/>
        <v>5732.7</v>
      </c>
      <c r="G20" s="6">
        <f t="shared" si="6"/>
        <v>6879.24</v>
      </c>
      <c r="H20" s="6">
        <f t="shared" si="7"/>
        <v>34396.199999999997</v>
      </c>
      <c r="J20" t="s">
        <v>1022</v>
      </c>
    </row>
    <row r="21" spans="1:10" x14ac:dyDescent="0.25">
      <c r="A21" s="122" t="s">
        <v>101</v>
      </c>
      <c r="B21" s="60" t="s">
        <v>986</v>
      </c>
      <c r="C21" s="62">
        <v>5</v>
      </c>
      <c r="D21" s="57">
        <v>19775</v>
      </c>
      <c r="E21" s="6">
        <f t="shared" si="4"/>
        <v>3955</v>
      </c>
      <c r="F21" s="6">
        <f t="shared" si="5"/>
        <v>3836.35</v>
      </c>
      <c r="G21" s="6">
        <f t="shared" si="6"/>
        <v>4603.62</v>
      </c>
      <c r="H21" s="6">
        <f t="shared" si="7"/>
        <v>23018.1</v>
      </c>
      <c r="J21" t="s">
        <v>1022</v>
      </c>
    </row>
    <row r="22" spans="1:10" ht="24" x14ac:dyDescent="0.25">
      <c r="A22" s="122" t="s">
        <v>102</v>
      </c>
      <c r="B22" s="60" t="s">
        <v>986</v>
      </c>
      <c r="C22" s="62">
        <v>1</v>
      </c>
      <c r="D22" s="57">
        <v>19080</v>
      </c>
      <c r="E22" s="6">
        <f t="shared" si="4"/>
        <v>19080</v>
      </c>
      <c r="F22" s="6">
        <f t="shared" si="5"/>
        <v>18507.599999999999</v>
      </c>
      <c r="G22" s="6">
        <f t="shared" si="6"/>
        <v>22209.119999999999</v>
      </c>
      <c r="H22" s="6">
        <f t="shared" si="7"/>
        <v>22209.119999999999</v>
      </c>
      <c r="J22" t="s">
        <v>1022</v>
      </c>
    </row>
    <row r="23" spans="1:10" ht="24" x14ac:dyDescent="0.25">
      <c r="A23" s="122" t="s">
        <v>21</v>
      </c>
      <c r="B23" s="60" t="s">
        <v>986</v>
      </c>
      <c r="C23" s="126">
        <v>1200</v>
      </c>
      <c r="D23" s="57">
        <v>4700</v>
      </c>
      <c r="E23" s="6">
        <f t="shared" si="4"/>
        <v>3.9166666666666665</v>
      </c>
      <c r="F23" s="6">
        <f t="shared" si="5"/>
        <v>3.7991666666666664</v>
      </c>
      <c r="G23" s="6">
        <f t="shared" si="6"/>
        <v>4.5589999999999993</v>
      </c>
      <c r="H23" s="6">
        <f t="shared" si="7"/>
        <v>5470.7999999999993</v>
      </c>
      <c r="J23" t="s">
        <v>1025</v>
      </c>
    </row>
    <row r="24" spans="1:10" x14ac:dyDescent="0.25">
      <c r="A24" s="122" t="s">
        <v>76</v>
      </c>
      <c r="B24" s="60" t="s">
        <v>986</v>
      </c>
      <c r="C24" s="62">
        <v>1</v>
      </c>
      <c r="D24" s="57">
        <v>3770</v>
      </c>
      <c r="E24" s="6">
        <f t="shared" si="4"/>
        <v>3770</v>
      </c>
      <c r="F24" s="6">
        <f t="shared" si="5"/>
        <v>3656.9</v>
      </c>
      <c r="G24" s="6">
        <f t="shared" si="6"/>
        <v>4388.28</v>
      </c>
      <c r="H24" s="6">
        <f t="shared" si="7"/>
        <v>4388.28</v>
      </c>
      <c r="J24" t="s">
        <v>1022</v>
      </c>
    </row>
    <row r="25" spans="1:10" ht="24" x14ac:dyDescent="0.25">
      <c r="A25" s="125" t="s">
        <v>1026</v>
      </c>
      <c r="B25" s="60" t="s">
        <v>986</v>
      </c>
      <c r="C25" s="62">
        <v>1</v>
      </c>
      <c r="D25" s="61">
        <v>31931</v>
      </c>
      <c r="E25" s="6">
        <f t="shared" si="4"/>
        <v>31931</v>
      </c>
      <c r="F25" s="6">
        <f t="shared" si="5"/>
        <v>30973.07</v>
      </c>
      <c r="G25" s="6">
        <f t="shared" si="6"/>
        <v>37167.684000000001</v>
      </c>
      <c r="H25" s="6">
        <f t="shared" si="7"/>
        <v>37167.684000000001</v>
      </c>
      <c r="J25" t="s">
        <v>1010</v>
      </c>
    </row>
    <row r="26" spans="1:10" x14ac:dyDescent="0.25">
      <c r="A26" s="124" t="s">
        <v>1027</v>
      </c>
      <c r="B26" s="60" t="s">
        <v>986</v>
      </c>
      <c r="C26" s="62">
        <v>1</v>
      </c>
      <c r="D26" s="61">
        <v>250000</v>
      </c>
      <c r="E26" s="6">
        <f t="shared" si="4"/>
        <v>250000</v>
      </c>
      <c r="F26" s="6">
        <f t="shared" si="5"/>
        <v>242500</v>
      </c>
      <c r="G26" s="6">
        <f t="shared" si="6"/>
        <v>291000</v>
      </c>
      <c r="H26" s="6">
        <f t="shared" si="7"/>
        <v>291000</v>
      </c>
      <c r="J26" t="s">
        <v>1015</v>
      </c>
    </row>
    <row r="27" spans="1:10" x14ac:dyDescent="0.25">
      <c r="A27" s="122" t="s">
        <v>36</v>
      </c>
      <c r="B27" s="60" t="s">
        <v>986</v>
      </c>
      <c r="C27" s="62">
        <v>5</v>
      </c>
      <c r="D27" s="57">
        <v>28150</v>
      </c>
      <c r="E27" s="6">
        <f t="shared" si="4"/>
        <v>5630</v>
      </c>
      <c r="F27" s="6">
        <f t="shared" si="5"/>
        <v>5461.0999999999995</v>
      </c>
      <c r="G27" s="6">
        <f t="shared" si="6"/>
        <v>6553.3199999999988</v>
      </c>
      <c r="H27" s="6">
        <f t="shared" si="7"/>
        <v>32766.599999999995</v>
      </c>
      <c r="J27" t="s">
        <v>1022</v>
      </c>
    </row>
    <row r="28" spans="1:10" x14ac:dyDescent="0.25">
      <c r="A28" s="122" t="s">
        <v>33</v>
      </c>
      <c r="B28" s="60" t="s">
        <v>986</v>
      </c>
      <c r="C28" s="62">
        <v>1</v>
      </c>
      <c r="D28" s="57">
        <v>5375</v>
      </c>
      <c r="E28" s="6">
        <f t="shared" si="4"/>
        <v>5375</v>
      </c>
      <c r="F28" s="6">
        <f t="shared" si="5"/>
        <v>5213.75</v>
      </c>
      <c r="G28" s="6">
        <f t="shared" si="6"/>
        <v>6256.5</v>
      </c>
      <c r="H28" s="6">
        <f t="shared" si="7"/>
        <v>6256.5</v>
      </c>
      <c r="J28" t="s">
        <v>1022</v>
      </c>
    </row>
    <row r="29" spans="1:10" ht="24" x14ac:dyDescent="0.25">
      <c r="A29" s="122" t="s">
        <v>1028</v>
      </c>
      <c r="B29" s="60" t="s">
        <v>986</v>
      </c>
      <c r="C29" s="62">
        <v>2</v>
      </c>
      <c r="D29" s="57">
        <v>291000</v>
      </c>
      <c r="E29" s="6">
        <f t="shared" si="4"/>
        <v>145500</v>
      </c>
      <c r="F29" s="6">
        <f t="shared" si="5"/>
        <v>141135</v>
      </c>
      <c r="G29" s="6">
        <f t="shared" si="6"/>
        <v>169362</v>
      </c>
      <c r="H29" s="6">
        <f t="shared" si="7"/>
        <v>338724</v>
      </c>
      <c r="J29" t="s">
        <v>1029</v>
      </c>
    </row>
    <row r="30" spans="1:10" x14ac:dyDescent="0.25">
      <c r="A30" s="122" t="s">
        <v>107</v>
      </c>
      <c r="B30" s="60" t="s">
        <v>986</v>
      </c>
      <c r="C30" s="62">
        <v>1</v>
      </c>
      <c r="D30" s="57">
        <v>13890</v>
      </c>
      <c r="E30" s="6">
        <f t="shared" si="4"/>
        <v>13890</v>
      </c>
      <c r="F30" s="6">
        <f t="shared" si="5"/>
        <v>13473.3</v>
      </c>
      <c r="G30" s="6">
        <f t="shared" si="6"/>
        <v>16167.96</v>
      </c>
      <c r="H30" s="6">
        <f t="shared" si="7"/>
        <v>16167.96</v>
      </c>
      <c r="J30" t="s">
        <v>1012</v>
      </c>
    </row>
    <row r="31" spans="1:10" x14ac:dyDescent="0.25">
      <c r="A31" s="122" t="s">
        <v>1030</v>
      </c>
      <c r="B31" s="60" t="s">
        <v>986</v>
      </c>
      <c r="C31" s="62">
        <v>1</v>
      </c>
      <c r="D31" s="57">
        <v>48840</v>
      </c>
      <c r="E31" s="6">
        <f t="shared" si="4"/>
        <v>48840</v>
      </c>
      <c r="F31" s="6">
        <f t="shared" si="5"/>
        <v>47374.799999999996</v>
      </c>
      <c r="G31" s="6">
        <f t="shared" si="6"/>
        <v>56849.759999999995</v>
      </c>
      <c r="H31" s="6">
        <f t="shared" si="7"/>
        <v>56849.759999999995</v>
      </c>
      <c r="J31" t="s">
        <v>1012</v>
      </c>
    </row>
    <row r="32" spans="1:10" x14ac:dyDescent="0.25">
      <c r="A32" s="122" t="s">
        <v>78</v>
      </c>
      <c r="B32" s="60" t="s">
        <v>986</v>
      </c>
      <c r="C32" s="62">
        <v>2</v>
      </c>
      <c r="D32" s="57">
        <v>136530</v>
      </c>
      <c r="E32" s="6">
        <f t="shared" si="4"/>
        <v>68265</v>
      </c>
      <c r="F32" s="6">
        <f t="shared" si="5"/>
        <v>66217.05</v>
      </c>
      <c r="G32" s="6">
        <f t="shared" si="6"/>
        <v>79460.460000000006</v>
      </c>
      <c r="H32" s="6">
        <f t="shared" si="7"/>
        <v>158920.92000000001</v>
      </c>
      <c r="J32" t="s">
        <v>1017</v>
      </c>
    </row>
    <row r="33" spans="1:10" ht="24" x14ac:dyDescent="0.25">
      <c r="A33" s="122" t="s">
        <v>136</v>
      </c>
      <c r="B33" s="60" t="s">
        <v>986</v>
      </c>
      <c r="C33" s="62">
        <v>5</v>
      </c>
      <c r="D33" s="57">
        <v>3925</v>
      </c>
      <c r="E33" s="6">
        <f t="shared" si="4"/>
        <v>785</v>
      </c>
      <c r="F33" s="6">
        <f t="shared" si="5"/>
        <v>761.44999999999993</v>
      </c>
      <c r="G33" s="6">
        <f t="shared" si="6"/>
        <v>913.7399999999999</v>
      </c>
      <c r="H33" s="6">
        <f t="shared" si="7"/>
        <v>4568.7</v>
      </c>
      <c r="J33" t="s">
        <v>1017</v>
      </c>
    </row>
    <row r="34" spans="1:10" x14ac:dyDescent="0.25">
      <c r="A34" s="122" t="s">
        <v>10</v>
      </c>
      <c r="B34" s="60" t="s">
        <v>986</v>
      </c>
      <c r="C34" s="62">
        <v>2</v>
      </c>
      <c r="D34" s="57">
        <v>105960</v>
      </c>
      <c r="E34" s="6">
        <f t="shared" si="4"/>
        <v>52980</v>
      </c>
      <c r="F34" s="6">
        <f t="shared" si="5"/>
        <v>51390.6</v>
      </c>
      <c r="G34" s="6">
        <f t="shared" si="6"/>
        <v>61668.719999999994</v>
      </c>
      <c r="H34" s="6">
        <f t="shared" si="7"/>
        <v>123337.43999999999</v>
      </c>
      <c r="J34" t="s">
        <v>1017</v>
      </c>
    </row>
    <row r="35" spans="1:10" x14ac:dyDescent="0.25">
      <c r="A35" s="124" t="s">
        <v>1031</v>
      </c>
      <c r="B35" s="60" t="s">
        <v>986</v>
      </c>
      <c r="C35" s="62">
        <v>1</v>
      </c>
      <c r="D35" s="61">
        <v>36830</v>
      </c>
      <c r="E35" s="6">
        <f t="shared" si="4"/>
        <v>36830</v>
      </c>
      <c r="F35" s="6">
        <f t="shared" si="5"/>
        <v>35725.1</v>
      </c>
      <c r="G35" s="6">
        <f t="shared" si="6"/>
        <v>42870.119999999995</v>
      </c>
      <c r="H35" s="6">
        <f t="shared" si="7"/>
        <v>42870.119999999995</v>
      </c>
      <c r="J35" t="s">
        <v>1021</v>
      </c>
    </row>
    <row r="36" spans="1:10" x14ac:dyDescent="0.25">
      <c r="A36" s="122" t="s">
        <v>1032</v>
      </c>
      <c r="B36" s="60" t="s">
        <v>986</v>
      </c>
      <c r="C36" s="62">
        <v>1</v>
      </c>
      <c r="D36" s="57">
        <v>155760</v>
      </c>
      <c r="E36" s="6">
        <f t="shared" si="4"/>
        <v>155760</v>
      </c>
      <c r="F36" s="6">
        <f t="shared" si="5"/>
        <v>151087.19999999998</v>
      </c>
      <c r="G36" s="6">
        <f t="shared" si="6"/>
        <v>181304.63999999998</v>
      </c>
      <c r="H36" s="6">
        <f t="shared" si="7"/>
        <v>181304.63999999998</v>
      </c>
      <c r="J36" t="s">
        <v>1022</v>
      </c>
    </row>
    <row r="37" spans="1:10" x14ac:dyDescent="0.25">
      <c r="A37" s="125" t="s">
        <v>1033</v>
      </c>
      <c r="B37" s="60" t="s">
        <v>986</v>
      </c>
      <c r="C37" s="62">
        <v>5</v>
      </c>
      <c r="D37" s="61">
        <v>22090</v>
      </c>
      <c r="E37" s="6">
        <f t="shared" si="4"/>
        <v>4418</v>
      </c>
      <c r="F37" s="6">
        <f t="shared" si="5"/>
        <v>4285.46</v>
      </c>
      <c r="G37" s="6">
        <f t="shared" si="6"/>
        <v>5142.5519999999997</v>
      </c>
      <c r="H37" s="6">
        <f t="shared" si="7"/>
        <v>25712.76</v>
      </c>
      <c r="J37" t="s">
        <v>1017</v>
      </c>
    </row>
    <row r="38" spans="1:10" x14ac:dyDescent="0.25">
      <c r="A38" s="122" t="s">
        <v>1034</v>
      </c>
      <c r="B38" s="60" t="s">
        <v>986</v>
      </c>
      <c r="C38" s="62">
        <v>10</v>
      </c>
      <c r="D38" s="57">
        <v>28000</v>
      </c>
      <c r="E38" s="6">
        <f t="shared" si="4"/>
        <v>2800</v>
      </c>
      <c r="F38" s="6">
        <f t="shared" si="5"/>
        <v>2716</v>
      </c>
      <c r="G38" s="6">
        <f t="shared" si="6"/>
        <v>3259.2</v>
      </c>
      <c r="H38" s="6">
        <f t="shared" si="7"/>
        <v>32592</v>
      </c>
      <c r="J38" t="s">
        <v>1021</v>
      </c>
    </row>
    <row r="39" spans="1:10" x14ac:dyDescent="0.25">
      <c r="A39" s="122" t="s">
        <v>1035</v>
      </c>
      <c r="B39" s="60" t="s">
        <v>986</v>
      </c>
      <c r="C39" s="62">
        <v>2</v>
      </c>
      <c r="D39" s="57">
        <v>56080</v>
      </c>
      <c r="E39" s="6">
        <f t="shared" si="4"/>
        <v>28040</v>
      </c>
      <c r="F39" s="6">
        <f t="shared" si="5"/>
        <v>27198.799999999999</v>
      </c>
      <c r="G39" s="6">
        <f t="shared" si="6"/>
        <v>32638.559999999998</v>
      </c>
      <c r="H39" s="6">
        <f t="shared" si="7"/>
        <v>65277.119999999995</v>
      </c>
      <c r="J39" t="s">
        <v>1017</v>
      </c>
    </row>
    <row r="40" spans="1:10" ht="24" x14ac:dyDescent="0.25">
      <c r="A40" s="122" t="s">
        <v>113</v>
      </c>
      <c r="B40" s="60" t="s">
        <v>986</v>
      </c>
      <c r="C40" s="62">
        <v>8</v>
      </c>
      <c r="D40" s="57">
        <v>81240</v>
      </c>
      <c r="E40" s="6">
        <f t="shared" si="4"/>
        <v>10155</v>
      </c>
      <c r="F40" s="6">
        <f t="shared" si="5"/>
        <v>9850.35</v>
      </c>
      <c r="G40" s="6">
        <f t="shared" si="6"/>
        <v>11820.42</v>
      </c>
      <c r="H40" s="6">
        <f t="shared" si="7"/>
        <v>94563.36</v>
      </c>
      <c r="J40" t="s">
        <v>1017</v>
      </c>
    </row>
    <row r="41" spans="1:10" ht="24" x14ac:dyDescent="0.25">
      <c r="A41" s="122" t="s">
        <v>1036</v>
      </c>
      <c r="B41" s="60" t="s">
        <v>986</v>
      </c>
      <c r="C41" s="62">
        <v>2</v>
      </c>
      <c r="D41" s="57">
        <v>11940</v>
      </c>
      <c r="E41" s="6">
        <f t="shared" si="4"/>
        <v>5970</v>
      </c>
      <c r="F41" s="6">
        <f t="shared" si="5"/>
        <v>5790.9</v>
      </c>
      <c r="G41" s="6">
        <f t="shared" si="6"/>
        <v>6949.079999999999</v>
      </c>
      <c r="H41" s="6">
        <f t="shared" si="7"/>
        <v>13898.159999999998</v>
      </c>
      <c r="J41" t="s">
        <v>1037</v>
      </c>
    </row>
    <row r="42" spans="1:10" x14ac:dyDescent="0.25">
      <c r="A42" s="122" t="s">
        <v>140</v>
      </c>
      <c r="B42" s="60" t="s">
        <v>986</v>
      </c>
      <c r="C42" s="62">
        <v>80</v>
      </c>
      <c r="D42" s="57">
        <v>1079200</v>
      </c>
      <c r="E42" s="6">
        <f t="shared" si="4"/>
        <v>13490</v>
      </c>
      <c r="F42" s="6">
        <f t="shared" si="5"/>
        <v>13085.3</v>
      </c>
      <c r="G42" s="6">
        <f t="shared" si="6"/>
        <v>15702.359999999999</v>
      </c>
      <c r="H42" s="6">
        <f t="shared" si="7"/>
        <v>1256188.7999999998</v>
      </c>
      <c r="J42" t="s">
        <v>1017</v>
      </c>
    </row>
    <row r="43" spans="1:10" x14ac:dyDescent="0.25">
      <c r="A43" s="122" t="s">
        <v>103</v>
      </c>
      <c r="B43" s="60" t="s">
        <v>986</v>
      </c>
      <c r="C43" s="62">
        <v>60</v>
      </c>
      <c r="D43" s="57">
        <v>611100</v>
      </c>
      <c r="E43" s="6">
        <f t="shared" si="4"/>
        <v>10185</v>
      </c>
      <c r="F43" s="6">
        <f t="shared" si="5"/>
        <v>9879.4499999999989</v>
      </c>
      <c r="G43" s="6">
        <f t="shared" si="6"/>
        <v>11855.339999999998</v>
      </c>
      <c r="H43" s="6">
        <f t="shared" si="7"/>
        <v>711320.39999999991</v>
      </c>
      <c r="J43" t="s">
        <v>1022</v>
      </c>
    </row>
    <row r="44" spans="1:10" x14ac:dyDescent="0.25">
      <c r="A44" s="122" t="s">
        <v>137</v>
      </c>
      <c r="B44" s="60" t="s">
        <v>986</v>
      </c>
      <c r="C44" s="62">
        <v>3</v>
      </c>
      <c r="D44" s="57">
        <v>75030</v>
      </c>
      <c r="E44" s="6">
        <f t="shared" si="4"/>
        <v>25010</v>
      </c>
      <c r="F44" s="6">
        <f t="shared" si="5"/>
        <v>24259.7</v>
      </c>
      <c r="G44" s="6">
        <f t="shared" si="6"/>
        <v>29111.64</v>
      </c>
      <c r="H44" s="6">
        <f t="shared" si="7"/>
        <v>87334.92</v>
      </c>
      <c r="J44" t="s">
        <v>1017</v>
      </c>
    </row>
    <row r="45" spans="1:10" x14ac:dyDescent="0.25">
      <c r="A45" s="122" t="s">
        <v>110</v>
      </c>
      <c r="B45" s="60" t="s">
        <v>986</v>
      </c>
      <c r="C45" s="62">
        <v>2</v>
      </c>
      <c r="D45" s="57">
        <v>14470</v>
      </c>
      <c r="E45" s="6">
        <f t="shared" si="4"/>
        <v>7235</v>
      </c>
      <c r="F45" s="6">
        <f t="shared" si="5"/>
        <v>7017.95</v>
      </c>
      <c r="G45" s="6">
        <f t="shared" si="6"/>
        <v>8421.5399999999991</v>
      </c>
      <c r="H45" s="6">
        <f t="shared" si="7"/>
        <v>16843.079999999998</v>
      </c>
      <c r="J45" t="s">
        <v>1017</v>
      </c>
    </row>
    <row r="46" spans="1:10" ht="24" x14ac:dyDescent="0.25">
      <c r="A46" s="122" t="s">
        <v>1038</v>
      </c>
      <c r="B46" s="60" t="s">
        <v>986</v>
      </c>
      <c r="C46" s="62">
        <v>2</v>
      </c>
      <c r="D46" s="57">
        <v>68450</v>
      </c>
      <c r="E46" s="6">
        <f t="shared" si="4"/>
        <v>34225</v>
      </c>
      <c r="F46" s="6">
        <f t="shared" si="5"/>
        <v>33198.25</v>
      </c>
      <c r="G46" s="6">
        <f t="shared" si="6"/>
        <v>39837.9</v>
      </c>
      <c r="H46" s="6">
        <f t="shared" si="7"/>
        <v>79675.8</v>
      </c>
      <c r="J46" t="s">
        <v>1017</v>
      </c>
    </row>
    <row r="47" spans="1:10" x14ac:dyDescent="0.25">
      <c r="A47" s="122" t="s">
        <v>86</v>
      </c>
      <c r="B47" s="60" t="s">
        <v>986</v>
      </c>
      <c r="C47" s="62">
        <v>4</v>
      </c>
      <c r="D47" s="57">
        <v>44652</v>
      </c>
      <c r="E47" s="6">
        <f t="shared" si="4"/>
        <v>11163</v>
      </c>
      <c r="F47" s="6">
        <f t="shared" si="5"/>
        <v>10828.11</v>
      </c>
      <c r="G47" s="6">
        <f t="shared" si="6"/>
        <v>12993.732</v>
      </c>
      <c r="H47" s="6">
        <f t="shared" si="7"/>
        <v>51974.928</v>
      </c>
      <c r="J47" t="s">
        <v>1017</v>
      </c>
    </row>
    <row r="48" spans="1:10" ht="24" x14ac:dyDescent="0.25">
      <c r="A48" s="122" t="s">
        <v>1039</v>
      </c>
      <c r="B48" s="60" t="s">
        <v>986</v>
      </c>
      <c r="C48" s="62">
        <v>7</v>
      </c>
      <c r="D48" s="57">
        <v>27580</v>
      </c>
      <c r="E48" s="6">
        <f t="shared" si="4"/>
        <v>3940</v>
      </c>
      <c r="F48" s="6">
        <f t="shared" si="5"/>
        <v>3821.7999999999997</v>
      </c>
      <c r="G48" s="6">
        <f t="shared" si="6"/>
        <v>4586.16</v>
      </c>
      <c r="H48" s="6">
        <f t="shared" si="7"/>
        <v>32103.119999999999</v>
      </c>
      <c r="J48" t="s">
        <v>1022</v>
      </c>
    </row>
    <row r="49" spans="1:10" x14ac:dyDescent="0.25">
      <c r="A49" s="122" t="s">
        <v>75</v>
      </c>
      <c r="B49" s="60" t="s">
        <v>986</v>
      </c>
      <c r="C49" s="62">
        <v>1</v>
      </c>
      <c r="D49" s="57">
        <v>32955</v>
      </c>
      <c r="E49" s="6">
        <f t="shared" si="4"/>
        <v>32955</v>
      </c>
      <c r="F49" s="6">
        <f t="shared" si="5"/>
        <v>31966.35</v>
      </c>
      <c r="G49" s="6">
        <f t="shared" si="6"/>
        <v>38359.619999999995</v>
      </c>
      <c r="H49" s="6">
        <f t="shared" si="7"/>
        <v>38359.619999999995</v>
      </c>
      <c r="J49" t="s">
        <v>1022</v>
      </c>
    </row>
    <row r="50" spans="1:10" x14ac:dyDescent="0.25">
      <c r="A50" s="122" t="s">
        <v>116</v>
      </c>
      <c r="B50" s="60" t="s">
        <v>986</v>
      </c>
      <c r="C50" s="62">
        <v>1</v>
      </c>
      <c r="D50" s="57">
        <v>224784</v>
      </c>
      <c r="E50" s="6">
        <f t="shared" si="4"/>
        <v>224784</v>
      </c>
      <c r="F50" s="6">
        <f t="shared" si="5"/>
        <v>218040.47999999998</v>
      </c>
      <c r="G50" s="6">
        <f t="shared" si="6"/>
        <v>261648.57599999997</v>
      </c>
      <c r="H50" s="6">
        <f t="shared" si="7"/>
        <v>261648.57599999997</v>
      </c>
      <c r="J50" t="s">
        <v>1037</v>
      </c>
    </row>
    <row r="51" spans="1:10" ht="24" x14ac:dyDescent="0.25">
      <c r="A51" s="122" t="s">
        <v>26</v>
      </c>
      <c r="B51" s="60" t="s">
        <v>986</v>
      </c>
      <c r="C51" s="62">
        <v>2</v>
      </c>
      <c r="D51" s="57">
        <v>218600</v>
      </c>
      <c r="E51" s="6">
        <f t="shared" si="4"/>
        <v>109300</v>
      </c>
      <c r="F51" s="6">
        <f t="shared" si="5"/>
        <v>106021</v>
      </c>
      <c r="G51" s="6">
        <f t="shared" si="6"/>
        <v>127225.2</v>
      </c>
      <c r="H51" s="6">
        <f t="shared" si="7"/>
        <v>254450.4</v>
      </c>
      <c r="J51" t="s">
        <v>1040</v>
      </c>
    </row>
    <row r="52" spans="1:10" x14ac:dyDescent="0.25">
      <c r="A52" s="122" t="s">
        <v>25</v>
      </c>
      <c r="B52" s="60" t="s">
        <v>986</v>
      </c>
      <c r="C52" s="62">
        <v>1</v>
      </c>
      <c r="D52" s="57">
        <v>119560</v>
      </c>
      <c r="E52" s="6">
        <f t="shared" si="4"/>
        <v>119560</v>
      </c>
      <c r="F52" s="6">
        <f t="shared" si="5"/>
        <v>115973.2</v>
      </c>
      <c r="G52" s="6">
        <f t="shared" si="6"/>
        <v>139167.84</v>
      </c>
      <c r="H52" s="6">
        <f t="shared" si="7"/>
        <v>139167.84</v>
      </c>
      <c r="J52" t="s">
        <v>1040</v>
      </c>
    </row>
    <row r="53" spans="1:10" ht="24" x14ac:dyDescent="0.25">
      <c r="A53" s="122" t="s">
        <v>1041</v>
      </c>
      <c r="B53" s="60" t="s">
        <v>986</v>
      </c>
      <c r="C53" s="62">
        <v>1</v>
      </c>
      <c r="D53" s="57">
        <v>220400</v>
      </c>
      <c r="E53" s="6">
        <f t="shared" si="4"/>
        <v>220400</v>
      </c>
      <c r="F53" s="6">
        <f t="shared" si="5"/>
        <v>213788</v>
      </c>
      <c r="G53" s="6">
        <f t="shared" si="6"/>
        <v>256545.59999999998</v>
      </c>
      <c r="H53" s="6">
        <f t="shared" si="7"/>
        <v>256545.59999999998</v>
      </c>
      <c r="J53" t="s">
        <v>1012</v>
      </c>
    </row>
    <row r="54" spans="1:10" ht="24" x14ac:dyDescent="0.25">
      <c r="A54" s="122" t="s">
        <v>161</v>
      </c>
      <c r="B54" s="60" t="s">
        <v>986</v>
      </c>
      <c r="C54" s="62">
        <v>2</v>
      </c>
      <c r="D54" s="57">
        <v>151406</v>
      </c>
      <c r="E54" s="6">
        <f t="shared" si="4"/>
        <v>75703</v>
      </c>
      <c r="F54" s="6">
        <f t="shared" si="5"/>
        <v>73431.91</v>
      </c>
      <c r="G54" s="6">
        <f t="shared" si="6"/>
        <v>88118.292000000001</v>
      </c>
      <c r="H54" s="6">
        <f t="shared" si="7"/>
        <v>176236.584</v>
      </c>
      <c r="J54" t="s">
        <v>1017</v>
      </c>
    </row>
    <row r="55" spans="1:10" ht="24" x14ac:dyDescent="0.25">
      <c r="A55" s="122" t="s">
        <v>159</v>
      </c>
      <c r="B55" s="60" t="s">
        <v>986</v>
      </c>
      <c r="C55" s="62">
        <v>1</v>
      </c>
      <c r="D55" s="57">
        <v>78224</v>
      </c>
      <c r="E55" s="6">
        <f t="shared" si="4"/>
        <v>78224</v>
      </c>
      <c r="F55" s="6">
        <f t="shared" si="5"/>
        <v>75877.279999999999</v>
      </c>
      <c r="G55" s="6">
        <f t="shared" si="6"/>
        <v>91052.73599999999</v>
      </c>
      <c r="H55" s="6">
        <f t="shared" si="7"/>
        <v>91052.73599999999</v>
      </c>
      <c r="J55" t="s">
        <v>1017</v>
      </c>
    </row>
    <row r="56" spans="1:10" x14ac:dyDescent="0.25">
      <c r="A56" s="124" t="s">
        <v>1042</v>
      </c>
      <c r="B56" s="60" t="s">
        <v>986</v>
      </c>
      <c r="C56" s="62">
        <v>4</v>
      </c>
      <c r="D56" s="61">
        <v>8700</v>
      </c>
      <c r="E56" s="6">
        <f t="shared" si="4"/>
        <v>2175</v>
      </c>
      <c r="F56" s="6">
        <f t="shared" si="5"/>
        <v>2109.75</v>
      </c>
      <c r="G56" s="6">
        <f t="shared" si="6"/>
        <v>2531.6999999999998</v>
      </c>
      <c r="H56" s="6">
        <f t="shared" si="7"/>
        <v>10126.799999999999</v>
      </c>
      <c r="J56" t="s">
        <v>1021</v>
      </c>
    </row>
    <row r="57" spans="1:10" x14ac:dyDescent="0.25">
      <c r="A57" s="122" t="s">
        <v>210</v>
      </c>
      <c r="B57" s="60" t="s">
        <v>986</v>
      </c>
      <c r="C57" s="62">
        <v>2</v>
      </c>
      <c r="D57" s="57">
        <v>264670</v>
      </c>
      <c r="E57" s="6">
        <f t="shared" si="4"/>
        <v>132335</v>
      </c>
      <c r="F57" s="6">
        <f t="shared" si="5"/>
        <v>128364.95</v>
      </c>
      <c r="G57" s="6">
        <f t="shared" si="6"/>
        <v>154037.94</v>
      </c>
      <c r="H57" s="6">
        <f t="shared" si="7"/>
        <v>308075.88</v>
      </c>
      <c r="J57" t="s">
        <v>1010</v>
      </c>
    </row>
    <row r="58" spans="1:10" x14ac:dyDescent="0.25">
      <c r="A58" s="122" t="s">
        <v>108</v>
      </c>
      <c r="B58" s="60" t="s">
        <v>986</v>
      </c>
      <c r="C58" s="62">
        <v>4</v>
      </c>
      <c r="D58" s="57">
        <v>12400</v>
      </c>
      <c r="E58" s="6">
        <f t="shared" si="4"/>
        <v>3100</v>
      </c>
      <c r="F58" s="6">
        <f t="shared" si="5"/>
        <v>3007</v>
      </c>
      <c r="G58" s="6">
        <f t="shared" si="6"/>
        <v>3608.4</v>
      </c>
      <c r="H58" s="6">
        <f t="shared" si="7"/>
        <v>14433.6</v>
      </c>
      <c r="J58" t="s">
        <v>1017</v>
      </c>
    </row>
    <row r="59" spans="1:10" x14ac:dyDescent="0.25">
      <c r="A59" s="122" t="s">
        <v>27</v>
      </c>
      <c r="B59" s="60" t="s">
        <v>986</v>
      </c>
      <c r="C59" s="62">
        <v>13</v>
      </c>
      <c r="D59" s="57">
        <v>138476</v>
      </c>
      <c r="E59" s="6">
        <f t="shared" si="4"/>
        <v>10652</v>
      </c>
      <c r="F59" s="6">
        <f t="shared" si="5"/>
        <v>10332.44</v>
      </c>
      <c r="G59" s="6">
        <f t="shared" si="6"/>
        <v>12398.928</v>
      </c>
      <c r="H59" s="6">
        <f t="shared" si="7"/>
        <v>161186.06400000001</v>
      </c>
      <c r="J59" t="s">
        <v>1017</v>
      </c>
    </row>
    <row r="60" spans="1:10" x14ac:dyDescent="0.25">
      <c r="A60" s="122" t="s">
        <v>955</v>
      </c>
      <c r="B60" s="60" t="s">
        <v>986</v>
      </c>
      <c r="C60" s="62">
        <v>120</v>
      </c>
      <c r="D60" s="61">
        <v>40320</v>
      </c>
      <c r="E60" s="6">
        <f t="shared" si="4"/>
        <v>336</v>
      </c>
      <c r="F60" s="6">
        <f t="shared" si="5"/>
        <v>325.92</v>
      </c>
      <c r="G60" s="6">
        <f t="shared" si="6"/>
        <v>391.10399999999998</v>
      </c>
      <c r="H60" s="6">
        <f t="shared" si="7"/>
        <v>46932.479999999996</v>
      </c>
      <c r="I60" t="s">
        <v>1043</v>
      </c>
      <c r="J60" t="s">
        <v>1040</v>
      </c>
    </row>
    <row r="61" spans="1:10" x14ac:dyDescent="0.25">
      <c r="A61" s="122" t="s">
        <v>1044</v>
      </c>
      <c r="B61" s="60" t="s">
        <v>986</v>
      </c>
      <c r="C61" s="62">
        <v>2</v>
      </c>
      <c r="D61" s="57">
        <v>3230</v>
      </c>
      <c r="E61" s="6">
        <f t="shared" si="4"/>
        <v>1615</v>
      </c>
      <c r="F61" s="6">
        <f t="shared" si="5"/>
        <v>1566.55</v>
      </c>
      <c r="G61" s="6">
        <f t="shared" si="6"/>
        <v>1879.86</v>
      </c>
      <c r="H61" s="6">
        <f t="shared" si="7"/>
        <v>3759.72</v>
      </c>
      <c r="J61" t="s">
        <v>1022</v>
      </c>
    </row>
    <row r="62" spans="1:10" x14ac:dyDescent="0.25">
      <c r="A62" s="122" t="s">
        <v>131</v>
      </c>
      <c r="B62" s="60" t="s">
        <v>986</v>
      </c>
      <c r="C62" s="62">
        <v>5</v>
      </c>
      <c r="D62" s="57">
        <v>17000</v>
      </c>
      <c r="E62" s="6">
        <f t="shared" si="4"/>
        <v>3400</v>
      </c>
      <c r="F62" s="6">
        <f t="shared" si="5"/>
        <v>3298</v>
      </c>
      <c r="G62" s="6">
        <f t="shared" si="6"/>
        <v>3957.6</v>
      </c>
      <c r="H62" s="6">
        <f t="shared" si="7"/>
        <v>19788</v>
      </c>
      <c r="J62" t="s">
        <v>1017</v>
      </c>
    </row>
    <row r="63" spans="1:10" ht="36" x14ac:dyDescent="0.25">
      <c r="A63" s="124" t="s">
        <v>1045</v>
      </c>
      <c r="B63" s="60" t="s">
        <v>986</v>
      </c>
      <c r="C63" s="62">
        <v>5</v>
      </c>
      <c r="D63" s="61">
        <v>17950</v>
      </c>
      <c r="E63" s="6">
        <f t="shared" si="4"/>
        <v>3590</v>
      </c>
      <c r="F63" s="6">
        <f t="shared" si="5"/>
        <v>3482.2999999999997</v>
      </c>
      <c r="G63" s="6">
        <f t="shared" si="6"/>
        <v>4178.7599999999993</v>
      </c>
      <c r="H63" s="6">
        <f t="shared" si="7"/>
        <v>20893.799999999996</v>
      </c>
      <c r="J63" t="s">
        <v>1021</v>
      </c>
    </row>
    <row r="64" spans="1:10" ht="24" x14ac:dyDescent="0.25">
      <c r="A64" s="122" t="s">
        <v>183</v>
      </c>
      <c r="B64" s="60" t="s">
        <v>986</v>
      </c>
      <c r="C64" s="62">
        <v>12</v>
      </c>
      <c r="D64" s="57">
        <v>17856</v>
      </c>
      <c r="E64" s="6">
        <f t="shared" si="4"/>
        <v>1488</v>
      </c>
      <c r="F64" s="6">
        <f t="shared" si="5"/>
        <v>1443.36</v>
      </c>
      <c r="G64" s="6">
        <f t="shared" si="6"/>
        <v>1732.0319999999999</v>
      </c>
      <c r="H64" s="6">
        <f t="shared" si="7"/>
        <v>20784.383999999998</v>
      </c>
      <c r="J64" t="s">
        <v>1010</v>
      </c>
    </row>
    <row r="65" spans="1:10" x14ac:dyDescent="0.25">
      <c r="A65" s="122" t="s">
        <v>167</v>
      </c>
      <c r="B65" s="60" t="s">
        <v>986</v>
      </c>
      <c r="C65" s="62">
        <v>1</v>
      </c>
      <c r="D65" s="57">
        <v>69760</v>
      </c>
      <c r="E65" s="6">
        <f t="shared" si="4"/>
        <v>69760</v>
      </c>
      <c r="F65" s="6">
        <f t="shared" si="5"/>
        <v>67667.199999999997</v>
      </c>
      <c r="G65" s="6">
        <f t="shared" si="6"/>
        <v>81200.639999999999</v>
      </c>
      <c r="H65" s="6">
        <f t="shared" si="7"/>
        <v>81200.639999999999</v>
      </c>
      <c r="J65" t="s">
        <v>1017</v>
      </c>
    </row>
    <row r="66" spans="1:10" x14ac:dyDescent="0.25">
      <c r="A66" s="122" t="s">
        <v>118</v>
      </c>
      <c r="B66" s="60" t="s">
        <v>986</v>
      </c>
      <c r="C66" s="62">
        <v>20</v>
      </c>
      <c r="D66" s="57">
        <v>54800</v>
      </c>
      <c r="E66" s="6">
        <f t="shared" si="4"/>
        <v>2740</v>
      </c>
      <c r="F66" s="6">
        <f t="shared" si="5"/>
        <v>2657.7999999999997</v>
      </c>
      <c r="G66" s="6">
        <f t="shared" si="6"/>
        <v>3189.3599999999997</v>
      </c>
      <c r="H66" s="6">
        <f t="shared" si="7"/>
        <v>63787.199999999997</v>
      </c>
      <c r="J66" t="s">
        <v>1017</v>
      </c>
    </row>
    <row r="67" spans="1:10" x14ac:dyDescent="0.25">
      <c r="A67" s="122" t="s">
        <v>1046</v>
      </c>
      <c r="B67" s="60" t="s">
        <v>986</v>
      </c>
      <c r="C67" s="62">
        <v>6</v>
      </c>
      <c r="D67" s="57">
        <v>5100</v>
      </c>
      <c r="E67" s="6">
        <f t="shared" si="4"/>
        <v>850</v>
      </c>
      <c r="F67" s="6">
        <f t="shared" si="5"/>
        <v>824.5</v>
      </c>
      <c r="G67" s="6">
        <f t="shared" si="6"/>
        <v>989.4</v>
      </c>
      <c r="H67" s="6">
        <f t="shared" si="7"/>
        <v>5936.4</v>
      </c>
      <c r="J67" t="s">
        <v>1017</v>
      </c>
    </row>
    <row r="68" spans="1:10" ht="24" x14ac:dyDescent="0.25">
      <c r="A68" s="124" t="s">
        <v>1047</v>
      </c>
      <c r="B68" s="60" t="s">
        <v>986</v>
      </c>
      <c r="C68" s="62">
        <v>10</v>
      </c>
      <c r="D68" s="61">
        <v>82000</v>
      </c>
      <c r="E68" s="6">
        <f t="shared" si="4"/>
        <v>8200</v>
      </c>
      <c r="F68" s="6">
        <f t="shared" si="5"/>
        <v>7954</v>
      </c>
      <c r="G68" s="6">
        <f t="shared" si="6"/>
        <v>9544.7999999999993</v>
      </c>
      <c r="H68" s="6">
        <f t="shared" si="7"/>
        <v>95448</v>
      </c>
      <c r="J68" t="s">
        <v>1048</v>
      </c>
    </row>
    <row r="69" spans="1:10" x14ac:dyDescent="0.25">
      <c r="A69" s="122" t="s">
        <v>211</v>
      </c>
      <c r="B69" s="60" t="s">
        <v>986</v>
      </c>
      <c r="C69" s="62">
        <v>5</v>
      </c>
      <c r="D69" s="57">
        <v>157200</v>
      </c>
      <c r="E69" s="6">
        <f t="shared" si="4"/>
        <v>31440</v>
      </c>
      <c r="F69" s="6">
        <f t="shared" si="5"/>
        <v>30496.799999999999</v>
      </c>
      <c r="G69" s="6">
        <f t="shared" si="6"/>
        <v>36596.159999999996</v>
      </c>
      <c r="H69" s="6">
        <f t="shared" si="7"/>
        <v>182980.8</v>
      </c>
      <c r="J69" t="s">
        <v>1021</v>
      </c>
    </row>
    <row r="70" spans="1:10" x14ac:dyDescent="0.25">
      <c r="A70" s="124" t="s">
        <v>1049</v>
      </c>
      <c r="B70" s="60" t="s">
        <v>986</v>
      </c>
      <c r="C70" s="62">
        <v>1</v>
      </c>
      <c r="D70" s="61">
        <v>43500</v>
      </c>
      <c r="E70" s="6">
        <f t="shared" si="4"/>
        <v>43500</v>
      </c>
      <c r="F70" s="6">
        <f t="shared" si="5"/>
        <v>42195</v>
      </c>
      <c r="G70" s="6">
        <f t="shared" si="6"/>
        <v>50634</v>
      </c>
      <c r="H70" s="6">
        <f t="shared" si="7"/>
        <v>50634</v>
      </c>
      <c r="J70" t="s">
        <v>1050</v>
      </c>
    </row>
    <row r="71" spans="1:10" x14ac:dyDescent="0.25">
      <c r="A71" s="124" t="s">
        <v>1051</v>
      </c>
      <c r="B71" s="60" t="s">
        <v>986</v>
      </c>
      <c r="C71" s="62">
        <v>3</v>
      </c>
      <c r="D71" s="61">
        <v>179865</v>
      </c>
      <c r="E71" s="6">
        <f t="shared" si="4"/>
        <v>59955</v>
      </c>
      <c r="F71" s="6">
        <f t="shared" si="5"/>
        <v>58156.35</v>
      </c>
      <c r="G71" s="6">
        <f t="shared" si="6"/>
        <v>69787.62</v>
      </c>
      <c r="H71" s="6">
        <f t="shared" si="7"/>
        <v>209362.86</v>
      </c>
      <c r="J71" t="s">
        <v>1021</v>
      </c>
    </row>
    <row r="72" spans="1:10" x14ac:dyDescent="0.25">
      <c r="A72" s="122" t="s">
        <v>74</v>
      </c>
      <c r="B72" s="60" t="s">
        <v>986</v>
      </c>
      <c r="C72" s="62">
        <v>1</v>
      </c>
      <c r="D72" s="57">
        <v>23480</v>
      </c>
      <c r="E72" s="6">
        <f t="shared" si="4"/>
        <v>23480</v>
      </c>
      <c r="F72" s="6">
        <f t="shared" si="5"/>
        <v>22775.599999999999</v>
      </c>
      <c r="G72" s="6">
        <f t="shared" si="6"/>
        <v>27330.719999999998</v>
      </c>
      <c r="H72" s="6">
        <f t="shared" si="7"/>
        <v>27330.719999999998</v>
      </c>
      <c r="J72" t="s">
        <v>1022</v>
      </c>
    </row>
    <row r="73" spans="1:10" x14ac:dyDescent="0.25">
      <c r="A73" s="122" t="s">
        <v>1052</v>
      </c>
      <c r="B73" s="60" t="s">
        <v>986</v>
      </c>
      <c r="C73" s="62">
        <v>2</v>
      </c>
      <c r="D73" s="61">
        <v>25000</v>
      </c>
      <c r="E73" s="6">
        <f t="shared" si="4"/>
        <v>12500</v>
      </c>
      <c r="F73" s="6">
        <f t="shared" si="5"/>
        <v>12125</v>
      </c>
      <c r="G73" s="6">
        <f t="shared" si="6"/>
        <v>14550</v>
      </c>
      <c r="H73" s="6">
        <f t="shared" si="7"/>
        <v>29100</v>
      </c>
      <c r="J73" t="s">
        <v>1017</v>
      </c>
    </row>
    <row r="74" spans="1:10" x14ac:dyDescent="0.25">
      <c r="A74" s="122" t="s">
        <v>1053</v>
      </c>
      <c r="B74" s="60" t="s">
        <v>986</v>
      </c>
      <c r="C74" s="62">
        <v>15</v>
      </c>
      <c r="D74" s="57">
        <v>16395</v>
      </c>
      <c r="E74" s="6">
        <f t="shared" ref="E74:E87" si="8">D74/C74</f>
        <v>1093</v>
      </c>
      <c r="F74" s="6">
        <f t="shared" ref="F74:F87" si="9">E74*0.97</f>
        <v>1060.21</v>
      </c>
      <c r="G74" s="6">
        <f t="shared" ref="G74:G87" si="10">F74*1.2</f>
        <v>1272.252</v>
      </c>
      <c r="H74" s="6">
        <f t="shared" ref="H74:H87" si="11">G74*C74</f>
        <v>19083.78</v>
      </c>
      <c r="J74" t="s">
        <v>1017</v>
      </c>
    </row>
    <row r="75" spans="1:10" x14ac:dyDescent="0.25">
      <c r="A75" s="122" t="s">
        <v>1054</v>
      </c>
      <c r="B75" s="60" t="s">
        <v>986</v>
      </c>
      <c r="C75" s="62">
        <v>20</v>
      </c>
      <c r="D75" s="57">
        <v>21860</v>
      </c>
      <c r="E75" s="6">
        <f t="shared" si="8"/>
        <v>1093</v>
      </c>
      <c r="F75" s="6">
        <f t="shared" si="9"/>
        <v>1060.21</v>
      </c>
      <c r="G75" s="6">
        <f t="shared" si="10"/>
        <v>1272.252</v>
      </c>
      <c r="H75" s="6">
        <f t="shared" si="11"/>
        <v>25445.040000000001</v>
      </c>
      <c r="J75" t="s">
        <v>1017</v>
      </c>
    </row>
    <row r="76" spans="1:10" x14ac:dyDescent="0.25">
      <c r="A76" s="122" t="s">
        <v>1055</v>
      </c>
      <c r="B76" s="60" t="s">
        <v>986</v>
      </c>
      <c r="C76" s="62">
        <v>15</v>
      </c>
      <c r="D76" s="57">
        <v>16395</v>
      </c>
      <c r="E76" s="6">
        <f t="shared" si="8"/>
        <v>1093</v>
      </c>
      <c r="F76" s="6">
        <f t="shared" si="9"/>
        <v>1060.21</v>
      </c>
      <c r="G76" s="6">
        <f t="shared" si="10"/>
        <v>1272.252</v>
      </c>
      <c r="H76" s="6">
        <f t="shared" si="11"/>
        <v>19083.78</v>
      </c>
      <c r="J76" t="s">
        <v>1017</v>
      </c>
    </row>
    <row r="77" spans="1:10" x14ac:dyDescent="0.25">
      <c r="A77" s="122" t="s">
        <v>1056</v>
      </c>
      <c r="B77" s="60" t="s">
        <v>986</v>
      </c>
      <c r="C77" s="62">
        <v>5</v>
      </c>
      <c r="D77" s="57">
        <v>19800</v>
      </c>
      <c r="E77" s="6">
        <f t="shared" si="8"/>
        <v>3960</v>
      </c>
      <c r="F77" s="6">
        <f t="shared" si="9"/>
        <v>3841.2</v>
      </c>
      <c r="G77" s="6">
        <f t="shared" si="10"/>
        <v>4609.4399999999996</v>
      </c>
      <c r="H77" s="6">
        <f t="shared" si="11"/>
        <v>23047.199999999997</v>
      </c>
      <c r="J77" t="s">
        <v>1022</v>
      </c>
    </row>
    <row r="78" spans="1:10" x14ac:dyDescent="0.25">
      <c r="A78" s="122" t="s">
        <v>1057</v>
      </c>
      <c r="B78" s="60" t="s">
        <v>986</v>
      </c>
      <c r="C78" s="62">
        <v>2</v>
      </c>
      <c r="D78" s="57">
        <v>8206</v>
      </c>
      <c r="E78" s="6">
        <f t="shared" si="8"/>
        <v>4103</v>
      </c>
      <c r="F78" s="6">
        <f t="shared" si="9"/>
        <v>3979.91</v>
      </c>
      <c r="G78" s="6">
        <f t="shared" si="10"/>
        <v>4775.8919999999998</v>
      </c>
      <c r="H78" s="6">
        <f t="shared" si="11"/>
        <v>9551.7839999999997</v>
      </c>
      <c r="J78" t="s">
        <v>1017</v>
      </c>
    </row>
    <row r="79" spans="1:10" x14ac:dyDescent="0.25">
      <c r="A79" s="122" t="s">
        <v>91</v>
      </c>
      <c r="B79" s="60" t="s">
        <v>986</v>
      </c>
      <c r="C79" s="62">
        <v>1</v>
      </c>
      <c r="D79" s="57">
        <v>1245</v>
      </c>
      <c r="E79" s="6">
        <f t="shared" si="8"/>
        <v>1245</v>
      </c>
      <c r="F79" s="6">
        <f t="shared" si="9"/>
        <v>1207.6499999999999</v>
      </c>
      <c r="G79" s="6">
        <f t="shared" si="10"/>
        <v>1449.1799999999998</v>
      </c>
      <c r="H79" s="6">
        <f t="shared" si="11"/>
        <v>1449.1799999999998</v>
      </c>
      <c r="J79" t="s">
        <v>1022</v>
      </c>
    </row>
    <row r="80" spans="1:10" ht="24" x14ac:dyDescent="0.25">
      <c r="A80" s="124" t="s">
        <v>1058</v>
      </c>
      <c r="B80" s="60" t="s">
        <v>986</v>
      </c>
      <c r="C80" s="62">
        <v>1</v>
      </c>
      <c r="D80" s="61">
        <v>563595</v>
      </c>
      <c r="E80" s="6">
        <f t="shared" si="8"/>
        <v>563595</v>
      </c>
      <c r="F80" s="6">
        <f t="shared" si="9"/>
        <v>546687.15</v>
      </c>
      <c r="G80" s="6">
        <f t="shared" si="10"/>
        <v>656024.57999999996</v>
      </c>
      <c r="H80" s="6">
        <f t="shared" si="11"/>
        <v>656024.57999999996</v>
      </c>
      <c r="J80" t="s">
        <v>1022</v>
      </c>
    </row>
    <row r="81" spans="1:12" x14ac:dyDescent="0.25">
      <c r="A81" s="122" t="s">
        <v>77</v>
      </c>
      <c r="B81" s="60" t="s">
        <v>986</v>
      </c>
      <c r="C81" s="62">
        <v>1</v>
      </c>
      <c r="D81" s="57">
        <v>3770</v>
      </c>
      <c r="E81" s="6">
        <f t="shared" si="8"/>
        <v>3770</v>
      </c>
      <c r="F81" s="6">
        <f t="shared" si="9"/>
        <v>3656.9</v>
      </c>
      <c r="G81" s="6">
        <f t="shared" si="10"/>
        <v>4388.28</v>
      </c>
      <c r="H81" s="6">
        <f t="shared" si="11"/>
        <v>4388.28</v>
      </c>
      <c r="J81" t="s">
        <v>1022</v>
      </c>
    </row>
    <row r="82" spans="1:12" x14ac:dyDescent="0.25">
      <c r="A82" s="122" t="s">
        <v>77</v>
      </c>
      <c r="B82" s="60" t="s">
        <v>986</v>
      </c>
      <c r="C82" s="62">
        <v>40</v>
      </c>
      <c r="D82" s="61">
        <v>150800</v>
      </c>
      <c r="E82" s="6">
        <f t="shared" si="8"/>
        <v>3770</v>
      </c>
      <c r="F82" s="6">
        <f t="shared" si="9"/>
        <v>3656.9</v>
      </c>
      <c r="G82" s="6">
        <f t="shared" si="10"/>
        <v>4388.28</v>
      </c>
      <c r="H82" s="6">
        <f t="shared" si="11"/>
        <v>175531.19999999998</v>
      </c>
      <c r="J82" t="s">
        <v>1022</v>
      </c>
    </row>
    <row r="83" spans="1:12" x14ac:dyDescent="0.25">
      <c r="A83" s="122" t="s">
        <v>1059</v>
      </c>
      <c r="B83" s="60" t="s">
        <v>986</v>
      </c>
      <c r="C83" s="62">
        <v>10</v>
      </c>
      <c r="D83" s="61">
        <v>1715</v>
      </c>
      <c r="E83" s="6">
        <f t="shared" si="8"/>
        <v>171.5</v>
      </c>
      <c r="F83" s="6">
        <f t="shared" si="9"/>
        <v>166.35499999999999</v>
      </c>
      <c r="G83" s="6">
        <f t="shared" si="10"/>
        <v>199.62599999999998</v>
      </c>
      <c r="H83" s="6">
        <f t="shared" si="11"/>
        <v>1996.2599999999998</v>
      </c>
      <c r="J83" t="s">
        <v>1017</v>
      </c>
    </row>
    <row r="84" spans="1:12" x14ac:dyDescent="0.25">
      <c r="A84" s="122" t="s">
        <v>1060</v>
      </c>
      <c r="B84" s="60" t="s">
        <v>986</v>
      </c>
      <c r="C84" s="62">
        <v>1</v>
      </c>
      <c r="D84" s="61">
        <v>16875</v>
      </c>
      <c r="E84" s="6">
        <f t="shared" si="8"/>
        <v>16875</v>
      </c>
      <c r="F84" s="6">
        <f t="shared" si="9"/>
        <v>16368.75</v>
      </c>
      <c r="G84" s="6">
        <f t="shared" si="10"/>
        <v>19642.5</v>
      </c>
      <c r="H84" s="6">
        <f t="shared" si="11"/>
        <v>19642.5</v>
      </c>
      <c r="J84" t="s">
        <v>1010</v>
      </c>
    </row>
    <row r="85" spans="1:12" x14ac:dyDescent="0.25">
      <c r="A85" s="122" t="s">
        <v>1061</v>
      </c>
      <c r="B85" s="60" t="s">
        <v>986</v>
      </c>
      <c r="C85" s="62">
        <v>2</v>
      </c>
      <c r="D85" s="61">
        <v>9830</v>
      </c>
      <c r="E85" s="6">
        <f t="shared" si="8"/>
        <v>4915</v>
      </c>
      <c r="F85" s="6">
        <f t="shared" si="9"/>
        <v>4767.55</v>
      </c>
      <c r="G85" s="6">
        <f t="shared" si="10"/>
        <v>5721.06</v>
      </c>
      <c r="H85" s="6">
        <f t="shared" si="11"/>
        <v>11442.12</v>
      </c>
      <c r="J85" t="s">
        <v>1010</v>
      </c>
    </row>
    <row r="86" spans="1:12" x14ac:dyDescent="0.25">
      <c r="A86" s="122" t="s">
        <v>1062</v>
      </c>
      <c r="B86" s="60" t="s">
        <v>986</v>
      </c>
      <c r="C86" s="62">
        <v>2</v>
      </c>
      <c r="D86" s="61">
        <v>9725</v>
      </c>
      <c r="E86" s="6">
        <f t="shared" si="8"/>
        <v>4862.5</v>
      </c>
      <c r="F86" s="6">
        <f t="shared" si="9"/>
        <v>4716.625</v>
      </c>
      <c r="G86" s="6">
        <f t="shared" si="10"/>
        <v>5659.95</v>
      </c>
      <c r="H86" s="6">
        <f t="shared" si="11"/>
        <v>11319.9</v>
      </c>
      <c r="J86" t="s">
        <v>1010</v>
      </c>
    </row>
    <row r="87" spans="1:12" ht="24" x14ac:dyDescent="0.25">
      <c r="A87" s="127" t="s">
        <v>138</v>
      </c>
      <c r="B87" s="60" t="s">
        <v>986</v>
      </c>
      <c r="C87" s="128">
        <v>40</v>
      </c>
      <c r="D87" s="57">
        <v>22800</v>
      </c>
      <c r="E87" s="6">
        <f t="shared" si="8"/>
        <v>570</v>
      </c>
      <c r="F87" s="6">
        <f t="shared" si="9"/>
        <v>552.9</v>
      </c>
      <c r="G87" s="6">
        <f t="shared" si="10"/>
        <v>663.4799999999999</v>
      </c>
      <c r="H87" s="6">
        <f t="shared" si="11"/>
        <v>26539.199999999997</v>
      </c>
      <c r="J87" t="s">
        <v>1017</v>
      </c>
      <c r="K87" s="58" t="s">
        <v>1063</v>
      </c>
      <c r="L87" s="63"/>
    </row>
    <row r="88" spans="1:12" x14ac:dyDescent="0.25">
      <c r="G88" s="235" t="s">
        <v>1002</v>
      </c>
      <c r="H88" s="235"/>
    </row>
    <row r="89" spans="1:12" x14ac:dyDescent="0.25">
      <c r="G89" t="s">
        <v>1022</v>
      </c>
      <c r="H89" s="6">
        <f>H16+H17+H18+H20+H21+H22+H24+H27+H28+H36+H43+H48+H49+H61+H72+H77+H79+H80+H81+H82</f>
        <v>2054006.04</v>
      </c>
    </row>
    <row r="90" spans="1:12" x14ac:dyDescent="0.25">
      <c r="G90" t="s">
        <v>1012</v>
      </c>
      <c r="H90" s="6">
        <f>H6+H7+H11+H12+H30+H31+H53</f>
        <v>490113.06011999998</v>
      </c>
    </row>
    <row r="91" spans="1:12" x14ac:dyDescent="0.25">
      <c r="G91" t="s">
        <v>1040</v>
      </c>
      <c r="H91" s="6">
        <f>H51+H52+H60</f>
        <v>440550.72</v>
      </c>
    </row>
    <row r="92" spans="1:12" x14ac:dyDescent="0.25">
      <c r="G92" t="s">
        <v>1017</v>
      </c>
      <c r="H92" s="6">
        <f>H9+H10+H13+H19+H32+H33+H34+H37+H39+H40+H42+H44+H45+H46+H47+H54+H55+H58+H59+H62+H65+H66+H67+H73+H74+H75+H76+H78+H83</f>
        <v>2904633.959999999</v>
      </c>
    </row>
    <row r="93" spans="1:12" x14ac:dyDescent="0.25">
      <c r="G93" t="s">
        <v>1015</v>
      </c>
      <c r="H93" s="6">
        <f>H8+H26</f>
        <v>407400</v>
      </c>
    </row>
    <row r="94" spans="1:12" x14ac:dyDescent="0.25">
      <c r="G94" t="s">
        <v>1048</v>
      </c>
      <c r="H94" s="6">
        <f>H68</f>
        <v>95448</v>
      </c>
    </row>
    <row r="95" spans="1:12" x14ac:dyDescent="0.25">
      <c r="G95" t="s">
        <v>1021</v>
      </c>
      <c r="H95" s="6">
        <f>H14+H35+H38+H56+H63+H69+H71</f>
        <v>626051.57999999996</v>
      </c>
    </row>
    <row r="96" spans="1:12" x14ac:dyDescent="0.25">
      <c r="G96" t="s">
        <v>1029</v>
      </c>
      <c r="H96" s="6">
        <f>H29</f>
        <v>338724</v>
      </c>
    </row>
    <row r="97" spans="1:10" x14ac:dyDescent="0.25">
      <c r="G97" t="s">
        <v>1010</v>
      </c>
      <c r="H97" s="6">
        <f>H3+H4+H5+H15+H25+H57+H64+H84+H85+H86</f>
        <v>1278976.4279999998</v>
      </c>
    </row>
    <row r="98" spans="1:10" x14ac:dyDescent="0.25">
      <c r="G98" t="s">
        <v>1037</v>
      </c>
      <c r="H98" s="6">
        <f>H41+H50</f>
        <v>275546.73599999998</v>
      </c>
    </row>
    <row r="99" spans="1:10" x14ac:dyDescent="0.25">
      <c r="G99" t="s">
        <v>1050</v>
      </c>
      <c r="H99" s="6">
        <f>H70</f>
        <v>50634</v>
      </c>
    </row>
    <row r="100" spans="1:10" x14ac:dyDescent="0.25">
      <c r="G100" t="s">
        <v>980</v>
      </c>
      <c r="H100" s="6">
        <f>SUM(H89:H99)</f>
        <v>8962084.5241199993</v>
      </c>
    </row>
    <row r="101" spans="1:10" x14ac:dyDescent="0.25">
      <c r="A101" s="239" t="s">
        <v>1064</v>
      </c>
      <c r="B101" s="239"/>
      <c r="C101" s="239"/>
    </row>
    <row r="102" spans="1:10" x14ac:dyDescent="0.25">
      <c r="A102" s="129" t="s">
        <v>314</v>
      </c>
      <c r="C102" s="90">
        <v>10</v>
      </c>
      <c r="D102">
        <v>236020</v>
      </c>
      <c r="E102" s="6">
        <f t="shared" ref="E102:E165" si="12">D102/C102</f>
        <v>23602</v>
      </c>
      <c r="F102" s="6">
        <f t="shared" ref="F102:F165" si="13">E102*0.97</f>
        <v>22893.94</v>
      </c>
      <c r="G102" s="6">
        <f t="shared" ref="G102:G165" si="14">F102*1.2</f>
        <v>27472.727999999999</v>
      </c>
      <c r="H102" s="6">
        <f t="shared" ref="H102:H165" si="15">G102*C102</f>
        <v>274727.27999999997</v>
      </c>
      <c r="I102" t="s">
        <v>1065</v>
      </c>
      <c r="J102" s="130">
        <v>27.05</v>
      </c>
    </row>
    <row r="103" spans="1:10" x14ac:dyDescent="0.25">
      <c r="A103" s="129" t="s">
        <v>305</v>
      </c>
      <c r="C103" s="90">
        <v>2</v>
      </c>
      <c r="D103">
        <v>12460</v>
      </c>
      <c r="E103" s="6">
        <f t="shared" si="12"/>
        <v>6230</v>
      </c>
      <c r="F103" s="6">
        <f t="shared" si="13"/>
        <v>6043.0999999999995</v>
      </c>
      <c r="G103" s="6">
        <f t="shared" si="14"/>
        <v>7251.7199999999993</v>
      </c>
      <c r="H103" s="6">
        <f t="shared" si="15"/>
        <v>14503.439999999999</v>
      </c>
      <c r="I103" t="s">
        <v>1066</v>
      </c>
      <c r="J103" s="130">
        <v>27.05</v>
      </c>
    </row>
    <row r="104" spans="1:10" x14ac:dyDescent="0.25">
      <c r="A104" s="129" t="s">
        <v>209</v>
      </c>
      <c r="C104" s="90">
        <v>10</v>
      </c>
      <c r="D104">
        <v>11810</v>
      </c>
      <c r="E104" s="6">
        <f t="shared" si="12"/>
        <v>1181</v>
      </c>
      <c r="F104" s="6">
        <f t="shared" si="13"/>
        <v>1145.57</v>
      </c>
      <c r="G104" s="6">
        <f t="shared" si="14"/>
        <v>1374.684</v>
      </c>
      <c r="H104" s="6">
        <f t="shared" si="15"/>
        <v>13746.84</v>
      </c>
      <c r="I104" t="s">
        <v>1066</v>
      </c>
      <c r="J104" s="131">
        <v>45804</v>
      </c>
    </row>
    <row r="105" spans="1:10" x14ac:dyDescent="0.25">
      <c r="A105" s="129" t="s">
        <v>303</v>
      </c>
      <c r="C105" s="90">
        <v>3</v>
      </c>
      <c r="D105">
        <v>246240</v>
      </c>
      <c r="E105" s="6">
        <f t="shared" si="12"/>
        <v>82080</v>
      </c>
      <c r="F105" s="6">
        <f t="shared" si="13"/>
        <v>79617.599999999991</v>
      </c>
      <c r="G105" s="6">
        <f t="shared" si="14"/>
        <v>95541.119999999981</v>
      </c>
      <c r="H105" s="6">
        <f t="shared" si="15"/>
        <v>286623.35999999993</v>
      </c>
      <c r="I105" t="s">
        <v>1065</v>
      </c>
      <c r="J105" s="130">
        <v>27.05</v>
      </c>
    </row>
    <row r="106" spans="1:10" ht="24" x14ac:dyDescent="0.25">
      <c r="A106" s="129" t="s">
        <v>204</v>
      </c>
      <c r="C106" s="90">
        <v>4</v>
      </c>
      <c r="D106">
        <v>455440</v>
      </c>
      <c r="E106" s="6">
        <f t="shared" si="12"/>
        <v>113860</v>
      </c>
      <c r="F106" s="6">
        <f t="shared" si="13"/>
        <v>110444.2</v>
      </c>
      <c r="G106" s="6">
        <f t="shared" si="14"/>
        <v>132533.03999999998</v>
      </c>
      <c r="H106" s="6">
        <f t="shared" si="15"/>
        <v>530132.15999999992</v>
      </c>
      <c r="I106" t="s">
        <v>1067</v>
      </c>
      <c r="J106" s="130">
        <v>12.05</v>
      </c>
    </row>
    <row r="107" spans="1:10" x14ac:dyDescent="0.25">
      <c r="A107" s="129" t="s">
        <v>276</v>
      </c>
      <c r="C107" s="90">
        <v>10</v>
      </c>
      <c r="D107">
        <v>14550</v>
      </c>
      <c r="E107" s="6">
        <f t="shared" si="12"/>
        <v>1455</v>
      </c>
      <c r="F107" s="6">
        <f t="shared" si="13"/>
        <v>1411.35</v>
      </c>
      <c r="G107" s="6">
        <f t="shared" si="14"/>
        <v>1693.62</v>
      </c>
      <c r="H107" s="6">
        <f t="shared" si="15"/>
        <v>16936.199999999997</v>
      </c>
      <c r="I107" t="s">
        <v>1066</v>
      </c>
      <c r="J107" s="130">
        <v>27.05</v>
      </c>
    </row>
    <row r="108" spans="1:10" x14ac:dyDescent="0.25">
      <c r="A108" s="129" t="s">
        <v>279</v>
      </c>
      <c r="C108" s="90">
        <v>4</v>
      </c>
      <c r="D108">
        <v>19400</v>
      </c>
      <c r="E108" s="6">
        <f t="shared" si="12"/>
        <v>4850</v>
      </c>
      <c r="F108" s="6">
        <f t="shared" si="13"/>
        <v>4704.5</v>
      </c>
      <c r="G108" s="6">
        <f t="shared" si="14"/>
        <v>5645.4</v>
      </c>
      <c r="H108" s="6">
        <f t="shared" si="15"/>
        <v>22581.599999999999</v>
      </c>
      <c r="I108" t="s">
        <v>1068</v>
      </c>
      <c r="J108" s="130">
        <v>19.05</v>
      </c>
    </row>
    <row r="109" spans="1:10" x14ac:dyDescent="0.25">
      <c r="A109" s="129" t="s">
        <v>265</v>
      </c>
      <c r="C109" s="90">
        <v>1</v>
      </c>
      <c r="D109">
        <v>13100</v>
      </c>
      <c r="E109" s="6">
        <f t="shared" si="12"/>
        <v>13100</v>
      </c>
      <c r="F109" s="6">
        <f t="shared" si="13"/>
        <v>12707</v>
      </c>
      <c r="G109" s="6">
        <f t="shared" si="14"/>
        <v>15248.4</v>
      </c>
      <c r="H109" s="6">
        <f t="shared" si="15"/>
        <v>15248.4</v>
      </c>
      <c r="J109" s="130">
        <v>20.05</v>
      </c>
    </row>
    <row r="110" spans="1:10" x14ac:dyDescent="0.25">
      <c r="A110" s="129" t="s">
        <v>65</v>
      </c>
      <c r="C110" s="90">
        <v>20</v>
      </c>
      <c r="D110">
        <v>206600</v>
      </c>
      <c r="E110" s="6">
        <f t="shared" si="12"/>
        <v>10330</v>
      </c>
      <c r="F110" s="6">
        <f t="shared" si="13"/>
        <v>10020.1</v>
      </c>
      <c r="G110" s="6">
        <f t="shared" si="14"/>
        <v>12024.12</v>
      </c>
      <c r="H110" s="6">
        <f t="shared" si="15"/>
        <v>240482.40000000002</v>
      </c>
      <c r="I110" t="s">
        <v>1067</v>
      </c>
      <c r="J110" s="130">
        <v>12.05</v>
      </c>
    </row>
    <row r="111" spans="1:10" x14ac:dyDescent="0.25">
      <c r="A111" s="129" t="s">
        <v>277</v>
      </c>
      <c r="C111" s="90">
        <v>2</v>
      </c>
      <c r="D111">
        <v>88460</v>
      </c>
      <c r="E111" s="6">
        <f t="shared" si="12"/>
        <v>44230</v>
      </c>
      <c r="F111" s="6">
        <f t="shared" si="13"/>
        <v>42903.1</v>
      </c>
      <c r="G111" s="6">
        <f t="shared" si="14"/>
        <v>51483.719999999994</v>
      </c>
      <c r="H111" s="6">
        <f t="shared" si="15"/>
        <v>102967.43999999999</v>
      </c>
      <c r="I111" t="s">
        <v>1069</v>
      </c>
      <c r="J111" s="130">
        <v>16.05</v>
      </c>
    </row>
    <row r="112" spans="1:10" ht="24" x14ac:dyDescent="0.25">
      <c r="A112" s="129" t="s">
        <v>111</v>
      </c>
      <c r="C112" s="90">
        <v>5</v>
      </c>
      <c r="D112">
        <v>103325</v>
      </c>
      <c r="E112" s="6">
        <f t="shared" si="12"/>
        <v>20665</v>
      </c>
      <c r="F112" s="6">
        <f t="shared" si="13"/>
        <v>20045.05</v>
      </c>
      <c r="G112" s="6">
        <f t="shared" si="14"/>
        <v>24054.059999999998</v>
      </c>
      <c r="H112" s="6">
        <f t="shared" si="15"/>
        <v>120270.29999999999</v>
      </c>
      <c r="I112" t="s">
        <v>1069</v>
      </c>
      <c r="J112" s="130">
        <v>16.05</v>
      </c>
    </row>
    <row r="113" spans="1:10" x14ac:dyDescent="0.25">
      <c r="A113" s="129" t="s">
        <v>185</v>
      </c>
      <c r="C113" s="90">
        <v>3</v>
      </c>
      <c r="D113">
        <v>90780</v>
      </c>
      <c r="E113" s="6">
        <f t="shared" si="12"/>
        <v>30260</v>
      </c>
      <c r="F113" s="6">
        <f t="shared" si="13"/>
        <v>29352.2</v>
      </c>
      <c r="G113" s="6">
        <f t="shared" si="14"/>
        <v>35222.639999999999</v>
      </c>
      <c r="H113" s="6">
        <f t="shared" si="15"/>
        <v>105667.92</v>
      </c>
      <c r="I113" t="s">
        <v>1069</v>
      </c>
      <c r="J113" s="130">
        <v>16.05</v>
      </c>
    </row>
    <row r="114" spans="1:10" ht="24" x14ac:dyDescent="0.25">
      <c r="A114" s="129" t="s">
        <v>291</v>
      </c>
      <c r="C114" s="90">
        <v>4</v>
      </c>
      <c r="D114">
        <v>14280</v>
      </c>
      <c r="E114" s="6">
        <f t="shared" si="12"/>
        <v>3570</v>
      </c>
      <c r="F114" s="6">
        <f t="shared" si="13"/>
        <v>3462.9</v>
      </c>
      <c r="G114" s="6">
        <f t="shared" si="14"/>
        <v>4155.4799999999996</v>
      </c>
      <c r="H114" s="6">
        <f t="shared" si="15"/>
        <v>16621.919999999998</v>
      </c>
      <c r="I114" t="s">
        <v>1066</v>
      </c>
      <c r="J114" s="130">
        <v>27.05</v>
      </c>
    </row>
    <row r="115" spans="1:10" ht="24" x14ac:dyDescent="0.25">
      <c r="A115" s="129" t="s">
        <v>1070</v>
      </c>
      <c r="C115" s="90">
        <v>3</v>
      </c>
      <c r="D115">
        <v>279285</v>
      </c>
      <c r="E115" s="6">
        <f t="shared" si="12"/>
        <v>93095</v>
      </c>
      <c r="F115" s="6">
        <f t="shared" si="13"/>
        <v>90302.15</v>
      </c>
      <c r="G115" s="6">
        <f t="shared" si="14"/>
        <v>108362.57999999999</v>
      </c>
      <c r="H115" s="6">
        <f t="shared" si="15"/>
        <v>325087.74</v>
      </c>
      <c r="I115" t="s">
        <v>1065</v>
      </c>
      <c r="J115" s="130">
        <v>27.05</v>
      </c>
    </row>
    <row r="116" spans="1:10" x14ac:dyDescent="0.25">
      <c r="A116" s="129" t="s">
        <v>251</v>
      </c>
      <c r="C116" s="90">
        <v>2</v>
      </c>
      <c r="D116">
        <v>7000</v>
      </c>
      <c r="E116" s="6">
        <f t="shared" si="12"/>
        <v>3500</v>
      </c>
      <c r="F116" s="6">
        <f t="shared" si="13"/>
        <v>3395</v>
      </c>
      <c r="G116" s="6">
        <f t="shared" si="14"/>
        <v>4074</v>
      </c>
      <c r="H116" s="6">
        <f t="shared" si="15"/>
        <v>8148</v>
      </c>
      <c r="I116" t="s">
        <v>1069</v>
      </c>
      <c r="J116" s="130">
        <v>16.05</v>
      </c>
    </row>
    <row r="117" spans="1:10" x14ac:dyDescent="0.25">
      <c r="A117" s="129" t="s">
        <v>184</v>
      </c>
      <c r="C117" s="90">
        <v>1</v>
      </c>
      <c r="D117">
        <v>37540</v>
      </c>
      <c r="E117" s="6">
        <f t="shared" si="12"/>
        <v>37540</v>
      </c>
      <c r="F117" s="6">
        <f t="shared" si="13"/>
        <v>36413.799999999996</v>
      </c>
      <c r="G117" s="6">
        <f t="shared" si="14"/>
        <v>43696.55999999999</v>
      </c>
      <c r="H117" s="6">
        <f t="shared" si="15"/>
        <v>43696.55999999999</v>
      </c>
      <c r="I117" t="s">
        <v>1071</v>
      </c>
      <c r="J117" s="130">
        <v>12.05</v>
      </c>
    </row>
    <row r="118" spans="1:10" x14ac:dyDescent="0.25">
      <c r="A118" s="129" t="s">
        <v>1072</v>
      </c>
      <c r="C118" s="90">
        <v>2</v>
      </c>
      <c r="D118">
        <v>62876</v>
      </c>
      <c r="E118" s="6">
        <f t="shared" si="12"/>
        <v>31438</v>
      </c>
      <c r="F118" s="6">
        <f t="shared" si="13"/>
        <v>30494.86</v>
      </c>
      <c r="G118" s="6">
        <f t="shared" si="14"/>
        <v>36593.832000000002</v>
      </c>
      <c r="H118" s="6">
        <f t="shared" si="15"/>
        <v>73187.664000000004</v>
      </c>
      <c r="I118" t="s">
        <v>1068</v>
      </c>
      <c r="J118" s="130">
        <v>19.05</v>
      </c>
    </row>
    <row r="119" spans="1:10" x14ac:dyDescent="0.25">
      <c r="A119" s="125" t="s">
        <v>1073</v>
      </c>
      <c r="C119" s="90">
        <v>2</v>
      </c>
      <c r="D119">
        <v>34450</v>
      </c>
      <c r="E119" s="6">
        <f t="shared" si="12"/>
        <v>17225</v>
      </c>
      <c r="F119" s="6">
        <f t="shared" si="13"/>
        <v>16708.25</v>
      </c>
      <c r="G119" s="6">
        <f t="shared" si="14"/>
        <v>20049.899999999998</v>
      </c>
      <c r="H119" s="6">
        <f t="shared" si="15"/>
        <v>40099.799999999996</v>
      </c>
      <c r="I119" t="s">
        <v>1071</v>
      </c>
      <c r="J119" s="130">
        <v>12.05</v>
      </c>
    </row>
    <row r="120" spans="1:10" x14ac:dyDescent="0.25">
      <c r="A120" s="129" t="s">
        <v>1074</v>
      </c>
      <c r="C120" s="90">
        <v>1</v>
      </c>
      <c r="D120">
        <v>290650</v>
      </c>
      <c r="E120" s="6">
        <f t="shared" si="12"/>
        <v>290650</v>
      </c>
      <c r="F120" s="6">
        <f t="shared" si="13"/>
        <v>281930.5</v>
      </c>
      <c r="G120" s="6">
        <f t="shared" si="14"/>
        <v>338316.6</v>
      </c>
      <c r="H120" s="6">
        <f t="shared" si="15"/>
        <v>338316.6</v>
      </c>
      <c r="I120" t="s">
        <v>1069</v>
      </c>
      <c r="J120" s="130">
        <v>16.05</v>
      </c>
    </row>
    <row r="121" spans="1:10" ht="24" x14ac:dyDescent="0.25">
      <c r="A121" s="129" t="s">
        <v>1075</v>
      </c>
      <c r="C121" s="90">
        <v>1</v>
      </c>
      <c r="D121">
        <v>161280</v>
      </c>
      <c r="E121" s="6">
        <f t="shared" si="12"/>
        <v>161280</v>
      </c>
      <c r="F121" s="6">
        <f t="shared" si="13"/>
        <v>156441.60000000001</v>
      </c>
      <c r="G121" s="6">
        <f t="shared" si="14"/>
        <v>187729.92000000001</v>
      </c>
      <c r="H121" s="6">
        <f t="shared" si="15"/>
        <v>187729.92000000001</v>
      </c>
      <c r="I121" t="s">
        <v>1076</v>
      </c>
      <c r="J121" s="130">
        <v>27.05</v>
      </c>
    </row>
    <row r="122" spans="1:10" ht="24" x14ac:dyDescent="0.25">
      <c r="A122" s="129" t="s">
        <v>1077</v>
      </c>
      <c r="C122" s="90">
        <v>1</v>
      </c>
      <c r="D122">
        <v>256000</v>
      </c>
      <c r="E122" s="6">
        <f t="shared" si="12"/>
        <v>256000</v>
      </c>
      <c r="F122" s="6">
        <f t="shared" si="13"/>
        <v>248320</v>
      </c>
      <c r="G122" s="6">
        <f t="shared" si="14"/>
        <v>297984</v>
      </c>
      <c r="H122" s="6">
        <f t="shared" si="15"/>
        <v>297984</v>
      </c>
      <c r="I122" t="s">
        <v>1065</v>
      </c>
      <c r="J122" s="130">
        <v>27.05</v>
      </c>
    </row>
    <row r="123" spans="1:10" ht="24" x14ac:dyDescent="0.25">
      <c r="A123" s="129" t="s">
        <v>252</v>
      </c>
      <c r="C123" s="90">
        <v>8</v>
      </c>
      <c r="D123">
        <v>8640</v>
      </c>
      <c r="E123" s="6">
        <f t="shared" si="12"/>
        <v>1080</v>
      </c>
      <c r="F123" s="6">
        <f t="shared" si="13"/>
        <v>1047.5999999999999</v>
      </c>
      <c r="G123" s="6">
        <f t="shared" si="14"/>
        <v>1257.1199999999999</v>
      </c>
      <c r="H123" s="6">
        <f t="shared" si="15"/>
        <v>10056.959999999999</v>
      </c>
      <c r="I123" t="s">
        <v>1066</v>
      </c>
      <c r="J123" s="130">
        <v>27.05</v>
      </c>
    </row>
    <row r="124" spans="1:10" ht="24" x14ac:dyDescent="0.25">
      <c r="A124" s="129" t="s">
        <v>258</v>
      </c>
      <c r="C124" s="90">
        <v>5</v>
      </c>
      <c r="D124">
        <v>8100</v>
      </c>
      <c r="E124" s="6">
        <f t="shared" si="12"/>
        <v>1620</v>
      </c>
      <c r="F124" s="6">
        <f t="shared" si="13"/>
        <v>1571.3999999999999</v>
      </c>
      <c r="G124" s="6">
        <f t="shared" si="14"/>
        <v>1885.6799999999998</v>
      </c>
      <c r="H124" s="6">
        <f t="shared" si="15"/>
        <v>9428.4</v>
      </c>
      <c r="J124" s="132">
        <v>45783</v>
      </c>
    </row>
    <row r="125" spans="1:10" ht="36" x14ac:dyDescent="0.25">
      <c r="A125" s="129" t="s">
        <v>1078</v>
      </c>
      <c r="C125" s="90">
        <v>2</v>
      </c>
      <c r="D125">
        <v>4430</v>
      </c>
      <c r="E125" s="6">
        <f t="shared" si="12"/>
        <v>2215</v>
      </c>
      <c r="F125" s="6">
        <f t="shared" si="13"/>
        <v>2148.5499999999997</v>
      </c>
      <c r="G125" s="6">
        <f t="shared" si="14"/>
        <v>2578.2599999999998</v>
      </c>
      <c r="H125" s="6">
        <f t="shared" si="15"/>
        <v>5156.5199999999995</v>
      </c>
      <c r="J125" s="132">
        <v>45783</v>
      </c>
    </row>
    <row r="126" spans="1:10" ht="24" x14ac:dyDescent="0.25">
      <c r="A126" s="129" t="s">
        <v>253</v>
      </c>
      <c r="C126" s="90">
        <v>2</v>
      </c>
      <c r="D126">
        <v>1300</v>
      </c>
      <c r="E126" s="6">
        <f t="shared" si="12"/>
        <v>650</v>
      </c>
      <c r="F126" s="6">
        <f t="shared" si="13"/>
        <v>630.5</v>
      </c>
      <c r="G126" s="6">
        <f t="shared" si="14"/>
        <v>756.6</v>
      </c>
      <c r="H126" s="6">
        <f t="shared" si="15"/>
        <v>1513.2</v>
      </c>
      <c r="J126" s="132">
        <v>45783</v>
      </c>
    </row>
    <row r="127" spans="1:10" ht="24" x14ac:dyDescent="0.25">
      <c r="A127" s="129" t="s">
        <v>256</v>
      </c>
      <c r="C127" s="90">
        <v>1</v>
      </c>
      <c r="D127">
        <v>675</v>
      </c>
      <c r="E127" s="6">
        <f t="shared" si="12"/>
        <v>675</v>
      </c>
      <c r="F127" s="6">
        <f t="shared" si="13"/>
        <v>654.75</v>
      </c>
      <c r="G127" s="6">
        <f t="shared" si="14"/>
        <v>785.69999999999993</v>
      </c>
      <c r="H127" s="6">
        <f t="shared" si="15"/>
        <v>785.69999999999993</v>
      </c>
      <c r="J127" s="132">
        <v>45783</v>
      </c>
    </row>
    <row r="128" spans="1:10" ht="24" x14ac:dyDescent="0.25">
      <c r="A128" s="129" t="s">
        <v>254</v>
      </c>
      <c r="C128" s="90">
        <v>1</v>
      </c>
      <c r="D128">
        <v>1190</v>
      </c>
      <c r="E128" s="6">
        <f t="shared" si="12"/>
        <v>1190</v>
      </c>
      <c r="F128" s="6">
        <f t="shared" si="13"/>
        <v>1154.3</v>
      </c>
      <c r="G128" s="6">
        <f t="shared" si="14"/>
        <v>1385.1599999999999</v>
      </c>
      <c r="H128" s="6">
        <f t="shared" si="15"/>
        <v>1385.1599999999999</v>
      </c>
      <c r="J128" s="132">
        <v>45783</v>
      </c>
    </row>
    <row r="129" spans="1:10" ht="24" x14ac:dyDescent="0.25">
      <c r="A129" s="129" t="s">
        <v>200</v>
      </c>
      <c r="C129" s="90">
        <v>2</v>
      </c>
      <c r="D129">
        <v>39152</v>
      </c>
      <c r="E129" s="6">
        <f t="shared" si="12"/>
        <v>19576</v>
      </c>
      <c r="F129" s="6">
        <f t="shared" si="13"/>
        <v>18988.72</v>
      </c>
      <c r="G129" s="6">
        <f t="shared" si="14"/>
        <v>22786.464</v>
      </c>
      <c r="H129" s="6">
        <f t="shared" si="15"/>
        <v>45572.928</v>
      </c>
      <c r="I129" t="s">
        <v>1066</v>
      </c>
      <c r="J129" s="130">
        <v>27.05</v>
      </c>
    </row>
    <row r="130" spans="1:10" x14ac:dyDescent="0.25">
      <c r="A130" s="129" t="s">
        <v>196</v>
      </c>
      <c r="C130" s="90">
        <v>1</v>
      </c>
      <c r="D130">
        <v>10806</v>
      </c>
      <c r="E130" s="6">
        <f t="shared" si="12"/>
        <v>10806</v>
      </c>
      <c r="F130" s="6">
        <f t="shared" si="13"/>
        <v>10481.82</v>
      </c>
      <c r="G130" s="6">
        <f t="shared" si="14"/>
        <v>12578.183999999999</v>
      </c>
      <c r="H130" s="6">
        <f t="shared" si="15"/>
        <v>12578.183999999999</v>
      </c>
      <c r="I130" t="s">
        <v>1066</v>
      </c>
      <c r="J130" s="130">
        <v>27.05</v>
      </c>
    </row>
    <row r="131" spans="1:10" ht="24" x14ac:dyDescent="0.25">
      <c r="A131" s="129" t="s">
        <v>1079</v>
      </c>
      <c r="C131" s="90">
        <v>12</v>
      </c>
      <c r="D131">
        <v>135876</v>
      </c>
      <c r="E131" s="6">
        <f t="shared" si="12"/>
        <v>11323</v>
      </c>
      <c r="F131" s="6">
        <f t="shared" si="13"/>
        <v>10983.31</v>
      </c>
      <c r="G131" s="6">
        <f t="shared" si="14"/>
        <v>13179.972</v>
      </c>
      <c r="H131" s="6">
        <f t="shared" si="15"/>
        <v>158159.66399999999</v>
      </c>
      <c r="I131" t="s">
        <v>1068</v>
      </c>
      <c r="J131" s="130">
        <v>19.05</v>
      </c>
    </row>
    <row r="132" spans="1:10" x14ac:dyDescent="0.25">
      <c r="A132" s="129" t="s">
        <v>97</v>
      </c>
      <c r="C132" s="90">
        <v>1</v>
      </c>
      <c r="D132">
        <v>40604</v>
      </c>
      <c r="E132" s="6">
        <f t="shared" si="12"/>
        <v>40604</v>
      </c>
      <c r="F132" s="6">
        <f t="shared" si="13"/>
        <v>39385.879999999997</v>
      </c>
      <c r="G132" s="6">
        <f t="shared" si="14"/>
        <v>47263.055999999997</v>
      </c>
      <c r="H132" s="6">
        <f t="shared" si="15"/>
        <v>47263.055999999997</v>
      </c>
      <c r="J132" s="132">
        <v>45783</v>
      </c>
    </row>
    <row r="133" spans="1:10" ht="24" x14ac:dyDescent="0.25">
      <c r="A133" s="129" t="s">
        <v>255</v>
      </c>
      <c r="C133" s="90">
        <v>10</v>
      </c>
      <c r="D133">
        <v>15100</v>
      </c>
      <c r="E133" s="6">
        <f t="shared" si="12"/>
        <v>1510</v>
      </c>
      <c r="F133" s="6">
        <f t="shared" si="13"/>
        <v>1464.7</v>
      </c>
      <c r="G133" s="6">
        <f t="shared" si="14"/>
        <v>1757.64</v>
      </c>
      <c r="H133" s="6">
        <f t="shared" si="15"/>
        <v>17576.400000000001</v>
      </c>
      <c r="J133" s="132">
        <v>45783</v>
      </c>
    </row>
    <row r="134" spans="1:10" x14ac:dyDescent="0.25">
      <c r="A134" s="129" t="s">
        <v>190</v>
      </c>
      <c r="C134" s="90">
        <v>1</v>
      </c>
      <c r="D134">
        <v>39510</v>
      </c>
      <c r="E134" s="6">
        <f t="shared" si="12"/>
        <v>39510</v>
      </c>
      <c r="F134" s="6">
        <f t="shared" si="13"/>
        <v>38324.699999999997</v>
      </c>
      <c r="G134" s="6">
        <f t="shared" si="14"/>
        <v>45989.639999999992</v>
      </c>
      <c r="H134" s="6">
        <f t="shared" si="15"/>
        <v>45989.639999999992</v>
      </c>
      <c r="I134" t="s">
        <v>1066</v>
      </c>
      <c r="J134" s="130">
        <v>27.05</v>
      </c>
    </row>
    <row r="135" spans="1:10" x14ac:dyDescent="0.25">
      <c r="A135" s="129" t="s">
        <v>1080</v>
      </c>
      <c r="C135" s="90">
        <v>2</v>
      </c>
      <c r="D135">
        <v>54560</v>
      </c>
      <c r="E135" s="6">
        <f t="shared" si="12"/>
        <v>27280</v>
      </c>
      <c r="F135" s="6">
        <f t="shared" si="13"/>
        <v>26461.599999999999</v>
      </c>
      <c r="G135" s="6">
        <f t="shared" si="14"/>
        <v>31753.919999999998</v>
      </c>
      <c r="H135" s="6">
        <f t="shared" si="15"/>
        <v>63507.839999999997</v>
      </c>
      <c r="I135" t="s">
        <v>1068</v>
      </c>
      <c r="J135" s="130">
        <v>19.05</v>
      </c>
    </row>
    <row r="136" spans="1:10" x14ac:dyDescent="0.25">
      <c r="A136" s="129" t="s">
        <v>176</v>
      </c>
      <c r="C136" s="90">
        <v>2</v>
      </c>
      <c r="D136">
        <v>11904</v>
      </c>
      <c r="E136" s="6">
        <f t="shared" si="12"/>
        <v>5952</v>
      </c>
      <c r="F136" s="6">
        <f t="shared" si="13"/>
        <v>5773.44</v>
      </c>
      <c r="G136" s="6">
        <f t="shared" si="14"/>
        <v>6928.1279999999997</v>
      </c>
      <c r="H136" s="6">
        <f t="shared" si="15"/>
        <v>13856.255999999999</v>
      </c>
      <c r="I136" t="s">
        <v>1068</v>
      </c>
      <c r="J136" s="130">
        <v>19.05</v>
      </c>
    </row>
    <row r="137" spans="1:10" ht="24" x14ac:dyDescent="0.25">
      <c r="A137" s="129" t="s">
        <v>1081</v>
      </c>
      <c r="C137" s="90">
        <v>1</v>
      </c>
      <c r="D137">
        <v>6448</v>
      </c>
      <c r="E137" s="6">
        <f t="shared" si="12"/>
        <v>6448</v>
      </c>
      <c r="F137" s="6">
        <f t="shared" si="13"/>
        <v>6254.5599999999995</v>
      </c>
      <c r="G137" s="6">
        <f t="shared" si="14"/>
        <v>7505.4719999999988</v>
      </c>
      <c r="H137" s="6">
        <f t="shared" si="15"/>
        <v>7505.4719999999988</v>
      </c>
      <c r="I137" t="s">
        <v>1068</v>
      </c>
      <c r="J137" s="130">
        <v>19.05</v>
      </c>
    </row>
    <row r="138" spans="1:10" x14ac:dyDescent="0.25">
      <c r="A138" s="129" t="s">
        <v>1082</v>
      </c>
      <c r="C138" s="90">
        <v>1</v>
      </c>
      <c r="D138">
        <v>172448</v>
      </c>
      <c r="E138" s="6">
        <f t="shared" si="12"/>
        <v>172448</v>
      </c>
      <c r="F138" s="6">
        <f t="shared" si="13"/>
        <v>167274.56</v>
      </c>
      <c r="G138" s="6">
        <f t="shared" si="14"/>
        <v>200729.47199999998</v>
      </c>
      <c r="H138" s="6">
        <f t="shared" si="15"/>
        <v>200729.47199999998</v>
      </c>
      <c r="I138" t="s">
        <v>1083</v>
      </c>
      <c r="J138" s="130">
        <v>27.05</v>
      </c>
    </row>
    <row r="139" spans="1:10" ht="24" x14ac:dyDescent="0.25">
      <c r="A139" s="129" t="s">
        <v>1084</v>
      </c>
      <c r="C139" s="90">
        <v>4</v>
      </c>
      <c r="D139">
        <v>89280</v>
      </c>
      <c r="E139" s="6">
        <f t="shared" si="12"/>
        <v>22320</v>
      </c>
      <c r="F139" s="6">
        <f t="shared" si="13"/>
        <v>21650.399999999998</v>
      </c>
      <c r="G139" s="6">
        <f t="shared" si="14"/>
        <v>25980.479999999996</v>
      </c>
      <c r="H139" s="6">
        <f t="shared" si="15"/>
        <v>103921.91999999998</v>
      </c>
      <c r="I139" t="s">
        <v>1068</v>
      </c>
      <c r="J139" s="130">
        <v>19.05</v>
      </c>
    </row>
    <row r="140" spans="1:10" ht="24" x14ac:dyDescent="0.25">
      <c r="A140" s="129" t="s">
        <v>1085</v>
      </c>
      <c r="C140" s="90">
        <v>1</v>
      </c>
      <c r="D140">
        <v>11904</v>
      </c>
      <c r="E140" s="6">
        <f t="shared" si="12"/>
        <v>11904</v>
      </c>
      <c r="F140" s="6">
        <f t="shared" si="13"/>
        <v>11546.88</v>
      </c>
      <c r="G140" s="6">
        <f t="shared" si="14"/>
        <v>13856.255999999999</v>
      </c>
      <c r="H140" s="6">
        <f t="shared" si="15"/>
        <v>13856.255999999999</v>
      </c>
      <c r="I140" t="s">
        <v>1068</v>
      </c>
      <c r="J140" s="130">
        <v>19.05</v>
      </c>
    </row>
    <row r="141" spans="1:10" x14ac:dyDescent="0.25">
      <c r="A141" s="129" t="s">
        <v>308</v>
      </c>
      <c r="C141" s="90">
        <v>2</v>
      </c>
      <c r="D141">
        <v>61850</v>
      </c>
      <c r="E141" s="6">
        <f t="shared" si="12"/>
        <v>30925</v>
      </c>
      <c r="F141" s="6">
        <f t="shared" si="13"/>
        <v>29997.25</v>
      </c>
      <c r="G141" s="6">
        <f t="shared" si="14"/>
        <v>35996.699999999997</v>
      </c>
      <c r="H141" s="6">
        <f t="shared" si="15"/>
        <v>71993.399999999994</v>
      </c>
      <c r="I141" t="s">
        <v>1066</v>
      </c>
      <c r="J141" s="130">
        <v>27.05</v>
      </c>
    </row>
    <row r="142" spans="1:10" ht="24" x14ac:dyDescent="0.25">
      <c r="A142" s="129" t="s">
        <v>1086</v>
      </c>
      <c r="C142" s="90">
        <v>1</v>
      </c>
      <c r="D142">
        <v>230220</v>
      </c>
      <c r="E142" s="6">
        <f t="shared" si="12"/>
        <v>230220</v>
      </c>
      <c r="F142" s="6">
        <f t="shared" si="13"/>
        <v>223313.4</v>
      </c>
      <c r="G142" s="6">
        <f t="shared" si="14"/>
        <v>267976.07999999996</v>
      </c>
      <c r="H142" s="6">
        <f t="shared" si="15"/>
        <v>267976.07999999996</v>
      </c>
      <c r="I142" t="s">
        <v>1069</v>
      </c>
      <c r="J142" s="130">
        <v>16.05</v>
      </c>
    </row>
    <row r="143" spans="1:10" x14ac:dyDescent="0.25">
      <c r="A143" s="129" t="s">
        <v>262</v>
      </c>
      <c r="C143" s="90">
        <v>1</v>
      </c>
      <c r="D143">
        <v>18895</v>
      </c>
      <c r="E143" s="6">
        <f t="shared" si="12"/>
        <v>18895</v>
      </c>
      <c r="F143" s="6">
        <f t="shared" si="13"/>
        <v>18328.149999999998</v>
      </c>
      <c r="G143" s="6">
        <f t="shared" si="14"/>
        <v>21993.779999999995</v>
      </c>
      <c r="H143" s="6">
        <f t="shared" si="15"/>
        <v>21993.779999999995</v>
      </c>
      <c r="I143" t="s">
        <v>1068</v>
      </c>
      <c r="J143" s="130">
        <v>19.05</v>
      </c>
    </row>
    <row r="144" spans="1:10" ht="24" x14ac:dyDescent="0.25">
      <c r="A144" s="129" t="s">
        <v>195</v>
      </c>
      <c r="C144" s="90">
        <v>3</v>
      </c>
      <c r="D144">
        <v>16701</v>
      </c>
      <c r="E144" s="6">
        <f t="shared" si="12"/>
        <v>5567</v>
      </c>
      <c r="F144" s="6">
        <f t="shared" si="13"/>
        <v>5399.99</v>
      </c>
      <c r="G144" s="6">
        <f t="shared" si="14"/>
        <v>6479.9879999999994</v>
      </c>
      <c r="H144" s="6">
        <f t="shared" si="15"/>
        <v>19439.964</v>
      </c>
      <c r="I144" t="s">
        <v>1066</v>
      </c>
      <c r="J144" s="130">
        <v>27.05</v>
      </c>
    </row>
    <row r="145" spans="1:10" x14ac:dyDescent="0.25">
      <c r="A145" s="129" t="s">
        <v>186</v>
      </c>
      <c r="C145" s="90">
        <v>1</v>
      </c>
      <c r="D145">
        <v>56105</v>
      </c>
      <c r="E145" s="6">
        <f t="shared" si="12"/>
        <v>56105</v>
      </c>
      <c r="F145" s="6">
        <f t="shared" si="13"/>
        <v>54421.85</v>
      </c>
      <c r="G145" s="6">
        <f t="shared" si="14"/>
        <v>65306.219999999994</v>
      </c>
      <c r="H145" s="6">
        <f t="shared" si="15"/>
        <v>65306.219999999994</v>
      </c>
      <c r="I145" t="s">
        <v>1071</v>
      </c>
      <c r="J145" s="132">
        <v>45784</v>
      </c>
    </row>
    <row r="146" spans="1:10" x14ac:dyDescent="0.25">
      <c r="A146" s="129" t="s">
        <v>245</v>
      </c>
      <c r="C146" s="90">
        <v>1</v>
      </c>
      <c r="D146">
        <v>129705</v>
      </c>
      <c r="E146" s="6">
        <f t="shared" si="12"/>
        <v>129705</v>
      </c>
      <c r="F146" s="6">
        <f t="shared" si="13"/>
        <v>125813.84999999999</v>
      </c>
      <c r="G146" s="6">
        <f t="shared" si="14"/>
        <v>150976.62</v>
      </c>
      <c r="H146" s="6">
        <f t="shared" si="15"/>
        <v>150976.62</v>
      </c>
      <c r="I146" t="s">
        <v>1087</v>
      </c>
      <c r="J146" s="130">
        <v>16.05</v>
      </c>
    </row>
    <row r="147" spans="1:10" x14ac:dyDescent="0.25">
      <c r="A147" s="129" t="s">
        <v>1088</v>
      </c>
      <c r="C147" s="90">
        <v>2</v>
      </c>
      <c r="D147">
        <v>22016</v>
      </c>
      <c r="E147" s="6">
        <f t="shared" si="12"/>
        <v>11008</v>
      </c>
      <c r="F147" s="6">
        <f t="shared" si="13"/>
        <v>10677.76</v>
      </c>
      <c r="G147" s="6">
        <f t="shared" si="14"/>
        <v>12813.312</v>
      </c>
      <c r="H147" s="6">
        <f t="shared" si="15"/>
        <v>25626.624</v>
      </c>
      <c r="J147" s="132">
        <v>45783</v>
      </c>
    </row>
    <row r="148" spans="1:10" x14ac:dyDescent="0.25">
      <c r="A148" s="129" t="s">
        <v>8</v>
      </c>
      <c r="C148" s="90">
        <v>1</v>
      </c>
      <c r="D148">
        <v>2592840</v>
      </c>
      <c r="E148" s="6">
        <f t="shared" si="12"/>
        <v>2592840</v>
      </c>
      <c r="F148" s="6">
        <f t="shared" si="13"/>
        <v>2515054.7999999998</v>
      </c>
      <c r="G148" s="6">
        <f t="shared" si="14"/>
        <v>3018065.76</v>
      </c>
      <c r="H148" s="6">
        <f t="shared" si="15"/>
        <v>3018065.76</v>
      </c>
      <c r="J148" s="130">
        <v>23.05</v>
      </c>
    </row>
    <row r="149" spans="1:10" ht="24" x14ac:dyDescent="0.25">
      <c r="A149" s="129" t="s">
        <v>1089</v>
      </c>
      <c r="C149" s="90">
        <v>2</v>
      </c>
      <c r="D149">
        <v>94170</v>
      </c>
      <c r="E149" s="6">
        <f t="shared" si="12"/>
        <v>47085</v>
      </c>
      <c r="F149" s="6">
        <f t="shared" si="13"/>
        <v>45672.45</v>
      </c>
      <c r="G149" s="6">
        <f t="shared" si="14"/>
        <v>54806.939999999995</v>
      </c>
      <c r="H149" s="6">
        <f t="shared" si="15"/>
        <v>109613.87999999999</v>
      </c>
      <c r="J149" s="132">
        <v>45783</v>
      </c>
    </row>
    <row r="150" spans="1:10" x14ac:dyDescent="0.25">
      <c r="A150" s="129" t="s">
        <v>242</v>
      </c>
      <c r="C150" s="90">
        <v>50</v>
      </c>
      <c r="D150">
        <v>105250</v>
      </c>
      <c r="E150" s="6">
        <f t="shared" si="12"/>
        <v>2105</v>
      </c>
      <c r="F150" s="6">
        <f t="shared" si="13"/>
        <v>2041.85</v>
      </c>
      <c r="G150" s="6">
        <f t="shared" si="14"/>
        <v>2450.2199999999998</v>
      </c>
      <c r="H150" s="6">
        <f t="shared" si="15"/>
        <v>122510.99999999999</v>
      </c>
      <c r="J150" s="132">
        <v>45783</v>
      </c>
    </row>
    <row r="151" spans="1:10" ht="24" x14ac:dyDescent="0.25">
      <c r="A151" s="129" t="s">
        <v>278</v>
      </c>
      <c r="C151" s="90">
        <v>1</v>
      </c>
      <c r="D151">
        <v>110025</v>
      </c>
      <c r="E151" s="6">
        <f t="shared" si="12"/>
        <v>110025</v>
      </c>
      <c r="F151" s="6">
        <f t="shared" si="13"/>
        <v>106724.25</v>
      </c>
      <c r="G151" s="6">
        <f t="shared" si="14"/>
        <v>128069.09999999999</v>
      </c>
      <c r="H151" s="6">
        <f t="shared" si="15"/>
        <v>128069.09999999999</v>
      </c>
      <c r="I151" t="s">
        <v>1087</v>
      </c>
      <c r="J151" s="130">
        <v>16.05</v>
      </c>
    </row>
    <row r="152" spans="1:10" x14ac:dyDescent="0.25">
      <c r="A152" s="129" t="s">
        <v>292</v>
      </c>
      <c r="C152" s="90">
        <v>8</v>
      </c>
      <c r="D152">
        <v>15280</v>
      </c>
      <c r="E152" s="6">
        <f t="shared" si="12"/>
        <v>1910</v>
      </c>
      <c r="F152" s="6">
        <f t="shared" si="13"/>
        <v>1852.7</v>
      </c>
      <c r="G152" s="6">
        <f t="shared" si="14"/>
        <v>2223.2399999999998</v>
      </c>
      <c r="H152" s="6">
        <f t="shared" si="15"/>
        <v>17785.919999999998</v>
      </c>
      <c r="I152" t="s">
        <v>1066</v>
      </c>
      <c r="J152" s="130">
        <v>27.05</v>
      </c>
    </row>
    <row r="153" spans="1:10" ht="24" x14ac:dyDescent="0.25">
      <c r="A153" s="129" t="s">
        <v>1090</v>
      </c>
      <c r="C153" s="90">
        <v>1</v>
      </c>
      <c r="D153">
        <v>79905</v>
      </c>
      <c r="E153" s="6">
        <f t="shared" si="12"/>
        <v>79905</v>
      </c>
      <c r="F153" s="6">
        <f t="shared" si="13"/>
        <v>77507.849999999991</v>
      </c>
      <c r="G153" s="6">
        <f t="shared" si="14"/>
        <v>93009.419999999984</v>
      </c>
      <c r="H153" s="6">
        <f t="shared" si="15"/>
        <v>93009.419999999984</v>
      </c>
      <c r="I153" t="s">
        <v>1071</v>
      </c>
      <c r="J153" s="132">
        <v>45784</v>
      </c>
    </row>
    <row r="154" spans="1:10" x14ac:dyDescent="0.25">
      <c r="A154" s="129" t="s">
        <v>1091</v>
      </c>
      <c r="C154" s="90">
        <v>1</v>
      </c>
      <c r="D154">
        <v>4716</v>
      </c>
      <c r="E154" s="6">
        <f t="shared" si="12"/>
        <v>4716</v>
      </c>
      <c r="F154" s="6">
        <f t="shared" si="13"/>
        <v>4574.5199999999995</v>
      </c>
      <c r="G154" s="6">
        <f t="shared" si="14"/>
        <v>5489.4239999999991</v>
      </c>
      <c r="H154" s="6">
        <f t="shared" si="15"/>
        <v>5489.4239999999991</v>
      </c>
      <c r="I154" t="s">
        <v>1068</v>
      </c>
      <c r="J154" s="130">
        <v>19.05</v>
      </c>
    </row>
    <row r="155" spans="1:10" ht="24" x14ac:dyDescent="0.25">
      <c r="A155" s="129" t="s">
        <v>1092</v>
      </c>
      <c r="C155" s="90">
        <v>1</v>
      </c>
      <c r="D155">
        <v>5659.8</v>
      </c>
      <c r="E155" s="6">
        <f t="shared" si="12"/>
        <v>5659.8</v>
      </c>
      <c r="F155" s="6">
        <f t="shared" si="13"/>
        <v>5490.0060000000003</v>
      </c>
      <c r="G155" s="6">
        <f t="shared" si="14"/>
        <v>6588.0072</v>
      </c>
      <c r="H155" s="6">
        <f t="shared" si="15"/>
        <v>6588.0072</v>
      </c>
      <c r="I155" t="s">
        <v>1068</v>
      </c>
      <c r="J155" s="130">
        <v>19.05</v>
      </c>
    </row>
    <row r="156" spans="1:10" ht="24" x14ac:dyDescent="0.25">
      <c r="A156" s="129" t="s">
        <v>275</v>
      </c>
      <c r="C156" s="90">
        <v>100</v>
      </c>
      <c r="D156">
        <v>28000</v>
      </c>
      <c r="E156" s="6">
        <f t="shared" si="12"/>
        <v>280</v>
      </c>
      <c r="F156" s="6">
        <f t="shared" si="13"/>
        <v>271.59999999999997</v>
      </c>
      <c r="G156" s="6">
        <f t="shared" si="14"/>
        <v>325.91999999999996</v>
      </c>
      <c r="H156" s="6">
        <f t="shared" si="15"/>
        <v>32591.999999999996</v>
      </c>
      <c r="I156" t="s">
        <v>1066</v>
      </c>
      <c r="J156" s="130">
        <v>27.05</v>
      </c>
    </row>
    <row r="157" spans="1:10" x14ac:dyDescent="0.25">
      <c r="A157" s="129" t="s">
        <v>274</v>
      </c>
      <c r="C157" s="90">
        <v>100</v>
      </c>
      <c r="D157">
        <v>14000</v>
      </c>
      <c r="E157" s="6">
        <f t="shared" si="12"/>
        <v>140</v>
      </c>
      <c r="F157" s="6">
        <f t="shared" si="13"/>
        <v>135.79999999999998</v>
      </c>
      <c r="G157" s="6">
        <f t="shared" si="14"/>
        <v>162.95999999999998</v>
      </c>
      <c r="H157" s="6">
        <f t="shared" si="15"/>
        <v>16295.999999999998</v>
      </c>
      <c r="I157" t="s">
        <v>1066</v>
      </c>
      <c r="J157" s="130">
        <v>27.05</v>
      </c>
    </row>
    <row r="158" spans="1:10" x14ac:dyDescent="0.25">
      <c r="A158" s="129" t="s">
        <v>1093</v>
      </c>
      <c r="C158" s="90">
        <v>2</v>
      </c>
      <c r="D158">
        <v>1826</v>
      </c>
      <c r="E158" s="6">
        <f t="shared" si="12"/>
        <v>913</v>
      </c>
      <c r="F158" s="6">
        <f t="shared" si="13"/>
        <v>885.61</v>
      </c>
      <c r="G158" s="6">
        <f t="shared" si="14"/>
        <v>1062.732</v>
      </c>
      <c r="H158" s="6">
        <f t="shared" si="15"/>
        <v>2125.4639999999999</v>
      </c>
      <c r="J158" s="132">
        <v>45783</v>
      </c>
    </row>
    <row r="159" spans="1:10" x14ac:dyDescent="0.25">
      <c r="A159" s="129" t="s">
        <v>1094</v>
      </c>
      <c r="C159" s="90">
        <v>2</v>
      </c>
      <c r="D159">
        <v>2586</v>
      </c>
      <c r="E159" s="6">
        <f t="shared" si="12"/>
        <v>1293</v>
      </c>
      <c r="F159" s="6">
        <f t="shared" si="13"/>
        <v>1254.21</v>
      </c>
      <c r="G159" s="6">
        <f t="shared" si="14"/>
        <v>1505.0519999999999</v>
      </c>
      <c r="H159" s="6">
        <f t="shared" si="15"/>
        <v>3010.1039999999998</v>
      </c>
      <c r="J159" s="132">
        <v>45783</v>
      </c>
    </row>
    <row r="160" spans="1:10" x14ac:dyDescent="0.25">
      <c r="A160" s="129" t="s">
        <v>1095</v>
      </c>
      <c r="C160" s="90">
        <v>2</v>
      </c>
      <c r="D160">
        <v>4382</v>
      </c>
      <c r="E160" s="6">
        <f t="shared" si="12"/>
        <v>2191</v>
      </c>
      <c r="F160" s="6">
        <f t="shared" si="13"/>
        <v>2125.27</v>
      </c>
      <c r="G160" s="6">
        <f t="shared" si="14"/>
        <v>2550.3240000000001</v>
      </c>
      <c r="H160" s="6">
        <f t="shared" si="15"/>
        <v>5100.6480000000001</v>
      </c>
      <c r="J160" s="132">
        <v>45783</v>
      </c>
    </row>
    <row r="161" spans="1:10" x14ac:dyDescent="0.25">
      <c r="A161" s="129" t="s">
        <v>1096</v>
      </c>
      <c r="C161" s="90">
        <v>2</v>
      </c>
      <c r="D161">
        <v>4746</v>
      </c>
      <c r="E161" s="6">
        <f t="shared" si="12"/>
        <v>2373</v>
      </c>
      <c r="F161" s="6">
        <f t="shared" si="13"/>
        <v>2301.81</v>
      </c>
      <c r="G161" s="6">
        <f t="shared" si="14"/>
        <v>2762.172</v>
      </c>
      <c r="H161" s="6">
        <f t="shared" si="15"/>
        <v>5524.3440000000001</v>
      </c>
      <c r="J161" s="132">
        <v>45783</v>
      </c>
    </row>
    <row r="162" spans="1:10" x14ac:dyDescent="0.25">
      <c r="A162" s="129" t="s">
        <v>1097</v>
      </c>
      <c r="C162" s="90">
        <v>2</v>
      </c>
      <c r="D162">
        <v>1644</v>
      </c>
      <c r="E162" s="6">
        <f t="shared" si="12"/>
        <v>822</v>
      </c>
      <c r="F162" s="6">
        <f t="shared" si="13"/>
        <v>797.34</v>
      </c>
      <c r="G162" s="6">
        <f t="shared" si="14"/>
        <v>956.80799999999999</v>
      </c>
      <c r="H162" s="6">
        <f t="shared" si="15"/>
        <v>1913.616</v>
      </c>
      <c r="J162" s="132">
        <v>45783</v>
      </c>
    </row>
    <row r="163" spans="1:10" x14ac:dyDescent="0.25">
      <c r="A163" s="129" t="s">
        <v>1098</v>
      </c>
      <c r="C163" s="90">
        <v>2</v>
      </c>
      <c r="D163">
        <v>1730</v>
      </c>
      <c r="E163" s="6">
        <f t="shared" si="12"/>
        <v>865</v>
      </c>
      <c r="F163" s="6">
        <f t="shared" si="13"/>
        <v>839.05</v>
      </c>
      <c r="G163" s="6">
        <f t="shared" si="14"/>
        <v>1006.8599999999999</v>
      </c>
      <c r="H163" s="6">
        <f t="shared" si="15"/>
        <v>2013.7199999999998</v>
      </c>
      <c r="J163" s="132">
        <v>45783</v>
      </c>
    </row>
    <row r="164" spans="1:10" x14ac:dyDescent="0.25">
      <c r="A164" s="129" t="s">
        <v>224</v>
      </c>
      <c r="C164" s="90">
        <v>2</v>
      </c>
      <c r="D164">
        <v>4746</v>
      </c>
      <c r="E164" s="6">
        <f t="shared" si="12"/>
        <v>2373</v>
      </c>
      <c r="F164" s="6">
        <f t="shared" si="13"/>
        <v>2301.81</v>
      </c>
      <c r="G164" s="6">
        <f t="shared" si="14"/>
        <v>2762.172</v>
      </c>
      <c r="H164" s="6">
        <f t="shared" si="15"/>
        <v>5524.3440000000001</v>
      </c>
      <c r="J164" s="132">
        <v>45783</v>
      </c>
    </row>
    <row r="165" spans="1:10" x14ac:dyDescent="0.25">
      <c r="A165" s="129" t="s">
        <v>229</v>
      </c>
      <c r="C165" s="90">
        <v>2</v>
      </c>
      <c r="D165">
        <v>2338</v>
      </c>
      <c r="E165" s="6">
        <f t="shared" si="12"/>
        <v>1169</v>
      </c>
      <c r="F165" s="6">
        <f t="shared" si="13"/>
        <v>1133.93</v>
      </c>
      <c r="G165" s="6">
        <f t="shared" si="14"/>
        <v>1360.7160000000001</v>
      </c>
      <c r="H165" s="6">
        <f t="shared" si="15"/>
        <v>2721.4320000000002</v>
      </c>
      <c r="J165" s="132">
        <v>45783</v>
      </c>
    </row>
    <row r="166" spans="1:10" x14ac:dyDescent="0.25">
      <c r="A166" s="129" t="s">
        <v>1099</v>
      </c>
      <c r="C166" s="90">
        <v>2</v>
      </c>
      <c r="D166">
        <v>3068</v>
      </c>
      <c r="E166" s="6">
        <f t="shared" ref="E166:E229" si="16">D166/C166</f>
        <v>1534</v>
      </c>
      <c r="F166" s="6">
        <f t="shared" ref="F166:F229" si="17">E166*0.97</f>
        <v>1487.98</v>
      </c>
      <c r="G166" s="6">
        <f t="shared" ref="G166:G229" si="18">F166*1.2</f>
        <v>1785.576</v>
      </c>
      <c r="H166" s="6">
        <f t="shared" ref="H166:H229" si="19">G166*C166</f>
        <v>3571.152</v>
      </c>
      <c r="J166" s="132">
        <v>45783</v>
      </c>
    </row>
    <row r="167" spans="1:10" x14ac:dyDescent="0.25">
      <c r="A167" s="129" t="s">
        <v>191</v>
      </c>
      <c r="C167" s="90">
        <v>3</v>
      </c>
      <c r="D167">
        <v>18435</v>
      </c>
      <c r="E167" s="6">
        <f t="shared" si="16"/>
        <v>6145</v>
      </c>
      <c r="F167" s="6">
        <f t="shared" si="17"/>
        <v>5960.65</v>
      </c>
      <c r="G167" s="6">
        <f t="shared" si="18"/>
        <v>7152.78</v>
      </c>
      <c r="H167" s="6">
        <f t="shared" si="19"/>
        <v>21458.34</v>
      </c>
      <c r="J167" s="132">
        <v>45783</v>
      </c>
    </row>
    <row r="168" spans="1:10" x14ac:dyDescent="0.25">
      <c r="A168" s="129" t="s">
        <v>192</v>
      </c>
      <c r="C168" s="90">
        <v>4</v>
      </c>
      <c r="D168">
        <v>28160</v>
      </c>
      <c r="E168" s="6">
        <f t="shared" si="16"/>
        <v>7040</v>
      </c>
      <c r="F168" s="6">
        <f t="shared" si="17"/>
        <v>6828.8</v>
      </c>
      <c r="G168" s="6">
        <f t="shared" si="18"/>
        <v>8194.56</v>
      </c>
      <c r="H168" s="6">
        <f t="shared" si="19"/>
        <v>32778.239999999998</v>
      </c>
      <c r="J168" s="132">
        <v>45783</v>
      </c>
    </row>
    <row r="169" spans="1:10" x14ac:dyDescent="0.25">
      <c r="A169" s="129" t="s">
        <v>311</v>
      </c>
      <c r="C169" s="90">
        <v>2</v>
      </c>
      <c r="D169">
        <v>9920</v>
      </c>
      <c r="E169" s="6">
        <f t="shared" si="16"/>
        <v>4960</v>
      </c>
      <c r="F169" s="6">
        <f t="shared" si="17"/>
        <v>4811.2</v>
      </c>
      <c r="G169" s="6">
        <f t="shared" si="18"/>
        <v>5773.44</v>
      </c>
      <c r="H169" s="6">
        <f t="shared" si="19"/>
        <v>11546.88</v>
      </c>
      <c r="I169" t="s">
        <v>1066</v>
      </c>
      <c r="J169" s="130">
        <v>27.05</v>
      </c>
    </row>
    <row r="170" spans="1:10" x14ac:dyDescent="0.25">
      <c r="A170" s="129" t="s">
        <v>188</v>
      </c>
      <c r="C170" s="90">
        <v>1</v>
      </c>
      <c r="D170">
        <v>6490</v>
      </c>
      <c r="E170" s="6">
        <f t="shared" si="16"/>
        <v>6490</v>
      </c>
      <c r="F170" s="6">
        <f t="shared" si="17"/>
        <v>6295.3</v>
      </c>
      <c r="G170" s="6">
        <f t="shared" si="18"/>
        <v>7554.36</v>
      </c>
      <c r="H170" s="6">
        <f t="shared" si="19"/>
        <v>7554.36</v>
      </c>
      <c r="I170" t="s">
        <v>1071</v>
      </c>
      <c r="J170" s="132">
        <v>45784</v>
      </c>
    </row>
    <row r="171" spans="1:10" x14ac:dyDescent="0.25">
      <c r="A171" s="129" t="s">
        <v>187</v>
      </c>
      <c r="C171" s="90">
        <v>1</v>
      </c>
      <c r="D171">
        <v>8630</v>
      </c>
      <c r="E171" s="6">
        <f t="shared" si="16"/>
        <v>8630</v>
      </c>
      <c r="F171" s="6">
        <f t="shared" si="17"/>
        <v>8371.1</v>
      </c>
      <c r="G171" s="6">
        <f t="shared" si="18"/>
        <v>10045.32</v>
      </c>
      <c r="H171" s="6">
        <f t="shared" si="19"/>
        <v>10045.32</v>
      </c>
      <c r="I171" t="s">
        <v>1071</v>
      </c>
      <c r="J171" s="132">
        <v>45784</v>
      </c>
    </row>
    <row r="172" spans="1:10" ht="24" x14ac:dyDescent="0.25">
      <c r="A172" s="129" t="s">
        <v>158</v>
      </c>
      <c r="C172" s="90">
        <v>1</v>
      </c>
      <c r="D172">
        <v>21387</v>
      </c>
      <c r="E172" s="6">
        <f t="shared" si="16"/>
        <v>21387</v>
      </c>
      <c r="F172" s="6">
        <f t="shared" si="17"/>
        <v>20745.39</v>
      </c>
      <c r="G172" s="6">
        <f t="shared" si="18"/>
        <v>24894.467999999997</v>
      </c>
      <c r="H172" s="6">
        <f t="shared" si="19"/>
        <v>24894.467999999997</v>
      </c>
      <c r="I172" t="s">
        <v>1068</v>
      </c>
      <c r="J172" s="131">
        <v>45796</v>
      </c>
    </row>
    <row r="173" spans="1:10" x14ac:dyDescent="0.25">
      <c r="A173" s="129" t="s">
        <v>1100</v>
      </c>
      <c r="C173" s="90">
        <v>2</v>
      </c>
      <c r="D173">
        <v>3286</v>
      </c>
      <c r="E173" s="6">
        <f t="shared" si="16"/>
        <v>1643</v>
      </c>
      <c r="F173" s="6">
        <f t="shared" si="17"/>
        <v>1593.71</v>
      </c>
      <c r="G173" s="6">
        <f t="shared" si="18"/>
        <v>1912.452</v>
      </c>
      <c r="H173" s="6">
        <f t="shared" si="19"/>
        <v>3824.904</v>
      </c>
      <c r="J173" s="132">
        <v>45783</v>
      </c>
    </row>
    <row r="174" spans="1:10" ht="24" x14ac:dyDescent="0.25">
      <c r="A174" s="129" t="s">
        <v>294</v>
      </c>
      <c r="C174" s="90">
        <v>100</v>
      </c>
      <c r="D174">
        <v>12000</v>
      </c>
      <c r="E174" s="6">
        <f t="shared" si="16"/>
        <v>120</v>
      </c>
      <c r="F174" s="6">
        <f t="shared" si="17"/>
        <v>116.39999999999999</v>
      </c>
      <c r="G174" s="6">
        <f t="shared" si="18"/>
        <v>139.67999999999998</v>
      </c>
      <c r="H174" s="6">
        <f t="shared" si="19"/>
        <v>13967.999999999998</v>
      </c>
      <c r="I174" t="s">
        <v>1066</v>
      </c>
      <c r="J174" s="131">
        <v>45804</v>
      </c>
    </row>
    <row r="175" spans="1:10" ht="24" x14ac:dyDescent="0.25">
      <c r="A175" s="129" t="s">
        <v>243</v>
      </c>
      <c r="C175" s="90">
        <v>100</v>
      </c>
      <c r="D175">
        <v>5500</v>
      </c>
      <c r="E175" s="6">
        <f t="shared" si="16"/>
        <v>55</v>
      </c>
      <c r="F175" s="6">
        <f t="shared" si="17"/>
        <v>53.35</v>
      </c>
      <c r="G175" s="6">
        <f t="shared" si="18"/>
        <v>64.02</v>
      </c>
      <c r="H175" s="6">
        <f t="shared" si="19"/>
        <v>6402</v>
      </c>
      <c r="J175" s="132">
        <v>45783</v>
      </c>
    </row>
    <row r="176" spans="1:10" ht="24" x14ac:dyDescent="0.25">
      <c r="A176" s="129" t="s">
        <v>244</v>
      </c>
      <c r="C176" s="90">
        <v>100</v>
      </c>
      <c r="D176">
        <v>8000</v>
      </c>
      <c r="E176" s="6">
        <f t="shared" si="16"/>
        <v>80</v>
      </c>
      <c r="F176" s="6">
        <f t="shared" si="17"/>
        <v>77.599999999999994</v>
      </c>
      <c r="G176" s="6">
        <f t="shared" si="18"/>
        <v>93.11999999999999</v>
      </c>
      <c r="H176" s="6">
        <f t="shared" si="19"/>
        <v>9311.9999999999982</v>
      </c>
      <c r="J176" s="132">
        <v>45783</v>
      </c>
    </row>
    <row r="177" spans="1:10" ht="24" x14ac:dyDescent="0.25">
      <c r="A177" s="129" t="s">
        <v>152</v>
      </c>
      <c r="C177" s="90">
        <v>50</v>
      </c>
      <c r="D177">
        <v>163600</v>
      </c>
      <c r="E177" s="6">
        <f t="shared" si="16"/>
        <v>3272</v>
      </c>
      <c r="F177" s="6">
        <f t="shared" si="17"/>
        <v>3173.8399999999997</v>
      </c>
      <c r="G177" s="6">
        <f t="shared" si="18"/>
        <v>3808.6079999999993</v>
      </c>
      <c r="H177" s="6">
        <f t="shared" si="19"/>
        <v>190430.39999999997</v>
      </c>
      <c r="I177" t="s">
        <v>1101</v>
      </c>
      <c r="J177" s="130">
        <v>19.05</v>
      </c>
    </row>
    <row r="178" spans="1:10" ht="24" x14ac:dyDescent="0.25">
      <c r="A178" s="125" t="s">
        <v>1102</v>
      </c>
      <c r="C178" s="90">
        <v>10</v>
      </c>
      <c r="D178">
        <v>50330</v>
      </c>
      <c r="E178" s="6">
        <f t="shared" si="16"/>
        <v>5033</v>
      </c>
      <c r="F178" s="6">
        <f t="shared" si="17"/>
        <v>4882.01</v>
      </c>
      <c r="G178" s="6">
        <f t="shared" si="18"/>
        <v>5858.4120000000003</v>
      </c>
      <c r="H178" s="6">
        <f t="shared" si="19"/>
        <v>58584.12</v>
      </c>
      <c r="I178" t="s">
        <v>1101</v>
      </c>
      <c r="J178" s="130">
        <v>19.05</v>
      </c>
    </row>
    <row r="179" spans="1:10" x14ac:dyDescent="0.25">
      <c r="A179" s="129" t="s">
        <v>116</v>
      </c>
      <c r="C179" s="90">
        <v>1</v>
      </c>
      <c r="D179">
        <v>196860</v>
      </c>
      <c r="E179" s="6">
        <f t="shared" si="16"/>
        <v>196860</v>
      </c>
      <c r="F179" s="6">
        <f t="shared" si="17"/>
        <v>190954.19999999998</v>
      </c>
      <c r="G179" s="6">
        <f t="shared" si="18"/>
        <v>229145.03999999998</v>
      </c>
      <c r="H179" s="6">
        <f t="shared" si="19"/>
        <v>229145.03999999998</v>
      </c>
      <c r="I179" t="s">
        <v>1083</v>
      </c>
      <c r="J179" s="130">
        <v>27.05</v>
      </c>
    </row>
    <row r="180" spans="1:10" x14ac:dyDescent="0.25">
      <c r="A180" s="129" t="s">
        <v>217</v>
      </c>
      <c r="C180" s="90">
        <v>1</v>
      </c>
      <c r="D180">
        <v>196860</v>
      </c>
      <c r="E180" s="6">
        <f t="shared" si="16"/>
        <v>196860</v>
      </c>
      <c r="F180" s="6">
        <f t="shared" si="17"/>
        <v>190954.19999999998</v>
      </c>
      <c r="G180" s="6">
        <f t="shared" si="18"/>
        <v>229145.03999999998</v>
      </c>
      <c r="H180" s="6">
        <f t="shared" si="19"/>
        <v>229145.03999999998</v>
      </c>
      <c r="I180" t="s">
        <v>1083</v>
      </c>
      <c r="J180" s="130">
        <v>27.05</v>
      </c>
    </row>
    <row r="181" spans="1:10" x14ac:dyDescent="0.25">
      <c r="A181" s="129" t="s">
        <v>1103</v>
      </c>
      <c r="C181" s="90">
        <v>1</v>
      </c>
      <c r="D181">
        <v>210672</v>
      </c>
      <c r="E181" s="6">
        <f t="shared" si="16"/>
        <v>210672</v>
      </c>
      <c r="F181" s="6">
        <f t="shared" si="17"/>
        <v>204351.84</v>
      </c>
      <c r="G181" s="6">
        <f t="shared" si="18"/>
        <v>245222.20799999998</v>
      </c>
      <c r="H181" s="6">
        <f t="shared" si="19"/>
        <v>245222.20799999998</v>
      </c>
      <c r="J181" s="130">
        <v>20.05</v>
      </c>
    </row>
    <row r="182" spans="1:10" x14ac:dyDescent="0.25">
      <c r="A182" s="129" t="s">
        <v>169</v>
      </c>
      <c r="C182" s="90">
        <v>3</v>
      </c>
      <c r="D182">
        <v>389160</v>
      </c>
      <c r="E182" s="6">
        <f t="shared" si="16"/>
        <v>129720</v>
      </c>
      <c r="F182" s="6">
        <f t="shared" si="17"/>
        <v>125828.4</v>
      </c>
      <c r="G182" s="6">
        <f t="shared" si="18"/>
        <v>150994.07999999999</v>
      </c>
      <c r="H182" s="6">
        <f t="shared" si="19"/>
        <v>452982.24</v>
      </c>
      <c r="I182" t="s">
        <v>1083</v>
      </c>
      <c r="J182" s="130">
        <v>27.05</v>
      </c>
    </row>
    <row r="183" spans="1:10" x14ac:dyDescent="0.25">
      <c r="A183" s="129" t="s">
        <v>83</v>
      </c>
      <c r="C183" s="90">
        <v>6</v>
      </c>
      <c r="D183">
        <v>3122460</v>
      </c>
      <c r="E183" s="6">
        <f t="shared" si="16"/>
        <v>520410</v>
      </c>
      <c r="F183" s="6">
        <f t="shared" si="17"/>
        <v>504797.7</v>
      </c>
      <c r="G183" s="6">
        <f t="shared" si="18"/>
        <v>605757.24</v>
      </c>
      <c r="H183" s="6">
        <f t="shared" si="19"/>
        <v>3634543.44</v>
      </c>
      <c r="J183" s="132">
        <v>45784</v>
      </c>
    </row>
    <row r="184" spans="1:10" x14ac:dyDescent="0.25">
      <c r="A184" s="125" t="s">
        <v>1104</v>
      </c>
      <c r="C184" s="90">
        <v>2</v>
      </c>
      <c r="D184">
        <v>80000</v>
      </c>
      <c r="E184" s="6">
        <f t="shared" si="16"/>
        <v>40000</v>
      </c>
      <c r="F184" s="6">
        <f t="shared" si="17"/>
        <v>38800</v>
      </c>
      <c r="G184" s="6">
        <f t="shared" si="18"/>
        <v>46560</v>
      </c>
      <c r="H184" s="6">
        <f t="shared" si="19"/>
        <v>93120</v>
      </c>
      <c r="I184" t="s">
        <v>1087</v>
      </c>
      <c r="J184" s="130">
        <v>16.05</v>
      </c>
    </row>
    <row r="185" spans="1:10" x14ac:dyDescent="0.25">
      <c r="A185" s="125" t="s">
        <v>1105</v>
      </c>
      <c r="C185" s="90">
        <v>2</v>
      </c>
      <c r="D185">
        <v>80000</v>
      </c>
      <c r="E185" s="6">
        <f t="shared" si="16"/>
        <v>40000</v>
      </c>
      <c r="F185" s="6">
        <f t="shared" si="17"/>
        <v>38800</v>
      </c>
      <c r="G185" s="6">
        <f t="shared" si="18"/>
        <v>46560</v>
      </c>
      <c r="H185" s="6">
        <f t="shared" si="19"/>
        <v>93120</v>
      </c>
      <c r="I185" t="s">
        <v>1087</v>
      </c>
      <c r="J185" s="130">
        <v>16.05</v>
      </c>
    </row>
    <row r="186" spans="1:10" ht="24" x14ac:dyDescent="0.25">
      <c r="A186" s="129" t="s">
        <v>1106</v>
      </c>
      <c r="C186" s="90">
        <v>4</v>
      </c>
      <c r="D186">
        <v>40864</v>
      </c>
      <c r="E186" s="6">
        <f t="shared" si="16"/>
        <v>10216</v>
      </c>
      <c r="F186" s="6">
        <f t="shared" si="17"/>
        <v>9909.52</v>
      </c>
      <c r="G186" s="6">
        <f t="shared" si="18"/>
        <v>11891.424000000001</v>
      </c>
      <c r="H186" s="6">
        <f t="shared" si="19"/>
        <v>47565.696000000004</v>
      </c>
      <c r="J186" s="130">
        <v>26.05</v>
      </c>
    </row>
    <row r="187" spans="1:10" ht="24" x14ac:dyDescent="0.25">
      <c r="A187" s="129" t="s">
        <v>295</v>
      </c>
      <c r="C187" s="90">
        <v>20</v>
      </c>
      <c r="D187">
        <v>148300</v>
      </c>
      <c r="E187" s="6">
        <f t="shared" si="16"/>
        <v>7415</v>
      </c>
      <c r="F187" s="6">
        <f t="shared" si="17"/>
        <v>7192.55</v>
      </c>
      <c r="G187" s="6">
        <f t="shared" si="18"/>
        <v>8631.06</v>
      </c>
      <c r="H187" s="6">
        <f t="shared" si="19"/>
        <v>172621.19999999998</v>
      </c>
      <c r="I187" t="s">
        <v>1076</v>
      </c>
      <c r="J187" s="130">
        <v>27.05</v>
      </c>
    </row>
    <row r="188" spans="1:10" ht="24" x14ac:dyDescent="0.25">
      <c r="A188" s="125" t="s">
        <v>1107</v>
      </c>
      <c r="C188" s="90">
        <v>150</v>
      </c>
      <c r="D188">
        <v>5790</v>
      </c>
      <c r="E188" s="6">
        <f t="shared" si="16"/>
        <v>38.6</v>
      </c>
      <c r="F188" s="6">
        <f t="shared" si="17"/>
        <v>37.442</v>
      </c>
      <c r="G188" s="6">
        <f t="shared" si="18"/>
        <v>44.930399999999999</v>
      </c>
      <c r="H188" s="6">
        <f t="shared" si="19"/>
        <v>6739.5599999999995</v>
      </c>
      <c r="I188" t="s">
        <v>1108</v>
      </c>
      <c r="J188" s="130">
        <v>21.05</v>
      </c>
    </row>
    <row r="189" spans="1:10" x14ac:dyDescent="0.25">
      <c r="A189" s="129" t="s">
        <v>955</v>
      </c>
      <c r="C189" s="90">
        <v>132</v>
      </c>
      <c r="D189">
        <v>38280</v>
      </c>
      <c r="E189" s="6">
        <f t="shared" si="16"/>
        <v>290</v>
      </c>
      <c r="F189" s="6">
        <f t="shared" si="17"/>
        <v>281.3</v>
      </c>
      <c r="G189" s="6">
        <f t="shared" si="18"/>
        <v>337.56</v>
      </c>
      <c r="H189" s="6">
        <f t="shared" si="19"/>
        <v>44557.919999999998</v>
      </c>
      <c r="J189" s="132">
        <v>45778</v>
      </c>
    </row>
    <row r="190" spans="1:10" ht="24" x14ac:dyDescent="0.25">
      <c r="A190" s="129" t="s">
        <v>213</v>
      </c>
      <c r="C190" s="90">
        <v>1</v>
      </c>
      <c r="D190">
        <v>11855</v>
      </c>
      <c r="E190" s="6">
        <f t="shared" si="16"/>
        <v>11855</v>
      </c>
      <c r="F190" s="6">
        <f t="shared" si="17"/>
        <v>11499.35</v>
      </c>
      <c r="G190" s="6">
        <f t="shared" si="18"/>
        <v>13799.22</v>
      </c>
      <c r="H190" s="6">
        <f t="shared" si="19"/>
        <v>13799.22</v>
      </c>
      <c r="I190" t="s">
        <v>1071</v>
      </c>
      <c r="J190" s="131">
        <v>45784</v>
      </c>
    </row>
    <row r="191" spans="1:10" ht="24" x14ac:dyDescent="0.25">
      <c r="A191" s="129" t="s">
        <v>1109</v>
      </c>
      <c r="C191" s="90">
        <v>1</v>
      </c>
      <c r="D191">
        <v>101888</v>
      </c>
      <c r="E191" s="6">
        <f t="shared" si="16"/>
        <v>101888</v>
      </c>
      <c r="F191" s="6">
        <f t="shared" si="17"/>
        <v>98831.360000000001</v>
      </c>
      <c r="G191" s="6">
        <f t="shared" si="18"/>
        <v>118597.632</v>
      </c>
      <c r="H191" s="6">
        <f t="shared" si="19"/>
        <v>118597.632</v>
      </c>
      <c r="I191" t="s">
        <v>1076</v>
      </c>
      <c r="J191" s="130">
        <v>27.05</v>
      </c>
    </row>
    <row r="192" spans="1:10" ht="24" x14ac:dyDescent="0.25">
      <c r="A192" s="129" t="s">
        <v>263</v>
      </c>
      <c r="C192" s="90">
        <v>2</v>
      </c>
      <c r="D192">
        <v>43800</v>
      </c>
      <c r="E192" s="6">
        <f t="shared" si="16"/>
        <v>21900</v>
      </c>
      <c r="F192" s="6">
        <f t="shared" si="17"/>
        <v>21243</v>
      </c>
      <c r="G192" s="6">
        <f t="shared" si="18"/>
        <v>25491.599999999999</v>
      </c>
      <c r="H192" s="6">
        <f t="shared" si="19"/>
        <v>50983.199999999997</v>
      </c>
      <c r="I192" t="s">
        <v>1087</v>
      </c>
      <c r="J192" s="130">
        <v>16.05</v>
      </c>
    </row>
    <row r="193" spans="1:10" x14ac:dyDescent="0.25">
      <c r="A193" s="125" t="s">
        <v>1110</v>
      </c>
      <c r="C193" s="90">
        <v>1</v>
      </c>
      <c r="D193">
        <v>17125</v>
      </c>
      <c r="E193" s="6">
        <f t="shared" si="16"/>
        <v>17125</v>
      </c>
      <c r="F193" s="6">
        <f t="shared" si="17"/>
        <v>16611.25</v>
      </c>
      <c r="G193" s="6">
        <f t="shared" si="18"/>
        <v>19933.5</v>
      </c>
      <c r="H193" s="6">
        <f t="shared" si="19"/>
        <v>19933.5</v>
      </c>
      <c r="I193" t="s">
        <v>1087</v>
      </c>
      <c r="J193" s="130">
        <v>16.05</v>
      </c>
    </row>
    <row r="194" spans="1:10" x14ac:dyDescent="0.25">
      <c r="A194" s="129" t="s">
        <v>270</v>
      </c>
      <c r="C194" s="90">
        <v>50</v>
      </c>
      <c r="D194">
        <v>69300</v>
      </c>
      <c r="E194" s="6">
        <f t="shared" si="16"/>
        <v>1386</v>
      </c>
      <c r="F194" s="6">
        <f t="shared" si="17"/>
        <v>1344.42</v>
      </c>
      <c r="G194" s="6">
        <f t="shared" si="18"/>
        <v>1613.3040000000001</v>
      </c>
      <c r="H194" s="6">
        <f t="shared" si="19"/>
        <v>80665.200000000012</v>
      </c>
      <c r="I194" t="s">
        <v>1076</v>
      </c>
      <c r="J194" s="130">
        <v>27.05</v>
      </c>
    </row>
    <row r="195" spans="1:10" x14ac:dyDescent="0.25">
      <c r="A195" s="129" t="s">
        <v>271</v>
      </c>
      <c r="C195" s="90">
        <v>60</v>
      </c>
      <c r="D195">
        <v>199080</v>
      </c>
      <c r="E195" s="6">
        <f t="shared" si="16"/>
        <v>3318</v>
      </c>
      <c r="F195" s="6">
        <f t="shared" si="17"/>
        <v>3218.46</v>
      </c>
      <c r="G195" s="6">
        <f t="shared" si="18"/>
        <v>3862.152</v>
      </c>
      <c r="H195" s="6">
        <f t="shared" si="19"/>
        <v>231729.12</v>
      </c>
      <c r="I195" t="s">
        <v>1076</v>
      </c>
      <c r="J195" s="130">
        <v>27.05</v>
      </c>
    </row>
    <row r="196" spans="1:10" ht="24" x14ac:dyDescent="0.25">
      <c r="A196" s="129" t="s">
        <v>273</v>
      </c>
      <c r="C196" s="90">
        <v>10</v>
      </c>
      <c r="D196">
        <v>3020</v>
      </c>
      <c r="E196" s="6">
        <f t="shared" si="16"/>
        <v>302</v>
      </c>
      <c r="F196" s="6">
        <f t="shared" si="17"/>
        <v>292.94</v>
      </c>
      <c r="G196" s="6">
        <f t="shared" si="18"/>
        <v>351.52799999999996</v>
      </c>
      <c r="H196" s="6">
        <f t="shared" si="19"/>
        <v>3515.2799999999997</v>
      </c>
      <c r="I196" t="s">
        <v>1111</v>
      </c>
      <c r="J196" s="130">
        <v>27.05</v>
      </c>
    </row>
    <row r="197" spans="1:10" x14ac:dyDescent="0.25">
      <c r="A197" s="129" t="s">
        <v>272</v>
      </c>
      <c r="C197" s="90">
        <v>30</v>
      </c>
      <c r="D197">
        <v>19410</v>
      </c>
      <c r="E197" s="6">
        <f t="shared" si="16"/>
        <v>647</v>
      </c>
      <c r="F197" s="6">
        <f t="shared" si="17"/>
        <v>627.59</v>
      </c>
      <c r="G197" s="6">
        <f t="shared" si="18"/>
        <v>753.10800000000006</v>
      </c>
      <c r="H197" s="6">
        <f t="shared" si="19"/>
        <v>22593.24</v>
      </c>
      <c r="I197" t="s">
        <v>1111</v>
      </c>
      <c r="J197" s="130">
        <v>27.05</v>
      </c>
    </row>
    <row r="198" spans="1:10" ht="24" x14ac:dyDescent="0.25">
      <c r="A198" s="129" t="s">
        <v>212</v>
      </c>
      <c r="C198" s="90">
        <v>8</v>
      </c>
      <c r="D198">
        <v>29880</v>
      </c>
      <c r="E198" s="6">
        <f t="shared" si="16"/>
        <v>3735</v>
      </c>
      <c r="F198" s="6">
        <f t="shared" si="17"/>
        <v>3622.95</v>
      </c>
      <c r="G198" s="6">
        <f t="shared" si="18"/>
        <v>4347.54</v>
      </c>
      <c r="H198" s="6">
        <f t="shared" si="19"/>
        <v>34780.32</v>
      </c>
      <c r="I198" t="s">
        <v>1071</v>
      </c>
      <c r="J198" s="132">
        <v>45784</v>
      </c>
    </row>
    <row r="199" spans="1:10" ht="24" x14ac:dyDescent="0.25">
      <c r="A199" s="129" t="s">
        <v>310</v>
      </c>
      <c r="C199" s="90">
        <v>5</v>
      </c>
      <c r="D199">
        <v>18375</v>
      </c>
      <c r="E199" s="6">
        <f t="shared" si="16"/>
        <v>3675</v>
      </c>
      <c r="F199" s="6">
        <f t="shared" si="17"/>
        <v>3564.75</v>
      </c>
      <c r="G199" s="6">
        <f t="shared" si="18"/>
        <v>4277.7</v>
      </c>
      <c r="H199" s="6">
        <f t="shared" si="19"/>
        <v>21388.5</v>
      </c>
      <c r="I199" t="s">
        <v>1111</v>
      </c>
      <c r="J199" s="130">
        <v>27.05</v>
      </c>
    </row>
    <row r="200" spans="1:10" x14ac:dyDescent="0.25">
      <c r="A200" s="129" t="s">
        <v>203</v>
      </c>
      <c r="C200" s="90">
        <v>2</v>
      </c>
      <c r="D200">
        <v>20900</v>
      </c>
      <c r="E200" s="6">
        <f t="shared" si="16"/>
        <v>10450</v>
      </c>
      <c r="F200" s="6">
        <f t="shared" si="17"/>
        <v>10136.5</v>
      </c>
      <c r="G200" s="6">
        <f t="shared" si="18"/>
        <v>12163.8</v>
      </c>
      <c r="H200" s="6">
        <f t="shared" si="19"/>
        <v>24327.599999999999</v>
      </c>
      <c r="I200" t="s">
        <v>1071</v>
      </c>
      <c r="J200" s="132">
        <v>45784</v>
      </c>
    </row>
    <row r="201" spans="1:10" x14ac:dyDescent="0.25">
      <c r="A201" s="129" t="s">
        <v>304</v>
      </c>
      <c r="C201" s="90">
        <v>2</v>
      </c>
      <c r="D201">
        <v>10680</v>
      </c>
      <c r="E201" s="6">
        <f t="shared" si="16"/>
        <v>5340</v>
      </c>
      <c r="F201" s="6">
        <f t="shared" si="17"/>
        <v>5179.8</v>
      </c>
      <c r="G201" s="6">
        <f t="shared" si="18"/>
        <v>6215.76</v>
      </c>
      <c r="H201" s="6">
        <f t="shared" si="19"/>
        <v>12431.52</v>
      </c>
      <c r="I201" t="s">
        <v>1111</v>
      </c>
      <c r="J201" s="130">
        <v>27.05</v>
      </c>
    </row>
    <row r="202" spans="1:10" x14ac:dyDescent="0.25">
      <c r="A202" s="129" t="s">
        <v>239</v>
      </c>
      <c r="C202" s="90">
        <v>2</v>
      </c>
      <c r="D202">
        <v>31350</v>
      </c>
      <c r="E202" s="6">
        <f t="shared" si="16"/>
        <v>15675</v>
      </c>
      <c r="F202" s="6">
        <f t="shared" si="17"/>
        <v>15204.75</v>
      </c>
      <c r="G202" s="6">
        <f t="shared" si="18"/>
        <v>18245.7</v>
      </c>
      <c r="H202" s="6">
        <f t="shared" si="19"/>
        <v>36491.4</v>
      </c>
      <c r="I202" t="s">
        <v>1071</v>
      </c>
      <c r="J202" s="130">
        <v>12.05</v>
      </c>
    </row>
    <row r="203" spans="1:10" ht="24" x14ac:dyDescent="0.25">
      <c r="A203" s="129" t="s">
        <v>284</v>
      </c>
      <c r="C203" s="90">
        <v>30</v>
      </c>
      <c r="D203">
        <v>17580</v>
      </c>
      <c r="E203" s="6">
        <f t="shared" si="16"/>
        <v>586</v>
      </c>
      <c r="F203" s="6">
        <f t="shared" si="17"/>
        <v>568.41999999999996</v>
      </c>
      <c r="G203" s="6">
        <f t="shared" si="18"/>
        <v>682.10399999999993</v>
      </c>
      <c r="H203" s="6">
        <f t="shared" si="19"/>
        <v>20463.12</v>
      </c>
      <c r="I203" t="s">
        <v>1101</v>
      </c>
      <c r="J203" s="130">
        <v>19.05</v>
      </c>
    </row>
    <row r="204" spans="1:10" ht="24" x14ac:dyDescent="0.25">
      <c r="A204" s="129" t="s">
        <v>283</v>
      </c>
      <c r="C204" s="90">
        <v>50</v>
      </c>
      <c r="D204">
        <v>29300</v>
      </c>
      <c r="E204" s="6">
        <f t="shared" si="16"/>
        <v>586</v>
      </c>
      <c r="F204" s="6">
        <f t="shared" si="17"/>
        <v>568.41999999999996</v>
      </c>
      <c r="G204" s="6">
        <f t="shared" si="18"/>
        <v>682.10399999999993</v>
      </c>
      <c r="H204" s="6">
        <f t="shared" si="19"/>
        <v>34105.199999999997</v>
      </c>
      <c r="I204" t="s">
        <v>1101</v>
      </c>
      <c r="J204" s="130">
        <v>19.05</v>
      </c>
    </row>
    <row r="205" spans="1:10" ht="24" x14ac:dyDescent="0.25">
      <c r="A205" s="129" t="s">
        <v>257</v>
      </c>
      <c r="C205" s="90">
        <v>1</v>
      </c>
      <c r="D205">
        <v>3295</v>
      </c>
      <c r="E205" s="6">
        <f t="shared" si="16"/>
        <v>3295</v>
      </c>
      <c r="F205" s="6">
        <f t="shared" si="17"/>
        <v>3196.15</v>
      </c>
      <c r="G205" s="6">
        <f t="shared" si="18"/>
        <v>3835.38</v>
      </c>
      <c r="H205" s="6">
        <f t="shared" si="19"/>
        <v>3835.38</v>
      </c>
      <c r="J205" s="132">
        <v>45783</v>
      </c>
    </row>
    <row r="206" spans="1:10" x14ac:dyDescent="0.25">
      <c r="A206" s="125" t="s">
        <v>1112</v>
      </c>
      <c r="C206" s="90">
        <v>1</v>
      </c>
      <c r="D206">
        <v>695000</v>
      </c>
      <c r="E206" s="6">
        <f t="shared" si="16"/>
        <v>695000</v>
      </c>
      <c r="F206" s="6">
        <f t="shared" si="17"/>
        <v>674150</v>
      </c>
      <c r="G206" s="6">
        <f t="shared" si="18"/>
        <v>808980</v>
      </c>
      <c r="H206" s="6">
        <f t="shared" si="19"/>
        <v>808980</v>
      </c>
      <c r="J206" s="130">
        <v>16.05</v>
      </c>
    </row>
    <row r="207" spans="1:10" ht="24" x14ac:dyDescent="0.25">
      <c r="A207" s="129" t="s">
        <v>153</v>
      </c>
      <c r="C207" s="90">
        <v>40</v>
      </c>
      <c r="D207">
        <v>7080</v>
      </c>
      <c r="E207" s="6">
        <f t="shared" si="16"/>
        <v>177</v>
      </c>
      <c r="F207" s="6">
        <f t="shared" si="17"/>
        <v>171.69</v>
      </c>
      <c r="G207" s="6">
        <f t="shared" si="18"/>
        <v>206.02799999999999</v>
      </c>
      <c r="H207" s="6">
        <f t="shared" si="19"/>
        <v>8241.119999999999</v>
      </c>
      <c r="I207" t="s">
        <v>1101</v>
      </c>
      <c r="J207" s="130">
        <v>19.05</v>
      </c>
    </row>
    <row r="208" spans="1:10" ht="24" x14ac:dyDescent="0.25">
      <c r="A208" s="129" t="s">
        <v>154</v>
      </c>
      <c r="C208" s="90">
        <v>10</v>
      </c>
      <c r="D208">
        <v>2020</v>
      </c>
      <c r="E208" s="6">
        <f t="shared" si="16"/>
        <v>202</v>
      </c>
      <c r="F208" s="6">
        <f t="shared" si="17"/>
        <v>195.94</v>
      </c>
      <c r="G208" s="6">
        <f t="shared" si="18"/>
        <v>235.12799999999999</v>
      </c>
      <c r="H208" s="6">
        <f t="shared" si="19"/>
        <v>2351.2799999999997</v>
      </c>
      <c r="I208" t="s">
        <v>1101</v>
      </c>
      <c r="J208" s="130">
        <v>19.05</v>
      </c>
    </row>
    <row r="209" spans="1:10" x14ac:dyDescent="0.25">
      <c r="A209" s="129" t="s">
        <v>293</v>
      </c>
      <c r="C209" s="90">
        <v>40</v>
      </c>
      <c r="D209">
        <v>28400</v>
      </c>
      <c r="E209" s="6">
        <f t="shared" si="16"/>
        <v>710</v>
      </c>
      <c r="F209" s="6">
        <f t="shared" si="17"/>
        <v>688.69999999999993</v>
      </c>
      <c r="G209" s="6">
        <f t="shared" si="18"/>
        <v>826.43999999999994</v>
      </c>
      <c r="H209" s="6">
        <f t="shared" si="19"/>
        <v>33057.599999999999</v>
      </c>
      <c r="I209" t="s">
        <v>1111</v>
      </c>
      <c r="J209" s="130">
        <v>27.05</v>
      </c>
    </row>
    <row r="210" spans="1:10" x14ac:dyDescent="0.25">
      <c r="A210" s="129" t="s">
        <v>264</v>
      </c>
      <c r="C210" s="90">
        <v>200</v>
      </c>
      <c r="D210">
        <v>117000</v>
      </c>
      <c r="E210" s="6">
        <f t="shared" si="16"/>
        <v>585</v>
      </c>
      <c r="F210" s="6">
        <f t="shared" si="17"/>
        <v>567.44999999999993</v>
      </c>
      <c r="G210" s="6">
        <f t="shared" si="18"/>
        <v>680.93999999999994</v>
      </c>
      <c r="H210" s="6">
        <f t="shared" si="19"/>
        <v>136188</v>
      </c>
      <c r="J210" s="130">
        <v>20.05</v>
      </c>
    </row>
    <row r="211" spans="1:10" ht="24" x14ac:dyDescent="0.25">
      <c r="A211" s="129" t="s">
        <v>156</v>
      </c>
      <c r="C211" s="90">
        <v>58</v>
      </c>
      <c r="D211">
        <v>51098</v>
      </c>
      <c r="E211" s="6">
        <f t="shared" si="16"/>
        <v>881</v>
      </c>
      <c r="F211" s="6">
        <f t="shared" si="17"/>
        <v>854.56999999999994</v>
      </c>
      <c r="G211" s="6">
        <f t="shared" si="18"/>
        <v>1025.4839999999999</v>
      </c>
      <c r="H211" s="6">
        <f t="shared" si="19"/>
        <v>59478.071999999993</v>
      </c>
      <c r="I211" t="s">
        <v>1101</v>
      </c>
      <c r="J211" s="130">
        <v>19.05</v>
      </c>
    </row>
    <row r="212" spans="1:10" x14ac:dyDescent="0.25">
      <c r="A212" s="129" t="s">
        <v>45</v>
      </c>
      <c r="C212" s="90">
        <v>16</v>
      </c>
      <c r="D212">
        <v>66960</v>
      </c>
      <c r="E212" s="6">
        <f t="shared" si="16"/>
        <v>4185</v>
      </c>
      <c r="F212" s="6">
        <f t="shared" si="17"/>
        <v>4059.45</v>
      </c>
      <c r="G212" s="6">
        <f t="shared" si="18"/>
        <v>4871.3399999999992</v>
      </c>
      <c r="H212" s="6">
        <f t="shared" si="19"/>
        <v>77941.439999999988</v>
      </c>
      <c r="I212" t="s">
        <v>1071</v>
      </c>
      <c r="J212" s="132">
        <v>45784</v>
      </c>
    </row>
    <row r="213" spans="1:10" x14ac:dyDescent="0.25">
      <c r="A213" s="129" t="s">
        <v>1113</v>
      </c>
      <c r="C213" s="90">
        <v>14</v>
      </c>
      <c r="D213">
        <v>65590</v>
      </c>
      <c r="E213" s="6">
        <f t="shared" si="16"/>
        <v>4685</v>
      </c>
      <c r="F213" s="6">
        <f t="shared" si="17"/>
        <v>4544.45</v>
      </c>
      <c r="G213" s="6">
        <f t="shared" si="18"/>
        <v>5453.3399999999992</v>
      </c>
      <c r="H213" s="6">
        <f t="shared" si="19"/>
        <v>76346.759999999995</v>
      </c>
      <c r="J213" s="130">
        <v>16.05</v>
      </c>
    </row>
    <row r="214" spans="1:10" x14ac:dyDescent="0.25">
      <c r="A214" s="129" t="s">
        <v>143</v>
      </c>
      <c r="C214" s="90">
        <v>10</v>
      </c>
      <c r="D214">
        <v>1010</v>
      </c>
      <c r="E214" s="6">
        <f t="shared" si="16"/>
        <v>101</v>
      </c>
      <c r="F214" s="6">
        <f t="shared" si="17"/>
        <v>97.97</v>
      </c>
      <c r="G214" s="6">
        <f t="shared" si="18"/>
        <v>117.56399999999999</v>
      </c>
      <c r="H214" s="6">
        <f t="shared" si="19"/>
        <v>1175.6399999999999</v>
      </c>
      <c r="I214" t="s">
        <v>1101</v>
      </c>
      <c r="J214" s="130">
        <v>19.05</v>
      </c>
    </row>
    <row r="215" spans="1:10" x14ac:dyDescent="0.25">
      <c r="A215" s="129" t="s">
        <v>144</v>
      </c>
      <c r="C215" s="90">
        <v>30</v>
      </c>
      <c r="D215">
        <v>3810</v>
      </c>
      <c r="E215" s="6">
        <f t="shared" si="16"/>
        <v>127</v>
      </c>
      <c r="F215" s="6">
        <f t="shared" si="17"/>
        <v>123.19</v>
      </c>
      <c r="G215" s="6">
        <f t="shared" si="18"/>
        <v>147.828</v>
      </c>
      <c r="H215" s="6">
        <f t="shared" si="19"/>
        <v>4434.84</v>
      </c>
      <c r="I215" t="s">
        <v>1101</v>
      </c>
      <c r="J215" s="130">
        <v>19.05</v>
      </c>
    </row>
    <row r="216" spans="1:10" x14ac:dyDescent="0.25">
      <c r="A216" s="129" t="s">
        <v>145</v>
      </c>
      <c r="C216" s="90">
        <v>10</v>
      </c>
      <c r="D216">
        <v>1010</v>
      </c>
      <c r="E216" s="6">
        <f t="shared" si="16"/>
        <v>101</v>
      </c>
      <c r="F216" s="6">
        <f t="shared" si="17"/>
        <v>97.97</v>
      </c>
      <c r="G216" s="6">
        <f t="shared" si="18"/>
        <v>117.56399999999999</v>
      </c>
      <c r="H216" s="6">
        <f t="shared" si="19"/>
        <v>1175.6399999999999</v>
      </c>
      <c r="I216" t="s">
        <v>1101</v>
      </c>
      <c r="J216" s="130">
        <v>19.05</v>
      </c>
    </row>
    <row r="217" spans="1:10" x14ac:dyDescent="0.25">
      <c r="A217" s="129" t="s">
        <v>146</v>
      </c>
      <c r="C217" s="90">
        <v>10</v>
      </c>
      <c r="D217">
        <v>1010</v>
      </c>
      <c r="E217" s="6">
        <f t="shared" si="16"/>
        <v>101</v>
      </c>
      <c r="F217" s="6">
        <f t="shared" si="17"/>
        <v>97.97</v>
      </c>
      <c r="G217" s="6">
        <f t="shared" si="18"/>
        <v>117.56399999999999</v>
      </c>
      <c r="H217" s="6">
        <f t="shared" si="19"/>
        <v>1175.6399999999999</v>
      </c>
      <c r="I217" t="s">
        <v>1101</v>
      </c>
      <c r="J217" s="130">
        <v>19.05</v>
      </c>
    </row>
    <row r="218" spans="1:10" x14ac:dyDescent="0.25">
      <c r="A218" s="129" t="s">
        <v>147</v>
      </c>
      <c r="C218" s="90">
        <v>30</v>
      </c>
      <c r="D218">
        <v>4560</v>
      </c>
      <c r="E218" s="6">
        <f t="shared" si="16"/>
        <v>152</v>
      </c>
      <c r="F218" s="6">
        <f t="shared" si="17"/>
        <v>147.44</v>
      </c>
      <c r="G218" s="6">
        <f t="shared" si="18"/>
        <v>176.928</v>
      </c>
      <c r="H218" s="6">
        <f t="shared" si="19"/>
        <v>5307.84</v>
      </c>
      <c r="I218" t="s">
        <v>1101</v>
      </c>
      <c r="J218" s="130">
        <v>19.05</v>
      </c>
    </row>
    <row r="219" spans="1:10" x14ac:dyDescent="0.25">
      <c r="A219" s="129" t="s">
        <v>148</v>
      </c>
      <c r="C219" s="90">
        <v>30</v>
      </c>
      <c r="D219">
        <v>7560</v>
      </c>
      <c r="E219" s="6">
        <f t="shared" si="16"/>
        <v>252</v>
      </c>
      <c r="F219" s="6">
        <f t="shared" si="17"/>
        <v>244.44</v>
      </c>
      <c r="G219" s="6">
        <f t="shared" si="18"/>
        <v>293.32799999999997</v>
      </c>
      <c r="H219" s="6">
        <f t="shared" si="19"/>
        <v>8799.84</v>
      </c>
      <c r="I219" t="s">
        <v>1101</v>
      </c>
      <c r="J219" s="130">
        <v>19.05</v>
      </c>
    </row>
    <row r="220" spans="1:10" x14ac:dyDescent="0.25">
      <c r="A220" s="129" t="s">
        <v>149</v>
      </c>
      <c r="C220" s="90">
        <v>30</v>
      </c>
      <c r="D220">
        <v>5310</v>
      </c>
      <c r="E220" s="6">
        <f t="shared" si="16"/>
        <v>177</v>
      </c>
      <c r="F220" s="6">
        <f t="shared" si="17"/>
        <v>171.69</v>
      </c>
      <c r="G220" s="6">
        <f t="shared" si="18"/>
        <v>206.02799999999999</v>
      </c>
      <c r="H220" s="6">
        <f t="shared" si="19"/>
        <v>6180.84</v>
      </c>
      <c r="I220" t="s">
        <v>1101</v>
      </c>
      <c r="J220" s="130">
        <v>19.05</v>
      </c>
    </row>
    <row r="221" spans="1:10" x14ac:dyDescent="0.25">
      <c r="A221" s="129" t="s">
        <v>150</v>
      </c>
      <c r="C221" s="90">
        <v>30</v>
      </c>
      <c r="D221">
        <v>6060</v>
      </c>
      <c r="E221" s="6">
        <f t="shared" si="16"/>
        <v>202</v>
      </c>
      <c r="F221" s="6">
        <f t="shared" si="17"/>
        <v>195.94</v>
      </c>
      <c r="G221" s="6">
        <f t="shared" si="18"/>
        <v>235.12799999999999</v>
      </c>
      <c r="H221" s="6">
        <f t="shared" si="19"/>
        <v>7053.8399999999992</v>
      </c>
      <c r="I221" t="s">
        <v>1101</v>
      </c>
      <c r="J221" s="130">
        <v>19.05</v>
      </c>
    </row>
    <row r="222" spans="1:10" x14ac:dyDescent="0.25">
      <c r="A222" s="129" t="s">
        <v>216</v>
      </c>
      <c r="C222" s="90">
        <v>4</v>
      </c>
      <c r="D222">
        <v>5560</v>
      </c>
      <c r="E222" s="6">
        <f t="shared" si="16"/>
        <v>1390</v>
      </c>
      <c r="F222" s="6">
        <f t="shared" si="17"/>
        <v>1348.3</v>
      </c>
      <c r="G222" s="6">
        <f t="shared" si="18"/>
        <v>1617.9599999999998</v>
      </c>
      <c r="H222" s="6">
        <f t="shared" si="19"/>
        <v>6471.8399999999992</v>
      </c>
      <c r="I222" t="s">
        <v>1101</v>
      </c>
      <c r="J222" s="130">
        <v>19.05</v>
      </c>
    </row>
    <row r="223" spans="1:10" ht="24" x14ac:dyDescent="0.25">
      <c r="A223" s="129" t="s">
        <v>384</v>
      </c>
      <c r="C223" s="90">
        <v>1</v>
      </c>
      <c r="D223">
        <v>35200</v>
      </c>
      <c r="E223" s="6">
        <f t="shared" si="16"/>
        <v>35200</v>
      </c>
      <c r="F223" s="6">
        <f t="shared" si="17"/>
        <v>34144</v>
      </c>
      <c r="G223" s="6">
        <f t="shared" si="18"/>
        <v>40972.799999999996</v>
      </c>
      <c r="H223" s="6">
        <f t="shared" si="19"/>
        <v>40972.799999999996</v>
      </c>
      <c r="J223" s="130">
        <v>16.05</v>
      </c>
    </row>
    <row r="224" spans="1:10" x14ac:dyDescent="0.25">
      <c r="A224" s="129" t="s">
        <v>381</v>
      </c>
      <c r="C224" s="90">
        <v>1</v>
      </c>
      <c r="D224">
        <v>31000</v>
      </c>
      <c r="E224" s="6">
        <f t="shared" si="16"/>
        <v>31000</v>
      </c>
      <c r="F224" s="6">
        <f t="shared" si="17"/>
        <v>30070</v>
      </c>
      <c r="G224" s="6">
        <f t="shared" si="18"/>
        <v>36084</v>
      </c>
      <c r="H224" s="6">
        <f t="shared" si="19"/>
        <v>36084</v>
      </c>
      <c r="J224" s="130">
        <v>16.05</v>
      </c>
    </row>
    <row r="225" spans="1:16" x14ac:dyDescent="0.25">
      <c r="A225" s="129" t="s">
        <v>215</v>
      </c>
      <c r="C225" s="90">
        <v>15</v>
      </c>
      <c r="D225">
        <v>57150</v>
      </c>
      <c r="E225" s="6">
        <f t="shared" si="16"/>
        <v>3810</v>
      </c>
      <c r="F225" s="6">
        <f t="shared" si="17"/>
        <v>3695.7</v>
      </c>
      <c r="G225" s="6">
        <f t="shared" si="18"/>
        <v>4434.8399999999992</v>
      </c>
      <c r="H225" s="6">
        <f t="shared" si="19"/>
        <v>66522.599999999991</v>
      </c>
      <c r="J225" s="132">
        <v>45783</v>
      </c>
    </row>
    <row r="226" spans="1:16" ht="24" x14ac:dyDescent="0.25">
      <c r="A226" s="129" t="s">
        <v>193</v>
      </c>
      <c r="C226" s="90">
        <v>1</v>
      </c>
      <c r="D226">
        <v>62675</v>
      </c>
      <c r="E226" s="6">
        <f t="shared" si="16"/>
        <v>62675</v>
      </c>
      <c r="F226" s="6">
        <f t="shared" si="17"/>
        <v>60794.75</v>
      </c>
      <c r="G226" s="6">
        <f t="shared" si="18"/>
        <v>72953.7</v>
      </c>
      <c r="H226" s="6">
        <f t="shared" si="19"/>
        <v>72953.7</v>
      </c>
      <c r="I226" t="s">
        <v>1071</v>
      </c>
      <c r="J226" s="130">
        <v>12.05</v>
      </c>
    </row>
    <row r="227" spans="1:16" ht="24" x14ac:dyDescent="0.25">
      <c r="A227" s="129" t="s">
        <v>1114</v>
      </c>
      <c r="C227" s="90">
        <v>2</v>
      </c>
      <c r="D227">
        <v>18848</v>
      </c>
      <c r="E227" s="6">
        <f t="shared" si="16"/>
        <v>9424</v>
      </c>
      <c r="F227" s="6">
        <f t="shared" si="17"/>
        <v>9141.2800000000007</v>
      </c>
      <c r="G227" s="6">
        <f t="shared" si="18"/>
        <v>10969.536</v>
      </c>
      <c r="H227" s="6">
        <f t="shared" si="19"/>
        <v>21939.072</v>
      </c>
      <c r="I227" t="s">
        <v>1101</v>
      </c>
      <c r="J227" s="130">
        <v>19.05</v>
      </c>
    </row>
    <row r="228" spans="1:16" ht="24" x14ac:dyDescent="0.25">
      <c r="A228" s="129" t="s">
        <v>199</v>
      </c>
      <c r="C228" s="90">
        <v>2</v>
      </c>
      <c r="D228">
        <v>93962</v>
      </c>
      <c r="E228" s="6">
        <f t="shared" si="16"/>
        <v>46981</v>
      </c>
      <c r="F228" s="6">
        <f t="shared" si="17"/>
        <v>45571.57</v>
      </c>
      <c r="G228" s="6">
        <f t="shared" si="18"/>
        <v>54685.883999999998</v>
      </c>
      <c r="H228" s="6">
        <f t="shared" si="19"/>
        <v>109371.768</v>
      </c>
      <c r="I228" t="s">
        <v>1076</v>
      </c>
      <c r="J228" s="130">
        <v>27.05</v>
      </c>
    </row>
    <row r="229" spans="1:16" x14ac:dyDescent="0.25">
      <c r="A229" s="129" t="s">
        <v>237</v>
      </c>
      <c r="C229" s="90">
        <v>10</v>
      </c>
      <c r="D229">
        <v>202100</v>
      </c>
      <c r="E229" s="6">
        <f t="shared" si="16"/>
        <v>20210</v>
      </c>
      <c r="F229" s="6">
        <f t="shared" si="17"/>
        <v>19603.7</v>
      </c>
      <c r="G229" s="6">
        <f t="shared" si="18"/>
        <v>23524.44</v>
      </c>
      <c r="H229" s="6">
        <f t="shared" si="19"/>
        <v>235244.4</v>
      </c>
      <c r="I229" t="s">
        <v>1067</v>
      </c>
      <c r="J229" s="130">
        <v>12.05</v>
      </c>
    </row>
    <row r="230" spans="1:16" ht="24" x14ac:dyDescent="0.25">
      <c r="A230" s="129" t="s">
        <v>141</v>
      </c>
      <c r="C230" s="90">
        <v>4</v>
      </c>
      <c r="D230">
        <v>22640</v>
      </c>
      <c r="E230" s="6">
        <f t="shared" ref="E230:E291" si="20">D230/C230</f>
        <v>5660</v>
      </c>
      <c r="F230" s="6">
        <f t="shared" ref="F230:F291" si="21">E230*0.97</f>
        <v>5490.2</v>
      </c>
      <c r="G230" s="6">
        <f t="shared" ref="G230:G291" si="22">F230*1.2</f>
        <v>6588.24</v>
      </c>
      <c r="H230" s="6">
        <f t="shared" ref="H230:H291" si="23">G230*C230</f>
        <v>26352.959999999999</v>
      </c>
      <c r="I230" t="s">
        <v>1101</v>
      </c>
      <c r="J230" s="130">
        <v>19.05</v>
      </c>
    </row>
    <row r="231" spans="1:16" ht="24" x14ac:dyDescent="0.25">
      <c r="A231" s="129" t="s">
        <v>1115</v>
      </c>
      <c r="C231" s="90">
        <v>100</v>
      </c>
      <c r="D231">
        <v>69700</v>
      </c>
      <c r="E231" s="6">
        <f t="shared" si="20"/>
        <v>697</v>
      </c>
      <c r="F231" s="6">
        <f t="shared" si="21"/>
        <v>676.09</v>
      </c>
      <c r="G231" s="6">
        <f t="shared" si="22"/>
        <v>811.30799999999999</v>
      </c>
      <c r="H231" s="6">
        <f t="shared" si="23"/>
        <v>81130.8</v>
      </c>
      <c r="I231" t="s">
        <v>1101</v>
      </c>
      <c r="J231" s="130">
        <v>19.05</v>
      </c>
    </row>
    <row r="232" spans="1:16" x14ac:dyDescent="0.25">
      <c r="A232" s="129" t="s">
        <v>1116</v>
      </c>
      <c r="C232" s="90">
        <v>5</v>
      </c>
      <c r="D232">
        <v>20439</v>
      </c>
      <c r="E232" s="6">
        <f t="shared" si="20"/>
        <v>4087.8</v>
      </c>
      <c r="F232" s="6">
        <f t="shared" si="21"/>
        <v>3965.1660000000002</v>
      </c>
      <c r="G232" s="6">
        <f t="shared" si="22"/>
        <v>4758.1992</v>
      </c>
      <c r="H232" s="6">
        <f t="shared" si="23"/>
        <v>23790.995999999999</v>
      </c>
      <c r="I232" t="s">
        <v>1101</v>
      </c>
      <c r="J232" s="130">
        <v>19.05</v>
      </c>
    </row>
    <row r="233" spans="1:16" x14ac:dyDescent="0.25">
      <c r="A233" s="129" t="s">
        <v>1117</v>
      </c>
      <c r="C233" s="90">
        <v>1</v>
      </c>
      <c r="D233">
        <v>39730</v>
      </c>
      <c r="E233" s="6">
        <f t="shared" si="20"/>
        <v>39730</v>
      </c>
      <c r="F233" s="6">
        <f t="shared" si="21"/>
        <v>38538.1</v>
      </c>
      <c r="G233" s="6">
        <f t="shared" si="22"/>
        <v>46245.719999999994</v>
      </c>
      <c r="H233" s="6">
        <f t="shared" si="23"/>
        <v>46245.719999999994</v>
      </c>
      <c r="I233" t="s">
        <v>1111</v>
      </c>
      <c r="J233" s="130">
        <v>27.05</v>
      </c>
    </row>
    <row r="234" spans="1:16" x14ac:dyDescent="0.25">
      <c r="A234" s="129" t="s">
        <v>1118</v>
      </c>
      <c r="C234" s="90">
        <v>1</v>
      </c>
      <c r="D234">
        <v>50820</v>
      </c>
      <c r="E234" s="6">
        <f t="shared" si="20"/>
        <v>50820</v>
      </c>
      <c r="F234" s="6">
        <f t="shared" si="21"/>
        <v>49295.4</v>
      </c>
      <c r="G234" s="6">
        <f t="shared" si="22"/>
        <v>59154.479999999996</v>
      </c>
      <c r="H234" s="6">
        <f t="shared" si="23"/>
        <v>59154.479999999996</v>
      </c>
      <c r="I234" t="s">
        <v>1111</v>
      </c>
      <c r="J234" s="130">
        <v>27.05</v>
      </c>
    </row>
    <row r="235" spans="1:16" ht="24" x14ac:dyDescent="0.25">
      <c r="A235" s="129" t="s">
        <v>214</v>
      </c>
      <c r="C235" s="90">
        <v>3</v>
      </c>
      <c r="D235">
        <v>33960</v>
      </c>
      <c r="E235" s="6">
        <f t="shared" si="20"/>
        <v>11320</v>
      </c>
      <c r="F235" s="6">
        <f t="shared" si="21"/>
        <v>10980.4</v>
      </c>
      <c r="G235" s="6">
        <f t="shared" si="22"/>
        <v>13176.48</v>
      </c>
      <c r="H235" s="6">
        <f t="shared" si="23"/>
        <v>39529.440000000002</v>
      </c>
      <c r="I235" t="s">
        <v>1071</v>
      </c>
      <c r="J235" s="130">
        <v>12.05</v>
      </c>
    </row>
    <row r="236" spans="1:16" ht="24" x14ac:dyDescent="0.25">
      <c r="A236" s="129" t="s">
        <v>285</v>
      </c>
      <c r="C236" s="90">
        <v>20</v>
      </c>
      <c r="D236">
        <v>47140</v>
      </c>
      <c r="E236" s="6">
        <f t="shared" si="20"/>
        <v>2357</v>
      </c>
      <c r="F236" s="6">
        <f t="shared" si="21"/>
        <v>2286.29</v>
      </c>
      <c r="G236" s="6">
        <f t="shared" si="22"/>
        <v>2743.5479999999998</v>
      </c>
      <c r="H236" s="6">
        <f t="shared" si="23"/>
        <v>54870.959999999992</v>
      </c>
      <c r="I236" t="s">
        <v>1111</v>
      </c>
      <c r="J236" s="130">
        <v>27.05</v>
      </c>
    </row>
    <row r="237" spans="1:16" x14ac:dyDescent="0.25">
      <c r="A237" s="129" t="s">
        <v>234</v>
      </c>
      <c r="C237" s="90">
        <v>1</v>
      </c>
      <c r="D237">
        <v>235820</v>
      </c>
      <c r="E237" s="6">
        <f t="shared" si="20"/>
        <v>235820</v>
      </c>
      <c r="F237" s="6">
        <f t="shared" si="21"/>
        <v>228745.4</v>
      </c>
      <c r="G237" s="6">
        <f t="shared" si="22"/>
        <v>274494.48</v>
      </c>
      <c r="H237" s="6">
        <f t="shared" si="23"/>
        <v>274494.48</v>
      </c>
      <c r="J237" s="130">
        <v>16.05</v>
      </c>
    </row>
    <row r="238" spans="1:16" x14ac:dyDescent="0.25">
      <c r="G238" s="235" t="s">
        <v>1002</v>
      </c>
      <c r="H238" s="235"/>
    </row>
    <row r="239" spans="1:16" x14ac:dyDescent="0.25">
      <c r="G239" s="5" t="s">
        <v>1119</v>
      </c>
      <c r="H239" s="5">
        <v>516498.22799999977</v>
      </c>
      <c r="I239" t="s">
        <v>1120</v>
      </c>
    </row>
    <row r="240" spans="1:16" x14ac:dyDescent="0.25">
      <c r="G240" s="5" t="s">
        <v>1119</v>
      </c>
      <c r="H240" s="5">
        <v>1211514.32</v>
      </c>
      <c r="N240" t="s">
        <v>1119</v>
      </c>
      <c r="O240" s="6">
        <f>H124+H125+H126+H127+H128+H132+H133+H147+H149+H150+H158+H159+H160+H161+H162+H163+H164+H165+H166+H167+H168+H173+H175+H176+H205+H225</f>
        <v>516498.22799999977</v>
      </c>
      <c r="P240" t="s">
        <v>1120</v>
      </c>
    </row>
    <row r="241" spans="7:16" x14ac:dyDescent="0.25">
      <c r="G241" s="5" t="s">
        <v>1121</v>
      </c>
      <c r="H241" s="5">
        <v>932521.07000000007</v>
      </c>
      <c r="N241" t="s">
        <v>1119</v>
      </c>
      <c r="O241" s="6">
        <f>2*605757.16</f>
        <v>1211514.32</v>
      </c>
    </row>
    <row r="242" spans="7:16" x14ac:dyDescent="0.25">
      <c r="G242" s="5" t="s">
        <v>1121</v>
      </c>
      <c r="H242" s="5">
        <v>605757.16</v>
      </c>
      <c r="N242" t="s">
        <v>1121</v>
      </c>
      <c r="O242" s="6">
        <f>H145+H153+H170+H171+H190+H198+H200+H212+605757.17</f>
        <v>932521.07000000007</v>
      </c>
    </row>
    <row r="243" spans="7:16" x14ac:dyDescent="0.25">
      <c r="G243" s="5" t="s">
        <v>1121</v>
      </c>
      <c r="H243" s="5">
        <v>605757.16</v>
      </c>
      <c r="N243" t="s">
        <v>1121</v>
      </c>
      <c r="O243">
        <v>605757.16</v>
      </c>
    </row>
    <row r="244" spans="7:16" x14ac:dyDescent="0.25">
      <c r="G244" s="5" t="s">
        <v>1122</v>
      </c>
      <c r="H244" s="5">
        <v>1238629.8599999999</v>
      </c>
      <c r="N244" t="s">
        <v>1121</v>
      </c>
      <c r="O244">
        <v>605757.16</v>
      </c>
    </row>
    <row r="245" spans="7:16" x14ac:dyDescent="0.25">
      <c r="G245" s="5" t="s">
        <v>1069</v>
      </c>
      <c r="H245" s="5">
        <v>943346.34</v>
      </c>
      <c r="N245" t="s">
        <v>1122</v>
      </c>
      <c r="O245" s="6">
        <f>H106+H110+H117+H119+H202+H226+H229+H235</f>
        <v>1238629.8599999999</v>
      </c>
    </row>
    <row r="246" spans="7:16" x14ac:dyDescent="0.25">
      <c r="G246" s="5" t="s">
        <v>1123</v>
      </c>
      <c r="H246" s="5">
        <v>536202.41999999993</v>
      </c>
      <c r="I246" t="s">
        <v>1124</v>
      </c>
      <c r="N246" t="s">
        <v>1069</v>
      </c>
      <c r="O246" s="6">
        <f>H111+H112+H113+H116+H120+H142</f>
        <v>943346.34</v>
      </c>
    </row>
    <row r="247" spans="7:16" x14ac:dyDescent="0.25">
      <c r="G247" s="5" t="s">
        <v>1125</v>
      </c>
      <c r="H247" s="5">
        <v>1236878.04</v>
      </c>
      <c r="N247" t="s">
        <v>1123</v>
      </c>
      <c r="O247" s="6">
        <f>H146+H151+H184+H185+H192+H193</f>
        <v>536202.41999999993</v>
      </c>
      <c r="P247" t="s">
        <v>1068</v>
      </c>
    </row>
    <row r="248" spans="7:16" x14ac:dyDescent="0.25">
      <c r="G248" s="5" t="s">
        <v>1126</v>
      </c>
      <c r="H248" s="5">
        <v>515542.35119999992</v>
      </c>
      <c r="I248" t="s">
        <v>1068</v>
      </c>
      <c r="N248" t="s">
        <v>1125</v>
      </c>
      <c r="O248" s="6">
        <f>H206+H213+H223+H224+H237</f>
        <v>1236878.04</v>
      </c>
    </row>
    <row r="249" spans="7:16" x14ac:dyDescent="0.25">
      <c r="G249" s="5" t="s">
        <v>1126</v>
      </c>
      <c r="H249" s="5">
        <v>568643.10000000021</v>
      </c>
      <c r="N249" t="s">
        <v>1126</v>
      </c>
      <c r="O249" s="6">
        <f>H108+H118+H131+H135+H136+H137+H139+H140+H143+H154+H155+H172</f>
        <v>515542.35119999992</v>
      </c>
      <c r="P249" t="s">
        <v>1068</v>
      </c>
    </row>
    <row r="250" spans="7:16" x14ac:dyDescent="0.25">
      <c r="G250" s="5" t="s">
        <v>1127</v>
      </c>
      <c r="H250" s="5">
        <v>403398.16800000001</v>
      </c>
      <c r="I250" t="s">
        <v>1068</v>
      </c>
      <c r="N250" t="s">
        <v>1126</v>
      </c>
      <c r="O250" s="6">
        <f>H177+H178+H203+H204+H207+H208+H211+H214+H215+H216+H217+H218+H219+H220+H221+H222+H227+H230+H231+H232</f>
        <v>568643.10000000021</v>
      </c>
    </row>
    <row r="251" spans="7:16" x14ac:dyDescent="0.25">
      <c r="G251" s="5" t="s">
        <v>1128</v>
      </c>
      <c r="H251" s="5">
        <v>3018065.76</v>
      </c>
      <c r="N251" t="s">
        <v>1127</v>
      </c>
      <c r="O251" s="6">
        <f>H109+H181+H210+H188</f>
        <v>403398.16800000001</v>
      </c>
      <c r="P251" t="s">
        <v>1068</v>
      </c>
    </row>
    <row r="252" spans="7:16" x14ac:dyDescent="0.25">
      <c r="G252" t="s">
        <v>1129</v>
      </c>
      <c r="H252">
        <v>407193.97199999995</v>
      </c>
      <c r="I252" t="s">
        <v>1068</v>
      </c>
      <c r="N252" t="s">
        <v>1128</v>
      </c>
      <c r="O252" s="6">
        <f>H148</f>
        <v>3018065.76</v>
      </c>
    </row>
    <row r="253" spans="7:16" x14ac:dyDescent="0.25">
      <c r="G253" t="s">
        <v>1065</v>
      </c>
      <c r="H253">
        <v>897799.02</v>
      </c>
      <c r="N253" t="s">
        <v>1129</v>
      </c>
      <c r="O253" s="6">
        <f>H186+H103+H104+H107+H114+H123+H129+H130+H134+H141+H144+H152+H156+H157+H169+H174</f>
        <v>407193.97199999995</v>
      </c>
      <c r="P253" t="s">
        <v>1068</v>
      </c>
    </row>
    <row r="254" spans="7:16" x14ac:dyDescent="0.25">
      <c r="G254" t="s">
        <v>1083</v>
      </c>
      <c r="H254">
        <v>911272.32</v>
      </c>
      <c r="N254" t="s">
        <v>1065</v>
      </c>
      <c r="O254" s="6">
        <f>H102+H115+H122</f>
        <v>897799.02</v>
      </c>
    </row>
    <row r="255" spans="7:16" x14ac:dyDescent="0.25">
      <c r="G255" t="s">
        <v>1076</v>
      </c>
      <c r="H255">
        <v>820049.64</v>
      </c>
      <c r="N255" t="s">
        <v>1083</v>
      </c>
      <c r="O255" s="6">
        <f>H179+H180+H182</f>
        <v>911272.32</v>
      </c>
    </row>
    <row r="256" spans="7:16" x14ac:dyDescent="0.25">
      <c r="G256" t="s">
        <v>1076</v>
      </c>
      <c r="H256">
        <v>333922.5</v>
      </c>
      <c r="I256" t="s">
        <v>1068</v>
      </c>
      <c r="N256" t="s">
        <v>1076</v>
      </c>
      <c r="O256" s="6">
        <f>H191+H195+H228+H187+H121</f>
        <v>820049.64</v>
      </c>
    </row>
    <row r="257" spans="1:16" x14ac:dyDescent="0.25">
      <c r="N257" t="s">
        <v>1076</v>
      </c>
      <c r="O257" s="6">
        <f>H236+H234+H233+H209+H201+H199+H197+H196+H194</f>
        <v>333922.5</v>
      </c>
      <c r="P257" t="s">
        <v>1068</v>
      </c>
    </row>
    <row r="259" spans="1:16" x14ac:dyDescent="0.25">
      <c r="A259" s="239" t="s">
        <v>1130</v>
      </c>
      <c r="B259" s="239"/>
      <c r="C259" s="239"/>
    </row>
    <row r="260" spans="1:16" ht="36" x14ac:dyDescent="0.25">
      <c r="A260" s="133" t="s">
        <v>325</v>
      </c>
      <c r="C260" s="90">
        <v>3</v>
      </c>
      <c r="D260">
        <v>45000</v>
      </c>
      <c r="E260" s="6">
        <f t="shared" si="20"/>
        <v>15000</v>
      </c>
      <c r="F260" s="6">
        <f t="shared" si="21"/>
        <v>14550</v>
      </c>
      <c r="G260" s="6">
        <f t="shared" si="22"/>
        <v>17460</v>
      </c>
      <c r="H260" s="6">
        <f t="shared" si="23"/>
        <v>52380</v>
      </c>
      <c r="J260" s="134">
        <v>45824</v>
      </c>
    </row>
    <row r="261" spans="1:16" x14ac:dyDescent="0.25">
      <c r="A261" s="133" t="s">
        <v>307</v>
      </c>
      <c r="C261" s="90">
        <v>1</v>
      </c>
      <c r="D261">
        <v>34700</v>
      </c>
      <c r="E261" s="6">
        <f t="shared" si="20"/>
        <v>34700</v>
      </c>
      <c r="F261" s="6">
        <f t="shared" si="21"/>
        <v>33659</v>
      </c>
      <c r="G261" s="6">
        <f t="shared" si="22"/>
        <v>40390.799999999996</v>
      </c>
      <c r="H261" s="6">
        <f t="shared" si="23"/>
        <v>40390.799999999996</v>
      </c>
      <c r="J261" s="130">
        <v>16.059999999999999</v>
      </c>
    </row>
    <row r="262" spans="1:16" x14ac:dyDescent="0.25">
      <c r="A262" s="133" t="s">
        <v>170</v>
      </c>
      <c r="C262" s="90">
        <v>120</v>
      </c>
      <c r="D262">
        <v>285600</v>
      </c>
      <c r="E262" s="6">
        <f t="shared" si="20"/>
        <v>2380</v>
      </c>
      <c r="F262" s="6">
        <f t="shared" si="21"/>
        <v>2308.6</v>
      </c>
      <c r="G262" s="6">
        <f t="shared" si="22"/>
        <v>2770.3199999999997</v>
      </c>
      <c r="H262" s="6">
        <f t="shared" si="23"/>
        <v>332438.39999999997</v>
      </c>
      <c r="J262" s="130">
        <v>16.059999999999999</v>
      </c>
    </row>
    <row r="263" spans="1:16" x14ac:dyDescent="0.25">
      <c r="A263" s="133" t="s">
        <v>122</v>
      </c>
      <c r="C263" s="90">
        <v>4</v>
      </c>
      <c r="D263">
        <v>14280</v>
      </c>
      <c r="E263" s="6">
        <f t="shared" si="20"/>
        <v>3570</v>
      </c>
      <c r="F263" s="6">
        <f t="shared" si="21"/>
        <v>3462.9</v>
      </c>
      <c r="G263" s="6">
        <f t="shared" si="22"/>
        <v>4155.4799999999996</v>
      </c>
      <c r="H263" s="6">
        <f t="shared" si="23"/>
        <v>16621.919999999998</v>
      </c>
      <c r="J263" s="130">
        <v>16.059999999999999</v>
      </c>
    </row>
    <row r="264" spans="1:16" ht="24" x14ac:dyDescent="0.25">
      <c r="A264" s="133" t="s">
        <v>130</v>
      </c>
      <c r="C264" s="90">
        <v>1</v>
      </c>
      <c r="D264">
        <v>366080</v>
      </c>
      <c r="E264" s="6">
        <f t="shared" si="20"/>
        <v>366080</v>
      </c>
      <c r="F264" s="6">
        <f t="shared" si="21"/>
        <v>355097.59999999998</v>
      </c>
      <c r="G264" s="6">
        <f t="shared" si="22"/>
        <v>426117.11999999994</v>
      </c>
      <c r="H264" s="6">
        <f t="shared" si="23"/>
        <v>426117.11999999994</v>
      </c>
      <c r="J264" s="130">
        <v>16.059999999999999</v>
      </c>
    </row>
    <row r="265" spans="1:16" x14ac:dyDescent="0.25">
      <c r="A265" s="133" t="s">
        <v>306</v>
      </c>
      <c r="C265" s="90">
        <v>84</v>
      </c>
      <c r="D265">
        <v>6720</v>
      </c>
      <c r="E265" s="6">
        <f t="shared" si="20"/>
        <v>80</v>
      </c>
      <c r="F265" s="6">
        <f t="shared" si="21"/>
        <v>77.599999999999994</v>
      </c>
      <c r="G265" s="6">
        <f t="shared" si="22"/>
        <v>93.11999999999999</v>
      </c>
      <c r="H265" s="6">
        <f t="shared" si="23"/>
        <v>7822.079999999999</v>
      </c>
      <c r="J265" s="130">
        <v>16.059999999999999</v>
      </c>
    </row>
    <row r="266" spans="1:16" x14ac:dyDescent="0.25">
      <c r="A266" s="133" t="s">
        <v>317</v>
      </c>
      <c r="C266" s="90">
        <v>30</v>
      </c>
      <c r="D266">
        <v>8070</v>
      </c>
      <c r="E266" s="6">
        <f t="shared" si="20"/>
        <v>269</v>
      </c>
      <c r="F266" s="6">
        <f t="shared" si="21"/>
        <v>260.93</v>
      </c>
      <c r="G266" s="6">
        <f t="shared" si="22"/>
        <v>313.11599999999999</v>
      </c>
      <c r="H266" s="6">
        <f t="shared" si="23"/>
        <v>9393.48</v>
      </c>
      <c r="J266" s="130">
        <v>16.059999999999999</v>
      </c>
    </row>
    <row r="267" spans="1:16" ht="24" x14ac:dyDescent="0.25">
      <c r="A267" s="133" t="s">
        <v>318</v>
      </c>
      <c r="C267" s="90">
        <v>30</v>
      </c>
      <c r="D267">
        <v>8070</v>
      </c>
      <c r="E267" s="6">
        <f t="shared" si="20"/>
        <v>269</v>
      </c>
      <c r="F267" s="6">
        <f t="shared" si="21"/>
        <v>260.93</v>
      </c>
      <c r="G267" s="6">
        <f t="shared" si="22"/>
        <v>313.11599999999999</v>
      </c>
      <c r="H267" s="6">
        <f t="shared" si="23"/>
        <v>9393.48</v>
      </c>
      <c r="J267" s="130">
        <v>16.059999999999999</v>
      </c>
    </row>
    <row r="268" spans="1:16" x14ac:dyDescent="0.25">
      <c r="A268" s="133" t="s">
        <v>128</v>
      </c>
      <c r="C268" s="90">
        <v>2</v>
      </c>
      <c r="D268">
        <v>20480</v>
      </c>
      <c r="E268" s="6">
        <f t="shared" si="20"/>
        <v>10240</v>
      </c>
      <c r="F268" s="6">
        <f t="shared" si="21"/>
        <v>9932.7999999999993</v>
      </c>
      <c r="G268" s="6">
        <f t="shared" si="22"/>
        <v>11919.359999999999</v>
      </c>
      <c r="H268" s="6">
        <f t="shared" si="23"/>
        <v>23838.719999999998</v>
      </c>
      <c r="J268" s="130">
        <v>16.059999999999999</v>
      </c>
    </row>
    <row r="269" spans="1:16" x14ac:dyDescent="0.25">
      <c r="A269" s="133" t="s">
        <v>127</v>
      </c>
      <c r="C269" s="90">
        <v>12</v>
      </c>
      <c r="D269">
        <v>44340</v>
      </c>
      <c r="E269" s="6">
        <f t="shared" si="20"/>
        <v>3695</v>
      </c>
      <c r="F269" s="6">
        <f t="shared" si="21"/>
        <v>3584.15</v>
      </c>
      <c r="G269" s="6">
        <f t="shared" si="22"/>
        <v>4300.9799999999996</v>
      </c>
      <c r="H269" s="6">
        <f t="shared" si="23"/>
        <v>51611.759999999995</v>
      </c>
      <c r="J269" s="130">
        <v>16.059999999999999</v>
      </c>
    </row>
    <row r="270" spans="1:16" x14ac:dyDescent="0.25">
      <c r="A270" s="133" t="s">
        <v>321</v>
      </c>
      <c r="C270" s="90">
        <v>1</v>
      </c>
      <c r="D270">
        <v>168480</v>
      </c>
      <c r="E270" s="6">
        <f t="shared" si="20"/>
        <v>168480</v>
      </c>
      <c r="F270" s="6">
        <f t="shared" si="21"/>
        <v>163425.60000000001</v>
      </c>
      <c r="G270" s="6">
        <f t="shared" si="22"/>
        <v>196110.72</v>
      </c>
      <c r="H270" s="6">
        <f t="shared" si="23"/>
        <v>196110.72</v>
      </c>
      <c r="J270" s="130">
        <v>16.059999999999999</v>
      </c>
    </row>
    <row r="271" spans="1:16" x14ac:dyDescent="0.25">
      <c r="A271" s="133" t="s">
        <v>319</v>
      </c>
      <c r="C271" s="90">
        <v>1</v>
      </c>
      <c r="D271">
        <v>549180</v>
      </c>
      <c r="E271" s="6">
        <f t="shared" si="20"/>
        <v>549180</v>
      </c>
      <c r="F271" s="6">
        <f t="shared" si="21"/>
        <v>532704.6</v>
      </c>
      <c r="G271" s="6">
        <f t="shared" si="22"/>
        <v>639245.5199999999</v>
      </c>
      <c r="H271" s="6">
        <f t="shared" si="23"/>
        <v>639245.5199999999</v>
      </c>
      <c r="J271" s="130">
        <v>16.059999999999999</v>
      </c>
    </row>
    <row r="272" spans="1:16" x14ac:dyDescent="0.25">
      <c r="A272" s="133" t="s">
        <v>320</v>
      </c>
      <c r="C272" s="90">
        <v>1</v>
      </c>
      <c r="D272">
        <v>30960</v>
      </c>
      <c r="E272" s="6">
        <f t="shared" si="20"/>
        <v>30960</v>
      </c>
      <c r="F272" s="6">
        <f t="shared" si="21"/>
        <v>30031.200000000001</v>
      </c>
      <c r="G272" s="6">
        <f t="shared" si="22"/>
        <v>36037.440000000002</v>
      </c>
      <c r="H272" s="6">
        <f t="shared" si="23"/>
        <v>36037.440000000002</v>
      </c>
      <c r="J272" s="130">
        <v>16.059999999999999</v>
      </c>
    </row>
    <row r="273" spans="1:10" x14ac:dyDescent="0.25">
      <c r="A273" s="133" t="s">
        <v>201</v>
      </c>
      <c r="C273" s="90">
        <v>1</v>
      </c>
      <c r="D273">
        <v>85330</v>
      </c>
      <c r="E273" s="6">
        <f t="shared" si="20"/>
        <v>85330</v>
      </c>
      <c r="F273" s="6">
        <f t="shared" si="21"/>
        <v>82770.099999999991</v>
      </c>
      <c r="G273" s="6">
        <f t="shared" si="22"/>
        <v>99324.119999999981</v>
      </c>
      <c r="H273" s="6">
        <f t="shared" si="23"/>
        <v>99324.119999999981</v>
      </c>
      <c r="J273" s="130">
        <v>16.059999999999999</v>
      </c>
    </row>
    <row r="274" spans="1:10" x14ac:dyDescent="0.25">
      <c r="A274" s="133" t="s">
        <v>202</v>
      </c>
      <c r="C274" s="90">
        <v>1</v>
      </c>
      <c r="D274">
        <v>74180</v>
      </c>
      <c r="E274" s="6">
        <f t="shared" si="20"/>
        <v>74180</v>
      </c>
      <c r="F274" s="6">
        <f t="shared" si="21"/>
        <v>71954.599999999991</v>
      </c>
      <c r="G274" s="6">
        <f t="shared" si="22"/>
        <v>86345.51999999999</v>
      </c>
      <c r="H274" s="6">
        <f t="shared" si="23"/>
        <v>86345.51999999999</v>
      </c>
      <c r="J274" s="130">
        <v>16.059999999999999</v>
      </c>
    </row>
    <row r="275" spans="1:10" ht="24" x14ac:dyDescent="0.25">
      <c r="A275" s="133" t="s">
        <v>1131</v>
      </c>
      <c r="C275" s="90">
        <v>1</v>
      </c>
      <c r="D275">
        <v>547230</v>
      </c>
      <c r="E275" s="6">
        <f t="shared" si="20"/>
        <v>547230</v>
      </c>
      <c r="F275" s="6">
        <f t="shared" si="21"/>
        <v>530813.1</v>
      </c>
      <c r="G275" s="6">
        <f t="shared" si="22"/>
        <v>636975.72</v>
      </c>
      <c r="H275" s="6">
        <f t="shared" si="23"/>
        <v>636975.72</v>
      </c>
      <c r="J275" s="130">
        <v>16.059999999999999</v>
      </c>
    </row>
    <row r="276" spans="1:10" x14ac:dyDescent="0.25">
      <c r="A276" s="133" t="s">
        <v>1132</v>
      </c>
      <c r="C276" s="90">
        <v>3</v>
      </c>
      <c r="D276">
        <v>199020</v>
      </c>
      <c r="E276" s="6">
        <f t="shared" si="20"/>
        <v>66340</v>
      </c>
      <c r="F276" s="6">
        <f t="shared" si="21"/>
        <v>64349.799999999996</v>
      </c>
      <c r="G276" s="6">
        <f t="shared" si="22"/>
        <v>77219.759999999995</v>
      </c>
      <c r="H276" s="6">
        <f t="shared" si="23"/>
        <v>231659.27999999997</v>
      </c>
      <c r="J276" s="130">
        <v>16.059999999999999</v>
      </c>
    </row>
    <row r="277" spans="1:10" x14ac:dyDescent="0.25">
      <c r="A277" s="133" t="s">
        <v>121</v>
      </c>
      <c r="C277" s="90">
        <v>4</v>
      </c>
      <c r="D277">
        <v>96640</v>
      </c>
      <c r="E277" s="6">
        <f t="shared" si="20"/>
        <v>24160</v>
      </c>
      <c r="F277" s="6">
        <f t="shared" si="21"/>
        <v>23435.200000000001</v>
      </c>
      <c r="G277" s="6">
        <f t="shared" si="22"/>
        <v>28122.240000000002</v>
      </c>
      <c r="H277" s="6">
        <f t="shared" si="23"/>
        <v>112488.96000000001</v>
      </c>
      <c r="J277" s="130">
        <v>16.059999999999999</v>
      </c>
    </row>
    <row r="278" spans="1:10" x14ac:dyDescent="0.25">
      <c r="A278" s="133" t="s">
        <v>1133</v>
      </c>
      <c r="C278" s="90">
        <v>1</v>
      </c>
      <c r="D278">
        <v>40610</v>
      </c>
      <c r="E278" s="6">
        <f t="shared" si="20"/>
        <v>40610</v>
      </c>
      <c r="F278" s="6">
        <f t="shared" si="21"/>
        <v>39391.699999999997</v>
      </c>
      <c r="G278" s="6">
        <f t="shared" si="22"/>
        <v>47270.039999999994</v>
      </c>
      <c r="H278" s="6">
        <f t="shared" si="23"/>
        <v>47270.039999999994</v>
      </c>
      <c r="J278" s="130">
        <v>16.059999999999999</v>
      </c>
    </row>
    <row r="279" spans="1:10" x14ac:dyDescent="0.25">
      <c r="A279" s="133" t="s">
        <v>1134</v>
      </c>
      <c r="C279" s="90">
        <v>8</v>
      </c>
      <c r="D279">
        <v>8160</v>
      </c>
      <c r="E279" s="6">
        <f t="shared" si="20"/>
        <v>1020</v>
      </c>
      <c r="F279" s="6">
        <f t="shared" si="21"/>
        <v>989.4</v>
      </c>
      <c r="G279" s="6">
        <f t="shared" si="22"/>
        <v>1187.28</v>
      </c>
      <c r="H279" s="6">
        <f t="shared" si="23"/>
        <v>9498.24</v>
      </c>
      <c r="I279" t="s">
        <v>1135</v>
      </c>
      <c r="J279" s="130">
        <v>18.059999999999999</v>
      </c>
    </row>
    <row r="280" spans="1:10" x14ac:dyDescent="0.25">
      <c r="A280" s="129" t="s">
        <v>1136</v>
      </c>
      <c r="C280" s="90">
        <v>1</v>
      </c>
      <c r="D280">
        <v>69600</v>
      </c>
      <c r="E280" s="6">
        <f t="shared" si="20"/>
        <v>69600</v>
      </c>
      <c r="F280" s="6">
        <f t="shared" si="21"/>
        <v>67512</v>
      </c>
      <c r="G280" s="6">
        <f t="shared" si="22"/>
        <v>81014.399999999994</v>
      </c>
      <c r="H280" s="6">
        <f t="shared" si="23"/>
        <v>81014.399999999994</v>
      </c>
      <c r="J280" s="130">
        <v>16.059999999999999</v>
      </c>
    </row>
    <row r="281" spans="1:10" x14ac:dyDescent="0.25">
      <c r="A281" s="129" t="s">
        <v>268</v>
      </c>
      <c r="C281" s="90">
        <v>1</v>
      </c>
      <c r="D281">
        <v>8545</v>
      </c>
      <c r="E281" s="6">
        <f t="shared" si="20"/>
        <v>8545</v>
      </c>
      <c r="F281" s="6">
        <f t="shared" si="21"/>
        <v>8288.65</v>
      </c>
      <c r="G281" s="6">
        <f t="shared" si="22"/>
        <v>9946.3799999999992</v>
      </c>
      <c r="H281" s="6">
        <f t="shared" si="23"/>
        <v>9946.3799999999992</v>
      </c>
      <c r="J281" s="130">
        <v>16.059999999999999</v>
      </c>
    </row>
    <row r="282" spans="1:10" x14ac:dyDescent="0.25">
      <c r="A282" s="129" t="s">
        <v>124</v>
      </c>
      <c r="C282" s="90">
        <v>2</v>
      </c>
      <c r="D282">
        <v>208360</v>
      </c>
      <c r="E282" s="6">
        <f t="shared" si="20"/>
        <v>104180</v>
      </c>
      <c r="F282" s="6">
        <f t="shared" si="21"/>
        <v>101054.59999999999</v>
      </c>
      <c r="G282" s="6">
        <f t="shared" si="22"/>
        <v>121265.51999999999</v>
      </c>
      <c r="H282" s="6">
        <f t="shared" si="23"/>
        <v>242531.03999999998</v>
      </c>
      <c r="J282" s="130">
        <v>16.059999999999999</v>
      </c>
    </row>
    <row r="283" spans="1:10" ht="24" x14ac:dyDescent="0.25">
      <c r="A283" s="129" t="s">
        <v>313</v>
      </c>
      <c r="C283" s="90">
        <v>1</v>
      </c>
      <c r="D283">
        <v>36200</v>
      </c>
      <c r="E283" s="6">
        <f t="shared" si="20"/>
        <v>36200</v>
      </c>
      <c r="F283" s="6">
        <f t="shared" si="21"/>
        <v>35114</v>
      </c>
      <c r="G283" s="6">
        <f t="shared" si="22"/>
        <v>42136.799999999996</v>
      </c>
      <c r="H283" s="6">
        <f t="shared" si="23"/>
        <v>42136.799999999996</v>
      </c>
      <c r="J283" s="130">
        <v>16.059999999999999</v>
      </c>
    </row>
    <row r="284" spans="1:10" ht="24" x14ac:dyDescent="0.25">
      <c r="A284" s="129" t="s">
        <v>326</v>
      </c>
      <c r="C284" s="90">
        <v>20</v>
      </c>
      <c r="D284">
        <v>35900</v>
      </c>
      <c r="E284" s="6">
        <f t="shared" si="20"/>
        <v>1795</v>
      </c>
      <c r="F284" s="6">
        <f t="shared" si="21"/>
        <v>1741.1499999999999</v>
      </c>
      <c r="G284" s="6">
        <f t="shared" si="22"/>
        <v>2089.3799999999997</v>
      </c>
      <c r="H284" s="6">
        <f t="shared" si="23"/>
        <v>41787.599999999991</v>
      </c>
      <c r="J284" s="131">
        <v>45824</v>
      </c>
    </row>
    <row r="285" spans="1:10" x14ac:dyDescent="0.25">
      <c r="A285" s="129" t="s">
        <v>125</v>
      </c>
      <c r="C285" s="90">
        <v>3</v>
      </c>
      <c r="D285">
        <v>23025</v>
      </c>
      <c r="E285" s="6">
        <f t="shared" si="20"/>
        <v>7675</v>
      </c>
      <c r="F285" s="6">
        <f t="shared" si="21"/>
        <v>7444.75</v>
      </c>
      <c r="G285" s="6">
        <f t="shared" si="22"/>
        <v>8933.6999999999989</v>
      </c>
      <c r="H285" s="6">
        <f t="shared" si="23"/>
        <v>26801.1</v>
      </c>
      <c r="J285" s="130">
        <v>16.059999999999999</v>
      </c>
    </row>
    <row r="286" spans="1:10" x14ac:dyDescent="0.25">
      <c r="A286" s="129" t="s">
        <v>123</v>
      </c>
      <c r="C286" s="90">
        <v>4</v>
      </c>
      <c r="D286">
        <v>54480</v>
      </c>
      <c r="E286" s="6">
        <f t="shared" si="20"/>
        <v>13620</v>
      </c>
      <c r="F286" s="6">
        <f t="shared" si="21"/>
        <v>13211.4</v>
      </c>
      <c r="G286" s="6">
        <f t="shared" si="22"/>
        <v>15853.679999999998</v>
      </c>
      <c r="H286" s="6">
        <f t="shared" si="23"/>
        <v>63414.719999999994</v>
      </c>
      <c r="J286" s="130">
        <v>16.059999999999999</v>
      </c>
    </row>
    <row r="287" spans="1:10" x14ac:dyDescent="0.25">
      <c r="A287" s="129" t="s">
        <v>323</v>
      </c>
      <c r="C287" s="90">
        <v>3</v>
      </c>
      <c r="D287">
        <v>77355</v>
      </c>
      <c r="E287" s="6">
        <f t="shared" si="20"/>
        <v>25785</v>
      </c>
      <c r="F287" s="6">
        <f t="shared" si="21"/>
        <v>25011.45</v>
      </c>
      <c r="G287" s="6">
        <f t="shared" si="22"/>
        <v>30013.739999999998</v>
      </c>
      <c r="H287" s="6">
        <f t="shared" si="23"/>
        <v>90041.22</v>
      </c>
      <c r="J287" s="130">
        <v>16.059999999999999</v>
      </c>
    </row>
    <row r="288" spans="1:10" ht="24" x14ac:dyDescent="0.25">
      <c r="A288" s="129" t="s">
        <v>286</v>
      </c>
      <c r="C288" s="90">
        <v>10</v>
      </c>
      <c r="D288">
        <v>45240</v>
      </c>
      <c r="E288" s="6">
        <f t="shared" si="20"/>
        <v>4524</v>
      </c>
      <c r="F288" s="6">
        <f t="shared" si="21"/>
        <v>4388.28</v>
      </c>
      <c r="G288" s="6">
        <f t="shared" si="22"/>
        <v>5265.9359999999997</v>
      </c>
      <c r="H288" s="6">
        <f t="shared" si="23"/>
        <v>52659.360000000001</v>
      </c>
      <c r="J288" s="130">
        <v>16.059999999999999</v>
      </c>
    </row>
    <row r="289" spans="1:10" x14ac:dyDescent="0.25">
      <c r="A289" s="129" t="s">
        <v>98</v>
      </c>
      <c r="C289" s="90">
        <v>2</v>
      </c>
      <c r="D289">
        <v>8780</v>
      </c>
      <c r="E289" s="6">
        <f t="shared" si="20"/>
        <v>4390</v>
      </c>
      <c r="F289" s="6">
        <f t="shared" si="21"/>
        <v>4258.3</v>
      </c>
      <c r="G289" s="6">
        <f t="shared" si="22"/>
        <v>5109.96</v>
      </c>
      <c r="H289" s="6">
        <f t="shared" si="23"/>
        <v>10219.92</v>
      </c>
      <c r="J289" s="130">
        <v>16.059999999999999</v>
      </c>
    </row>
    <row r="290" spans="1:10" x14ac:dyDescent="0.25">
      <c r="A290" s="129" t="s">
        <v>126</v>
      </c>
      <c r="C290" s="90">
        <v>2</v>
      </c>
      <c r="D290">
        <v>62000</v>
      </c>
      <c r="E290" s="6">
        <f t="shared" si="20"/>
        <v>31000</v>
      </c>
      <c r="F290" s="6">
        <f t="shared" si="21"/>
        <v>30070</v>
      </c>
      <c r="G290" s="6">
        <f t="shared" si="22"/>
        <v>36084</v>
      </c>
      <c r="H290" s="6">
        <f t="shared" si="23"/>
        <v>72168</v>
      </c>
      <c r="J290" s="130">
        <v>16.059999999999999</v>
      </c>
    </row>
    <row r="291" spans="1:10" x14ac:dyDescent="0.25">
      <c r="A291" s="129" t="s">
        <v>1137</v>
      </c>
      <c r="C291" s="90">
        <v>3</v>
      </c>
      <c r="E291" s="6">
        <f t="shared" si="20"/>
        <v>0</v>
      </c>
      <c r="F291" s="6">
        <f t="shared" si="21"/>
        <v>0</v>
      </c>
      <c r="G291" s="6">
        <f t="shared" si="22"/>
        <v>0</v>
      </c>
      <c r="H291" s="6">
        <f t="shared" si="23"/>
        <v>0</v>
      </c>
      <c r="J291" s="130">
        <v>18.059999999999999</v>
      </c>
    </row>
  </sheetData>
  <autoFilter ref="J1:J256" xr:uid="{00000000-0009-0000-0000-00000C000000}"/>
  <mergeCells count="5">
    <mergeCell ref="A2:C2"/>
    <mergeCell ref="G88:H88"/>
    <mergeCell ref="A101:C101"/>
    <mergeCell ref="G238:H238"/>
    <mergeCell ref="A259:C259"/>
  </mergeCells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/>
  </sheetViews>
  <sheetFormatPr defaultRowHeight="15" x14ac:dyDescent="0.25"/>
  <cols>
    <col min="3" max="3" width="39.85546875" customWidth="1"/>
    <col min="6" max="6" width="15.140625" customWidth="1"/>
    <col min="7" max="7" width="11.28515625" customWidth="1"/>
    <col min="8" max="8" width="12.140625" customWidth="1"/>
  </cols>
  <sheetData>
    <row r="1" spans="1:9" ht="26.25" customHeight="1" x14ac:dyDescent="0.25">
      <c r="A1" s="69">
        <v>1</v>
      </c>
      <c r="B1" s="70" t="s">
        <v>1006</v>
      </c>
      <c r="C1" s="71" t="s">
        <v>1138</v>
      </c>
      <c r="D1" s="106" t="s">
        <v>1003</v>
      </c>
      <c r="E1" s="73" t="s">
        <v>1007</v>
      </c>
      <c r="F1" s="73" t="s">
        <v>1004</v>
      </c>
      <c r="G1" s="73" t="s">
        <v>1008</v>
      </c>
      <c r="H1" s="73" t="s">
        <v>1005</v>
      </c>
      <c r="I1" t="s">
        <v>1139</v>
      </c>
    </row>
    <row r="2" spans="1:9" ht="24" x14ac:dyDescent="0.25">
      <c r="A2" s="74"/>
      <c r="B2" s="75" t="s">
        <v>1006</v>
      </c>
      <c r="C2" s="122" t="s">
        <v>138</v>
      </c>
      <c r="D2" s="81">
        <v>40</v>
      </c>
      <c r="E2" s="6">
        <v>552.9</v>
      </c>
      <c r="F2" s="6">
        <v>663.4799999999999</v>
      </c>
      <c r="G2" s="6"/>
      <c r="H2" s="6">
        <v>26539.199999999997</v>
      </c>
    </row>
    <row r="3" spans="1:9" x14ac:dyDescent="0.25">
      <c r="A3" s="74"/>
      <c r="B3" s="75"/>
      <c r="C3" s="129" t="s">
        <v>955</v>
      </c>
      <c r="D3" s="137">
        <v>200</v>
      </c>
      <c r="E3" s="6">
        <v>290</v>
      </c>
      <c r="F3" s="6">
        <v>348</v>
      </c>
      <c r="G3" s="6"/>
      <c r="H3" s="138">
        <v>69600</v>
      </c>
    </row>
    <row r="4" spans="1:9" x14ac:dyDescent="0.25">
      <c r="A4" s="26"/>
      <c r="B4" s="26"/>
      <c r="C4" s="82" t="s">
        <v>1006</v>
      </c>
      <c r="D4" s="121" t="s">
        <v>1006</v>
      </c>
      <c r="E4" s="84" t="s">
        <v>1006</v>
      </c>
      <c r="F4" s="85"/>
      <c r="G4" s="86" t="s">
        <v>980</v>
      </c>
      <c r="H4" s="68">
        <f>H2+H3</f>
        <v>96139.199999999997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3"/>
  <sheetViews>
    <sheetView topLeftCell="A102" workbookViewId="0"/>
  </sheetViews>
  <sheetFormatPr defaultRowHeight="15" x14ac:dyDescent="0.25"/>
  <cols>
    <col min="3" max="3" width="39.85546875" customWidth="1"/>
    <col min="6" max="6" width="15.140625" customWidth="1"/>
    <col min="7" max="7" width="11.28515625" customWidth="1"/>
    <col min="8" max="8" width="12.140625" customWidth="1"/>
  </cols>
  <sheetData>
    <row r="1" spans="1:8" ht="26.25" customHeight="1" x14ac:dyDescent="0.25">
      <c r="A1" s="69">
        <v>1</v>
      </c>
      <c r="B1" s="70" t="s">
        <v>1006</v>
      </c>
      <c r="C1" s="139" t="s">
        <v>1138</v>
      </c>
      <c r="D1" s="106" t="s">
        <v>1003</v>
      </c>
      <c r="E1" s="73" t="s">
        <v>1007</v>
      </c>
      <c r="F1" s="73" t="s">
        <v>1004</v>
      </c>
      <c r="G1" s="73" t="s">
        <v>1008</v>
      </c>
      <c r="H1" s="73" t="s">
        <v>1005</v>
      </c>
    </row>
    <row r="2" spans="1:8" x14ac:dyDescent="0.25">
      <c r="A2" s="74"/>
      <c r="B2" s="70" t="s">
        <v>1006</v>
      </c>
      <c r="C2" s="140" t="s">
        <v>88</v>
      </c>
      <c r="D2" s="81">
        <v>20</v>
      </c>
      <c r="E2" s="76">
        <v>243</v>
      </c>
      <c r="F2" s="76">
        <v>291</v>
      </c>
      <c r="G2" s="77">
        <v>4860</v>
      </c>
      <c r="H2" s="141">
        <v>5820</v>
      </c>
    </row>
    <row r="3" spans="1:8" x14ac:dyDescent="0.25">
      <c r="A3" s="74"/>
      <c r="B3" s="70" t="s">
        <v>1006</v>
      </c>
      <c r="C3" s="142" t="s">
        <v>20</v>
      </c>
      <c r="D3" s="62">
        <v>1</v>
      </c>
      <c r="E3" s="79">
        <v>17339</v>
      </c>
      <c r="F3" s="143">
        <v>20807</v>
      </c>
      <c r="G3" s="80">
        <v>17339</v>
      </c>
      <c r="H3" s="144">
        <v>20807</v>
      </c>
    </row>
    <row r="4" spans="1:8" x14ac:dyDescent="0.25">
      <c r="A4" s="74"/>
      <c r="B4" s="70" t="s">
        <v>1006</v>
      </c>
      <c r="C4" s="142" t="s">
        <v>1023</v>
      </c>
      <c r="D4" s="62">
        <v>12</v>
      </c>
      <c r="E4" s="79">
        <v>3453</v>
      </c>
      <c r="F4" s="79">
        <v>4144</v>
      </c>
      <c r="G4" s="80">
        <v>41436</v>
      </c>
      <c r="H4" s="144">
        <v>49728</v>
      </c>
    </row>
    <row r="5" spans="1:8" x14ac:dyDescent="0.25">
      <c r="A5" s="74"/>
      <c r="B5" s="70" t="s">
        <v>1006</v>
      </c>
      <c r="C5" s="142" t="s">
        <v>100</v>
      </c>
      <c r="D5" s="62">
        <v>5</v>
      </c>
      <c r="E5" s="79">
        <v>5733</v>
      </c>
      <c r="F5" s="79">
        <v>6879</v>
      </c>
      <c r="G5" s="80">
        <v>28665</v>
      </c>
      <c r="H5" s="144">
        <v>34395</v>
      </c>
    </row>
    <row r="6" spans="1:8" x14ac:dyDescent="0.25">
      <c r="A6" s="74"/>
      <c r="B6" s="70" t="s">
        <v>1006</v>
      </c>
      <c r="C6" s="142" t="s">
        <v>101</v>
      </c>
      <c r="D6" s="62">
        <v>5</v>
      </c>
      <c r="E6" s="79">
        <v>3836</v>
      </c>
      <c r="F6" s="143">
        <v>4604</v>
      </c>
      <c r="G6" s="80">
        <v>19180</v>
      </c>
      <c r="H6" s="144">
        <v>23020</v>
      </c>
    </row>
    <row r="7" spans="1:8" ht="24" x14ac:dyDescent="0.25">
      <c r="A7" s="74"/>
      <c r="B7" s="70" t="s">
        <v>1006</v>
      </c>
      <c r="C7" s="142" t="s">
        <v>102</v>
      </c>
      <c r="D7" s="62">
        <v>1</v>
      </c>
      <c r="E7" s="79">
        <v>18508</v>
      </c>
      <c r="F7" s="143">
        <v>22209</v>
      </c>
      <c r="G7" s="80">
        <v>18508</v>
      </c>
      <c r="H7" s="144">
        <v>22209</v>
      </c>
    </row>
    <row r="8" spans="1:8" x14ac:dyDescent="0.25">
      <c r="A8" s="74"/>
      <c r="B8" s="74"/>
      <c r="C8" s="145" t="s">
        <v>76</v>
      </c>
      <c r="D8" s="62">
        <v>1</v>
      </c>
      <c r="E8" s="79">
        <v>3657</v>
      </c>
      <c r="F8" s="143">
        <v>4388</v>
      </c>
      <c r="G8" s="80">
        <v>3657</v>
      </c>
      <c r="H8" s="144">
        <v>4388</v>
      </c>
    </row>
    <row r="9" spans="1:8" x14ac:dyDescent="0.25">
      <c r="A9" s="26"/>
      <c r="B9" s="26"/>
      <c r="C9" s="142" t="s">
        <v>36</v>
      </c>
      <c r="D9" s="62">
        <v>5</v>
      </c>
      <c r="E9" s="79">
        <v>5461</v>
      </c>
      <c r="F9" s="79">
        <v>6553</v>
      </c>
      <c r="G9" s="80">
        <v>27305</v>
      </c>
      <c r="H9" s="144">
        <v>32765</v>
      </c>
    </row>
    <row r="10" spans="1:8" x14ac:dyDescent="0.25">
      <c r="A10" s="26"/>
      <c r="B10" s="26"/>
      <c r="C10" s="142" t="s">
        <v>33</v>
      </c>
      <c r="D10" s="62">
        <v>1</v>
      </c>
      <c r="E10" s="79">
        <v>5214</v>
      </c>
      <c r="F10" s="79">
        <v>6257</v>
      </c>
      <c r="G10" s="80">
        <v>5214</v>
      </c>
      <c r="H10" s="144">
        <v>6257</v>
      </c>
    </row>
    <row r="11" spans="1:8" x14ac:dyDescent="0.25">
      <c r="A11" s="26"/>
      <c r="B11" s="26"/>
      <c r="C11" s="146" t="s">
        <v>1032</v>
      </c>
      <c r="D11" s="62">
        <v>1</v>
      </c>
      <c r="E11" s="79">
        <v>151087</v>
      </c>
      <c r="F11" s="143">
        <v>181305</v>
      </c>
      <c r="G11" s="80">
        <v>151087</v>
      </c>
      <c r="H11" s="144">
        <v>181305</v>
      </c>
    </row>
    <row r="12" spans="1:8" x14ac:dyDescent="0.25">
      <c r="A12" s="26"/>
      <c r="B12" s="26"/>
      <c r="C12" s="146" t="s">
        <v>103</v>
      </c>
      <c r="D12" s="62">
        <v>60</v>
      </c>
      <c r="E12" s="79">
        <v>9879</v>
      </c>
      <c r="F12" s="143">
        <v>11855</v>
      </c>
      <c r="G12" s="80">
        <v>592740</v>
      </c>
      <c r="H12" s="144">
        <v>711300</v>
      </c>
    </row>
    <row r="13" spans="1:8" x14ac:dyDescent="0.25">
      <c r="A13" s="26"/>
      <c r="B13" s="26"/>
      <c r="C13" s="82" t="s">
        <v>1006</v>
      </c>
      <c r="D13" s="121" t="s">
        <v>1006</v>
      </c>
      <c r="E13" s="84" t="s">
        <v>1006</v>
      </c>
      <c r="F13" s="85"/>
      <c r="G13" s="86" t="s">
        <v>980</v>
      </c>
      <c r="H13" s="68">
        <v>1091994</v>
      </c>
    </row>
    <row r="14" spans="1:8" x14ac:dyDescent="0.25">
      <c r="A14" s="26"/>
      <c r="B14" s="26"/>
      <c r="C14" s="116"/>
      <c r="D14" s="92"/>
      <c r="E14" s="107"/>
      <c r="F14" s="117"/>
      <c r="G14" s="118"/>
      <c r="H14" s="118"/>
    </row>
    <row r="15" spans="1:8" x14ac:dyDescent="0.25">
      <c r="A15" s="26"/>
      <c r="B15" s="26"/>
      <c r="C15" s="107"/>
      <c r="D15" s="92"/>
      <c r="E15" s="107"/>
      <c r="F15" s="85"/>
      <c r="G15" s="118"/>
      <c r="H15" s="118"/>
    </row>
    <row r="16" spans="1:8" x14ac:dyDescent="0.25">
      <c r="A16" s="26"/>
      <c r="B16" s="26"/>
      <c r="C16" s="91"/>
      <c r="D16" s="92"/>
      <c r="E16" s="91"/>
      <c r="F16" s="93"/>
      <c r="G16" s="94"/>
      <c r="H16" s="94"/>
    </row>
    <row r="17" spans="1:8" ht="38.25" x14ac:dyDescent="0.25">
      <c r="A17" s="69">
        <v>3</v>
      </c>
      <c r="B17" s="70" t="s">
        <v>1006</v>
      </c>
      <c r="C17" s="95" t="s">
        <v>1140</v>
      </c>
      <c r="D17" s="106" t="s">
        <v>1003</v>
      </c>
      <c r="E17" s="73" t="s">
        <v>1007</v>
      </c>
      <c r="F17" s="73" t="s">
        <v>1004</v>
      </c>
      <c r="G17" s="96" t="s">
        <v>1008</v>
      </c>
      <c r="H17" s="96" t="s">
        <v>1005</v>
      </c>
    </row>
    <row r="18" spans="1:8" ht="24" x14ac:dyDescent="0.25">
      <c r="A18" s="74"/>
      <c r="B18" s="74"/>
      <c r="C18" s="140" t="s">
        <v>1039</v>
      </c>
      <c r="D18" s="81">
        <v>7</v>
      </c>
      <c r="E18" s="79">
        <v>3822</v>
      </c>
      <c r="F18" s="79">
        <v>4586</v>
      </c>
      <c r="G18" s="97">
        <v>26754</v>
      </c>
      <c r="H18" s="78">
        <v>32102</v>
      </c>
    </row>
    <row r="19" spans="1:8" x14ac:dyDescent="0.25">
      <c r="A19" s="74"/>
      <c r="B19" s="74"/>
      <c r="C19" s="142" t="s">
        <v>75</v>
      </c>
      <c r="D19" s="62">
        <v>1</v>
      </c>
      <c r="E19" s="79">
        <v>31966</v>
      </c>
      <c r="F19" s="79">
        <v>38360</v>
      </c>
      <c r="G19" s="80">
        <v>31966</v>
      </c>
      <c r="H19" s="144">
        <v>38360</v>
      </c>
    </row>
    <row r="20" spans="1:8" x14ac:dyDescent="0.25">
      <c r="A20" s="74"/>
      <c r="B20" s="74"/>
      <c r="C20" s="142" t="s">
        <v>1044</v>
      </c>
      <c r="D20" s="62">
        <v>2</v>
      </c>
      <c r="E20" s="79">
        <v>1567</v>
      </c>
      <c r="F20" s="79">
        <v>1880</v>
      </c>
      <c r="G20" s="80">
        <v>3134</v>
      </c>
      <c r="H20" s="144">
        <v>3760</v>
      </c>
    </row>
    <row r="21" spans="1:8" x14ac:dyDescent="0.25">
      <c r="A21" s="74"/>
      <c r="B21" s="74"/>
      <c r="C21" s="142" t="s">
        <v>74</v>
      </c>
      <c r="D21" s="62">
        <v>1</v>
      </c>
      <c r="E21" s="79">
        <v>22776</v>
      </c>
      <c r="F21" s="79">
        <v>27331</v>
      </c>
      <c r="G21" s="80">
        <v>22776</v>
      </c>
      <c r="H21" s="144">
        <v>27331</v>
      </c>
    </row>
    <row r="22" spans="1:8" x14ac:dyDescent="0.25">
      <c r="A22" s="74"/>
      <c r="B22" s="70" t="s">
        <v>1006</v>
      </c>
      <c r="C22" s="142" t="s">
        <v>1056</v>
      </c>
      <c r="D22" s="62">
        <v>5</v>
      </c>
      <c r="E22" s="79">
        <v>3841</v>
      </c>
      <c r="F22" s="79">
        <v>4609</v>
      </c>
      <c r="G22" s="80">
        <v>19205</v>
      </c>
      <c r="H22" s="144">
        <v>23045</v>
      </c>
    </row>
    <row r="23" spans="1:8" x14ac:dyDescent="0.25">
      <c r="A23" s="74"/>
      <c r="B23" s="74"/>
      <c r="C23" s="142" t="s">
        <v>91</v>
      </c>
      <c r="D23" s="62">
        <v>1</v>
      </c>
      <c r="E23" s="147">
        <v>1208</v>
      </c>
      <c r="F23" s="79">
        <v>1449</v>
      </c>
      <c r="G23" s="80">
        <v>1208</v>
      </c>
      <c r="H23" s="144">
        <v>1449</v>
      </c>
    </row>
    <row r="24" spans="1:8" ht="24" x14ac:dyDescent="0.25">
      <c r="A24" s="74"/>
      <c r="B24" s="74"/>
      <c r="C24" s="142" t="s">
        <v>1058</v>
      </c>
      <c r="D24" s="62">
        <v>1</v>
      </c>
      <c r="E24" s="79">
        <v>546687</v>
      </c>
      <c r="F24" s="79">
        <v>656025</v>
      </c>
      <c r="G24" s="80">
        <v>546687</v>
      </c>
      <c r="H24" s="144">
        <v>656025</v>
      </c>
    </row>
    <row r="25" spans="1:8" x14ac:dyDescent="0.25">
      <c r="A25" s="26"/>
      <c r="B25" s="26"/>
      <c r="C25" s="146" t="s">
        <v>77</v>
      </c>
      <c r="D25" s="62">
        <v>1</v>
      </c>
      <c r="E25" s="79">
        <v>3657</v>
      </c>
      <c r="F25" s="143">
        <v>4388</v>
      </c>
      <c r="G25" s="80">
        <v>3657</v>
      </c>
      <c r="H25" s="144">
        <v>4388</v>
      </c>
    </row>
    <row r="26" spans="1:8" x14ac:dyDescent="0.25">
      <c r="A26" s="26"/>
      <c r="B26" s="26"/>
      <c r="C26" s="145" t="s">
        <v>77</v>
      </c>
      <c r="D26" s="62">
        <v>40</v>
      </c>
      <c r="E26" s="79">
        <v>3657</v>
      </c>
      <c r="F26" s="143">
        <v>4388</v>
      </c>
      <c r="G26" s="80">
        <v>146280</v>
      </c>
      <c r="H26" s="144">
        <v>175520</v>
      </c>
    </row>
    <row r="27" spans="1:8" x14ac:dyDescent="0.25">
      <c r="A27" s="26"/>
      <c r="B27" s="26"/>
      <c r="C27" s="82" t="s">
        <v>1006</v>
      </c>
      <c r="D27" s="121" t="s">
        <v>1006</v>
      </c>
      <c r="E27" s="84" t="s">
        <v>1006</v>
      </c>
      <c r="F27" s="85"/>
      <c r="G27" s="86" t="s">
        <v>980</v>
      </c>
      <c r="H27" s="68">
        <v>961980</v>
      </c>
    </row>
    <row r="28" spans="1:8" x14ac:dyDescent="0.25">
      <c r="A28" s="26"/>
      <c r="B28" s="26"/>
      <c r="C28" s="98" t="s">
        <v>1006</v>
      </c>
      <c r="D28" s="70" t="s">
        <v>1006</v>
      </c>
      <c r="E28" s="99" t="s">
        <v>1006</v>
      </c>
      <c r="F28" s="85"/>
      <c r="G28" s="118"/>
      <c r="H28" s="118"/>
    </row>
    <row r="29" spans="1:8" x14ac:dyDescent="0.25">
      <c r="A29" s="26"/>
      <c r="B29" s="26"/>
      <c r="C29" s="101" t="s">
        <v>1006</v>
      </c>
      <c r="D29" s="102" t="s">
        <v>1006</v>
      </c>
      <c r="E29" s="103" t="s">
        <v>1006</v>
      </c>
      <c r="F29" s="103" t="s">
        <v>1006</v>
      </c>
      <c r="G29" s="104" t="s">
        <v>1006</v>
      </c>
      <c r="H29" s="104" t="s">
        <v>1006</v>
      </c>
    </row>
    <row r="30" spans="1:8" ht="38.25" x14ac:dyDescent="0.25">
      <c r="A30" s="76">
        <v>4</v>
      </c>
      <c r="B30" s="26"/>
      <c r="C30" s="105" t="s">
        <v>1141</v>
      </c>
      <c r="D30" s="106" t="s">
        <v>1003</v>
      </c>
      <c r="E30" s="73" t="s">
        <v>1007</v>
      </c>
      <c r="F30" s="73" t="s">
        <v>1004</v>
      </c>
      <c r="G30" s="96" t="s">
        <v>1008</v>
      </c>
      <c r="H30" s="96" t="s">
        <v>1005</v>
      </c>
    </row>
    <row r="31" spans="1:8" x14ac:dyDescent="0.25">
      <c r="A31" s="26"/>
      <c r="B31" s="26"/>
      <c r="C31" s="140" t="s">
        <v>1011</v>
      </c>
      <c r="D31" s="81">
        <v>1</v>
      </c>
      <c r="E31" s="79">
        <v>37765</v>
      </c>
      <c r="F31" s="79">
        <v>45318</v>
      </c>
      <c r="G31" s="97">
        <v>37765</v>
      </c>
      <c r="H31" s="78">
        <v>45318</v>
      </c>
    </row>
    <row r="32" spans="1:8" x14ac:dyDescent="0.25">
      <c r="A32" s="26"/>
      <c r="B32" s="26"/>
      <c r="C32" s="142" t="s">
        <v>1013</v>
      </c>
      <c r="D32" s="62">
        <v>1</v>
      </c>
      <c r="E32" s="79">
        <v>32519</v>
      </c>
      <c r="F32" s="79">
        <v>39023</v>
      </c>
      <c r="G32" s="80">
        <v>32519</v>
      </c>
      <c r="H32" s="144">
        <v>39023</v>
      </c>
    </row>
    <row r="33" spans="1:8" ht="24" x14ac:dyDescent="0.25">
      <c r="A33" s="26"/>
      <c r="B33" s="26"/>
      <c r="C33" s="148" t="s">
        <v>1018</v>
      </c>
      <c r="D33" s="62">
        <v>2</v>
      </c>
      <c r="E33" s="79">
        <v>14781</v>
      </c>
      <c r="F33" s="79">
        <v>17737</v>
      </c>
      <c r="G33" s="80">
        <v>29562</v>
      </c>
      <c r="H33" s="144">
        <v>35474</v>
      </c>
    </row>
    <row r="34" spans="1:8" ht="24" x14ac:dyDescent="0.25">
      <c r="A34" s="26"/>
      <c r="B34" s="26"/>
      <c r="C34" s="148" t="s">
        <v>1019</v>
      </c>
      <c r="D34" s="62">
        <v>2</v>
      </c>
      <c r="E34" s="79">
        <v>16973</v>
      </c>
      <c r="F34" s="79">
        <v>20367</v>
      </c>
      <c r="G34" s="80">
        <v>33946</v>
      </c>
      <c r="H34" s="144">
        <v>40734</v>
      </c>
    </row>
    <row r="35" spans="1:8" x14ac:dyDescent="0.25">
      <c r="A35" s="26"/>
      <c r="B35" s="26"/>
      <c r="C35" s="145" t="s">
        <v>107</v>
      </c>
      <c r="D35" s="62">
        <v>1</v>
      </c>
      <c r="E35" s="79">
        <v>13473</v>
      </c>
      <c r="F35" s="143">
        <v>16168</v>
      </c>
      <c r="G35" s="80">
        <v>13473</v>
      </c>
      <c r="H35" s="144">
        <v>16168</v>
      </c>
    </row>
    <row r="36" spans="1:8" x14ac:dyDescent="0.25">
      <c r="A36" s="26"/>
      <c r="B36" s="26"/>
      <c r="C36" s="142" t="s">
        <v>1030</v>
      </c>
      <c r="D36" s="62">
        <v>1</v>
      </c>
      <c r="E36" s="79">
        <v>47375</v>
      </c>
      <c r="F36" s="79">
        <v>56850</v>
      </c>
      <c r="G36" s="80">
        <v>47375</v>
      </c>
      <c r="H36" s="144">
        <v>56850</v>
      </c>
    </row>
    <row r="37" spans="1:8" ht="24" x14ac:dyDescent="0.25">
      <c r="A37" s="26"/>
      <c r="B37" s="26"/>
      <c r="C37" s="146" t="s">
        <v>1041</v>
      </c>
      <c r="D37" s="62">
        <v>1</v>
      </c>
      <c r="E37" s="79">
        <v>213788</v>
      </c>
      <c r="F37" s="143">
        <v>256546</v>
      </c>
      <c r="G37" s="80">
        <v>213788</v>
      </c>
      <c r="H37" s="144">
        <v>256546</v>
      </c>
    </row>
    <row r="38" spans="1:8" x14ac:dyDescent="0.25">
      <c r="A38" s="26"/>
      <c r="B38" s="26"/>
      <c r="C38" s="142" t="s">
        <v>10</v>
      </c>
      <c r="D38" s="62">
        <v>2</v>
      </c>
      <c r="E38" s="79">
        <v>51391</v>
      </c>
      <c r="F38" s="79">
        <v>61669</v>
      </c>
      <c r="G38" s="80">
        <v>102782</v>
      </c>
      <c r="H38" s="144">
        <v>123338</v>
      </c>
    </row>
    <row r="39" spans="1:8" x14ac:dyDescent="0.25">
      <c r="A39" s="26"/>
      <c r="B39" s="26"/>
      <c r="C39" s="148" t="s">
        <v>1033</v>
      </c>
      <c r="D39" s="62">
        <v>5</v>
      </c>
      <c r="E39" s="79">
        <v>4285</v>
      </c>
      <c r="F39" s="79">
        <v>5143</v>
      </c>
      <c r="G39" s="80">
        <v>21425</v>
      </c>
      <c r="H39" s="144">
        <v>25715</v>
      </c>
    </row>
    <row r="40" spans="1:8" x14ac:dyDescent="0.25">
      <c r="A40" s="26"/>
      <c r="B40" s="26"/>
      <c r="C40" s="142" t="s">
        <v>1035</v>
      </c>
      <c r="D40" s="62">
        <v>2</v>
      </c>
      <c r="E40" s="79">
        <v>27199</v>
      </c>
      <c r="F40" s="79">
        <v>32639</v>
      </c>
      <c r="G40" s="80">
        <v>54398</v>
      </c>
      <c r="H40" s="144">
        <v>65278</v>
      </c>
    </row>
    <row r="41" spans="1:8" ht="24" x14ac:dyDescent="0.25">
      <c r="A41" s="26"/>
      <c r="B41" s="26"/>
      <c r="C41" s="142" t="s">
        <v>113</v>
      </c>
      <c r="D41" s="62">
        <v>8</v>
      </c>
      <c r="E41" s="79">
        <v>9850</v>
      </c>
      <c r="F41" s="79">
        <v>11820</v>
      </c>
      <c r="G41" s="80">
        <v>78800</v>
      </c>
      <c r="H41" s="144">
        <v>94560</v>
      </c>
    </row>
    <row r="42" spans="1:8" x14ac:dyDescent="0.25">
      <c r="A42" s="26"/>
      <c r="B42" s="26"/>
      <c r="C42" s="142" t="s">
        <v>137</v>
      </c>
      <c r="D42" s="62">
        <v>3</v>
      </c>
      <c r="E42" s="79">
        <v>24260</v>
      </c>
      <c r="F42" s="79">
        <v>29112</v>
      </c>
      <c r="G42" s="80">
        <v>72780</v>
      </c>
      <c r="H42" s="144">
        <v>87336</v>
      </c>
    </row>
    <row r="43" spans="1:8" x14ac:dyDescent="0.25">
      <c r="A43" s="26"/>
      <c r="B43" s="26"/>
      <c r="C43" s="107"/>
      <c r="D43" s="108"/>
      <c r="E43" s="107"/>
      <c r="F43" s="85"/>
      <c r="G43" s="86" t="s">
        <v>980</v>
      </c>
      <c r="H43" s="68">
        <v>886340</v>
      </c>
    </row>
    <row r="44" spans="1:8" x14ac:dyDescent="0.25">
      <c r="A44" s="26"/>
      <c r="B44" s="26"/>
      <c r="C44" s="91"/>
      <c r="D44" s="92"/>
      <c r="E44" s="91"/>
      <c r="F44" s="93"/>
      <c r="G44" s="94"/>
      <c r="H44" s="94"/>
    </row>
    <row r="45" spans="1:8" x14ac:dyDescent="0.25">
      <c r="A45" s="26"/>
      <c r="B45" s="26"/>
      <c r="C45" s="91"/>
      <c r="D45" s="92"/>
      <c r="E45" s="91"/>
      <c r="F45" s="93"/>
      <c r="G45" s="94"/>
      <c r="H45" s="94"/>
    </row>
    <row r="46" spans="1:8" ht="38.25" x14ac:dyDescent="0.25">
      <c r="A46" s="76">
        <v>5</v>
      </c>
      <c r="B46" s="26"/>
      <c r="C46" s="149" t="s">
        <v>1142</v>
      </c>
      <c r="D46" s="72" t="s">
        <v>1003</v>
      </c>
      <c r="E46" s="110" t="s">
        <v>1007</v>
      </c>
      <c r="F46" s="73" t="s">
        <v>1004</v>
      </c>
      <c r="G46" s="111" t="s">
        <v>1008</v>
      </c>
      <c r="H46" s="96" t="s">
        <v>1005</v>
      </c>
    </row>
    <row r="47" spans="1:8" ht="24" x14ac:dyDescent="0.25">
      <c r="A47" s="26"/>
      <c r="B47" s="26"/>
      <c r="C47" s="140" t="s">
        <v>26</v>
      </c>
      <c r="D47" s="81">
        <v>2</v>
      </c>
      <c r="E47" s="79">
        <v>106021</v>
      </c>
      <c r="F47" s="79">
        <v>127225</v>
      </c>
      <c r="G47" s="97">
        <v>212042</v>
      </c>
      <c r="H47" s="78">
        <v>254450</v>
      </c>
    </row>
    <row r="48" spans="1:8" x14ac:dyDescent="0.25">
      <c r="A48" s="26"/>
      <c r="B48" s="26"/>
      <c r="C48" s="142" t="s">
        <v>25</v>
      </c>
      <c r="D48" s="62">
        <v>1</v>
      </c>
      <c r="E48" s="79">
        <v>115973</v>
      </c>
      <c r="F48" s="79">
        <v>139168</v>
      </c>
      <c r="G48" s="80">
        <v>115973</v>
      </c>
      <c r="H48" s="144">
        <v>139168</v>
      </c>
    </row>
    <row r="49" spans="1:8" x14ac:dyDescent="0.25">
      <c r="A49" s="26"/>
      <c r="B49" s="26"/>
      <c r="C49" s="142" t="s">
        <v>955</v>
      </c>
      <c r="D49" s="62">
        <v>120</v>
      </c>
      <c r="E49" s="79">
        <v>180</v>
      </c>
      <c r="F49" s="79">
        <v>216</v>
      </c>
      <c r="G49" s="80">
        <v>21600</v>
      </c>
      <c r="H49" s="144">
        <v>25920</v>
      </c>
    </row>
    <row r="50" spans="1:8" ht="24" x14ac:dyDescent="0.25">
      <c r="A50" s="26"/>
      <c r="B50" s="26"/>
      <c r="C50" s="142" t="s">
        <v>21</v>
      </c>
      <c r="D50" s="137">
        <v>1200</v>
      </c>
      <c r="E50" s="79">
        <v>4</v>
      </c>
      <c r="F50" s="79">
        <v>5</v>
      </c>
      <c r="G50" s="80">
        <v>4800</v>
      </c>
      <c r="H50" s="144">
        <v>6000</v>
      </c>
    </row>
    <row r="51" spans="1:8" ht="48" x14ac:dyDescent="0.25">
      <c r="A51" s="26"/>
      <c r="B51" s="26"/>
      <c r="C51" s="142" t="s">
        <v>1016</v>
      </c>
      <c r="D51" s="81">
        <v>4</v>
      </c>
      <c r="E51" s="79">
        <v>6693</v>
      </c>
      <c r="F51" s="79">
        <v>8032</v>
      </c>
      <c r="G51" s="80">
        <v>26772</v>
      </c>
      <c r="H51" s="144">
        <v>32128</v>
      </c>
    </row>
    <row r="52" spans="1:8" x14ac:dyDescent="0.25">
      <c r="A52" s="26"/>
      <c r="B52" s="26"/>
      <c r="C52" s="142" t="s">
        <v>129</v>
      </c>
      <c r="D52" s="62">
        <v>6</v>
      </c>
      <c r="E52" s="79">
        <v>4409</v>
      </c>
      <c r="F52" s="79">
        <v>5290</v>
      </c>
      <c r="G52" s="80">
        <v>26454</v>
      </c>
      <c r="H52" s="144">
        <v>31740</v>
      </c>
    </row>
    <row r="53" spans="1:8" ht="24" x14ac:dyDescent="0.25">
      <c r="A53" s="26"/>
      <c r="B53" s="26"/>
      <c r="C53" s="142" t="s">
        <v>160</v>
      </c>
      <c r="D53" s="62">
        <v>1</v>
      </c>
      <c r="E53" s="79">
        <v>70030</v>
      </c>
      <c r="F53" s="79">
        <v>84036</v>
      </c>
      <c r="G53" s="80">
        <v>70030</v>
      </c>
      <c r="H53" s="144">
        <v>84036</v>
      </c>
    </row>
    <row r="54" spans="1:8" x14ac:dyDescent="0.25">
      <c r="A54" s="26"/>
      <c r="B54" s="26"/>
      <c r="C54" s="142" t="s">
        <v>1024</v>
      </c>
      <c r="D54" s="62">
        <v>6</v>
      </c>
      <c r="E54" s="79">
        <v>10340</v>
      </c>
      <c r="F54" s="79">
        <v>12408</v>
      </c>
      <c r="G54" s="80">
        <v>62040</v>
      </c>
      <c r="H54" s="144">
        <v>74448</v>
      </c>
    </row>
    <row r="55" spans="1:8" x14ac:dyDescent="0.25">
      <c r="A55" s="26"/>
      <c r="B55" s="26"/>
      <c r="C55" s="142" t="s">
        <v>78</v>
      </c>
      <c r="D55" s="62">
        <v>2</v>
      </c>
      <c r="E55" s="79">
        <v>66217</v>
      </c>
      <c r="F55" s="79">
        <v>79460</v>
      </c>
      <c r="G55" s="80">
        <v>132434</v>
      </c>
      <c r="H55" s="144">
        <v>158920</v>
      </c>
    </row>
    <row r="56" spans="1:8" ht="24" x14ac:dyDescent="0.25">
      <c r="A56" s="26"/>
      <c r="B56" s="26"/>
      <c r="C56" s="145" t="s">
        <v>136</v>
      </c>
      <c r="D56" s="62">
        <v>5</v>
      </c>
      <c r="E56" s="79">
        <v>761</v>
      </c>
      <c r="F56" s="143">
        <v>914</v>
      </c>
      <c r="G56" s="80">
        <v>3805</v>
      </c>
      <c r="H56" s="144">
        <v>4570</v>
      </c>
    </row>
    <row r="57" spans="1:8" x14ac:dyDescent="0.25">
      <c r="A57" s="26"/>
      <c r="B57" s="26"/>
      <c r="C57" s="101" t="s">
        <v>1006</v>
      </c>
      <c r="D57" s="75" t="s">
        <v>1006</v>
      </c>
      <c r="E57" s="107"/>
      <c r="F57" s="85"/>
      <c r="G57" s="86" t="s">
        <v>980</v>
      </c>
      <c r="H57" s="68">
        <v>811380</v>
      </c>
    </row>
    <row r="58" spans="1:8" x14ac:dyDescent="0.25">
      <c r="A58" s="26"/>
      <c r="B58" s="26"/>
      <c r="C58" s="101" t="s">
        <v>1006</v>
      </c>
      <c r="D58" s="83" t="s">
        <v>1006</v>
      </c>
      <c r="E58" s="99" t="s">
        <v>1006</v>
      </c>
      <c r="F58" s="99" t="s">
        <v>1006</v>
      </c>
      <c r="G58" s="150" t="s">
        <v>1006</v>
      </c>
      <c r="H58" s="118"/>
    </row>
    <row r="59" spans="1:8" ht="38.25" x14ac:dyDescent="0.25">
      <c r="A59" s="76">
        <v>6</v>
      </c>
      <c r="B59" s="26"/>
      <c r="C59" s="149" t="s">
        <v>1143</v>
      </c>
      <c r="D59" s="151" t="s">
        <v>1003</v>
      </c>
      <c r="E59" s="73" t="s">
        <v>1007</v>
      </c>
      <c r="F59" s="73" t="s">
        <v>1004</v>
      </c>
      <c r="G59" s="152" t="s">
        <v>1008</v>
      </c>
      <c r="H59" s="96" t="s">
        <v>1005</v>
      </c>
    </row>
    <row r="60" spans="1:8" x14ac:dyDescent="0.25">
      <c r="A60" s="26"/>
      <c r="B60" s="26"/>
      <c r="C60" s="140" t="s">
        <v>140</v>
      </c>
      <c r="D60" s="81">
        <v>80</v>
      </c>
      <c r="E60" s="79">
        <v>13085</v>
      </c>
      <c r="F60" s="143">
        <v>15702</v>
      </c>
      <c r="G60" s="80">
        <v>1046800</v>
      </c>
      <c r="H60" s="78">
        <v>1256160</v>
      </c>
    </row>
    <row r="61" spans="1:8" x14ac:dyDescent="0.25">
      <c r="A61" s="26"/>
      <c r="B61" s="26"/>
      <c r="C61" s="142" t="s">
        <v>110</v>
      </c>
      <c r="D61" s="62">
        <v>2</v>
      </c>
      <c r="E61" s="79">
        <v>7018</v>
      </c>
      <c r="F61" s="79">
        <v>8422</v>
      </c>
      <c r="G61" s="80">
        <v>14036</v>
      </c>
      <c r="H61" s="144">
        <v>16844</v>
      </c>
    </row>
    <row r="62" spans="1:8" x14ac:dyDescent="0.25">
      <c r="A62" s="26"/>
      <c r="B62" s="26"/>
      <c r="C62" s="101" t="s">
        <v>1006</v>
      </c>
      <c r="D62" s="153" t="s">
        <v>1006</v>
      </c>
      <c r="E62" s="154" t="s">
        <v>1006</v>
      </c>
      <c r="F62" s="85"/>
      <c r="G62" s="86" t="s">
        <v>980</v>
      </c>
      <c r="H62" s="68">
        <v>1273004</v>
      </c>
    </row>
    <row r="63" spans="1:8" x14ac:dyDescent="0.25">
      <c r="A63" s="26"/>
      <c r="B63" s="26"/>
      <c r="C63" s="116"/>
      <c r="D63" s="108"/>
      <c r="E63" s="107"/>
      <c r="F63" s="117"/>
      <c r="G63" s="118"/>
      <c r="H63" s="118"/>
    </row>
    <row r="64" spans="1:8" ht="38.25" x14ac:dyDescent="0.25">
      <c r="A64" s="76">
        <v>7</v>
      </c>
      <c r="B64" s="26"/>
      <c r="C64" s="149" t="s">
        <v>1144</v>
      </c>
      <c r="D64" s="106" t="s">
        <v>1003</v>
      </c>
      <c r="E64" s="73" t="s">
        <v>1007</v>
      </c>
      <c r="F64" s="73" t="s">
        <v>1004</v>
      </c>
      <c r="G64" s="96" t="s">
        <v>1008</v>
      </c>
      <c r="H64" s="96" t="s">
        <v>1005</v>
      </c>
    </row>
    <row r="65" spans="1:8" ht="24" x14ac:dyDescent="0.25">
      <c r="A65" s="26"/>
      <c r="B65" s="26"/>
      <c r="C65" s="140" t="s">
        <v>1038</v>
      </c>
      <c r="D65" s="81">
        <v>2</v>
      </c>
      <c r="E65" s="79">
        <v>33198</v>
      </c>
      <c r="F65" s="79">
        <v>39838</v>
      </c>
      <c r="G65" s="80">
        <v>66396</v>
      </c>
      <c r="H65" s="78">
        <v>79676</v>
      </c>
    </row>
    <row r="66" spans="1:8" x14ac:dyDescent="0.25">
      <c r="A66" s="26"/>
      <c r="B66" s="26"/>
      <c r="C66" s="142" t="s">
        <v>86</v>
      </c>
      <c r="D66" s="62">
        <v>4</v>
      </c>
      <c r="E66" s="79">
        <v>10828</v>
      </c>
      <c r="F66" s="79">
        <v>12994</v>
      </c>
      <c r="G66" s="80">
        <v>43312</v>
      </c>
      <c r="H66" s="144">
        <v>51976</v>
      </c>
    </row>
    <row r="67" spans="1:8" ht="24" x14ac:dyDescent="0.25">
      <c r="A67" s="26"/>
      <c r="B67" s="26"/>
      <c r="C67" s="142" t="s">
        <v>161</v>
      </c>
      <c r="D67" s="62">
        <v>2</v>
      </c>
      <c r="E67" s="79">
        <v>73432</v>
      </c>
      <c r="F67" s="79">
        <v>88118</v>
      </c>
      <c r="G67" s="80">
        <v>146864</v>
      </c>
      <c r="H67" s="144">
        <v>176236</v>
      </c>
    </row>
    <row r="68" spans="1:8" ht="24" x14ac:dyDescent="0.25">
      <c r="A68" s="26"/>
      <c r="B68" s="26"/>
      <c r="C68" s="145" t="s">
        <v>159</v>
      </c>
      <c r="D68" s="62">
        <v>1</v>
      </c>
      <c r="E68" s="79">
        <v>75877</v>
      </c>
      <c r="F68" s="143">
        <v>91053</v>
      </c>
      <c r="G68" s="80">
        <v>75877</v>
      </c>
      <c r="H68" s="144">
        <v>91053</v>
      </c>
    </row>
    <row r="69" spans="1:8" x14ac:dyDescent="0.25">
      <c r="A69" s="26"/>
      <c r="B69" s="26"/>
      <c r="C69" s="142" t="s">
        <v>108</v>
      </c>
      <c r="D69" s="62">
        <v>4</v>
      </c>
      <c r="E69" s="79">
        <v>3007</v>
      </c>
      <c r="F69" s="79">
        <v>3608</v>
      </c>
      <c r="G69" s="80">
        <v>12028</v>
      </c>
      <c r="H69" s="144">
        <v>14432</v>
      </c>
    </row>
    <row r="70" spans="1:8" x14ac:dyDescent="0.25">
      <c r="A70" s="26"/>
      <c r="B70" s="26"/>
      <c r="C70" s="145" t="s">
        <v>27</v>
      </c>
      <c r="D70" s="62">
        <v>13</v>
      </c>
      <c r="E70" s="79">
        <v>10332</v>
      </c>
      <c r="F70" s="143">
        <v>12399</v>
      </c>
      <c r="G70" s="80">
        <v>134316</v>
      </c>
      <c r="H70" s="144">
        <v>161187</v>
      </c>
    </row>
    <row r="71" spans="1:8" x14ac:dyDescent="0.25">
      <c r="A71" s="26"/>
      <c r="B71" s="26"/>
      <c r="C71" s="145" t="s">
        <v>131</v>
      </c>
      <c r="D71" s="62">
        <v>5</v>
      </c>
      <c r="E71" s="79">
        <v>3298</v>
      </c>
      <c r="F71" s="143">
        <v>3958</v>
      </c>
      <c r="G71" s="80">
        <v>16490</v>
      </c>
      <c r="H71" s="144">
        <v>19790</v>
      </c>
    </row>
    <row r="72" spans="1:8" x14ac:dyDescent="0.25">
      <c r="A72" s="26"/>
      <c r="B72" s="26"/>
      <c r="C72" s="142" t="s">
        <v>167</v>
      </c>
      <c r="D72" s="62">
        <v>1</v>
      </c>
      <c r="E72" s="79">
        <v>67667</v>
      </c>
      <c r="F72" s="79">
        <v>81201</v>
      </c>
      <c r="G72" s="80">
        <v>67667</v>
      </c>
      <c r="H72" s="144">
        <v>81201</v>
      </c>
    </row>
    <row r="73" spans="1:8" x14ac:dyDescent="0.25">
      <c r="A73" s="26"/>
      <c r="B73" s="26"/>
      <c r="C73" s="142" t="s">
        <v>118</v>
      </c>
      <c r="D73" s="62">
        <v>20</v>
      </c>
      <c r="E73" s="79">
        <v>2658</v>
      </c>
      <c r="F73" s="143">
        <v>3189</v>
      </c>
      <c r="G73" s="80">
        <v>53160</v>
      </c>
      <c r="H73" s="144">
        <v>63780</v>
      </c>
    </row>
    <row r="74" spans="1:8" x14ac:dyDescent="0.25">
      <c r="A74" s="26"/>
      <c r="B74" s="26"/>
      <c r="C74" s="142" t="s">
        <v>1046</v>
      </c>
      <c r="D74" s="62">
        <v>6</v>
      </c>
      <c r="E74" s="79">
        <v>825</v>
      </c>
      <c r="F74" s="79">
        <v>989</v>
      </c>
      <c r="G74" s="80">
        <v>4950</v>
      </c>
      <c r="H74" s="144">
        <v>5934</v>
      </c>
    </row>
    <row r="75" spans="1:8" x14ac:dyDescent="0.25">
      <c r="A75" s="26"/>
      <c r="B75" s="26"/>
      <c r="C75" s="142" t="s">
        <v>1052</v>
      </c>
      <c r="D75" s="62">
        <v>2</v>
      </c>
      <c r="E75" s="79">
        <v>12125</v>
      </c>
      <c r="F75" s="79">
        <v>14550</v>
      </c>
      <c r="G75" s="80">
        <v>24250</v>
      </c>
      <c r="H75" s="144">
        <v>29100</v>
      </c>
    </row>
    <row r="76" spans="1:8" x14ac:dyDescent="0.25">
      <c r="A76" s="26"/>
      <c r="B76" s="26"/>
      <c r="C76" s="142" t="s">
        <v>1053</v>
      </c>
      <c r="D76" s="62">
        <v>15</v>
      </c>
      <c r="E76" s="79">
        <v>1060</v>
      </c>
      <c r="F76" s="79">
        <v>1272</v>
      </c>
      <c r="G76" s="80">
        <v>15900</v>
      </c>
      <c r="H76" s="144">
        <v>19080</v>
      </c>
    </row>
    <row r="77" spans="1:8" x14ac:dyDescent="0.25">
      <c r="A77" s="26"/>
      <c r="B77" s="26"/>
      <c r="C77" s="142" t="s">
        <v>1054</v>
      </c>
      <c r="D77" s="62">
        <v>20</v>
      </c>
      <c r="E77" s="79">
        <v>1060</v>
      </c>
      <c r="F77" s="79">
        <v>1272</v>
      </c>
      <c r="G77" s="80">
        <v>21200</v>
      </c>
      <c r="H77" s="144">
        <v>25440</v>
      </c>
    </row>
    <row r="78" spans="1:8" x14ac:dyDescent="0.25">
      <c r="A78" s="26"/>
      <c r="B78" s="26"/>
      <c r="C78" s="142" t="s">
        <v>1055</v>
      </c>
      <c r="D78" s="62">
        <v>15</v>
      </c>
      <c r="E78" s="79">
        <v>1060</v>
      </c>
      <c r="F78" s="79">
        <v>1272</v>
      </c>
      <c r="G78" s="80">
        <v>15900</v>
      </c>
      <c r="H78" s="144">
        <v>19080</v>
      </c>
    </row>
    <row r="79" spans="1:8" x14ac:dyDescent="0.25">
      <c r="A79" s="26"/>
      <c r="B79" s="26"/>
      <c r="C79" s="142" t="s">
        <v>1057</v>
      </c>
      <c r="D79" s="62">
        <v>2</v>
      </c>
      <c r="E79" s="79">
        <v>3980</v>
      </c>
      <c r="F79" s="79">
        <v>4776</v>
      </c>
      <c r="G79" s="80">
        <v>7960</v>
      </c>
      <c r="H79" s="144">
        <v>9552</v>
      </c>
    </row>
    <row r="80" spans="1:8" x14ac:dyDescent="0.25">
      <c r="A80" s="26"/>
      <c r="B80" s="26"/>
      <c r="C80" s="145" t="s">
        <v>1059</v>
      </c>
      <c r="D80" s="62">
        <v>10</v>
      </c>
      <c r="E80" s="79">
        <v>166</v>
      </c>
      <c r="F80" s="143">
        <v>200</v>
      </c>
      <c r="G80" s="80">
        <v>1660</v>
      </c>
      <c r="H80" s="144">
        <v>2000</v>
      </c>
    </row>
    <row r="81" spans="1:8" x14ac:dyDescent="0.25">
      <c r="A81" s="26"/>
      <c r="B81" s="26"/>
      <c r="C81" s="101" t="s">
        <v>1006</v>
      </c>
      <c r="D81" s="108"/>
      <c r="E81" s="107"/>
      <c r="F81" s="85"/>
      <c r="G81" s="86" t="s">
        <v>980</v>
      </c>
      <c r="H81" s="68">
        <v>849517</v>
      </c>
    </row>
    <row r="82" spans="1:8" x14ac:dyDescent="0.25">
      <c r="A82" s="26"/>
      <c r="B82" s="26"/>
      <c r="C82" s="107"/>
      <c r="D82" s="70" t="s">
        <v>1006</v>
      </c>
      <c r="E82" s="99" t="s">
        <v>1006</v>
      </c>
      <c r="F82" s="155" t="s">
        <v>1006</v>
      </c>
      <c r="G82" s="156" t="s">
        <v>1006</v>
      </c>
      <c r="H82" s="118"/>
    </row>
    <row r="83" spans="1:8" ht="38.25" x14ac:dyDescent="0.25">
      <c r="A83" s="76">
        <v>8</v>
      </c>
      <c r="B83" s="157" t="s">
        <v>1006</v>
      </c>
      <c r="C83" s="158" t="s">
        <v>1145</v>
      </c>
      <c r="D83" s="106" t="s">
        <v>1003</v>
      </c>
      <c r="E83" s="73" t="s">
        <v>1007</v>
      </c>
      <c r="F83" s="96" t="s">
        <v>1004</v>
      </c>
      <c r="G83" s="96" t="s">
        <v>1008</v>
      </c>
      <c r="H83" s="96" t="s">
        <v>1005</v>
      </c>
    </row>
    <row r="84" spans="1:8" x14ac:dyDescent="0.25">
      <c r="A84" s="26"/>
      <c r="B84" s="26"/>
      <c r="C84" s="140" t="s">
        <v>1014</v>
      </c>
      <c r="D84" s="81">
        <v>50</v>
      </c>
      <c r="E84" s="79">
        <v>1940</v>
      </c>
      <c r="F84" s="143">
        <v>2328</v>
      </c>
      <c r="G84" s="80">
        <v>97000</v>
      </c>
      <c r="H84" s="78">
        <v>116400</v>
      </c>
    </row>
    <row r="85" spans="1:8" x14ac:dyDescent="0.25">
      <c r="A85" s="26"/>
      <c r="B85" s="26"/>
      <c r="C85" s="142" t="s">
        <v>1027</v>
      </c>
      <c r="D85" s="62">
        <v>1</v>
      </c>
      <c r="E85" s="79">
        <v>242500</v>
      </c>
      <c r="F85" s="143">
        <v>291000</v>
      </c>
      <c r="G85" s="80">
        <v>242500</v>
      </c>
      <c r="H85" s="144">
        <v>291000</v>
      </c>
    </row>
    <row r="86" spans="1:8" ht="24" x14ac:dyDescent="0.25">
      <c r="A86" s="26"/>
      <c r="B86" s="26"/>
      <c r="C86" s="142" t="s">
        <v>1047</v>
      </c>
      <c r="D86" s="62">
        <v>10</v>
      </c>
      <c r="E86" s="79">
        <v>7954</v>
      </c>
      <c r="F86" s="143">
        <v>9545</v>
      </c>
      <c r="G86" s="80">
        <v>79540</v>
      </c>
      <c r="H86" s="144">
        <v>95450</v>
      </c>
    </row>
    <row r="87" spans="1:8" x14ac:dyDescent="0.25">
      <c r="A87" s="26"/>
      <c r="B87" s="26"/>
      <c r="C87" s="26"/>
      <c r="D87" s="26"/>
      <c r="E87" s="26"/>
      <c r="F87" s="94"/>
      <c r="G87" s="86" t="s">
        <v>980</v>
      </c>
      <c r="H87" s="68">
        <v>502850</v>
      </c>
    </row>
    <row r="88" spans="1:8" x14ac:dyDescent="0.25">
      <c r="A88" s="26"/>
      <c r="B88" s="26"/>
      <c r="C88" s="26"/>
      <c r="D88" s="26"/>
      <c r="E88" s="26"/>
      <c r="F88" s="26"/>
      <c r="G88" s="26"/>
      <c r="H88" s="26"/>
    </row>
    <row r="89" spans="1:8" ht="38.25" x14ac:dyDescent="0.25">
      <c r="A89" s="76">
        <v>10</v>
      </c>
      <c r="B89" s="157" t="s">
        <v>1006</v>
      </c>
      <c r="C89" s="139" t="s">
        <v>1146</v>
      </c>
      <c r="D89" s="106" t="s">
        <v>1003</v>
      </c>
      <c r="E89" s="73" t="s">
        <v>1007</v>
      </c>
      <c r="F89" s="73" t="s">
        <v>1004</v>
      </c>
      <c r="G89" s="73" t="s">
        <v>1008</v>
      </c>
      <c r="H89" s="73" t="s">
        <v>1005</v>
      </c>
    </row>
    <row r="90" spans="1:8" x14ac:dyDescent="0.25">
      <c r="A90" s="26"/>
      <c r="B90" s="26"/>
      <c r="C90" s="140" t="s">
        <v>1020</v>
      </c>
      <c r="D90" s="81">
        <v>5</v>
      </c>
      <c r="E90" s="76">
        <v>21204</v>
      </c>
      <c r="F90" s="76">
        <v>25445</v>
      </c>
      <c r="G90" s="159">
        <v>106020</v>
      </c>
      <c r="H90" s="141">
        <v>127225</v>
      </c>
    </row>
    <row r="91" spans="1:8" x14ac:dyDescent="0.25">
      <c r="A91" s="26"/>
      <c r="B91" s="26"/>
      <c r="C91" s="142" t="s">
        <v>1031</v>
      </c>
      <c r="D91" s="62">
        <v>1</v>
      </c>
      <c r="E91" s="76">
        <v>35725</v>
      </c>
      <c r="F91" s="76">
        <v>42870</v>
      </c>
      <c r="G91" s="159">
        <v>35725</v>
      </c>
      <c r="H91" s="160">
        <v>42870</v>
      </c>
    </row>
    <row r="92" spans="1:8" x14ac:dyDescent="0.25">
      <c r="A92" s="26"/>
      <c r="B92" s="26"/>
      <c r="C92" s="142" t="s">
        <v>1034</v>
      </c>
      <c r="D92" s="62">
        <v>10</v>
      </c>
      <c r="E92" s="76">
        <v>2716</v>
      </c>
      <c r="F92" s="76">
        <v>3259</v>
      </c>
      <c r="G92" s="159">
        <v>27160</v>
      </c>
      <c r="H92" s="160">
        <v>32590</v>
      </c>
    </row>
    <row r="93" spans="1:8" x14ac:dyDescent="0.25">
      <c r="A93" s="26"/>
      <c r="B93" s="26"/>
      <c r="C93" s="142" t="s">
        <v>1042</v>
      </c>
      <c r="D93" s="62">
        <v>4</v>
      </c>
      <c r="E93" s="76">
        <v>2110</v>
      </c>
      <c r="F93" s="76">
        <v>2532</v>
      </c>
      <c r="G93" s="159">
        <v>8440</v>
      </c>
      <c r="H93" s="160">
        <v>10128</v>
      </c>
    </row>
    <row r="94" spans="1:8" ht="36" x14ac:dyDescent="0.25">
      <c r="A94" s="26"/>
      <c r="B94" s="26"/>
      <c r="C94" s="142" t="s">
        <v>1045</v>
      </c>
      <c r="D94" s="62">
        <v>5</v>
      </c>
      <c r="E94" s="76">
        <v>3482</v>
      </c>
      <c r="F94" s="76">
        <v>4179</v>
      </c>
      <c r="G94" s="159">
        <v>17410</v>
      </c>
      <c r="H94" s="160">
        <v>20895</v>
      </c>
    </row>
    <row r="95" spans="1:8" x14ac:dyDescent="0.25">
      <c r="A95" s="26"/>
      <c r="B95" s="26"/>
      <c r="C95" s="142" t="s">
        <v>211</v>
      </c>
      <c r="D95" s="62">
        <v>5</v>
      </c>
      <c r="E95" s="76">
        <v>30497</v>
      </c>
      <c r="F95" s="76">
        <v>36596</v>
      </c>
      <c r="G95" s="159">
        <v>152485</v>
      </c>
      <c r="H95" s="160">
        <v>182980</v>
      </c>
    </row>
    <row r="96" spans="1:8" x14ac:dyDescent="0.25">
      <c r="A96" s="26"/>
      <c r="B96" s="26"/>
      <c r="C96" s="142" t="s">
        <v>1051</v>
      </c>
      <c r="D96" s="62">
        <v>3</v>
      </c>
      <c r="E96" s="76">
        <v>58156</v>
      </c>
      <c r="F96" s="76">
        <v>69788</v>
      </c>
      <c r="G96" s="159">
        <v>174468</v>
      </c>
      <c r="H96" s="160">
        <v>209364</v>
      </c>
    </row>
    <row r="97" spans="1:8" x14ac:dyDescent="0.25">
      <c r="A97" s="26"/>
      <c r="B97" s="26"/>
      <c r="C97" s="26"/>
      <c r="D97" s="26"/>
      <c r="E97" s="26"/>
      <c r="F97" s="26"/>
      <c r="G97" s="161" t="s">
        <v>980</v>
      </c>
      <c r="H97" s="162">
        <v>626052</v>
      </c>
    </row>
    <row r="98" spans="1:8" x14ac:dyDescent="0.25">
      <c r="A98" s="26"/>
      <c r="B98" s="26"/>
      <c r="C98" s="26"/>
      <c r="D98" s="26"/>
      <c r="E98" s="26"/>
      <c r="F98" s="26"/>
      <c r="G98" s="26"/>
      <c r="H98" s="26"/>
    </row>
    <row r="99" spans="1:8" ht="38.25" x14ac:dyDescent="0.25">
      <c r="A99" s="76">
        <v>11</v>
      </c>
      <c r="B99" s="157" t="s">
        <v>1006</v>
      </c>
      <c r="C99" s="139" t="s">
        <v>1147</v>
      </c>
      <c r="D99" s="106" t="s">
        <v>1003</v>
      </c>
      <c r="E99" s="73" t="s">
        <v>1007</v>
      </c>
      <c r="F99" s="73" t="s">
        <v>1004</v>
      </c>
      <c r="G99" s="73" t="s">
        <v>1008</v>
      </c>
      <c r="H99" s="73" t="s">
        <v>1005</v>
      </c>
    </row>
    <row r="100" spans="1:8" ht="24" x14ac:dyDescent="0.25">
      <c r="A100" s="26"/>
      <c r="B100" s="157" t="s">
        <v>1006</v>
      </c>
      <c r="C100" s="140" t="s">
        <v>1028</v>
      </c>
      <c r="D100" s="81">
        <v>2</v>
      </c>
      <c r="E100" s="76">
        <v>141135</v>
      </c>
      <c r="F100" s="76">
        <v>169362</v>
      </c>
      <c r="G100" s="159">
        <v>282270</v>
      </c>
      <c r="H100" s="141">
        <v>338724</v>
      </c>
    </row>
    <row r="101" spans="1:8" x14ac:dyDescent="0.25">
      <c r="A101" s="26"/>
      <c r="B101" s="26"/>
      <c r="C101" s="142" t="s">
        <v>208</v>
      </c>
      <c r="D101" s="62">
        <v>10</v>
      </c>
      <c r="E101" s="76">
        <v>6749</v>
      </c>
      <c r="F101" s="76">
        <v>8099</v>
      </c>
      <c r="G101" s="159">
        <v>67490</v>
      </c>
      <c r="H101" s="160">
        <v>80990</v>
      </c>
    </row>
    <row r="102" spans="1:8" x14ac:dyDescent="0.25">
      <c r="A102" s="26"/>
      <c r="B102" s="26"/>
      <c r="C102" s="142" t="s">
        <v>209</v>
      </c>
      <c r="D102" s="62">
        <v>50</v>
      </c>
      <c r="E102" s="76">
        <v>229</v>
      </c>
      <c r="F102" s="76">
        <v>275</v>
      </c>
      <c r="G102" s="159">
        <v>11450</v>
      </c>
      <c r="H102" s="160">
        <v>13750</v>
      </c>
    </row>
    <row r="103" spans="1:8" x14ac:dyDescent="0.25">
      <c r="A103" s="26"/>
      <c r="B103" s="26"/>
      <c r="C103" s="142" t="s">
        <v>207</v>
      </c>
      <c r="D103" s="62">
        <v>5</v>
      </c>
      <c r="E103" s="76">
        <v>7954</v>
      </c>
      <c r="F103" s="76">
        <v>9545</v>
      </c>
      <c r="G103" s="159">
        <v>39770</v>
      </c>
      <c r="H103" s="160">
        <v>47725</v>
      </c>
    </row>
    <row r="104" spans="1:8" ht="24" x14ac:dyDescent="0.25">
      <c r="A104" s="26"/>
      <c r="B104" s="26"/>
      <c r="C104" s="148" t="s">
        <v>1026</v>
      </c>
      <c r="D104" s="62">
        <v>1</v>
      </c>
      <c r="E104" s="76">
        <v>30973</v>
      </c>
      <c r="F104" s="76">
        <v>37168</v>
      </c>
      <c r="G104" s="159">
        <v>30973</v>
      </c>
      <c r="H104" s="160">
        <v>37168</v>
      </c>
    </row>
    <row r="105" spans="1:8" ht="24" x14ac:dyDescent="0.25">
      <c r="A105" s="26"/>
      <c r="B105" s="26"/>
      <c r="C105" s="142" t="s">
        <v>183</v>
      </c>
      <c r="D105" s="62">
        <v>12</v>
      </c>
      <c r="E105" s="76">
        <v>1443</v>
      </c>
      <c r="F105" s="76">
        <v>1732</v>
      </c>
      <c r="G105" s="159">
        <v>17316</v>
      </c>
      <c r="H105" s="160">
        <v>20784</v>
      </c>
    </row>
    <row r="106" spans="1:8" x14ac:dyDescent="0.25">
      <c r="A106" s="26"/>
      <c r="B106" s="26"/>
      <c r="C106" s="142" t="s">
        <v>1060</v>
      </c>
      <c r="D106" s="62">
        <v>1</v>
      </c>
      <c r="E106" s="76">
        <v>16369</v>
      </c>
      <c r="F106" s="76">
        <v>19643</v>
      </c>
      <c r="G106" s="159">
        <v>16369</v>
      </c>
      <c r="H106" s="160">
        <v>19643</v>
      </c>
    </row>
    <row r="107" spans="1:8" x14ac:dyDescent="0.25">
      <c r="A107" s="26"/>
      <c r="B107" s="26"/>
      <c r="C107" s="142" t="s">
        <v>1061</v>
      </c>
      <c r="D107" s="62">
        <v>2</v>
      </c>
      <c r="E107" s="76">
        <v>4768</v>
      </c>
      <c r="F107" s="76">
        <v>5721</v>
      </c>
      <c r="G107" s="159">
        <v>9536</v>
      </c>
      <c r="H107" s="160">
        <v>11442</v>
      </c>
    </row>
    <row r="108" spans="1:8" x14ac:dyDescent="0.25">
      <c r="A108" s="26"/>
      <c r="B108" s="26"/>
      <c r="C108" s="163" t="s">
        <v>1062</v>
      </c>
      <c r="D108" s="62">
        <v>2</v>
      </c>
      <c r="E108" s="76">
        <v>4717</v>
      </c>
      <c r="F108" s="76">
        <v>5660</v>
      </c>
      <c r="G108" s="159">
        <v>9434</v>
      </c>
      <c r="H108" s="160">
        <v>11320</v>
      </c>
    </row>
    <row r="109" spans="1:8" x14ac:dyDescent="0.25">
      <c r="A109" s="26"/>
      <c r="B109" s="26"/>
      <c r="C109" s="26"/>
      <c r="D109" s="26"/>
      <c r="E109" s="26"/>
      <c r="F109" s="26"/>
      <c r="G109" s="161" t="s">
        <v>980</v>
      </c>
      <c r="H109" s="162">
        <v>581546</v>
      </c>
    </row>
    <row r="110" spans="1:8" x14ac:dyDescent="0.25">
      <c r="A110" s="26"/>
      <c r="B110" s="26"/>
      <c r="C110" s="26"/>
      <c r="D110" s="26"/>
      <c r="E110" s="26"/>
      <c r="F110" s="26"/>
      <c r="G110" s="26"/>
      <c r="H110" s="26"/>
    </row>
    <row r="111" spans="1:8" ht="38.25" x14ac:dyDescent="0.25">
      <c r="A111" s="76">
        <v>12</v>
      </c>
      <c r="B111" s="157" t="s">
        <v>1006</v>
      </c>
      <c r="C111" s="139" t="s">
        <v>1148</v>
      </c>
      <c r="D111" s="106" t="s">
        <v>1003</v>
      </c>
      <c r="E111" s="73" t="s">
        <v>1007</v>
      </c>
      <c r="F111" s="73" t="s">
        <v>1004</v>
      </c>
      <c r="G111" s="73" t="s">
        <v>1008</v>
      </c>
      <c r="H111" s="73" t="s">
        <v>1005</v>
      </c>
    </row>
    <row r="112" spans="1:8" x14ac:dyDescent="0.25">
      <c r="A112" s="26"/>
      <c r="B112" s="26"/>
      <c r="C112" s="140" t="s">
        <v>206</v>
      </c>
      <c r="D112" s="81">
        <v>30</v>
      </c>
      <c r="E112" s="76">
        <v>20225</v>
      </c>
      <c r="F112" s="76">
        <v>24269</v>
      </c>
      <c r="G112" s="159">
        <v>606750</v>
      </c>
      <c r="H112" s="141">
        <v>728070</v>
      </c>
    </row>
    <row r="113" spans="1:8" x14ac:dyDescent="0.25">
      <c r="A113" s="26"/>
      <c r="B113" s="26"/>
      <c r="C113" s="142" t="s">
        <v>1027</v>
      </c>
      <c r="D113" s="62">
        <v>2</v>
      </c>
      <c r="E113" s="76">
        <v>128365</v>
      </c>
      <c r="F113" s="76">
        <v>154038</v>
      </c>
      <c r="G113" s="159">
        <v>256730</v>
      </c>
      <c r="H113" s="160">
        <v>308076</v>
      </c>
    </row>
    <row r="114" spans="1:8" x14ac:dyDescent="0.25">
      <c r="A114" s="26"/>
      <c r="B114" s="26"/>
      <c r="C114" s="26"/>
      <c r="D114" s="26"/>
      <c r="E114" s="26"/>
      <c r="F114" s="26"/>
      <c r="G114" s="161" t="s">
        <v>980</v>
      </c>
      <c r="H114" s="162">
        <v>1036146</v>
      </c>
    </row>
    <row r="115" spans="1:8" x14ac:dyDescent="0.25">
      <c r="A115" s="26"/>
      <c r="B115" s="26"/>
      <c r="C115" s="26"/>
      <c r="D115" s="26"/>
      <c r="E115" s="26"/>
      <c r="F115" s="26"/>
      <c r="G115" s="26"/>
      <c r="H115" s="26"/>
    </row>
    <row r="116" spans="1:8" ht="38.25" x14ac:dyDescent="0.25">
      <c r="A116" s="76">
        <v>13</v>
      </c>
      <c r="B116" s="157" t="s">
        <v>1006</v>
      </c>
      <c r="C116" s="139" t="s">
        <v>1149</v>
      </c>
      <c r="D116" s="106" t="s">
        <v>1003</v>
      </c>
      <c r="E116" s="73" t="s">
        <v>1007</v>
      </c>
      <c r="F116" s="73" t="s">
        <v>1004</v>
      </c>
      <c r="G116" s="73" t="s">
        <v>1008</v>
      </c>
      <c r="H116" s="73" t="s">
        <v>1005</v>
      </c>
    </row>
    <row r="117" spans="1:8" ht="24" x14ac:dyDescent="0.25">
      <c r="A117" s="26"/>
      <c r="B117" s="26"/>
      <c r="C117" s="140" t="s">
        <v>1036</v>
      </c>
      <c r="D117" s="81">
        <v>2</v>
      </c>
      <c r="E117" s="76">
        <v>5791</v>
      </c>
      <c r="F117" s="76">
        <v>6949</v>
      </c>
      <c r="G117" s="159">
        <v>11582</v>
      </c>
      <c r="H117" s="141">
        <v>13898</v>
      </c>
    </row>
    <row r="118" spans="1:8" x14ac:dyDescent="0.25">
      <c r="A118" s="26"/>
      <c r="B118" s="26"/>
      <c r="C118" s="142" t="s">
        <v>116</v>
      </c>
      <c r="D118" s="62">
        <v>1</v>
      </c>
      <c r="E118" s="76">
        <v>218040</v>
      </c>
      <c r="F118" s="76">
        <v>261649</v>
      </c>
      <c r="G118" s="159">
        <v>218040</v>
      </c>
      <c r="H118" s="160">
        <v>261649</v>
      </c>
    </row>
    <row r="119" spans="1:8" x14ac:dyDescent="0.25">
      <c r="A119" s="26"/>
      <c r="B119" s="26"/>
      <c r="C119" s="142" t="s">
        <v>1049</v>
      </c>
      <c r="D119" s="137">
        <v>1</v>
      </c>
      <c r="E119" s="76">
        <v>42195</v>
      </c>
      <c r="F119" s="76">
        <v>50634</v>
      </c>
      <c r="G119" s="159">
        <v>42195</v>
      </c>
      <c r="H119" s="160">
        <v>50634</v>
      </c>
    </row>
    <row r="120" spans="1:8" x14ac:dyDescent="0.25">
      <c r="A120" s="26"/>
      <c r="B120" s="26"/>
      <c r="C120" s="164"/>
      <c r="D120" s="164"/>
      <c r="E120" s="26"/>
      <c r="F120" s="26"/>
      <c r="G120" s="74"/>
      <c r="H120" s="74"/>
    </row>
    <row r="121" spans="1:8" x14ac:dyDescent="0.25">
      <c r="A121" s="26"/>
      <c r="B121" s="26"/>
      <c r="C121" s="26"/>
      <c r="D121" s="26"/>
      <c r="E121" s="26"/>
      <c r="F121" s="26"/>
      <c r="G121" s="161" t="s">
        <v>980</v>
      </c>
      <c r="H121" s="162">
        <v>326181</v>
      </c>
    </row>
    <row r="123" spans="1:8" x14ac:dyDescent="0.25">
      <c r="G123" s="7" t="s">
        <v>978</v>
      </c>
      <c r="H123" s="7">
        <f>H121+H114+H109+H97+H87+H81+H62+H57+H43+H27+H13</f>
        <v>8946990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2"/>
  <sheetViews>
    <sheetView topLeftCell="A19" workbookViewId="0"/>
  </sheetViews>
  <sheetFormatPr defaultRowHeight="15" x14ac:dyDescent="0.25"/>
  <cols>
    <col min="3" max="3" width="39.85546875" customWidth="1"/>
    <col min="6" max="6" width="15.140625" customWidth="1"/>
    <col min="7" max="7" width="12.140625" customWidth="1"/>
  </cols>
  <sheetData>
    <row r="1" spans="1:8" ht="26.25" customHeight="1" x14ac:dyDescent="0.25">
      <c r="A1" s="69">
        <v>1</v>
      </c>
      <c r="B1" s="70" t="s">
        <v>1006</v>
      </c>
      <c r="C1" s="165" t="s">
        <v>1150</v>
      </c>
      <c r="D1" s="166" t="s">
        <v>1003</v>
      </c>
      <c r="E1" s="167" t="s">
        <v>1007</v>
      </c>
      <c r="F1" s="167" t="s">
        <v>1004</v>
      </c>
      <c r="G1" s="167" t="s">
        <v>1005</v>
      </c>
      <c r="H1" t="s">
        <v>1151</v>
      </c>
    </row>
    <row r="2" spans="1:8" x14ac:dyDescent="0.25">
      <c r="A2" s="74"/>
      <c r="B2" s="75" t="s">
        <v>1006</v>
      </c>
      <c r="C2" s="168" t="s">
        <v>279</v>
      </c>
      <c r="D2" s="169">
        <v>4</v>
      </c>
      <c r="E2" s="170">
        <v>4704.5</v>
      </c>
      <c r="F2" s="170">
        <v>5645.4</v>
      </c>
      <c r="G2" s="171">
        <v>22581.599999999999</v>
      </c>
    </row>
    <row r="3" spans="1:8" x14ac:dyDescent="0.25">
      <c r="A3" s="74"/>
      <c r="B3" s="75" t="s">
        <v>1006</v>
      </c>
      <c r="C3" s="168" t="s">
        <v>1072</v>
      </c>
      <c r="D3" s="169">
        <v>2</v>
      </c>
      <c r="E3" s="172">
        <v>30494.86</v>
      </c>
      <c r="F3" s="173">
        <v>36593.832000000002</v>
      </c>
      <c r="G3" s="174">
        <v>73187.664000000004</v>
      </c>
    </row>
    <row r="4" spans="1:8" ht="24" x14ac:dyDescent="0.25">
      <c r="A4" s="74"/>
      <c r="B4" s="75" t="s">
        <v>1006</v>
      </c>
      <c r="C4" s="168" t="s">
        <v>1079</v>
      </c>
      <c r="D4" s="169">
        <v>12</v>
      </c>
      <c r="E4" s="172">
        <v>10983.31</v>
      </c>
      <c r="F4" s="172">
        <v>13179.972</v>
      </c>
      <c r="G4" s="174">
        <v>158159.66399999999</v>
      </c>
    </row>
    <row r="5" spans="1:8" x14ac:dyDescent="0.25">
      <c r="A5" s="74"/>
      <c r="B5" s="75" t="s">
        <v>1006</v>
      </c>
      <c r="C5" s="168" t="s">
        <v>1080</v>
      </c>
      <c r="D5" s="169">
        <v>2</v>
      </c>
      <c r="E5" s="172">
        <v>26461.599999999999</v>
      </c>
      <c r="F5" s="172">
        <v>31753.919999999998</v>
      </c>
      <c r="G5" s="174">
        <v>63507.839999999997</v>
      </c>
    </row>
    <row r="6" spans="1:8" x14ac:dyDescent="0.25">
      <c r="A6" s="74"/>
      <c r="B6" s="75" t="s">
        <v>1006</v>
      </c>
      <c r="C6" s="168" t="s">
        <v>176</v>
      </c>
      <c r="D6" s="169">
        <v>2</v>
      </c>
      <c r="E6" s="172">
        <v>5773.44</v>
      </c>
      <c r="F6" s="173">
        <v>6928.1279999999997</v>
      </c>
      <c r="G6" s="174">
        <v>13856.255999999999</v>
      </c>
    </row>
    <row r="7" spans="1:8" ht="24" x14ac:dyDescent="0.25">
      <c r="A7" s="74"/>
      <c r="B7" s="75" t="s">
        <v>1006</v>
      </c>
      <c r="C7" s="168" t="s">
        <v>1081</v>
      </c>
      <c r="D7" s="169">
        <v>1</v>
      </c>
      <c r="E7" s="172">
        <v>6254.5599999999995</v>
      </c>
      <c r="F7" s="173">
        <v>7505.4719999999988</v>
      </c>
      <c r="G7" s="174">
        <v>7505.4719999999988</v>
      </c>
    </row>
    <row r="8" spans="1:8" ht="24" x14ac:dyDescent="0.25">
      <c r="A8" s="74"/>
      <c r="B8" s="74"/>
      <c r="C8" s="168" t="s">
        <v>1084</v>
      </c>
      <c r="D8" s="169">
        <v>4</v>
      </c>
      <c r="E8" s="172">
        <v>21650.399999999998</v>
      </c>
      <c r="F8" s="173">
        <v>25980.479999999996</v>
      </c>
      <c r="G8" s="174">
        <v>103921.91999999998</v>
      </c>
    </row>
    <row r="9" spans="1:8" ht="24" x14ac:dyDescent="0.25">
      <c r="A9" s="26"/>
      <c r="B9" s="26"/>
      <c r="C9" s="168" t="s">
        <v>1085</v>
      </c>
      <c r="D9" s="169">
        <v>1</v>
      </c>
      <c r="E9" s="172">
        <v>11546.88</v>
      </c>
      <c r="F9" s="172">
        <v>13856.255999999999</v>
      </c>
      <c r="G9" s="174">
        <v>13856.255999999999</v>
      </c>
    </row>
    <row r="10" spans="1:8" x14ac:dyDescent="0.25">
      <c r="A10" s="26"/>
      <c r="B10" s="26"/>
      <c r="C10" s="168" t="s">
        <v>262</v>
      </c>
      <c r="D10" s="169">
        <v>1</v>
      </c>
      <c r="E10" s="172">
        <v>18328.149999999998</v>
      </c>
      <c r="F10" s="172">
        <v>21993.779999999995</v>
      </c>
      <c r="G10" s="174">
        <v>21993.779999999995</v>
      </c>
    </row>
    <row r="11" spans="1:8" x14ac:dyDescent="0.25">
      <c r="A11" s="26"/>
      <c r="B11" s="26"/>
      <c r="C11" s="168" t="s">
        <v>1091</v>
      </c>
      <c r="D11" s="169">
        <v>1</v>
      </c>
      <c r="E11" s="172">
        <v>4574.5199999999995</v>
      </c>
      <c r="F11" s="173">
        <v>5489.4239999999991</v>
      </c>
      <c r="G11" s="174">
        <v>5489.4239999999991</v>
      </c>
    </row>
    <row r="12" spans="1:8" ht="24" x14ac:dyDescent="0.25">
      <c r="A12" s="26"/>
      <c r="B12" s="26"/>
      <c r="C12" s="168" t="s">
        <v>1092</v>
      </c>
      <c r="D12" s="169">
        <v>1</v>
      </c>
      <c r="E12" s="172">
        <v>5490.0060000000003</v>
      </c>
      <c r="F12" s="173">
        <v>6588.0072</v>
      </c>
      <c r="G12" s="174">
        <v>6588.0072</v>
      </c>
    </row>
    <row r="13" spans="1:8" ht="24" x14ac:dyDescent="0.25">
      <c r="A13" s="26"/>
      <c r="B13" s="26"/>
      <c r="C13" s="175" t="s">
        <v>158</v>
      </c>
      <c r="D13" s="176">
        <v>1</v>
      </c>
      <c r="E13" s="177">
        <v>20745.39</v>
      </c>
      <c r="F13" s="178">
        <v>24894.467999999997</v>
      </c>
      <c r="G13" s="179">
        <v>24894.467999999997</v>
      </c>
    </row>
    <row r="14" spans="1:8" x14ac:dyDescent="0.25">
      <c r="C14" s="16"/>
      <c r="D14" s="16"/>
      <c r="E14" s="16"/>
      <c r="F14" s="180" t="s">
        <v>980</v>
      </c>
      <c r="G14" s="180">
        <f>SUM(G2:G13)</f>
        <v>515542.35119999992</v>
      </c>
    </row>
    <row r="16" spans="1:8" ht="38.25" x14ac:dyDescent="0.25">
      <c r="C16" s="181" t="s">
        <v>1152</v>
      </c>
      <c r="D16" s="182" t="s">
        <v>1003</v>
      </c>
      <c r="E16" s="183" t="s">
        <v>1007</v>
      </c>
      <c r="F16" s="183" t="s">
        <v>1004</v>
      </c>
      <c r="G16" s="183" t="s">
        <v>1005</v>
      </c>
      <c r="H16" t="s">
        <v>1151</v>
      </c>
    </row>
    <row r="17" spans="3:8" x14ac:dyDescent="0.25">
      <c r="C17" s="168" t="s">
        <v>265</v>
      </c>
      <c r="D17" s="169">
        <v>1</v>
      </c>
      <c r="E17" s="170">
        <v>12707</v>
      </c>
      <c r="F17" s="170">
        <v>15248.4</v>
      </c>
      <c r="G17" s="171">
        <v>15248.4</v>
      </c>
    </row>
    <row r="18" spans="3:8" x14ac:dyDescent="0.25">
      <c r="C18" s="168" t="s">
        <v>1103</v>
      </c>
      <c r="D18" s="169">
        <v>1</v>
      </c>
      <c r="E18" s="172">
        <v>204351.84</v>
      </c>
      <c r="F18" s="173">
        <v>245222.20799999998</v>
      </c>
      <c r="G18" s="184">
        <v>245222.20799999998</v>
      </c>
    </row>
    <row r="19" spans="3:8" x14ac:dyDescent="0.25">
      <c r="C19" s="175" t="s">
        <v>264</v>
      </c>
      <c r="D19" s="169">
        <v>200</v>
      </c>
      <c r="E19" s="172">
        <v>567.44999999999993</v>
      </c>
      <c r="F19" s="172">
        <v>680.93999999999994</v>
      </c>
      <c r="G19" s="184">
        <v>136188</v>
      </c>
    </row>
    <row r="20" spans="3:8" ht="24" x14ac:dyDescent="0.25">
      <c r="C20" s="175" t="s">
        <v>1107</v>
      </c>
      <c r="D20" s="169">
        <v>150</v>
      </c>
      <c r="E20" s="172">
        <v>37.442</v>
      </c>
      <c r="F20" s="172">
        <v>44.930399999999999</v>
      </c>
      <c r="G20" s="179">
        <v>6739.5599999999995</v>
      </c>
    </row>
    <row r="21" spans="3:8" x14ac:dyDescent="0.25">
      <c r="C21" s="16"/>
      <c r="D21" s="16"/>
      <c r="E21" s="16"/>
      <c r="F21" s="180" t="s">
        <v>980</v>
      </c>
      <c r="G21" s="180">
        <f>SUM(G17:G20)</f>
        <v>403398.16800000001</v>
      </c>
    </row>
    <row r="23" spans="3:8" ht="38.25" x14ac:dyDescent="0.25">
      <c r="C23" s="114" t="s">
        <v>1153</v>
      </c>
      <c r="D23" s="185" t="s">
        <v>1003</v>
      </c>
      <c r="E23" s="186" t="s">
        <v>1007</v>
      </c>
      <c r="F23" s="186" t="s">
        <v>1004</v>
      </c>
      <c r="G23" s="186" t="s">
        <v>1005</v>
      </c>
      <c r="H23" t="s">
        <v>1154</v>
      </c>
    </row>
    <row r="24" spans="3:8" ht="24" x14ac:dyDescent="0.25">
      <c r="C24" s="124" t="s">
        <v>1106</v>
      </c>
      <c r="D24" s="187">
        <v>4</v>
      </c>
      <c r="E24" s="188">
        <v>9909.52</v>
      </c>
      <c r="F24" s="188">
        <v>11891.424000000001</v>
      </c>
      <c r="G24" s="189">
        <v>47565.696000000004</v>
      </c>
    </row>
    <row r="25" spans="3:8" x14ac:dyDescent="0.25">
      <c r="C25" s="190" t="s">
        <v>305</v>
      </c>
      <c r="D25" s="187">
        <v>2</v>
      </c>
      <c r="E25" s="191">
        <v>6043.0999999999995</v>
      </c>
      <c r="F25" s="192">
        <v>7251.7199999999993</v>
      </c>
      <c r="G25" s="193">
        <v>14503.439999999999</v>
      </c>
    </row>
    <row r="26" spans="3:8" x14ac:dyDescent="0.25">
      <c r="C26" s="124" t="s">
        <v>209</v>
      </c>
      <c r="D26" s="187">
        <v>10</v>
      </c>
      <c r="E26" s="191">
        <v>1145.57</v>
      </c>
      <c r="F26" s="191">
        <v>1374.684</v>
      </c>
      <c r="G26" s="193">
        <v>13746.84</v>
      </c>
    </row>
    <row r="27" spans="3:8" x14ac:dyDescent="0.25">
      <c r="C27" s="190" t="s">
        <v>276</v>
      </c>
      <c r="D27" s="187">
        <v>10</v>
      </c>
      <c r="E27" s="191">
        <v>1411.35</v>
      </c>
      <c r="F27" s="191">
        <v>1693.62</v>
      </c>
      <c r="G27" s="194">
        <v>16936.199999999997</v>
      </c>
    </row>
    <row r="28" spans="3:8" ht="24" x14ac:dyDescent="0.25">
      <c r="C28" s="124" t="s">
        <v>291</v>
      </c>
      <c r="D28" s="195">
        <v>4</v>
      </c>
      <c r="E28" s="7">
        <v>3462.9</v>
      </c>
      <c r="F28" s="7">
        <v>4155.4799999999996</v>
      </c>
      <c r="G28" s="7">
        <v>16621.919999999998</v>
      </c>
    </row>
    <row r="29" spans="3:8" ht="24" x14ac:dyDescent="0.25">
      <c r="C29" s="190" t="s">
        <v>252</v>
      </c>
      <c r="D29" s="195">
        <v>8</v>
      </c>
      <c r="E29" s="7">
        <v>1047.5999999999999</v>
      </c>
      <c r="F29" s="7">
        <v>1257.1199999999999</v>
      </c>
      <c r="G29" s="7">
        <v>10056.959999999999</v>
      </c>
    </row>
    <row r="30" spans="3:8" ht="24" x14ac:dyDescent="0.25">
      <c r="C30" s="190" t="s">
        <v>200</v>
      </c>
      <c r="D30" s="195">
        <v>2</v>
      </c>
      <c r="E30" s="7">
        <v>18988.72</v>
      </c>
      <c r="F30" s="7">
        <v>22786.464</v>
      </c>
      <c r="G30" s="7">
        <v>45572.928</v>
      </c>
    </row>
    <row r="31" spans="3:8" x14ac:dyDescent="0.25">
      <c r="C31" s="190" t="s">
        <v>196</v>
      </c>
      <c r="D31" s="195">
        <v>1</v>
      </c>
      <c r="E31" s="7">
        <v>10481.82</v>
      </c>
      <c r="F31" s="7">
        <v>12578.183999999999</v>
      </c>
      <c r="G31" s="7">
        <v>12578.183999999999</v>
      </c>
    </row>
    <row r="32" spans="3:8" x14ac:dyDescent="0.25">
      <c r="C32" s="124" t="s">
        <v>190</v>
      </c>
      <c r="D32" s="195">
        <v>1</v>
      </c>
      <c r="E32" s="7">
        <v>38324.699999999997</v>
      </c>
      <c r="F32" s="7">
        <v>45989.639999999992</v>
      </c>
      <c r="G32" s="7">
        <v>45989.639999999992</v>
      </c>
    </row>
    <row r="33" spans="3:8" x14ac:dyDescent="0.25">
      <c r="C33" s="124" t="s">
        <v>308</v>
      </c>
      <c r="D33" s="195">
        <v>2</v>
      </c>
      <c r="E33" s="7">
        <v>29997.25</v>
      </c>
      <c r="F33" s="7">
        <v>35996.699999999997</v>
      </c>
      <c r="G33" s="7">
        <v>71993.399999999994</v>
      </c>
    </row>
    <row r="34" spans="3:8" ht="24" x14ac:dyDescent="0.25">
      <c r="C34" s="190" t="s">
        <v>195</v>
      </c>
      <c r="D34" s="195">
        <v>3</v>
      </c>
      <c r="E34" s="43">
        <v>5399.99</v>
      </c>
      <c r="F34" s="43">
        <v>6479.9879999999994</v>
      </c>
      <c r="G34" s="43">
        <v>19439.964</v>
      </c>
    </row>
    <row r="35" spans="3:8" x14ac:dyDescent="0.25">
      <c r="C35" s="190" t="s">
        <v>292</v>
      </c>
      <c r="D35" s="195">
        <v>8</v>
      </c>
      <c r="E35" s="43">
        <v>1852.7</v>
      </c>
      <c r="F35" s="43">
        <v>2223.2399999999998</v>
      </c>
      <c r="G35" s="43">
        <v>17785.919999999998</v>
      </c>
    </row>
    <row r="36" spans="3:8" ht="24" x14ac:dyDescent="0.25">
      <c r="C36" s="190" t="s">
        <v>275</v>
      </c>
      <c r="D36" s="195">
        <v>100</v>
      </c>
      <c r="E36" s="43">
        <v>271.59999999999997</v>
      </c>
      <c r="F36" s="43">
        <v>325.91999999999996</v>
      </c>
      <c r="G36" s="43">
        <v>32591.999999999996</v>
      </c>
    </row>
    <row r="37" spans="3:8" x14ac:dyDescent="0.25">
      <c r="C37" s="190" t="s">
        <v>274</v>
      </c>
      <c r="D37" s="195">
        <v>100</v>
      </c>
      <c r="E37" s="43">
        <v>135.79999999999998</v>
      </c>
      <c r="F37" s="43">
        <v>162.95999999999998</v>
      </c>
      <c r="G37" s="43">
        <v>16295.999999999998</v>
      </c>
    </row>
    <row r="38" spans="3:8" x14ac:dyDescent="0.25">
      <c r="C38" s="190" t="s">
        <v>311</v>
      </c>
      <c r="D38" s="195">
        <v>2</v>
      </c>
      <c r="E38" s="43">
        <v>4811.2</v>
      </c>
      <c r="F38" s="43">
        <v>5773.44</v>
      </c>
      <c r="G38" s="43">
        <v>11546.88</v>
      </c>
    </row>
    <row r="39" spans="3:8" ht="24" x14ac:dyDescent="0.25">
      <c r="C39" s="124" t="s">
        <v>294</v>
      </c>
      <c r="D39" s="195">
        <v>100</v>
      </c>
      <c r="E39" s="43">
        <v>116.39999999999999</v>
      </c>
      <c r="F39" s="43">
        <v>139.67999999999998</v>
      </c>
      <c r="G39" s="43">
        <v>13967.999999999998</v>
      </c>
    </row>
    <row r="40" spans="3:8" x14ac:dyDescent="0.25">
      <c r="C40" s="7"/>
      <c r="D40" s="7"/>
      <c r="E40" s="7"/>
      <c r="F40" s="135" t="s">
        <v>980</v>
      </c>
      <c r="G40" s="135">
        <f>SUM(G24:G39)</f>
        <v>407193.97199999995</v>
      </c>
    </row>
    <row r="42" spans="3:8" ht="38.25" x14ac:dyDescent="0.25">
      <c r="C42" s="114" t="s">
        <v>1155</v>
      </c>
      <c r="D42" s="185" t="s">
        <v>1003</v>
      </c>
      <c r="E42" s="186" t="s">
        <v>1007</v>
      </c>
      <c r="F42" s="186" t="s">
        <v>1004</v>
      </c>
      <c r="G42" s="186" t="s">
        <v>1005</v>
      </c>
      <c r="H42" t="s">
        <v>1154</v>
      </c>
    </row>
    <row r="43" spans="3:8" ht="24" x14ac:dyDescent="0.25">
      <c r="C43" s="190" t="s">
        <v>273</v>
      </c>
      <c r="D43" s="187">
        <v>10</v>
      </c>
      <c r="E43" s="43">
        <v>292.94</v>
      </c>
      <c r="F43" s="43">
        <v>351.52799999999996</v>
      </c>
      <c r="G43" s="43">
        <v>3515.2799999999997</v>
      </c>
    </row>
    <row r="44" spans="3:8" x14ac:dyDescent="0.25">
      <c r="C44" s="190" t="s">
        <v>272</v>
      </c>
      <c r="D44" s="187">
        <v>30</v>
      </c>
      <c r="E44" s="196">
        <v>627.59</v>
      </c>
      <c r="F44" s="196">
        <v>753.10800000000006</v>
      </c>
      <c r="G44" s="43">
        <v>22593.24</v>
      </c>
    </row>
    <row r="45" spans="3:8" ht="24" x14ac:dyDescent="0.25">
      <c r="C45" s="190" t="s">
        <v>310</v>
      </c>
      <c r="D45" s="187">
        <v>5</v>
      </c>
      <c r="E45" s="196">
        <v>3564.75</v>
      </c>
      <c r="F45" s="196">
        <v>4277.7</v>
      </c>
      <c r="G45" s="43">
        <v>21388.5</v>
      </c>
    </row>
    <row r="46" spans="3:8" x14ac:dyDescent="0.25">
      <c r="C46" s="190" t="s">
        <v>304</v>
      </c>
      <c r="D46" s="187">
        <v>2</v>
      </c>
      <c r="E46" s="196">
        <v>5179.8</v>
      </c>
      <c r="F46" s="196">
        <v>6215.76</v>
      </c>
      <c r="G46" s="43">
        <v>12431.52</v>
      </c>
    </row>
    <row r="47" spans="3:8" x14ac:dyDescent="0.25">
      <c r="C47" s="190" t="s">
        <v>293</v>
      </c>
      <c r="D47" s="195">
        <v>40</v>
      </c>
      <c r="E47" s="43">
        <v>688.69999999999993</v>
      </c>
      <c r="F47" s="43">
        <v>826.43999999999994</v>
      </c>
      <c r="G47" s="43">
        <v>33057.599999999999</v>
      </c>
    </row>
    <row r="48" spans="3:8" ht="24" x14ac:dyDescent="0.25">
      <c r="C48" s="190" t="s">
        <v>199</v>
      </c>
      <c r="D48" s="195">
        <v>2</v>
      </c>
      <c r="E48" s="43">
        <v>45571.57</v>
      </c>
      <c r="F48" s="43">
        <v>54685.883999999998</v>
      </c>
      <c r="G48" s="43">
        <v>109371.768</v>
      </c>
    </row>
    <row r="49" spans="3:7" x14ac:dyDescent="0.25">
      <c r="C49" s="190" t="s">
        <v>1117</v>
      </c>
      <c r="D49" s="195">
        <v>1</v>
      </c>
      <c r="E49" s="43">
        <v>38538.1</v>
      </c>
      <c r="F49" s="43">
        <v>46245.719999999994</v>
      </c>
      <c r="G49" s="43">
        <v>46245.719999999994</v>
      </c>
    </row>
    <row r="50" spans="3:7" x14ac:dyDescent="0.25">
      <c r="C50" s="190" t="s">
        <v>1118</v>
      </c>
      <c r="D50" s="195">
        <v>1</v>
      </c>
      <c r="E50" s="43">
        <v>49295.4</v>
      </c>
      <c r="F50" s="43">
        <v>59154.479999999996</v>
      </c>
      <c r="G50" s="43">
        <v>59154.479999999996</v>
      </c>
    </row>
    <row r="51" spans="3:7" ht="24" x14ac:dyDescent="0.25">
      <c r="C51" s="124" t="s">
        <v>285</v>
      </c>
      <c r="D51" s="195">
        <v>20</v>
      </c>
      <c r="E51" s="43">
        <v>2286.29</v>
      </c>
      <c r="F51" s="43">
        <v>2743.5479999999998</v>
      </c>
      <c r="G51" s="43">
        <v>54870.959999999992</v>
      </c>
    </row>
    <row r="52" spans="3:7" x14ac:dyDescent="0.25">
      <c r="C52" s="7"/>
      <c r="D52" s="7"/>
      <c r="E52" s="7"/>
      <c r="F52" s="135" t="s">
        <v>980</v>
      </c>
      <c r="G52" s="136">
        <f>SUM(G43:G51)</f>
        <v>362629.06799999997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2"/>
  <sheetViews>
    <sheetView topLeftCell="A19" workbookViewId="0">
      <selection activeCell="E53" sqref="E53"/>
    </sheetView>
  </sheetViews>
  <sheetFormatPr defaultRowHeight="15" x14ac:dyDescent="0.25"/>
  <cols>
    <col min="3" max="3" width="39.85546875" customWidth="1"/>
    <col min="6" max="6" width="15.140625" customWidth="1"/>
    <col min="7" max="7" width="12.140625" customWidth="1"/>
  </cols>
  <sheetData>
    <row r="1" spans="1:8" ht="38.25" x14ac:dyDescent="0.25">
      <c r="A1" s="69">
        <v>3</v>
      </c>
      <c r="B1" s="70" t="s">
        <v>1006</v>
      </c>
      <c r="C1" s="95" t="s">
        <v>1156</v>
      </c>
      <c r="D1" s="197" t="s">
        <v>1003</v>
      </c>
      <c r="E1" s="198" t="s">
        <v>1007</v>
      </c>
      <c r="F1" s="198" t="s">
        <v>1004</v>
      </c>
      <c r="G1" s="199" t="s">
        <v>1005</v>
      </c>
      <c r="H1" t="s">
        <v>1157</v>
      </c>
    </row>
    <row r="2" spans="1:8" x14ac:dyDescent="0.25">
      <c r="A2" s="74"/>
      <c r="B2" s="74"/>
      <c r="C2" s="190" t="s">
        <v>186</v>
      </c>
      <c r="D2" s="187">
        <v>1</v>
      </c>
      <c r="E2" s="191">
        <v>54421.85</v>
      </c>
      <c r="F2" s="191">
        <v>65306.219999999994</v>
      </c>
      <c r="G2" s="193">
        <f t="shared" ref="G2:G9" si="0">F2*D2</f>
        <v>65306.219999999994</v>
      </c>
    </row>
    <row r="3" spans="1:8" ht="24" x14ac:dyDescent="0.25">
      <c r="A3" s="74"/>
      <c r="B3" s="74"/>
      <c r="C3" s="190" t="s">
        <v>1090</v>
      </c>
      <c r="D3" s="187">
        <v>1</v>
      </c>
      <c r="E3" s="191">
        <v>77507.849999999991</v>
      </c>
      <c r="F3" s="191">
        <v>93009.419999999984</v>
      </c>
      <c r="G3" s="193">
        <f t="shared" si="0"/>
        <v>93009.419999999984</v>
      </c>
    </row>
    <row r="4" spans="1:8" x14ac:dyDescent="0.25">
      <c r="A4" s="74"/>
      <c r="B4" s="74"/>
      <c r="C4" s="190" t="s">
        <v>188</v>
      </c>
      <c r="D4" s="187">
        <v>1</v>
      </c>
      <c r="E4" s="191">
        <v>6295.3</v>
      </c>
      <c r="F4" s="191">
        <v>7554.36</v>
      </c>
      <c r="G4" s="193">
        <f t="shared" si="0"/>
        <v>7554.36</v>
      </c>
    </row>
    <row r="5" spans="1:8" x14ac:dyDescent="0.25">
      <c r="A5" s="74"/>
      <c r="B5" s="74"/>
      <c r="C5" s="124" t="s">
        <v>187</v>
      </c>
      <c r="D5" s="187">
        <v>1</v>
      </c>
      <c r="E5" s="191">
        <v>8371.1</v>
      </c>
      <c r="F5" s="191">
        <v>10045.32</v>
      </c>
      <c r="G5" s="193">
        <f t="shared" si="0"/>
        <v>10045.32</v>
      </c>
    </row>
    <row r="6" spans="1:8" ht="24" x14ac:dyDescent="0.25">
      <c r="A6" s="74"/>
      <c r="B6" s="75" t="s">
        <v>1006</v>
      </c>
      <c r="C6" s="190" t="s">
        <v>213</v>
      </c>
      <c r="D6" s="187">
        <v>1</v>
      </c>
      <c r="E6" s="196">
        <v>11499.35</v>
      </c>
      <c r="F6" s="196">
        <v>13799.22</v>
      </c>
      <c r="G6" s="193">
        <f t="shared" si="0"/>
        <v>13799.22</v>
      </c>
    </row>
    <row r="7" spans="1:8" ht="24" x14ac:dyDescent="0.25">
      <c r="A7" s="74"/>
      <c r="B7" s="74"/>
      <c r="C7" s="190" t="s">
        <v>212</v>
      </c>
      <c r="D7" s="187">
        <v>8</v>
      </c>
      <c r="E7" s="196">
        <v>3622.95</v>
      </c>
      <c r="F7" s="196">
        <v>4347.54</v>
      </c>
      <c r="G7" s="193">
        <f t="shared" si="0"/>
        <v>34780.32</v>
      </c>
    </row>
    <row r="8" spans="1:8" x14ac:dyDescent="0.25">
      <c r="A8" s="74"/>
      <c r="B8" s="74"/>
      <c r="C8" s="190" t="s">
        <v>203</v>
      </c>
      <c r="D8" s="187">
        <v>2</v>
      </c>
      <c r="E8" s="196">
        <v>10136.5</v>
      </c>
      <c r="F8" s="196">
        <v>12163.8</v>
      </c>
      <c r="G8" s="193">
        <f t="shared" si="0"/>
        <v>24327.599999999999</v>
      </c>
    </row>
    <row r="9" spans="1:8" x14ac:dyDescent="0.25">
      <c r="A9" s="26"/>
      <c r="B9" s="26"/>
      <c r="C9" s="124" t="s">
        <v>45</v>
      </c>
      <c r="D9" s="187">
        <v>16</v>
      </c>
      <c r="E9" s="196">
        <v>4059.45</v>
      </c>
      <c r="F9" s="196">
        <v>4871.3399999999992</v>
      </c>
      <c r="G9" s="193">
        <f t="shared" si="0"/>
        <v>77941.439999999988</v>
      </c>
    </row>
    <row r="10" spans="1:8" x14ac:dyDescent="0.25">
      <c r="A10" s="26"/>
      <c r="B10" s="26"/>
      <c r="C10" s="149" t="s">
        <v>1006</v>
      </c>
      <c r="D10" s="195"/>
      <c r="E10" s="158" t="s">
        <v>1006</v>
      </c>
      <c r="F10" s="200" t="s">
        <v>980</v>
      </c>
      <c r="G10" s="201">
        <f>SUM(G2:G9)</f>
        <v>326763.89999999997</v>
      </c>
    </row>
    <row r="12" spans="1:8" ht="38.25" x14ac:dyDescent="0.25">
      <c r="C12" s="202" t="s">
        <v>1158</v>
      </c>
      <c r="D12" s="182" t="s">
        <v>1003</v>
      </c>
      <c r="E12" s="183" t="s">
        <v>1007</v>
      </c>
      <c r="F12" s="183" t="s">
        <v>1004</v>
      </c>
      <c r="G12" s="203" t="s">
        <v>1005</v>
      </c>
      <c r="H12" t="s">
        <v>1159</v>
      </c>
    </row>
    <row r="13" spans="1:8" x14ac:dyDescent="0.25">
      <c r="C13" s="168" t="s">
        <v>184</v>
      </c>
      <c r="D13" s="169">
        <v>1</v>
      </c>
      <c r="E13" s="204">
        <v>36413.799999999996</v>
      </c>
      <c r="F13" s="204">
        <v>43696.55999999999</v>
      </c>
      <c r="G13" s="64">
        <v>43696.55999999999</v>
      </c>
    </row>
    <row r="14" spans="1:8" x14ac:dyDescent="0.25">
      <c r="C14" s="168" t="s">
        <v>1073</v>
      </c>
      <c r="D14" s="169">
        <v>2</v>
      </c>
      <c r="E14" s="204">
        <v>16708.25</v>
      </c>
      <c r="F14" s="204">
        <v>20049.899999999998</v>
      </c>
      <c r="G14" s="64">
        <v>40099.799999999996</v>
      </c>
    </row>
    <row r="15" spans="1:8" x14ac:dyDescent="0.25">
      <c r="C15" s="168" t="s">
        <v>239</v>
      </c>
      <c r="D15" s="169">
        <v>2</v>
      </c>
      <c r="E15" s="204">
        <v>15204.75</v>
      </c>
      <c r="F15" s="204">
        <v>18245.7</v>
      </c>
      <c r="G15" s="64">
        <v>36491.4</v>
      </c>
    </row>
    <row r="16" spans="1:8" ht="24" x14ac:dyDescent="0.25">
      <c r="C16" s="168" t="s">
        <v>193</v>
      </c>
      <c r="D16" s="169">
        <v>1</v>
      </c>
      <c r="E16" s="204">
        <v>60794.75</v>
      </c>
      <c r="F16" s="204">
        <v>72953.7</v>
      </c>
      <c r="G16" s="64">
        <v>72953.7</v>
      </c>
    </row>
    <row r="17" spans="3:8" ht="24" x14ac:dyDescent="0.25">
      <c r="C17" s="175" t="s">
        <v>214</v>
      </c>
      <c r="D17" s="169">
        <v>3</v>
      </c>
      <c r="E17" s="204">
        <v>10980.4</v>
      </c>
      <c r="F17" s="204">
        <v>13176.48</v>
      </c>
      <c r="G17" s="64">
        <v>39529.440000000002</v>
      </c>
    </row>
    <row r="18" spans="3:8" x14ac:dyDescent="0.25">
      <c r="C18" s="205" t="s">
        <v>1006</v>
      </c>
      <c r="D18" s="176"/>
      <c r="E18" s="177" t="s">
        <v>1006</v>
      </c>
      <c r="F18" s="178" t="s">
        <v>980</v>
      </c>
      <c r="G18" s="206">
        <f>SUM(G13:G17)</f>
        <v>232770.89999999997</v>
      </c>
    </row>
    <row r="20" spans="3:8" ht="38.25" x14ac:dyDescent="0.25">
      <c r="C20" s="65" t="s">
        <v>1160</v>
      </c>
      <c r="D20" s="185" t="s">
        <v>1003</v>
      </c>
      <c r="E20" s="186" t="s">
        <v>1007</v>
      </c>
      <c r="F20" s="186" t="s">
        <v>1004</v>
      </c>
      <c r="G20" s="207" t="s">
        <v>1005</v>
      </c>
      <c r="H20" t="s">
        <v>1157</v>
      </c>
    </row>
    <row r="21" spans="3:8" x14ac:dyDescent="0.25">
      <c r="C21" s="190" t="s">
        <v>245</v>
      </c>
      <c r="D21" s="195">
        <v>1</v>
      </c>
      <c r="E21" s="7">
        <v>125813.84999999999</v>
      </c>
      <c r="F21" s="7">
        <v>150976.62</v>
      </c>
      <c r="G21" s="7">
        <v>150976.62</v>
      </c>
    </row>
    <row r="22" spans="3:8" ht="24" x14ac:dyDescent="0.25">
      <c r="C22" s="190" t="s">
        <v>278</v>
      </c>
      <c r="D22" s="195">
        <v>1</v>
      </c>
      <c r="E22" s="7">
        <v>106724.25</v>
      </c>
      <c r="F22" s="7">
        <v>128069.09999999999</v>
      </c>
      <c r="G22" s="7">
        <v>128069.09999999999</v>
      </c>
    </row>
    <row r="23" spans="3:8" x14ac:dyDescent="0.25">
      <c r="C23" s="190" t="s">
        <v>1104</v>
      </c>
      <c r="D23" s="195">
        <v>2</v>
      </c>
      <c r="E23" s="7">
        <v>38800</v>
      </c>
      <c r="F23" s="7">
        <v>46560</v>
      </c>
      <c r="G23" s="7">
        <v>93120</v>
      </c>
    </row>
    <row r="24" spans="3:8" x14ac:dyDescent="0.25">
      <c r="C24" s="190" t="s">
        <v>1105</v>
      </c>
      <c r="D24" s="195">
        <v>2</v>
      </c>
      <c r="E24" s="7">
        <v>38800</v>
      </c>
      <c r="F24" s="7">
        <v>46560</v>
      </c>
      <c r="G24" s="7">
        <v>93120</v>
      </c>
    </row>
    <row r="25" spans="3:8" ht="24" x14ac:dyDescent="0.25">
      <c r="C25" s="190" t="s">
        <v>263</v>
      </c>
      <c r="D25" s="195">
        <v>2</v>
      </c>
      <c r="E25" s="7">
        <v>21243</v>
      </c>
      <c r="F25" s="7">
        <v>25491.599999999999</v>
      </c>
      <c r="G25" s="7">
        <v>50983.199999999997</v>
      </c>
    </row>
    <row r="26" spans="3:8" x14ac:dyDescent="0.25">
      <c r="C26" s="124" t="s">
        <v>1110</v>
      </c>
      <c r="D26" s="195">
        <v>1</v>
      </c>
      <c r="E26" s="7">
        <v>16611.25</v>
      </c>
      <c r="F26" s="7">
        <v>19933.5</v>
      </c>
      <c r="G26" s="7">
        <v>19933.5</v>
      </c>
    </row>
    <row r="27" spans="3:8" x14ac:dyDescent="0.25">
      <c r="C27" s="7"/>
      <c r="D27" s="7"/>
      <c r="E27" s="7"/>
      <c r="F27" s="200" t="s">
        <v>980</v>
      </c>
      <c r="G27" s="201">
        <f>SUM(G21:G26)</f>
        <v>536202.41999999993</v>
      </c>
    </row>
    <row r="29" spans="3:8" ht="38.25" x14ac:dyDescent="0.25">
      <c r="C29" s="65" t="s">
        <v>1161</v>
      </c>
      <c r="D29" s="87" t="s">
        <v>1003</v>
      </c>
      <c r="E29" s="67" t="s">
        <v>1007</v>
      </c>
      <c r="F29" s="67" t="s">
        <v>1004</v>
      </c>
      <c r="G29" s="89" t="s">
        <v>1005</v>
      </c>
      <c r="H29" t="s">
        <v>1159</v>
      </c>
    </row>
    <row r="30" spans="3:8" ht="24" x14ac:dyDescent="0.25">
      <c r="C30" s="208" t="s">
        <v>152</v>
      </c>
      <c r="D30" s="90">
        <v>50</v>
      </c>
      <c r="E30" s="6">
        <v>3173.8399999999997</v>
      </c>
      <c r="F30" s="6">
        <v>3808.6079999999993</v>
      </c>
      <c r="G30" s="6">
        <v>190430.39999999997</v>
      </c>
    </row>
    <row r="31" spans="3:8" ht="24" x14ac:dyDescent="0.25">
      <c r="C31" s="209" t="s">
        <v>1102</v>
      </c>
      <c r="D31" s="90">
        <v>10</v>
      </c>
      <c r="E31" s="6">
        <v>4882.01</v>
      </c>
      <c r="F31" s="6">
        <v>5858.4120000000003</v>
      </c>
      <c r="G31" s="6">
        <v>58584.12</v>
      </c>
    </row>
    <row r="32" spans="3:8" ht="24" x14ac:dyDescent="0.25">
      <c r="C32" s="208" t="s">
        <v>284</v>
      </c>
      <c r="D32" s="90">
        <v>30</v>
      </c>
      <c r="E32" s="6">
        <v>568.41999999999996</v>
      </c>
      <c r="F32" s="6">
        <v>682.10399999999993</v>
      </c>
      <c r="G32" s="6">
        <v>20463.12</v>
      </c>
    </row>
    <row r="33" spans="3:7" ht="24" x14ac:dyDescent="0.25">
      <c r="C33" s="208" t="s">
        <v>283</v>
      </c>
      <c r="D33" s="90">
        <v>50</v>
      </c>
      <c r="E33" s="6">
        <v>568.41999999999996</v>
      </c>
      <c r="F33" s="6">
        <v>682.10399999999993</v>
      </c>
      <c r="G33" s="6">
        <v>34105.199999999997</v>
      </c>
    </row>
    <row r="34" spans="3:7" ht="24" x14ac:dyDescent="0.25">
      <c r="C34" s="208" t="s">
        <v>153</v>
      </c>
      <c r="D34" s="90">
        <v>40</v>
      </c>
      <c r="E34" s="6">
        <v>171.69</v>
      </c>
      <c r="F34" s="6">
        <v>206.02799999999999</v>
      </c>
      <c r="G34" s="6">
        <v>8241.119999999999</v>
      </c>
    </row>
    <row r="35" spans="3:7" ht="24" x14ac:dyDescent="0.25">
      <c r="C35" s="208" t="s">
        <v>154</v>
      </c>
      <c r="D35" s="90">
        <v>10</v>
      </c>
      <c r="E35" s="6">
        <v>195.94</v>
      </c>
      <c r="F35" s="6">
        <v>235.12799999999999</v>
      </c>
      <c r="G35" s="6">
        <v>2351.2799999999997</v>
      </c>
    </row>
    <row r="36" spans="3:7" ht="24" x14ac:dyDescent="0.25">
      <c r="C36" s="208" t="s">
        <v>156</v>
      </c>
      <c r="D36" s="90">
        <v>58</v>
      </c>
      <c r="E36" s="6">
        <v>854.56999999999994</v>
      </c>
      <c r="F36" s="6">
        <v>1025.4839999999999</v>
      </c>
      <c r="G36" s="6">
        <v>59478.071999999993</v>
      </c>
    </row>
    <row r="37" spans="3:7" x14ac:dyDescent="0.25">
      <c r="C37" s="208" t="s">
        <v>143</v>
      </c>
      <c r="D37" s="90">
        <v>10</v>
      </c>
      <c r="E37" s="6">
        <v>97.97</v>
      </c>
      <c r="F37" s="6">
        <v>117.56399999999999</v>
      </c>
      <c r="G37" s="6">
        <v>1175.6399999999999</v>
      </c>
    </row>
    <row r="38" spans="3:7" x14ac:dyDescent="0.25">
      <c r="C38" s="208" t="s">
        <v>144</v>
      </c>
      <c r="D38" s="90">
        <v>30</v>
      </c>
      <c r="E38" s="6">
        <v>123.19</v>
      </c>
      <c r="F38" s="6">
        <v>147.828</v>
      </c>
      <c r="G38" s="6">
        <v>4434.84</v>
      </c>
    </row>
    <row r="39" spans="3:7" x14ac:dyDescent="0.25">
      <c r="C39" s="208" t="s">
        <v>145</v>
      </c>
      <c r="D39" s="90">
        <v>10</v>
      </c>
      <c r="E39" s="6">
        <v>97.97</v>
      </c>
      <c r="F39" s="6">
        <v>117.56399999999999</v>
      </c>
      <c r="G39" s="6">
        <v>1175.6399999999999</v>
      </c>
    </row>
    <row r="40" spans="3:7" x14ac:dyDescent="0.25">
      <c r="C40" s="208" t="s">
        <v>146</v>
      </c>
      <c r="D40" s="90">
        <v>10</v>
      </c>
      <c r="E40" s="6">
        <v>97.97</v>
      </c>
      <c r="F40" s="6">
        <v>117.56399999999999</v>
      </c>
      <c r="G40" s="6">
        <v>1175.6399999999999</v>
      </c>
    </row>
    <row r="41" spans="3:7" x14ac:dyDescent="0.25">
      <c r="C41" s="208" t="s">
        <v>147</v>
      </c>
      <c r="D41" s="90">
        <v>30</v>
      </c>
      <c r="E41" s="6">
        <v>147.44</v>
      </c>
      <c r="F41" s="6">
        <v>176.928</v>
      </c>
      <c r="G41" s="6">
        <v>5307.84</v>
      </c>
    </row>
    <row r="42" spans="3:7" x14ac:dyDescent="0.25">
      <c r="C42" s="208" t="s">
        <v>148</v>
      </c>
      <c r="D42" s="90">
        <v>30</v>
      </c>
      <c r="E42" s="6">
        <v>244.44</v>
      </c>
      <c r="F42" s="6">
        <v>293.32799999999997</v>
      </c>
      <c r="G42" s="6">
        <v>8799.84</v>
      </c>
    </row>
    <row r="43" spans="3:7" x14ac:dyDescent="0.25">
      <c r="C43" s="208" t="s">
        <v>149</v>
      </c>
      <c r="D43" s="90">
        <v>30</v>
      </c>
      <c r="E43" s="6">
        <v>171.69</v>
      </c>
      <c r="F43" s="6">
        <v>206.02799999999999</v>
      </c>
      <c r="G43" s="6">
        <v>6180.84</v>
      </c>
    </row>
    <row r="44" spans="3:7" x14ac:dyDescent="0.25">
      <c r="C44" s="208" t="s">
        <v>150</v>
      </c>
      <c r="D44" s="90">
        <v>30</v>
      </c>
      <c r="E44" s="6">
        <v>195.94</v>
      </c>
      <c r="F44" s="6">
        <v>235.12799999999999</v>
      </c>
      <c r="G44" s="6">
        <v>7053.8399999999992</v>
      </c>
    </row>
    <row r="45" spans="3:7" x14ac:dyDescent="0.25">
      <c r="C45" s="208" t="s">
        <v>216</v>
      </c>
      <c r="D45" s="90">
        <v>4</v>
      </c>
      <c r="E45" s="6">
        <v>1348.3</v>
      </c>
      <c r="F45" s="6">
        <v>1617.9599999999998</v>
      </c>
      <c r="G45" s="6">
        <v>6471.8399999999992</v>
      </c>
    </row>
    <row r="46" spans="3:7" ht="24" x14ac:dyDescent="0.25">
      <c r="C46" s="208" t="s">
        <v>1114</v>
      </c>
      <c r="D46" s="90">
        <v>2</v>
      </c>
      <c r="E46" s="6">
        <v>9141.2800000000007</v>
      </c>
      <c r="F46" s="6">
        <v>10969.536</v>
      </c>
      <c r="G46" s="6">
        <v>21939.072</v>
      </c>
    </row>
    <row r="47" spans="3:7" ht="24" x14ac:dyDescent="0.25">
      <c r="C47" s="208" t="s">
        <v>141</v>
      </c>
      <c r="D47" s="90">
        <v>4</v>
      </c>
      <c r="E47" s="6">
        <v>5490.2</v>
      </c>
      <c r="F47" s="6">
        <v>6588.24</v>
      </c>
      <c r="G47" s="6">
        <v>26352.959999999999</v>
      </c>
    </row>
    <row r="48" spans="3:7" ht="24" x14ac:dyDescent="0.25">
      <c r="C48" s="208" t="s">
        <v>1115</v>
      </c>
      <c r="D48" s="90">
        <v>100</v>
      </c>
      <c r="E48" s="6">
        <v>676.09</v>
      </c>
      <c r="F48" s="6">
        <v>811.30799999999999</v>
      </c>
      <c r="G48" s="6">
        <v>81130.8</v>
      </c>
    </row>
    <row r="49" spans="3:7" x14ac:dyDescent="0.25">
      <c r="C49" s="129" t="s">
        <v>1116</v>
      </c>
      <c r="D49" s="90">
        <v>5</v>
      </c>
      <c r="E49" s="6">
        <v>3965.1660000000002</v>
      </c>
      <c r="F49" s="6">
        <v>4758.1992</v>
      </c>
      <c r="G49" s="6">
        <v>23790.995999999999</v>
      </c>
    </row>
    <row r="50" spans="3:7" x14ac:dyDescent="0.25">
      <c r="F50" s="85" t="s">
        <v>980</v>
      </c>
      <c r="G50" s="68">
        <f>SUM(G30:G49)</f>
        <v>568643.10000000021</v>
      </c>
    </row>
    <row r="52" spans="3:7" x14ac:dyDescent="0.25">
      <c r="F52" s="7" t="s">
        <v>1162</v>
      </c>
      <c r="G52" s="43">
        <f>G50+G27+G18+G10</f>
        <v>1664380.3199999998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2"/>
  <sheetViews>
    <sheetView topLeftCell="A22" workbookViewId="0">
      <selection activeCell="H73" sqref="H73"/>
    </sheetView>
  </sheetViews>
  <sheetFormatPr defaultRowHeight="15" x14ac:dyDescent="0.25"/>
  <cols>
    <col min="3" max="3" width="39.85546875" customWidth="1"/>
    <col min="6" max="6" width="15.140625" customWidth="1"/>
    <col min="7" max="7" width="12.140625" customWidth="1"/>
  </cols>
  <sheetData>
    <row r="1" spans="1:7" ht="26.25" customHeight="1" x14ac:dyDescent="0.25">
      <c r="A1" s="69">
        <v>1</v>
      </c>
      <c r="B1" s="70" t="s">
        <v>1006</v>
      </c>
      <c r="C1" s="139" t="s">
        <v>1163</v>
      </c>
      <c r="D1" s="106" t="s">
        <v>1003</v>
      </c>
      <c r="E1" s="73" t="s">
        <v>1007</v>
      </c>
      <c r="F1" s="73" t="s">
        <v>1004</v>
      </c>
      <c r="G1" s="73" t="s">
        <v>1005</v>
      </c>
    </row>
    <row r="2" spans="1:7" x14ac:dyDescent="0.25">
      <c r="A2" s="74"/>
      <c r="B2" s="70" t="s">
        <v>1006</v>
      </c>
      <c r="C2" s="210" t="s">
        <v>83</v>
      </c>
      <c r="D2" s="81">
        <v>2</v>
      </c>
      <c r="E2" s="76">
        <f>F2/1.2</f>
        <v>504797.5</v>
      </c>
      <c r="F2" s="76">
        <v>605757</v>
      </c>
      <c r="G2" s="141">
        <f>F2*D2</f>
        <v>1211514</v>
      </c>
    </row>
    <row r="3" spans="1:7" x14ac:dyDescent="0.25">
      <c r="A3" s="26"/>
      <c r="B3" s="26"/>
      <c r="C3" s="82" t="s">
        <v>1006</v>
      </c>
      <c r="D3" s="121" t="s">
        <v>1006</v>
      </c>
      <c r="E3" s="84" t="s">
        <v>1006</v>
      </c>
      <c r="F3" s="57" t="s">
        <v>246</v>
      </c>
      <c r="G3" s="68">
        <f>G2</f>
        <v>1211514</v>
      </c>
    </row>
    <row r="4" spans="1:7" x14ac:dyDescent="0.25">
      <c r="A4" s="26"/>
      <c r="B4" s="26"/>
      <c r="C4" s="107"/>
      <c r="D4" s="92"/>
      <c r="E4" s="107"/>
      <c r="F4" s="85"/>
      <c r="G4" s="118"/>
    </row>
    <row r="5" spans="1:7" ht="38.25" x14ac:dyDescent="0.25">
      <c r="A5" s="26"/>
      <c r="B5" s="26"/>
      <c r="C5" s="95" t="s">
        <v>1164</v>
      </c>
      <c r="D5" s="100" t="s">
        <v>1003</v>
      </c>
      <c r="E5" s="67" t="s">
        <v>1007</v>
      </c>
      <c r="F5" s="67" t="s">
        <v>1004</v>
      </c>
      <c r="G5" s="67" t="s">
        <v>1005</v>
      </c>
    </row>
    <row r="6" spans="1:7" x14ac:dyDescent="0.25">
      <c r="C6" s="211" t="s">
        <v>83</v>
      </c>
      <c r="D6" s="119">
        <v>2</v>
      </c>
      <c r="E6" s="76">
        <f>F6/1.2</f>
        <v>504797.5</v>
      </c>
      <c r="F6" s="212">
        <v>605757</v>
      </c>
      <c r="G6" s="77">
        <f>F6*D6</f>
        <v>1211514</v>
      </c>
    </row>
    <row r="7" spans="1:7" x14ac:dyDescent="0.25">
      <c r="C7" s="82" t="s">
        <v>1006</v>
      </c>
      <c r="D7" s="120" t="s">
        <v>1006</v>
      </c>
      <c r="E7" s="82" t="s">
        <v>1006</v>
      </c>
      <c r="F7" s="57" t="s">
        <v>246</v>
      </c>
      <c r="G7" s="68">
        <f>G6</f>
        <v>1211514</v>
      </c>
    </row>
    <row r="9" spans="1:7" ht="38.25" x14ac:dyDescent="0.25">
      <c r="C9" s="65" t="s">
        <v>1165</v>
      </c>
      <c r="D9" s="66" t="s">
        <v>1003</v>
      </c>
      <c r="E9" s="67" t="s">
        <v>1007</v>
      </c>
      <c r="F9" s="67" t="s">
        <v>1004</v>
      </c>
      <c r="G9" s="67" t="s">
        <v>1005</v>
      </c>
    </row>
    <row r="10" spans="1:7" x14ac:dyDescent="0.25">
      <c r="C10" s="213" t="s">
        <v>83</v>
      </c>
      <c r="D10" s="214">
        <v>2</v>
      </c>
      <c r="E10" s="76">
        <f>F10/1.2</f>
        <v>504797.5</v>
      </c>
      <c r="F10" s="212">
        <v>605757</v>
      </c>
      <c r="G10" s="77">
        <f>F10*D10</f>
        <v>1211514</v>
      </c>
    </row>
    <row r="11" spans="1:7" x14ac:dyDescent="0.25">
      <c r="C11" s="82" t="s">
        <v>1006</v>
      </c>
      <c r="D11" s="120" t="s">
        <v>1006</v>
      </c>
      <c r="E11" s="82" t="s">
        <v>1006</v>
      </c>
      <c r="F11" s="57" t="s">
        <v>246</v>
      </c>
      <c r="G11" s="68">
        <f>G10</f>
        <v>1211514</v>
      </c>
    </row>
    <row r="13" spans="1:7" ht="38.25" x14ac:dyDescent="0.25">
      <c r="C13" s="65" t="s">
        <v>1166</v>
      </c>
      <c r="D13" s="66" t="s">
        <v>1003</v>
      </c>
      <c r="E13" s="67" t="s">
        <v>1007</v>
      </c>
      <c r="F13" s="67" t="s">
        <v>1004</v>
      </c>
      <c r="G13" s="67" t="s">
        <v>1005</v>
      </c>
    </row>
    <row r="14" spans="1:7" ht="24" x14ac:dyDescent="0.25">
      <c r="C14" s="129" t="s">
        <v>204</v>
      </c>
      <c r="D14" s="215">
        <v>4</v>
      </c>
      <c r="E14" s="216">
        <f t="shared" ref="E14:E16" si="0">F14/1.2</f>
        <v>110444.19999999998</v>
      </c>
      <c r="F14" s="6">
        <v>132533.03999999998</v>
      </c>
      <c r="G14" s="77">
        <f t="shared" ref="G14:G16" si="1">F14*D14</f>
        <v>530132.15999999992</v>
      </c>
    </row>
    <row r="15" spans="1:7" x14ac:dyDescent="0.25">
      <c r="C15" s="129" t="s">
        <v>65</v>
      </c>
      <c r="D15" s="90">
        <v>20</v>
      </c>
      <c r="E15" s="216">
        <f t="shared" si="0"/>
        <v>10020.1</v>
      </c>
      <c r="F15" s="123">
        <v>12024.12</v>
      </c>
      <c r="G15" s="77">
        <f t="shared" si="1"/>
        <v>240482.40000000002</v>
      </c>
    </row>
    <row r="16" spans="1:7" x14ac:dyDescent="0.25">
      <c r="C16" s="129" t="s">
        <v>237</v>
      </c>
      <c r="D16">
        <v>10</v>
      </c>
      <c r="E16" s="216">
        <f t="shared" si="0"/>
        <v>19603.7</v>
      </c>
      <c r="F16" s="6">
        <v>23524.44</v>
      </c>
      <c r="G16" s="77">
        <f t="shared" si="1"/>
        <v>235244.4</v>
      </c>
    </row>
    <row r="17" spans="3:7" x14ac:dyDescent="0.25">
      <c r="F17" t="s">
        <v>246</v>
      </c>
      <c r="G17" s="68">
        <f>SUM(G14:G16)</f>
        <v>1005858.96</v>
      </c>
    </row>
    <row r="20" spans="3:7" ht="38.25" x14ac:dyDescent="0.25">
      <c r="C20" s="65" t="s">
        <v>1167</v>
      </c>
      <c r="D20" s="66" t="s">
        <v>1003</v>
      </c>
      <c r="E20" s="67" t="s">
        <v>1007</v>
      </c>
      <c r="F20" s="67" t="s">
        <v>1004</v>
      </c>
      <c r="G20" s="67" t="s">
        <v>1005</v>
      </c>
    </row>
    <row r="21" spans="3:7" x14ac:dyDescent="0.25">
      <c r="C21" s="209" t="s">
        <v>1112</v>
      </c>
      <c r="D21" s="215">
        <v>1</v>
      </c>
      <c r="E21" s="216">
        <v>674150</v>
      </c>
      <c r="F21" s="217">
        <v>808980</v>
      </c>
      <c r="G21" s="77">
        <v>808980</v>
      </c>
    </row>
    <row r="22" spans="3:7" x14ac:dyDescent="0.25">
      <c r="C22" s="208" t="s">
        <v>1113</v>
      </c>
      <c r="D22" s="90">
        <v>14</v>
      </c>
      <c r="E22" s="216">
        <v>4544.45</v>
      </c>
      <c r="F22" s="218">
        <v>5453.3399999999992</v>
      </c>
      <c r="G22" s="77">
        <v>76346.759999999995</v>
      </c>
    </row>
    <row r="23" spans="3:7" ht="24" x14ac:dyDescent="0.25">
      <c r="C23" s="208" t="s">
        <v>384</v>
      </c>
      <c r="D23" s="90">
        <v>1</v>
      </c>
      <c r="E23" s="216">
        <v>34144</v>
      </c>
      <c r="F23" s="219">
        <v>40972.799999999996</v>
      </c>
      <c r="G23" s="77">
        <v>40972.799999999996</v>
      </c>
    </row>
    <row r="24" spans="3:7" x14ac:dyDescent="0.25">
      <c r="C24" s="208" t="s">
        <v>381</v>
      </c>
      <c r="D24" s="90">
        <v>1</v>
      </c>
      <c r="E24">
        <v>30070</v>
      </c>
      <c r="F24">
        <v>36084</v>
      </c>
      <c r="G24">
        <v>36084</v>
      </c>
    </row>
    <row r="25" spans="3:7" x14ac:dyDescent="0.25">
      <c r="C25" s="129" t="s">
        <v>234</v>
      </c>
      <c r="D25" s="90">
        <v>1</v>
      </c>
      <c r="E25">
        <v>228745.4</v>
      </c>
      <c r="F25">
        <v>274494.48</v>
      </c>
      <c r="G25">
        <v>274494.48</v>
      </c>
    </row>
    <row r="26" spans="3:7" x14ac:dyDescent="0.25">
      <c r="F26" t="s">
        <v>246</v>
      </c>
      <c r="G26" s="68">
        <f>SUM(G21:G25)</f>
        <v>1236878.04</v>
      </c>
    </row>
    <row r="28" spans="3:7" ht="38.25" x14ac:dyDescent="0.25">
      <c r="C28" s="65" t="s">
        <v>1168</v>
      </c>
      <c r="D28" s="66" t="s">
        <v>1003</v>
      </c>
      <c r="E28" s="67" t="s">
        <v>1007</v>
      </c>
      <c r="F28" s="67" t="s">
        <v>1004</v>
      </c>
      <c r="G28" s="67" t="s">
        <v>1005</v>
      </c>
    </row>
    <row r="29" spans="3:7" x14ac:dyDescent="0.25">
      <c r="C29" s="129" t="s">
        <v>8</v>
      </c>
      <c r="D29" s="220">
        <v>1</v>
      </c>
      <c r="E29" s="216">
        <v>2515054.7999999998</v>
      </c>
      <c r="F29" s="217">
        <v>3018065.76</v>
      </c>
      <c r="G29" s="77">
        <v>3018065.76</v>
      </c>
    </row>
    <row r="30" spans="3:7" x14ac:dyDescent="0.25">
      <c r="F30" t="s">
        <v>246</v>
      </c>
      <c r="G30" s="68">
        <f>SUM(G29:G29)</f>
        <v>3018065.76</v>
      </c>
    </row>
    <row r="33" spans="3:8" ht="38.25" x14ac:dyDescent="0.25">
      <c r="C33" s="65" t="s">
        <v>1153</v>
      </c>
      <c r="D33" s="66" t="s">
        <v>1003</v>
      </c>
      <c r="E33" s="67" t="s">
        <v>1007</v>
      </c>
      <c r="F33" s="67" t="s">
        <v>1004</v>
      </c>
      <c r="G33" s="67" t="s">
        <v>1005</v>
      </c>
    </row>
    <row r="34" spans="3:8" x14ac:dyDescent="0.25">
      <c r="C34" s="129" t="s">
        <v>1082</v>
      </c>
      <c r="D34" s="220">
        <v>1</v>
      </c>
      <c r="E34" s="6">
        <v>167274.56</v>
      </c>
      <c r="F34" s="6">
        <v>200729.47199999998</v>
      </c>
      <c r="G34" s="6">
        <v>200729.47199999998</v>
      </c>
    </row>
    <row r="35" spans="3:8" x14ac:dyDescent="0.25">
      <c r="C35" s="208" t="s">
        <v>116</v>
      </c>
      <c r="D35">
        <v>1</v>
      </c>
      <c r="E35">
        <v>190954.19999999998</v>
      </c>
      <c r="F35">
        <v>229145.03999999998</v>
      </c>
      <c r="G35">
        <v>229145.03999999998</v>
      </c>
    </row>
    <row r="36" spans="3:8" x14ac:dyDescent="0.25">
      <c r="C36" s="208" t="s">
        <v>217</v>
      </c>
      <c r="D36">
        <v>1</v>
      </c>
      <c r="E36">
        <v>190954.19999999998</v>
      </c>
      <c r="F36">
        <v>229145.03999999998</v>
      </c>
      <c r="G36">
        <v>229145.03999999998</v>
      </c>
    </row>
    <row r="37" spans="3:8" x14ac:dyDescent="0.25">
      <c r="C37" s="129" t="s">
        <v>169</v>
      </c>
      <c r="D37">
        <v>3</v>
      </c>
      <c r="E37">
        <v>125828.4</v>
      </c>
      <c r="F37">
        <v>150994.07999999999</v>
      </c>
      <c r="G37">
        <v>452982.24</v>
      </c>
    </row>
    <row r="38" spans="3:8" x14ac:dyDescent="0.25">
      <c r="F38" t="s">
        <v>246</v>
      </c>
      <c r="G38" s="68">
        <f>SUM(G34:G37)</f>
        <v>1112001.7919999999</v>
      </c>
    </row>
    <row r="42" spans="3:8" x14ac:dyDescent="0.25">
      <c r="G42" s="135" t="s">
        <v>1169</v>
      </c>
      <c r="H42" s="136">
        <f>G3+G7+G11+G17+G26+G30+G38</f>
        <v>10007346.551999999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8"/>
  <sheetViews>
    <sheetView topLeftCell="A16" workbookViewId="0"/>
  </sheetViews>
  <sheetFormatPr defaultRowHeight="15" x14ac:dyDescent="0.25"/>
  <cols>
    <col min="3" max="3" width="39.85546875" customWidth="1"/>
    <col min="6" max="6" width="15.140625" customWidth="1"/>
    <col min="7" max="7" width="11.28515625" customWidth="1"/>
    <col min="8" max="8" width="12.140625" customWidth="1"/>
  </cols>
  <sheetData>
    <row r="1" spans="1:8" ht="38.25" customHeight="1" x14ac:dyDescent="0.25">
      <c r="A1" s="69">
        <v>1</v>
      </c>
      <c r="B1" s="70" t="s">
        <v>1006</v>
      </c>
      <c r="C1" s="71" t="s">
        <v>1164</v>
      </c>
      <c r="D1" s="106" t="s">
        <v>1003</v>
      </c>
      <c r="E1" s="73" t="s">
        <v>1007</v>
      </c>
      <c r="F1" s="73" t="s">
        <v>1004</v>
      </c>
      <c r="G1" s="73" t="s">
        <v>1008</v>
      </c>
      <c r="H1" s="73" t="s">
        <v>1005</v>
      </c>
    </row>
    <row r="2" spans="1:8" ht="24" x14ac:dyDescent="0.25">
      <c r="A2" s="74"/>
      <c r="B2" s="75" t="s">
        <v>1006</v>
      </c>
      <c r="C2" s="208" t="s">
        <v>258</v>
      </c>
      <c r="D2" s="215">
        <v>5</v>
      </c>
      <c r="E2" s="6">
        <v>1571.3999999999999</v>
      </c>
      <c r="F2" s="6">
        <f t="shared" ref="F2:F9" si="0">E2*1.2</f>
        <v>1885.6799999999998</v>
      </c>
      <c r="G2" s="6">
        <f t="shared" ref="G2:G9" si="1">E2*D2</f>
        <v>7856.9999999999991</v>
      </c>
      <c r="H2" s="6">
        <f t="shared" ref="H2:H9" si="2">F2*D2</f>
        <v>9428.4</v>
      </c>
    </row>
    <row r="3" spans="1:8" ht="36" x14ac:dyDescent="0.25">
      <c r="A3" s="74"/>
      <c r="B3" s="75" t="s">
        <v>1006</v>
      </c>
      <c r="C3" s="208" t="s">
        <v>1078</v>
      </c>
      <c r="D3" s="215">
        <v>2</v>
      </c>
      <c r="E3" s="123">
        <v>2148.5499999999997</v>
      </c>
      <c r="F3" s="6">
        <f t="shared" si="0"/>
        <v>2578.2599999999998</v>
      </c>
      <c r="G3" s="6">
        <f t="shared" si="1"/>
        <v>4297.0999999999995</v>
      </c>
      <c r="H3" s="6">
        <f t="shared" si="2"/>
        <v>5156.5199999999995</v>
      </c>
    </row>
    <row r="4" spans="1:8" ht="24" x14ac:dyDescent="0.25">
      <c r="A4" s="74"/>
      <c r="B4" s="75" t="s">
        <v>1006</v>
      </c>
      <c r="C4" s="208" t="s">
        <v>253</v>
      </c>
      <c r="D4" s="215">
        <v>2</v>
      </c>
      <c r="E4" s="123">
        <v>630.5</v>
      </c>
      <c r="F4" s="6">
        <f t="shared" si="0"/>
        <v>756.6</v>
      </c>
      <c r="G4" s="6">
        <f t="shared" si="1"/>
        <v>1261</v>
      </c>
      <c r="H4" s="6">
        <f t="shared" si="2"/>
        <v>1513.2</v>
      </c>
    </row>
    <row r="5" spans="1:8" ht="24" x14ac:dyDescent="0.25">
      <c r="A5" s="74"/>
      <c r="B5" s="75" t="s">
        <v>1006</v>
      </c>
      <c r="C5" s="208" t="s">
        <v>256</v>
      </c>
      <c r="D5" s="215">
        <v>1</v>
      </c>
      <c r="E5" s="123">
        <v>654.75</v>
      </c>
      <c r="F5" s="6">
        <f t="shared" si="0"/>
        <v>785.69999999999993</v>
      </c>
      <c r="G5" s="6">
        <f t="shared" si="1"/>
        <v>654.75</v>
      </c>
      <c r="H5" s="6">
        <f t="shared" si="2"/>
        <v>785.69999999999993</v>
      </c>
    </row>
    <row r="6" spans="1:8" ht="24" x14ac:dyDescent="0.25">
      <c r="A6" s="74"/>
      <c r="B6" s="75" t="s">
        <v>1006</v>
      </c>
      <c r="C6" s="208" t="s">
        <v>254</v>
      </c>
      <c r="D6" s="215">
        <v>1</v>
      </c>
      <c r="E6" s="123">
        <v>1154.3</v>
      </c>
      <c r="F6" s="6">
        <f t="shared" si="0"/>
        <v>1385.1599999999999</v>
      </c>
      <c r="G6" s="6">
        <f t="shared" si="1"/>
        <v>1154.3</v>
      </c>
      <c r="H6" s="6">
        <f t="shared" si="2"/>
        <v>1385.1599999999999</v>
      </c>
    </row>
    <row r="7" spans="1:8" x14ac:dyDescent="0.25">
      <c r="A7" s="74"/>
      <c r="B7" s="74"/>
      <c r="C7" s="208" t="s">
        <v>97</v>
      </c>
      <c r="D7" s="215">
        <v>1</v>
      </c>
      <c r="E7" s="123">
        <v>39385.879999999997</v>
      </c>
      <c r="F7" s="6">
        <f t="shared" si="0"/>
        <v>47263.055999999997</v>
      </c>
      <c r="G7" s="6">
        <f t="shared" si="1"/>
        <v>39385.879999999997</v>
      </c>
      <c r="H7" s="6">
        <f t="shared" si="2"/>
        <v>47263.055999999997</v>
      </c>
    </row>
    <row r="8" spans="1:8" ht="24" x14ac:dyDescent="0.25">
      <c r="A8" s="26"/>
      <c r="B8" s="26"/>
      <c r="C8" s="208" t="s">
        <v>255</v>
      </c>
      <c r="D8" s="215">
        <v>10</v>
      </c>
      <c r="E8" s="123">
        <v>1464.7</v>
      </c>
      <c r="F8" s="6">
        <f t="shared" si="0"/>
        <v>1757.64</v>
      </c>
      <c r="G8" s="6">
        <f t="shared" si="1"/>
        <v>14647</v>
      </c>
      <c r="H8" s="6">
        <f t="shared" si="2"/>
        <v>17576.400000000001</v>
      </c>
    </row>
    <row r="9" spans="1:8" x14ac:dyDescent="0.25">
      <c r="A9" s="26"/>
      <c r="B9" s="26"/>
      <c r="C9" s="208" t="s">
        <v>1088</v>
      </c>
      <c r="D9" s="215">
        <v>2</v>
      </c>
      <c r="E9" s="123">
        <v>10677.76</v>
      </c>
      <c r="F9" s="6">
        <f t="shared" si="0"/>
        <v>12813.312</v>
      </c>
      <c r="G9" s="6">
        <f t="shared" si="1"/>
        <v>21355.52</v>
      </c>
      <c r="H9" s="6">
        <f t="shared" si="2"/>
        <v>25626.624</v>
      </c>
    </row>
    <row r="10" spans="1:8" ht="24" x14ac:dyDescent="0.25">
      <c r="A10" s="26"/>
      <c r="B10" s="26"/>
      <c r="C10" s="208" t="s">
        <v>1089</v>
      </c>
      <c r="D10" s="215">
        <v>2</v>
      </c>
      <c r="E10" s="123">
        <v>45672.45</v>
      </c>
      <c r="F10" s="6">
        <f t="shared" ref="F10:F27" si="3">E10*1.2</f>
        <v>54806.939999999995</v>
      </c>
      <c r="G10" s="6">
        <f t="shared" ref="G10:G27" si="4">E10*D10</f>
        <v>91344.9</v>
      </c>
      <c r="H10" s="6">
        <f t="shared" ref="H10:H27" si="5">F10*D10</f>
        <v>109613.87999999999</v>
      </c>
    </row>
    <row r="11" spans="1:8" x14ac:dyDescent="0.25">
      <c r="A11" s="26"/>
      <c r="B11" s="26"/>
      <c r="C11" s="208" t="s">
        <v>242</v>
      </c>
      <c r="D11" s="215">
        <v>50</v>
      </c>
      <c r="E11" s="123">
        <v>2041.85</v>
      </c>
      <c r="F11" s="6">
        <f t="shared" si="3"/>
        <v>2450.2199999999998</v>
      </c>
      <c r="G11" s="6">
        <f t="shared" si="4"/>
        <v>102092.5</v>
      </c>
      <c r="H11" s="6">
        <f t="shared" si="5"/>
        <v>122510.99999999999</v>
      </c>
    </row>
    <row r="12" spans="1:8" x14ac:dyDescent="0.25">
      <c r="A12" s="26"/>
      <c r="B12" s="26"/>
      <c r="C12" s="208" t="s">
        <v>1093</v>
      </c>
      <c r="D12" s="215">
        <v>2</v>
      </c>
      <c r="E12" s="123">
        <v>885.61</v>
      </c>
      <c r="F12" s="6">
        <f t="shared" si="3"/>
        <v>1062.732</v>
      </c>
      <c r="G12" s="6">
        <f t="shared" si="4"/>
        <v>1771.22</v>
      </c>
      <c r="H12" s="6">
        <f t="shared" si="5"/>
        <v>2125.4639999999999</v>
      </c>
    </row>
    <row r="13" spans="1:8" x14ac:dyDescent="0.25">
      <c r="C13" s="208" t="s">
        <v>1094</v>
      </c>
      <c r="D13" s="90">
        <v>2</v>
      </c>
      <c r="E13" s="6">
        <v>1254.21</v>
      </c>
      <c r="F13" s="6">
        <f t="shared" si="3"/>
        <v>1505.0519999999999</v>
      </c>
      <c r="G13" s="6">
        <f t="shared" si="4"/>
        <v>2508.42</v>
      </c>
      <c r="H13" s="6">
        <f t="shared" si="5"/>
        <v>3010.1039999999998</v>
      </c>
    </row>
    <row r="14" spans="1:8" x14ac:dyDescent="0.25">
      <c r="C14" s="208" t="s">
        <v>1095</v>
      </c>
      <c r="D14" s="90">
        <v>2</v>
      </c>
      <c r="E14" s="6">
        <v>2125.27</v>
      </c>
      <c r="F14" s="6">
        <f t="shared" si="3"/>
        <v>2550.3240000000001</v>
      </c>
      <c r="G14" s="6">
        <f t="shared" si="4"/>
        <v>4250.54</v>
      </c>
      <c r="H14" s="6">
        <f t="shared" si="5"/>
        <v>5100.6480000000001</v>
      </c>
    </row>
    <row r="15" spans="1:8" x14ac:dyDescent="0.25">
      <c r="C15" s="208" t="s">
        <v>1096</v>
      </c>
      <c r="D15" s="90">
        <v>2</v>
      </c>
      <c r="E15" s="6">
        <v>2301.81</v>
      </c>
      <c r="F15" s="6">
        <f t="shared" si="3"/>
        <v>2762.172</v>
      </c>
      <c r="G15" s="6">
        <f t="shared" si="4"/>
        <v>4603.62</v>
      </c>
      <c r="H15" s="6">
        <f t="shared" si="5"/>
        <v>5524.3440000000001</v>
      </c>
    </row>
    <row r="16" spans="1:8" x14ac:dyDescent="0.25">
      <c r="C16" s="208" t="s">
        <v>1097</v>
      </c>
      <c r="D16" s="90">
        <v>2</v>
      </c>
      <c r="E16" s="6">
        <v>797.34</v>
      </c>
      <c r="F16" s="6">
        <f t="shared" si="3"/>
        <v>956.80799999999999</v>
      </c>
      <c r="G16" s="6">
        <f t="shared" si="4"/>
        <v>1594.68</v>
      </c>
      <c r="H16" s="6">
        <f t="shared" si="5"/>
        <v>1913.616</v>
      </c>
    </row>
    <row r="17" spans="3:8" x14ac:dyDescent="0.25">
      <c r="C17" s="208" t="s">
        <v>1098</v>
      </c>
      <c r="D17" s="90">
        <v>2</v>
      </c>
      <c r="E17" s="6">
        <v>839.05</v>
      </c>
      <c r="F17" s="6">
        <f t="shared" si="3"/>
        <v>1006.8599999999999</v>
      </c>
      <c r="G17" s="6">
        <f t="shared" si="4"/>
        <v>1678.1</v>
      </c>
      <c r="H17" s="6">
        <f t="shared" si="5"/>
        <v>2013.7199999999998</v>
      </c>
    </row>
    <row r="18" spans="3:8" x14ac:dyDescent="0.25">
      <c r="C18" s="208" t="s">
        <v>224</v>
      </c>
      <c r="D18" s="90">
        <v>2</v>
      </c>
      <c r="E18" s="6">
        <v>2301.81</v>
      </c>
      <c r="F18" s="6">
        <f t="shared" si="3"/>
        <v>2762.172</v>
      </c>
      <c r="G18" s="6">
        <f t="shared" si="4"/>
        <v>4603.62</v>
      </c>
      <c r="H18" s="6">
        <f t="shared" si="5"/>
        <v>5524.3440000000001</v>
      </c>
    </row>
    <row r="19" spans="3:8" x14ac:dyDescent="0.25">
      <c r="C19" s="208" t="s">
        <v>229</v>
      </c>
      <c r="D19" s="90">
        <v>2</v>
      </c>
      <c r="E19" s="6">
        <v>1133.93</v>
      </c>
      <c r="F19" s="6">
        <f t="shared" si="3"/>
        <v>1360.7160000000001</v>
      </c>
      <c r="G19" s="6">
        <f t="shared" si="4"/>
        <v>2267.86</v>
      </c>
      <c r="H19" s="6">
        <f t="shared" si="5"/>
        <v>2721.4320000000002</v>
      </c>
    </row>
    <row r="20" spans="3:8" x14ac:dyDescent="0.25">
      <c r="C20" s="208" t="s">
        <v>1099</v>
      </c>
      <c r="D20" s="90">
        <v>2</v>
      </c>
      <c r="E20" s="6">
        <v>1487.98</v>
      </c>
      <c r="F20" s="6">
        <f t="shared" si="3"/>
        <v>1785.576</v>
      </c>
      <c r="G20" s="6">
        <f t="shared" si="4"/>
        <v>2975.96</v>
      </c>
      <c r="H20" s="6">
        <f t="shared" si="5"/>
        <v>3571.152</v>
      </c>
    </row>
    <row r="21" spans="3:8" x14ac:dyDescent="0.25">
      <c r="C21" s="208" t="s">
        <v>191</v>
      </c>
      <c r="D21" s="90">
        <v>3</v>
      </c>
      <c r="E21" s="6">
        <v>5960.65</v>
      </c>
      <c r="F21" s="6">
        <f t="shared" si="3"/>
        <v>7152.78</v>
      </c>
      <c r="G21" s="6">
        <f t="shared" si="4"/>
        <v>17881.949999999997</v>
      </c>
      <c r="H21" s="6">
        <f t="shared" si="5"/>
        <v>21458.34</v>
      </c>
    </row>
    <row r="22" spans="3:8" x14ac:dyDescent="0.25">
      <c r="C22" s="208" t="s">
        <v>192</v>
      </c>
      <c r="D22" s="90">
        <v>4</v>
      </c>
      <c r="E22" s="6">
        <v>6828.8</v>
      </c>
      <c r="F22" s="6">
        <f t="shared" si="3"/>
        <v>8194.56</v>
      </c>
      <c r="G22" s="6">
        <f t="shared" si="4"/>
        <v>27315.200000000001</v>
      </c>
      <c r="H22" s="6">
        <f t="shared" si="5"/>
        <v>32778.239999999998</v>
      </c>
    </row>
    <row r="23" spans="3:8" x14ac:dyDescent="0.25">
      <c r="C23" s="208" t="s">
        <v>1100</v>
      </c>
      <c r="D23" s="90">
        <v>2</v>
      </c>
      <c r="E23" s="6">
        <v>1593.71</v>
      </c>
      <c r="F23" s="6">
        <f t="shared" si="3"/>
        <v>1912.452</v>
      </c>
      <c r="G23" s="6">
        <f t="shared" si="4"/>
        <v>3187.42</v>
      </c>
      <c r="H23" s="6">
        <f t="shared" si="5"/>
        <v>3824.904</v>
      </c>
    </row>
    <row r="24" spans="3:8" ht="24" x14ac:dyDescent="0.25">
      <c r="C24" s="208" t="s">
        <v>243</v>
      </c>
      <c r="D24" s="90">
        <v>100</v>
      </c>
      <c r="E24" s="6">
        <v>53.35</v>
      </c>
      <c r="F24" s="6">
        <f t="shared" si="3"/>
        <v>64.02</v>
      </c>
      <c r="G24" s="6">
        <f t="shared" si="4"/>
        <v>5335</v>
      </c>
      <c r="H24" s="6">
        <f t="shared" si="5"/>
        <v>6402</v>
      </c>
    </row>
    <row r="25" spans="3:8" ht="24" x14ac:dyDescent="0.25">
      <c r="C25" s="208" t="s">
        <v>244</v>
      </c>
      <c r="D25" s="90">
        <v>100</v>
      </c>
      <c r="E25" s="6">
        <v>77.599999999999994</v>
      </c>
      <c r="F25" s="6">
        <f t="shared" si="3"/>
        <v>93.11999999999999</v>
      </c>
      <c r="G25" s="6">
        <f t="shared" si="4"/>
        <v>7759.9999999999991</v>
      </c>
      <c r="H25" s="6">
        <f t="shared" si="5"/>
        <v>9311.9999999999982</v>
      </c>
    </row>
    <row r="26" spans="3:8" ht="24" x14ac:dyDescent="0.25">
      <c r="C26" s="208" t="s">
        <v>257</v>
      </c>
      <c r="D26" s="90">
        <v>1</v>
      </c>
      <c r="E26" s="6">
        <v>3196.15</v>
      </c>
      <c r="F26" s="6">
        <f t="shared" si="3"/>
        <v>3835.38</v>
      </c>
      <c r="G26" s="6">
        <f t="shared" si="4"/>
        <v>3196.15</v>
      </c>
      <c r="H26" s="6">
        <f t="shared" si="5"/>
        <v>3835.38</v>
      </c>
    </row>
    <row r="27" spans="3:8" x14ac:dyDescent="0.25">
      <c r="C27" s="129" t="s">
        <v>215</v>
      </c>
      <c r="D27" s="90">
        <v>15</v>
      </c>
      <c r="E27" s="6">
        <v>3695.7</v>
      </c>
      <c r="F27" s="6">
        <f t="shared" si="3"/>
        <v>4434.8399999999992</v>
      </c>
      <c r="G27" s="6">
        <f t="shared" si="4"/>
        <v>55435.5</v>
      </c>
      <c r="H27" s="6">
        <f t="shared" si="5"/>
        <v>66522.599999999991</v>
      </c>
    </row>
    <row r="28" spans="3:8" x14ac:dyDescent="0.25">
      <c r="G28" s="86" t="s">
        <v>980</v>
      </c>
      <c r="H28" s="68">
        <f>SUM(H2:H27)</f>
        <v>516498.22799999977</v>
      </c>
    </row>
    <row r="29" spans="3:8" x14ac:dyDescent="0.25">
      <c r="G29" s="86"/>
      <c r="H29" s="68"/>
    </row>
    <row r="30" spans="3:8" ht="38.25" x14ac:dyDescent="0.25">
      <c r="C30" s="65" t="s">
        <v>1158</v>
      </c>
      <c r="D30" s="87" t="s">
        <v>1003</v>
      </c>
      <c r="E30" s="67" t="s">
        <v>1007</v>
      </c>
      <c r="F30" s="67" t="s">
        <v>1004</v>
      </c>
      <c r="G30" s="89" t="s">
        <v>1005</v>
      </c>
      <c r="H30" s="68"/>
    </row>
    <row r="31" spans="3:8" x14ac:dyDescent="0.25">
      <c r="C31" s="208" t="s">
        <v>184</v>
      </c>
      <c r="D31" s="215">
        <v>1</v>
      </c>
      <c r="E31" s="123">
        <v>36413.799999999996</v>
      </c>
      <c r="F31" s="123">
        <v>43696.55999999999</v>
      </c>
      <c r="G31" s="6">
        <v>43696.55999999999</v>
      </c>
      <c r="H31" s="68"/>
    </row>
    <row r="32" spans="3:8" x14ac:dyDescent="0.25">
      <c r="C32" s="209" t="s">
        <v>1073</v>
      </c>
      <c r="D32" s="215">
        <v>2</v>
      </c>
      <c r="E32" s="123">
        <v>16708.25</v>
      </c>
      <c r="F32" s="123">
        <v>20049.899999999998</v>
      </c>
      <c r="G32" s="6">
        <v>40099.799999999996</v>
      </c>
      <c r="H32" s="68"/>
    </row>
    <row r="33" spans="3:8" x14ac:dyDescent="0.25">
      <c r="C33" s="208" t="s">
        <v>239</v>
      </c>
      <c r="D33" s="215">
        <v>2</v>
      </c>
      <c r="E33" s="123">
        <v>15204.75</v>
      </c>
      <c r="F33" s="123">
        <v>18245.7</v>
      </c>
      <c r="G33" s="6">
        <v>36491.4</v>
      </c>
      <c r="H33" s="68"/>
    </row>
    <row r="34" spans="3:8" ht="24" x14ac:dyDescent="0.25">
      <c r="C34" s="208" t="s">
        <v>193</v>
      </c>
      <c r="D34" s="215">
        <v>1</v>
      </c>
      <c r="E34" s="123">
        <v>60794.75</v>
      </c>
      <c r="F34" s="123">
        <v>72953.7</v>
      </c>
      <c r="G34" s="6">
        <v>72953.7</v>
      </c>
      <c r="H34" s="68"/>
    </row>
    <row r="35" spans="3:8" ht="24" x14ac:dyDescent="0.25">
      <c r="C35" s="221" t="s">
        <v>214</v>
      </c>
      <c r="D35" s="215">
        <v>3</v>
      </c>
      <c r="E35" s="222">
        <v>10980.4</v>
      </c>
      <c r="F35" s="123">
        <v>13176.48</v>
      </c>
      <c r="G35" s="6">
        <v>39529.440000000002</v>
      </c>
      <c r="H35" s="68"/>
    </row>
    <row r="36" spans="3:8" x14ac:dyDescent="0.25">
      <c r="C36" s="82" t="s">
        <v>1006</v>
      </c>
      <c r="D36" s="90"/>
      <c r="E36" s="84" t="s">
        <v>1006</v>
      </c>
      <c r="F36" s="85" t="s">
        <v>980</v>
      </c>
      <c r="G36" s="68">
        <f>SUM(G31:G35)</f>
        <v>232770.89999999997</v>
      </c>
      <c r="H36" s="68"/>
    </row>
    <row r="38" spans="3:8" ht="38.25" x14ac:dyDescent="0.25">
      <c r="C38" s="114" t="s">
        <v>1170</v>
      </c>
      <c r="D38" s="87" t="s">
        <v>1003</v>
      </c>
      <c r="E38" s="67" t="s">
        <v>1007</v>
      </c>
      <c r="F38" s="67" t="s">
        <v>1004</v>
      </c>
      <c r="G38" s="67" t="s">
        <v>1005</v>
      </c>
    </row>
    <row r="39" spans="3:8" ht="24" x14ac:dyDescent="0.25">
      <c r="C39" s="208" t="s">
        <v>1106</v>
      </c>
      <c r="D39" s="215">
        <v>4</v>
      </c>
      <c r="E39" s="76">
        <v>9909.52</v>
      </c>
      <c r="F39" s="76">
        <v>11891.424000000001</v>
      </c>
      <c r="G39" s="141">
        <v>47565.696000000004</v>
      </c>
    </row>
    <row r="40" spans="3:8" x14ac:dyDescent="0.25">
      <c r="C40" s="208" t="s">
        <v>305</v>
      </c>
      <c r="D40" s="215">
        <v>2</v>
      </c>
      <c r="E40" s="79">
        <v>6043.0999999999995</v>
      </c>
      <c r="F40" s="143">
        <v>7251.7199999999993</v>
      </c>
      <c r="G40" s="78">
        <v>14503.439999999999</v>
      </c>
    </row>
    <row r="41" spans="3:8" x14ac:dyDescent="0.25">
      <c r="C41" s="208" t="s">
        <v>209</v>
      </c>
      <c r="D41" s="215">
        <v>10</v>
      </c>
      <c r="E41" s="79">
        <v>1145.57</v>
      </c>
      <c r="F41" s="79">
        <v>1374.684</v>
      </c>
      <c r="G41" s="78">
        <v>13746.84</v>
      </c>
    </row>
    <row r="42" spans="3:8" x14ac:dyDescent="0.25">
      <c r="C42" s="208" t="s">
        <v>276</v>
      </c>
      <c r="D42" s="215">
        <v>10</v>
      </c>
      <c r="E42" s="79">
        <v>1411.35</v>
      </c>
      <c r="F42" s="79">
        <v>1693.62</v>
      </c>
      <c r="G42" s="223">
        <v>16936.199999999997</v>
      </c>
    </row>
    <row r="43" spans="3:8" ht="24" x14ac:dyDescent="0.25">
      <c r="C43" s="208" t="s">
        <v>291</v>
      </c>
      <c r="D43" s="90">
        <v>4</v>
      </c>
      <c r="E43">
        <v>3462.9</v>
      </c>
      <c r="F43">
        <v>4155.4799999999996</v>
      </c>
      <c r="G43">
        <v>16621.919999999998</v>
      </c>
    </row>
    <row r="44" spans="3:8" ht="24" x14ac:dyDescent="0.25">
      <c r="C44" s="208" t="s">
        <v>252</v>
      </c>
      <c r="D44" s="90">
        <v>8</v>
      </c>
      <c r="E44">
        <v>1047.5999999999999</v>
      </c>
      <c r="F44">
        <v>1257.1199999999999</v>
      </c>
      <c r="G44">
        <v>10056.959999999999</v>
      </c>
    </row>
    <row r="45" spans="3:8" ht="24" x14ac:dyDescent="0.25">
      <c r="C45" s="208" t="s">
        <v>200</v>
      </c>
      <c r="D45" s="90">
        <v>2</v>
      </c>
      <c r="E45">
        <v>18988.72</v>
      </c>
      <c r="F45">
        <v>22786.464</v>
      </c>
      <c r="G45">
        <v>45572.928</v>
      </c>
    </row>
    <row r="46" spans="3:8" x14ac:dyDescent="0.25">
      <c r="C46" s="208" t="s">
        <v>196</v>
      </c>
      <c r="D46" s="90">
        <v>1</v>
      </c>
      <c r="E46">
        <v>10481.82</v>
      </c>
      <c r="F46">
        <v>12578.183999999999</v>
      </c>
      <c r="G46">
        <v>12578.183999999999</v>
      </c>
    </row>
    <row r="47" spans="3:8" x14ac:dyDescent="0.25">
      <c r="C47" s="208" t="s">
        <v>190</v>
      </c>
      <c r="D47" s="90">
        <v>1</v>
      </c>
      <c r="E47">
        <v>38324.699999999997</v>
      </c>
      <c r="F47">
        <v>45989.639999999992</v>
      </c>
      <c r="G47">
        <v>45989.639999999992</v>
      </c>
    </row>
    <row r="48" spans="3:8" x14ac:dyDescent="0.25">
      <c r="C48" s="208" t="s">
        <v>308</v>
      </c>
      <c r="D48" s="90">
        <v>2</v>
      </c>
      <c r="E48">
        <v>29997.25</v>
      </c>
      <c r="F48">
        <v>35996.699999999997</v>
      </c>
      <c r="G48">
        <v>71993.399999999994</v>
      </c>
    </row>
    <row r="49" spans="3:7" ht="24" x14ac:dyDescent="0.25">
      <c r="C49" s="208" t="s">
        <v>195</v>
      </c>
      <c r="D49" s="90">
        <v>3</v>
      </c>
      <c r="E49" s="6">
        <v>5399.99</v>
      </c>
      <c r="F49" s="6">
        <v>6479.9879999999994</v>
      </c>
      <c r="G49" s="6">
        <v>19439.964</v>
      </c>
    </row>
    <row r="50" spans="3:7" x14ac:dyDescent="0.25">
      <c r="C50" s="208" t="s">
        <v>292</v>
      </c>
      <c r="D50" s="90">
        <v>8</v>
      </c>
      <c r="E50" s="6">
        <v>1852.7</v>
      </c>
      <c r="F50" s="6">
        <v>2223.2399999999998</v>
      </c>
      <c r="G50" s="6">
        <v>17785.919999999998</v>
      </c>
    </row>
    <row r="51" spans="3:7" ht="24" x14ac:dyDescent="0.25">
      <c r="C51" s="208" t="s">
        <v>275</v>
      </c>
      <c r="D51" s="90">
        <v>100</v>
      </c>
      <c r="E51" s="6">
        <v>271.59999999999997</v>
      </c>
      <c r="F51" s="6">
        <v>325.91999999999996</v>
      </c>
      <c r="G51" s="6">
        <v>32591.999999999996</v>
      </c>
    </row>
    <row r="52" spans="3:7" x14ac:dyDescent="0.25">
      <c r="C52" s="208" t="s">
        <v>274</v>
      </c>
      <c r="D52" s="90">
        <v>100</v>
      </c>
      <c r="E52" s="6">
        <v>135.79999999999998</v>
      </c>
      <c r="F52" s="6">
        <v>162.95999999999998</v>
      </c>
      <c r="G52" s="6">
        <v>16295.999999999998</v>
      </c>
    </row>
    <row r="53" spans="3:7" x14ac:dyDescent="0.25">
      <c r="C53" s="208" t="s">
        <v>311</v>
      </c>
      <c r="D53" s="90">
        <v>2</v>
      </c>
      <c r="E53" s="6">
        <v>4811.2</v>
      </c>
      <c r="F53" s="6">
        <v>5773.44</v>
      </c>
      <c r="G53" s="6">
        <v>11546.88</v>
      </c>
    </row>
    <row r="54" spans="3:7" ht="24" x14ac:dyDescent="0.25">
      <c r="C54" s="129" t="s">
        <v>294</v>
      </c>
      <c r="D54" s="90">
        <v>100</v>
      </c>
      <c r="E54" s="6">
        <v>116.39999999999999</v>
      </c>
      <c r="F54" s="6">
        <v>139.67999999999998</v>
      </c>
      <c r="G54" s="6">
        <v>13967.999999999998</v>
      </c>
    </row>
    <row r="55" spans="3:7" x14ac:dyDescent="0.25">
      <c r="F55" s="3" t="s">
        <v>980</v>
      </c>
      <c r="G55" s="3">
        <f>SUM(G39:G54)</f>
        <v>407193.97199999995</v>
      </c>
    </row>
    <row r="56" spans="3:7" x14ac:dyDescent="0.25">
      <c r="F56" s="3"/>
      <c r="G56" s="3"/>
    </row>
    <row r="57" spans="3:7" ht="38.25" x14ac:dyDescent="0.25">
      <c r="C57" s="65" t="s">
        <v>1161</v>
      </c>
      <c r="D57" s="87" t="s">
        <v>1003</v>
      </c>
      <c r="E57" s="67" t="s">
        <v>1007</v>
      </c>
      <c r="F57" s="67" t="s">
        <v>1004</v>
      </c>
      <c r="G57" s="89" t="s">
        <v>1005</v>
      </c>
    </row>
    <row r="58" spans="3:7" ht="24" x14ac:dyDescent="0.25">
      <c r="C58" s="208" t="s">
        <v>152</v>
      </c>
      <c r="D58" s="90">
        <v>50</v>
      </c>
      <c r="E58" s="6">
        <v>3173.8399999999997</v>
      </c>
      <c r="F58" s="6">
        <v>3808.6079999999993</v>
      </c>
      <c r="G58" s="6">
        <v>190430.39999999997</v>
      </c>
    </row>
    <row r="59" spans="3:7" ht="24" x14ac:dyDescent="0.25">
      <c r="C59" s="209" t="s">
        <v>1102</v>
      </c>
      <c r="D59" s="90">
        <v>10</v>
      </c>
      <c r="E59" s="6">
        <v>4882.01</v>
      </c>
      <c r="F59" s="6">
        <v>5858.4120000000003</v>
      </c>
      <c r="G59" s="6">
        <v>58584.12</v>
      </c>
    </row>
    <row r="60" spans="3:7" ht="24" x14ac:dyDescent="0.25">
      <c r="C60" s="208" t="s">
        <v>284</v>
      </c>
      <c r="D60" s="90">
        <v>30</v>
      </c>
      <c r="E60" s="6">
        <v>568.41999999999996</v>
      </c>
      <c r="F60" s="6">
        <v>682.10399999999993</v>
      </c>
      <c r="G60" s="6">
        <v>20463.12</v>
      </c>
    </row>
    <row r="61" spans="3:7" ht="24" x14ac:dyDescent="0.25">
      <c r="C61" s="208" t="s">
        <v>283</v>
      </c>
      <c r="D61" s="90">
        <v>50</v>
      </c>
      <c r="E61" s="6">
        <v>568.41999999999996</v>
      </c>
      <c r="F61" s="6">
        <v>682.10399999999993</v>
      </c>
      <c r="G61" s="6">
        <v>34105.199999999997</v>
      </c>
    </row>
    <row r="62" spans="3:7" ht="24" x14ac:dyDescent="0.25">
      <c r="C62" s="208" t="s">
        <v>153</v>
      </c>
      <c r="D62" s="90">
        <v>40</v>
      </c>
      <c r="E62" s="6">
        <v>171.69</v>
      </c>
      <c r="F62" s="6">
        <v>206.02799999999999</v>
      </c>
      <c r="G62" s="6">
        <v>8241.119999999999</v>
      </c>
    </row>
    <row r="63" spans="3:7" ht="24" x14ac:dyDescent="0.25">
      <c r="C63" s="208" t="s">
        <v>154</v>
      </c>
      <c r="D63" s="90">
        <v>10</v>
      </c>
      <c r="E63" s="6">
        <v>195.94</v>
      </c>
      <c r="F63" s="6">
        <v>235.12799999999999</v>
      </c>
      <c r="G63" s="6">
        <v>2351.2799999999997</v>
      </c>
    </row>
    <row r="64" spans="3:7" ht="24" x14ac:dyDescent="0.25">
      <c r="C64" s="208" t="s">
        <v>156</v>
      </c>
      <c r="D64" s="90">
        <v>58</v>
      </c>
      <c r="E64" s="6">
        <v>854.56999999999994</v>
      </c>
      <c r="F64" s="6">
        <v>1025.4839999999999</v>
      </c>
      <c r="G64" s="6">
        <v>59478.071999999993</v>
      </c>
    </row>
    <row r="65" spans="3:7" x14ac:dyDescent="0.25">
      <c r="C65" s="208" t="s">
        <v>143</v>
      </c>
      <c r="D65" s="90">
        <v>10</v>
      </c>
      <c r="E65" s="6">
        <v>97.97</v>
      </c>
      <c r="F65" s="6">
        <v>117.56399999999999</v>
      </c>
      <c r="G65" s="6">
        <v>1175.6399999999999</v>
      </c>
    </row>
    <row r="66" spans="3:7" x14ac:dyDescent="0.25">
      <c r="C66" s="208" t="s">
        <v>144</v>
      </c>
      <c r="D66" s="90">
        <v>30</v>
      </c>
      <c r="E66" s="6">
        <v>123.19</v>
      </c>
      <c r="F66" s="6">
        <v>147.828</v>
      </c>
      <c r="G66" s="6">
        <v>4434.84</v>
      </c>
    </row>
    <row r="67" spans="3:7" x14ac:dyDescent="0.25">
      <c r="C67" s="208" t="s">
        <v>145</v>
      </c>
      <c r="D67" s="90">
        <v>10</v>
      </c>
      <c r="E67" s="6">
        <v>97.97</v>
      </c>
      <c r="F67" s="6">
        <v>117.56399999999999</v>
      </c>
      <c r="G67" s="6">
        <v>1175.6399999999999</v>
      </c>
    </row>
    <row r="68" spans="3:7" x14ac:dyDescent="0.25">
      <c r="C68" s="208" t="s">
        <v>146</v>
      </c>
      <c r="D68" s="90">
        <v>10</v>
      </c>
      <c r="E68" s="6">
        <v>97.97</v>
      </c>
      <c r="F68" s="6">
        <v>117.56399999999999</v>
      </c>
      <c r="G68" s="6">
        <v>1175.6399999999999</v>
      </c>
    </row>
    <row r="69" spans="3:7" x14ac:dyDescent="0.25">
      <c r="C69" s="208" t="s">
        <v>147</v>
      </c>
      <c r="D69" s="90">
        <v>30</v>
      </c>
      <c r="E69" s="6">
        <v>147.44</v>
      </c>
      <c r="F69" s="6">
        <v>176.928</v>
      </c>
      <c r="G69" s="6">
        <v>5307.84</v>
      </c>
    </row>
    <row r="70" spans="3:7" x14ac:dyDescent="0.25">
      <c r="C70" s="208" t="s">
        <v>148</v>
      </c>
      <c r="D70" s="90">
        <v>30</v>
      </c>
      <c r="E70" s="6">
        <v>244.44</v>
      </c>
      <c r="F70" s="6">
        <v>293.32799999999997</v>
      </c>
      <c r="G70" s="6">
        <v>8799.84</v>
      </c>
    </row>
    <row r="71" spans="3:7" x14ac:dyDescent="0.25">
      <c r="C71" s="208" t="s">
        <v>149</v>
      </c>
      <c r="D71" s="90">
        <v>30</v>
      </c>
      <c r="E71" s="6">
        <v>171.69</v>
      </c>
      <c r="F71" s="6">
        <v>206.02799999999999</v>
      </c>
      <c r="G71" s="6">
        <v>6180.84</v>
      </c>
    </row>
    <row r="72" spans="3:7" x14ac:dyDescent="0.25">
      <c r="C72" s="208" t="s">
        <v>150</v>
      </c>
      <c r="D72" s="90">
        <v>30</v>
      </c>
      <c r="E72" s="6">
        <v>195.94</v>
      </c>
      <c r="F72" s="6">
        <v>235.12799999999999</v>
      </c>
      <c r="G72" s="6">
        <v>7053.8399999999992</v>
      </c>
    </row>
    <row r="73" spans="3:7" x14ac:dyDescent="0.25">
      <c r="C73" s="208" t="s">
        <v>216</v>
      </c>
      <c r="D73" s="90">
        <v>4</v>
      </c>
      <c r="E73" s="6">
        <v>1348.3</v>
      </c>
      <c r="F73" s="6">
        <v>1617.9599999999998</v>
      </c>
      <c r="G73" s="6">
        <v>6471.8399999999992</v>
      </c>
    </row>
    <row r="74" spans="3:7" ht="24" x14ac:dyDescent="0.25">
      <c r="C74" s="208" t="s">
        <v>1114</v>
      </c>
      <c r="D74" s="90">
        <v>2</v>
      </c>
      <c r="E74" s="6">
        <v>9141.2800000000007</v>
      </c>
      <c r="F74" s="6">
        <v>10969.536</v>
      </c>
      <c r="G74" s="6">
        <v>21939.072</v>
      </c>
    </row>
    <row r="75" spans="3:7" ht="24" x14ac:dyDescent="0.25">
      <c r="C75" s="208" t="s">
        <v>141</v>
      </c>
      <c r="D75" s="90">
        <v>4</v>
      </c>
      <c r="E75" s="6">
        <v>5490.2</v>
      </c>
      <c r="F75" s="6">
        <v>6588.24</v>
      </c>
      <c r="G75" s="6">
        <v>26352.959999999999</v>
      </c>
    </row>
    <row r="76" spans="3:7" ht="24" x14ac:dyDescent="0.25">
      <c r="C76" s="208" t="s">
        <v>1115</v>
      </c>
      <c r="D76" s="90">
        <v>100</v>
      </c>
      <c r="E76" s="6">
        <v>676.09</v>
      </c>
      <c r="F76" s="6">
        <v>811.30799999999999</v>
      </c>
      <c r="G76" s="6">
        <v>81130.8</v>
      </c>
    </row>
    <row r="77" spans="3:7" x14ac:dyDescent="0.25">
      <c r="C77" s="129" t="s">
        <v>1116</v>
      </c>
      <c r="D77" s="90">
        <v>5</v>
      </c>
      <c r="E77" s="6">
        <v>3965.1660000000002</v>
      </c>
      <c r="F77" s="6">
        <v>4758.1992</v>
      </c>
      <c r="G77" s="6">
        <v>23790.995999999999</v>
      </c>
    </row>
    <row r="78" spans="3:7" x14ac:dyDescent="0.25">
      <c r="F78" s="85" t="s">
        <v>980</v>
      </c>
      <c r="G78" s="68">
        <f>SUM(G58:G77)</f>
        <v>568643.10000000021</v>
      </c>
    </row>
    <row r="79" spans="3:7" x14ac:dyDescent="0.25">
      <c r="F79" s="3"/>
      <c r="G79" s="3"/>
    </row>
    <row r="80" spans="3:7" ht="38.25" x14ac:dyDescent="0.25">
      <c r="C80" s="114" t="s">
        <v>1155</v>
      </c>
      <c r="D80" s="87" t="s">
        <v>1003</v>
      </c>
      <c r="E80" s="67" t="s">
        <v>1007</v>
      </c>
      <c r="F80" s="67" t="s">
        <v>1004</v>
      </c>
      <c r="G80" s="67" t="s">
        <v>1005</v>
      </c>
    </row>
    <row r="81" spans="1:7" ht="24" x14ac:dyDescent="0.25">
      <c r="C81" s="208" t="s">
        <v>273</v>
      </c>
      <c r="D81" s="215">
        <v>10</v>
      </c>
      <c r="E81" s="6">
        <v>292.94</v>
      </c>
      <c r="F81" s="6">
        <v>351.52799999999996</v>
      </c>
      <c r="G81" s="6">
        <v>3515.2799999999997</v>
      </c>
    </row>
    <row r="82" spans="1:7" x14ac:dyDescent="0.25">
      <c r="C82" s="208" t="s">
        <v>272</v>
      </c>
      <c r="D82" s="215">
        <v>30</v>
      </c>
      <c r="E82" s="123">
        <v>627.59</v>
      </c>
      <c r="F82" s="123">
        <v>753.10800000000006</v>
      </c>
      <c r="G82" s="6">
        <v>22593.24</v>
      </c>
    </row>
    <row r="83" spans="1:7" ht="24" x14ac:dyDescent="0.25">
      <c r="C83" s="208" t="s">
        <v>310</v>
      </c>
      <c r="D83" s="215">
        <v>5</v>
      </c>
      <c r="E83" s="123">
        <v>3564.75</v>
      </c>
      <c r="F83" s="123">
        <v>4277.7</v>
      </c>
      <c r="G83" s="6">
        <v>21388.5</v>
      </c>
    </row>
    <row r="84" spans="1:7" x14ac:dyDescent="0.25">
      <c r="C84" s="208" t="s">
        <v>304</v>
      </c>
      <c r="D84" s="215">
        <v>2</v>
      </c>
      <c r="E84" s="123">
        <v>5179.8</v>
      </c>
      <c r="F84" s="123">
        <v>6215.76</v>
      </c>
      <c r="G84" s="6">
        <v>12431.52</v>
      </c>
    </row>
    <row r="85" spans="1:7" x14ac:dyDescent="0.25">
      <c r="C85" s="208" t="s">
        <v>293</v>
      </c>
      <c r="D85" s="90">
        <v>40</v>
      </c>
      <c r="E85" s="6">
        <v>688.69999999999993</v>
      </c>
      <c r="F85" s="6">
        <v>826.43999999999994</v>
      </c>
      <c r="G85" s="6">
        <v>33057.599999999999</v>
      </c>
    </row>
    <row r="86" spans="1:7" ht="24" x14ac:dyDescent="0.25">
      <c r="C86" s="208" t="s">
        <v>199</v>
      </c>
      <c r="D86" s="90">
        <v>2</v>
      </c>
      <c r="E86" s="6">
        <v>45571.57</v>
      </c>
      <c r="F86" s="6">
        <v>54685.883999999998</v>
      </c>
      <c r="G86" s="6">
        <v>109371.768</v>
      </c>
    </row>
    <row r="87" spans="1:7" x14ac:dyDescent="0.25">
      <c r="C87" s="208" t="s">
        <v>1117</v>
      </c>
      <c r="D87" s="90">
        <v>1</v>
      </c>
      <c r="E87" s="6">
        <v>38538.1</v>
      </c>
      <c r="F87" s="6">
        <v>46245.719999999994</v>
      </c>
      <c r="G87" s="6">
        <v>46245.719999999994</v>
      </c>
    </row>
    <row r="88" spans="1:7" x14ac:dyDescent="0.25">
      <c r="C88" s="208" t="s">
        <v>1118</v>
      </c>
      <c r="D88" s="90">
        <v>1</v>
      </c>
      <c r="E88" s="6">
        <v>49295.4</v>
      </c>
      <c r="F88" s="6">
        <v>59154.479999999996</v>
      </c>
      <c r="G88" s="6">
        <v>59154.479999999996</v>
      </c>
    </row>
    <row r="89" spans="1:7" ht="24" x14ac:dyDescent="0.25">
      <c r="C89" s="129" t="s">
        <v>285</v>
      </c>
      <c r="D89" s="90">
        <v>20</v>
      </c>
      <c r="E89" s="6">
        <v>2286.29</v>
      </c>
      <c r="F89" s="6">
        <v>2743.5479999999998</v>
      </c>
      <c r="G89" s="6">
        <v>54870.959999999992</v>
      </c>
    </row>
    <row r="90" spans="1:7" x14ac:dyDescent="0.25">
      <c r="F90" s="3" t="s">
        <v>980</v>
      </c>
      <c r="G90" s="109">
        <f>SUM(G81:G89)</f>
        <v>362629.06799999997</v>
      </c>
    </row>
    <row r="91" spans="1:7" x14ac:dyDescent="0.25">
      <c r="F91" s="135" t="s">
        <v>1171</v>
      </c>
      <c r="G91" s="136">
        <f>H28+G55+G90+G78+G36</f>
        <v>2087735.2679999997</v>
      </c>
    </row>
    <row r="93" spans="1:7" x14ac:dyDescent="0.25">
      <c r="A93" s="235" t="s">
        <v>1130</v>
      </c>
      <c r="B93" s="235"/>
      <c r="C93" s="235"/>
      <c r="D93" s="235"/>
      <c r="E93" s="235"/>
      <c r="F93" s="235"/>
      <c r="G93" s="235"/>
    </row>
    <row r="94" spans="1:7" ht="38.25" x14ac:dyDescent="0.25">
      <c r="C94" s="114" t="s">
        <v>1172</v>
      </c>
      <c r="D94" s="87" t="s">
        <v>1003</v>
      </c>
      <c r="E94" s="67" t="s">
        <v>1007</v>
      </c>
      <c r="F94" s="67" t="s">
        <v>1004</v>
      </c>
      <c r="G94" s="67" t="s">
        <v>1005</v>
      </c>
    </row>
    <row r="95" spans="1:7" x14ac:dyDescent="0.25">
      <c r="C95" s="208" t="s">
        <v>1136</v>
      </c>
      <c r="D95" s="90">
        <v>1</v>
      </c>
      <c r="E95" s="90">
        <v>67512</v>
      </c>
      <c r="F95">
        <f t="shared" ref="F95:F99" si="6">E95*1.2</f>
        <v>81014.399999999994</v>
      </c>
      <c r="G95">
        <f t="shared" ref="G95:G99" si="7">F95*D95</f>
        <v>81014.399999999994</v>
      </c>
    </row>
    <row r="96" spans="1:7" x14ac:dyDescent="0.25">
      <c r="C96" s="208" t="s">
        <v>268</v>
      </c>
      <c r="D96" s="90">
        <v>1</v>
      </c>
      <c r="E96" s="90">
        <v>8288.65</v>
      </c>
      <c r="F96">
        <f t="shared" si="6"/>
        <v>9946.3799999999992</v>
      </c>
      <c r="G96">
        <f t="shared" si="7"/>
        <v>9946.3799999999992</v>
      </c>
    </row>
    <row r="97" spans="3:8" x14ac:dyDescent="0.25">
      <c r="C97" s="208" t="s">
        <v>124</v>
      </c>
      <c r="D97" s="90">
        <v>2</v>
      </c>
      <c r="E97" s="90">
        <v>101054.59999999999</v>
      </c>
      <c r="F97">
        <f t="shared" si="6"/>
        <v>121265.51999999999</v>
      </c>
      <c r="G97">
        <f t="shared" si="7"/>
        <v>242531.03999999998</v>
      </c>
    </row>
    <row r="98" spans="3:8" ht="24" x14ac:dyDescent="0.25">
      <c r="C98" s="208" t="s">
        <v>313</v>
      </c>
      <c r="D98" s="90">
        <v>1</v>
      </c>
      <c r="E98" s="90">
        <v>35114</v>
      </c>
      <c r="F98">
        <f t="shared" si="6"/>
        <v>42136.799999999996</v>
      </c>
      <c r="G98">
        <f t="shared" si="7"/>
        <v>42136.799999999996</v>
      </c>
    </row>
    <row r="99" spans="3:8" ht="24" x14ac:dyDescent="0.25">
      <c r="C99" s="208" t="s">
        <v>326</v>
      </c>
      <c r="D99" s="90">
        <v>20</v>
      </c>
      <c r="E99" s="90">
        <v>1741.1499999999999</v>
      </c>
      <c r="F99">
        <f t="shared" si="6"/>
        <v>2089.3799999999997</v>
      </c>
      <c r="G99">
        <f t="shared" si="7"/>
        <v>41787.599999999991</v>
      </c>
    </row>
    <row r="100" spans="3:8" x14ac:dyDescent="0.25">
      <c r="C100" s="208" t="s">
        <v>125</v>
      </c>
      <c r="D100" s="90">
        <v>3</v>
      </c>
      <c r="E100" s="90">
        <v>7444.75</v>
      </c>
      <c r="F100">
        <f t="shared" ref="F100:F105" si="8">E100*1.2</f>
        <v>8933.6999999999989</v>
      </c>
      <c r="G100">
        <f t="shared" ref="G100:G106" si="9">F100*D100</f>
        <v>26801.1</v>
      </c>
    </row>
    <row r="101" spans="3:8" x14ac:dyDescent="0.25">
      <c r="C101" s="208" t="s">
        <v>123</v>
      </c>
      <c r="D101" s="90">
        <v>4</v>
      </c>
      <c r="E101" s="90">
        <v>13211.4</v>
      </c>
      <c r="F101">
        <f t="shared" si="8"/>
        <v>15853.679999999998</v>
      </c>
      <c r="G101">
        <f t="shared" si="9"/>
        <v>63414.719999999994</v>
      </c>
    </row>
    <row r="102" spans="3:8" x14ac:dyDescent="0.25">
      <c r="C102" s="208" t="s">
        <v>323</v>
      </c>
      <c r="D102" s="90">
        <v>3</v>
      </c>
      <c r="E102" s="90">
        <v>25011.45</v>
      </c>
      <c r="F102">
        <f t="shared" si="8"/>
        <v>30013.739999999998</v>
      </c>
      <c r="G102">
        <f t="shared" si="9"/>
        <v>90041.22</v>
      </c>
    </row>
    <row r="103" spans="3:8" ht="24" x14ac:dyDescent="0.25">
      <c r="C103" s="208" t="s">
        <v>286</v>
      </c>
      <c r="D103" s="90">
        <v>10</v>
      </c>
      <c r="E103" s="90">
        <v>4388.28</v>
      </c>
      <c r="F103">
        <f t="shared" si="8"/>
        <v>5265.9359999999997</v>
      </c>
      <c r="G103">
        <f t="shared" si="9"/>
        <v>52659.360000000001</v>
      </c>
    </row>
    <row r="104" spans="3:8" x14ac:dyDescent="0.25">
      <c r="C104" s="208" t="s">
        <v>98</v>
      </c>
      <c r="D104" s="90">
        <v>2</v>
      </c>
      <c r="E104" s="90">
        <v>4258.3</v>
      </c>
      <c r="F104">
        <f t="shared" si="8"/>
        <v>5109.96</v>
      </c>
      <c r="G104">
        <f t="shared" si="9"/>
        <v>10219.92</v>
      </c>
    </row>
    <row r="105" spans="3:8" x14ac:dyDescent="0.25">
      <c r="C105" s="208" t="s">
        <v>126</v>
      </c>
      <c r="D105" s="90">
        <v>2</v>
      </c>
      <c r="E105" s="90">
        <v>30070</v>
      </c>
      <c r="F105">
        <f t="shared" si="8"/>
        <v>36084</v>
      </c>
      <c r="G105">
        <f t="shared" si="9"/>
        <v>72168</v>
      </c>
    </row>
    <row r="106" spans="3:8" x14ac:dyDescent="0.25">
      <c r="C106" s="129" t="s">
        <v>1137</v>
      </c>
      <c r="D106" s="90">
        <v>3</v>
      </c>
      <c r="E106" s="90">
        <v>0</v>
      </c>
      <c r="F106">
        <v>18240</v>
      </c>
      <c r="G106">
        <f t="shared" si="9"/>
        <v>54720</v>
      </c>
    </row>
    <row r="107" spans="3:8" x14ac:dyDescent="0.25">
      <c r="F107" s="3" t="s">
        <v>980</v>
      </c>
      <c r="G107" s="109">
        <f>SUM(G95:G106)</f>
        <v>787440.53999999992</v>
      </c>
    </row>
    <row r="109" spans="3:8" ht="38.25" x14ac:dyDescent="0.25">
      <c r="C109" s="112" t="s">
        <v>1173</v>
      </c>
      <c r="D109" s="66" t="s">
        <v>1003</v>
      </c>
      <c r="E109" s="113" t="s">
        <v>1007</v>
      </c>
      <c r="F109" s="67" t="s">
        <v>1004</v>
      </c>
      <c r="G109" s="89" t="s">
        <v>1005</v>
      </c>
      <c r="H109" s="89"/>
    </row>
    <row r="110" spans="3:8" x14ac:dyDescent="0.25">
      <c r="C110" s="208" t="s">
        <v>124</v>
      </c>
      <c r="D110" s="88">
        <v>2</v>
      </c>
      <c r="E110" s="123">
        <v>101054.59999999999</v>
      </c>
      <c r="F110" s="224">
        <v>121265.51999999999</v>
      </c>
      <c r="G110" s="223">
        <v>242531.03999999998</v>
      </c>
      <c r="H110" s="97"/>
    </row>
    <row r="111" spans="3:8" x14ac:dyDescent="0.25">
      <c r="C111" s="208" t="s">
        <v>125</v>
      </c>
      <c r="D111" s="88">
        <v>3</v>
      </c>
      <c r="E111" s="123">
        <v>7444.75</v>
      </c>
      <c r="F111" s="218">
        <v>8933.6999999999989</v>
      </c>
      <c r="G111" s="97">
        <v>26801.1</v>
      </c>
      <c r="H111" s="97"/>
    </row>
    <row r="112" spans="3:8" x14ac:dyDescent="0.25">
      <c r="C112" s="208" t="s">
        <v>123</v>
      </c>
      <c r="D112" s="88">
        <v>4</v>
      </c>
      <c r="E112" s="123">
        <v>13211.4</v>
      </c>
      <c r="F112" s="218">
        <v>15853.679999999998</v>
      </c>
      <c r="G112" s="223">
        <v>63414.719999999994</v>
      </c>
      <c r="H112" s="97"/>
    </row>
    <row r="113" spans="3:8" x14ac:dyDescent="0.25">
      <c r="C113" s="208" t="s">
        <v>323</v>
      </c>
      <c r="D113" s="88">
        <v>3</v>
      </c>
      <c r="E113" s="123">
        <v>25011.45</v>
      </c>
      <c r="F113" s="218">
        <v>30013.739999999998</v>
      </c>
      <c r="G113" s="97">
        <v>90041.22</v>
      </c>
      <c r="H113" s="97"/>
    </row>
    <row r="114" spans="3:8" x14ac:dyDescent="0.25">
      <c r="C114" s="225"/>
      <c r="D114" s="137"/>
      <c r="E114" s="107"/>
      <c r="F114" s="226" t="s">
        <v>980</v>
      </c>
      <c r="G114" s="68">
        <f>SUM(G110:G113)</f>
        <v>422788.07999999996</v>
      </c>
      <c r="H114" s="68"/>
    </row>
    <row r="116" spans="3:8" x14ac:dyDescent="0.25">
      <c r="F116" s="135" t="s">
        <v>1174</v>
      </c>
      <c r="G116" s="136">
        <f>G114+G107</f>
        <v>1210228.6199999999</v>
      </c>
    </row>
    <row r="118" spans="3:8" x14ac:dyDescent="0.25">
      <c r="F118" t="s">
        <v>980</v>
      </c>
      <c r="G118" s="6">
        <f>G116+G91</f>
        <v>3297963.8879999993</v>
      </c>
    </row>
  </sheetData>
  <mergeCells count="1">
    <mergeCell ref="A93:G93"/>
  </mergeCells>
  <pageMargins left="0.70078740157480324" right="0.70078740157480324" top="0.75196850393700787" bottom="0.75196850393700787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5"/>
  <sheetViews>
    <sheetView workbookViewId="0"/>
  </sheetViews>
  <sheetFormatPr defaultRowHeight="15" x14ac:dyDescent="0.25"/>
  <cols>
    <col min="3" max="3" width="39.85546875" customWidth="1"/>
    <col min="6" max="6" width="15.140625" customWidth="1"/>
    <col min="7" max="7" width="11.28515625" customWidth="1"/>
    <col min="8" max="8" width="12.140625" customWidth="1"/>
  </cols>
  <sheetData>
    <row r="1" spans="1:8" ht="38.25" customHeight="1" x14ac:dyDescent="0.25">
      <c r="A1" s="69">
        <v>1</v>
      </c>
      <c r="B1" s="70" t="s">
        <v>1006</v>
      </c>
      <c r="C1" s="71" t="s">
        <v>1175</v>
      </c>
      <c r="D1" s="106" t="s">
        <v>1003</v>
      </c>
      <c r="E1" s="73" t="s">
        <v>1007</v>
      </c>
      <c r="F1" s="73" t="s">
        <v>1004</v>
      </c>
      <c r="G1" s="73" t="s">
        <v>1008</v>
      </c>
      <c r="H1" s="73" t="s">
        <v>1005</v>
      </c>
    </row>
    <row r="2" spans="1:8" ht="36" x14ac:dyDescent="0.25">
      <c r="A2" s="74"/>
      <c r="B2" s="75" t="s">
        <v>1006</v>
      </c>
      <c r="C2" s="208" t="s">
        <v>325</v>
      </c>
      <c r="D2" s="81">
        <v>3</v>
      </c>
      <c r="E2" s="6">
        <v>14550</v>
      </c>
      <c r="F2" s="6">
        <v>17460</v>
      </c>
      <c r="G2" s="6"/>
      <c r="H2" s="6">
        <v>52380</v>
      </c>
    </row>
    <row r="3" spans="1:8" x14ac:dyDescent="0.25">
      <c r="A3" s="74"/>
      <c r="B3" s="75" t="s">
        <v>1006</v>
      </c>
      <c r="C3" s="208" t="s">
        <v>307</v>
      </c>
      <c r="D3" s="81">
        <v>1</v>
      </c>
      <c r="E3" s="123">
        <v>33659</v>
      </c>
      <c r="F3" s="123">
        <v>40390.799999999996</v>
      </c>
      <c r="G3" s="6"/>
      <c r="H3" s="6">
        <v>40390.799999999996</v>
      </c>
    </row>
    <row r="4" spans="1:8" x14ac:dyDescent="0.25">
      <c r="A4" s="74"/>
      <c r="B4" s="75" t="s">
        <v>1006</v>
      </c>
      <c r="C4" s="208" t="s">
        <v>170</v>
      </c>
      <c r="D4" s="81">
        <v>120</v>
      </c>
      <c r="E4" s="123">
        <v>2308.6</v>
      </c>
      <c r="F4" s="123">
        <v>2770.3199999999997</v>
      </c>
      <c r="G4" s="6"/>
      <c r="H4" s="6">
        <v>332438.39999999997</v>
      </c>
    </row>
    <row r="5" spans="1:8" ht="24" x14ac:dyDescent="0.25">
      <c r="A5" s="74"/>
      <c r="B5" s="75" t="s">
        <v>1006</v>
      </c>
      <c r="C5" s="208" t="s">
        <v>130</v>
      </c>
      <c r="D5" s="81">
        <v>1</v>
      </c>
      <c r="E5" s="81">
        <v>354444.17</v>
      </c>
      <c r="F5" s="123">
        <v>425333</v>
      </c>
      <c r="G5" s="6"/>
      <c r="H5" s="6">
        <v>425333</v>
      </c>
    </row>
    <row r="6" spans="1:8" x14ac:dyDescent="0.25">
      <c r="A6" s="74"/>
      <c r="B6" s="75" t="s">
        <v>1006</v>
      </c>
      <c r="C6" s="208" t="s">
        <v>306</v>
      </c>
      <c r="D6" s="81">
        <v>84</v>
      </c>
      <c r="E6" s="123">
        <v>77.599999999999994</v>
      </c>
      <c r="F6" s="123">
        <v>93.11999999999999</v>
      </c>
      <c r="G6" s="6"/>
      <c r="H6" s="6">
        <v>7822.079999999999</v>
      </c>
    </row>
    <row r="7" spans="1:8" x14ac:dyDescent="0.25">
      <c r="A7" s="74"/>
      <c r="B7" s="74"/>
      <c r="C7" s="208" t="s">
        <v>317</v>
      </c>
      <c r="D7" s="81">
        <v>30</v>
      </c>
      <c r="E7" s="123">
        <v>260.93</v>
      </c>
      <c r="F7" s="123">
        <v>313.11599999999999</v>
      </c>
      <c r="G7" s="6"/>
      <c r="H7" s="6">
        <v>9393.48</v>
      </c>
    </row>
    <row r="8" spans="1:8" ht="24" x14ac:dyDescent="0.25">
      <c r="A8" s="26"/>
      <c r="B8" s="26"/>
      <c r="C8" s="208" t="s">
        <v>318</v>
      </c>
      <c r="D8" s="81">
        <v>30</v>
      </c>
      <c r="E8" s="123">
        <v>260.93</v>
      </c>
      <c r="F8" s="123">
        <v>313.11599999999999</v>
      </c>
      <c r="G8" s="6"/>
      <c r="H8" s="6">
        <v>9393.48</v>
      </c>
    </row>
    <row r="9" spans="1:8" x14ac:dyDescent="0.25">
      <c r="A9" s="26"/>
      <c r="B9" s="26"/>
      <c r="C9" s="208" t="s">
        <v>128</v>
      </c>
      <c r="D9" s="81">
        <v>2</v>
      </c>
      <c r="E9" s="123">
        <v>9932.7999999999993</v>
      </c>
      <c r="F9" s="123">
        <v>11919.359999999999</v>
      </c>
      <c r="G9" s="6"/>
      <c r="H9" s="6">
        <v>23838.719999999998</v>
      </c>
    </row>
    <row r="10" spans="1:8" x14ac:dyDescent="0.25">
      <c r="A10" s="26"/>
      <c r="B10" s="26"/>
      <c r="C10" s="208" t="s">
        <v>122</v>
      </c>
      <c r="D10" s="88">
        <v>4</v>
      </c>
      <c r="E10" s="128">
        <v>3462.9</v>
      </c>
      <c r="F10" s="123">
        <v>4155.4799999999996</v>
      </c>
      <c r="G10" s="6"/>
      <c r="H10" s="6">
        <v>16621.919999999998</v>
      </c>
    </row>
    <row r="11" spans="1:8" x14ac:dyDescent="0.25">
      <c r="A11" s="26"/>
      <c r="B11" s="26"/>
      <c r="C11" s="129" t="s">
        <v>126</v>
      </c>
      <c r="D11" s="88">
        <v>2</v>
      </c>
      <c r="E11" s="128">
        <v>30070</v>
      </c>
      <c r="F11" s="123">
        <v>36084</v>
      </c>
      <c r="G11" s="86"/>
      <c r="H11" s="144">
        <v>72168</v>
      </c>
    </row>
    <row r="12" spans="1:8" x14ac:dyDescent="0.25">
      <c r="A12" s="26"/>
      <c r="B12" s="26"/>
      <c r="C12" s="208" t="s">
        <v>98</v>
      </c>
      <c r="D12" s="88">
        <v>2</v>
      </c>
      <c r="E12" s="128">
        <v>4258.3</v>
      </c>
      <c r="F12" s="218">
        <v>5109.96</v>
      </c>
      <c r="G12" s="80"/>
      <c r="H12" s="80">
        <v>10219.92</v>
      </c>
    </row>
    <row r="13" spans="1:8" x14ac:dyDescent="0.25">
      <c r="A13" s="26"/>
      <c r="B13" s="26"/>
      <c r="C13" s="227" t="s">
        <v>1006</v>
      </c>
      <c r="D13" s="83" t="s">
        <v>1006</v>
      </c>
      <c r="E13" s="84" t="s">
        <v>1006</v>
      </c>
      <c r="F13" s="85"/>
      <c r="G13" s="86" t="s">
        <v>980</v>
      </c>
      <c r="H13" s="68">
        <f>SUM(H2:H12)</f>
        <v>999999.79999999993</v>
      </c>
    </row>
    <row r="14" spans="1:8" x14ac:dyDescent="0.25">
      <c r="A14" s="26"/>
      <c r="B14" s="26"/>
      <c r="C14" s="91"/>
      <c r="D14" s="92"/>
      <c r="E14" s="91"/>
      <c r="F14" s="93"/>
      <c r="G14" s="94"/>
      <c r="H14" s="94"/>
    </row>
    <row r="15" spans="1:8" ht="38.25" x14ac:dyDescent="0.25">
      <c r="A15" s="69">
        <v>3</v>
      </c>
      <c r="B15" s="70" t="s">
        <v>1006</v>
      </c>
      <c r="C15" s="95" t="s">
        <v>1176</v>
      </c>
      <c r="D15" s="106" t="s">
        <v>1003</v>
      </c>
      <c r="E15" s="73" t="s">
        <v>1007</v>
      </c>
      <c r="F15" s="73" t="s">
        <v>1004</v>
      </c>
      <c r="G15" s="96" t="s">
        <v>1008</v>
      </c>
      <c r="H15" s="96" t="s">
        <v>1005</v>
      </c>
    </row>
    <row r="16" spans="1:8" x14ac:dyDescent="0.25">
      <c r="A16" s="74"/>
      <c r="B16" s="74"/>
      <c r="C16" s="208" t="s">
        <v>321</v>
      </c>
      <c r="D16" s="81">
        <v>1</v>
      </c>
      <c r="E16" s="6">
        <v>164258.32999999999</v>
      </c>
      <c r="F16" s="78">
        <v>197110</v>
      </c>
      <c r="G16" s="6"/>
      <c r="H16" s="78">
        <v>197110</v>
      </c>
    </row>
    <row r="17" spans="1:8" x14ac:dyDescent="0.25">
      <c r="A17" s="74"/>
      <c r="B17" s="74"/>
      <c r="C17" s="208" t="s">
        <v>319</v>
      </c>
      <c r="D17" s="81">
        <v>1</v>
      </c>
      <c r="E17" s="6">
        <v>533394.17000000004</v>
      </c>
      <c r="F17" s="144">
        <v>640073</v>
      </c>
      <c r="G17" s="6"/>
      <c r="H17" s="144">
        <v>640073</v>
      </c>
    </row>
    <row r="18" spans="1:8" x14ac:dyDescent="0.25">
      <c r="A18" s="74"/>
      <c r="B18" s="74"/>
      <c r="C18" s="208" t="s">
        <v>320</v>
      </c>
      <c r="D18" s="81">
        <v>1</v>
      </c>
      <c r="E18" s="6">
        <v>30031.200000000001</v>
      </c>
      <c r="F18" s="6">
        <v>36037.440000000002</v>
      </c>
      <c r="G18" s="6"/>
      <c r="H18" s="144">
        <v>36037.440000000002</v>
      </c>
    </row>
    <row r="19" spans="1:8" x14ac:dyDescent="0.25">
      <c r="A19" s="74"/>
      <c r="B19" s="74"/>
      <c r="C19" s="208" t="s">
        <v>201</v>
      </c>
      <c r="D19" s="81">
        <v>1</v>
      </c>
      <c r="E19" s="6">
        <v>82770.099999999991</v>
      </c>
      <c r="F19" s="6">
        <v>99324.119999999981</v>
      </c>
      <c r="G19" s="6"/>
      <c r="H19" s="144">
        <v>99324.119999999981</v>
      </c>
    </row>
    <row r="20" spans="1:8" x14ac:dyDescent="0.25">
      <c r="A20" s="74"/>
      <c r="B20" s="75" t="s">
        <v>1006</v>
      </c>
      <c r="C20" s="129" t="s">
        <v>202</v>
      </c>
      <c r="D20" s="81">
        <v>1</v>
      </c>
      <c r="E20" s="6">
        <v>71954.599999999991</v>
      </c>
      <c r="F20" s="6">
        <v>86345.51999999999</v>
      </c>
      <c r="G20" s="6"/>
      <c r="H20" s="144">
        <v>86345.51999999999</v>
      </c>
    </row>
    <row r="21" spans="1:8" x14ac:dyDescent="0.25">
      <c r="A21" s="74"/>
      <c r="B21" s="75"/>
      <c r="C21" s="129" t="s">
        <v>127</v>
      </c>
      <c r="D21" s="88">
        <v>12</v>
      </c>
      <c r="E21" s="128">
        <v>3584.15</v>
      </c>
      <c r="F21" s="123">
        <v>4300.9799999999996</v>
      </c>
      <c r="G21" s="6"/>
      <c r="H21" s="6">
        <v>51611.759999999995</v>
      </c>
    </row>
    <row r="22" spans="1:8" x14ac:dyDescent="0.25">
      <c r="A22" s="74"/>
      <c r="B22" s="75"/>
      <c r="C22" s="129" t="s">
        <v>1134</v>
      </c>
      <c r="D22" s="88">
        <v>8</v>
      </c>
      <c r="E22" s="228">
        <v>8160</v>
      </c>
      <c r="F22" s="218">
        <f>E22/D22</f>
        <v>1020</v>
      </c>
      <c r="G22" s="80"/>
      <c r="H22" s="80">
        <v>9498</v>
      </c>
    </row>
    <row r="23" spans="1:8" x14ac:dyDescent="0.25">
      <c r="A23" s="26"/>
      <c r="B23" s="26"/>
      <c r="C23" s="227" t="s">
        <v>1006</v>
      </c>
      <c r="D23" s="83" t="s">
        <v>1006</v>
      </c>
      <c r="E23" s="84" t="s">
        <v>1006</v>
      </c>
      <c r="F23" s="85"/>
      <c r="G23" s="86" t="s">
        <v>980</v>
      </c>
      <c r="H23" s="68">
        <f>SUM(H16:H22)</f>
        <v>1119999.8399999999</v>
      </c>
    </row>
    <row r="24" spans="1:8" x14ac:dyDescent="0.25">
      <c r="A24" s="26"/>
      <c r="B24" s="26"/>
      <c r="C24" s="98" t="s">
        <v>1006</v>
      </c>
      <c r="D24" s="70" t="s">
        <v>1006</v>
      </c>
      <c r="E24" s="99" t="s">
        <v>1006</v>
      </c>
      <c r="F24" s="85"/>
      <c r="G24" s="118"/>
      <c r="H24" s="118"/>
    </row>
    <row r="25" spans="1:8" x14ac:dyDescent="0.25">
      <c r="G25" t="s">
        <v>978</v>
      </c>
      <c r="H25" s="6">
        <f>H23+H13</f>
        <v>2119999.6399999997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3"/>
  <sheetViews>
    <sheetView workbookViewId="0"/>
  </sheetViews>
  <sheetFormatPr defaultRowHeight="15" x14ac:dyDescent="0.25"/>
  <cols>
    <col min="3" max="3" width="39.85546875" customWidth="1"/>
    <col min="6" max="6" width="15.140625" customWidth="1"/>
    <col min="7" max="7" width="11.28515625" customWidth="1"/>
    <col min="8" max="8" width="12.140625" customWidth="1"/>
  </cols>
  <sheetData>
    <row r="1" spans="1:9" ht="38.25" x14ac:dyDescent="0.25">
      <c r="B1" s="229"/>
      <c r="C1" s="112" t="s">
        <v>1177</v>
      </c>
      <c r="D1" s="66" t="s">
        <v>1003</v>
      </c>
      <c r="E1" s="67" t="s">
        <v>1007</v>
      </c>
      <c r="F1" s="67" t="s">
        <v>1004</v>
      </c>
      <c r="G1" s="89" t="s">
        <v>1008</v>
      </c>
      <c r="H1" s="89" t="s">
        <v>1005</v>
      </c>
      <c r="I1" t="s">
        <v>1139</v>
      </c>
    </row>
    <row r="2" spans="1:9" ht="24" x14ac:dyDescent="0.25">
      <c r="B2" s="58"/>
      <c r="C2" s="208" t="s">
        <v>1131</v>
      </c>
      <c r="D2" s="88">
        <v>1</v>
      </c>
      <c r="E2" s="230">
        <v>547230</v>
      </c>
      <c r="F2" s="224">
        <f>E2/D2</f>
        <v>547230</v>
      </c>
      <c r="G2" s="97"/>
      <c r="H2" s="97">
        <v>636975.72</v>
      </c>
    </row>
    <row r="3" spans="1:9" x14ac:dyDescent="0.25">
      <c r="C3" s="107"/>
      <c r="D3" s="108"/>
      <c r="E3" s="107"/>
      <c r="F3" s="85"/>
      <c r="G3" s="86" t="s">
        <v>980</v>
      </c>
      <c r="H3" s="68">
        <f>SUM(H2:H2)</f>
        <v>636975.72</v>
      </c>
    </row>
    <row r="4" spans="1:9" x14ac:dyDescent="0.25">
      <c r="C4" s="115"/>
      <c r="D4" s="115"/>
      <c r="E4" s="115"/>
      <c r="F4" s="115"/>
      <c r="G4" s="115"/>
      <c r="H4" s="115"/>
    </row>
    <row r="5" spans="1:9" ht="38.25" x14ac:dyDescent="0.25">
      <c r="B5" s="229"/>
      <c r="C5" s="112" t="s">
        <v>1178</v>
      </c>
      <c r="D5" s="66" t="s">
        <v>1003</v>
      </c>
      <c r="E5" s="67" t="s">
        <v>1007</v>
      </c>
      <c r="F5" s="67" t="s">
        <v>1004</v>
      </c>
      <c r="G5" s="89" t="s">
        <v>1008</v>
      </c>
      <c r="H5" s="89" t="s">
        <v>1005</v>
      </c>
      <c r="I5" t="s">
        <v>1139</v>
      </c>
    </row>
    <row r="6" spans="1:9" x14ac:dyDescent="0.25">
      <c r="B6" s="58"/>
      <c r="C6" s="140" t="s">
        <v>1132</v>
      </c>
      <c r="D6" s="88">
        <v>3</v>
      </c>
      <c r="E6" s="57">
        <v>199020</v>
      </c>
      <c r="F6" s="224">
        <f t="shared" ref="F6:F8" si="0">E6/D6</f>
        <v>66340</v>
      </c>
      <c r="G6" s="97"/>
      <c r="H6" s="97">
        <v>231659.27999999997</v>
      </c>
    </row>
    <row r="7" spans="1:9" x14ac:dyDescent="0.25">
      <c r="B7" s="58"/>
      <c r="C7" s="208" t="s">
        <v>121</v>
      </c>
      <c r="D7" s="88">
        <v>4</v>
      </c>
      <c r="E7" s="57">
        <v>96640</v>
      </c>
      <c r="F7" s="218">
        <f t="shared" si="0"/>
        <v>24160</v>
      </c>
      <c r="G7" s="97"/>
      <c r="H7" s="97">
        <v>112488.96000000001</v>
      </c>
    </row>
    <row r="8" spans="1:9" x14ac:dyDescent="0.25">
      <c r="B8" s="58"/>
      <c r="C8" s="208" t="s">
        <v>1133</v>
      </c>
      <c r="D8" s="88">
        <v>1</v>
      </c>
      <c r="E8" s="57">
        <v>40610</v>
      </c>
      <c r="F8" s="218">
        <f t="shared" si="0"/>
        <v>40610</v>
      </c>
      <c r="G8" s="97"/>
      <c r="H8" s="97">
        <v>47270.039999999994</v>
      </c>
    </row>
    <row r="9" spans="1:9" x14ac:dyDescent="0.25">
      <c r="C9" s="231"/>
      <c r="D9" s="232"/>
      <c r="E9" s="107"/>
      <c r="F9" s="85"/>
      <c r="G9" s="233" t="s">
        <v>980</v>
      </c>
      <c r="H9" s="234">
        <f>SUM(H6:H8)</f>
        <v>391418.27999999997</v>
      </c>
    </row>
    <row r="10" spans="1:9" x14ac:dyDescent="0.25">
      <c r="C10" s="107"/>
      <c r="D10" s="108"/>
      <c r="E10" s="107"/>
      <c r="F10" s="85"/>
      <c r="G10" s="233"/>
      <c r="H10" s="234"/>
    </row>
    <row r="11" spans="1:9" ht="38.25" x14ac:dyDescent="0.25">
      <c r="A11" s="76"/>
      <c r="B11" s="26"/>
      <c r="C11" s="105" t="s">
        <v>1173</v>
      </c>
      <c r="D11" s="72" t="s">
        <v>1003</v>
      </c>
      <c r="E11" s="110" t="s">
        <v>1007</v>
      </c>
      <c r="F11" s="73" t="s">
        <v>1004</v>
      </c>
      <c r="G11" s="111" t="s">
        <v>1008</v>
      </c>
      <c r="H11" s="96" t="s">
        <v>1005</v>
      </c>
      <c r="I11" t="s">
        <v>1154</v>
      </c>
    </row>
    <row r="12" spans="1:9" x14ac:dyDescent="0.25">
      <c r="A12" s="26"/>
      <c r="B12" s="26"/>
      <c r="C12" s="208" t="s">
        <v>124</v>
      </c>
      <c r="D12" s="81">
        <v>2</v>
      </c>
      <c r="E12" s="123">
        <v>101054.59999999999</v>
      </c>
      <c r="F12" s="123">
        <v>121265.51999999999</v>
      </c>
      <c r="G12" s="80"/>
      <c r="H12" s="144">
        <v>242531.03999999998</v>
      </c>
    </row>
    <row r="13" spans="1:9" x14ac:dyDescent="0.25">
      <c r="A13" s="26"/>
      <c r="B13" s="26"/>
      <c r="C13" s="208" t="s">
        <v>125</v>
      </c>
      <c r="D13" s="81">
        <v>3</v>
      </c>
      <c r="E13" s="123">
        <v>7444.75</v>
      </c>
      <c r="F13" s="123">
        <v>8933.6999999999989</v>
      </c>
      <c r="G13" s="80"/>
      <c r="H13" s="144">
        <v>26801.1</v>
      </c>
    </row>
    <row r="14" spans="1:9" x14ac:dyDescent="0.25">
      <c r="A14" s="26"/>
      <c r="B14" s="26"/>
      <c r="C14" s="208" t="s">
        <v>123</v>
      </c>
      <c r="D14" s="81">
        <v>4</v>
      </c>
      <c r="E14" s="123">
        <v>13211.4</v>
      </c>
      <c r="F14" s="123">
        <v>15853.679999999998</v>
      </c>
      <c r="G14" s="80"/>
      <c r="H14" s="144">
        <v>63414.719999999994</v>
      </c>
    </row>
    <row r="15" spans="1:9" x14ac:dyDescent="0.25">
      <c r="A15" s="26"/>
      <c r="B15" s="26"/>
      <c r="C15" s="208" t="s">
        <v>323</v>
      </c>
      <c r="D15" s="81">
        <v>3</v>
      </c>
      <c r="E15" s="123">
        <v>25011.45</v>
      </c>
      <c r="F15" s="123">
        <v>30013.739999999998</v>
      </c>
      <c r="G15" s="80"/>
      <c r="H15" s="144">
        <v>90041.22</v>
      </c>
    </row>
    <row r="16" spans="1:9" x14ac:dyDescent="0.25">
      <c r="A16" s="26"/>
      <c r="B16" s="26"/>
      <c r="C16" s="225"/>
      <c r="D16" s="137"/>
      <c r="E16" s="107"/>
      <c r="F16" s="85"/>
      <c r="G16" s="86" t="s">
        <v>980</v>
      </c>
      <c r="H16" s="68">
        <f>SUM(H12:H15)</f>
        <v>422788.07999999996</v>
      </c>
    </row>
    <row r="18" spans="3:9" ht="38.25" x14ac:dyDescent="0.25">
      <c r="C18" s="112" t="s">
        <v>1172</v>
      </c>
      <c r="D18" s="66" t="s">
        <v>1003</v>
      </c>
      <c r="E18" s="113" t="s">
        <v>1007</v>
      </c>
      <c r="F18" s="67" t="s">
        <v>1004</v>
      </c>
      <c r="G18" s="89" t="s">
        <v>1008</v>
      </c>
      <c r="H18" s="89" t="s">
        <v>1005</v>
      </c>
      <c r="I18" t="s">
        <v>1139</v>
      </c>
    </row>
    <row r="19" spans="3:9" x14ac:dyDescent="0.25">
      <c r="C19" s="208" t="s">
        <v>1136</v>
      </c>
      <c r="D19" s="88">
        <v>1</v>
      </c>
      <c r="E19" s="123">
        <v>67512</v>
      </c>
      <c r="F19" s="224">
        <v>81014.399999999994</v>
      </c>
      <c r="G19" s="97"/>
      <c r="H19" s="97">
        <v>81014.399999999994</v>
      </c>
    </row>
    <row r="20" spans="3:9" x14ac:dyDescent="0.25">
      <c r="C20" s="208" t="s">
        <v>268</v>
      </c>
      <c r="D20" s="88">
        <v>1</v>
      </c>
      <c r="E20" s="123">
        <v>8288.65</v>
      </c>
      <c r="F20" s="218">
        <v>9946.3799999999992</v>
      </c>
      <c r="G20" s="97"/>
      <c r="H20" s="97">
        <v>9946.3799999999992</v>
      </c>
    </row>
    <row r="21" spans="3:9" ht="24" x14ac:dyDescent="0.25">
      <c r="C21" s="208" t="s">
        <v>326</v>
      </c>
      <c r="D21" s="88">
        <v>20</v>
      </c>
      <c r="E21" s="123">
        <v>1741.1499999999999</v>
      </c>
      <c r="F21" s="218">
        <v>2089.3799999999997</v>
      </c>
      <c r="G21" s="97"/>
      <c r="H21" s="97">
        <v>41787.599999999991</v>
      </c>
    </row>
    <row r="22" spans="3:9" ht="24" x14ac:dyDescent="0.25">
      <c r="C22" s="208" t="s">
        <v>286</v>
      </c>
      <c r="D22" s="88">
        <v>10</v>
      </c>
      <c r="E22" s="123">
        <v>4388.28</v>
      </c>
      <c r="F22" s="218">
        <v>5265.9359999999997</v>
      </c>
      <c r="G22" s="80"/>
      <c r="H22" s="80">
        <v>52659.360000000001</v>
      </c>
    </row>
    <row r="23" spans="3:9" x14ac:dyDescent="0.25">
      <c r="C23" s="225"/>
      <c r="D23" s="137"/>
      <c r="E23" s="107"/>
      <c r="F23" s="85"/>
      <c r="G23" s="86" t="s">
        <v>980</v>
      </c>
      <c r="H23" s="68">
        <f>SUM(H19:H22)</f>
        <v>185407.74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Квартал 1</vt:lpstr>
      <vt:lpstr>Квартал 2</vt:lpstr>
      <vt:lpstr>Квартал 3</vt:lpstr>
      <vt:lpstr>Квартал 4</vt:lpstr>
      <vt:lpstr>Остатки красным январь</vt:lpstr>
      <vt:lpstr>Остатки краснымы 2ой квартал</vt:lpstr>
      <vt:lpstr>Счета на апрель ПРОМНГС</vt:lpstr>
      <vt:lpstr>Счета на апрель Промоборудовани</vt:lpstr>
      <vt:lpstr>Счета на май Техкомп</vt:lpstr>
      <vt:lpstr>Счета на май ПромНГС</vt:lpstr>
      <vt:lpstr>Счета на май Промоборудование</vt:lpstr>
      <vt:lpstr>Счета на май Даян</vt:lpstr>
      <vt:lpstr>Счета на июнь Промоборудование</vt:lpstr>
      <vt:lpstr>Счета на июнь Техкомп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Denis</cp:lastModifiedBy>
  <cp:revision>86</cp:revision>
  <dcterms:created xsi:type="dcterms:W3CDTF">2025-03-24T06:37:36Z</dcterms:created>
  <dcterms:modified xsi:type="dcterms:W3CDTF">2026-06-15T08:49:17Z</dcterms:modified>
</cp:coreProperties>
</file>