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"/>
    </mc:Choice>
  </mc:AlternateContent>
  <xr:revisionPtr revIDLastSave="0" documentId="8_{F3FCBBAE-B5B9-4410-9CBF-3979F3D43E6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Дашборд" sheetId="1" r:id="rId1"/>
    <sheet name="Юнит-экономика Global" sheetId="2" r:id="rId2"/>
    <sheet name="План запуска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3" i="1" l="1"/>
  <c r="G34" i="1"/>
  <c r="G32" i="1"/>
  <c r="E14" i="1"/>
  <c r="C32" i="1"/>
  <c r="C33" i="1"/>
  <c r="I25" i="1"/>
  <c r="L16" i="2"/>
  <c r="K16" i="2"/>
  <c r="J16" i="2"/>
  <c r="I16" i="2"/>
  <c r="H16" i="2"/>
  <c r="G16" i="2"/>
  <c r="E16" i="2"/>
  <c r="D16" i="2"/>
  <c r="C16" i="2"/>
  <c r="C37" i="1"/>
  <c r="C34" i="1"/>
  <c r="G25" i="1"/>
  <c r="E25" i="1"/>
  <c r="D14" i="1"/>
  <c r="C35" i="1" l="1"/>
</calcChain>
</file>

<file path=xl/sharedStrings.xml><?xml version="1.0" encoding="utf-8"?>
<sst xmlns="http://schemas.openxmlformats.org/spreadsheetml/2006/main" count="195" uniqueCount="139">
  <si>
    <t>Декомпозиция прибыли 2026 — цель 90 млн ₽</t>
  </si>
  <si>
    <t>Базовый сценарий · апрель–декабрь 2026 · маржа новых категорий 20%</t>
  </si>
  <si>
    <t>Цель 2026</t>
  </si>
  <si>
    <t>Очки (план)</t>
  </si>
  <si>
    <t>Новые категории</t>
  </si>
  <si>
    <t>Озон Global</t>
  </si>
  <si>
    <t>Итого прогноз</t>
  </si>
  <si>
    <t>1. Солнцезащитные очки (существующий бизнес)</t>
  </si>
  <si>
    <t>Источник</t>
  </si>
  <si>
    <t>Площадка</t>
  </si>
  <si>
    <t>Выр. прогноз, ₽</t>
  </si>
  <si>
    <t>Прибыль, ₽</t>
  </si>
  <si>
    <t>Маржа</t>
  </si>
  <si>
    <t>Статус</t>
  </si>
  <si>
    <t>ИП Газизов — Солнцезащитные очки</t>
  </si>
  <si>
    <t>Wildberries</t>
  </si>
  <si>
    <t>В плане</t>
  </si>
  <si>
    <t>Озон</t>
  </si>
  <si>
    <t>Итого, очки</t>
  </si>
  <si>
    <t>2. Новые категории — Озон (маржа 20%)</t>
  </si>
  <si>
    <t>Категория</t>
  </si>
  <si>
    <t>Старт</t>
  </si>
  <si>
    <t>Мес.</t>
  </si>
  <si>
    <t>Выр. итого, ₽</t>
  </si>
  <si>
    <t>Инвест. вход, ₽</t>
  </si>
  <si>
    <t>Фотоэпиляторы</t>
  </si>
  <si>
    <t>Апрель</t>
  </si>
  <si>
    <t>Косметические аппараты</t>
  </si>
  <si>
    <t>Пакеты для вакуумматора</t>
  </si>
  <si>
    <t>Электрические грелки</t>
  </si>
  <si>
    <t>Июль</t>
  </si>
  <si>
    <t>Сушки для обуви</t>
  </si>
  <si>
    <t>Чехлы для гладильных досок</t>
  </si>
  <si>
    <t>Сортеры (ВБ)</t>
  </si>
  <si>
    <t>Сентябрь</t>
  </si>
  <si>
    <t>Итого, новые категории</t>
  </si>
  <si>
    <t>3. Озон Global — украшения (маржа 49%)</t>
  </si>
  <si>
    <t>Канал</t>
  </si>
  <si>
    <t>SKU</t>
  </si>
  <si>
    <t>Озон Global FBS (Шэньчжэнь)</t>
  </si>
  <si>
    <t>25–30 арт.</t>
  </si>
  <si>
    <t>Итоговый баланс 2026</t>
  </si>
  <si>
    <t>Очки (ВБ + Озон)</t>
  </si>
  <si>
    <t>Новые категории (7 шт)</t>
  </si>
  <si>
    <t>Озон Global украшения</t>
  </si>
  <si>
    <t>ИТОГО 2026</t>
  </si>
  <si>
    <t>Разрыв до цели</t>
  </si>
  <si>
    <t>Юнит-экономика — Озон Global FBS (Шэньчжэнь) · Украшения</t>
  </si>
  <si>
    <t>Комиссия 12% · Доставка 60 ₽/шт (фиксирована) · Реклама 15% от цены · НДС 15% · Курс CNY/RUB = 12.20</t>
  </si>
  <si>
    <t>Цена, ₽</t>
  </si>
  <si>
    <t>Себес., ₽</t>
  </si>
  <si>
    <t>Комис., ₽</t>
  </si>
  <si>
    <t>Дост., ₽</t>
  </si>
  <si>
    <t>Реклама, ₽</t>
  </si>
  <si>
    <t>НДС, ₽</t>
  </si>
  <si>
    <t>Общие расх., ₽</t>
  </si>
  <si>
    <t>Прибыль/шт, ₽</t>
  </si>
  <si>
    <t>Маржа, %</t>
  </si>
  <si>
    <t>Рент-ть, %</t>
  </si>
  <si>
    <t>Плюс</t>
  </si>
  <si>
    <t>Слабый</t>
  </si>
  <si>
    <t>Среднее</t>
  </si>
  <si>
    <t>Декомпозиция: сколько нужно продавать для закрытия 10.1 млн разрыва</t>
  </si>
  <si>
    <t>Цель прибыли</t>
  </si>
  <si>
    <t>Средняя прибыль/шт</t>
  </si>
  <si>
    <t>Нужно продаж всего (шт)</t>
  </si>
  <si>
    <t>В месяц (12 мес)</t>
  </si>
  <si>
    <t>В месяц (9 мес, с апреля)</t>
  </si>
  <si>
    <t>На 1 SKU при 10 активных (9 мес)</t>
  </si>
  <si>
    <t>На 1 SKU при 25–30 активных (рек-но)</t>
  </si>
  <si>
    <t>Целевая выручка</t>
  </si>
  <si>
    <t>Инвестиции вход (сц. А — расш. SKU)</t>
  </si>
  <si>
    <t>Таймлайн запуска новых категорий — апрель–декабрь 2026</t>
  </si>
  <si>
    <t>МП</t>
  </si>
  <si>
    <t>Ср. чек, ₽</t>
  </si>
  <si>
    <t>Прод./мес (цель)</t>
  </si>
  <si>
    <t>Выр./мес, ₽</t>
  </si>
  <si>
    <t>ВОЛНА 1 — АПРЕЛЬ</t>
  </si>
  <si>
    <t>2 500–4 000</t>
  </si>
  <si>
    <t>3–5</t>
  </si>
  <si>
    <t>750–1 200</t>
  </si>
  <si>
    <t>3 000 000</t>
  </si>
  <si>
    <t>2 300 000</t>
  </si>
  <si>
    <t>Косм. аппараты</t>
  </si>
  <si>
    <t>1 500–3 000</t>
  </si>
  <si>
    <t>4–6</t>
  </si>
  <si>
    <t>900–1 500</t>
  </si>
  <si>
    <t>2 500 000</t>
  </si>
  <si>
    <t>2 100 000</t>
  </si>
  <si>
    <t>Пакеты вакуум.</t>
  </si>
  <si>
    <t>500–900</t>
  </si>
  <si>
    <t>5–8</t>
  </si>
  <si>
    <t>2 500–3 500</t>
  </si>
  <si>
    <t>2 000 000</t>
  </si>
  <si>
    <t>1 400 000</t>
  </si>
  <si>
    <t>ВОЛНА 2 — ИЮЛЬ</t>
  </si>
  <si>
    <t>Электр. грелки</t>
  </si>
  <si>
    <t>1 200–2 000</t>
  </si>
  <si>
    <t>3–4</t>
  </si>
  <si>
    <t>1 000–1 500</t>
  </si>
  <si>
    <t>1 650 000</t>
  </si>
  <si>
    <t>800–1 400</t>
  </si>
  <si>
    <t>1 500 000</t>
  </si>
  <si>
    <t>Чехлы глад. доска</t>
  </si>
  <si>
    <t>600–1 200</t>
  </si>
  <si>
    <t>2 000–3 000</t>
  </si>
  <si>
    <t>ВОЛНА 3 — СЕНТЯБРЬ</t>
  </si>
  <si>
    <t>Сортеры</t>
  </si>
  <si>
    <t>ВБ</t>
  </si>
  <si>
    <t>600–1 500</t>
  </si>
  <si>
    <t>3 500–5 000</t>
  </si>
  <si>
    <t>4 000 000</t>
  </si>
  <si>
    <t>2 600 000</t>
  </si>
  <si>
    <t>Озон Global (укр.)</t>
  </si>
  <si>
    <t>200–484</t>
  </si>
  <si>
    <t>25–30</t>
  </si>
  <si>
    <t>6 000–9 000</t>
  </si>
  <si>
    <t>2 390 000</t>
  </si>
  <si>
    <t>Суммарные инвестиции на запуск</t>
  </si>
  <si>
    <t>Минимальный сценарий</t>
  </si>
  <si>
    <t>10 900 000</t>
  </si>
  <si>
    <t>Базовый сценарий</t>
  </si>
  <si>
    <t>14 800 000</t>
  </si>
  <si>
    <t>Агрессивный сценарий</t>
  </si>
  <si>
    <t>20 000 000</t>
  </si>
  <si>
    <t>ИП Газизов — очки новинки</t>
  </si>
  <si>
    <t>Новинки очки</t>
  </si>
  <si>
    <t>10 млн</t>
  </si>
  <si>
    <t>Июнь</t>
  </si>
  <si>
    <t>шт с мес</t>
  </si>
  <si>
    <t>750–1 200 шт</t>
  </si>
  <si>
    <t>900–1 500 шт</t>
  </si>
  <si>
    <t>2 500–3 500 шт</t>
  </si>
  <si>
    <t>1 000–1 500 шт</t>
  </si>
  <si>
    <t>2 000–3 000 шт</t>
  </si>
  <si>
    <t>3 500–5 000 шт</t>
  </si>
  <si>
    <t>шт в мес</t>
  </si>
  <si>
    <t>6 000–9 000 шт</t>
  </si>
  <si>
    <t>Допущения: маржа очков = факт из плана (ВБ 21.5%, Озон 17%); новые категории = 20% (реалистичный сценарий); Озон Global = 47% (средняя по юнит-экономике 10 SKU). Инвестиции = оборотный капитал 1-й партии + контент + реклама на разгон.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</si>
</sst>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,,&quot;млн&quot;"/>
    <numFmt numFmtId="165" formatCode="0.0%"/>
  </numFmts>
  <fonts count="30" x14ac:knownFonts="1">
    <font>
      <sz val="11"/>
      <color theme="1"/>
      <name val="Calibri"/>
      <family val="2"/>
      <charset val="1"/>
    </font>
    <font>
      <b/>
      <sz val="14"/>
      <color rgb="FF085041"/>
      <name val="Arial"/>
      <charset val="1"/>
    </font>
    <font>
      <sz val="10"/>
      <color rgb="FF888780"/>
      <name val="Arial"/>
      <charset val="1"/>
    </font>
    <font>
      <sz val="9"/>
      <color rgb="FF888780"/>
      <name val="Arial"/>
      <charset val="1"/>
    </font>
    <font>
      <b/>
      <sz val="18"/>
      <color rgb="FF27500A"/>
      <name val="Arial"/>
      <charset val="1"/>
    </font>
    <font>
      <b/>
      <sz val="18"/>
      <color rgb="FF085041"/>
      <name val="Arial"/>
      <charset val="1"/>
    </font>
    <font>
      <b/>
      <sz val="18"/>
      <color rgb="FF3C3489"/>
      <name val="Arial"/>
      <charset val="1"/>
    </font>
    <font>
      <b/>
      <sz val="18"/>
      <color rgb="FF1D9E75"/>
      <name val="Arial"/>
      <charset val="1"/>
    </font>
    <font>
      <b/>
      <sz val="11"/>
      <color rgb="FF444441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85041"/>
      <name val="Arial"/>
      <charset val="1"/>
    </font>
    <font>
      <b/>
      <sz val="10"/>
      <color rgb="FF3C3489"/>
      <name val="Arial"/>
      <charset val="1"/>
    </font>
    <font>
      <sz val="11"/>
      <color rgb="FF444441"/>
      <name val="Arial"/>
      <charset val="1"/>
    </font>
    <font>
      <b/>
      <sz val="11"/>
      <color rgb="FF27500A"/>
      <name val="Arial"/>
      <charset val="1"/>
    </font>
    <font>
      <b/>
      <sz val="11"/>
      <color rgb="FF3C3489"/>
      <name val="Arial"/>
      <charset val="1"/>
    </font>
    <font>
      <b/>
      <sz val="11"/>
      <color rgb="FF085041"/>
      <name val="Arial"/>
      <charset val="1"/>
    </font>
    <font>
      <b/>
      <sz val="13"/>
      <color rgb="FFFFFFFF"/>
      <name val="Arial"/>
      <charset val="1"/>
    </font>
    <font>
      <b/>
      <sz val="11"/>
      <color rgb="FF888780"/>
      <name val="Arial"/>
      <charset val="1"/>
    </font>
    <font>
      <b/>
      <sz val="13"/>
      <color rgb="FF085041"/>
      <name val="Arial"/>
      <charset val="1"/>
    </font>
    <font>
      <sz val="10"/>
      <color rgb="FF444441"/>
      <name val="Arial"/>
      <charset val="1"/>
    </font>
    <font>
      <b/>
      <sz val="10"/>
      <color rgb="FF633806"/>
      <name val="Arial"/>
      <charset val="1"/>
    </font>
    <font>
      <sz val="10"/>
      <color rgb="FF000000"/>
      <name val="Arial"/>
      <family val="2"/>
      <charset val="204"/>
    </font>
    <font>
      <sz val="9"/>
      <color rgb="FF888780"/>
      <name val="Arial"/>
      <family val="2"/>
      <charset val="204"/>
    </font>
    <font>
      <b/>
      <sz val="18"/>
      <color rgb="FF27500A"/>
      <name val="Arial"/>
      <family val="2"/>
      <charset val="204"/>
    </font>
    <font>
      <b/>
      <sz val="10"/>
      <color rgb="FFBA7517"/>
      <name val="Arial"/>
      <family val="2"/>
      <charset val="204"/>
    </font>
    <font>
      <sz val="10"/>
      <color rgb="FF1A1A1A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theme="4"/>
      <name val="Arial"/>
      <family val="2"/>
      <charset val="204"/>
    </font>
    <font>
      <sz val="10"/>
      <color rgb="FF003400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1EFE8"/>
        <bgColor rgb="FFEAF3DE"/>
      </patternFill>
    </fill>
    <fill>
      <patternFill patternType="solid">
        <fgColor rgb="FF1D9E75"/>
        <bgColor rgb="FF008080"/>
      </patternFill>
    </fill>
    <fill>
      <patternFill patternType="solid">
        <fgColor rgb="FFFFFFFF"/>
        <bgColor rgb="FFF9F9F7"/>
      </patternFill>
    </fill>
    <fill>
      <patternFill patternType="solid">
        <fgColor rgb="FFF9F9F7"/>
        <bgColor rgb="FFFFFFFF"/>
      </patternFill>
    </fill>
    <fill>
      <patternFill patternType="solid">
        <fgColor rgb="FFE1F5EE"/>
        <bgColor rgb="FFEAF3DE"/>
      </patternFill>
    </fill>
    <fill>
      <patternFill patternType="solid">
        <fgColor rgb="FF534AB7"/>
        <bgColor rgb="FF3C3489"/>
      </patternFill>
    </fill>
    <fill>
      <patternFill patternType="solid">
        <fgColor rgb="FFEEEDFE"/>
        <bgColor rgb="FFF1EFE8"/>
      </patternFill>
    </fill>
    <fill>
      <patternFill patternType="solid">
        <fgColor rgb="FFEAF3DE"/>
        <bgColor rgb="FFF1EFE8"/>
      </patternFill>
    </fill>
    <fill>
      <patternFill patternType="solid">
        <fgColor rgb="FFFFF3E0"/>
        <bgColor rgb="FFFAEEDA"/>
      </patternFill>
    </fill>
    <fill>
      <patternFill patternType="solid">
        <fgColor rgb="FF444441"/>
        <bgColor rgb="FF27500A"/>
      </patternFill>
    </fill>
    <fill>
      <patternFill patternType="solid">
        <fgColor rgb="FFBA7517"/>
        <bgColor rgb="FFFF6600"/>
      </patternFill>
    </fill>
    <fill>
      <patternFill patternType="solid">
        <fgColor rgb="FFFAEEDA"/>
        <bgColor rgb="FFFFF3E0"/>
      </patternFill>
    </fill>
    <fill>
      <patternFill patternType="solid">
        <fgColor rgb="FFFFFFFF"/>
        <bgColor rgb="FFFFFDF5"/>
      </patternFill>
    </fill>
    <fill>
      <patternFill patternType="solid">
        <fgColor rgb="FFF7F6FF"/>
        <bgColor rgb="FFF9F9F7"/>
      </patternFill>
    </fill>
  </fills>
  <borders count="4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0" fillId="5" borderId="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9" fillId="3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/>
    </xf>
    <xf numFmtId="3" fontId="10" fillId="4" borderId="3" xfId="0" applyNumberFormat="1" applyFont="1" applyFill="1" applyBorder="1" applyAlignment="1">
      <alignment horizontal="center" vertical="center"/>
    </xf>
    <xf numFmtId="165" fontId="10" fillId="4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3" fontId="10" fillId="5" borderId="3" xfId="0" applyNumberFormat="1" applyFont="1" applyFill="1" applyBorder="1" applyAlignment="1">
      <alignment horizontal="center" vertical="center"/>
    </xf>
    <xf numFmtId="165" fontId="10" fillId="5" borderId="3" xfId="0" applyNumberFormat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center" vertical="center"/>
    </xf>
    <xf numFmtId="3" fontId="11" fillId="6" borderId="3" xfId="0" applyNumberFormat="1" applyFont="1" applyFill="1" applyBorder="1" applyAlignment="1">
      <alignment horizontal="center" vertical="center"/>
    </xf>
    <xf numFmtId="165" fontId="11" fillId="6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left" vertical="center"/>
    </xf>
    <xf numFmtId="0" fontId="12" fillId="8" borderId="3" xfId="0" applyFont="1" applyFill="1" applyBorder="1" applyAlignment="1">
      <alignment horizontal="center" vertical="center"/>
    </xf>
    <xf numFmtId="3" fontId="12" fillId="8" borderId="3" xfId="0" applyNumberFormat="1" applyFont="1" applyFill="1" applyBorder="1" applyAlignment="1">
      <alignment horizontal="center" vertical="center"/>
    </xf>
    <xf numFmtId="165" fontId="12" fillId="8" borderId="3" xfId="0" applyNumberFormat="1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left" vertical="center"/>
    </xf>
    <xf numFmtId="3" fontId="14" fillId="9" borderId="3" xfId="0" applyNumberFormat="1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left" vertical="center"/>
    </xf>
    <xf numFmtId="3" fontId="15" fillId="8" borderId="3" xfId="0" applyNumberFormat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center"/>
    </xf>
    <xf numFmtId="3" fontId="16" fillId="6" borderId="3" xfId="0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left" vertical="center"/>
    </xf>
    <xf numFmtId="3" fontId="17" fillId="3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3" fontId="18" fillId="2" borderId="3" xfId="0" applyNumberFormat="1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3" fontId="20" fillId="4" borderId="3" xfId="0" applyNumberFormat="1" applyFont="1" applyFill="1" applyBorder="1" applyAlignment="1">
      <alignment horizontal="center" vertical="center"/>
    </xf>
    <xf numFmtId="165" fontId="20" fillId="4" borderId="3" xfId="0" applyNumberFormat="1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3" fontId="20" fillId="5" borderId="3" xfId="0" applyNumberFormat="1" applyFont="1" applyFill="1" applyBorder="1" applyAlignment="1">
      <alignment horizontal="center" vertical="center"/>
    </xf>
    <xf numFmtId="165" fontId="20" fillId="5" borderId="3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3" fontId="20" fillId="10" borderId="3" xfId="0" applyNumberFormat="1" applyFont="1" applyFill="1" applyBorder="1" applyAlignment="1">
      <alignment horizontal="center" vertical="center"/>
    </xf>
    <xf numFmtId="165" fontId="20" fillId="10" borderId="3" xfId="0" applyNumberFormat="1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left" vertical="center"/>
    </xf>
    <xf numFmtId="0" fontId="9" fillId="11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20" fillId="6" borderId="3" xfId="0" applyFont="1" applyFill="1" applyBorder="1" applyAlignment="1">
      <alignment horizontal="left" vertical="center"/>
    </xf>
    <xf numFmtId="0" fontId="20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left" vertical="center"/>
    </xf>
    <xf numFmtId="0" fontId="20" fillId="8" borderId="3" xfId="0" applyFont="1" applyFill="1" applyBorder="1" applyAlignment="1">
      <alignment horizontal="left" vertical="center"/>
    </xf>
    <xf numFmtId="0" fontId="20" fillId="8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left" vertical="center"/>
    </xf>
    <xf numFmtId="0" fontId="20" fillId="13" borderId="3" xfId="0" applyFont="1" applyFill="1" applyBorder="1" applyAlignment="1">
      <alignment horizontal="center" vertical="center"/>
    </xf>
    <xf numFmtId="0" fontId="21" fillId="13" borderId="3" xfId="0" applyFont="1" applyFill="1" applyBorder="1" applyAlignment="1">
      <alignment horizontal="left" vertical="center"/>
    </xf>
    <xf numFmtId="0" fontId="21" fillId="13" borderId="3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/>
    </xf>
    <xf numFmtId="164" fontId="24" fillId="2" borderId="1" xfId="0" applyNumberFormat="1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3" fontId="26" fillId="14" borderId="1" xfId="0" applyNumberFormat="1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/>
    </xf>
    <xf numFmtId="3" fontId="26" fillId="15" borderId="1" xfId="0" applyNumberFormat="1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3" fontId="0" fillId="0" borderId="0" xfId="0" applyNumberFormat="1"/>
    <xf numFmtId="0" fontId="23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D3D1C7"/>
      <rgbColor rgb="FF888780"/>
      <rgbColor rgb="FF9999FF"/>
      <rgbColor rgb="FF993366"/>
      <rgbColor rgb="FFFFF3E0"/>
      <rgbColor rgb="FFE1F5EE"/>
      <rgbColor rgb="FF660066"/>
      <rgbColor rgb="FFFF8080"/>
      <rgbColor rgb="FF0066CC"/>
      <rgbColor rgb="FFF1E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EAF3DE"/>
      <rgbColor rgb="FFFAEEDA"/>
      <rgbColor rgb="FF99CCFF"/>
      <rgbColor rgb="FFFF99CC"/>
      <rgbColor rgb="FFCC99FF"/>
      <rgbColor rgb="FFF9F9F7"/>
      <rgbColor rgb="FF3366FF"/>
      <rgbColor rgb="FF33CCCC"/>
      <rgbColor rgb="FF99CC00"/>
      <rgbColor rgb="FFFFCC00"/>
      <rgbColor rgb="FFFF9900"/>
      <rgbColor rgb="FFFF6600"/>
      <rgbColor rgb="FF534AB7"/>
      <rgbColor rgb="FF969696"/>
      <rgbColor rgb="FF085041"/>
      <rgbColor rgb="FF1D9E75"/>
      <rgbColor rgb="FF003300"/>
      <rgbColor rgb="FF27500A"/>
      <rgbColor rgb="FF633806"/>
      <rgbColor rgb="FF993366"/>
      <rgbColor rgb="FF3C348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9"/>
  <sheetViews>
    <sheetView showGridLines="0" tabSelected="1" zoomScaleNormal="100" workbookViewId="0">
      <selection activeCell="B40" sqref="B40"/>
    </sheetView>
  </sheetViews>
  <sheetFormatPr defaultColWidth="8.7109375" defaultRowHeight="15" x14ac:dyDescent="0.25"/>
  <cols>
    <col min="1" max="1" width="2" customWidth="1"/>
    <col min="2" max="2" width="28" customWidth="1"/>
    <col min="3" max="8" width="14" customWidth="1"/>
    <col min="9" max="9" width="14.28515625" customWidth="1"/>
  </cols>
  <sheetData>
    <row r="1" spans="2:8" ht="7.5" customHeight="1" x14ac:dyDescent="0.25"/>
    <row r="2" spans="2:8" ht="27.75" customHeight="1" x14ac:dyDescent="0.25">
      <c r="B2" s="9" t="s">
        <v>0</v>
      </c>
      <c r="C2" s="9"/>
      <c r="D2" s="9"/>
      <c r="E2" s="9"/>
      <c r="F2" s="9"/>
      <c r="G2" s="9"/>
      <c r="H2" s="9"/>
    </row>
    <row r="3" spans="2:8" ht="18" customHeight="1" x14ac:dyDescent="0.25">
      <c r="B3" s="8" t="s">
        <v>1</v>
      </c>
      <c r="C3" s="8"/>
      <c r="D3" s="8"/>
      <c r="E3" s="8"/>
      <c r="F3" s="8"/>
      <c r="G3" s="8"/>
      <c r="H3" s="8"/>
    </row>
    <row r="5" spans="2:8" ht="18" customHeight="1" x14ac:dyDescent="0.25">
      <c r="B5" s="10" t="s">
        <v>2</v>
      </c>
      <c r="C5" s="10" t="s">
        <v>3</v>
      </c>
      <c r="D5" s="10" t="s">
        <v>4</v>
      </c>
      <c r="E5" s="10" t="s">
        <v>5</v>
      </c>
      <c r="F5" s="69" t="s">
        <v>126</v>
      </c>
      <c r="G5" s="10" t="s">
        <v>6</v>
      </c>
    </row>
    <row r="6" spans="2:8" ht="31.5" customHeight="1" x14ac:dyDescent="0.25">
      <c r="B6" s="11">
        <v>90000000</v>
      </c>
      <c r="C6" s="12">
        <v>56600000</v>
      </c>
      <c r="D6" s="13">
        <v>23300000</v>
      </c>
      <c r="E6" s="14">
        <v>10100000</v>
      </c>
      <c r="F6" s="70" t="s">
        <v>127</v>
      </c>
      <c r="G6" s="11">
        <v>90000000</v>
      </c>
    </row>
    <row r="7" spans="2:8" ht="7.5" customHeight="1" x14ac:dyDescent="0.25">
      <c r="B7" s="15"/>
      <c r="C7" s="15"/>
      <c r="D7" s="15"/>
      <c r="E7" s="15"/>
      <c r="F7" s="15"/>
      <c r="G7" s="15"/>
    </row>
    <row r="9" spans="2:8" ht="21.75" customHeight="1" x14ac:dyDescent="0.25">
      <c r="B9" s="7" t="s">
        <v>7</v>
      </c>
      <c r="C9" s="7"/>
      <c r="D9" s="7"/>
      <c r="E9" s="7"/>
      <c r="F9" s="7"/>
      <c r="G9" s="7"/>
      <c r="H9" s="7"/>
    </row>
    <row r="10" spans="2:8" ht="18" customHeight="1" x14ac:dyDescent="0.25">
      <c r="B10" s="16" t="s">
        <v>8</v>
      </c>
      <c r="C10" s="16" t="s">
        <v>9</v>
      </c>
      <c r="D10" s="16" t="s">
        <v>10</v>
      </c>
      <c r="E10" s="16" t="s">
        <v>11</v>
      </c>
      <c r="F10" s="16" t="s">
        <v>12</v>
      </c>
      <c r="G10" s="16" t="s">
        <v>13</v>
      </c>
    </row>
    <row r="11" spans="2:8" ht="15.75" customHeight="1" x14ac:dyDescent="0.25">
      <c r="B11" s="17" t="s">
        <v>14</v>
      </c>
      <c r="C11" s="18" t="s">
        <v>15</v>
      </c>
      <c r="D11" s="19">
        <v>147000000</v>
      </c>
      <c r="E11" s="19">
        <v>31600000</v>
      </c>
      <c r="F11" s="20">
        <v>0.215</v>
      </c>
      <c r="G11" s="18" t="s">
        <v>16</v>
      </c>
    </row>
    <row r="12" spans="2:8" ht="15.75" customHeight="1" x14ac:dyDescent="0.25">
      <c r="B12" s="21" t="s">
        <v>14</v>
      </c>
      <c r="C12" s="22" t="s">
        <v>17</v>
      </c>
      <c r="D12" s="23">
        <v>188000000</v>
      </c>
      <c r="E12" s="23">
        <v>25000000</v>
      </c>
      <c r="F12" s="24">
        <v>0.14000000000000001</v>
      </c>
      <c r="G12" s="22" t="s">
        <v>16</v>
      </c>
    </row>
    <row r="13" spans="2:8" ht="15.75" customHeight="1" x14ac:dyDescent="0.25">
      <c r="B13" s="68" t="s">
        <v>125</v>
      </c>
      <c r="C13" s="22"/>
      <c r="D13" s="23">
        <v>50000000</v>
      </c>
      <c r="E13" s="23">
        <v>10000000</v>
      </c>
      <c r="F13" s="24">
        <v>0.2</v>
      </c>
      <c r="G13" s="22" t="s">
        <v>16</v>
      </c>
    </row>
    <row r="14" spans="2:8" ht="18" customHeight="1" x14ac:dyDescent="0.25">
      <c r="B14" s="25" t="s">
        <v>18</v>
      </c>
      <c r="C14" s="26"/>
      <c r="D14" s="27">
        <f>SUM(D11:D12)</f>
        <v>335000000</v>
      </c>
      <c r="E14" s="27">
        <f>SUM(E11:E13)</f>
        <v>66600000</v>
      </c>
      <c r="F14" s="28">
        <v>0.17499999999999999</v>
      </c>
      <c r="G14" s="26"/>
    </row>
    <row r="16" spans="2:8" ht="21.75" customHeight="1" x14ac:dyDescent="0.25">
      <c r="B16" s="7" t="s">
        <v>19</v>
      </c>
      <c r="C16" s="7"/>
      <c r="D16" s="7"/>
      <c r="E16" s="7"/>
      <c r="F16" s="7"/>
      <c r="G16" s="7"/>
      <c r="H16" s="7"/>
    </row>
    <row r="17" spans="2:9" ht="18" customHeight="1" x14ac:dyDescent="0.25">
      <c r="B17" s="29" t="s">
        <v>20</v>
      </c>
      <c r="C17" s="29" t="s">
        <v>21</v>
      </c>
      <c r="D17" s="29" t="s">
        <v>22</v>
      </c>
      <c r="E17" s="29" t="s">
        <v>23</v>
      </c>
      <c r="F17" s="29" t="s">
        <v>12</v>
      </c>
      <c r="G17" s="29" t="s">
        <v>11</v>
      </c>
      <c r="H17" s="77" t="s">
        <v>129</v>
      </c>
      <c r="I17" s="29" t="s">
        <v>24</v>
      </c>
    </row>
    <row r="18" spans="2:9" ht="15.75" customHeight="1" x14ac:dyDescent="0.25">
      <c r="B18" s="17" t="s">
        <v>25</v>
      </c>
      <c r="C18" s="71" t="s">
        <v>128</v>
      </c>
      <c r="D18" s="72">
        <v>7</v>
      </c>
      <c r="E18" s="73">
        <v>21000000</v>
      </c>
      <c r="F18" s="20">
        <v>0.2</v>
      </c>
      <c r="G18" s="23">
        <v>4200000</v>
      </c>
      <c r="H18" s="23" t="s">
        <v>130</v>
      </c>
      <c r="I18" s="19">
        <v>2300000</v>
      </c>
    </row>
    <row r="19" spans="2:9" ht="15.75" customHeight="1" x14ac:dyDescent="0.25">
      <c r="B19" s="21" t="s">
        <v>27</v>
      </c>
      <c r="C19" s="74" t="s">
        <v>128</v>
      </c>
      <c r="D19" s="75">
        <v>7</v>
      </c>
      <c r="E19" s="76">
        <v>17500000</v>
      </c>
      <c r="F19" s="24">
        <v>0.2</v>
      </c>
      <c r="G19" s="23">
        <v>3500000</v>
      </c>
      <c r="H19" s="23" t="s">
        <v>131</v>
      </c>
      <c r="I19" s="23">
        <v>2100000</v>
      </c>
    </row>
    <row r="20" spans="2:9" ht="15.75" customHeight="1" x14ac:dyDescent="0.25">
      <c r="B20" s="17" t="s">
        <v>28</v>
      </c>
      <c r="C20" s="71" t="s">
        <v>128</v>
      </c>
      <c r="D20" s="72">
        <v>7</v>
      </c>
      <c r="E20" s="73">
        <v>14000000</v>
      </c>
      <c r="F20" s="20">
        <v>0.2</v>
      </c>
      <c r="G20" s="23">
        <v>2800000</v>
      </c>
      <c r="H20" s="23" t="s">
        <v>132</v>
      </c>
      <c r="I20" s="19">
        <v>1400000</v>
      </c>
    </row>
    <row r="21" spans="2:9" ht="15.75" customHeight="1" x14ac:dyDescent="0.25">
      <c r="B21" s="21" t="s">
        <v>29</v>
      </c>
      <c r="C21" s="78" t="s">
        <v>30</v>
      </c>
      <c r="D21" s="22">
        <v>6</v>
      </c>
      <c r="E21" s="23">
        <v>12000000</v>
      </c>
      <c r="F21" s="24">
        <v>0.2</v>
      </c>
      <c r="G21" s="23">
        <v>2400000</v>
      </c>
      <c r="H21" s="23" t="s">
        <v>133</v>
      </c>
      <c r="I21" s="23">
        <v>1650000</v>
      </c>
    </row>
    <row r="22" spans="2:9" ht="15.75" customHeight="1" x14ac:dyDescent="0.25">
      <c r="B22" s="17" t="s">
        <v>31</v>
      </c>
      <c r="C22" s="79" t="s">
        <v>30</v>
      </c>
      <c r="D22" s="18">
        <v>6</v>
      </c>
      <c r="E22" s="19">
        <v>9000000</v>
      </c>
      <c r="F22" s="20">
        <v>0.2</v>
      </c>
      <c r="G22" s="19">
        <v>1800000</v>
      </c>
      <c r="H22" s="23" t="s">
        <v>133</v>
      </c>
      <c r="I22" s="19">
        <v>1400000</v>
      </c>
    </row>
    <row r="23" spans="2:9" ht="15.75" customHeight="1" x14ac:dyDescent="0.25">
      <c r="B23" s="21" t="s">
        <v>32</v>
      </c>
      <c r="C23" s="78" t="s">
        <v>30</v>
      </c>
      <c r="D23" s="22">
        <v>6</v>
      </c>
      <c r="E23" s="23">
        <v>12000000</v>
      </c>
      <c r="F23" s="24">
        <v>0.2</v>
      </c>
      <c r="G23" s="23">
        <v>2400000</v>
      </c>
      <c r="H23" s="23" t="s">
        <v>134</v>
      </c>
      <c r="I23" s="23">
        <v>1400000</v>
      </c>
    </row>
    <row r="24" spans="2:9" ht="15.75" customHeight="1" x14ac:dyDescent="0.25">
      <c r="B24" s="17" t="s">
        <v>33</v>
      </c>
      <c r="C24" s="80" t="s">
        <v>34</v>
      </c>
      <c r="D24" s="18">
        <v>4</v>
      </c>
      <c r="E24" s="19">
        <v>16000000</v>
      </c>
      <c r="F24" s="20">
        <v>0.2</v>
      </c>
      <c r="G24" s="19">
        <v>3200000</v>
      </c>
      <c r="H24" s="23" t="s">
        <v>135</v>
      </c>
      <c r="I24" s="19">
        <v>2600000</v>
      </c>
    </row>
    <row r="25" spans="2:9" ht="18" customHeight="1" x14ac:dyDescent="0.25">
      <c r="B25" s="30" t="s">
        <v>35</v>
      </c>
      <c r="C25" s="31"/>
      <c r="D25" s="31"/>
      <c r="E25" s="32">
        <f>SUM(E18:E24)</f>
        <v>101500000</v>
      </c>
      <c r="F25" s="33">
        <v>0.2</v>
      </c>
      <c r="G25" s="32">
        <f>SUM(G18:G24)</f>
        <v>20300000</v>
      </c>
      <c r="H25" s="32"/>
      <c r="I25" s="32">
        <f>SUM(I18:I24)</f>
        <v>12850000</v>
      </c>
    </row>
    <row r="27" spans="2:9" ht="21.75" customHeight="1" x14ac:dyDescent="0.25">
      <c r="B27" s="7" t="s">
        <v>36</v>
      </c>
      <c r="C27" s="7"/>
      <c r="D27" s="7"/>
      <c r="E27" s="7"/>
      <c r="F27" s="7"/>
      <c r="G27" s="7"/>
      <c r="H27" s="7"/>
    </row>
    <row r="28" spans="2:9" ht="18" customHeight="1" x14ac:dyDescent="0.25">
      <c r="B28" s="16" t="s">
        <v>37</v>
      </c>
      <c r="C28" s="16" t="s">
        <v>21</v>
      </c>
      <c r="D28" s="16" t="s">
        <v>38</v>
      </c>
      <c r="E28" s="16" t="s">
        <v>23</v>
      </c>
      <c r="F28" s="16" t="s">
        <v>12</v>
      </c>
      <c r="G28" s="16" t="s">
        <v>11</v>
      </c>
      <c r="H28" s="81" t="s">
        <v>136</v>
      </c>
      <c r="I28" s="16" t="s">
        <v>24</v>
      </c>
    </row>
    <row r="29" spans="2:9" ht="15.75" customHeight="1" x14ac:dyDescent="0.25">
      <c r="B29" s="17" t="s">
        <v>39</v>
      </c>
      <c r="C29" s="18" t="s">
        <v>26</v>
      </c>
      <c r="D29" s="18" t="s">
        <v>40</v>
      </c>
      <c r="E29" s="18">
        <v>19100000</v>
      </c>
      <c r="F29" s="20">
        <v>0.47</v>
      </c>
      <c r="G29" s="19">
        <v>9000000</v>
      </c>
      <c r="H29" s="19" t="s">
        <v>137</v>
      </c>
      <c r="I29" s="19">
        <v>1400000</v>
      </c>
    </row>
    <row r="31" spans="2:9" ht="21.75" customHeight="1" x14ac:dyDescent="0.25">
      <c r="B31" s="6" t="s">
        <v>41</v>
      </c>
      <c r="C31" s="6"/>
      <c r="D31" s="6"/>
      <c r="E31" s="6"/>
      <c r="F31" s="6"/>
      <c r="G31" s="6"/>
      <c r="H31" s="6"/>
    </row>
    <row r="32" spans="2:9" ht="19.5" customHeight="1" x14ac:dyDescent="0.25">
      <c r="B32" s="34" t="s">
        <v>42</v>
      </c>
      <c r="C32" s="35">
        <f>E14</f>
        <v>66600000</v>
      </c>
      <c r="G32" s="82">
        <f>C32</f>
        <v>66600000</v>
      </c>
    </row>
    <row r="33" spans="2:8" ht="19.5" customHeight="1" x14ac:dyDescent="0.25">
      <c r="B33" s="36" t="s">
        <v>43</v>
      </c>
      <c r="C33" s="37">
        <f>G25</f>
        <v>20300000</v>
      </c>
      <c r="G33" s="82">
        <f t="shared" ref="G33:G34" si="0">C33</f>
        <v>20300000</v>
      </c>
    </row>
    <row r="34" spans="2:8" ht="19.5" customHeight="1" x14ac:dyDescent="0.25">
      <c r="B34" s="38" t="s">
        <v>44</v>
      </c>
      <c r="C34" s="39">
        <f>G29</f>
        <v>9000000</v>
      </c>
      <c r="G34" s="82">
        <f t="shared" si="0"/>
        <v>9000000</v>
      </c>
    </row>
    <row r="35" spans="2:8" ht="25.5" customHeight="1" x14ac:dyDescent="0.25">
      <c r="B35" s="40" t="s">
        <v>45</v>
      </c>
      <c r="C35" s="41">
        <f>G32+G33+G34</f>
        <v>95900000</v>
      </c>
    </row>
    <row r="36" spans="2:8" ht="19.5" customHeight="1" x14ac:dyDescent="0.25">
      <c r="B36" s="42" t="s">
        <v>2</v>
      </c>
      <c r="C36" s="43">
        <v>90000000</v>
      </c>
    </row>
    <row r="37" spans="2:8" ht="19.5" customHeight="1" x14ac:dyDescent="0.25">
      <c r="B37" s="44" t="s">
        <v>46</v>
      </c>
      <c r="C37" s="35">
        <f>G36-G35</f>
        <v>0</v>
      </c>
    </row>
    <row r="38" spans="2:8" ht="15.75" customHeight="1" x14ac:dyDescent="0.25"/>
    <row r="39" spans="2:8" ht="30" customHeight="1" x14ac:dyDescent="0.25">
      <c r="B39" s="83" t="s">
        <v>138</v>
      </c>
      <c r="C39" s="5"/>
      <c r="D39" s="5"/>
      <c r="E39" s="5"/>
      <c r="F39" s="5"/>
      <c r="G39" s="5"/>
      <c r="H39" s="5"/>
    </row>
  </sheetData>
  <mergeCells count="7">
    <mergeCell ref="B31:H31"/>
    <mergeCell ref="B39:H39"/>
    <mergeCell ref="B2:H2"/>
    <mergeCell ref="B3:H3"/>
    <mergeCell ref="B9:H9"/>
    <mergeCell ref="B16:H16"/>
    <mergeCell ref="B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8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6" customWidth="1"/>
    <col min="3" max="13" width="10" customWidth="1"/>
    <col min="14" max="14" width="2" customWidth="1"/>
  </cols>
  <sheetData>
    <row r="1" spans="2:13" ht="7.5" customHeight="1" x14ac:dyDescent="0.25"/>
    <row r="2" spans="2:13" ht="25.5" customHeight="1" x14ac:dyDescent="0.25">
      <c r="B2" s="4" t="s">
        <v>47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ht="15.75" customHeight="1" x14ac:dyDescent="0.25">
      <c r="B3" s="3" t="s">
        <v>48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2:13" ht="18" customHeight="1" x14ac:dyDescent="0.25">
      <c r="B5" s="16" t="s">
        <v>38</v>
      </c>
      <c r="C5" s="16" t="s">
        <v>49</v>
      </c>
      <c r="D5" s="16" t="s">
        <v>50</v>
      </c>
      <c r="E5" s="16" t="s">
        <v>51</v>
      </c>
      <c r="F5" s="16" t="s">
        <v>52</v>
      </c>
      <c r="G5" s="16" t="s">
        <v>53</v>
      </c>
      <c r="H5" s="16" t="s">
        <v>54</v>
      </c>
      <c r="I5" s="16" t="s">
        <v>55</v>
      </c>
      <c r="J5" s="16" t="s">
        <v>56</v>
      </c>
      <c r="K5" s="16" t="s">
        <v>57</v>
      </c>
      <c r="L5" s="16" t="s">
        <v>58</v>
      </c>
      <c r="M5" s="16" t="s">
        <v>13</v>
      </c>
    </row>
    <row r="6" spans="2:13" ht="15.75" customHeight="1" x14ac:dyDescent="0.25">
      <c r="B6" s="45">
        <v>1</v>
      </c>
      <c r="C6" s="46">
        <v>200</v>
      </c>
      <c r="D6" s="46">
        <v>6</v>
      </c>
      <c r="E6" s="46">
        <v>24</v>
      </c>
      <c r="F6" s="46">
        <v>60</v>
      </c>
      <c r="G6" s="46">
        <v>30</v>
      </c>
      <c r="H6" s="46">
        <v>10</v>
      </c>
      <c r="I6" s="46">
        <v>88</v>
      </c>
      <c r="J6" s="46">
        <v>112</v>
      </c>
      <c r="K6" s="47">
        <v>0.56000000000000005</v>
      </c>
      <c r="L6" s="47">
        <v>1.274</v>
      </c>
      <c r="M6" s="45" t="s">
        <v>59</v>
      </c>
    </row>
    <row r="7" spans="2:13" ht="15.75" customHeight="1" x14ac:dyDescent="0.25">
      <c r="B7" s="48">
        <v>2</v>
      </c>
      <c r="C7" s="49">
        <v>200</v>
      </c>
      <c r="D7" s="49">
        <v>27</v>
      </c>
      <c r="E7" s="49">
        <v>24</v>
      </c>
      <c r="F7" s="49">
        <v>60</v>
      </c>
      <c r="G7" s="49">
        <v>30</v>
      </c>
      <c r="H7" s="49">
        <v>10</v>
      </c>
      <c r="I7" s="49">
        <v>109</v>
      </c>
      <c r="J7" s="49">
        <v>91</v>
      </c>
      <c r="K7" s="50">
        <v>0.45500000000000002</v>
      </c>
      <c r="L7" s="50">
        <v>0.83499999999999996</v>
      </c>
      <c r="M7" s="48" t="s">
        <v>59</v>
      </c>
    </row>
    <row r="8" spans="2:13" ht="15.75" customHeight="1" x14ac:dyDescent="0.25">
      <c r="B8" s="45">
        <v>3</v>
      </c>
      <c r="C8" s="46">
        <v>484</v>
      </c>
      <c r="D8" s="46">
        <v>35</v>
      </c>
      <c r="E8" s="46">
        <v>58</v>
      </c>
      <c r="F8" s="46">
        <v>60</v>
      </c>
      <c r="G8" s="46">
        <v>73</v>
      </c>
      <c r="H8" s="46">
        <v>24</v>
      </c>
      <c r="I8" s="46">
        <v>212</v>
      </c>
      <c r="J8" s="46">
        <v>272</v>
      </c>
      <c r="K8" s="47">
        <v>0.56200000000000006</v>
      </c>
      <c r="L8" s="47">
        <v>1.2829999999999999</v>
      </c>
      <c r="M8" s="45" t="s">
        <v>59</v>
      </c>
    </row>
    <row r="9" spans="2:13" ht="15.75" customHeight="1" x14ac:dyDescent="0.25">
      <c r="B9" s="48">
        <v>4</v>
      </c>
      <c r="C9" s="49">
        <v>250</v>
      </c>
      <c r="D9" s="49">
        <v>17</v>
      </c>
      <c r="E9" s="49">
        <v>30</v>
      </c>
      <c r="F9" s="49">
        <v>60</v>
      </c>
      <c r="G9" s="49">
        <v>38</v>
      </c>
      <c r="H9" s="49">
        <v>13</v>
      </c>
      <c r="I9" s="49">
        <v>116</v>
      </c>
      <c r="J9" s="49">
        <v>134</v>
      </c>
      <c r="K9" s="50">
        <v>0.53600000000000003</v>
      </c>
      <c r="L9" s="50">
        <v>1.1619999999999999</v>
      </c>
      <c r="M9" s="48" t="s">
        <v>59</v>
      </c>
    </row>
    <row r="10" spans="2:13" ht="15.75" customHeight="1" x14ac:dyDescent="0.25">
      <c r="B10" s="45">
        <v>5</v>
      </c>
      <c r="C10" s="46">
        <v>484</v>
      </c>
      <c r="D10" s="46">
        <v>15</v>
      </c>
      <c r="E10" s="46">
        <v>58</v>
      </c>
      <c r="F10" s="46">
        <v>60</v>
      </c>
      <c r="G10" s="46">
        <v>73</v>
      </c>
      <c r="H10" s="46">
        <v>24</v>
      </c>
      <c r="I10" s="46">
        <v>192</v>
      </c>
      <c r="J10" s="46">
        <v>292</v>
      </c>
      <c r="K10" s="47">
        <v>0.60299999999999998</v>
      </c>
      <c r="L10" s="47">
        <v>1.5229999999999999</v>
      </c>
      <c r="M10" s="45" t="s">
        <v>59</v>
      </c>
    </row>
    <row r="11" spans="2:13" ht="15.75" customHeight="1" x14ac:dyDescent="0.25">
      <c r="B11" s="48">
        <v>6</v>
      </c>
      <c r="C11" s="49">
        <v>218</v>
      </c>
      <c r="D11" s="49">
        <v>44</v>
      </c>
      <c r="E11" s="49">
        <v>26</v>
      </c>
      <c r="F11" s="49">
        <v>60</v>
      </c>
      <c r="G11" s="49">
        <v>33</v>
      </c>
      <c r="H11" s="49">
        <v>11</v>
      </c>
      <c r="I11" s="49">
        <v>133</v>
      </c>
      <c r="J11" s="49">
        <v>85</v>
      </c>
      <c r="K11" s="50">
        <v>0.39</v>
      </c>
      <c r="L11" s="50">
        <v>0.64100000000000001</v>
      </c>
      <c r="M11" s="48" t="s">
        <v>59</v>
      </c>
    </row>
    <row r="12" spans="2:13" ht="15.75" customHeight="1" x14ac:dyDescent="0.25">
      <c r="B12" s="45">
        <v>7</v>
      </c>
      <c r="C12" s="46">
        <v>214</v>
      </c>
      <c r="D12" s="46">
        <v>47</v>
      </c>
      <c r="E12" s="46">
        <v>26</v>
      </c>
      <c r="F12" s="46">
        <v>60</v>
      </c>
      <c r="G12" s="46">
        <v>32</v>
      </c>
      <c r="H12" s="46">
        <v>11</v>
      </c>
      <c r="I12" s="46">
        <v>134</v>
      </c>
      <c r="J12" s="46">
        <v>80</v>
      </c>
      <c r="K12" s="47">
        <v>0.374</v>
      </c>
      <c r="L12" s="47">
        <v>0.59599999999999997</v>
      </c>
      <c r="M12" s="45" t="s">
        <v>59</v>
      </c>
    </row>
    <row r="13" spans="2:13" ht="15.75" customHeight="1" x14ac:dyDescent="0.25">
      <c r="B13" s="51">
        <v>8</v>
      </c>
      <c r="C13" s="52">
        <v>210</v>
      </c>
      <c r="D13" s="52">
        <v>52</v>
      </c>
      <c r="E13" s="52">
        <v>25</v>
      </c>
      <c r="F13" s="52">
        <v>60</v>
      </c>
      <c r="G13" s="52">
        <v>32</v>
      </c>
      <c r="H13" s="52">
        <v>11</v>
      </c>
      <c r="I13" s="52">
        <v>138</v>
      </c>
      <c r="J13" s="52">
        <v>72</v>
      </c>
      <c r="K13" s="53">
        <v>0.34300000000000003</v>
      </c>
      <c r="L13" s="53">
        <v>0.52200000000000002</v>
      </c>
      <c r="M13" s="51" t="s">
        <v>60</v>
      </c>
    </row>
    <row r="14" spans="2:13" ht="15.75" customHeight="1" x14ac:dyDescent="0.25">
      <c r="B14" s="45">
        <v>9</v>
      </c>
      <c r="C14" s="46">
        <v>243</v>
      </c>
      <c r="D14" s="46">
        <v>26</v>
      </c>
      <c r="E14" s="46">
        <v>29</v>
      </c>
      <c r="F14" s="46">
        <v>60</v>
      </c>
      <c r="G14" s="46">
        <v>36</v>
      </c>
      <c r="H14" s="46">
        <v>12</v>
      </c>
      <c r="I14" s="46">
        <v>123</v>
      </c>
      <c r="J14" s="46">
        <v>120</v>
      </c>
      <c r="K14" s="47">
        <v>0.49399999999999999</v>
      </c>
      <c r="L14" s="47">
        <v>0.97499999999999998</v>
      </c>
      <c r="M14" s="45" t="s">
        <v>59</v>
      </c>
    </row>
    <row r="15" spans="2:13" ht="15.75" customHeight="1" x14ac:dyDescent="0.25">
      <c r="B15" s="48">
        <v>10</v>
      </c>
      <c r="C15" s="49">
        <v>200</v>
      </c>
      <c r="D15" s="49">
        <v>6</v>
      </c>
      <c r="E15" s="49">
        <v>24</v>
      </c>
      <c r="F15" s="49">
        <v>60</v>
      </c>
      <c r="G15" s="49">
        <v>30</v>
      </c>
      <c r="H15" s="49">
        <v>10</v>
      </c>
      <c r="I15" s="49">
        <v>88</v>
      </c>
      <c r="J15" s="49">
        <v>112</v>
      </c>
      <c r="K15" s="50">
        <v>0.56000000000000005</v>
      </c>
      <c r="L15" s="50">
        <v>1.274</v>
      </c>
      <c r="M15" s="48" t="s">
        <v>59</v>
      </c>
    </row>
    <row r="16" spans="2:13" ht="18" customHeight="1" x14ac:dyDescent="0.25">
      <c r="B16" s="26" t="s">
        <v>61</v>
      </c>
      <c r="C16" s="27">
        <f>AVERAGE(C6:C15)</f>
        <v>270.3</v>
      </c>
      <c r="D16" s="27">
        <f>AVERAGE(D6:D15)</f>
        <v>27.5</v>
      </c>
      <c r="E16" s="27">
        <f>AVERAGE(E6:E15)</f>
        <v>32.4</v>
      </c>
      <c r="F16" s="27">
        <v>60</v>
      </c>
      <c r="G16" s="27">
        <f t="shared" ref="G16:L16" si="0">AVERAGE(G6:G15)</f>
        <v>40.700000000000003</v>
      </c>
      <c r="H16" s="27">
        <f t="shared" si="0"/>
        <v>13.6</v>
      </c>
      <c r="I16" s="27">
        <f t="shared" si="0"/>
        <v>133.30000000000001</v>
      </c>
      <c r="J16" s="27">
        <f t="shared" si="0"/>
        <v>137</v>
      </c>
      <c r="K16" s="28">
        <f t="shared" si="0"/>
        <v>0.48770000000000008</v>
      </c>
      <c r="L16" s="28">
        <f t="shared" si="0"/>
        <v>1.0085000000000002</v>
      </c>
      <c r="M16" s="26"/>
    </row>
    <row r="18" spans="2:13" ht="7.5" customHeight="1" x14ac:dyDescent="0.25"/>
    <row r="19" spans="2:13" ht="21.75" customHeight="1" x14ac:dyDescent="0.25">
      <c r="B19" s="2" t="s">
        <v>62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ht="15.75" customHeight="1" x14ac:dyDescent="0.25">
      <c r="B20" s="1" t="s">
        <v>63</v>
      </c>
      <c r="C20" s="1"/>
    </row>
    <row r="21" spans="2:13" ht="15.75" customHeight="1" x14ac:dyDescent="0.25">
      <c r="B21" s="1" t="s">
        <v>64</v>
      </c>
      <c r="C21" s="1"/>
    </row>
    <row r="22" spans="2:13" ht="15.75" customHeight="1" x14ac:dyDescent="0.25">
      <c r="B22" s="1" t="s">
        <v>65</v>
      </c>
      <c r="C22" s="1"/>
    </row>
    <row r="23" spans="2:13" ht="15.75" customHeight="1" x14ac:dyDescent="0.25">
      <c r="B23" s="1" t="s">
        <v>66</v>
      </c>
      <c r="C23" s="1"/>
    </row>
    <row r="24" spans="2:13" ht="15.75" customHeight="1" x14ac:dyDescent="0.25">
      <c r="B24" s="1" t="s">
        <v>67</v>
      </c>
      <c r="C24" s="1"/>
    </row>
    <row r="25" spans="2:13" ht="15.75" customHeight="1" x14ac:dyDescent="0.25">
      <c r="B25" s="1" t="s">
        <v>68</v>
      </c>
      <c r="C25" s="1"/>
    </row>
    <row r="26" spans="2:13" ht="15.75" customHeight="1" x14ac:dyDescent="0.25">
      <c r="B26" s="1" t="s">
        <v>69</v>
      </c>
      <c r="C26" s="1"/>
    </row>
    <row r="27" spans="2:13" ht="15.75" customHeight="1" x14ac:dyDescent="0.25">
      <c r="B27" s="1" t="s">
        <v>70</v>
      </c>
      <c r="C27" s="1"/>
    </row>
    <row r="28" spans="2:13" ht="15.75" customHeight="1" x14ac:dyDescent="0.25">
      <c r="B28" s="1" t="s">
        <v>71</v>
      </c>
      <c r="C28" s="1"/>
    </row>
  </sheetData>
  <mergeCells count="12">
    <mergeCell ref="B27:C27"/>
    <mergeCell ref="B28:C28"/>
    <mergeCell ref="B22:C22"/>
    <mergeCell ref="B23:C23"/>
    <mergeCell ref="B24:C24"/>
    <mergeCell ref="B25:C25"/>
    <mergeCell ref="B26:C26"/>
    <mergeCell ref="B2:M2"/>
    <mergeCell ref="B3:M3"/>
    <mergeCell ref="B19:M19"/>
    <mergeCell ref="B20:C20"/>
    <mergeCell ref="B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9"/>
  <sheetViews>
    <sheetView showGridLines="0" zoomScaleNormal="100" workbookViewId="0">
      <selection activeCell="B8" sqref="B8"/>
    </sheetView>
  </sheetViews>
  <sheetFormatPr defaultColWidth="8.7109375" defaultRowHeight="15" x14ac:dyDescent="0.25"/>
  <cols>
    <col min="1" max="1" width="2" customWidth="1"/>
    <col min="2" max="2" width="22" customWidth="1"/>
    <col min="3" max="3" width="10" customWidth="1"/>
    <col min="4" max="4" width="8" customWidth="1"/>
    <col min="5" max="6" width="12" customWidth="1"/>
    <col min="7" max="7" width="20.85546875" customWidth="1"/>
    <col min="8" max="8" width="12" customWidth="1"/>
    <col min="9" max="9" width="14" customWidth="1"/>
    <col min="10" max="10" width="2" customWidth="1"/>
  </cols>
  <sheetData>
    <row r="1" spans="2:9" ht="7.5" customHeight="1" x14ac:dyDescent="0.25"/>
    <row r="2" spans="2:9" ht="25.5" customHeight="1" x14ac:dyDescent="0.25">
      <c r="B2" s="4" t="s">
        <v>72</v>
      </c>
      <c r="C2" s="4"/>
      <c r="D2" s="4"/>
      <c r="E2" s="4"/>
      <c r="F2" s="4"/>
      <c r="G2" s="4"/>
      <c r="H2" s="4"/>
      <c r="I2" s="4"/>
    </row>
    <row r="4" spans="2:9" ht="18" customHeight="1" x14ac:dyDescent="0.25">
      <c r="B4" s="55" t="s">
        <v>20</v>
      </c>
      <c r="C4" s="55" t="s">
        <v>73</v>
      </c>
      <c r="D4" s="55" t="s">
        <v>21</v>
      </c>
      <c r="E4" s="55" t="s">
        <v>74</v>
      </c>
      <c r="F4" s="55" t="s">
        <v>38</v>
      </c>
      <c r="G4" s="55" t="s">
        <v>75</v>
      </c>
      <c r="H4" s="55" t="s">
        <v>76</v>
      </c>
      <c r="I4" s="55" t="s">
        <v>24</v>
      </c>
    </row>
    <row r="5" spans="2:9" ht="19.5" customHeight="1" x14ac:dyDescent="0.25">
      <c r="B5" s="56" t="s">
        <v>77</v>
      </c>
      <c r="C5" s="16"/>
      <c r="D5" s="16"/>
      <c r="E5" s="16"/>
      <c r="F5" s="16"/>
      <c r="G5" s="16"/>
      <c r="H5" s="16"/>
      <c r="I5" s="16"/>
    </row>
    <row r="6" spans="2:9" ht="16.5" customHeight="1" x14ac:dyDescent="0.25">
      <c r="B6" s="57" t="s">
        <v>25</v>
      </c>
      <c r="C6" s="58" t="s">
        <v>17</v>
      </c>
      <c r="D6" s="58" t="s">
        <v>26</v>
      </c>
      <c r="E6" s="58" t="s">
        <v>78</v>
      </c>
      <c r="F6" s="58" t="s">
        <v>79</v>
      </c>
      <c r="G6" s="58" t="s">
        <v>80</v>
      </c>
      <c r="H6" s="58" t="s">
        <v>81</v>
      </c>
      <c r="I6" s="58" t="s">
        <v>82</v>
      </c>
    </row>
    <row r="7" spans="2:9" ht="16.5" customHeight="1" x14ac:dyDescent="0.25">
      <c r="B7" s="57" t="s">
        <v>83</v>
      </c>
      <c r="C7" s="58" t="s">
        <v>17</v>
      </c>
      <c r="D7" s="58" t="s">
        <v>26</v>
      </c>
      <c r="E7" s="58" t="s">
        <v>84</v>
      </c>
      <c r="F7" s="58" t="s">
        <v>85</v>
      </c>
      <c r="G7" s="58" t="s">
        <v>86</v>
      </c>
      <c r="H7" s="58" t="s">
        <v>87</v>
      </c>
      <c r="I7" s="58" t="s">
        <v>88</v>
      </c>
    </row>
    <row r="8" spans="2:9" ht="16.5" customHeight="1" x14ac:dyDescent="0.25">
      <c r="B8" s="57" t="s">
        <v>89</v>
      </c>
      <c r="C8" s="58" t="s">
        <v>17</v>
      </c>
      <c r="D8" s="58" t="s">
        <v>26</v>
      </c>
      <c r="E8" s="58" t="s">
        <v>90</v>
      </c>
      <c r="F8" s="58" t="s">
        <v>91</v>
      </c>
      <c r="G8" s="58" t="s">
        <v>92</v>
      </c>
      <c r="H8" s="58" t="s">
        <v>93</v>
      </c>
      <c r="I8" s="58" t="s">
        <v>94</v>
      </c>
    </row>
    <row r="9" spans="2:9" ht="19.5" customHeight="1" x14ac:dyDescent="0.25">
      <c r="B9" s="59" t="s">
        <v>95</v>
      </c>
      <c r="C9" s="29"/>
      <c r="D9" s="29"/>
      <c r="E9" s="29"/>
      <c r="F9" s="29"/>
      <c r="G9" s="29"/>
      <c r="H9" s="29"/>
      <c r="I9" s="29"/>
    </row>
    <row r="10" spans="2:9" ht="16.5" customHeight="1" x14ac:dyDescent="0.25">
      <c r="B10" s="60" t="s">
        <v>96</v>
      </c>
      <c r="C10" s="61" t="s">
        <v>17</v>
      </c>
      <c r="D10" s="61" t="s">
        <v>30</v>
      </c>
      <c r="E10" s="61" t="s">
        <v>97</v>
      </c>
      <c r="F10" s="61" t="s">
        <v>98</v>
      </c>
      <c r="G10" s="61" t="s">
        <v>99</v>
      </c>
      <c r="H10" s="61" t="s">
        <v>93</v>
      </c>
      <c r="I10" s="61" t="s">
        <v>100</v>
      </c>
    </row>
    <row r="11" spans="2:9" ht="16.5" customHeight="1" x14ac:dyDescent="0.25">
      <c r="B11" s="60" t="s">
        <v>31</v>
      </c>
      <c r="C11" s="61" t="s">
        <v>17</v>
      </c>
      <c r="D11" s="61" t="s">
        <v>30</v>
      </c>
      <c r="E11" s="61" t="s">
        <v>101</v>
      </c>
      <c r="F11" s="61" t="s">
        <v>98</v>
      </c>
      <c r="G11" s="61" t="s">
        <v>99</v>
      </c>
      <c r="H11" s="61" t="s">
        <v>102</v>
      </c>
      <c r="I11" s="61" t="s">
        <v>94</v>
      </c>
    </row>
    <row r="12" spans="2:9" ht="16.5" customHeight="1" x14ac:dyDescent="0.25">
      <c r="B12" s="60" t="s">
        <v>103</v>
      </c>
      <c r="C12" s="61" t="s">
        <v>17</v>
      </c>
      <c r="D12" s="61" t="s">
        <v>30</v>
      </c>
      <c r="E12" s="61" t="s">
        <v>104</v>
      </c>
      <c r="F12" s="61" t="s">
        <v>85</v>
      </c>
      <c r="G12" s="61" t="s">
        <v>105</v>
      </c>
      <c r="H12" s="61" t="s">
        <v>93</v>
      </c>
      <c r="I12" s="61" t="s">
        <v>94</v>
      </c>
    </row>
    <row r="13" spans="2:9" ht="19.5" customHeight="1" x14ac:dyDescent="0.25">
      <c r="B13" s="62" t="s">
        <v>106</v>
      </c>
      <c r="C13" s="63"/>
      <c r="D13" s="63"/>
      <c r="E13" s="63"/>
      <c r="F13" s="63"/>
      <c r="G13" s="63"/>
      <c r="H13" s="63"/>
      <c r="I13" s="63"/>
    </row>
    <row r="14" spans="2:9" ht="16.5" customHeight="1" x14ac:dyDescent="0.25">
      <c r="B14" s="64" t="s">
        <v>107</v>
      </c>
      <c r="C14" s="65" t="s">
        <v>108</v>
      </c>
      <c r="D14" s="65" t="s">
        <v>34</v>
      </c>
      <c r="E14" s="65" t="s">
        <v>109</v>
      </c>
      <c r="F14" s="65" t="s">
        <v>91</v>
      </c>
      <c r="G14" s="65" t="s">
        <v>110</v>
      </c>
      <c r="H14" s="65" t="s">
        <v>111</v>
      </c>
      <c r="I14" s="65" t="s">
        <v>112</v>
      </c>
    </row>
    <row r="15" spans="2:9" ht="16.5" customHeight="1" x14ac:dyDescent="0.25">
      <c r="B15" s="57" t="s">
        <v>113</v>
      </c>
      <c r="C15" s="58" t="s">
        <v>17</v>
      </c>
      <c r="D15" s="58" t="s">
        <v>26</v>
      </c>
      <c r="E15" s="58" t="s">
        <v>114</v>
      </c>
      <c r="F15" s="58" t="s">
        <v>115</v>
      </c>
      <c r="G15" s="58" t="s">
        <v>116</v>
      </c>
      <c r="H15" s="58" t="s">
        <v>117</v>
      </c>
      <c r="I15" s="58" t="s">
        <v>94</v>
      </c>
    </row>
    <row r="16" spans="2:9" ht="19.5" customHeight="1" x14ac:dyDescent="0.25">
      <c r="B16" s="7" t="s">
        <v>118</v>
      </c>
      <c r="C16" s="7"/>
      <c r="D16" s="7"/>
      <c r="E16" s="7"/>
      <c r="F16" s="7"/>
      <c r="G16" s="7"/>
      <c r="H16" s="7"/>
      <c r="I16" s="7"/>
    </row>
    <row r="17" spans="2:3" ht="15.75" customHeight="1" x14ac:dyDescent="0.25">
      <c r="B17" s="54" t="s">
        <v>119</v>
      </c>
      <c r="C17" s="48" t="s">
        <v>120</v>
      </c>
    </row>
    <row r="18" spans="2:3" ht="15.75" customHeight="1" x14ac:dyDescent="0.25">
      <c r="B18" s="66" t="s">
        <v>121</v>
      </c>
      <c r="C18" s="67" t="s">
        <v>122</v>
      </c>
    </row>
    <row r="19" spans="2:3" ht="15.75" customHeight="1" x14ac:dyDescent="0.25">
      <c r="B19" s="54" t="s">
        <v>123</v>
      </c>
      <c r="C19" s="48" t="s">
        <v>124</v>
      </c>
    </row>
  </sheetData>
  <mergeCells count="2">
    <mergeCell ref="B2:I2"/>
    <mergeCell ref="B16:I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Дашборд</vt:lpstr>
      <vt:lpstr>Юнит-экономика Global</vt:lpstr>
      <vt:lpstr>План запуска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Denis</cp:lastModifiedBy>
  <cp:revision>0</cp:revision>
  <dcterms:created xsi:type="dcterms:W3CDTF">2026-04-22T09:28:16Z</dcterms:created>
  <dcterms:modified xsi:type="dcterms:W3CDTF">2026-04-22T10:11:58Z</dcterms:modified>
  <dc:language>en-US</dc:language>
</cp:coreProperties>
</file>