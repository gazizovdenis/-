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6 нед\"/>
    </mc:Choice>
  </mc:AlternateContent>
  <xr:revisionPtr revIDLastSave="0" documentId="13_ncr:1_{F42336B4-4EA0-47B4-A9C4-0311255E7D3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7" r:id="rId1"/>
    <sheet name="АВС 09-15.02" sheetId="28" state="hidden" r:id="rId2"/>
    <sheet name="АВС 02-08.02" sheetId="23" r:id="rId3"/>
    <sheet name="АВС ЯНВАРЬ" sheetId="22" state="hidden" r:id="rId4"/>
    <sheet name="АВС 26.01-01.02" sheetId="21" state="hidden" r:id="rId5"/>
    <sheet name="АВС 19-25.01" sheetId="20" state="hidden" r:id="rId6"/>
    <sheet name="АВС 12-18.01" sheetId="19" state="hidden" r:id="rId7"/>
    <sheet name="АВС 05-11.01" sheetId="18" state="hidden" r:id="rId8"/>
    <sheet name="АВС 01-04.01" sheetId="17" state="hidden" r:id="rId9"/>
    <sheet name="Юнит 09-15.02" sheetId="27" state="hidden" r:id="rId10"/>
    <sheet name="Юнит 02-08.02" sheetId="25" r:id="rId11"/>
    <sheet name="Юнит 01.02" sheetId="15" state="hidden" r:id="rId12"/>
    <sheet name="ЯНВАРЬ" sheetId="16" state="hidden" r:id="rId13"/>
    <sheet name="Юнит 26.01-01.02" sheetId="24" state="hidden" r:id="rId14"/>
    <sheet name="Юнит 26-31.01" sheetId="14" state="hidden" r:id="rId15"/>
    <sheet name="Юнит 19-25.01" sheetId="4" state="hidden" r:id="rId16"/>
    <sheet name="Юнит 12-18.01" sheetId="3" state="hidden" r:id="rId17"/>
    <sheet name="Юнит 05-11.01" sheetId="13" state="hidden" r:id="rId18"/>
    <sheet name="Юнит 01-04.01" sheetId="12" state="hidden" r:id="rId19"/>
    <sheet name="Отчет 09-15.02" sheetId="29" state="hidden" r:id="rId20"/>
    <sheet name="Отчет 02-08.02" sheetId="26" state="hidden" r:id="rId21"/>
    <sheet name="Отчет 01.02" sheetId="9" state="hidden" r:id="rId22"/>
    <sheet name="Отчет 26-31.01" sheetId="8" state="hidden" r:id="rId23"/>
    <sheet name="Отчет 19-25.01" sheetId="6" state="hidden" r:id="rId24"/>
    <sheet name="Отчет 12-18.01" sheetId="5" state="hidden" r:id="rId25"/>
    <sheet name="Отчет 05-11.01" sheetId="10" state="hidden" r:id="rId26"/>
    <sheet name="Отчет 01-04.01" sheetId="11" state="hidden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23" l="1"/>
  <c r="J16" i="23"/>
  <c r="J8" i="23"/>
  <c r="J7" i="23"/>
  <c r="J6" i="23"/>
  <c r="J11" i="23"/>
  <c r="J9" i="23"/>
  <c r="J4" i="23"/>
  <c r="J12" i="23"/>
  <c r="J13" i="23"/>
  <c r="J10" i="23"/>
  <c r="J5" i="23"/>
  <c r="J14" i="23"/>
  <c r="J17" i="23"/>
  <c r="C10" i="23"/>
  <c r="C12" i="23"/>
  <c r="C7" i="23"/>
  <c r="C17" i="23"/>
  <c r="C6" i="23"/>
  <c r="C11" i="23"/>
  <c r="C9" i="23"/>
  <c r="C5" i="23"/>
  <c r="C16" i="23"/>
  <c r="C13" i="23"/>
  <c r="C8" i="23"/>
  <c r="C4" i="23"/>
  <c r="C14" i="23"/>
  <c r="C15" i="23"/>
  <c r="AD7" i="7"/>
  <c r="R20" i="7"/>
  <c r="L20" i="7"/>
  <c r="M20" i="7"/>
  <c r="N20" i="7"/>
  <c r="O20" i="7"/>
  <c r="P20" i="7"/>
  <c r="Q20" i="7"/>
  <c r="U20" i="7"/>
  <c r="V20" i="7"/>
  <c r="W20" i="7"/>
  <c r="X20" i="7"/>
  <c r="Y20" i="7"/>
  <c r="Z20" i="7"/>
  <c r="K20" i="7"/>
  <c r="Q9" i="7"/>
  <c r="M9" i="7"/>
  <c r="L9" i="7"/>
  <c r="K9" i="7"/>
  <c r="I9" i="7"/>
  <c r="J9" i="7" s="1"/>
  <c r="H9" i="7"/>
  <c r="G9" i="7"/>
  <c r="F9" i="7"/>
  <c r="E9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L33" i="27" s="1"/>
  <c r="I33" i="27"/>
  <c r="K31" i="27"/>
  <c r="L31" i="27" s="1"/>
  <c r="I31" i="27"/>
  <c r="K24" i="27"/>
  <c r="J24" i="27"/>
  <c r="G24" i="27"/>
  <c r="F24" i="27"/>
  <c r="E24" i="27"/>
  <c r="D24" i="27"/>
  <c r="AA23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A19" i="27"/>
  <c r="AA26" i="27" s="1"/>
  <c r="AC18" i="27"/>
  <c r="AC24" i="27" s="1"/>
  <c r="AB18" i="27"/>
  <c r="K18" i="27"/>
  <c r="C18" i="27"/>
  <c r="C24" i="27" s="1"/>
  <c r="AH16" i="27"/>
  <c r="Z16" i="27"/>
  <c r="X16" i="27"/>
  <c r="T16" i="27"/>
  <c r="S16" i="27"/>
  <c r="U16" i="27" s="1"/>
  <c r="Q16" i="27"/>
  <c r="P16" i="27"/>
  <c r="R16" i="27" s="1"/>
  <c r="N16" i="27"/>
  <c r="I16" i="27"/>
  <c r="AK15" i="27"/>
  <c r="AH15" i="27"/>
  <c r="Z15" i="27"/>
  <c r="Y15" i="27"/>
  <c r="X15" i="27"/>
  <c r="U15" i="27"/>
  <c r="T15" i="27"/>
  <c r="S15" i="27"/>
  <c r="Q15" i="27"/>
  <c r="R15" i="27" s="1"/>
  <c r="P15" i="27"/>
  <c r="AJ15" i="27" s="1"/>
  <c r="N15" i="27"/>
  <c r="I15" i="27"/>
  <c r="AH14" i="27"/>
  <c r="Z14" i="27"/>
  <c r="X14" i="27"/>
  <c r="T14" i="27"/>
  <c r="S14" i="27"/>
  <c r="U14" i="27" s="1"/>
  <c r="Q14" i="27"/>
  <c r="P14" i="27"/>
  <c r="R14" i="27" s="1"/>
  <c r="N14" i="27"/>
  <c r="I14" i="27"/>
  <c r="AK13" i="27"/>
  <c r="AH13" i="27"/>
  <c r="Z13" i="27"/>
  <c r="X13" i="27"/>
  <c r="U13" i="27"/>
  <c r="T13" i="27"/>
  <c r="S13" i="27"/>
  <c r="Q13" i="27"/>
  <c r="P13" i="27"/>
  <c r="R13" i="27" s="1"/>
  <c r="N13" i="27"/>
  <c r="I13" i="27"/>
  <c r="AH12" i="27"/>
  <c r="Z12" i="27"/>
  <c r="X12" i="27"/>
  <c r="T12" i="27"/>
  <c r="S12" i="27"/>
  <c r="U12" i="27" s="1"/>
  <c r="Q12" i="27"/>
  <c r="P12" i="27"/>
  <c r="AJ12" i="27" s="1"/>
  <c r="N12" i="27"/>
  <c r="I12" i="27"/>
  <c r="AK11" i="27"/>
  <c r="AH11" i="27"/>
  <c r="Z11" i="27"/>
  <c r="Y11" i="27"/>
  <c r="X11" i="27"/>
  <c r="U11" i="27"/>
  <c r="T11" i="27"/>
  <c r="S11" i="27"/>
  <c r="Q11" i="27"/>
  <c r="R11" i="27" s="1"/>
  <c r="P11" i="27"/>
  <c r="AJ11" i="27" s="1"/>
  <c r="N11" i="27"/>
  <c r="I11" i="27"/>
  <c r="AH10" i="27"/>
  <c r="Z10" i="27"/>
  <c r="X10" i="27"/>
  <c r="T10" i="27"/>
  <c r="S10" i="27"/>
  <c r="U10" i="27" s="1"/>
  <c r="Q10" i="27"/>
  <c r="P10" i="27"/>
  <c r="R10" i="27" s="1"/>
  <c r="N10" i="27"/>
  <c r="I10" i="27"/>
  <c r="AH9" i="27"/>
  <c r="AG9" i="27"/>
  <c r="AM9" i="27" s="1"/>
  <c r="Z9" i="27"/>
  <c r="X9" i="27"/>
  <c r="U9" i="27"/>
  <c r="T9" i="27"/>
  <c r="S9" i="27"/>
  <c r="R9" i="27"/>
  <c r="Q9" i="27"/>
  <c r="P9" i="27"/>
  <c r="AK9" i="27" s="1"/>
  <c r="N9" i="27"/>
  <c r="I9" i="27"/>
  <c r="AH8" i="27"/>
  <c r="Z8" i="27"/>
  <c r="X8" i="27"/>
  <c r="T8" i="27"/>
  <c r="S8" i="27"/>
  <c r="U8" i="27" s="1"/>
  <c r="Q8" i="27"/>
  <c r="P8" i="27"/>
  <c r="AJ8" i="27" s="1"/>
  <c r="N8" i="27"/>
  <c r="I8" i="27"/>
  <c r="AK7" i="27"/>
  <c r="AH7" i="27"/>
  <c r="Z7" i="27"/>
  <c r="X7" i="27"/>
  <c r="T7" i="27"/>
  <c r="U7" i="27" s="1"/>
  <c r="S7" i="27"/>
  <c r="Q7" i="27"/>
  <c r="R7" i="27" s="1"/>
  <c r="P7" i="27"/>
  <c r="AJ7" i="27" s="1"/>
  <c r="N7" i="27"/>
  <c r="I7" i="27"/>
  <c r="AH6" i="27"/>
  <c r="Z6" i="27"/>
  <c r="X6" i="27"/>
  <c r="T6" i="27"/>
  <c r="S6" i="27"/>
  <c r="U6" i="27" s="1"/>
  <c r="Q6" i="27"/>
  <c r="P6" i="27"/>
  <c r="R6" i="27" s="1"/>
  <c r="N6" i="27"/>
  <c r="I6" i="27"/>
  <c r="AH5" i="27"/>
  <c r="AH17" i="27" s="1"/>
  <c r="Z5" i="27"/>
  <c r="X5" i="27"/>
  <c r="U5" i="27"/>
  <c r="T5" i="27"/>
  <c r="S5" i="27"/>
  <c r="Q5" i="27"/>
  <c r="P5" i="27"/>
  <c r="R5" i="27" s="1"/>
  <c r="N5" i="27"/>
  <c r="I5" i="27"/>
  <c r="I18" i="27" s="1"/>
  <c r="I24" i="27" s="1"/>
  <c r="I32" i="27" s="1"/>
  <c r="J32" i="27" s="1"/>
  <c r="AH4" i="27"/>
  <c r="Z4" i="27"/>
  <c r="X4" i="27"/>
  <c r="T4" i="27"/>
  <c r="S4" i="27"/>
  <c r="U4" i="27" s="1"/>
  <c r="Q4" i="27"/>
  <c r="P4" i="27"/>
  <c r="AJ4" i="27" s="1"/>
  <c r="N4" i="27"/>
  <c r="I4" i="27"/>
  <c r="AH3" i="27"/>
  <c r="Z3" i="27"/>
  <c r="Z18" i="27" s="1"/>
  <c r="Z24" i="27" s="1"/>
  <c r="X3" i="27"/>
  <c r="X18" i="27" s="1"/>
  <c r="X24" i="27" s="1"/>
  <c r="T3" i="27"/>
  <c r="T18" i="27" s="1"/>
  <c r="T24" i="27" s="1"/>
  <c r="S3" i="27"/>
  <c r="S18" i="27" s="1"/>
  <c r="S24" i="27" s="1"/>
  <c r="Q3" i="27"/>
  <c r="Q18" i="27" s="1"/>
  <c r="Q24" i="27" s="1"/>
  <c r="P3" i="27"/>
  <c r="R3" i="27" s="1"/>
  <c r="N3" i="27"/>
  <c r="I3" i="27"/>
  <c r="L21" i="7" l="1"/>
  <c r="X21" i="7"/>
  <c r="W21" i="7"/>
  <c r="V21" i="7"/>
  <c r="R21" i="7"/>
  <c r="M21" i="7"/>
  <c r="K21" i="7"/>
  <c r="Q21" i="7"/>
  <c r="D9" i="7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AE16" i="27"/>
  <c r="AL16" i="27" s="1" a="1"/>
  <c r="AL16" i="27" s="1"/>
  <c r="AD16" i="27"/>
  <c r="Y16" i="27"/>
  <c r="AI14" i="27"/>
  <c r="W14" i="27"/>
  <c r="O14" i="27"/>
  <c r="AG14" i="27"/>
  <c r="AM14" i="27" s="1"/>
  <c r="AI7" i="27"/>
  <c r="W7" i="27"/>
  <c r="O7" i="27"/>
  <c r="AG7" i="27"/>
  <c r="Y10" i="27"/>
  <c r="AD10" i="27"/>
  <c r="AE10" i="27"/>
  <c r="AL10" i="27" s="1" a="1"/>
  <c r="AL10" i="27" s="1"/>
  <c r="AI11" i="27"/>
  <c r="W11" i="27"/>
  <c r="O11" i="27"/>
  <c r="AG11" i="27"/>
  <c r="Y14" i="27"/>
  <c r="AD14" i="27"/>
  <c r="AE14" i="27" s="1"/>
  <c r="AL14" i="27" s="1" a="1"/>
  <c r="AL14" i="27" s="1"/>
  <c r="AI15" i="27"/>
  <c r="W15" i="27"/>
  <c r="O15" i="27"/>
  <c r="AG15" i="27"/>
  <c r="AL15" i="27" a="1"/>
  <c r="AL15" i="27" s="1"/>
  <c r="Y6" i="27"/>
  <c r="AD6" i="27"/>
  <c r="AI3" i="27"/>
  <c r="W3" i="27"/>
  <c r="O3" i="27"/>
  <c r="AG3" i="27"/>
  <c r="AD7" i="27"/>
  <c r="AE7" i="27" s="1"/>
  <c r="AL7" i="27" s="1" a="1"/>
  <c r="AL7" i="27" s="1"/>
  <c r="Y7" i="27"/>
  <c r="J31" i="27"/>
  <c r="AD8" i="27"/>
  <c r="Y8" i="27"/>
  <c r="AI6" i="27"/>
  <c r="W6" i="27"/>
  <c r="AE6" i="27" s="1"/>
  <c r="AL6" i="27" s="1" a="1"/>
  <c r="AL6" i="27" s="1"/>
  <c r="O6" i="27"/>
  <c r="AG6" i="27"/>
  <c r="AM6" i="27" s="1"/>
  <c r="AG5" i="27"/>
  <c r="AM5" i="27" s="1"/>
  <c r="AI5" i="27"/>
  <c r="W5" i="27"/>
  <c r="AE5" i="27" s="1"/>
  <c r="AL5" i="27" s="1" a="1"/>
  <c r="AL5" i="27" s="1"/>
  <c r="O5" i="27"/>
  <c r="AG13" i="27"/>
  <c r="AM13" i="27" s="1"/>
  <c r="AI13" i="27"/>
  <c r="W13" i="27"/>
  <c r="AE13" i="27" s="1"/>
  <c r="AL13" i="27" s="1" a="1"/>
  <c r="AL13" i="27" s="1"/>
  <c r="O13" i="27"/>
  <c r="AG16" i="27"/>
  <c r="AM16" i="27" s="1"/>
  <c r="AI16" i="27"/>
  <c r="O16" i="27"/>
  <c r="W16" i="27"/>
  <c r="J33" i="27"/>
  <c r="AD4" i="27"/>
  <c r="Y4" i="27"/>
  <c r="AD12" i="27"/>
  <c r="Y12" i="27"/>
  <c r="AJ16" i="27"/>
  <c r="AK4" i="27"/>
  <c r="AK8" i="27"/>
  <c r="O9" i="27"/>
  <c r="W9" i="27"/>
  <c r="AI9" i="27"/>
  <c r="AD11" i="27"/>
  <c r="AE11" i="27" s="1"/>
  <c r="AL11" i="27" s="1" a="1"/>
  <c r="AL11" i="27" s="1"/>
  <c r="AK12" i="27"/>
  <c r="AD15" i="27"/>
  <c r="AK16" i="27"/>
  <c r="AK3" i="27"/>
  <c r="R8" i="27"/>
  <c r="AJ9" i="27"/>
  <c r="R12" i="27"/>
  <c r="AJ13" i="27"/>
  <c r="AE15" i="27"/>
  <c r="P18" i="27"/>
  <c r="AJ5" i="27"/>
  <c r="Y5" i="27"/>
  <c r="AK5" i="27"/>
  <c r="Y9" i="27"/>
  <c r="Y13" i="27"/>
  <c r="R4" i="27"/>
  <c r="R18" i="27" s="1"/>
  <c r="R24" i="27" s="1"/>
  <c r="AJ10" i="27"/>
  <c r="AJ14" i="27"/>
  <c r="AJ3" i="27"/>
  <c r="U3" i="27"/>
  <c r="AJ6" i="27"/>
  <c r="AD5" i="27"/>
  <c r="AK6" i="27"/>
  <c r="AD9" i="27"/>
  <c r="AE9" i="27" s="1"/>
  <c r="AL9" i="27" s="1" a="1"/>
  <c r="AL9" i="27" s="1"/>
  <c r="AK10" i="27"/>
  <c r="AD13" i="27"/>
  <c r="AK14" i="27"/>
  <c r="AS18" i="16"/>
  <c r="AR17" i="16"/>
  <c r="AS17" i="16"/>
  <c r="AS4" i="16"/>
  <c r="AS5" i="16"/>
  <c r="AS6" i="16"/>
  <c r="AS7" i="16"/>
  <c r="AS8" i="16"/>
  <c r="AS9" i="16"/>
  <c r="AS10" i="16"/>
  <c r="AS11" i="16"/>
  <c r="AS12" i="16"/>
  <c r="AS13" i="16"/>
  <c r="AS14" i="16"/>
  <c r="AS15" i="16"/>
  <c r="AS16" i="16"/>
  <c r="AS3" i="16"/>
  <c r="F4" i="28" l="1"/>
  <c r="E5" i="28"/>
  <c r="F23" i="28"/>
  <c r="E24" i="28"/>
  <c r="L24" i="28"/>
  <c r="L13" i="28"/>
  <c r="M13" i="28" s="1"/>
  <c r="G13" i="28" s="1"/>
  <c r="L8" i="28"/>
  <c r="AP5" i="27"/>
  <c r="AN5" i="27"/>
  <c r="AP14" i="27"/>
  <c r="AN14" i="27"/>
  <c r="AP16" i="27"/>
  <c r="AN16" i="27"/>
  <c r="AP7" i="27"/>
  <c r="AN7" i="27"/>
  <c r="AP9" i="27"/>
  <c r="AN9" i="27"/>
  <c r="AP13" i="27"/>
  <c r="AN13" i="27"/>
  <c r="AP11" i="27"/>
  <c r="AN11" i="27"/>
  <c r="AP6" i="27"/>
  <c r="AN6" i="27"/>
  <c r="AP10" i="27"/>
  <c r="AN10" i="27"/>
  <c r="AP15" i="27"/>
  <c r="AN15" i="27"/>
  <c r="AM15" i="27"/>
  <c r="AM10" i="27"/>
  <c r="AM11" i="27"/>
  <c r="AK17" i="27"/>
  <c r="AM7" i="27"/>
  <c r="W18" i="27"/>
  <c r="W24" i="27" s="1"/>
  <c r="AD3" i="27"/>
  <c r="AD18" i="27" s="1"/>
  <c r="AD24" i="27" s="1"/>
  <c r="U18" i="27"/>
  <c r="Y3" i="27"/>
  <c r="AG8" i="27"/>
  <c r="AL8" i="27" a="1"/>
  <c r="AL8" i="27" s="1"/>
  <c r="AI8" i="27"/>
  <c r="W8" i="27"/>
  <c r="AE8" i="27" s="1"/>
  <c r="O8" i="27"/>
  <c r="AJ17" i="27"/>
  <c r="P24" i="27"/>
  <c r="AA22" i="27" s="1"/>
  <c r="AI4" i="27"/>
  <c r="AI17" i="27" s="1"/>
  <c r="O4" i="27"/>
  <c r="AG4" i="27"/>
  <c r="W4" i="27"/>
  <c r="AE4" i="27" s="1"/>
  <c r="AL4" i="27" s="1" a="1"/>
  <c r="AL4" i="27" s="1"/>
  <c r="AI12" i="27"/>
  <c r="W12" i="27"/>
  <c r="AE12" i="27" s="1"/>
  <c r="O12" i="27"/>
  <c r="AG12" i="27"/>
  <c r="AL12" i="27" a="1"/>
  <c r="AL12" i="27" s="1"/>
  <c r="AM3" i="27"/>
  <c r="AG17" i="27"/>
  <c r="Y9" i="7"/>
  <c r="Y21" i="7" s="1"/>
  <c r="Y10" i="7"/>
  <c r="Z10" i="7" s="1"/>
  <c r="Y11" i="7"/>
  <c r="Z11" i="7" s="1"/>
  <c r="Y12" i="7"/>
  <c r="Z12" i="7" s="1"/>
  <c r="Z9" i="7" l="1"/>
  <c r="Z21" i="7" s="1"/>
  <c r="L25" i="28"/>
  <c r="M24" i="28"/>
  <c r="E25" i="28"/>
  <c r="F24" i="28"/>
  <c r="L14" i="28"/>
  <c r="F5" i="28"/>
  <c r="E6" i="28"/>
  <c r="E12" i="28"/>
  <c r="M8" i="28"/>
  <c r="G8" i="28" s="1"/>
  <c r="L9" i="28"/>
  <c r="AP4" i="27"/>
  <c r="AN4" i="27"/>
  <c r="AA18" i="27"/>
  <c r="AA25" i="27" s="1"/>
  <c r="AK24" i="27" s="1"/>
  <c r="U24" i="27"/>
  <c r="Y18" i="27"/>
  <c r="AP12" i="27"/>
  <c r="AN12" i="27"/>
  <c r="AM4" i="27"/>
  <c r="AM17" i="27" s="1"/>
  <c r="AE3" i="27"/>
  <c r="AP8" i="27"/>
  <c r="AN8" i="27"/>
  <c r="AM12" i="27"/>
  <c r="AM8" i="27"/>
  <c r="J9" i="22"/>
  <c r="J11" i="22"/>
  <c r="J6" i="22"/>
  <c r="J7" i="22"/>
  <c r="J8" i="22"/>
  <c r="J12" i="22"/>
  <c r="J14" i="22"/>
  <c r="J4" i="22"/>
  <c r="J15" i="22"/>
  <c r="J13" i="22"/>
  <c r="J16" i="22"/>
  <c r="J5" i="22"/>
  <c r="J17" i="22"/>
  <c r="J10" i="22"/>
  <c r="C7" i="22"/>
  <c r="C10" i="22"/>
  <c r="C6" i="22"/>
  <c r="C8" i="22"/>
  <c r="C11" i="22"/>
  <c r="C12" i="22"/>
  <c r="C17" i="22"/>
  <c r="C5" i="22"/>
  <c r="C14" i="22"/>
  <c r="C13" i="22"/>
  <c r="C15" i="22"/>
  <c r="C4" i="22"/>
  <c r="C16" i="22"/>
  <c r="C9" i="22"/>
  <c r="AE24" i="16"/>
  <c r="J9" i="21"/>
  <c r="J15" i="21"/>
  <c r="J8" i="21"/>
  <c r="J6" i="21"/>
  <c r="J7" i="21"/>
  <c r="J11" i="21"/>
  <c r="J12" i="21"/>
  <c r="J4" i="21"/>
  <c r="J13" i="21"/>
  <c r="J14" i="21"/>
  <c r="J16" i="21"/>
  <c r="J5" i="21"/>
  <c r="J17" i="21"/>
  <c r="J10" i="21"/>
  <c r="C6" i="21"/>
  <c r="C13" i="21"/>
  <c r="C8" i="21"/>
  <c r="C14" i="21"/>
  <c r="C7" i="21"/>
  <c r="C10" i="21"/>
  <c r="C16" i="21"/>
  <c r="C4" i="21"/>
  <c r="C9" i="21"/>
  <c r="C11" i="21"/>
  <c r="C15" i="21"/>
  <c r="C5" i="21"/>
  <c r="C17" i="21"/>
  <c r="C12" i="21"/>
  <c r="AA24" i="24"/>
  <c r="AA18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Z16" i="24"/>
  <c r="Z15" i="24"/>
  <c r="Z14" i="24"/>
  <c r="Z13" i="24"/>
  <c r="Z12" i="24"/>
  <c r="Z11" i="24"/>
  <c r="Z10" i="24"/>
  <c r="Z9" i="24"/>
  <c r="Z8" i="24"/>
  <c r="Z7" i="24"/>
  <c r="Z6" i="24"/>
  <c r="Z5" i="24"/>
  <c r="Z4" i="24"/>
  <c r="Z3" i="24"/>
  <c r="X16" i="24"/>
  <c r="X15" i="24"/>
  <c r="X14" i="24"/>
  <c r="X13" i="24"/>
  <c r="X12" i="24"/>
  <c r="X11" i="24"/>
  <c r="X10" i="24"/>
  <c r="X9" i="24"/>
  <c r="X8" i="24"/>
  <c r="X7" i="24"/>
  <c r="X6" i="24"/>
  <c r="X5" i="24"/>
  <c r="X4" i="24"/>
  <c r="X3" i="24"/>
  <c r="T16" i="24"/>
  <c r="T15" i="24"/>
  <c r="T14" i="24"/>
  <c r="T13" i="24"/>
  <c r="T12" i="24"/>
  <c r="T11" i="24"/>
  <c r="T10" i="24"/>
  <c r="T9" i="24"/>
  <c r="T8" i="24"/>
  <c r="T7" i="24"/>
  <c r="T6" i="24"/>
  <c r="T5" i="24"/>
  <c r="T4" i="24"/>
  <c r="T3" i="24"/>
  <c r="S16" i="24"/>
  <c r="S15" i="24"/>
  <c r="S14" i="24"/>
  <c r="S13" i="24"/>
  <c r="S12" i="24"/>
  <c r="S11" i="24"/>
  <c r="S10" i="24"/>
  <c r="S9" i="24"/>
  <c r="S8" i="24"/>
  <c r="S7" i="24"/>
  <c r="S6" i="24"/>
  <c r="S5" i="24"/>
  <c r="S4" i="24"/>
  <c r="S3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Q3" i="24"/>
  <c r="P16" i="24"/>
  <c r="P15" i="24"/>
  <c r="P14" i="24"/>
  <c r="P13" i="24"/>
  <c r="P12" i="24"/>
  <c r="P11" i="24"/>
  <c r="P10" i="24"/>
  <c r="P9" i="24"/>
  <c r="P8" i="24"/>
  <c r="P7" i="24"/>
  <c r="P6" i="24"/>
  <c r="P5" i="24"/>
  <c r="P4" i="24"/>
  <c r="P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17" i="7"/>
  <c r="O17" i="7"/>
  <c r="P17" i="7"/>
  <c r="R17" i="7"/>
  <c r="S17" i="7"/>
  <c r="T17" i="7"/>
  <c r="U17" i="7"/>
  <c r="V17" i="7"/>
  <c r="W17" i="7"/>
  <c r="F12" i="28" l="1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AE18" i="27"/>
  <c r="AE24" i="27" s="1"/>
  <c r="AL3" i="27"/>
  <c r="Q8" i="7"/>
  <c r="M8" i="7"/>
  <c r="L8" i="7"/>
  <c r="K8" i="7"/>
  <c r="I8" i="7"/>
  <c r="H8" i="7"/>
  <c r="G8" i="7"/>
  <c r="F8" i="7"/>
  <c r="E8" i="7"/>
  <c r="E3" i="7"/>
  <c r="E5" i="7"/>
  <c r="AB12" i="7"/>
  <c r="AC12" i="7"/>
  <c r="AD12" i="7"/>
  <c r="AE12" i="7"/>
  <c r="AB9" i="7"/>
  <c r="AC9" i="7"/>
  <c r="AD9" i="7"/>
  <c r="AE9" i="7"/>
  <c r="AB10" i="7"/>
  <c r="AC10" i="7"/>
  <c r="AD10" i="7"/>
  <c r="AE10" i="7"/>
  <c r="AB11" i="7"/>
  <c r="AC11" i="7"/>
  <c r="AD11" i="7"/>
  <c r="AE11" i="7"/>
  <c r="W13" i="7"/>
  <c r="V13" i="7"/>
  <c r="U13" i="7"/>
  <c r="T13" i="7"/>
  <c r="S13" i="7"/>
  <c r="R13" i="7"/>
  <c r="P13" i="7"/>
  <c r="O13" i="7"/>
  <c r="N13" i="7"/>
  <c r="M15" i="28" l="1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N17" i="27" s="1"/>
  <c r="AP3" i="27"/>
  <c r="AL17" i="27"/>
  <c r="J8" i="7"/>
  <c r="AA19" i="16"/>
  <c r="AA19" i="12"/>
  <c r="AA19" i="13"/>
  <c r="AA19" i="3"/>
  <c r="AA19" i="4"/>
  <c r="AA19" i="14"/>
  <c r="AA19" i="25"/>
  <c r="AA19" i="24"/>
  <c r="AA19" i="15"/>
  <c r="AA18" i="15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D8" i="7" l="1"/>
  <c r="Y8" i="7"/>
  <c r="Z8" i="7" s="1"/>
  <c r="F14" i="28"/>
  <c r="E17" i="28"/>
  <c r="F17" i="28" s="1"/>
  <c r="E15" i="28"/>
  <c r="F27" i="28"/>
  <c r="E28" i="28"/>
  <c r="F8" i="28"/>
  <c r="E9" i="28"/>
  <c r="M27" i="28"/>
  <c r="L28" i="28"/>
  <c r="AP18" i="27"/>
  <c r="AP24" i="27" s="1"/>
  <c r="K32" i="27" s="1"/>
  <c r="L32" i="27" s="1"/>
  <c r="X8" i="7"/>
  <c r="K33" i="25"/>
  <c r="L33" i="25" s="1"/>
  <c r="I33" i="25"/>
  <c r="K31" i="25"/>
  <c r="I31" i="25"/>
  <c r="J24" i="25"/>
  <c r="G24" i="25"/>
  <c r="F24" i="25"/>
  <c r="E24" i="25"/>
  <c r="D24" i="25"/>
  <c r="AA23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A26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AK15" i="24"/>
  <c r="N15" i="24"/>
  <c r="I15" i="24"/>
  <c r="AH14" i="24"/>
  <c r="N14" i="24"/>
  <c r="I14" i="24"/>
  <c r="AH13" i="24"/>
  <c r="AK13" i="24"/>
  <c r="N13" i="24"/>
  <c r="I13" i="24"/>
  <c r="AH12" i="24"/>
  <c r="N12" i="24"/>
  <c r="I12" i="24"/>
  <c r="AH11" i="24"/>
  <c r="AK11" i="24"/>
  <c r="N11" i="24"/>
  <c r="I11" i="24"/>
  <c r="AH10" i="24"/>
  <c r="N10" i="24"/>
  <c r="I10" i="24"/>
  <c r="AH9" i="24"/>
  <c r="AK9" i="24"/>
  <c r="N9" i="24"/>
  <c r="I9" i="24"/>
  <c r="AH8" i="24"/>
  <c r="N8" i="24"/>
  <c r="I8" i="24"/>
  <c r="AH7" i="24"/>
  <c r="AK7" i="24"/>
  <c r="N7" i="24"/>
  <c r="I7" i="24"/>
  <c r="AH6" i="24"/>
  <c r="N6" i="24"/>
  <c r="I6" i="24"/>
  <c r="AH5" i="24"/>
  <c r="AK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AA8" i="7" l="1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U15" i="24"/>
  <c r="Y15" i="24" s="1"/>
  <c r="R16" i="25"/>
  <c r="O16" i="25" s="1"/>
  <c r="U9" i="25"/>
  <c r="AD9" i="25" s="1"/>
  <c r="R4" i="25"/>
  <c r="U4" i="24"/>
  <c r="Y4" i="24" s="1"/>
  <c r="R6" i="24"/>
  <c r="AI6" i="24" s="1"/>
  <c r="U8" i="24"/>
  <c r="AD8" i="24" s="1"/>
  <c r="R10" i="24"/>
  <c r="W10" i="24" s="1"/>
  <c r="AJ3" i="24"/>
  <c r="U11" i="24"/>
  <c r="Y11" i="24" s="1"/>
  <c r="U3" i="25"/>
  <c r="Y3" i="25" s="1"/>
  <c r="U15" i="25"/>
  <c r="AD15" i="25" s="1"/>
  <c r="R9" i="25"/>
  <c r="O9" i="25" s="1"/>
  <c r="R12" i="24"/>
  <c r="O12" i="24" s="1"/>
  <c r="U13" i="25"/>
  <c r="Y13" i="25" s="1"/>
  <c r="AJ11" i="25"/>
  <c r="U4" i="25"/>
  <c r="AD4" i="25" s="1"/>
  <c r="U10" i="25"/>
  <c r="Y10" i="25" s="1"/>
  <c r="R12" i="25"/>
  <c r="W12" i="25" s="1"/>
  <c r="U5" i="25"/>
  <c r="AD5" i="25" s="1"/>
  <c r="AJ7" i="25"/>
  <c r="U11" i="25"/>
  <c r="Y11" i="25" s="1"/>
  <c r="U6" i="25"/>
  <c r="Y6" i="25" s="1"/>
  <c r="U12" i="25"/>
  <c r="AD12" i="25" s="1"/>
  <c r="R14" i="25"/>
  <c r="O14" i="25" s="1"/>
  <c r="P18" i="25"/>
  <c r="P24" i="25" s="1"/>
  <c r="AA18" i="25" s="1"/>
  <c r="U9" i="24"/>
  <c r="AD9" i="24" s="1"/>
  <c r="R11" i="24"/>
  <c r="O11" i="24" s="1"/>
  <c r="Q18" i="25"/>
  <c r="Q24" i="25" s="1"/>
  <c r="U7" i="25"/>
  <c r="AD7" i="25" s="1"/>
  <c r="R8" i="25"/>
  <c r="O8" i="25" s="1"/>
  <c r="U16" i="25"/>
  <c r="AD16" i="25" s="1"/>
  <c r="S18" i="25"/>
  <c r="S24" i="25" s="1"/>
  <c r="Z18" i="25"/>
  <c r="Z24" i="25" s="1"/>
  <c r="T18" i="25"/>
  <c r="T24" i="25" s="1"/>
  <c r="U8" i="25"/>
  <c r="AD8" i="25" s="1"/>
  <c r="R13" i="25"/>
  <c r="O13" i="25" s="1"/>
  <c r="U7" i="24"/>
  <c r="Y7" i="24" s="1"/>
  <c r="R8" i="24"/>
  <c r="W8" i="24" s="1"/>
  <c r="X18" i="25"/>
  <c r="X24" i="25" s="1"/>
  <c r="R5" i="25"/>
  <c r="AG5" i="25" s="1"/>
  <c r="R10" i="25"/>
  <c r="AI10" i="25" s="1"/>
  <c r="AK11" i="25"/>
  <c r="AJ15" i="25"/>
  <c r="R16" i="24"/>
  <c r="AI16" i="24" s="1"/>
  <c r="R6" i="25"/>
  <c r="W6" i="25" s="1"/>
  <c r="AK7" i="25"/>
  <c r="U14" i="25"/>
  <c r="AD14" i="25" s="1"/>
  <c r="J33" i="25"/>
  <c r="J31" i="25"/>
  <c r="I32" i="25"/>
  <c r="J32" i="25" s="1"/>
  <c r="AK3" i="25"/>
  <c r="AJ4" i="25"/>
  <c r="R7" i="25"/>
  <c r="AJ8" i="25"/>
  <c r="R11" i="25"/>
  <c r="AJ12" i="25"/>
  <c r="R15" i="25"/>
  <c r="AJ16" i="25"/>
  <c r="U5" i="24"/>
  <c r="AD5" i="24" s="1"/>
  <c r="R7" i="24"/>
  <c r="W7" i="24" s="1"/>
  <c r="U12" i="24"/>
  <c r="AD12" i="24" s="1"/>
  <c r="R3" i="25"/>
  <c r="AK4" i="25"/>
  <c r="AK8" i="25"/>
  <c r="AK12" i="25"/>
  <c r="AK16" i="25"/>
  <c r="AJ6" i="25"/>
  <c r="T18" i="24"/>
  <c r="T24" i="24" s="1"/>
  <c r="AJ3" i="25"/>
  <c r="AJ5" i="25"/>
  <c r="AJ9" i="25"/>
  <c r="AJ13" i="25"/>
  <c r="X18" i="24"/>
  <c r="X24" i="24" s="1"/>
  <c r="U13" i="24"/>
  <c r="Y13" i="24" s="1"/>
  <c r="R15" i="24"/>
  <c r="W15" i="24" s="1"/>
  <c r="AJ10" i="25"/>
  <c r="AJ14" i="25"/>
  <c r="R4" i="24"/>
  <c r="AI4" i="24" s="1"/>
  <c r="AK6" i="25"/>
  <c r="AK10" i="25"/>
  <c r="AK14" i="25"/>
  <c r="U16" i="24"/>
  <c r="AD16" i="24" s="1"/>
  <c r="R5" i="24"/>
  <c r="AG5" i="24" s="1"/>
  <c r="AM5" i="24" s="1"/>
  <c r="R9" i="24"/>
  <c r="AG9" i="24" s="1"/>
  <c r="R13" i="24"/>
  <c r="AG13" i="24" s="1"/>
  <c r="Z18" i="24"/>
  <c r="Z24" i="24" s="1"/>
  <c r="U3" i="24"/>
  <c r="Y3" i="24" s="1"/>
  <c r="R14" i="24"/>
  <c r="W14" i="24" s="1"/>
  <c r="Q18" i="24"/>
  <c r="Q24" i="24" s="1"/>
  <c r="AJ7" i="24"/>
  <c r="AJ11" i="24"/>
  <c r="AJ15" i="24"/>
  <c r="S18" i="24"/>
  <c r="S24" i="24" s="1"/>
  <c r="U6" i="24"/>
  <c r="AD6" i="24" s="1"/>
  <c r="U10" i="24"/>
  <c r="AD10" i="24" s="1"/>
  <c r="U14" i="24"/>
  <c r="Y14" i="24" s="1"/>
  <c r="J31" i="24"/>
  <c r="J33" i="24"/>
  <c r="AJ16" i="24"/>
  <c r="AJ8" i="24"/>
  <c r="R3" i="24"/>
  <c r="AK4" i="24"/>
  <c r="AK8" i="24"/>
  <c r="AK12" i="24"/>
  <c r="AK16" i="24"/>
  <c r="AJ4" i="24"/>
  <c r="AJ12" i="24"/>
  <c r="AJ5" i="24"/>
  <c r="AJ9" i="24"/>
  <c r="AJ13" i="24"/>
  <c r="P18" i="24"/>
  <c r="AK3" i="24"/>
  <c r="AJ14" i="24"/>
  <c r="AJ10" i="24"/>
  <c r="AK6" i="24"/>
  <c r="AK10" i="24"/>
  <c r="AK14" i="24"/>
  <c r="AJ6" i="24"/>
  <c r="AG4" i="25" l="1"/>
  <c r="F29" i="28"/>
  <c r="E30" i="28"/>
  <c r="M29" i="28"/>
  <c r="L30" i="28"/>
  <c r="F10" i="28"/>
  <c r="E11" i="28"/>
  <c r="F11" i="28" s="1"/>
  <c r="AI8" i="24"/>
  <c r="AI16" i="25"/>
  <c r="AD15" i="24"/>
  <c r="AE15" i="24" s="1"/>
  <c r="AL15" i="24" s="1" a="1"/>
  <c r="AL15" i="24" s="1"/>
  <c r="AP15" i="24" s="1"/>
  <c r="AG16" i="25"/>
  <c r="Y8" i="24"/>
  <c r="AG10" i="24"/>
  <c r="AI10" i="24"/>
  <c r="W16" i="25"/>
  <c r="AE16" i="25" s="1"/>
  <c r="AL16" i="25" s="1" a="1"/>
  <c r="AL16" i="25" s="1"/>
  <c r="AP16" i="25" s="1"/>
  <c r="Y9" i="25"/>
  <c r="AD11" i="24"/>
  <c r="AD10" i="25"/>
  <c r="W13" i="25"/>
  <c r="AG6" i="24"/>
  <c r="O6" i="24"/>
  <c r="AG9" i="25"/>
  <c r="W6" i="24"/>
  <c r="AE6" i="24" s="1"/>
  <c r="AL6" i="24" s="1" a="1"/>
  <c r="AL6" i="24" s="1"/>
  <c r="AP6" i="24" s="1"/>
  <c r="W9" i="25"/>
  <c r="AE9" i="25" s="1"/>
  <c r="AL9" i="25" s="1" a="1"/>
  <c r="AL9" i="25" s="1"/>
  <c r="AP9" i="25" s="1"/>
  <c r="AD4" i="24"/>
  <c r="O13" i="24"/>
  <c r="AG16" i="24"/>
  <c r="AM16" i="24" s="1"/>
  <c r="AG12" i="24"/>
  <c r="O12" i="25"/>
  <c r="W12" i="24"/>
  <c r="AE12" i="24" s="1"/>
  <c r="AL12" i="24" s="1" a="1"/>
  <c r="AL12" i="24" s="1"/>
  <c r="AP12" i="24" s="1"/>
  <c r="AI4" i="25"/>
  <c r="AG14" i="25"/>
  <c r="AI14" i="25"/>
  <c r="O4" i="25"/>
  <c r="O10" i="24"/>
  <c r="AD3" i="25"/>
  <c r="W4" i="25"/>
  <c r="AE4" i="25" s="1"/>
  <c r="AL4" i="25" s="1" a="1"/>
  <c r="AL4" i="25" s="1"/>
  <c r="AP4" i="25" s="1"/>
  <c r="AG10" i="25"/>
  <c r="AG11" i="24"/>
  <c r="O10" i="25"/>
  <c r="AI13" i="24"/>
  <c r="W10" i="25"/>
  <c r="AE10" i="25" s="1"/>
  <c r="AL10" i="25" s="1" a="1"/>
  <c r="AL10" i="25" s="1"/>
  <c r="AN10" i="25" s="1"/>
  <c r="W16" i="24"/>
  <c r="AE16" i="24" s="1"/>
  <c r="AL16" i="24" s="1" a="1"/>
  <c r="AL16" i="24" s="1"/>
  <c r="AI9" i="25"/>
  <c r="W14" i="25"/>
  <c r="AE14" i="25" s="1"/>
  <c r="AL14" i="25" s="1" a="1"/>
  <c r="AL14" i="25" s="1"/>
  <c r="AP14" i="25" s="1"/>
  <c r="Y4" i="25"/>
  <c r="O16" i="24"/>
  <c r="AG13" i="25"/>
  <c r="AI13" i="25"/>
  <c r="AI12" i="25"/>
  <c r="AI12" i="24"/>
  <c r="AD11" i="25"/>
  <c r="W9" i="24"/>
  <c r="AE9" i="24" s="1"/>
  <c r="AL9" i="24" s="1" a="1"/>
  <c r="AL9" i="24" s="1"/>
  <c r="AM9" i="24" s="1"/>
  <c r="AI6" i="25"/>
  <c r="AG8" i="24"/>
  <c r="AG12" i="25"/>
  <c r="AI8" i="25"/>
  <c r="W11" i="24"/>
  <c r="Y14" i="25"/>
  <c r="O7" i="24"/>
  <c r="Y9" i="24"/>
  <c r="AD13" i="25"/>
  <c r="Y5" i="25"/>
  <c r="Y12" i="25"/>
  <c r="AE12" i="25"/>
  <c r="AL12" i="25" s="1" a="1"/>
  <c r="AL12" i="25" s="1"/>
  <c r="AP12" i="25" s="1"/>
  <c r="AD7" i="24"/>
  <c r="AE7" i="24" s="1"/>
  <c r="AL7" i="24" s="1" a="1"/>
  <c r="AL7" i="24" s="1"/>
  <c r="AN7" i="24" s="1"/>
  <c r="AG6" i="25"/>
  <c r="Y15" i="25"/>
  <c r="AI11" i="24"/>
  <c r="O6" i="25"/>
  <c r="Y7" i="25"/>
  <c r="AD13" i="24"/>
  <c r="W13" i="24"/>
  <c r="AG7" i="24"/>
  <c r="AI15" i="24"/>
  <c r="AI14" i="24"/>
  <c r="Y8" i="25"/>
  <c r="O9" i="24"/>
  <c r="AG8" i="25"/>
  <c r="AD6" i="25"/>
  <c r="O8" i="24"/>
  <c r="AA22" i="25"/>
  <c r="AA25" i="25" s="1"/>
  <c r="AK24" i="25" s="1"/>
  <c r="W8" i="25"/>
  <c r="AE8" i="25" s="1"/>
  <c r="AL8" i="25" s="1" a="1"/>
  <c r="AL8" i="25" s="1"/>
  <c r="AP8" i="25" s="1"/>
  <c r="AI9" i="24"/>
  <c r="W4" i="24"/>
  <c r="AG4" i="24"/>
  <c r="AI7" i="24"/>
  <c r="O4" i="24"/>
  <c r="Y16" i="24"/>
  <c r="AI5" i="25"/>
  <c r="Y16" i="25"/>
  <c r="AJ17" i="24"/>
  <c r="W5" i="25"/>
  <c r="AE5" i="25" s="1"/>
  <c r="AL5" i="25" s="1" a="1"/>
  <c r="AL5" i="25" s="1"/>
  <c r="AN5" i="25" s="1"/>
  <c r="AI5" i="24"/>
  <c r="Y12" i="24"/>
  <c r="O5" i="25"/>
  <c r="U18" i="25"/>
  <c r="U24" i="25" s="1"/>
  <c r="AE10" i="24"/>
  <c r="AL10" i="24" s="1" a="1"/>
  <c r="AL10" i="24" s="1"/>
  <c r="AP10" i="24" s="1"/>
  <c r="Y6" i="24"/>
  <c r="AI15" i="25"/>
  <c r="W15" i="25"/>
  <c r="AE15" i="25" s="1"/>
  <c r="AL15" i="25" s="1" a="1"/>
  <c r="AL15" i="25" s="1"/>
  <c r="O15" i="25"/>
  <c r="AG15" i="25"/>
  <c r="AI7" i="25"/>
  <c r="W7" i="25"/>
  <c r="AE7" i="25" s="1"/>
  <c r="AL7" i="25" s="1" a="1"/>
  <c r="AL7" i="25" s="1"/>
  <c r="O7" i="25"/>
  <c r="AG7" i="25"/>
  <c r="AK17" i="25"/>
  <c r="AK17" i="24"/>
  <c r="AG14" i="24"/>
  <c r="AM14" i="24" s="1"/>
  <c r="AG15" i="24"/>
  <c r="U18" i="24"/>
  <c r="U24" i="24" s="1"/>
  <c r="AJ17" i="25"/>
  <c r="AI3" i="25"/>
  <c r="W3" i="25"/>
  <c r="O3" i="25"/>
  <c r="R18" i="25"/>
  <c r="R24" i="25" s="1"/>
  <c r="AG3" i="25"/>
  <c r="AD14" i="24"/>
  <c r="AE14" i="24" s="1"/>
  <c r="AL14" i="24" s="1" a="1"/>
  <c r="AL14" i="24" s="1"/>
  <c r="Y5" i="24"/>
  <c r="AD3" i="24"/>
  <c r="O14" i="24"/>
  <c r="O15" i="24"/>
  <c r="Y10" i="24"/>
  <c r="AI11" i="25"/>
  <c r="W11" i="25"/>
  <c r="O11" i="25"/>
  <c r="AG11" i="25"/>
  <c r="AE8" i="24"/>
  <c r="AL8" i="24" s="1" a="1"/>
  <c r="AL8" i="24" s="1"/>
  <c r="AP8" i="24" s="1"/>
  <c r="W5" i="24"/>
  <c r="AE5" i="24" s="1"/>
  <c r="AL5" i="24" s="1" a="1"/>
  <c r="AL5" i="24" s="1"/>
  <c r="AP5" i="24" s="1"/>
  <c r="O5" i="24"/>
  <c r="AI3" i="24"/>
  <c r="W3" i="24"/>
  <c r="O3" i="24"/>
  <c r="AG3" i="24"/>
  <c r="R18" i="24"/>
  <c r="R24" i="24" s="1"/>
  <c r="P24" i="24"/>
  <c r="AA22" i="24" s="1"/>
  <c r="N3" i="14"/>
  <c r="AM12" i="25" l="1"/>
  <c r="AM8" i="25"/>
  <c r="AM14" i="25"/>
  <c r="AM5" i="25"/>
  <c r="AM9" i="25"/>
  <c r="AM7" i="25"/>
  <c r="AM16" i="25"/>
  <c r="M30" i="28"/>
  <c r="L31" i="28"/>
  <c r="F30" i="28"/>
  <c r="E31" i="28"/>
  <c r="AM15" i="24"/>
  <c r="AM6" i="24"/>
  <c r="AM7" i="24"/>
  <c r="AM10" i="25"/>
  <c r="AM10" i="24"/>
  <c r="AM12" i="24"/>
  <c r="AM15" i="25"/>
  <c r="AM8" i="24"/>
  <c r="AM4" i="25"/>
  <c r="AE11" i="24"/>
  <c r="AL11" i="24" s="1" a="1"/>
  <c r="AL11" i="24" s="1"/>
  <c r="AP11" i="24" s="1"/>
  <c r="AE13" i="25"/>
  <c r="AL13" i="25" s="1" a="1"/>
  <c r="AL13" i="25" s="1"/>
  <c r="AP13" i="25" s="1"/>
  <c r="AP10" i="25"/>
  <c r="AE11" i="25"/>
  <c r="AL11" i="25" s="1" a="1"/>
  <c r="AL11" i="25" s="1"/>
  <c r="AP11" i="25" s="1"/>
  <c r="AE4" i="24"/>
  <c r="AL4" i="24" s="1" a="1"/>
  <c r="AL4" i="24" s="1"/>
  <c r="AP4" i="24" s="1"/>
  <c r="Y18" i="25"/>
  <c r="AN9" i="24"/>
  <c r="AP9" i="24"/>
  <c r="AN12" i="25"/>
  <c r="AN4" i="25"/>
  <c r="AP16" i="24"/>
  <c r="AN16" i="24"/>
  <c r="AN9" i="25"/>
  <c r="AE13" i="24"/>
  <c r="AL13" i="24" s="1" a="1"/>
  <c r="AL13" i="24" s="1"/>
  <c r="AN10" i="24"/>
  <c r="AI17" i="24"/>
  <c r="AD18" i="25"/>
  <c r="AD24" i="25" s="1"/>
  <c r="AD18" i="24"/>
  <c r="AD24" i="24" s="1"/>
  <c r="AN8" i="25"/>
  <c r="AP7" i="24"/>
  <c r="AE6" i="25"/>
  <c r="AL6" i="25" s="1" a="1"/>
  <c r="AL6" i="25" s="1"/>
  <c r="AP6" i="25" s="1"/>
  <c r="AP5" i="25"/>
  <c r="AN16" i="25"/>
  <c r="AN15" i="24"/>
  <c r="AN14" i="25"/>
  <c r="AN5" i="24"/>
  <c r="AN12" i="24"/>
  <c r="AP14" i="24"/>
  <c r="AN14" i="24"/>
  <c r="AP7" i="25"/>
  <c r="AN7" i="25"/>
  <c r="AP15" i="25"/>
  <c r="AN15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Y18" i="24"/>
  <c r="AN8" i="24"/>
  <c r="W18" i="25"/>
  <c r="W24" i="25" s="1"/>
  <c r="AE3" i="25"/>
  <c r="AI17" i="25"/>
  <c r="AN6" i="24"/>
  <c r="AG17" i="24"/>
  <c r="V4" i="24"/>
  <c r="V14" i="24"/>
  <c r="V11" i="24"/>
  <c r="V12" i="24"/>
  <c r="V13" i="24"/>
  <c r="Y24" i="24"/>
  <c r="V10" i="24"/>
  <c r="V9" i="24"/>
  <c r="V5" i="24"/>
  <c r="V16" i="24"/>
  <c r="V3" i="24"/>
  <c r="V6" i="24"/>
  <c r="V15" i="24"/>
  <c r="V8" i="24"/>
  <c r="V7" i="24"/>
  <c r="W18" i="24"/>
  <c r="W24" i="24" s="1"/>
  <c r="AE3" i="24"/>
  <c r="AA25" i="24"/>
  <c r="AK24" i="24" s="1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AM6" i="25" l="1"/>
  <c r="AM13" i="25"/>
  <c r="F31" i="28"/>
  <c r="E32" i="28"/>
  <c r="M31" i="28"/>
  <c r="L32" i="28"/>
  <c r="AM11" i="24"/>
  <c r="AN13" i="24"/>
  <c r="AM13" i="24"/>
  <c r="V18" i="25"/>
  <c r="V24" i="25" s="1"/>
  <c r="V18" i="24"/>
  <c r="V24" i="24" s="1"/>
  <c r="AM11" i="25"/>
  <c r="AM4" i="24"/>
  <c r="AM17" i="24" s="1"/>
  <c r="AN11" i="24"/>
  <c r="AN13" i="25"/>
  <c r="AN4" i="24"/>
  <c r="AN11" i="25"/>
  <c r="AP13" i="24"/>
  <c r="AN6" i="25"/>
  <c r="AE18" i="25"/>
  <c r="AE24" i="25" s="1"/>
  <c r="AL3" i="25"/>
  <c r="AM3" i="25" s="1"/>
  <c r="AM17" i="25" s="1"/>
  <c r="AE18" i="24"/>
  <c r="AE24" i="24" s="1"/>
  <c r="AL3" i="24"/>
  <c r="AM3" i="24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C18" i="23"/>
  <c r="D15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18" i="22"/>
  <c r="K12" i="22" s="1"/>
  <c r="C18" i="22"/>
  <c r="D15" i="22" s="1"/>
  <c r="K7" i="22"/>
  <c r="K5" i="22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18" i="21"/>
  <c r="K16" i="21" s="1"/>
  <c r="C18" i="21"/>
  <c r="D15" i="21" s="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D6" i="23" l="1"/>
  <c r="D14" i="23"/>
  <c r="K4" i="23"/>
  <c r="K6" i="23"/>
  <c r="K10" i="23"/>
  <c r="K12" i="23"/>
  <c r="K14" i="23"/>
  <c r="K17" i="23"/>
  <c r="K9" i="23"/>
  <c r="D5" i="23"/>
  <c r="D13" i="23"/>
  <c r="D8" i="23"/>
  <c r="D10" i="23"/>
  <c r="M32" i="28"/>
  <c r="L33" i="28"/>
  <c r="E33" i="28"/>
  <c r="F32" i="28"/>
  <c r="D5" i="22"/>
  <c r="D6" i="22"/>
  <c r="D12" i="22"/>
  <c r="D4" i="22"/>
  <c r="K4" i="22"/>
  <c r="K9" i="22"/>
  <c r="K10" i="22"/>
  <c r="K13" i="22"/>
  <c r="K15" i="22"/>
  <c r="K6" i="22"/>
  <c r="K8" i="22"/>
  <c r="K14" i="22"/>
  <c r="K16" i="22"/>
  <c r="K17" i="22"/>
  <c r="K11" i="22"/>
  <c r="D9" i="22"/>
  <c r="D10" i="22"/>
  <c r="D7" i="22"/>
  <c r="D8" i="22"/>
  <c r="D13" i="22"/>
  <c r="D11" i="22"/>
  <c r="D17" i="22"/>
  <c r="D14" i="22"/>
  <c r="K8" i="21"/>
  <c r="K5" i="21"/>
  <c r="K17" i="21"/>
  <c r="K4" i="21"/>
  <c r="K6" i="21"/>
  <c r="K7" i="21"/>
  <c r="K9" i="21"/>
  <c r="K11" i="21"/>
  <c r="K10" i="21"/>
  <c r="K12" i="21"/>
  <c r="K13" i="21"/>
  <c r="K14" i="21"/>
  <c r="K15" i="21"/>
  <c r="D11" i="21"/>
  <c r="D4" i="21"/>
  <c r="D8" i="21"/>
  <c r="D5" i="21"/>
  <c r="D9" i="21"/>
  <c r="D7" i="21"/>
  <c r="D6" i="21"/>
  <c r="D10" i="21"/>
  <c r="AL17" i="25"/>
  <c r="AP3" i="25"/>
  <c r="AN3" i="25"/>
  <c r="AN17" i="25" s="1"/>
  <c r="AP3" i="24"/>
  <c r="AL17" i="24"/>
  <c r="AN3" i="24"/>
  <c r="AN17" i="24" s="1"/>
  <c r="D12" i="21"/>
  <c r="D13" i="21"/>
  <c r="D14" i="2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D4" i="23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D17" i="23"/>
  <c r="L22" i="23"/>
  <c r="M22" i="23" s="1"/>
  <c r="D25" i="23"/>
  <c r="K29" i="23"/>
  <c r="D33" i="23"/>
  <c r="K37" i="23"/>
  <c r="D41" i="23"/>
  <c r="D16" i="23"/>
  <c r="L4" i="23"/>
  <c r="M4" i="23" s="1"/>
  <c r="D7" i="23"/>
  <c r="D23" i="23"/>
  <c r="K27" i="23"/>
  <c r="D31" i="23"/>
  <c r="E22" i="22"/>
  <c r="E4" i="22"/>
  <c r="L22" i="22"/>
  <c r="M22" i="22" s="1"/>
  <c r="D16" i="22"/>
  <c r="L4" i="22"/>
  <c r="M4" i="22" s="1"/>
  <c r="D22" i="21"/>
  <c r="D30" i="21"/>
  <c r="D38" i="21"/>
  <c r="E4" i="21"/>
  <c r="F4" i="21" s="1"/>
  <c r="D27" i="21"/>
  <c r="D35" i="21"/>
  <c r="D17" i="21"/>
  <c r="L22" i="21"/>
  <c r="D25" i="21"/>
  <c r="D33" i="21"/>
  <c r="D41" i="21"/>
  <c r="D16" i="21"/>
  <c r="D24" i="21"/>
  <c r="D32" i="21"/>
  <c r="D40" i="21"/>
  <c r="L4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L5" i="23" l="1"/>
  <c r="M5" i="23" s="1"/>
  <c r="K18" i="23"/>
  <c r="F33" i="28"/>
  <c r="E34" i="28"/>
  <c r="M33" i="28"/>
  <c r="L34" i="28"/>
  <c r="K18" i="22"/>
  <c r="D18" i="22"/>
  <c r="K18" i="21"/>
  <c r="D18" i="21"/>
  <c r="AP18" i="25"/>
  <c r="AP24" i="25" s="1"/>
  <c r="K32" i="25" s="1"/>
  <c r="L32" i="25" s="1"/>
  <c r="AP18" i="24"/>
  <c r="AP24" i="24" s="1"/>
  <c r="K32" i="24" s="1"/>
  <c r="L32" i="24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D18" i="23"/>
  <c r="E4" i="23"/>
  <c r="E23" i="23"/>
  <c r="L6" i="23"/>
  <c r="M6" i="23" s="1"/>
  <c r="L12" i="23"/>
  <c r="M12" i="23" s="1"/>
  <c r="G12" i="23" s="1"/>
  <c r="F4" i="22"/>
  <c r="E5" i="22"/>
  <c r="F22" i="22"/>
  <c r="E23" i="22"/>
  <c r="L23" i="22"/>
  <c r="L5" i="22"/>
  <c r="L5" i="21"/>
  <c r="M4" i="21"/>
  <c r="M22" i="21"/>
  <c r="L23" i="21"/>
  <c r="E5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M34" i="28" l="1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L13" i="23"/>
  <c r="L7" i="23"/>
  <c r="F23" i="22"/>
  <c r="E24" i="22"/>
  <c r="F5" i="22"/>
  <c r="E12" i="22"/>
  <c r="E6" i="22"/>
  <c r="M5" i="22"/>
  <c r="L12" i="22"/>
  <c r="L6" i="22"/>
  <c r="M23" i="22"/>
  <c r="L24" i="22"/>
  <c r="M23" i="21"/>
  <c r="L24" i="21"/>
  <c r="E6" i="21"/>
  <c r="F5" i="21"/>
  <c r="E12" i="21"/>
  <c r="E23" i="21"/>
  <c r="M5" i="21"/>
  <c r="L12" i="21"/>
  <c r="L6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F35" i="28" l="1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M13" i="23"/>
  <c r="G13" i="23" s="1"/>
  <c r="L14" i="23"/>
  <c r="M25" i="23"/>
  <c r="L26" i="23"/>
  <c r="M7" i="23"/>
  <c r="L8" i="23"/>
  <c r="F5" i="23"/>
  <c r="E6" i="23"/>
  <c r="E12" i="23"/>
  <c r="E13" i="22"/>
  <c r="F12" i="22"/>
  <c r="M6" i="22"/>
  <c r="L7" i="22"/>
  <c r="M12" i="22"/>
  <c r="G12" i="22" s="1"/>
  <c r="L13" i="22"/>
  <c r="F6" i="22"/>
  <c r="E7" i="22"/>
  <c r="L25" i="22"/>
  <c r="M24" i="22"/>
  <c r="F24" i="22"/>
  <c r="E25" i="22"/>
  <c r="F23" i="21"/>
  <c r="E24" i="21"/>
  <c r="F12" i="21"/>
  <c r="E13" i="21"/>
  <c r="L13" i="21"/>
  <c r="M12" i="21"/>
  <c r="G12" i="21" s="1"/>
  <c r="F6" i="21"/>
  <c r="E7" i="21"/>
  <c r="M24" i="21"/>
  <c r="L25" i="21"/>
  <c r="M6" i="21"/>
  <c r="L7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6" i="28" l="1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G8" i="23" s="1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M13" i="22"/>
  <c r="L14" i="22"/>
  <c r="M7" i="22"/>
  <c r="G7" i="22" s="1"/>
  <c r="L8" i="22"/>
  <c r="F7" i="22"/>
  <c r="E8" i="22"/>
  <c r="F25" i="22"/>
  <c r="E26" i="22"/>
  <c r="M25" i="22"/>
  <c r="L26" i="22"/>
  <c r="F13" i="22"/>
  <c r="E14" i="22"/>
  <c r="F7" i="21"/>
  <c r="E8" i="21"/>
  <c r="M13" i="21"/>
  <c r="G13" i="21" s="1"/>
  <c r="L14" i="21"/>
  <c r="M7" i="21"/>
  <c r="L8" i="21"/>
  <c r="F13" i="21"/>
  <c r="E14" i="21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G17" i="23" l="1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F13" i="23"/>
  <c r="E14" i="23"/>
  <c r="F26" i="22"/>
  <c r="E27" i="22"/>
  <c r="F8" i="22"/>
  <c r="E9" i="22"/>
  <c r="F14" i="22"/>
  <c r="E15" i="22"/>
  <c r="E17" i="22"/>
  <c r="F17" i="22" s="1"/>
  <c r="L9" i="22"/>
  <c r="M8" i="22"/>
  <c r="G8" i="22" s="1"/>
  <c r="M26" i="22"/>
  <c r="L27" i="22"/>
  <c r="M14" i="22"/>
  <c r="G14" i="22" s="1"/>
  <c r="L17" i="22"/>
  <c r="M17" i="22" s="1"/>
  <c r="G17" i="22" s="1"/>
  <c r="L15" i="22"/>
  <c r="F25" i="21"/>
  <c r="E26" i="21"/>
  <c r="M14" i="21"/>
  <c r="G14" i="21" s="1"/>
  <c r="L15" i="21"/>
  <c r="L17" i="21"/>
  <c r="M17" i="21" s="1"/>
  <c r="G17" i="21" s="1"/>
  <c r="F14" i="21"/>
  <c r="E15" i="21"/>
  <c r="E17" i="21"/>
  <c r="F17" i="21" s="1"/>
  <c r="M8" i="21"/>
  <c r="G8" i="21" s="1"/>
  <c r="L9" i="21"/>
  <c r="E9" i="21"/>
  <c r="F8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G5" i="23" l="1"/>
  <c r="G16" i="23"/>
  <c r="G6" i="23"/>
  <c r="M38" i="28"/>
  <c r="L39" i="28"/>
  <c r="F38" i="28"/>
  <c r="E39" i="28"/>
  <c r="G7" i="21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G10" i="23" s="1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M9" i="22"/>
  <c r="L10" i="22"/>
  <c r="M15" i="22"/>
  <c r="L16" i="22"/>
  <c r="M16" i="22" s="1"/>
  <c r="G16" i="22" s="1"/>
  <c r="F15" i="22"/>
  <c r="E16" i="22"/>
  <c r="F16" i="22" s="1"/>
  <c r="L28" i="22"/>
  <c r="M27" i="22"/>
  <c r="F9" i="22"/>
  <c r="E10" i="22"/>
  <c r="F27" i="22"/>
  <c r="E28" i="22"/>
  <c r="M15" i="21"/>
  <c r="L16" i="21"/>
  <c r="M16" i="21" s="1"/>
  <c r="G16" i="21" s="1"/>
  <c r="F9" i="21"/>
  <c r="E10" i="21"/>
  <c r="M9" i="21"/>
  <c r="L10" i="21"/>
  <c r="F26" i="21"/>
  <c r="E27" i="21"/>
  <c r="F15" i="21"/>
  <c r="E16" i="21"/>
  <c r="F16" i="21" s="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5" i="23" l="1"/>
  <c r="F39" i="28"/>
  <c r="E40" i="28"/>
  <c r="M39" i="28"/>
  <c r="L40" i="28"/>
  <c r="G9" i="22"/>
  <c r="G5" i="22"/>
  <c r="G15" i="22"/>
  <c r="G13" i="22"/>
  <c r="G9" i="21"/>
  <c r="G5" i="21"/>
  <c r="G15" i="21"/>
  <c r="G6" i="21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10" i="22"/>
  <c r="E11" i="22"/>
  <c r="F11" i="22" s="1"/>
  <c r="M10" i="22"/>
  <c r="L11" i="22"/>
  <c r="M11" i="22" s="1"/>
  <c r="F27" i="21"/>
  <c r="E28" i="21"/>
  <c r="M10" i="21"/>
  <c r="L11" i="21"/>
  <c r="M11" i="21" s="1"/>
  <c r="G11" i="21" s="1"/>
  <c r="M28" i="21"/>
  <c r="L29" i="21"/>
  <c r="E11" i="21"/>
  <c r="F11" i="21" s="1"/>
  <c r="F10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1" i="22"/>
  <c r="G6" i="22"/>
  <c r="G10" i="22"/>
  <c r="G4" i="22"/>
  <c r="G10" i="21"/>
  <c r="G4" i="2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K5" i="16"/>
  <c r="K6" i="16"/>
  <c r="N6" i="16" s="1"/>
  <c r="K7" i="16"/>
  <c r="K8" i="16"/>
  <c r="N8" i="16" s="1"/>
  <c r="K9" i="16"/>
  <c r="K10" i="16"/>
  <c r="K11" i="16"/>
  <c r="N11" i="16" s="1"/>
  <c r="K12" i="16"/>
  <c r="K13" i="16"/>
  <c r="K14" i="16"/>
  <c r="N14" i="16" s="1"/>
  <c r="K15" i="16"/>
  <c r="N15" i="16" s="1"/>
  <c r="K16" i="16"/>
  <c r="N16" i="16" s="1"/>
  <c r="K3" i="16"/>
  <c r="N3" i="16" s="1"/>
  <c r="N4" i="16"/>
  <c r="N5" i="16"/>
  <c r="N9" i="16"/>
  <c r="N10" i="16"/>
  <c r="N12" i="16"/>
  <c r="N13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K33" i="16"/>
  <c r="L33" i="16" s="1"/>
  <c r="I33" i="16"/>
  <c r="K31" i="16"/>
  <c r="I31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AH17" i="16" s="1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K18" i="16" l="1"/>
  <c r="K24" i="16" s="1"/>
  <c r="AA26" i="16"/>
  <c r="N7" i="16"/>
  <c r="C18" i="16"/>
  <c r="C24" i="16" s="1"/>
  <c r="I18" i="16"/>
  <c r="I24" i="16" s="1"/>
  <c r="I32" i="16" s="1"/>
  <c r="J32" i="16" s="1"/>
  <c r="L31" i="16"/>
  <c r="J31" i="16"/>
  <c r="J33" i="16"/>
  <c r="AA18" i="3"/>
  <c r="X4" i="14" l="1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Q13" i="7" l="1"/>
  <c r="Q17" i="7"/>
  <c r="Z18" i="16"/>
  <c r="Z24" i="16" s="1"/>
  <c r="X18" i="16"/>
  <c r="X24" i="16" s="1"/>
  <c r="J6" i="7"/>
  <c r="AE6" i="7" l="1"/>
  <c r="X6" i="7"/>
  <c r="AB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Q4" i="14"/>
  <c r="Q4" i="16" s="1"/>
  <c r="P4" i="14"/>
  <c r="P4" i="16" s="1"/>
  <c r="T3" i="14"/>
  <c r="T3" i="16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AK12" i="15" s="1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AK8" i="15" s="1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AK3" i="15" s="1"/>
  <c r="K33" i="15"/>
  <c r="I33" i="15"/>
  <c r="K31" i="15"/>
  <c r="I31" i="15"/>
  <c r="J24" i="15"/>
  <c r="G24" i="15"/>
  <c r="F24" i="15"/>
  <c r="E24" i="15"/>
  <c r="D24" i="15"/>
  <c r="AA23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A26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4" i="16" l="1"/>
  <c r="U6" i="16"/>
  <c r="U8" i="16"/>
  <c r="U10" i="16"/>
  <c r="AD10" i="16" s="1"/>
  <c r="U12" i="16"/>
  <c r="AD12" i="16" s="1"/>
  <c r="U14" i="16"/>
  <c r="AD14" i="16" s="1"/>
  <c r="U16" i="16"/>
  <c r="AD16" i="16" s="1"/>
  <c r="U5" i="16"/>
  <c r="AD5" i="16" s="1"/>
  <c r="U7" i="16"/>
  <c r="AD7" i="16" s="1"/>
  <c r="U9" i="16"/>
  <c r="AD9" i="16" s="1"/>
  <c r="U11" i="16"/>
  <c r="AD11" i="16" s="1"/>
  <c r="U13" i="16"/>
  <c r="U15" i="16"/>
  <c r="T18" i="16"/>
  <c r="T24" i="16" s="1"/>
  <c r="U3" i="16"/>
  <c r="AD3" i="16" s="1"/>
  <c r="S18" i="16"/>
  <c r="S24" i="16" s="1"/>
  <c r="Q18" i="16"/>
  <c r="Q24" i="16" s="1"/>
  <c r="AK5" i="16"/>
  <c r="R5" i="16"/>
  <c r="AJ5" i="16"/>
  <c r="AK11" i="16"/>
  <c r="R11" i="16"/>
  <c r="AJ11" i="16"/>
  <c r="AK15" i="16"/>
  <c r="R15" i="16"/>
  <c r="AJ15" i="16"/>
  <c r="AK3" i="14"/>
  <c r="P3" i="16"/>
  <c r="AK9" i="16"/>
  <c r="R9" i="16"/>
  <c r="AJ9" i="16"/>
  <c r="AK13" i="16"/>
  <c r="AJ13" i="16"/>
  <c r="R13" i="16"/>
  <c r="AJ7" i="16"/>
  <c r="R7" i="16"/>
  <c r="AK7" i="16"/>
  <c r="AK4" i="16"/>
  <c r="AJ4" i="16"/>
  <c r="R4" i="16"/>
  <c r="AK6" i="16"/>
  <c r="R6" i="16"/>
  <c r="AJ6" i="16"/>
  <c r="AJ8" i="16"/>
  <c r="AK8" i="16"/>
  <c r="R8" i="16"/>
  <c r="AK10" i="16"/>
  <c r="R10" i="16"/>
  <c r="AJ10" i="16"/>
  <c r="AJ12" i="16"/>
  <c r="R12" i="16"/>
  <c r="AK12" i="16"/>
  <c r="R14" i="16"/>
  <c r="AJ14" i="16"/>
  <c r="AK14" i="16"/>
  <c r="AJ16" i="16"/>
  <c r="AK16" i="16"/>
  <c r="R16" i="16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AD15" i="15" s="1"/>
  <c r="L31" i="15"/>
  <c r="L33" i="15"/>
  <c r="R8" i="15"/>
  <c r="O8" i="15" s="1"/>
  <c r="AJ10" i="15"/>
  <c r="U10" i="15"/>
  <c r="AD10" i="15" s="1"/>
  <c r="U7" i="15"/>
  <c r="AD7" i="15" s="1"/>
  <c r="R10" i="15"/>
  <c r="O10" i="15" s="1"/>
  <c r="R11" i="15"/>
  <c r="O11" i="15" s="1"/>
  <c r="U4" i="15"/>
  <c r="AD4" i="15" s="1"/>
  <c r="AJ6" i="15"/>
  <c r="U5" i="15"/>
  <c r="AD5" i="15" s="1"/>
  <c r="AJ14" i="15"/>
  <c r="Q18" i="15"/>
  <c r="Q24" i="15" s="1"/>
  <c r="U8" i="15"/>
  <c r="AD8" i="15" s="1"/>
  <c r="R9" i="15"/>
  <c r="O9" i="15" s="1"/>
  <c r="AK10" i="15"/>
  <c r="U13" i="15"/>
  <c r="AD13" i="15" s="1"/>
  <c r="R14" i="15"/>
  <c r="R3" i="15"/>
  <c r="R4" i="15"/>
  <c r="O4" i="15" s="1"/>
  <c r="U14" i="15"/>
  <c r="AD14" i="15" s="1"/>
  <c r="R15" i="15"/>
  <c r="S18" i="15"/>
  <c r="S24" i="15" s="1"/>
  <c r="R5" i="15"/>
  <c r="O5" i="15" s="1"/>
  <c r="AK6" i="15"/>
  <c r="U9" i="15"/>
  <c r="AD9" i="15" s="1"/>
  <c r="T18" i="15"/>
  <c r="T24" i="15" s="1"/>
  <c r="X18" i="15"/>
  <c r="X24" i="15" s="1"/>
  <c r="R6" i="15"/>
  <c r="O6" i="15" s="1"/>
  <c r="AJ12" i="15"/>
  <c r="Z18" i="15"/>
  <c r="Z24" i="15" s="1"/>
  <c r="U6" i="15"/>
  <c r="AD6" i="15" s="1"/>
  <c r="R7" i="15"/>
  <c r="O7" i="15" s="1"/>
  <c r="U11" i="15"/>
  <c r="AD11" i="15" s="1"/>
  <c r="R12" i="15"/>
  <c r="O12" i="15" s="1"/>
  <c r="R16" i="15"/>
  <c r="O16" i="15" s="1"/>
  <c r="AK16" i="15"/>
  <c r="AJ8" i="15"/>
  <c r="U12" i="15"/>
  <c r="AD12" i="15" s="1"/>
  <c r="R13" i="15"/>
  <c r="AK14" i="15"/>
  <c r="U16" i="15"/>
  <c r="AD16" i="15" s="1"/>
  <c r="AJ16" i="14"/>
  <c r="AJ4" i="15"/>
  <c r="I5" i="15"/>
  <c r="I18" i="15" s="1"/>
  <c r="I24" i="15" s="1"/>
  <c r="AK4" i="15"/>
  <c r="K18" i="15"/>
  <c r="K24" i="15" s="1"/>
  <c r="AJ10" i="14"/>
  <c r="U3" i="15"/>
  <c r="AD3" i="15" s="1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E17" i="7" l="1"/>
  <c r="AG13" i="15"/>
  <c r="AM13" i="15" s="1"/>
  <c r="O13" i="15"/>
  <c r="AI15" i="15"/>
  <c r="O15" i="15"/>
  <c r="AG14" i="15"/>
  <c r="AM14" i="15" s="1"/>
  <c r="O14" i="15"/>
  <c r="AG3" i="15"/>
  <c r="O3" i="15"/>
  <c r="AG4" i="14"/>
  <c r="AD18" i="15"/>
  <c r="AD24" i="15" s="1"/>
  <c r="Y15" i="16"/>
  <c r="AD15" i="16"/>
  <c r="Y13" i="16"/>
  <c r="AD13" i="16"/>
  <c r="Y8" i="16"/>
  <c r="AD8" i="16"/>
  <c r="Y6" i="16"/>
  <c r="AD6" i="16"/>
  <c r="Y4" i="16"/>
  <c r="AD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AE9" i="16" s="1"/>
  <c r="AL9" i="16" s="1" a="1"/>
  <c r="AL9" i="16" s="1"/>
  <c r="O11" i="16"/>
  <c r="AI11" i="16"/>
  <c r="W11" i="16"/>
  <c r="AE11" i="16" s="1"/>
  <c r="AL11" i="16" s="1" a="1"/>
  <c r="AL11" i="16" s="1"/>
  <c r="AG11" i="16"/>
  <c r="O14" i="16"/>
  <c r="AI14" i="16"/>
  <c r="W14" i="16"/>
  <c r="AE14" i="16" s="1"/>
  <c r="AL14" i="16" s="1" a="1"/>
  <c r="AL14" i="16" s="1"/>
  <c r="AG14" i="16"/>
  <c r="AM14" i="16" s="1"/>
  <c r="AG4" i="16"/>
  <c r="AI4" i="16"/>
  <c r="W4" i="16"/>
  <c r="O4" i="16"/>
  <c r="O7" i="16"/>
  <c r="AG7" i="16"/>
  <c r="AI7" i="16"/>
  <c r="W7" i="16"/>
  <c r="AE7" i="16" s="1"/>
  <c r="AL7" i="16" s="1" a="1"/>
  <c r="AL7" i="16" s="1"/>
  <c r="P18" i="16"/>
  <c r="AK3" i="16"/>
  <c r="AK17" i="16" s="1"/>
  <c r="R3" i="16"/>
  <c r="AJ3" i="16"/>
  <c r="AJ17" i="16" s="1"/>
  <c r="W12" i="16"/>
  <c r="AE12" i="16" s="1"/>
  <c r="AL12" i="16" s="1" a="1"/>
  <c r="AL12" i="16" s="1"/>
  <c r="O12" i="16"/>
  <c r="AG12" i="16"/>
  <c r="AM12" i="16" s="1"/>
  <c r="AI12" i="16"/>
  <c r="AG5" i="16"/>
  <c r="W5" i="16"/>
  <c r="AE5" i="16" s="1"/>
  <c r="AL5" i="16" s="1" a="1"/>
  <c r="AL5" i="16" s="1"/>
  <c r="O5" i="16"/>
  <c r="AI5" i="16"/>
  <c r="AG10" i="16"/>
  <c r="AM10" i="16" s="1"/>
  <c r="W10" i="16"/>
  <c r="AE10" i="16" s="1"/>
  <c r="AL10" i="16" s="1" a="1"/>
  <c r="AL10" i="16" s="1"/>
  <c r="AI10" i="16"/>
  <c r="O10" i="16"/>
  <c r="O16" i="16"/>
  <c r="AI16" i="16"/>
  <c r="AG16" i="16"/>
  <c r="AM16" i="16" s="1"/>
  <c r="W16" i="16"/>
  <c r="AE16" i="16" s="1"/>
  <c r="AL16" i="16" s="1" a="1"/>
  <c r="AL16" i="16" s="1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AA22" i="15" s="1"/>
  <c r="O8" i="13"/>
  <c r="W13" i="14"/>
  <c r="W8" i="13"/>
  <c r="AM3" i="15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Y6" i="7" s="1"/>
  <c r="Z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D7" i="7" l="1"/>
  <c r="AE7" i="7"/>
  <c r="D3" i="7"/>
  <c r="X3" i="7"/>
  <c r="X4" i="7"/>
  <c r="X7" i="7"/>
  <c r="AM9" i="16"/>
  <c r="AM15" i="14"/>
  <c r="AE6" i="16"/>
  <c r="AL6" i="16" s="1" a="1"/>
  <c r="AL6" i="16" s="1"/>
  <c r="AM6" i="16" s="1"/>
  <c r="AD18" i="16"/>
  <c r="AD24" i="16" s="1"/>
  <c r="AE8" i="16"/>
  <c r="AL8" i="16" s="1" a="1"/>
  <c r="AL8" i="16" s="1"/>
  <c r="AN8" i="16" s="1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AE4" i="16"/>
  <c r="AL4" i="16" s="1" a="1"/>
  <c r="AL4" i="16" s="1"/>
  <c r="AM4" i="16" s="1"/>
  <c r="AE13" i="16"/>
  <c r="AL13" i="16" s="1" a="1"/>
  <c r="AL13" i="16" s="1"/>
  <c r="AP13" i="16" s="1"/>
  <c r="AE15" i="16"/>
  <c r="AL15" i="16" s="1" a="1"/>
  <c r="AL15" i="16" s="1"/>
  <c r="AP15" i="16" s="1"/>
  <c r="AM11" i="16"/>
  <c r="AM7" i="16"/>
  <c r="U24" i="16"/>
  <c r="Y18" i="16"/>
  <c r="AM5" i="16"/>
  <c r="AP16" i="16"/>
  <c r="AN16" i="16"/>
  <c r="O3" i="16"/>
  <c r="W3" i="16"/>
  <c r="AI3" i="16"/>
  <c r="AI17" i="16" s="1"/>
  <c r="AG3" i="16"/>
  <c r="R18" i="16"/>
  <c r="R24" i="16" s="1"/>
  <c r="AP11" i="16"/>
  <c r="AN11" i="16"/>
  <c r="AN5" i="16"/>
  <c r="AP5" i="16"/>
  <c r="AP8" i="16"/>
  <c r="P24" i="16"/>
  <c r="AA22" i="16" s="1"/>
  <c r="AP7" i="16"/>
  <c r="AN7" i="16"/>
  <c r="AN9" i="16"/>
  <c r="AP9" i="16"/>
  <c r="AP14" i="16"/>
  <c r="AN14" i="16"/>
  <c r="AP6" i="16"/>
  <c r="AP10" i="16"/>
  <c r="AN10" i="16"/>
  <c r="AP12" i="16"/>
  <c r="AN12" i="16"/>
  <c r="AM11" i="13"/>
  <c r="AM5" i="13"/>
  <c r="AM15" i="12"/>
  <c r="AM11" i="12"/>
  <c r="AE12" i="15"/>
  <c r="AL12" i="15" s="1" a="1"/>
  <c r="AL12" i="15" s="1"/>
  <c r="AP12" i="15" s="1"/>
  <c r="AE4" i="14"/>
  <c r="AL4" i="14" s="1" a="1"/>
  <c r="AL4" i="14" s="1"/>
  <c r="AP4" i="14" s="1"/>
  <c r="AE10" i="12"/>
  <c r="AE5" i="15"/>
  <c r="AL5" i="15" s="1" a="1"/>
  <c r="AL5" i="15" s="1"/>
  <c r="AN5" i="15" s="1"/>
  <c r="AE8" i="14"/>
  <c r="AL8" i="14" s="1" a="1"/>
  <c r="AL8" i="14" s="1"/>
  <c r="AN8" i="14" s="1"/>
  <c r="AE11" i="15"/>
  <c r="AL11" i="15" s="1" a="1"/>
  <c r="AL11" i="15" s="1"/>
  <c r="AP11" i="15" s="1"/>
  <c r="AE6" i="14"/>
  <c r="AL6" i="14" s="1" a="1"/>
  <c r="AL6" i="14" s="1"/>
  <c r="AP6" i="14" s="1"/>
  <c r="AE6" i="15"/>
  <c r="AL6" i="15" s="1" a="1"/>
  <c r="AL6" i="15" s="1"/>
  <c r="AP6" i="15" s="1"/>
  <c r="AE11" i="14"/>
  <c r="AL11" i="14" s="1" a="1"/>
  <c r="AL11" i="14" s="1"/>
  <c r="AE7" i="14"/>
  <c r="AL7" i="14" s="1" a="1"/>
  <c r="AL7" i="14" s="1"/>
  <c r="AE4" i="15"/>
  <c r="AL4" i="15" s="1" a="1"/>
  <c r="AL4" i="15" s="1"/>
  <c r="AP4" i="15" s="1"/>
  <c r="AE12" i="12"/>
  <c r="AE13" i="14"/>
  <c r="AL13" i="14" s="1" a="1"/>
  <c r="AL13" i="14" s="1"/>
  <c r="AP13" i="14" s="1"/>
  <c r="AE8" i="15"/>
  <c r="AL8" i="15" s="1" a="1"/>
  <c r="AL8" i="15" s="1"/>
  <c r="AP8" i="15" s="1"/>
  <c r="AE14" i="15"/>
  <c r="AL14" i="15" s="1" a="1"/>
  <c r="AL14" i="15" s="1"/>
  <c r="AN14" i="15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E4" i="7"/>
  <c r="AA22" i="12"/>
  <c r="F3" i="7"/>
  <c r="AE3" i="7"/>
  <c r="AK17" i="4"/>
  <c r="AE9" i="13"/>
  <c r="AE10" i="15"/>
  <c r="AL10" i="15" s="1" a="1"/>
  <c r="AL10" i="15" s="1"/>
  <c r="AN10" i="15" s="1"/>
  <c r="AE7" i="15"/>
  <c r="AL7" i="15" s="1" a="1"/>
  <c r="AL7" i="15" s="1"/>
  <c r="AN7" i="15" s="1"/>
  <c r="AE15" i="15"/>
  <c r="AL15" i="15" s="1" a="1"/>
  <c r="AL15" i="15" s="1"/>
  <c r="AN15" i="15" s="1"/>
  <c r="AE16" i="15"/>
  <c r="AL16" i="15" s="1" a="1"/>
  <c r="AL16" i="15" s="1"/>
  <c r="AP16" i="15" s="1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AE13" i="15"/>
  <c r="AL13" i="15" s="1" a="1"/>
  <c r="AL13" i="15" s="1"/>
  <c r="AP13" i="15" s="1"/>
  <c r="AE9" i="15"/>
  <c r="AL9" i="15" s="1" a="1"/>
  <c r="AL9" i="15" s="1"/>
  <c r="AP9" i="15" s="1"/>
  <c r="W18" i="15"/>
  <c r="W24" i="15" s="1"/>
  <c r="AE16" i="14"/>
  <c r="AL16" i="14" s="1" a="1"/>
  <c r="AL16" i="14" s="1"/>
  <c r="AP16" i="14" s="1"/>
  <c r="AE7" i="12"/>
  <c r="AE3" i="15"/>
  <c r="AE5" i="14"/>
  <c r="AL5" i="14" s="1" a="1"/>
  <c r="AL5" i="14" s="1"/>
  <c r="AP5" i="14" s="1"/>
  <c r="AG17" i="15"/>
  <c r="AE8" i="12"/>
  <c r="AA25" i="15"/>
  <c r="AK24" i="15" s="1"/>
  <c r="U24" i="15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B7" i="7" s="1"/>
  <c r="AG17" i="14"/>
  <c r="AE3" i="14"/>
  <c r="AP5" i="13"/>
  <c r="AN5" i="13"/>
  <c r="AE4" i="12"/>
  <c r="AI17" i="13"/>
  <c r="AG17" i="12"/>
  <c r="W18" i="12"/>
  <c r="W24" i="12" s="1"/>
  <c r="K3" i="7" s="1"/>
  <c r="Y3" i="7" s="1"/>
  <c r="AI17" i="12"/>
  <c r="AE6" i="12"/>
  <c r="AA18" i="13"/>
  <c r="W18" i="13"/>
  <c r="W24" i="13" s="1"/>
  <c r="K4" i="7" s="1"/>
  <c r="AB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Z3" i="7" l="1"/>
  <c r="Y7" i="7"/>
  <c r="Z7" i="7" s="1"/>
  <c r="AC7" i="7" s="1"/>
  <c r="Y4" i="7"/>
  <c r="Z4" i="7" s="1"/>
  <c r="AC3" i="7"/>
  <c r="AM12" i="15"/>
  <c r="AM10" i="15"/>
  <c r="AM4" i="15"/>
  <c r="AM7" i="15"/>
  <c r="AM15" i="15"/>
  <c r="AM11" i="15"/>
  <c r="AM8" i="15"/>
  <c r="AM13" i="14"/>
  <c r="AM4" i="14"/>
  <c r="AN7" i="14"/>
  <c r="AM7" i="14"/>
  <c r="AN11" i="14"/>
  <c r="AM11" i="14"/>
  <c r="AM6" i="14"/>
  <c r="AM8" i="14"/>
  <c r="AM13" i="16"/>
  <c r="AM9" i="14"/>
  <c r="AM8" i="16"/>
  <c r="AN6" i="16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AN15" i="16"/>
  <c r="AN4" i="16"/>
  <c r="AP4" i="16"/>
  <c r="AN13" i="16"/>
  <c r="AM15" i="16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W18" i="16"/>
  <c r="W24" i="16" s="1"/>
  <c r="AM7" i="13"/>
  <c r="AP8" i="13"/>
  <c r="AM8" i="13"/>
  <c r="AM15" i="13"/>
  <c r="AN4" i="14"/>
  <c r="AM7" i="12"/>
  <c r="AM4" i="12"/>
  <c r="AM8" i="12"/>
  <c r="AM6" i="12"/>
  <c r="AN12" i="15"/>
  <c r="AP8" i="14"/>
  <c r="AP5" i="15"/>
  <c r="AN11" i="15"/>
  <c r="AN6" i="14"/>
  <c r="AP10" i="13"/>
  <c r="AN6" i="15"/>
  <c r="AP10" i="14"/>
  <c r="AP11" i="14"/>
  <c r="AN13" i="14"/>
  <c r="AN12" i="12"/>
  <c r="AP7" i="14"/>
  <c r="AN4" i="15"/>
  <c r="AN8" i="13"/>
  <c r="AP14" i="15"/>
  <c r="AN13" i="12"/>
  <c r="AN8" i="15"/>
  <c r="AA25" i="14"/>
  <c r="AK24" i="14" s="1"/>
  <c r="AI17" i="4"/>
  <c r="AC6" i="7"/>
  <c r="AD6" i="7"/>
  <c r="AA25" i="13"/>
  <c r="AK24" i="13" s="1"/>
  <c r="AA25" i="12"/>
  <c r="AK24" i="12" s="1"/>
  <c r="AB3" i="7"/>
  <c r="AN16" i="4"/>
  <c r="AP10" i="15"/>
  <c r="AP15" i="15"/>
  <c r="AP7" i="15"/>
  <c r="AN16" i="15"/>
  <c r="AN5" i="12"/>
  <c r="AN12" i="14"/>
  <c r="AP9" i="14"/>
  <c r="AN9" i="15"/>
  <c r="AN13" i="15"/>
  <c r="AE18" i="15"/>
  <c r="AE24" i="15" s="1"/>
  <c r="AN5" i="14"/>
  <c r="AN16" i="14"/>
  <c r="AN7" i="12"/>
  <c r="AL3" i="15"/>
  <c r="AL17" i="15" s="1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AE10" i="3"/>
  <c r="Z18" i="3"/>
  <c r="Z24" i="3" s="1"/>
  <c r="L5" i="7" s="1"/>
  <c r="AE14" i="3"/>
  <c r="X18" i="3"/>
  <c r="X24" i="3" s="1"/>
  <c r="M5" i="7" s="1"/>
  <c r="Q18" i="3"/>
  <c r="Q24" i="3" s="1"/>
  <c r="G5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K18" i="3"/>
  <c r="K24" i="3" s="1"/>
  <c r="E13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M13" i="7" l="1"/>
  <c r="M17" i="7"/>
  <c r="G13" i="7"/>
  <c r="G17" i="7"/>
  <c r="L13" i="7"/>
  <c r="L17" i="7"/>
  <c r="I13" i="7"/>
  <c r="I15" i="7" s="1"/>
  <c r="I17" i="7"/>
  <c r="I18" i="7" s="1"/>
  <c r="H13" i="7"/>
  <c r="H17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E18" i="16"/>
  <c r="AL3" i="16"/>
  <c r="AM3" i="16" s="1"/>
  <c r="AM17" i="16" s="1"/>
  <c r="V18" i="13"/>
  <c r="V24" i="13" s="1"/>
  <c r="AM17" i="12"/>
  <c r="AD3" i="7"/>
  <c r="J5" i="7"/>
  <c r="AD4" i="7"/>
  <c r="AC4" i="7"/>
  <c r="AE18" i="4"/>
  <c r="AE24" i="4" s="1"/>
  <c r="AN3" i="15"/>
  <c r="AN17" i="15" s="1"/>
  <c r="AP3" i="15"/>
  <c r="AP18" i="15" s="1"/>
  <c r="AP24" i="15" s="1"/>
  <c r="K32" i="15" s="1"/>
  <c r="L32" i="15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Y5" i="7" l="1"/>
  <c r="M18" i="7"/>
  <c r="J13" i="7"/>
  <c r="J17" i="7"/>
  <c r="X5" i="7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P18" i="16" s="1"/>
  <c r="AP24" i="16" s="1"/>
  <c r="K32" i="16" s="1"/>
  <c r="L32" i="16" s="1"/>
  <c r="AL17" i="16"/>
  <c r="AN3" i="16"/>
  <c r="AN17" i="16" s="1"/>
  <c r="AE5" i="7"/>
  <c r="D5" i="7"/>
  <c r="AA22" i="3"/>
  <c r="F5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K17" i="7" s="1"/>
  <c r="U24" i="3"/>
  <c r="Y18" i="3"/>
  <c r="R18" i="7" l="1"/>
  <c r="W18" i="7"/>
  <c r="T18" i="7"/>
  <c r="V18" i="7"/>
  <c r="S18" i="7"/>
  <c r="Q18" i="7"/>
  <c r="Z5" i="7"/>
  <c r="Y17" i="7"/>
  <c r="Y18" i="7" s="1"/>
  <c r="Y13" i="7"/>
  <c r="K18" i="7"/>
  <c r="L18" i="7"/>
  <c r="Q15" i="7"/>
  <c r="W15" i="7"/>
  <c r="F13" i="7"/>
  <c r="F17" i="7"/>
  <c r="X13" i="7"/>
  <c r="X15" i="7" s="1"/>
  <c r="X17" i="7"/>
  <c r="X18" i="7" s="1"/>
  <c r="D13" i="7"/>
  <c r="D17" i="7"/>
  <c r="K13" i="7"/>
  <c r="K15" i="7" s="1"/>
  <c r="R15" i="7"/>
  <c r="S15" i="7"/>
  <c r="T15" i="7"/>
  <c r="U15" i="7"/>
  <c r="V15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13" i="7"/>
  <c r="M15" i="7"/>
  <c r="L15" i="7"/>
  <c r="AB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Z13" i="7" l="1"/>
  <c r="AB15" i="7" s="1"/>
  <c r="Z17" i="7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5" i="7"/>
  <c r="AC5" i="7"/>
  <c r="AA3" i="7"/>
  <c r="AB13" i="7"/>
  <c r="V18" i="3"/>
  <c r="V24" i="3" s="1"/>
  <c r="AL17" i="3"/>
  <c r="AP3" i="3"/>
  <c r="AP18" i="3" s="1"/>
  <c r="AN3" i="3"/>
  <c r="AN17" i="3" s="1"/>
  <c r="AM3" i="3"/>
  <c r="AM17" i="3" s="1"/>
  <c r="AE25" i="16" l="1"/>
  <c r="Z18" i="7"/>
  <c r="AA13" i="7"/>
  <c r="AA17" i="7"/>
  <c r="AA18" i="7" s="1"/>
  <c r="Z15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13" i="7"/>
  <c r="AC13" i="7"/>
  <c r="AP24" i="3"/>
  <c r="K32" i="3" s="1"/>
  <c r="L32" i="3" s="1"/>
  <c r="F6" i="20" l="1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15" i="20" l="1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8" i="20" l="1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9" i="20" l="1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F10" i="20" l="1"/>
  <c r="E11" i="20"/>
  <c r="F11" i="20" s="1"/>
  <c r="F14" i="19"/>
  <c r="E17" i="19"/>
  <c r="F17" i="19" s="1"/>
  <c r="E15" i="19"/>
  <c r="F8" i="19"/>
  <c r="E9" i="19"/>
  <c r="F10" i="18"/>
  <c r="E11" i="18"/>
  <c r="F11" i="18" s="1"/>
  <c r="F9" i="19" l="1"/>
  <c r="E10" i="19"/>
  <c r="F15" i="19"/>
  <c r="E16" i="19"/>
  <c r="F16" i="19" s="1"/>
  <c r="F10" i="19" l="1"/>
  <c r="E11" i="19"/>
  <c r="F11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<sst xmlns="http://schemas.openxmlformats.org/spreadsheetml/2006/main" count="56813" uniqueCount="1742">
  <si>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</si>
  <si>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</si>
  <si>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</si>
  <si>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</si>
  <si>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</si>
  <si>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</si>
  <si>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</si>
  <si>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</si>
  <si>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</si>
  <si>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</si>
  <si>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</si>
  <si>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</si>
  <si>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</si>
  <si>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</si>
  <si>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</si>
  <si>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</si>
  <si>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</si>
  <si>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</si>
  <si>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</si>
  <si>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</si>
  <si>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</si>
  <si>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</si>
  <si>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</si>
  <si>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</si>
  <si>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</si>
  <si>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</si>
  <si>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</si>
  <si>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</si>
  <si>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</si>
  <si>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</si>
  <si>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</si>
  <si>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</si>
  <si>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</si>
  <si>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</si>
  <si>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</si>
  <si>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</si>
  <si>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</si>
  <si>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</si>
  <si>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</si>
  <si>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</si>
  <si>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</si>
  <si>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</si>
  <si>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</si>
  <si>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</si>
  <si>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</si>
  <si>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</si>
  <si>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</si>
  <si>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</si>
  <si>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</si>
  <si>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</si>
  <si>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</si>
  <si>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</si>
  <si>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</si>
  <si>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</si>
  <si>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</si>
  <si>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</si>
  <si>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</si>
  <si>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</si>
  <si>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</si>
  <si>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</si>
  <si>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</si>
  <si>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</si>
  <si>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</si>
  <si>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</si>
  <si>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</si>
  <si>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</si>
  <si>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</si>
  <si>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</si>
  <si>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</si>
  <si>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</si>
  <si>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</si>
  <si>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</si>
  <si>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</si>
  <si>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</si>
  <si>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</si>
  <si>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</si>
  <si>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</si>
  <si>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</si>
  <si>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</si>
  <si>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</si>
  <si>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</si>
  <si>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</si>
  <si>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</si>
  <si>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</si>
  <si>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</si>
  <si>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</si>
  <si>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</si>
  <si>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</si>
  <si>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</si>
  <si>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</si>
  <si>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</si>
  <si>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</si>
  <si>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</si>
  <si>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</si>
  <si>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</si>
  <si>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</si>
  <si>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</si>
  <si>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</si>
  <si>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</si>
  <si>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</si>
  <si>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</si>
  <si>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</si>
  <si>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</si>
  <si>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</si>
  <si>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</si>
  <si>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</si>
  <si>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</si>
  <si>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</si>
  <si>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</si>
  <si>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</si>
  <si>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</si>
  <si>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</si>
  <si>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</si>
  <si>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</si>
  <si>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</si>
  <si>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</si>
  <si>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</si>
  <si>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</si>
  <si>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</si>
  <si>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</si>
  <si>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</si>
  <si>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</si>
  <si>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</si>
  <si>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</si>
  <si>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</si>
  <si>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</si>
  <si>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</si>
  <si>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</si>
  <si>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</si>
  <si>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</si>
  <si>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</si>
  <si>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</si>
  <si>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</si>
  <si>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</si>
  <si>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</si>
  <si>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</si>
  <si>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</si>
  <si>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</si>
  <si>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</si>
  <si>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</si>
  <si>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</si>
  <si>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</si>
  <si>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</si>
  <si>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</si>
  <si>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</si>
  <si>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</si>
  <si>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</si>
  <si>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</si>
  <si>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</si>
  <si>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</si>
  <si>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</si>
  <si>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</si>
  <si>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</si>
  <si>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</si>
  <si>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</si>
  <si>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</si>
  <si>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</si>
  <si>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</si>
  <si>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</si>
  <si>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</si>
  <si>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</si>
  <si>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</si>
  <si>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</si>
  <si>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</si>
  <si>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</si>
  <si>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</si>
  <si>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</si>
  <si>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</si>
  <si>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</si>
  <si>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</si>
  <si>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</si>
  <si>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</si>
  <si>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</si>
  <si>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</si>
  <si>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</si>
  <si>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</si>
  <si>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</si>
  <si>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</si>
  <si>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</si>
  <si>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</si>
  <si>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</si>
  <si>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</si>
  <si>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</si>
  <si>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</si>
  <si>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</si>
  <si>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</si>
  <si>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</si>
  <si>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</si>
  <si>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</si>
  <si>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</si>
  <si>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</si>
  <si>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</si>
  <si>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</si>
  <si>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</si>
  <si>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</si>
  <si>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</si>
  <si>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</si>
  <si>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</si>
  <si>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</si>
  <si>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</si>
  <si>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</si>
  <si>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</si>
  <si>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</si>
  <si>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</si>
  <si>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</si>
  <si>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</si>
  <si>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</si>
  <si>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</si>
  <si>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</si>
  <si>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</si>
  <si>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</si>
  <si>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</si>
  <si>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</si>
  <si>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</si>
  <si>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</si>
  <si>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</si>
  <si>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</si>
  <si>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</si>
  <si>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</si>
  <si>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</si>
  <si>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</si>
  <si>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</si>
  <si>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</si>
  <si>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</si>
  <si>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</si>
  <si>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</si>
  <si>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</si>
  <si>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</si>
  <si>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</si>
  <si>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</si>
  <si>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</si>
  <si>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</si>
  <si>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</si>
  <si>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</si>
  <si>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</si>
  <si>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</si>
  <si>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</si>
  <si>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</si>
  <si>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</si>
  <si>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</si>
  <si>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</si>
  <si>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</si>
  <si>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</si>
  <si>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</si>
  <si>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</si>
  <si>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</si>
  <si>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</si>
  <si>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</si>
  <si>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</si>
  <si>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</si>
  <si>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</si>
  <si>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</si>
  <si>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</si>
  <si>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</si>
  <si>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</si>
  <si>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</si>
  <si>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</si>
  <si>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</si>
  <si>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</si>
  <si>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</si>
  <si>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</si>
  <si>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</si>
  <si>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</si>
  <si>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</si>
  <si>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</si>
  <si>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</si>
  <si>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</si>
  <si>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</si>
  <si>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</si>
  <si>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</si>
  <si>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</si>
  <si>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</si>
  <si>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</si>
  <si>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</si>
  <si>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</si>
  <si>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</si>
  <si>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</si>
  <si>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</si>
  <si>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</si>
  <si>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</si>
  <si>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</si>
  <si>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</si>
  <si>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</si>
  <si>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</si>
  <si>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</si>
  <si>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</si>
  <si>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</si>
  <si>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</si>
  <si>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</si>
  <si>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</si>
  <si>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</si>
  <si>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</si>
  <si>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</si>
  <si>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</si>
  <si>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</si>
  <si>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</si>
  <si>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</si>
  <si>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</si>
  <si>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</si>
  <si>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</si>
  <si>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</si>
  <si>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</si>
  <si>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</si>
  <si>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</si>
  <si>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</si>
  <si>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</si>
  <si>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</si>
  <si>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</si>
  <si>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</si>
  <si>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</si>
  <si>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</si>
  <si>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</si>
  <si>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</si>
  <si>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</si>
  <si>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</si>
  <si>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</si>
  <si>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</si>
  <si>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</si>
  <si>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</si>
  <si>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</si>
  <si>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</si>
  <si>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</si>
  <si>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</si>
  <si>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</si>
  <si>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</si>
  <si>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</si>
  <si>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</si>
  <si>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</si>
  <si>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</si>
  <si>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</si>
  <si>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</si>
  <si>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</si>
  <si>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</si>
  <si>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</si>
  <si>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</si>
  <si>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</si>
  <si>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</si>
  <si>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</si>
  <si>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</si>
  <si>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</si>
  <si>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</si>
  <si>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</si>
  <si>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</si>
  <si>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</si>
  <si>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</si>
  <si>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</si>
  <si>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</si>
  <si>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</si>
  <si>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</si>
  <si>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</si>
  <si>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</si>
  <si>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</si>
  <si>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</si>
  <si>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</si>
  <si>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</si>
  <si>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</si>
  <si>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</si>
  <si>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</si>
  <si>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</si>
  <si>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</si>
  <si>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</si>
  <si>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</si>
  <si>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</si>
  <si>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</si>
  <si>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</si>
  <si>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</si>
  <si>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</si>
  <si>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</si>
  <si>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</si>
  <si>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</si>
  <si>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</si>
  <si>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</si>
  <si>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</si>
  <si>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</si>
  <si>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</si>
  <si>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</si>
  <si>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</si>
  <si>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</si>
  <si>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</si>
  <si>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</si>
  <si>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</si>
  <si>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</si>
  <si>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</si>
  <si>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</si>
  <si>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</si>
  <si>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</si>
  <si>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</si>
  <si>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</si>
  <si>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</si>
  <si>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</si>
  <si>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</si>
  <si>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</si>
  <si>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</si>
  <si>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</si>
  <si>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</si>
  <si>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</si>
  <si>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</si>
  <si>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</si>
  <si>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</si>
  <si>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</si>
  <si>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</si>
  <si>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</si>
  <si>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</si>
  <si>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</si>
  <si>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</si>
  <si>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</si>
  <si>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</si>
  <si>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</si>
  <si>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</si>
  <si>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</si>
  <si>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</si>
  <si>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</si>
  <si>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</si>
  <si>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</si>
  <si>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</si>
  <si>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</si>
  <si>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</si>
  <si>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</si>
  <si>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</si>
  <si>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</si>
  <si>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</si>
  <si>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</si>
  <si>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</si>
  <si>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</si>
  <si>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</si>
  <si>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</si>
  <si>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</si>
  <si>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</si>
  <si>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</si>
  <si>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</si>
  <si>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</si>
  <si>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</si>
  <si>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</si>
  <si>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</si>
  <si>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</si>
  <si>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</si>
  <si>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</si>
  <si>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</si>
  <si>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</si>
  <si>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</si>
  <si>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</si>
  <si>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</si>
  <si>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</si>
  <si>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</si>
  <si>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</si>
  <si>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</si>
  <si>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</si>
  <si>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</si>
  <si>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</si>
  <si>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</si>
  <si>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</si>
  <si>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</si>
  <si>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</si>
  <si>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</si>
  <si>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</si>
  <si>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</si>
  <si>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</si>
  <si>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</si>
  <si>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</si>
  <si>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</si>
  <si>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</si>
  <si>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</si>
  <si>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</si>
  <si>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</si>
  <si>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</si>
  <si>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</si>
  <si>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</si>
  <si>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</si>
  <si>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</si>
  <si>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</si>
  <si>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</si>
  <si>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</si>
  <si>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</si>
  <si>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</si>
  <si>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</si>
  <si>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</si>
  <si>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</si>
  <si>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</si>
  <si>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</si>
  <si>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</si>
  <si>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</si>
  <si>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</si>
  <si>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</si>
  <si>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</si>
  <si>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</si>
  <si>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</si>
  <si>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</si>
  <si>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</si>
  <si>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</si>
  <si>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</si>
  <si>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</si>
  <si>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</si>
  <si>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</si>
  <si>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</si>
  <si>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</si>
  <si>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</si>
  <si>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</si>
  <si>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</si>
  <si>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</si>
  <si>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</si>
  <si>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</si>
  <si>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</si>
  <si>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</si>
  <si>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</si>
  <si>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</si>
  <si>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</si>
  <si>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</si>
  <si>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</si>
  <si>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</si>
  <si>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</si>
  <si>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</si>
  <si>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</si>
  <si>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</si>
  <si>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</si>
  <si>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</si>
  <si>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</si>
  <si>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</si>
  <si>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</si>
  <si>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</si>
  <si>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</si>
  <si>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</si>
  <si>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</si>
  <si>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</si>
  <si>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</si>
  <si>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</si>
  <si>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</si>
  <si>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</si>
  <si>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</si>
  <si>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</si>
  <si>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</si>
  <si>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</si>
  <si>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</si>
  <si>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</si>
  <si>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</si>
  <si>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</si>
  <si>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</si>
  <si>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</si>
  <si>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</si>
  <si>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</si>
  <si>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</si>
  <si>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</si>
  <si>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</si>
  <si>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</si>
  <si>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</si>
  <si>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</si>
  <si>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</si>
  <si>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</si>
  <si>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</si>
  <si>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</si>
  <si>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</si>
  <si>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</si>
  <si>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</si>
  <si>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</si>
  <si>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</si>
  <si>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</si>
  <si>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</si>
  <si>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</si>
  <si>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</si>
  <si>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</si>
  <si>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</si>
  <si>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</si>
  <si>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</si>
  <si>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</si>
  <si>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</si>
  <si>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</si>
  <si>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</si>
  <si>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</si>
  <si>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</si>
  <si>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</si>
  <si>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</si>
  <si>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</si>
  <si>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</si>
  <si>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</si>
  <si>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</si>
  <si>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</si>
  <si>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</si>
  <si>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</si>
  <si>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</si>
  <si>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</si>
  <si>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</si>
  <si>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</si>
  <si>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</si>
  <si>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</si>
  <si>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</si>
  <si>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</si>
  <si>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</si>
  <si>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</si>
  <si>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</si>
  <si>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</si>
  <si>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</si>
  <si>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</si>
  <si>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</si>
  <si>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</si>
  <si>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</si>
  <si>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</si>
  <si>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</si>
  <si>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</si>
  <si>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</si>
  <si>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</si>
  <si>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</si>
  <si>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</si>
  <si>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</si>
  <si>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</si>
  <si>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</si>
  <si>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</si>
  <si>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</si>
  <si>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</si>
  <si>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</si>
  <si>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</si>
  <si>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</si>
  <si>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</si>
  <si>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</si>
  <si>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</si>
  <si>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</si>
  <si>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</si>
  <si>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</si>
  <si>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</si>
  <si>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</si>
  <si>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</si>
  <si>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</si>
  <si>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</si>
  <si>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</si>
  <si>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</si>
  <si>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</si>
  <si>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</si>
  <si>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</si>
  <si>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</si>
  <si>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</si>
  <si>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</si>
  <si>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</si>
  <si>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</si>
  <si>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</si>
  <si>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</si>
  <si>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</si>
  <si>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</si>
  <si>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</si>
  <si>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</si>
  <si>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</si>
  <si>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</si>
  <si>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</si>
  <si>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</si>
  <si>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</si>
  <si>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</si>
  <si>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</si>
  <si>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</si>
  <si>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</si>
  <si>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</si>
  <si>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</si>
  <si>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</si>
  <si>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</si>
  <si>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</si>
  <si>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</si>
  <si>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</si>
  <si>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</si>
  <si>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</si>
  <si>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</si>
  <si>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</si>
  <si>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</si>
  <si>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</si>
  <si>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</si>
  <si>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</si>
  <si>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</si>
  <si>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</si>
  <si>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</si>
  <si>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</si>
  <si>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</si>
  <si>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</si>
  <si>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</si>
  <si>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</si>
  <si>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</si>
  <si>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</si>
  <si>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</si>
  <si>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</si>
  <si>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</si>
  <si>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</si>
  <si>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</si>
  <si>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</si>
  <si>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</si>
  <si>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</si>
  <si>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</si>
  <si>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</si>
  <si>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</si>
  <si>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</si>
  <si>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</si>
  <si>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</si>
  <si>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</si>
  <si>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</si>
  <si>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</si>
  <si>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</si>
  <si>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</si>
  <si>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</si>
  <si>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</si>
  <si>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</si>
  <si>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</si>
  <si>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</si>
  <si>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</si>
  <si>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</si>
  <si>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</si>
  <si>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</si>
  <si>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</si>
  <si>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</si>
  <si>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</si>
  <si>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</si>
  <si>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</si>
  <si>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</si>
  <si>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</si>
  <si>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</si>
  <si>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</si>
  <si>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</si>
  <si>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</si>
  <si>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</si>
  <si>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</si>
  <si>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</si>
  <si>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</si>
  <si>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</si>
  <si>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</si>
  <si>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</si>
  <si>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</si>
  <si>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</si>
  <si>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</si>
  <si>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</si>
  <si>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</si>
  <si>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</si>
  <si>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</si>
  <si>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</si>
  <si>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</si>
  <si>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</si>
  <si>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</si>
  <si>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</si>
  <si>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</si>
  <si>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</si>
  <si>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</si>
  <si>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</si>
  <si>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</si>
  <si>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</si>
  <si>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</si>
  <si>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</si>
  <si>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</si>
  <si>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</si>
  <si>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</si>
  <si>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</si>
  <si>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</si>
  <si>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</si>
  <si>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</si>
  <si>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</si>
  <si>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</si>
  <si>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</si>
  <si>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</si>
  <si>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</si>
  <si>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</si>
  <si>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</si>
  <si>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</si>
  <si>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</si>
  <si>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</si>
  <si>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</si>
  <si>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</si>
  <si>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</si>
  <si>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</si>
  <si>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</si>
  <si>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</si>
  <si>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</si>
  <si>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</si>
  <si>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</si>
  <si>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</si>
  <si>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</si>
  <si>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</si>
  <si>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</si>
  <si>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</si>
  <si>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</si>
  <si>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</si>
  <si>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</si>
  <si>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</si>
  <si>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</si>
  <si>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</si>
  <si>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</si>
  <si>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</si>
  <si>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</si>
  <si>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</si>
  <si>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</si>
  <si>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</si>
  <si>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</si>
  <si>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</si>
  <si>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</si>
  <si>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</si>
  <si>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</si>
  <si>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</si>
  <si>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</si>
  <si>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</si>
  <si>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</si>
  <si>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</si>
  <si>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</si>
  <si>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</si>
  <si>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</si>
  <si>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</si>
  <si>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</si>
  <si>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</si>
  <si>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</si>
  <si>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</si>
  <si>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</si>
  <si>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</si>
  <si>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</si>
  <si>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</si>
  <si>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</si>
  <si>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</si>
  <si>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</si>
  <si>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</si>
  <si>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</si>
  <si>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</si>
  <si>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</si>
  <si>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</si>
  <si>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</si>
  <si>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</si>
  <si>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</si>
  <si>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</si>
  <si>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</si>
  <si>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</si>
  <si>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</si>
  <si>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</si>
  <si>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</si>
  <si>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</si>
  <si>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</si>
  <si>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</si>
  <si>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</si>
  <si>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</si>
  <si>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</si>
  <si>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</si>
  <si>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</si>
  <si>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</si>
  <si>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</si>
  <si>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</si>
  <si>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</si>
  <si>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</si>
  <si>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</si>
  <si>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</si>
  <si>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</si>
  <si>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</si>
  <si>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</si>
  <si>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</si>
  <si>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</si>
  <si>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</si>
  <si>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</si>
  <si>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</si>
  <si>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</si>
  <si>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</si>
  <si>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</si>
  <si>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</si>
  <si>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</si>
  <si>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</si>
  <si>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</si>
  <si>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</si>
  <si>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</si>
  <si>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</si>
  <si>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</si>
  <si>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</si>
  <si>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</si>
  <si>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</si>
  <si>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</si>
  <si>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</si>
  <si>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</si>
  <si>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</si>
  <si>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</si>
  <si>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</si>
  <si>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</si>
  <si>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</si>
  <si>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</si>
  <si>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</si>
  <si>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</si>
  <si>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</si>
  <si>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</si>
  <si>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</si>
  <si>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</si>
  <si>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</si>
  <si>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</si>
  <si>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</si>
  <si>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</si>
  <si>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</si>
  <si>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</si>
  <si>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</si>
  <si>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</si>
  <si>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</si>
  <si>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</si>
  <si>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</si>
  <si>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</si>
  <si>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</si>
  <si>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</si>
  <si>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</si>
  <si>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</si>
  <si>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</si>
  <si>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</si>
  <si>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</si>
  <si>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</si>
  <si>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</si>
  <si>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</si>
  <si>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</si>
  <si>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</si>
  <si>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</si>
  <si>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</si>
  <si>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</si>
  <si>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</si>
  <si>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</si>
  <si>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</si>
  <si>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</si>
  <si>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</si>
  <si>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</si>
  <si>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</si>
  <si>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</si>
  <si>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</si>
  <si>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</si>
  <si>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</si>
  <si>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</si>
  <si>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</si>
  <si>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</si>
  <si>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</si>
  <si>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</si>
  <si>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</si>
  <si>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</si>
  <si>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</si>
  <si>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</si>
  <si>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</si>
  <si>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</si>
  <si>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</si>
  <si>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</si>
  <si>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</si>
  <si>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</si>
  <si>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</si>
  <si>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</si>
  <si>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</si>
  <si>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</si>
  <si>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</si>
  <si>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</si>
  <si>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</si>
  <si>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</si>
  <si>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</si>
  <si>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</si>
  <si>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</si>
  <si>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</si>
  <si>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</si>
  <si>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</si>
  <si>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</si>
  <si>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</si>
  <si>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</si>
  <si>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</si>
  <si>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</si>
  <si>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</si>
  <si>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</si>
  <si>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</si>
  <si>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</si>
  <si>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</si>
  <si>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</si>
  <si>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</si>
  <si>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</si>
  <si>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</si>
  <si>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</si>
  <si>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</si>
  <si>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</si>
  <si>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</si>
  <si>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</si>
  <si>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</si>
  <si>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</si>
  <si>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</si>
  <si>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</si>
  <si>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</si>
  <si>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</si>
  <si>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</si>
  <si>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</si>
  <si>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</si>
  <si>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</si>
  <si>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</si>
  <si>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</si>
  <si>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</si>
  <si>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</si>
  <si>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</si>
  <si>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</si>
  <si>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</si>
  <si>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</si>
  <si>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</si>
  <si>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</si>
  <si>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</si>
  <si>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</si>
  <si>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</si>
  <si>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</si>
  <si>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</si>
  <si>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</si>
  <si>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</si>
  <si>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</si>
  <si>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</si>
  <si>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</si>
  <si>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</si>
  <si>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</si>
  <si>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</si>
  <si>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</si>
  <si>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</si>
  <si>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</si>
  <si>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</si>
  <si>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</si>
  <si>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</si>
  <si>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</si>
  <si>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</si>
  <si>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</si>
  <si>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</si>
  <si>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</si>
  <si>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</si>
  <si>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</si>
  <si>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</si>
  <si>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</si>
  <si>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</si>
  <si>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</si>
  <si>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</si>
  <si>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</si>
  <si>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</si>
  <si>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</si>
  <si>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</si>
  <si>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</si>
  <si>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</si>
  <si>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</si>
  <si>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</si>
  <si>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</si>
  <si>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</si>
  <si>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</si>
  <si>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</si>
  <si>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</si>
  <si>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</si>
  <si>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</si>
  <si>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</si>
  <si>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</si>
  <si>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</si>
  <si>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</si>
  <si>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</si>
  <si>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</si>
  <si>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</si>
  <si>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</si>
  <si>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</si>
  <si>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</si>
  <si>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</si>
  <si>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</si>
  <si>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</si>
  <si>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</si>
  <si>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</si>
  <si>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</si>
  <si>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</si>
  <si>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</si>
  <si>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</si>
  <si>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</si>
  <si>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</si>
  <si>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</si>
  <si>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</si>
  <si>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</si>
  <si>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</si>
  <si>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</si>
  <si>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</si>
  <si>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</si>
  <si>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</si>
  <si>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</si>
  <si>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</si>
  <si>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</si>
  <si>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</si>
  <si>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</si>
  <si>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</si>
  <si>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</si>
  <si>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</si>
  <si>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</si>
  <si>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</si>
  <si>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</si>
  <si>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</si>
  <si>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</si>
  <si>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</si>
  <si>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</si>
  <si>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</si>
  <si>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</si>
  <si>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</si>
  <si>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</si>
  <si>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</si>
  <si>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</si>
  <si>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</si>
  <si>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</si>
  <si>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</si>
  <si>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</si>
  <si>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</si>
  <si>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</si>
  <si>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</si>
  <si>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</si>
  <si>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</si>
  <si>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</si>
  <si>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</si>
  <si>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</si>
  <si>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</si>
  <si>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</si>
  <si>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</si>
  <si>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</si>
  <si>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</si>
  <si>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</si>
  <si>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</si>
  <si>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</si>
  <si>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</si>
  <si>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</si>
  <si>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</si>
  <si>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</si>
  <si>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</si>
  <si>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</si>
  <si>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</si>
  <si>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</si>
  <si>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</si>
  <si>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</si>
  <si>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</si>
  <si>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</si>
  <si>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</si>
  <si>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</si>
  <si>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</si>
  <si>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</si>
  <si>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</si>
  <si>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</si>
  <si>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</si>
  <si>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</si>
  <si>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</si>
  <si>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</si>
  <si>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</si>
  <si>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</si>
  <si>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</si>
  <si>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</si>
  <si>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</si>
  <si>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</si>
  <si>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</si>
  <si>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</si>
  <si>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</si>
  <si>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</si>
  <si>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</si>
  <si>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</si>
  <si>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</si>
  <si>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</si>
  <si>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</si>
  <si>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</si>
  <si>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</si>
  <si>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</si>
  <si>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</si>
  <si>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</si>
  <si>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</si>
  <si>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</si>
  <si>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</si>
  <si>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</si>
  <si>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</si>
  <si>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</si>
  <si>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</si>
  <si>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</si>
  <si>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</si>
  <si>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</si>
  <si>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</si>
  <si>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</si>
  <si>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</si>
  <si>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</si>
  <si>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</si>
  <si>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</si>
  <si>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</si>
  <si>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</si>
  <si>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</si>
  <si>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</si>
  <si>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</si>
  <si>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</si>
  <si>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</si>
  <si>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</si>
  <si>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</si>
  <si>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</si>
  <si>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</si>
  <si>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</si>
  <si>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</si>
  <si>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</si>
  <si>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</si>
  <si>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</si>
  <si>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</si>
  <si>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</si>
  <si>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</si>
  <si>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</si>
  <si>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</si>
  <si>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</si>
  <si>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</si>
  <si>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</si>
  <si>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</si>
  <si>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</si>
  <si>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</si>
  <si>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</si>
  <si>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</si>
  <si>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</si>
  <si>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</si>
  <si>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</si>
  <si>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</si>
  <si>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</si>
  <si>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</si>
  <si>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</si>
  <si>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</si>
  <si>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</si>
  <si>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</si>
  <si>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</si>
  <si>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</si>
  <si>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</si>
  <si>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</si>
  <si>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</si>
  <si>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</si>
  <si>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</si>
  <si>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</si>
  <si>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</si>
  <si>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</si>
  <si>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</si>
  <si>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</si>
  <si>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</si>
  <si>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</si>
  <si>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</si>
  <si>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</si>
  <si>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</si>
  <si>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</si>
  <si>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</si>
  <si>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</si>
  <si>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</si>
  <si>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</si>
  <si>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</si>
  <si>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</si>
  <si>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</si>
  <si>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</si>
  <si>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</si>
  <si>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</si>
  <si>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</si>
  <si>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</si>
  <si>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</si>
  <si>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</si>
  <si>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</si>
  <si>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</si>
  <si>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</si>
  <si>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</si>
  <si>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</si>
  <si>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</si>
  <si>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</si>
  <si>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</si>
  <si>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</si>
  <si>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</si>
  <si>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</si>
  <si>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</si>
  <si>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</si>
  <si>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</si>
  <si>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</si>
  <si>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</si>
  <si>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</si>
  <si>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</si>
  <si>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</si>
  <si>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</si>
  <si>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</si>
  <si>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</si>
  <si>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</si>
  <si>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</si>
  <si>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</si>
  <si>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</si>
  <si>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</si>
  <si>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</si>
  <si>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</si>
  <si>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</si>
  <si>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</si>
  <si>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</si>
  <si>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</si>
  <si>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</si>
  <si>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</si>
  <si>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</si>
  <si>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</si>
  <si>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</si>
  <si>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</si>
  <si>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</si>
  <si>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</si>
  <si>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</si>
  <si>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</si>
  <si>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</si>
  <si>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</si>
  <si>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</si>
  <si>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</si>
  <si>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</si>
  <si>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</si>
  <si>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</si>
  <si>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</si>
  <si>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</si>
  <si>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</si>
  <si>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</si>
  <si>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</si>
  <si>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</si>
  <si>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</si>
  <si>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</si>
  <si>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</si>
  <si>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</si>
  <si>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</si>
  <si>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</si>
  <si>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</si>
  <si>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</si>
  <si>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</si>
  <si>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</si>
  <si>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</si>
  <si>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</si>
  <si>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</si>
  <si>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</si>
  <si>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</si>
  <si>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</si>
  <si>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</si>
  <si>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</si>
  <si>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</si>
  <si>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</si>
  <si>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</si>
  <si>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</si>
  <si>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</si>
  <si>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</si>
  <si>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</si>
  <si>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</si>
  <si>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</si>
  <si>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</si>
  <si>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</si>
  <si>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</si>
  <si>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</si>
  <si>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</si>
  <si>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</si>
  <si>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</si>
  <si>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</si>
  <si>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</si>
  <si>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</si>
  <si>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</si>
  <si>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</si>
  <si>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</si>
  <si>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</si>
  <si>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</si>
  <si>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</si>
  <si>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</si>
  <si>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</si>
  <si>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</si>
  <si>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</si>
  <si>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</si>
  <si>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</si>
  <si>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</si>
  <si>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</si>
  <si>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</si>
  <si>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</si>
  <si>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</si>
  <si>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</si>
  <si>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</si>
  <si>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</si>
  <si>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</si>
  <si>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</si>
  <si>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</si>
  <si>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</si>
  <si>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</si>
  <si>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</si>
  <si>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</si>
  <si>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</si>
  <si>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</si>
  <si>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</si>
  <si>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</si>
  <si>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</si>
  <si>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</si>
  <si>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</si>
  <si>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</si>
  <si>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</si>
  <si>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</si>
  <si>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</si>
  <si>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</si>
  <si>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</si>
  <si>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Период: 01.02.2026-01.02.2026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</si>
  <si>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</si>
  <si>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</si>
  <si>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</si>
  <si>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</si>
  <si>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</si>
  <si>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</si>
  <si>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</si>
  <si>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</si>
  <si>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</si>
  <si>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</si>
  <si>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</si>
  <si>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</si>
  <si>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</si>
  <si>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</si>
  <si>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</si>
  <si>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</si>
  <si>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</si>
  <si>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</si>
  <si>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</si>
  <si>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</si>
  <si>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</si>
  <si>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</si>
  <si>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</si>
  <si>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</si>
  <si>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</si>
  <si>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</si>
  <si>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</si>
  <si>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</si>
  <si>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</si>
  <si>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</si>
  <si>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</si>
  <si>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</si>
  <si>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</si>
  <si>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</si>
  <si>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</si>
  <si>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</si>
  <si>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</si>
  <si>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</si>
  <si>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</si>
  <si>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</si>
  <si>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</si>
  <si>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</si>
  <si>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</si>
  <si>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</si>
  <si>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</si>
  <si>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Период: 02.02.2026-08.02.2026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</si>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</sst>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04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4" fontId="36" fillId="4" borderId="28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8" xfId="6" applyNumberFormat="1" applyFont="1" applyFill="1" applyBorder="1"/>
    <xf numFmtId="169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4" borderId="38" xfId="6" applyNumberFormat="1" applyFont="1" applyFill="1" applyBorder="1"/>
    <xf numFmtId="4" fontId="36" fillId="12" borderId="38" xfId="6" applyNumberFormat="1" applyFont="1" applyFill="1" applyBorder="1"/>
    <xf numFmtId="171" fontId="34" fillId="0" borderId="41" xfId="0" applyNumberFormat="1" applyFont="1" applyBorder="1" applyAlignment="1">
      <alignment horizontal="center" vertical="center"/>
    </xf>
    <xf numFmtId="170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2" fontId="34" fillId="12" borderId="42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40" xfId="0" applyNumberFormat="1" applyFont="1" applyFill="1" applyBorder="1" applyAlignment="1">
      <alignment horizontal="center" vertical="center"/>
    </xf>
    <xf numFmtId="49" fontId="36" fillId="2" borderId="2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2" fontId="34" fillId="12" borderId="39" xfId="0" applyNumberFormat="1" applyFont="1" applyFill="1" applyBorder="1" applyAlignment="1">
      <alignment horizontal="center" vertical="center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1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21"/>
  <sheetViews>
    <sheetView tabSelected="1" zoomScale="60" zoomScaleNormal="60" workbookViewId="0">
      <selection activeCell="G26" sqref="G26"/>
    </sheetView>
  </sheetViews>
  <sheetFormatPr defaultColWidth="12.08984375" defaultRowHeight="13.5" outlineLevelCol="1"/>
  <cols>
    <col min="1" max="1" width="12.453125" style="204" customWidth="1"/>
    <col min="2" max="2" width="13.81640625" style="204" customWidth="1"/>
    <col min="3" max="3" width="5.7265625" style="205" customWidth="1"/>
    <col min="4" max="4" width="17" style="206" customWidth="1"/>
    <col min="5" max="5" width="10.453125" style="206" customWidth="1"/>
    <col min="6" max="6" width="11.1796875" style="206" customWidth="1"/>
    <col min="7" max="7" width="12.08984375" style="206"/>
    <col min="8" max="8" width="16.453125" style="206" customWidth="1"/>
    <col min="9" max="9" width="15.54296875" style="206" customWidth="1"/>
    <col min="10" max="10" width="16.26953125" style="206" customWidth="1"/>
    <col min="11" max="13" width="16.54296875" style="206" customWidth="1"/>
    <col min="14" max="14" width="11.36328125" style="206" hidden="1" customWidth="1" outlineLevel="1"/>
    <col min="15" max="15" width="19.7265625" style="206" hidden="1" customWidth="1" outlineLevel="1"/>
    <col min="16" max="16" width="10.26953125" style="206" hidden="1" customWidth="1" outlineLevel="1"/>
    <col min="17" max="17" width="15.81640625" style="206" bestFit="1" customWidth="1" collapsed="1"/>
    <col min="18" max="18" width="13.7265625" style="206" customWidth="1"/>
    <col min="19" max="19" width="12.6328125" style="206" customWidth="1"/>
    <col min="20" max="20" width="14.453125" style="206" customWidth="1"/>
    <col min="21" max="21" width="13.7265625" style="206" customWidth="1"/>
    <col min="22" max="23" width="14.36328125" style="206" customWidth="1"/>
    <col min="24" max="25" width="15.7265625" style="206" customWidth="1"/>
    <col min="26" max="27" width="16.90625" style="206" customWidth="1"/>
    <col min="28" max="28" width="18.26953125" style="206" customWidth="1"/>
    <col min="29" max="29" width="19.54296875" style="195" customWidth="1"/>
    <col min="30" max="31" width="18.26953125" style="195" customWidth="1"/>
    <col min="32" max="16384" width="12.08984375" style="206"/>
  </cols>
  <sheetData>
    <row r="1" spans="1:32" s="181" customFormat="1" ht="22" customHeight="1">
      <c r="A1" s="288" t="s">
        <v>344</v>
      </c>
      <c r="B1" s="289"/>
      <c r="C1" s="289"/>
      <c r="D1" s="290" t="s">
        <v>345</v>
      </c>
      <c r="E1" s="292" t="s">
        <v>346</v>
      </c>
      <c r="F1" s="293"/>
      <c r="G1" s="294"/>
      <c r="H1" s="295" t="s">
        <v>101</v>
      </c>
      <c r="I1" s="295"/>
      <c r="J1" s="295"/>
      <c r="K1" s="274" t="s">
        <v>21</v>
      </c>
      <c r="L1" s="267" t="s">
        <v>347</v>
      </c>
      <c r="M1" s="267" t="s">
        <v>348</v>
      </c>
      <c r="N1" s="267" t="s">
        <v>349</v>
      </c>
      <c r="O1" s="267" t="s">
        <v>350</v>
      </c>
      <c r="P1" s="267" t="s">
        <v>27</v>
      </c>
      <c r="Q1" s="267" t="s">
        <v>351</v>
      </c>
      <c r="R1" s="270" t="s">
        <v>352</v>
      </c>
      <c r="S1" s="272" t="s">
        <v>353</v>
      </c>
      <c r="T1" s="270" t="s">
        <v>354</v>
      </c>
      <c r="U1" s="272" t="s">
        <v>355</v>
      </c>
      <c r="V1" s="270" t="s">
        <v>1348</v>
      </c>
      <c r="W1" s="270" t="s">
        <v>1349</v>
      </c>
      <c r="X1" s="274" t="s">
        <v>356</v>
      </c>
      <c r="Y1" s="296" t="s">
        <v>1397</v>
      </c>
      <c r="Z1" s="284" t="s">
        <v>1398</v>
      </c>
      <c r="AA1" s="286" t="s">
        <v>358</v>
      </c>
      <c r="AB1" s="276" t="s">
        <v>359</v>
      </c>
      <c r="AC1" s="269" t="s">
        <v>35</v>
      </c>
      <c r="AD1" s="269" t="s">
        <v>36</v>
      </c>
      <c r="AE1" s="269" t="s">
        <v>360</v>
      </c>
    </row>
    <row r="2" spans="1:32" s="181" customFormat="1" ht="25.5" customHeight="1" thickBot="1">
      <c r="A2" s="183" t="s">
        <v>361</v>
      </c>
      <c r="B2" s="183" t="s">
        <v>362</v>
      </c>
      <c r="C2" s="184" t="s">
        <v>363</v>
      </c>
      <c r="D2" s="291"/>
      <c r="E2" s="185" t="s">
        <v>364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365</v>
      </c>
      <c r="K2" s="275"/>
      <c r="L2" s="268"/>
      <c r="M2" s="268"/>
      <c r="N2" s="268"/>
      <c r="O2" s="268"/>
      <c r="P2" s="268"/>
      <c r="Q2" s="268"/>
      <c r="R2" s="271"/>
      <c r="S2" s="273"/>
      <c r="T2" s="271"/>
      <c r="U2" s="273"/>
      <c r="V2" s="271"/>
      <c r="W2" s="271"/>
      <c r="X2" s="275"/>
      <c r="Y2" s="297"/>
      <c r="Z2" s="285"/>
      <c r="AA2" s="287"/>
      <c r="AB2" s="276"/>
      <c r="AC2" s="269"/>
      <c r="AD2" s="269"/>
      <c r="AE2" s="269"/>
    </row>
    <row r="3" spans="1:32" s="196" customFormat="1">
      <c r="A3" s="280" t="s">
        <v>366</v>
      </c>
      <c r="B3" s="187" t="s">
        <v>368</v>
      </c>
      <c r="C3" s="187"/>
      <c r="D3" s="197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>
        <v>0</v>
      </c>
      <c r="T3" s="191">
        <v>0</v>
      </c>
      <c r="U3" s="193"/>
      <c r="V3" s="191"/>
      <c r="W3" s="191">
        <v>5252</v>
      </c>
      <c r="X3" s="194">
        <f t="shared" ref="X3:X8" si="0">(J3)*0.01</f>
        <v>843.37</v>
      </c>
      <c r="Y3" s="214">
        <f>J3-SUM(L3:T3)-K3-V3+U3+W3</f>
        <v>73.750000000006366</v>
      </c>
      <c r="Z3" s="214">
        <f>Y3-X3</f>
        <v>-769.61999999999364</v>
      </c>
      <c r="AA3" s="282">
        <f>SUM(Z3:Z7)</f>
        <v>43931.01000000014</v>
      </c>
      <c r="AB3" s="252">
        <f t="shared" ref="AB3:AB6" si="1">K3/J3</f>
        <v>7.4142547161981098E-2</v>
      </c>
      <c r="AC3" s="252">
        <f t="shared" ref="AC3:AC6" si="2">Z3/K3</f>
        <v>-0.12308090888155268</v>
      </c>
      <c r="AD3" s="252">
        <f t="shared" ref="AD3:AD6" si="3">Z3/J3</f>
        <v>-9.1255320914900174E-3</v>
      </c>
      <c r="AE3" s="252">
        <f t="shared" ref="AE3:AE13" si="4">Q3/J3</f>
        <v>0.4360239278134152</v>
      </c>
    </row>
    <row r="4" spans="1:32" s="196" customFormat="1">
      <c r="A4" s="281"/>
      <c r="B4" s="187" t="s">
        <v>337</v>
      </c>
      <c r="C4" s="187"/>
      <c r="D4" s="197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5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4">
        <f t="shared" si="0"/>
        <v>2638.93</v>
      </c>
      <c r="Y4" s="214">
        <f t="shared" ref="Y4:Y7" si="6">J4-SUM(L4:T4)-K4-V4+U4+W4</f>
        <v>37501.610000000095</v>
      </c>
      <c r="Z4" s="214">
        <f t="shared" ref="Z4:Z7" si="7">Y4-X4</f>
        <v>34862.680000000095</v>
      </c>
      <c r="AA4" s="278"/>
      <c r="AB4" s="252">
        <f t="shared" si="1"/>
        <v>7.6568760823515589E-2</v>
      </c>
      <c r="AC4" s="252">
        <f t="shared" si="2"/>
        <v>1.725366179087759</v>
      </c>
      <c r="AD4" s="252">
        <f t="shared" si="3"/>
        <v>0.13210915029955358</v>
      </c>
      <c r="AE4" s="252">
        <f t="shared" si="4"/>
        <v>0.21359179667516759</v>
      </c>
    </row>
    <row r="5" spans="1:32" s="196" customFormat="1">
      <c r="A5" s="281"/>
      <c r="B5" s="187" t="s">
        <v>51</v>
      </c>
      <c r="C5" s="187"/>
      <c r="D5" s="197">
        <f t="shared" ref="D5" si="8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5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8"/>
      <c r="W5" s="191">
        <v>5135</v>
      </c>
      <c r="X5" s="194">
        <f t="shared" si="0"/>
        <v>2078.08</v>
      </c>
      <c r="Y5" s="214">
        <f t="shared" si="6"/>
        <v>26106.059999999994</v>
      </c>
      <c r="Z5" s="214">
        <f t="shared" si="7"/>
        <v>24027.979999999996</v>
      </c>
      <c r="AA5" s="278"/>
      <c r="AB5" s="252">
        <f t="shared" si="1"/>
        <v>7.2629975746843239E-2</v>
      </c>
      <c r="AC5" s="252">
        <f t="shared" si="2"/>
        <v>1.5919854714972212</v>
      </c>
      <c r="AD5" s="252">
        <f t="shared" si="3"/>
        <v>0.11562586618416998</v>
      </c>
      <c r="AE5" s="252">
        <f t="shared" si="4"/>
        <v>0.25624191561441334</v>
      </c>
    </row>
    <row r="6" spans="1:32" s="196" customFormat="1">
      <c r="A6" s="281"/>
      <c r="B6" s="187" t="s">
        <v>369</v>
      </c>
      <c r="C6" s="187"/>
      <c r="D6" s="197">
        <f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5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>
        <v>0</v>
      </c>
      <c r="U6" s="193"/>
      <c r="V6" s="198">
        <v>7000</v>
      </c>
      <c r="W6" s="191"/>
      <c r="X6" s="194">
        <f t="shared" si="0"/>
        <v>1579.79</v>
      </c>
      <c r="Y6" s="214">
        <f t="shared" si="6"/>
        <v>9280.9799999999868</v>
      </c>
      <c r="Z6" s="214">
        <f t="shared" si="7"/>
        <v>7701.1899999999869</v>
      </c>
      <c r="AA6" s="278"/>
      <c r="AB6" s="252">
        <f t="shared" si="1"/>
        <v>7.0468163490084126E-2</v>
      </c>
      <c r="AC6" s="252">
        <f t="shared" si="2"/>
        <v>0.6917760536950841</v>
      </c>
      <c r="AD6" s="252">
        <f t="shared" si="3"/>
        <v>4.87481880503104E-2</v>
      </c>
      <c r="AE6" s="252">
        <f>Q6/J6</f>
        <v>0.26681527291602047</v>
      </c>
    </row>
    <row r="7" spans="1:32" s="196" customFormat="1">
      <c r="A7" s="281"/>
      <c r="B7" s="240" t="s">
        <v>339</v>
      </c>
      <c r="C7" s="240"/>
      <c r="D7" s="241">
        <f>J7-SUM(L7:T7)+U7+V7</f>
        <v>-6035.0999999999476</v>
      </c>
      <c r="E7" s="240">
        <f>'Юнит 26-31.01'!K$24</f>
        <v>200</v>
      </c>
      <c r="F7" s="240">
        <f>'Юнит 26-31.01'!P$24</f>
        <v>112</v>
      </c>
      <c r="G7" s="240">
        <f>'Юнит 26-31.01'!Q$24</f>
        <v>2</v>
      </c>
      <c r="H7" s="242">
        <f>'Юнит 26-31.01'!S$24</f>
        <v>200558.00000000006</v>
      </c>
      <c r="I7" s="243">
        <f>'Юнит 26-31.01'!T$24</f>
        <v>-3595</v>
      </c>
      <c r="J7" s="243">
        <f t="shared" si="5"/>
        <v>196963.00000000006</v>
      </c>
      <c r="K7" s="244">
        <f>'Юнит 26-31.01'!W$24</f>
        <v>13886.49</v>
      </c>
      <c r="L7" s="245">
        <f>'Юнит 26-31.01'!Z$24</f>
        <v>20843.549999999992</v>
      </c>
      <c r="M7" s="244">
        <f>'Юнит 26-31.01'!X$24</f>
        <v>84694.09</v>
      </c>
      <c r="N7" s="244"/>
      <c r="O7" s="246"/>
      <c r="P7" s="244"/>
      <c r="Q7" s="247">
        <f>'Юнит 26-31.01'!AA$24</f>
        <v>50770.67</v>
      </c>
      <c r="R7" s="245">
        <v>3661.19</v>
      </c>
      <c r="S7" s="245">
        <v>150</v>
      </c>
      <c r="T7" s="245">
        <v>43993.599999999999</v>
      </c>
      <c r="U7" s="247">
        <v>1115</v>
      </c>
      <c r="V7" s="245"/>
      <c r="W7" s="245"/>
      <c r="X7" s="248">
        <f t="shared" si="0"/>
        <v>1969.6300000000006</v>
      </c>
      <c r="Y7" s="249">
        <f t="shared" si="6"/>
        <v>-19921.589999999946</v>
      </c>
      <c r="Z7" s="249">
        <f t="shared" si="7"/>
        <v>-21891.219999999947</v>
      </c>
      <c r="AA7" s="283"/>
      <c r="AB7" s="252">
        <f>(K7+K8)/(J7+J8)</f>
        <v>7.0282074177319923E-2</v>
      </c>
      <c r="AC7" s="252">
        <f>(Z7+Z8)/(K7+K8)</f>
        <v>-0.76300763957705875</v>
      </c>
      <c r="AD7" s="252">
        <f>(Z7+Z8)/(J7+J8)</f>
        <v>-5.3625759522616626E-2</v>
      </c>
      <c r="AE7" s="252">
        <f>(Q7+Q8)/(J7+J8)</f>
        <v>0.25406002134285766</v>
      </c>
      <c r="AF7" s="252"/>
    </row>
    <row r="8" spans="1:32" s="196" customFormat="1">
      <c r="A8" s="237"/>
      <c r="B8" s="187" t="s">
        <v>1391</v>
      </c>
      <c r="C8" s="187"/>
      <c r="D8" s="197">
        <f>J8-SUM(L8:T8)+U8+V8</f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>
        <v>0</v>
      </c>
      <c r="T8" s="191">
        <v>0</v>
      </c>
      <c r="U8" s="193"/>
      <c r="V8" s="191"/>
      <c r="W8" s="191">
        <v>4831</v>
      </c>
      <c r="X8" s="194">
        <f t="shared" si="0"/>
        <v>326.22000000000008</v>
      </c>
      <c r="Y8" s="214">
        <f t="shared" ref="Y8:Y12" si="9">J8-SUM(L8:T8)-K8-V8+U8+W8</f>
        <v>9905.7700000000041</v>
      </c>
      <c r="Z8" s="214">
        <f t="shared" ref="Z8:Z12" si="10">Y8-X8</f>
        <v>9579.5500000000047</v>
      </c>
      <c r="AA8" s="277">
        <f>SUM(Z8:Z12)</f>
        <v>29781.380000000019</v>
      </c>
      <c r="AB8" s="252"/>
      <c r="AC8" s="252"/>
      <c r="AD8" s="252"/>
      <c r="AE8" s="252"/>
    </row>
    <row r="9" spans="1:32" s="196" customFormat="1">
      <c r="A9" s="237"/>
      <c r="B9" s="187" t="s">
        <v>1395</v>
      </c>
      <c r="C9" s="187"/>
      <c r="D9" s="197">
        <f>J9-SUM(L9:T9)+U9+V9</f>
        <v>40049.950000000012</v>
      </c>
      <c r="E9" s="187">
        <f>'Юнит 02-08.02'!K$24</f>
        <v>225</v>
      </c>
      <c r="F9" s="187">
        <f>'Юнит 02-08.02'!P$24</f>
        <v>167</v>
      </c>
      <c r="G9" s="187">
        <f>'Юнит 02-08.02'!Q$24</f>
        <v>11</v>
      </c>
      <c r="H9" s="188">
        <f>'Юнит 02-08.02'!S$24</f>
        <v>323134</v>
      </c>
      <c r="I9" s="189">
        <f>'Юнит 02-08.02'!T$24</f>
        <v>-22524</v>
      </c>
      <c r="J9" s="189">
        <f t="shared" ref="J9" si="11">H9+I9</f>
        <v>300610</v>
      </c>
      <c r="K9" s="190">
        <f>'Юнит 02-08.02'!W$24</f>
        <v>19848.12</v>
      </c>
      <c r="L9" s="191">
        <f>'Юнит 02-08.02'!Z$24</f>
        <v>31123.529999999988</v>
      </c>
      <c r="M9" s="190">
        <f>'Юнит 02-08.02'!X$24</f>
        <v>129262.3</v>
      </c>
      <c r="N9" s="190"/>
      <c r="O9" s="192"/>
      <c r="P9" s="190"/>
      <c r="Q9" s="193">
        <f>'Юнит 02-08.02'!AA$24</f>
        <v>66736.42</v>
      </c>
      <c r="R9" s="191">
        <v>5825.9</v>
      </c>
      <c r="S9" s="191"/>
      <c r="T9" s="191">
        <v>27611.9</v>
      </c>
      <c r="U9" s="193"/>
      <c r="V9" s="191"/>
      <c r="W9" s="191"/>
      <c r="X9" s="194"/>
      <c r="Y9" s="214">
        <f t="shared" si="9"/>
        <v>20201.830000000013</v>
      </c>
      <c r="Z9" s="214">
        <f t="shared" si="10"/>
        <v>20201.830000000013</v>
      </c>
      <c r="AA9" s="278"/>
      <c r="AB9" s="252">
        <f t="shared" ref="AB9:AB12" si="12">K9/J9</f>
        <v>6.6026146834769303E-2</v>
      </c>
      <c r="AC9" s="252">
        <f t="shared" ref="AC9:AC12" si="13">Z9/K9</f>
        <v>1.0178208313936037</v>
      </c>
      <c r="AD9" s="252">
        <f t="shared" ref="AD9:AD12" si="14">Z9/J9</f>
        <v>6.7202787665081046E-2</v>
      </c>
      <c r="AE9" s="252">
        <f t="shared" ref="AE9:AE12" si="15">Q9/J9</f>
        <v>0.22200332656930907</v>
      </c>
    </row>
    <row r="10" spans="1:32" s="196" customFormat="1">
      <c r="A10" s="237"/>
      <c r="B10" s="187" t="s">
        <v>1392</v>
      </c>
      <c r="C10" s="187"/>
      <c r="D10" s="197"/>
      <c r="E10" s="187"/>
      <c r="F10" s="187"/>
      <c r="G10" s="187"/>
      <c r="H10" s="188"/>
      <c r="I10" s="189"/>
      <c r="J10" s="189"/>
      <c r="K10" s="190"/>
      <c r="L10" s="191"/>
      <c r="M10" s="190"/>
      <c r="N10" s="190"/>
      <c r="O10" s="192"/>
      <c r="P10" s="190"/>
      <c r="Q10" s="193"/>
      <c r="R10" s="191"/>
      <c r="S10" s="191"/>
      <c r="T10" s="191"/>
      <c r="U10" s="193"/>
      <c r="V10" s="198"/>
      <c r="W10" s="191"/>
      <c r="X10" s="194"/>
      <c r="Y10" s="214">
        <f t="shared" si="9"/>
        <v>0</v>
      </c>
      <c r="Z10" s="214">
        <f t="shared" si="10"/>
        <v>0</v>
      </c>
      <c r="AA10" s="278"/>
      <c r="AB10" s="252" t="e">
        <f t="shared" si="12"/>
        <v>#DIV/0!</v>
      </c>
      <c r="AC10" s="252" t="e">
        <f t="shared" si="13"/>
        <v>#DIV/0!</v>
      </c>
      <c r="AD10" s="252" t="e">
        <f t="shared" si="14"/>
        <v>#DIV/0!</v>
      </c>
      <c r="AE10" s="252" t="e">
        <f t="shared" si="15"/>
        <v>#DIV/0!</v>
      </c>
    </row>
    <row r="11" spans="1:32" s="196" customFormat="1">
      <c r="A11" s="237"/>
      <c r="B11" s="187" t="s">
        <v>1393</v>
      </c>
      <c r="C11" s="187"/>
      <c r="D11" s="197"/>
      <c r="E11" s="187"/>
      <c r="F11" s="187"/>
      <c r="G11" s="187"/>
      <c r="H11" s="188"/>
      <c r="I11" s="189"/>
      <c r="J11" s="189"/>
      <c r="K11" s="190"/>
      <c r="L11" s="191"/>
      <c r="M11" s="190"/>
      <c r="N11" s="190"/>
      <c r="O11" s="192"/>
      <c r="P11" s="190"/>
      <c r="Q11" s="193"/>
      <c r="R11" s="191"/>
      <c r="S11" s="191"/>
      <c r="T11" s="191"/>
      <c r="U11" s="193"/>
      <c r="V11" s="198"/>
      <c r="W11" s="191"/>
      <c r="X11" s="194"/>
      <c r="Y11" s="214">
        <f t="shared" si="9"/>
        <v>0</v>
      </c>
      <c r="Z11" s="214">
        <f t="shared" si="10"/>
        <v>0</v>
      </c>
      <c r="AA11" s="278"/>
      <c r="AB11" s="252" t="e">
        <f t="shared" si="12"/>
        <v>#DIV/0!</v>
      </c>
      <c r="AC11" s="252" t="e">
        <f t="shared" si="13"/>
        <v>#DIV/0!</v>
      </c>
      <c r="AD11" s="252" t="e">
        <f t="shared" si="14"/>
        <v>#DIV/0!</v>
      </c>
      <c r="AE11" s="252" t="e">
        <f t="shared" si="15"/>
        <v>#DIV/0!</v>
      </c>
    </row>
    <row r="12" spans="1:32" s="196" customFormat="1" ht="14" thickBot="1">
      <c r="A12" s="237"/>
      <c r="B12" s="240" t="s">
        <v>1394</v>
      </c>
      <c r="C12" s="240"/>
      <c r="D12" s="241"/>
      <c r="E12" s="240"/>
      <c r="F12" s="240"/>
      <c r="G12" s="240"/>
      <c r="H12" s="242"/>
      <c r="I12" s="243"/>
      <c r="J12" s="243"/>
      <c r="K12" s="244"/>
      <c r="L12" s="245"/>
      <c r="M12" s="244"/>
      <c r="N12" s="244"/>
      <c r="O12" s="246"/>
      <c r="P12" s="244"/>
      <c r="Q12" s="247"/>
      <c r="R12" s="245"/>
      <c r="S12" s="245"/>
      <c r="T12" s="245"/>
      <c r="U12" s="247"/>
      <c r="V12" s="245"/>
      <c r="W12" s="245"/>
      <c r="X12" s="248"/>
      <c r="Y12" s="214">
        <f t="shared" si="9"/>
        <v>0</v>
      </c>
      <c r="Z12" s="214">
        <f t="shared" si="10"/>
        <v>0</v>
      </c>
      <c r="AA12" s="279"/>
      <c r="AB12" s="252" t="e">
        <f t="shared" si="12"/>
        <v>#DIV/0!</v>
      </c>
      <c r="AC12" s="252" t="e">
        <f t="shared" si="13"/>
        <v>#DIV/0!</v>
      </c>
      <c r="AD12" s="252" t="e">
        <f t="shared" si="14"/>
        <v>#DIV/0!</v>
      </c>
      <c r="AE12" s="252" t="e">
        <f t="shared" si="15"/>
        <v>#DIV/0!</v>
      </c>
    </row>
    <row r="13" spans="1:32" s="203" customFormat="1" ht="14" thickBot="1">
      <c r="A13" s="199" t="s">
        <v>357</v>
      </c>
      <c r="B13" s="200"/>
      <c r="C13" s="201"/>
      <c r="D13" s="202">
        <f t="shared" ref="D13:AA13" si="16">SUM(D3:D12)</f>
        <v>170598.74000000017</v>
      </c>
      <c r="E13" s="251">
        <f t="shared" si="16"/>
        <v>1064</v>
      </c>
      <c r="F13" s="251">
        <f t="shared" si="16"/>
        <v>730</v>
      </c>
      <c r="G13" s="251">
        <f t="shared" si="16"/>
        <v>27</v>
      </c>
      <c r="H13" s="202">
        <f t="shared" si="16"/>
        <v>1293953</v>
      </c>
      <c r="I13" s="202">
        <f t="shared" si="16"/>
        <v>-49741</v>
      </c>
      <c r="J13" s="202">
        <f t="shared" si="16"/>
        <v>1244212</v>
      </c>
      <c r="K13" s="202">
        <f t="shared" si="16"/>
        <v>88668.329999999987</v>
      </c>
      <c r="L13" s="202">
        <f t="shared" si="16"/>
        <v>132933.28999999998</v>
      </c>
      <c r="M13" s="202">
        <f t="shared" si="16"/>
        <v>535011.15999999992</v>
      </c>
      <c r="N13" s="202">
        <f t="shared" si="16"/>
        <v>0</v>
      </c>
      <c r="O13" s="202">
        <f t="shared" si="16"/>
        <v>0</v>
      </c>
      <c r="P13" s="202">
        <f t="shared" si="16"/>
        <v>0</v>
      </c>
      <c r="Q13" s="202">
        <f t="shared" si="16"/>
        <v>313603.44999999995</v>
      </c>
      <c r="R13" s="202">
        <f t="shared" si="16"/>
        <v>23334.46</v>
      </c>
      <c r="S13" s="202">
        <f t="shared" si="16"/>
        <v>250</v>
      </c>
      <c r="T13" s="202">
        <f t="shared" si="16"/>
        <v>76595.899999999994</v>
      </c>
      <c r="U13" s="202">
        <f t="shared" si="16"/>
        <v>1115</v>
      </c>
      <c r="V13" s="202">
        <f t="shared" si="16"/>
        <v>7000</v>
      </c>
      <c r="W13" s="202">
        <f t="shared" si="16"/>
        <v>15218</v>
      </c>
      <c r="X13" s="202">
        <f t="shared" si="16"/>
        <v>9436.0199999999986</v>
      </c>
      <c r="Y13" s="202">
        <f t="shared" si="16"/>
        <v>83148.410000000149</v>
      </c>
      <c r="Z13" s="202">
        <f t="shared" si="16"/>
        <v>73712.390000000159</v>
      </c>
      <c r="AA13" s="250">
        <f t="shared" si="16"/>
        <v>73712.390000000159</v>
      </c>
      <c r="AB13" s="236">
        <f>K13/J13</f>
        <v>7.1264647825290212E-2</v>
      </c>
      <c r="AC13" s="236">
        <f>Z13/K13</f>
        <v>0.83132714916363226</v>
      </c>
      <c r="AD13" s="236">
        <f>Z13/J13</f>
        <v>5.9244236512748759E-2</v>
      </c>
      <c r="AE13" s="236">
        <f t="shared" si="4"/>
        <v>0.25204985163300142</v>
      </c>
    </row>
    <row r="14" spans="1:32">
      <c r="H14" s="207" t="s">
        <v>367</v>
      </c>
      <c r="J14" s="208"/>
      <c r="M14" s="208"/>
      <c r="R14" s="208"/>
      <c r="S14" s="208"/>
      <c r="T14" s="208"/>
      <c r="X14" s="208"/>
      <c r="Y14" s="208"/>
    </row>
    <row r="15" spans="1:32" s="205" customFormat="1">
      <c r="A15" s="209"/>
      <c r="B15" s="209"/>
      <c r="D15" s="210"/>
      <c r="E15" s="210"/>
      <c r="F15" s="210"/>
      <c r="G15" s="210"/>
      <c r="I15" s="211">
        <f>-I13/H13</f>
        <v>3.8441118031334987E-2</v>
      </c>
      <c r="J15" s="212"/>
      <c r="K15" s="235">
        <f>K13/$J$13</f>
        <v>7.1264647825290212E-2</v>
      </c>
      <c r="L15" s="235">
        <f>L13/$J$13</f>
        <v>0.10684135018791008</v>
      </c>
      <c r="M15" s="235">
        <f>M13/$J$13</f>
        <v>0.42999999999999994</v>
      </c>
      <c r="N15" s="235"/>
      <c r="O15" s="235"/>
      <c r="P15" s="235"/>
      <c r="Q15" s="235">
        <f>Q13/$J$13</f>
        <v>0.25204985163300142</v>
      </c>
      <c r="R15" s="235">
        <f t="shared" ref="R15:W15" si="17">R13/$J$13</f>
        <v>1.8754408412714231E-2</v>
      </c>
      <c r="S15" s="235">
        <f t="shared" si="17"/>
        <v>2.0093038806891431E-4</v>
      </c>
      <c r="T15" s="235">
        <f t="shared" si="17"/>
        <v>6.1561775645951007E-2</v>
      </c>
      <c r="U15" s="235">
        <f t="shared" si="17"/>
        <v>8.9614953078735781E-4</v>
      </c>
      <c r="V15" s="235">
        <f t="shared" si="17"/>
        <v>5.6260508659296002E-3</v>
      </c>
      <c r="W15" s="235">
        <f t="shared" si="17"/>
        <v>1.2231034582530951E-2</v>
      </c>
      <c r="X15" s="235">
        <f>X13/$J$13</f>
        <v>7.5839326417041454E-3</v>
      </c>
      <c r="Y15" s="235"/>
      <c r="Z15" s="211">
        <f>Z13/K13</f>
        <v>0.83132714916363226</v>
      </c>
      <c r="AA15" s="182" t="s">
        <v>35</v>
      </c>
      <c r="AB15" s="236">
        <f>Z13/J13</f>
        <v>5.9244236512748759E-2</v>
      </c>
      <c r="AC15" s="213"/>
      <c r="AD15" s="213"/>
      <c r="AE15" s="213"/>
    </row>
    <row r="17" spans="1:32" s="258" customFormat="1">
      <c r="A17" s="254" t="s">
        <v>1396</v>
      </c>
      <c r="B17" s="254"/>
      <c r="C17" s="255"/>
      <c r="D17" s="256">
        <f>SUM(D3:D7)</f>
        <v>123224.80000000013</v>
      </c>
      <c r="E17" s="253">
        <f>SUM(E3:E7)</f>
        <v>803</v>
      </c>
      <c r="F17" s="253">
        <f t="shared" ref="F17:AA17" si="18">SUM(F3:F7)</f>
        <v>544</v>
      </c>
      <c r="G17" s="253">
        <f t="shared" si="18"/>
        <v>15</v>
      </c>
      <c r="H17" s="256">
        <f t="shared" si="18"/>
        <v>936447</v>
      </c>
      <c r="I17" s="256">
        <f t="shared" si="18"/>
        <v>-25467</v>
      </c>
      <c r="J17" s="256">
        <f t="shared" si="18"/>
        <v>910980</v>
      </c>
      <c r="K17" s="256">
        <f t="shared" si="18"/>
        <v>66570.989999999991</v>
      </c>
      <c r="L17" s="256">
        <f t="shared" si="18"/>
        <v>98630.239999999976</v>
      </c>
      <c r="M17" s="256">
        <f t="shared" si="18"/>
        <v>391721.39999999991</v>
      </c>
      <c r="N17" s="256">
        <f t="shared" si="18"/>
        <v>0</v>
      </c>
      <c r="O17" s="256">
        <f t="shared" si="18"/>
        <v>0</v>
      </c>
      <c r="P17" s="256">
        <f t="shared" si="18"/>
        <v>0</v>
      </c>
      <c r="Q17" s="256">
        <f t="shared" si="18"/>
        <v>239309.32999999996</v>
      </c>
      <c r="R17" s="256">
        <f t="shared" si="18"/>
        <v>16975.23</v>
      </c>
      <c r="S17" s="256">
        <f t="shared" si="18"/>
        <v>250</v>
      </c>
      <c r="T17" s="256">
        <f t="shared" si="18"/>
        <v>48984</v>
      </c>
      <c r="U17" s="256">
        <f t="shared" si="18"/>
        <v>1115</v>
      </c>
      <c r="V17" s="256">
        <f t="shared" si="18"/>
        <v>7000</v>
      </c>
      <c r="W17" s="256">
        <f t="shared" si="18"/>
        <v>10387</v>
      </c>
      <c r="X17" s="256">
        <f>SUM(X3:X7)</f>
        <v>9109.7999999999993</v>
      </c>
      <c r="Y17" s="257">
        <f>SUM(Y3:Y7)</f>
        <v>53040.810000000136</v>
      </c>
      <c r="Z17" s="257">
        <f>SUM(Z3:Z7)</f>
        <v>43931.01000000014</v>
      </c>
      <c r="AA17" s="257">
        <f t="shared" si="18"/>
        <v>43931.01000000014</v>
      </c>
      <c r="AB17" s="235"/>
      <c r="AD17" s="259"/>
      <c r="AE17" s="259"/>
      <c r="AF17" s="259"/>
    </row>
    <row r="18" spans="1:32" s="205" customFormat="1">
      <c r="A18" s="209"/>
      <c r="B18" s="209"/>
      <c r="D18" s="210"/>
      <c r="E18" s="210"/>
      <c r="F18" s="210"/>
      <c r="G18" s="210"/>
      <c r="I18" s="260">
        <f>-I17/H17</f>
        <v>2.7195345812416505E-2</v>
      </c>
      <c r="J18" s="261"/>
      <c r="K18" s="261">
        <f>K17/$J$17</f>
        <v>7.307623658038595E-2</v>
      </c>
      <c r="L18" s="261">
        <f>L17/$J$17</f>
        <v>0.10826828250894638</v>
      </c>
      <c r="M18" s="261">
        <f>M17/$J$17</f>
        <v>0.42999999999999988</v>
      </c>
      <c r="N18" s="261"/>
      <c r="O18" s="261"/>
      <c r="P18" s="261"/>
      <c r="Q18" s="261">
        <f>Q17/$J$17</f>
        <v>0.2626943840699027</v>
      </c>
      <c r="R18" s="261">
        <f>R17/$J$17</f>
        <v>1.8634031482579201E-2</v>
      </c>
      <c r="S18" s="261">
        <f>S17/$J$17</f>
        <v>2.7442973501064786E-4</v>
      </c>
      <c r="T18" s="261">
        <f>T17/$J$17</f>
        <v>5.3770664559046305E-2</v>
      </c>
      <c r="U18" s="261"/>
      <c r="V18" s="261">
        <f>V17/$J$17</f>
        <v>7.6840325802981406E-3</v>
      </c>
      <c r="W18" s="261">
        <f>W17/$J$17</f>
        <v>1.1402006630222398E-2</v>
      </c>
      <c r="X18" s="261">
        <f>X17/$J$17</f>
        <v>9.9999999999999985E-3</v>
      </c>
      <c r="Y18" s="261">
        <f>Y17/J17</f>
        <v>5.8223901732200635E-2</v>
      </c>
      <c r="Z18" s="261">
        <f>Z17/J17</f>
        <v>4.822390173220064E-2</v>
      </c>
      <c r="AA18" s="261">
        <f>AA17/J17</f>
        <v>4.822390173220064E-2</v>
      </c>
      <c r="AB18" s="262"/>
      <c r="AC18" s="213"/>
      <c r="AD18" s="213"/>
      <c r="AE18" s="213"/>
    </row>
    <row r="20" spans="1:32" s="205" customFormat="1">
      <c r="A20" s="209" t="s">
        <v>1741</v>
      </c>
      <c r="B20" s="209"/>
      <c r="D20" s="210"/>
      <c r="E20" s="210"/>
      <c r="F20" s="210"/>
      <c r="G20" s="210"/>
      <c r="I20" s="260"/>
      <c r="J20" s="261"/>
      <c r="K20" s="261">
        <f>(K7+K8)/($J$7+$J$8)</f>
        <v>7.0282074177319923E-2</v>
      </c>
      <c r="L20" s="261">
        <f>(L7+L8)/($J$7+$J$8)</f>
        <v>0.10463693185530408</v>
      </c>
      <c r="M20" s="261">
        <f t="shared" ref="L20:AA20" si="19">(M7+M8)/($J$7+$J$8)</f>
        <v>0.42999999999999983</v>
      </c>
      <c r="N20" s="261">
        <f t="shared" si="19"/>
        <v>0</v>
      </c>
      <c r="O20" s="261">
        <f t="shared" si="19"/>
        <v>0</v>
      </c>
      <c r="P20" s="261">
        <f t="shared" si="19"/>
        <v>0</v>
      </c>
      <c r="Q20" s="261">
        <f t="shared" si="19"/>
        <v>0.25406002134285766</v>
      </c>
      <c r="R20" s="261">
        <f>(R7+S7+T7+R8+S8+T8)/($J$7+$J$8)</f>
        <v>0.21054563669229256</v>
      </c>
      <c r="S20" s="261"/>
      <c r="T20" s="261"/>
      <c r="U20" s="261">
        <f t="shared" si="19"/>
        <v>4.8565890628743157E-3</v>
      </c>
      <c r="V20" s="261">
        <f t="shared" si="19"/>
        <v>0</v>
      </c>
      <c r="W20" s="261">
        <f t="shared" si="19"/>
        <v>2.1042315482283244E-2</v>
      </c>
      <c r="X20" s="261">
        <f t="shared" si="19"/>
        <v>0.01</v>
      </c>
      <c r="Y20" s="261">
        <f t="shared" si="19"/>
        <v>-4.3625759522616631E-2</v>
      </c>
      <c r="Z20" s="261">
        <f t="shared" si="19"/>
        <v>-5.3625759522616626E-2</v>
      </c>
      <c r="AA20" s="261"/>
      <c r="AB20" s="262"/>
      <c r="AC20" s="213"/>
      <c r="AD20" s="213"/>
      <c r="AE20" s="213"/>
    </row>
    <row r="21" spans="1:32" s="205" customFormat="1">
      <c r="A21" s="209" t="s">
        <v>1740</v>
      </c>
      <c r="B21" s="209"/>
      <c r="D21" s="210"/>
      <c r="E21" s="210"/>
      <c r="F21" s="210"/>
      <c r="G21" s="210"/>
      <c r="I21" s="260"/>
      <c r="J21" s="261"/>
      <c r="K21" s="261">
        <f>K9/$J$9</f>
        <v>6.6026146834769303E-2</v>
      </c>
      <c r="L21" s="261">
        <f>L9/$J$9</f>
        <v>0.10353457968796775</v>
      </c>
      <c r="M21" s="261">
        <f>M9/$J$9</f>
        <v>0.43</v>
      </c>
      <c r="N21" s="261"/>
      <c r="O21" s="261"/>
      <c r="P21" s="261"/>
      <c r="Q21" s="261">
        <f>Q9/$J$9</f>
        <v>0.22200332656930907</v>
      </c>
      <c r="R21" s="261">
        <f>(R9+S9+T9)/$J$9</f>
        <v>0.11123315924287283</v>
      </c>
      <c r="S21" s="261"/>
      <c r="T21" s="261"/>
      <c r="U21" s="261"/>
      <c r="V21" s="261">
        <f>V9/$J$9</f>
        <v>0</v>
      </c>
      <c r="W21" s="261">
        <f>W9/$J$9</f>
        <v>0</v>
      </c>
      <c r="X21" s="261">
        <f>X9/$J$9</f>
        <v>0</v>
      </c>
      <c r="Y21" s="261">
        <f>Y9/J9</f>
        <v>6.7202787665081046E-2</v>
      </c>
      <c r="Z21" s="261">
        <f>Z9/J9</f>
        <v>6.7202787665081046E-2</v>
      </c>
      <c r="AA21" s="261"/>
      <c r="AB21" s="262"/>
      <c r="AC21" s="213"/>
      <c r="AD21" s="213"/>
      <c r="AE21" s="213"/>
    </row>
  </sheetData>
  <mergeCells count="28">
    <mergeCell ref="AA8:AA12"/>
    <mergeCell ref="A3:A7"/>
    <mergeCell ref="AA3:AA7"/>
    <mergeCell ref="Z1:Z2"/>
    <mergeCell ref="AA1:AA2"/>
    <mergeCell ref="A1:C1"/>
    <mergeCell ref="D1:D2"/>
    <mergeCell ref="E1:G1"/>
    <mergeCell ref="H1:J1"/>
    <mergeCell ref="K1:K2"/>
    <mergeCell ref="Y1:Y2"/>
    <mergeCell ref="L1:L2"/>
    <mergeCell ref="M1:M2"/>
    <mergeCell ref="N1:N2"/>
    <mergeCell ref="O1:O2"/>
    <mergeCell ref="P1:P2"/>
    <mergeCell ref="AC1:AC2"/>
    <mergeCell ref="AD1:AD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Q1:Q2"/>
  </mergeCells>
  <conditionalFormatting sqref="J2"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13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13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13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4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4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4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3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4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3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3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3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3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3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3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3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3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3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2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2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2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2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1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3:AC12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3:AD12"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3:AE12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10"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{7824D937-FB66-4786-8048-5FDAC5424DB1}</x14:id>
        </ext>
      </extLst>
    </cfRule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{C21FA148-E13A-4154-9572-40B6911F7BDE}</x14:id>
        </ext>
      </extLst>
    </cfRule>
  </conditionalFormatting>
  <conditionalFormatting sqref="M10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{BEC27E38-AD86-4F68-9809-48B3C42F27C7}</x14:id>
        </ext>
      </extLst>
    </cfRule>
    <cfRule type="dataBar" priority="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{C4A8F7AD-A867-47BD-BAC5-1D8A4900D2A9}</x14:id>
        </ext>
      </extLst>
    </cfRule>
  </conditionalFormatting>
  <conditionalFormatting sqref="L10"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{915F1AA6-BAE5-4F74-904B-F009EB2EB998}</x14:id>
        </ext>
      </extLst>
    </cfRule>
  </conditionalFormatting>
  <conditionalFormatting sqref="M10">
    <cfRule type="dataBar" priority="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{0BA7F1F5-5C6C-46DC-82E3-EAD351038811}</x14:id>
        </ext>
      </extLst>
    </cfRule>
  </conditionalFormatting>
  <conditionalFormatting sqref="J10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{9754B325-5CB1-4ABF-8ACD-C335E5A2138C}</x14:id>
        </ext>
      </extLst>
    </cfRule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{F6C6F19D-E7E5-4143-BFA9-A6C87DB094DF}</x14:id>
        </ext>
      </extLst>
    </cfRule>
  </conditionalFormatting>
  <conditionalFormatting sqref="J10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{97EF119A-D3B9-4711-842A-6912F1C6340C}</x14:id>
        </ext>
      </extLst>
    </cfRule>
  </conditionalFormatting>
  <conditionalFormatting sqref="J10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{D28809B6-0E8C-4EE7-99AB-6CD2B4EAF5FE}</x14:id>
        </ext>
      </extLst>
    </cfRule>
  </conditionalFormatting>
  <conditionalFormatting sqref="L10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{5D54A91B-E352-450E-B8B7-D052E907FEB7}</x14:id>
        </ext>
      </extLst>
    </cfRule>
  </conditionalFormatting>
  <conditionalFormatting sqref="M10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{877DEBAF-236D-4328-9212-619579F344CD}</x14:id>
        </ext>
      </extLst>
    </cfRule>
  </conditionalFormatting>
  <conditionalFormatting sqref="L10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{1E5C5F51-0274-442E-BDF3-90F78DFAA5AC}</x14:id>
        </ext>
      </extLst>
    </cfRule>
  </conditionalFormatting>
  <conditionalFormatting sqref="M10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{904ED871-92D9-4DD9-9181-A95A93A2FD70}</x14:id>
        </ext>
      </extLst>
    </cfRule>
  </conditionalFormatting>
  <conditionalFormatting sqref="J10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{76E28ED2-535C-444A-970D-29DD7CEDE369}</x14:id>
        </ext>
      </extLst>
    </cfRule>
  </conditionalFormatting>
  <conditionalFormatting sqref="J10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{71BB5C42-9706-48C1-9E11-59550AEA9F9D}</x14:id>
        </ext>
      </extLst>
    </cfRule>
  </conditionalFormatting>
  <conditionalFormatting sqref="L10"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{122135E4-9427-42D2-BBCB-CD119535F21A}</x14:id>
        </ext>
      </extLst>
    </cfRule>
  </conditionalFormatting>
  <conditionalFormatting sqref="M10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{47BA535A-E74A-4CDF-AD28-C17610437EF8}</x14:id>
        </ext>
      </extLst>
    </cfRule>
  </conditionalFormatting>
  <conditionalFormatting sqref="J10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{525DB3FF-51CB-45C9-88A9-5CD82FCE6AC3}</x14:id>
        </ext>
      </extLst>
    </cfRule>
  </conditionalFormatting>
  <conditionalFormatting sqref="L10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{C2603634-EAF3-4935-94FD-887C8A646165}</x14:id>
        </ext>
      </extLst>
    </cfRule>
  </conditionalFormatting>
  <conditionalFormatting sqref="M10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{A9117CAD-A3D1-4DB3-ADAF-F757FE0D545D}</x14:id>
        </ext>
      </extLst>
    </cfRule>
  </conditionalFormatting>
  <conditionalFormatting sqref="L10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{EC0F5E29-9FE1-4693-9CA4-B71D0FBF7C1A}</x14:id>
        </ext>
      </extLst>
    </cfRule>
  </conditionalFormatting>
  <conditionalFormatting sqref="M10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{1F94CAED-E860-430D-8F5F-2C5F43782A4C}</x14:id>
        </ext>
      </extLst>
    </cfRule>
  </conditionalFormatting>
  <conditionalFormatting sqref="J10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{8B710EB1-1410-423C-B756-5395EC846BBB}</x14:id>
        </ext>
      </extLst>
    </cfRule>
  </conditionalFormatting>
  <conditionalFormatting sqref="L8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L11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{3170BB6A-78C2-468A-9EE4-6174091CF029}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{AB194F66-B12F-464E-BAF2-F87C80F63231}</x14:id>
        </ext>
      </extLst>
    </cfRule>
  </conditionalFormatting>
  <conditionalFormatting sqref="M11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{B0299A6B-BB45-4F77-9211-2170AF4E2064}</x14:id>
        </ext>
      </extLst>
    </cfRule>
    <cfRule type="dataBar" priority="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{71C3851C-F9D9-4CBB-8A8B-1E2840C7F6C8}</x14:id>
        </ext>
      </extLst>
    </cfRule>
  </conditionalFormatting>
  <conditionalFormatting sqref="L11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{6F04ED4F-90E3-4318-B136-7118CDF348A2}</x14:id>
        </ext>
      </extLst>
    </cfRule>
  </conditionalFormatting>
  <conditionalFormatting sqref="M11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{5B02DA00-8FBF-4BBA-A80B-EF054E7D77A9}</x14:id>
        </ext>
      </extLst>
    </cfRule>
  </conditionalFormatting>
  <conditionalFormatting sqref="J11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{5D289D6E-5E69-446D-8863-006AF2C4B5D5}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{F7B53B1F-1BEC-4014-9D09-5ABFDA33F700}</x14:id>
        </ext>
      </extLst>
    </cfRule>
  </conditionalFormatting>
  <conditionalFormatting sqref="J11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{A461868E-6DE0-4BF2-977F-C4F86E9429C3}</x14:id>
        </ext>
      </extLst>
    </cfRule>
  </conditionalFormatting>
  <conditionalFormatting sqref="J11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{FE3C0BE0-42D9-4BE6-84BF-08975D19875A}</x14:id>
        </ext>
      </extLst>
    </cfRule>
  </conditionalFormatting>
  <conditionalFormatting sqref="L11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{5779BCFA-EA07-4C35-BA7D-CF8FD3A75312}</x14:id>
        </ext>
      </extLst>
    </cfRule>
  </conditionalFormatting>
  <conditionalFormatting sqref="M11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{754BA453-7331-45E0-A8AE-6EA306FC1508}</x14:id>
        </ext>
      </extLst>
    </cfRule>
  </conditionalFormatting>
  <conditionalFormatting sqref="L1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{42A6205F-70E4-4425-86F5-4618B7C90BE5}</x14:id>
        </ext>
      </extLst>
    </cfRule>
  </conditionalFormatting>
  <conditionalFormatting sqref="M11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{5936B88F-8937-43A5-A433-95D5041415FF}</x14:id>
        </ext>
      </extLst>
    </cfRule>
  </conditionalFormatting>
  <conditionalFormatting sqref="J11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{2ED9697F-6449-4ED3-8000-7DCEEA719B5A}</x14:id>
        </ext>
      </extLst>
    </cfRule>
  </conditionalFormatting>
  <conditionalFormatting sqref="J11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{EDCA3D98-FAFD-4253-9359-061C69694D7C}</x14:id>
        </ext>
      </extLst>
    </cfRule>
  </conditionalFormatting>
  <conditionalFormatting sqref="L11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{2BA6FFC6-3F5D-4863-B657-8BBF94D47497}</x14:id>
        </ext>
      </extLst>
    </cfRule>
  </conditionalFormatting>
  <conditionalFormatting sqref="M1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{F3E2AAE9-B486-44C5-851C-21632852ABEE}</x14:id>
        </ext>
      </extLst>
    </cfRule>
  </conditionalFormatting>
  <conditionalFormatting sqref="J11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{BEAF6405-DC01-460D-BF00-DFF20A6DEF95}</x14:id>
        </ext>
      </extLst>
    </cfRule>
  </conditionalFormatting>
  <conditionalFormatting sqref="L11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{E9903653-C8A9-4206-8D7E-12DA5508DCC9}</x14:id>
        </ext>
      </extLst>
    </cfRule>
  </conditionalFormatting>
  <conditionalFormatting sqref="M1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{01A219D8-65F9-454C-92D8-C486316CD655}</x14:id>
        </ext>
      </extLst>
    </cfRule>
  </conditionalFormatting>
  <conditionalFormatting sqref="L11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{28C99C03-9834-43F6-B16A-583D87C4822B}</x14:id>
        </ext>
      </extLst>
    </cfRule>
  </conditionalFormatting>
  <conditionalFormatting sqref="M11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{EC8228DF-11A6-43D2-BA12-B9FE073A902E}</x14:id>
        </ext>
      </extLst>
    </cfRule>
  </conditionalFormatting>
  <conditionalFormatting sqref="J11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{70F87D61-E29A-4996-8543-795AE9657EAD}</x14:id>
        </ext>
      </extLst>
    </cfRule>
  </conditionalFormatting>
  <conditionalFormatting sqref="L12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{D982599C-44FD-4A9A-B505-72C835F34E21}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{FB61FF37-9095-4F5E-B7E7-54EC87CF44F3}</x14:id>
        </ext>
      </extLst>
    </cfRule>
  </conditionalFormatting>
  <conditionalFormatting sqref="M12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{BE175885-59EF-46D0-801E-7D6A62F20AD0}</x14:id>
        </ext>
      </extLst>
    </cfRule>
    <cfRule type="dataBar" priority="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{F29A8F87-B14B-4373-9C9F-C3DB17E65A90}</x14:id>
        </ext>
      </extLst>
    </cfRule>
  </conditionalFormatting>
  <conditionalFormatting sqref="L12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{06B7BE74-91FD-4A7E-950B-735E51F03418}</x14:id>
        </ext>
      </extLst>
    </cfRule>
  </conditionalFormatting>
  <conditionalFormatting sqref="M12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{F486DAB6-0631-465F-B701-5975FADF9F53}</x14:id>
        </ext>
      </extLst>
    </cfRule>
  </conditionalFormatting>
  <conditionalFormatting sqref="J12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{A6832D98-3D44-4DA0-A5E5-CA1FD155CB59}</x14:id>
        </ext>
      </extLs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{48AB960B-25A4-4ABC-B796-B77F433DDDB0}</x14:id>
        </ext>
      </extLst>
    </cfRule>
  </conditionalFormatting>
  <conditionalFormatting sqref="J12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{89AE3D60-89E1-4942-A094-941D5D31C16C}</x14:id>
        </ext>
      </extLst>
    </cfRule>
  </conditionalFormatting>
  <conditionalFormatting sqref="J12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{C49924D6-03C2-4BCC-964D-5C0DBDD9D68E}</x14:id>
        </ext>
      </extLst>
    </cfRule>
  </conditionalFormatting>
  <conditionalFormatting sqref="L1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{C2577D37-F8A0-4CDF-B256-AB8AB272063E}</x14:id>
        </ext>
      </extLst>
    </cfRule>
  </conditionalFormatting>
  <conditionalFormatting sqref="M12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{90AE0040-B3A2-4C7F-AE9F-34C5DCFEA82F}</x14:id>
        </ext>
      </extLst>
    </cfRule>
  </conditionalFormatting>
  <conditionalFormatting sqref="L12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{35C5841F-C902-41C7-899C-F5360D1F8163}</x14:id>
        </ext>
      </extLst>
    </cfRule>
  </conditionalFormatting>
  <conditionalFormatting sqref="M12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{AFBB9F41-DF69-4FDD-B720-7B7ABB4C996E}</x14:id>
        </ext>
      </extLst>
    </cfRule>
  </conditionalFormatting>
  <conditionalFormatting sqref="J1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{878C3B4F-57E0-4826-B428-C57071A8E315}</x14:id>
        </ext>
      </extLst>
    </cfRule>
  </conditionalFormatting>
  <conditionalFormatting sqref="J12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{324AE810-0581-4A06-A6D4-147263421742}</x14:id>
        </ext>
      </extLst>
    </cfRule>
  </conditionalFormatting>
  <conditionalFormatting sqref="L12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{46AB8E77-0E3C-45DC-8068-CCC6CF631E0C}</x14:id>
        </ext>
      </extLst>
    </cfRule>
  </conditionalFormatting>
  <conditionalFormatting sqref="M12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{680DF83F-4B71-44DC-B285-9F0C23A38596}</x14:id>
        </ext>
      </extLst>
    </cfRule>
  </conditionalFormatting>
  <conditionalFormatting sqref="J1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{6CCDE037-41E5-4955-AAA2-4A13C7813C90}</x14:id>
        </ext>
      </extLst>
    </cfRule>
  </conditionalFormatting>
  <conditionalFormatting sqref="L1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{B43EEDC4-9627-464F-9CF5-EA303060C88C}</x14:id>
        </ext>
      </extLst>
    </cfRule>
  </conditionalFormatting>
  <conditionalFormatting sqref="M12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{E396DB9B-BC16-4DB4-AA4A-C703AD8500CE}</x14:id>
        </ext>
      </extLst>
    </cfRule>
  </conditionalFormatting>
  <conditionalFormatting sqref="L12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{A45E195D-0D9A-48E3-848D-550B1FA6F0B8}</x14:id>
        </ext>
      </extLst>
    </cfRule>
  </conditionalFormatting>
  <conditionalFormatting sqref="M12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{DCE39732-9BA4-47C4-B510-28A9684EFD5B}</x14:id>
        </ext>
      </extLst>
    </cfRule>
  </conditionalFormatting>
  <conditionalFormatting sqref="J12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{B21D1902-D6C5-497E-9B71-D5D28CF76850}</x14:id>
        </ext>
      </extLst>
    </cfRule>
  </conditionalFormatting>
  <conditionalFormatting sqref="AF7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9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9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9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AE13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AC3:AC12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AD3:AD12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AE3:AE12</xm:sqref>
        </x14:conditionalFormatting>
        <x14:conditionalFormatting xmlns:xm="http://schemas.microsoft.com/office/excel/2006/main">
          <x14:cfRule type="dataBar" id="{7824D937-FB66-4786-8048-5FDAC5424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21FA148-E13A-4154-9572-40B6911F7B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C27E38-AD86-4F68-9809-48B3C42F27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A8F7AD-A867-47BD-BAC5-1D8A4900D2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15F1AA6-BAE5-4F74-904B-F009EB2EB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BA7F1F5-5C6C-46DC-82E3-EAD3510388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754B325-5CB1-4ABF-8ACD-C335E5A213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C6F19D-E7E5-4143-BFA9-A6C87DB09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7EF119A-D3B9-4711-842A-6912F1C634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8809B6-0E8C-4EE7-99AB-6CD2B4EAF5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D54A91B-E352-450E-B8B7-D052E907F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77DEBAF-236D-4328-9212-619579F344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E5C5F51-0274-442E-BDF3-90F78DFAA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904ED871-92D9-4DD9-9181-A95A93A2FD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6E28ED2-535C-444A-970D-29DD7CEDE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71BB5C42-9706-48C1-9E11-59550AEA9F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122135E4-9427-42D2-BBCB-CD119535F2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7BA535A-E74A-4CDF-AD28-C17610437E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25DB3FF-51CB-45C9-88A9-5CD82FCE6A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C2603634-EAF3-4935-94FD-887C8A6461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117CAD-A3D1-4DB3-ADAF-F757FE0D54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0F5E29-9FE1-4693-9CA4-B71D0FBF7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1F94CAED-E860-430D-8F5F-2C5F43782A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8B710EB1-1410-423C-B756-5395EC846B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170BB6A-78C2-468A-9EE4-6174091CF0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B194F66-B12F-464E-BAF2-F87C80F632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0299A6B-BB45-4F77-9211-2170AF4E20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1C3851C-F9D9-4CBB-8A8B-1E2840C7F6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F04ED4F-90E3-4318-B136-7118CDF348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B02DA00-8FBF-4BBA-A80B-EF054E7D7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D289D6E-5E69-446D-8863-006AF2C4B5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7B53B1F-1BEC-4014-9D09-5ABFDA33F7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A461868E-6DE0-4BF2-977F-C4F86E942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E3C0BE0-42D9-4BE6-84BF-08975D198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5779BCFA-EA07-4C35-BA7D-CF8FD3A75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54BA453-7331-45E0-A8AE-6EA306FC15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2A6205F-70E4-4425-86F5-4618B7C90B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936B88F-8937-43A5-A433-95D504141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ED9697F-6449-4ED3-8000-7DCEEA719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DCA3D98-FAFD-4253-9359-061C69694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2BA6FFC6-3F5D-4863-B657-8BBF94D47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3E2AAE9-B486-44C5-851C-21632852AB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BEAF6405-DC01-460D-BF00-DFF20A6DEF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9903653-C8A9-4206-8D7E-12DA5508DC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1A219D8-65F9-454C-92D8-C486316CD6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8C99C03-9834-43F6-B16A-583D87C4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8228DF-11A6-43D2-BA12-B9FE073A90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0F87D61-E29A-4996-8543-795AE9657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D982599C-44FD-4A9A-B505-72C835F34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61FF37-9095-4F5E-B7E7-54EC87CF44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E175885-59EF-46D0-801E-7D6A62F20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29A8F87-B14B-4373-9C9F-C3DB17E65A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06B7BE74-91FD-4A7E-950B-735E51F034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486DAB6-0631-465F-B701-5975FADF9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6832D98-3D44-4DA0-A5E5-CA1FD155C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AB960B-25A4-4ABC-B796-B77F433DD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89AE3D60-89E1-4942-A094-941D5D31C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49924D6-03C2-4BCC-964D-5C0DBDD9D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2577D37-F8A0-4CDF-B256-AB8AB27206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0AE0040-B3A2-4C7F-AE9F-34C5DCFEA8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5C5841F-C902-41C7-899C-F5360D1F8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FBB9F41-DF69-4FDD-B720-7B7ABB4C9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878C3B4F-57E0-4826-B428-C57071A8E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324AE810-0581-4A06-A6D4-147263421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46AB8E77-0E3C-45DC-8068-CCC6CF631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80DF83F-4B71-44DC-B285-9F0C23A385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6CCDE037-41E5-4955-AAA2-4A13C7813C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B43EEDC4-9627-464F-9CF5-EA303060C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396DB9B-BC16-4DB4-AA4A-C703AD850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45E195D-0D9A-48E3-848D-550B1FA6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CE39732-9BA4-47C4-B510-28A9684EFD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B21D1902-D6C5-497E-9B71-D5D28CF76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98" t="s">
        <v>1074</v>
      </c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300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38</v>
      </c>
      <c r="C4" s="222"/>
      <c r="D4" s="223" t="e">
        <f>C4/C$18</f>
        <v>#DIV/0!</v>
      </c>
      <c r="E4" s="223" t="e">
        <f>D4</f>
        <v>#DIV/0!</v>
      </c>
      <c r="F4" s="224" t="e">
        <f>IF(AND(E4&lt;=0),"C",IF(E4&lt;=0.8,"A",IF(E4&lt;=0.95,"B","C")))</f>
        <v>#DIV/0!</v>
      </c>
      <c r="G4" s="224" t="e">
        <f>VLOOKUP(B$4:B$17,I$4:M$17,5,0)</f>
        <v>#DIV/0!</v>
      </c>
      <c r="I4" s="221" t="s">
        <v>38</v>
      </c>
      <c r="J4" s="222"/>
      <c r="K4" s="223" t="e">
        <f>J4/J$18</f>
        <v>#DIV/0!</v>
      </c>
      <c r="L4" s="223" t="e">
        <f>K4</f>
        <v>#DIV/0!</v>
      </c>
      <c r="M4" s="224" t="e">
        <f t="shared" ref="M4:M17" si="0">_xlfn.IFS(L4&lt;80%,"A",L4&lt;=95%,"B",L4&gt;95%,"C")</f>
        <v>#DIV/0!</v>
      </c>
    </row>
    <row r="5" spans="2:13" ht="28.5" customHeight="1" outlineLevel="1" thickBot="1">
      <c r="B5" s="221" t="s">
        <v>39</v>
      </c>
      <c r="C5" s="222"/>
      <c r="D5" s="223" t="e">
        <f>C5/C$18</f>
        <v>#DIV/0!</v>
      </c>
      <c r="E5" s="223" t="e">
        <f>D5+E4</f>
        <v>#DIV/0!</v>
      </c>
      <c r="F5" s="224" t="e">
        <f t="shared" ref="F5:F17" si="1">IF(AND(E5&lt;=0),"C",IF(E5&lt;=0.8,"A",IF(E5&lt;=0.95,"B","C")))</f>
        <v>#DIV/0!</v>
      </c>
      <c r="G5" s="224" t="e">
        <f>VLOOKUP(B$4:B$17,I$4:M$17,5,0)</f>
        <v>#DIV/0!</v>
      </c>
      <c r="I5" s="221" t="s">
        <v>39</v>
      </c>
      <c r="J5" s="222"/>
      <c r="K5" s="223" t="e">
        <f>J5/J$18</f>
        <v>#DIV/0!</v>
      </c>
      <c r="L5" s="223" t="e">
        <f>K5+L4</f>
        <v>#DIV/0!</v>
      </c>
      <c r="M5" s="224" t="e">
        <f t="shared" si="0"/>
        <v>#DIV/0!</v>
      </c>
    </row>
    <row r="6" spans="2:13" ht="28.5" customHeight="1" outlineLevel="1" thickBot="1">
      <c r="B6" s="221" t="s">
        <v>40</v>
      </c>
      <c r="C6" s="222"/>
      <c r="D6" s="223" t="e">
        <f t="shared" ref="D6:D17" si="2">C6/C$18</f>
        <v>#DIV/0!</v>
      </c>
      <c r="E6" s="223" t="e">
        <f t="shared" ref="E6:E11" si="3">D6+E5</f>
        <v>#DIV/0!</v>
      </c>
      <c r="F6" s="224" t="e">
        <f t="shared" si="1"/>
        <v>#DIV/0!</v>
      </c>
      <c r="G6" s="224" t="e">
        <f t="shared" ref="G6:G17" si="4">VLOOKUP(B$4:B$17,I$4:M$17,5,0)</f>
        <v>#DIV/0!</v>
      </c>
      <c r="I6" s="221" t="s">
        <v>40</v>
      </c>
      <c r="J6" s="222"/>
      <c r="K6" s="223" t="e">
        <f t="shared" ref="K6:K17" si="5">J6/J$18</f>
        <v>#DIV/0!</v>
      </c>
      <c r="L6" s="223" t="e">
        <f t="shared" ref="L6:L11" si="6">K6+L5</f>
        <v>#DIV/0!</v>
      </c>
      <c r="M6" s="224" t="e">
        <f t="shared" si="0"/>
        <v>#DIV/0!</v>
      </c>
    </row>
    <row r="7" spans="2:13" ht="28.5" customHeight="1" outlineLevel="1" thickBot="1">
      <c r="B7" s="221" t="s">
        <v>41</v>
      </c>
      <c r="C7" s="222"/>
      <c r="D7" s="223" t="e">
        <f t="shared" si="2"/>
        <v>#DIV/0!</v>
      </c>
      <c r="E7" s="223" t="e">
        <f t="shared" si="3"/>
        <v>#DIV/0!</v>
      </c>
      <c r="F7" s="224" t="e">
        <f t="shared" si="1"/>
        <v>#DIV/0!</v>
      </c>
      <c r="G7" s="224" t="e">
        <f t="shared" si="4"/>
        <v>#DIV/0!</v>
      </c>
      <c r="I7" s="221" t="s">
        <v>41</v>
      </c>
      <c r="J7" s="222"/>
      <c r="K7" s="223" t="e">
        <f t="shared" si="5"/>
        <v>#DIV/0!</v>
      </c>
      <c r="L7" s="223" t="e">
        <f t="shared" si="6"/>
        <v>#DIV/0!</v>
      </c>
      <c r="M7" s="224" t="e">
        <f t="shared" si="0"/>
        <v>#DIV/0!</v>
      </c>
    </row>
    <row r="8" spans="2:13" ht="28.5" customHeight="1" outlineLevel="1" thickBot="1">
      <c r="B8" s="221" t="s">
        <v>42</v>
      </c>
      <c r="C8" s="222"/>
      <c r="D8" s="223" t="e">
        <f t="shared" si="2"/>
        <v>#DIV/0!</v>
      </c>
      <c r="E8" s="223" t="e">
        <f t="shared" si="3"/>
        <v>#DIV/0!</v>
      </c>
      <c r="F8" s="224" t="e">
        <f t="shared" si="1"/>
        <v>#DIV/0!</v>
      </c>
      <c r="G8" s="224" t="e">
        <f t="shared" si="4"/>
        <v>#DIV/0!</v>
      </c>
      <c r="I8" s="221" t="s">
        <v>42</v>
      </c>
      <c r="J8" s="222"/>
      <c r="K8" s="223" t="e">
        <f t="shared" si="5"/>
        <v>#DIV/0!</v>
      </c>
      <c r="L8" s="223" t="e">
        <f t="shared" si="6"/>
        <v>#DIV/0!</v>
      </c>
      <c r="M8" s="224" t="e">
        <f t="shared" si="0"/>
        <v>#DIV/0!</v>
      </c>
    </row>
    <row r="9" spans="2:13" ht="28.5" customHeight="1" outlineLevel="1" thickBot="1">
      <c r="B9" s="221" t="s">
        <v>43</v>
      </c>
      <c r="C9" s="222"/>
      <c r="D9" s="223" t="e">
        <f t="shared" si="2"/>
        <v>#DIV/0!</v>
      </c>
      <c r="E9" s="223" t="e">
        <f t="shared" si="3"/>
        <v>#DIV/0!</v>
      </c>
      <c r="F9" s="224" t="e">
        <f t="shared" si="1"/>
        <v>#DIV/0!</v>
      </c>
      <c r="G9" s="224" t="e">
        <f t="shared" si="4"/>
        <v>#DIV/0!</v>
      </c>
      <c r="I9" s="221" t="s">
        <v>43</v>
      </c>
      <c r="J9" s="222"/>
      <c r="K9" s="223" t="e">
        <f t="shared" si="5"/>
        <v>#DIV/0!</v>
      </c>
      <c r="L9" s="223" t="e">
        <f t="shared" si="6"/>
        <v>#DIV/0!</v>
      </c>
      <c r="M9" s="224" t="e">
        <f t="shared" si="0"/>
        <v>#DIV/0!</v>
      </c>
    </row>
    <row r="10" spans="2:13" ht="28.5" customHeight="1" outlineLevel="1" thickBot="1">
      <c r="B10" s="221" t="s">
        <v>55</v>
      </c>
      <c r="C10" s="222"/>
      <c r="D10" s="223" t="e">
        <f t="shared" si="2"/>
        <v>#DIV/0!</v>
      </c>
      <c r="E10" s="223" t="e">
        <f t="shared" si="3"/>
        <v>#DIV/0!</v>
      </c>
      <c r="F10" s="224" t="e">
        <f t="shared" si="1"/>
        <v>#DIV/0!</v>
      </c>
      <c r="G10" s="224" t="e">
        <f t="shared" si="4"/>
        <v>#DIV/0!</v>
      </c>
      <c r="I10" s="221" t="s">
        <v>55</v>
      </c>
      <c r="J10" s="222"/>
      <c r="K10" s="223" t="e">
        <f t="shared" si="5"/>
        <v>#DIV/0!</v>
      </c>
      <c r="L10" s="223" t="e">
        <f t="shared" si="6"/>
        <v>#DIV/0!</v>
      </c>
      <c r="M10" s="224" t="e">
        <f t="shared" si="0"/>
        <v>#DIV/0!</v>
      </c>
    </row>
    <row r="11" spans="2:13" ht="28.5" customHeight="1" outlineLevel="1" thickBot="1">
      <c r="B11" s="221" t="s">
        <v>56</v>
      </c>
      <c r="C11" s="222"/>
      <c r="D11" s="223" t="e">
        <f t="shared" si="2"/>
        <v>#DIV/0!</v>
      </c>
      <c r="E11" s="223" t="e">
        <f t="shared" si="3"/>
        <v>#DIV/0!</v>
      </c>
      <c r="F11" s="224" t="e">
        <f t="shared" si="1"/>
        <v>#DIV/0!</v>
      </c>
      <c r="G11" s="224" t="e">
        <f t="shared" si="4"/>
        <v>#DIV/0!</v>
      </c>
      <c r="I11" s="221" t="s">
        <v>56</v>
      </c>
      <c r="J11" s="222"/>
      <c r="K11" s="223" t="e">
        <f t="shared" si="5"/>
        <v>#DIV/0!</v>
      </c>
      <c r="L11" s="223" t="e">
        <f t="shared" si="6"/>
        <v>#DIV/0!</v>
      </c>
      <c r="M11" s="224" t="e">
        <f t="shared" si="0"/>
        <v>#DIV/0!</v>
      </c>
    </row>
    <row r="12" spans="2:13" ht="28.5" customHeight="1" outlineLevel="1" thickBot="1">
      <c r="B12" s="221" t="s">
        <v>52</v>
      </c>
      <c r="C12" s="222"/>
      <c r="D12" s="223" t="e">
        <f t="shared" si="2"/>
        <v>#DIV/0!</v>
      </c>
      <c r="E12" s="223" t="e">
        <f>D12+E5</f>
        <v>#DIV/0!</v>
      </c>
      <c r="F12" s="224" t="e">
        <f t="shared" si="1"/>
        <v>#DIV/0!</v>
      </c>
      <c r="G12" s="224" t="e">
        <f t="shared" si="4"/>
        <v>#DIV/0!</v>
      </c>
      <c r="I12" s="221" t="s">
        <v>52</v>
      </c>
      <c r="J12" s="222"/>
      <c r="K12" s="223" t="e">
        <f t="shared" si="5"/>
        <v>#DIV/0!</v>
      </c>
      <c r="L12" s="223" t="e">
        <f>K12+L5</f>
        <v>#DIV/0!</v>
      </c>
      <c r="M12" s="224" t="e">
        <f t="shared" si="0"/>
        <v>#DIV/0!</v>
      </c>
    </row>
    <row r="13" spans="2:13" ht="28.5" customHeight="1" outlineLevel="1" thickBot="1">
      <c r="B13" s="221" t="s">
        <v>57</v>
      </c>
      <c r="C13" s="222"/>
      <c r="D13" s="223" t="e">
        <f t="shared" si="2"/>
        <v>#DIV/0!</v>
      </c>
      <c r="E13" s="223" t="e">
        <f t="shared" ref="E13:E16" si="7">D13+E12</f>
        <v>#DIV/0!</v>
      </c>
      <c r="F13" s="224" t="e">
        <f t="shared" si="1"/>
        <v>#DIV/0!</v>
      </c>
      <c r="G13" s="224" t="e">
        <f t="shared" si="4"/>
        <v>#DIV/0!</v>
      </c>
      <c r="I13" s="221" t="s">
        <v>57</v>
      </c>
      <c r="J13" s="222"/>
      <c r="K13" s="223" t="e">
        <f t="shared" si="5"/>
        <v>#DIV/0!</v>
      </c>
      <c r="L13" s="223" t="e">
        <f t="shared" ref="L13:L16" si="8">K13+L12</f>
        <v>#DIV/0!</v>
      </c>
      <c r="M13" s="224" t="e">
        <f t="shared" si="0"/>
        <v>#DIV/0!</v>
      </c>
    </row>
    <row r="14" spans="2:13" ht="28.5" customHeight="1" outlineLevel="1" thickBot="1">
      <c r="B14" s="221" t="s">
        <v>58</v>
      </c>
      <c r="C14" s="222"/>
      <c r="D14" s="223" t="e">
        <f t="shared" si="2"/>
        <v>#DIV/0!</v>
      </c>
      <c r="E14" s="223" t="e">
        <f t="shared" si="7"/>
        <v>#DIV/0!</v>
      </c>
      <c r="F14" s="224" t="e">
        <f t="shared" si="1"/>
        <v>#DIV/0!</v>
      </c>
      <c r="G14" s="224" t="e">
        <f t="shared" si="4"/>
        <v>#DIV/0!</v>
      </c>
      <c r="I14" s="221" t="s">
        <v>58</v>
      </c>
      <c r="J14" s="222"/>
      <c r="K14" s="223" t="e">
        <f t="shared" si="5"/>
        <v>#DIV/0!</v>
      </c>
      <c r="L14" s="223" t="e">
        <f t="shared" si="8"/>
        <v>#DIV/0!</v>
      </c>
      <c r="M14" s="224" t="e">
        <f t="shared" si="0"/>
        <v>#DIV/0!</v>
      </c>
    </row>
    <row r="15" spans="2:13" ht="28.5" customHeight="1" outlineLevel="1" thickBot="1">
      <c r="B15" s="221" t="s">
        <v>59</v>
      </c>
      <c r="C15" s="222"/>
      <c r="D15" s="223" t="e">
        <f t="shared" si="2"/>
        <v>#DIV/0!</v>
      </c>
      <c r="E15" s="223" t="e">
        <f t="shared" si="7"/>
        <v>#DIV/0!</v>
      </c>
      <c r="F15" s="224" t="e">
        <f t="shared" si="1"/>
        <v>#DIV/0!</v>
      </c>
      <c r="G15" s="224" t="e">
        <f t="shared" si="4"/>
        <v>#DIV/0!</v>
      </c>
      <c r="I15" s="221" t="s">
        <v>59</v>
      </c>
      <c r="J15" s="222"/>
      <c r="K15" s="223" t="e">
        <f t="shared" si="5"/>
        <v>#DIV/0!</v>
      </c>
      <c r="L15" s="223" t="e">
        <f t="shared" si="8"/>
        <v>#DIV/0!</v>
      </c>
      <c r="M15" s="224" t="e">
        <f t="shared" si="0"/>
        <v>#DIV/0!</v>
      </c>
    </row>
    <row r="16" spans="2:13" ht="28.5" customHeight="1" outlineLevel="1" thickBot="1">
      <c r="B16" s="221" t="s">
        <v>53</v>
      </c>
      <c r="C16" s="222"/>
      <c r="D16" s="223" t="e">
        <f t="shared" si="2"/>
        <v>#DIV/0!</v>
      </c>
      <c r="E16" s="223" t="e">
        <f t="shared" si="7"/>
        <v>#DIV/0!</v>
      </c>
      <c r="F16" s="224" t="e">
        <f t="shared" si="1"/>
        <v>#DIV/0!</v>
      </c>
      <c r="G16" s="224" t="e">
        <f t="shared" si="4"/>
        <v>#DIV/0!</v>
      </c>
      <c r="I16" s="221" t="s">
        <v>53</v>
      </c>
      <c r="J16" s="222"/>
      <c r="K16" s="223" t="e">
        <f t="shared" si="5"/>
        <v>#DIV/0!</v>
      </c>
      <c r="L16" s="223" t="e">
        <f t="shared" si="8"/>
        <v>#DIV/0!</v>
      </c>
      <c r="M16" s="224" t="e">
        <f t="shared" si="0"/>
        <v>#DIV/0!</v>
      </c>
    </row>
    <row r="17" spans="2:13" ht="28.5" customHeight="1" outlineLevel="1" thickBot="1">
      <c r="B17" s="221" t="s">
        <v>60</v>
      </c>
      <c r="C17" s="222"/>
      <c r="D17" s="223" t="e">
        <f t="shared" si="2"/>
        <v>#DIV/0!</v>
      </c>
      <c r="E17" s="223" t="e">
        <f>D17+E14</f>
        <v>#DIV/0!</v>
      </c>
      <c r="F17" s="224" t="e">
        <f t="shared" si="1"/>
        <v>#DIV/0!</v>
      </c>
      <c r="G17" s="224" t="e">
        <f t="shared" si="4"/>
        <v>#DIV/0!</v>
      </c>
      <c r="I17" s="221" t="s">
        <v>60</v>
      </c>
      <c r="J17" s="222"/>
      <c r="K17" s="223" t="e">
        <f t="shared" si="5"/>
        <v>#DIV/0!</v>
      </c>
      <c r="L17" s="223" t="e">
        <f>K17+L14</f>
        <v>#DIV/0!</v>
      </c>
      <c r="M17" s="224" t="e">
        <f t="shared" si="0"/>
        <v>#DIV/0!</v>
      </c>
    </row>
    <row r="18" spans="2:13" outlineLevel="1">
      <c r="C18" s="225">
        <f>SUM(C4:C17)</f>
        <v>0</v>
      </c>
      <c r="D18" s="226" t="e">
        <f>SUM(D4:D17)</f>
        <v>#DIV/0!</v>
      </c>
      <c r="J18" s="225">
        <f>SUM(J4:J17)</f>
        <v>0</v>
      </c>
      <c r="K18" s="226" t="e">
        <f>SUM(K4:K17)</f>
        <v>#DIV/0!</v>
      </c>
    </row>
    <row r="20" spans="2:13" ht="15" hidden="1" outlineLevel="1" thickBot="1">
      <c r="B20" s="301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3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9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0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1">C23/C$42</f>
        <v>#DIV/0!</v>
      </c>
      <c r="E23" s="223" t="e">
        <f>D23+E22</f>
        <v>#DIV/0!</v>
      </c>
      <c r="F23" s="224" t="e">
        <f t="shared" si="9"/>
        <v>#DIV/0!</v>
      </c>
      <c r="G23" s="224" t="e">
        <f t="shared" ref="G23:G41" si="12">VLOOKUP(B$22:B$42,I$22:M$42,5,0)</f>
        <v>#N/A</v>
      </c>
      <c r="I23" s="221"/>
      <c r="J23" s="222"/>
      <c r="K23" s="223" t="e">
        <f t="shared" ref="K23:K41" si="13">J23/J$42</f>
        <v>#DIV/0!</v>
      </c>
      <c r="L23" s="223" t="e">
        <f>K23+L22</f>
        <v>#DIV/0!</v>
      </c>
      <c r="M23" s="224" t="e">
        <f t="shared" si="10"/>
        <v>#DIV/0!</v>
      </c>
    </row>
    <row r="24" spans="2:13" ht="15" hidden="1" outlineLevel="1" thickBot="1">
      <c r="B24" s="221"/>
      <c r="C24" s="222"/>
      <c r="D24" s="223" t="e">
        <f t="shared" si="11"/>
        <v>#DIV/0!</v>
      </c>
      <c r="E24" s="223" t="e">
        <f t="shared" ref="E24:E41" si="14">D24+E23</f>
        <v>#DIV/0!</v>
      </c>
      <c r="F24" s="224" t="e">
        <f t="shared" si="9"/>
        <v>#DIV/0!</v>
      </c>
      <c r="G24" s="224" t="e">
        <f t="shared" si="12"/>
        <v>#N/A</v>
      </c>
      <c r="I24" s="221"/>
      <c r="J24" s="222"/>
      <c r="K24" s="223" t="e">
        <f t="shared" si="13"/>
        <v>#DIV/0!</v>
      </c>
      <c r="L24" s="223" t="e">
        <f t="shared" ref="L24:L41" si="15">K24+L23</f>
        <v>#DIV/0!</v>
      </c>
      <c r="M24" s="224" t="e">
        <f t="shared" si="10"/>
        <v>#DIV/0!</v>
      </c>
    </row>
    <row r="25" spans="2:13" ht="15" hidden="1" outlineLevel="1" thickBot="1">
      <c r="B25" s="221"/>
      <c r="C25" s="222"/>
      <c r="D25" s="223" t="e">
        <f t="shared" si="11"/>
        <v>#DIV/0!</v>
      </c>
      <c r="E25" s="223" t="e">
        <f t="shared" si="14"/>
        <v>#DIV/0!</v>
      </c>
      <c r="F25" s="224" t="e">
        <f t="shared" si="9"/>
        <v>#DIV/0!</v>
      </c>
      <c r="G25" s="224" t="e">
        <f t="shared" si="12"/>
        <v>#N/A</v>
      </c>
      <c r="I25" s="221"/>
      <c r="J25" s="222"/>
      <c r="K25" s="223" t="e">
        <f t="shared" si="13"/>
        <v>#DIV/0!</v>
      </c>
      <c r="L25" s="223" t="e">
        <f t="shared" si="15"/>
        <v>#DIV/0!</v>
      </c>
      <c r="M25" s="224" t="e">
        <f t="shared" si="10"/>
        <v>#DIV/0!</v>
      </c>
    </row>
    <row r="26" spans="2:13" ht="15" hidden="1" outlineLevel="1" thickBot="1">
      <c r="B26" s="221"/>
      <c r="C26" s="222"/>
      <c r="D26" s="223" t="e">
        <f t="shared" si="11"/>
        <v>#DIV/0!</v>
      </c>
      <c r="E26" s="223" t="e">
        <f t="shared" si="14"/>
        <v>#DIV/0!</v>
      </c>
      <c r="F26" s="224" t="e">
        <f t="shared" si="9"/>
        <v>#DIV/0!</v>
      </c>
      <c r="G26" s="224" t="e">
        <f t="shared" si="12"/>
        <v>#N/A</v>
      </c>
      <c r="I26" s="221"/>
      <c r="J26" s="222"/>
      <c r="K26" s="223" t="e">
        <f t="shared" si="13"/>
        <v>#DIV/0!</v>
      </c>
      <c r="L26" s="223" t="e">
        <f t="shared" si="15"/>
        <v>#DIV/0!</v>
      </c>
      <c r="M26" s="224" t="e">
        <f t="shared" si="10"/>
        <v>#DIV/0!</v>
      </c>
    </row>
    <row r="27" spans="2:13" ht="15" hidden="1" outlineLevel="1" thickBot="1">
      <c r="B27" s="221"/>
      <c r="C27" s="222"/>
      <c r="D27" s="223" t="e">
        <f t="shared" si="11"/>
        <v>#DIV/0!</v>
      </c>
      <c r="E27" s="223" t="e">
        <f t="shared" si="14"/>
        <v>#DIV/0!</v>
      </c>
      <c r="F27" s="224" t="e">
        <f t="shared" si="9"/>
        <v>#DIV/0!</v>
      </c>
      <c r="G27" s="224" t="e">
        <f t="shared" si="12"/>
        <v>#N/A</v>
      </c>
      <c r="I27" s="221"/>
      <c r="J27" s="222"/>
      <c r="K27" s="223" t="e">
        <f t="shared" si="13"/>
        <v>#DIV/0!</v>
      </c>
      <c r="L27" s="223" t="e">
        <f t="shared" si="15"/>
        <v>#DIV/0!</v>
      </c>
      <c r="M27" s="224" t="e">
        <f t="shared" si="10"/>
        <v>#DIV/0!</v>
      </c>
    </row>
    <row r="28" spans="2:13" ht="15" hidden="1" outlineLevel="1" thickBot="1">
      <c r="B28" s="221"/>
      <c r="C28" s="222"/>
      <c r="D28" s="223" t="e">
        <f t="shared" si="11"/>
        <v>#DIV/0!</v>
      </c>
      <c r="E28" s="223" t="e">
        <f t="shared" si="14"/>
        <v>#DIV/0!</v>
      </c>
      <c r="F28" s="224" t="e">
        <f t="shared" si="9"/>
        <v>#DIV/0!</v>
      </c>
      <c r="G28" s="224" t="e">
        <f t="shared" si="12"/>
        <v>#N/A</v>
      </c>
      <c r="I28" s="221"/>
      <c r="J28" s="222"/>
      <c r="K28" s="223" t="e">
        <f t="shared" si="13"/>
        <v>#DIV/0!</v>
      </c>
      <c r="L28" s="223" t="e">
        <f t="shared" si="15"/>
        <v>#DIV/0!</v>
      </c>
      <c r="M28" s="224" t="e">
        <f t="shared" si="10"/>
        <v>#DIV/0!</v>
      </c>
    </row>
    <row r="29" spans="2:13" ht="15" hidden="1" outlineLevel="1" thickBot="1">
      <c r="B29" s="221"/>
      <c r="C29" s="222"/>
      <c r="D29" s="223" t="e">
        <f t="shared" si="11"/>
        <v>#DIV/0!</v>
      </c>
      <c r="E29" s="223" t="e">
        <f t="shared" si="14"/>
        <v>#DIV/0!</v>
      </c>
      <c r="F29" s="224" t="e">
        <f>IF(AND(E29&lt;=0),"C",IF(E29&lt;=0.8,"A",IF(E29&lt;=0.95,"B","C")))</f>
        <v>#DIV/0!</v>
      </c>
      <c r="G29" s="224" t="e">
        <f t="shared" si="12"/>
        <v>#N/A</v>
      </c>
      <c r="I29" s="221"/>
      <c r="J29" s="222"/>
      <c r="K29" s="223" t="e">
        <f t="shared" si="13"/>
        <v>#DIV/0!</v>
      </c>
      <c r="L29" s="223" t="e">
        <f t="shared" si="15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1"/>
        <v>#DIV/0!</v>
      </c>
      <c r="E30" s="223" t="e">
        <f t="shared" si="14"/>
        <v>#DIV/0!</v>
      </c>
      <c r="F30" s="224" t="e">
        <f t="shared" ref="F30:F41" si="16">IF(AND(E30&lt;=0),"C",IF(E30&lt;=0.8,"A",IF(E30&lt;=0.95,"B","C")))</f>
        <v>#DIV/0!</v>
      </c>
      <c r="G30" s="224" t="e">
        <f t="shared" si="12"/>
        <v>#N/A</v>
      </c>
      <c r="I30" s="221"/>
      <c r="J30" s="222"/>
      <c r="K30" s="223" t="e">
        <f t="shared" si="13"/>
        <v>#DIV/0!</v>
      </c>
      <c r="L30" s="223" t="e">
        <f t="shared" si="15"/>
        <v>#DIV/0!</v>
      </c>
      <c r="M30" s="224" t="e">
        <f t="shared" ref="M30:M41" si="17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1"/>
        <v>#DIV/0!</v>
      </c>
      <c r="E31" s="223" t="e">
        <f t="shared" si="14"/>
        <v>#DIV/0!</v>
      </c>
      <c r="F31" s="224" t="e">
        <f t="shared" si="16"/>
        <v>#DIV/0!</v>
      </c>
      <c r="G31" s="224" t="e">
        <f t="shared" si="12"/>
        <v>#N/A</v>
      </c>
      <c r="I31" s="221"/>
      <c r="J31" s="222"/>
      <c r="K31" s="223" t="e">
        <f t="shared" si="13"/>
        <v>#DIV/0!</v>
      </c>
      <c r="L31" s="223" t="e">
        <f t="shared" si="15"/>
        <v>#DIV/0!</v>
      </c>
      <c r="M31" s="224" t="e">
        <f t="shared" si="17"/>
        <v>#DIV/0!</v>
      </c>
    </row>
    <row r="32" spans="2:13" ht="15" hidden="1" outlineLevel="1" thickBot="1">
      <c r="B32" s="221"/>
      <c r="C32" s="222"/>
      <c r="D32" s="223" t="e">
        <f t="shared" si="11"/>
        <v>#DIV/0!</v>
      </c>
      <c r="E32" s="223" t="e">
        <f t="shared" si="14"/>
        <v>#DIV/0!</v>
      </c>
      <c r="F32" s="224" t="e">
        <f t="shared" si="16"/>
        <v>#DIV/0!</v>
      </c>
      <c r="G32" s="224" t="e">
        <f t="shared" si="12"/>
        <v>#N/A</v>
      </c>
      <c r="I32" s="221"/>
      <c r="J32" s="222"/>
      <c r="K32" s="223" t="e">
        <f t="shared" si="13"/>
        <v>#DIV/0!</v>
      </c>
      <c r="L32" s="223" t="e">
        <f t="shared" si="15"/>
        <v>#DIV/0!</v>
      </c>
      <c r="M32" s="224" t="e">
        <f t="shared" si="17"/>
        <v>#DIV/0!</v>
      </c>
    </row>
    <row r="33" spans="2:13" ht="15" hidden="1" outlineLevel="1" thickBot="1">
      <c r="B33" s="221"/>
      <c r="C33" s="222"/>
      <c r="D33" s="223" t="e">
        <f t="shared" si="11"/>
        <v>#DIV/0!</v>
      </c>
      <c r="E33" s="223" t="e">
        <f t="shared" si="14"/>
        <v>#DIV/0!</v>
      </c>
      <c r="F33" s="224" t="e">
        <f t="shared" si="16"/>
        <v>#DIV/0!</v>
      </c>
      <c r="G33" s="224" t="e">
        <f t="shared" si="12"/>
        <v>#N/A</v>
      </c>
      <c r="I33" s="221"/>
      <c r="J33" s="222"/>
      <c r="K33" s="223" t="e">
        <f t="shared" si="13"/>
        <v>#DIV/0!</v>
      </c>
      <c r="L33" s="223" t="e">
        <f t="shared" si="15"/>
        <v>#DIV/0!</v>
      </c>
      <c r="M33" s="224" t="e">
        <f t="shared" si="17"/>
        <v>#DIV/0!</v>
      </c>
    </row>
    <row r="34" spans="2:13" ht="15" hidden="1" outlineLevel="1" thickBot="1">
      <c r="B34" s="221"/>
      <c r="C34" s="222"/>
      <c r="D34" s="223" t="e">
        <f t="shared" si="11"/>
        <v>#DIV/0!</v>
      </c>
      <c r="E34" s="223" t="e">
        <f t="shared" si="14"/>
        <v>#DIV/0!</v>
      </c>
      <c r="F34" s="224" t="e">
        <f t="shared" si="16"/>
        <v>#DIV/0!</v>
      </c>
      <c r="G34" s="224" t="e">
        <f t="shared" si="12"/>
        <v>#N/A</v>
      </c>
      <c r="I34" s="221"/>
      <c r="J34" s="222"/>
      <c r="K34" s="223" t="e">
        <f t="shared" si="13"/>
        <v>#DIV/0!</v>
      </c>
      <c r="L34" s="223" t="e">
        <f t="shared" si="15"/>
        <v>#DIV/0!</v>
      </c>
      <c r="M34" s="224" t="e">
        <f t="shared" si="17"/>
        <v>#DIV/0!</v>
      </c>
    </row>
    <row r="35" spans="2:13" ht="15" hidden="1" outlineLevel="1" thickBot="1">
      <c r="B35" s="221"/>
      <c r="C35" s="222"/>
      <c r="D35" s="223" t="e">
        <f t="shared" si="11"/>
        <v>#DIV/0!</v>
      </c>
      <c r="E35" s="223" t="e">
        <f t="shared" si="14"/>
        <v>#DIV/0!</v>
      </c>
      <c r="F35" s="224" t="e">
        <f t="shared" si="16"/>
        <v>#DIV/0!</v>
      </c>
      <c r="G35" s="224" t="e">
        <f t="shared" si="12"/>
        <v>#N/A</v>
      </c>
      <c r="I35" s="221"/>
      <c r="J35" s="222"/>
      <c r="K35" s="223" t="e">
        <f t="shared" si="13"/>
        <v>#DIV/0!</v>
      </c>
      <c r="L35" s="223" t="e">
        <f t="shared" si="15"/>
        <v>#DIV/0!</v>
      </c>
      <c r="M35" s="224" t="e">
        <f t="shared" si="17"/>
        <v>#DIV/0!</v>
      </c>
    </row>
    <row r="36" spans="2:13" ht="15" hidden="1" outlineLevel="1" thickBot="1">
      <c r="B36" s="221"/>
      <c r="C36" s="222"/>
      <c r="D36" s="223" t="e">
        <f t="shared" si="11"/>
        <v>#DIV/0!</v>
      </c>
      <c r="E36" s="223" t="e">
        <f t="shared" si="14"/>
        <v>#DIV/0!</v>
      </c>
      <c r="F36" s="224" t="e">
        <f t="shared" si="16"/>
        <v>#DIV/0!</v>
      </c>
      <c r="G36" s="224" t="e">
        <f t="shared" si="12"/>
        <v>#N/A</v>
      </c>
      <c r="I36" s="221"/>
      <c r="J36" s="222"/>
      <c r="K36" s="223" t="e">
        <f t="shared" si="13"/>
        <v>#DIV/0!</v>
      </c>
      <c r="L36" s="223" t="e">
        <f t="shared" si="15"/>
        <v>#DIV/0!</v>
      </c>
      <c r="M36" s="224" t="e">
        <f t="shared" si="17"/>
        <v>#DIV/0!</v>
      </c>
    </row>
    <row r="37" spans="2:13" ht="15" hidden="1" outlineLevel="1" thickBot="1">
      <c r="B37" s="221"/>
      <c r="C37" s="222"/>
      <c r="D37" s="223" t="e">
        <f t="shared" si="11"/>
        <v>#DIV/0!</v>
      </c>
      <c r="E37" s="223" t="e">
        <f t="shared" si="14"/>
        <v>#DIV/0!</v>
      </c>
      <c r="F37" s="224" t="e">
        <f t="shared" si="16"/>
        <v>#DIV/0!</v>
      </c>
      <c r="G37" s="224" t="e">
        <f t="shared" si="12"/>
        <v>#N/A</v>
      </c>
      <c r="I37" s="221"/>
      <c r="J37" s="222"/>
      <c r="K37" s="223" t="e">
        <f t="shared" si="13"/>
        <v>#DIV/0!</v>
      </c>
      <c r="L37" s="223" t="e">
        <f t="shared" si="15"/>
        <v>#DIV/0!</v>
      </c>
      <c r="M37" s="224" t="e">
        <f t="shared" si="17"/>
        <v>#DIV/0!</v>
      </c>
    </row>
    <row r="38" spans="2:13" ht="15" hidden="1" outlineLevel="1" thickBot="1">
      <c r="B38" s="221"/>
      <c r="C38" s="222"/>
      <c r="D38" s="223" t="e">
        <f t="shared" si="11"/>
        <v>#DIV/0!</v>
      </c>
      <c r="E38" s="223" t="e">
        <f t="shared" si="14"/>
        <v>#DIV/0!</v>
      </c>
      <c r="F38" s="224" t="e">
        <f t="shared" si="16"/>
        <v>#DIV/0!</v>
      </c>
      <c r="G38" s="224" t="e">
        <f t="shared" si="12"/>
        <v>#N/A</v>
      </c>
      <c r="I38" s="221"/>
      <c r="J38" s="222"/>
      <c r="K38" s="223" t="e">
        <f t="shared" si="13"/>
        <v>#DIV/0!</v>
      </c>
      <c r="L38" s="223" t="e">
        <f t="shared" si="15"/>
        <v>#DIV/0!</v>
      </c>
      <c r="M38" s="224" t="e">
        <f t="shared" si="17"/>
        <v>#DIV/0!</v>
      </c>
    </row>
    <row r="39" spans="2:13" ht="15" hidden="1" outlineLevel="1" thickBot="1">
      <c r="B39" s="221"/>
      <c r="C39" s="222"/>
      <c r="D39" s="223" t="e">
        <f t="shared" si="11"/>
        <v>#DIV/0!</v>
      </c>
      <c r="E39" s="223" t="e">
        <f t="shared" si="14"/>
        <v>#DIV/0!</v>
      </c>
      <c r="F39" s="224" t="e">
        <f t="shared" si="16"/>
        <v>#DIV/0!</v>
      </c>
      <c r="G39" s="224" t="e">
        <f t="shared" si="12"/>
        <v>#N/A</v>
      </c>
      <c r="I39" s="221"/>
      <c r="J39" s="222"/>
      <c r="K39" s="223" t="e">
        <f t="shared" si="13"/>
        <v>#DIV/0!</v>
      </c>
      <c r="L39" s="223" t="e">
        <f t="shared" si="15"/>
        <v>#DIV/0!</v>
      </c>
      <c r="M39" s="224" t="e">
        <f t="shared" si="17"/>
        <v>#DIV/0!</v>
      </c>
    </row>
    <row r="40" spans="2:13" ht="15" hidden="1" outlineLevel="1" thickBot="1">
      <c r="B40" s="221"/>
      <c r="C40" s="222"/>
      <c r="D40" s="223" t="e">
        <f t="shared" si="11"/>
        <v>#DIV/0!</v>
      </c>
      <c r="E40" s="223" t="e">
        <f t="shared" si="14"/>
        <v>#DIV/0!</v>
      </c>
      <c r="F40" s="224" t="e">
        <f t="shared" si="16"/>
        <v>#DIV/0!</v>
      </c>
      <c r="G40" s="224" t="e">
        <f t="shared" si="12"/>
        <v>#N/A</v>
      </c>
      <c r="I40" s="221"/>
      <c r="J40" s="222"/>
      <c r="K40" s="223" t="e">
        <f t="shared" si="13"/>
        <v>#DIV/0!</v>
      </c>
      <c r="L40" s="223" t="e">
        <f t="shared" si="15"/>
        <v>#DIV/0!</v>
      </c>
      <c r="M40" s="224" t="e">
        <f t="shared" si="17"/>
        <v>#DIV/0!</v>
      </c>
    </row>
    <row r="41" spans="2:13" ht="15" hidden="1" outlineLevel="1" thickBot="1">
      <c r="B41" s="221"/>
      <c r="C41" s="222"/>
      <c r="D41" s="223" t="e">
        <f t="shared" si="11"/>
        <v>#DIV/0!</v>
      </c>
      <c r="E41" s="223" t="e">
        <f t="shared" si="14"/>
        <v>#DIV/0!</v>
      </c>
      <c r="F41" s="224" t="e">
        <f t="shared" si="16"/>
        <v>#DIV/0!</v>
      </c>
      <c r="G41" s="224" t="e">
        <f t="shared" si="12"/>
        <v>#N/A</v>
      </c>
      <c r="I41" s="221"/>
      <c r="J41" s="222"/>
      <c r="K41" s="223" t="e">
        <f t="shared" si="13"/>
        <v>#DIV/0!</v>
      </c>
      <c r="L41" s="223" t="e">
        <f t="shared" si="15"/>
        <v>#DIV/0!</v>
      </c>
      <c r="M41" s="224" t="e">
        <f t="shared" si="17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177" priority="4" operator="equal">
      <formula>"C"</formula>
    </cfRule>
    <cfRule type="cellIs" dxfId="176" priority="5" operator="equal">
      <formula>"B"</formula>
    </cfRule>
    <cfRule type="cellIs" dxfId="175" priority="6" operator="equal">
      <formula>"A"</formula>
    </cfRule>
  </conditionalFormatting>
  <conditionalFormatting sqref="M22:M41 D22:D41 K22:K41 F22:G41">
    <cfRule type="cellIs" dxfId="174" priority="1" operator="equal">
      <formula>"C"</formula>
    </cfRule>
    <cfRule type="cellIs" dxfId="173" priority="2" operator="equal">
      <formula>"B"</formula>
    </cfRule>
    <cfRule type="cellIs" dxfId="172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E6" sqref="E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98" t="s">
        <v>1074</v>
      </c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300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53</v>
      </c>
      <c r="C4" s="222">
        <f>'Юнит 02-08.02'!AE15</f>
        <v>17819.348747000022</v>
      </c>
      <c r="D4" s="223">
        <f>C4/C$18</f>
        <v>0.34477823394247387</v>
      </c>
      <c r="E4" s="223">
        <f>D4</f>
        <v>0.34477823394247387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02-08.02'!R11</f>
        <v>42</v>
      </c>
      <c r="K4" s="223">
        <f>J4/J$18</f>
        <v>0.26923076923076922</v>
      </c>
      <c r="L4" s="223">
        <f>K4</f>
        <v>0.26923076923076922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52</v>
      </c>
      <c r="C5" s="222">
        <f>'Юнит 02-08.02'!AE11</f>
        <v>17298.21627300002</v>
      </c>
      <c r="D5" s="223">
        <f>C5/C$18</f>
        <v>0.33469508575412932</v>
      </c>
      <c r="E5" s="223">
        <f>D5+E4</f>
        <v>0.67947331969660318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'Юнит 02-08.02'!R15</f>
        <v>39</v>
      </c>
      <c r="K5" s="223">
        <f>J5/J$18</f>
        <v>0.25</v>
      </c>
      <c r="L5" s="223">
        <f>K5+L4</f>
        <v>0.51923076923076916</v>
      </c>
      <c r="M5" s="224" t="str">
        <f t="shared" si="0"/>
        <v>A</v>
      </c>
    </row>
    <row r="6" spans="2:13" ht="28.5" customHeight="1" outlineLevel="1" thickBot="1">
      <c r="B6" s="221" t="s">
        <v>43</v>
      </c>
      <c r="C6" s="222">
        <f>'Юнит 02-08.02'!AE8</f>
        <v>5949.5454910000026</v>
      </c>
      <c r="D6" s="223">
        <f t="shared" ref="D6:D11" si="2">C6/C$18</f>
        <v>0.1151149694790463</v>
      </c>
      <c r="E6" s="223">
        <f t="shared" ref="E6:E11" si="3">D6+E5</f>
        <v>0.7945882891756495</v>
      </c>
      <c r="F6" s="224" t="str">
        <f t="shared" si="1"/>
        <v>A</v>
      </c>
      <c r="G6" s="224" t="str">
        <f t="shared" ref="G6:G11" si="4">VLOOKUP(B$4:B$17,I$4:M$17,5,0)</f>
        <v>A</v>
      </c>
      <c r="I6" s="221" t="s">
        <v>43</v>
      </c>
      <c r="J6" s="222">
        <f>'Юнит 02-08.02'!R8</f>
        <v>16</v>
      </c>
      <c r="K6" s="223">
        <f t="shared" ref="K6:K11" si="5">J6/J$18</f>
        <v>0.10256410256410256</v>
      </c>
      <c r="L6" s="223">
        <f t="shared" ref="L6:L11" si="6">K6+L5</f>
        <v>0.6217948717948717</v>
      </c>
      <c r="M6" s="224" t="str">
        <f t="shared" si="0"/>
        <v>A</v>
      </c>
    </row>
    <row r="7" spans="2:13" ht="28.5" customHeight="1" outlineLevel="1" thickBot="1">
      <c r="B7" s="221" t="s">
        <v>41</v>
      </c>
      <c r="C7" s="222">
        <f>'Юнит 02-08.02'!AE6</f>
        <v>4764.67</v>
      </c>
      <c r="D7" s="223">
        <f t="shared" si="2"/>
        <v>9.218936849166573E-2</v>
      </c>
      <c r="E7" s="223">
        <f t="shared" si="3"/>
        <v>0.8867776576673152</v>
      </c>
      <c r="F7" s="224" t="str">
        <f t="shared" si="1"/>
        <v>B</v>
      </c>
      <c r="G7" s="224" t="str">
        <f t="shared" si="4"/>
        <v>A</v>
      </c>
      <c r="I7" s="221" t="s">
        <v>42</v>
      </c>
      <c r="J7" s="222">
        <f>'Юнит 02-08.02'!R7</f>
        <v>11</v>
      </c>
      <c r="K7" s="223">
        <f t="shared" si="5"/>
        <v>7.0512820512820512E-2</v>
      </c>
      <c r="L7" s="223">
        <f t="shared" si="6"/>
        <v>0.69230769230769218</v>
      </c>
      <c r="M7" s="224" t="str">
        <f t="shared" si="0"/>
        <v>A</v>
      </c>
    </row>
    <row r="8" spans="2:13" ht="28.5" customHeight="1" outlineLevel="1" thickBot="1">
      <c r="B8" s="221" t="s">
        <v>59</v>
      </c>
      <c r="C8" s="222">
        <f>'Юнит 02-08.02'!AE14</f>
        <v>2822.25</v>
      </c>
      <c r="D8" s="223">
        <f t="shared" si="2"/>
        <v>5.4606393564633773E-2</v>
      </c>
      <c r="E8" s="223">
        <f t="shared" si="3"/>
        <v>0.94138405123194902</v>
      </c>
      <c r="F8" s="224" t="str">
        <f t="shared" si="1"/>
        <v>B</v>
      </c>
      <c r="G8" s="224" t="str">
        <f t="shared" si="4"/>
        <v>B</v>
      </c>
      <c r="I8" s="221" t="s">
        <v>41</v>
      </c>
      <c r="J8" s="222">
        <f>'Юнит 02-08.02'!R6</f>
        <v>9</v>
      </c>
      <c r="K8" s="223">
        <f t="shared" si="5"/>
        <v>5.7692307692307696E-2</v>
      </c>
      <c r="L8" s="223">
        <f t="shared" si="6"/>
        <v>0.74999999999999989</v>
      </c>
      <c r="M8" s="224" t="str">
        <f t="shared" si="0"/>
        <v>A</v>
      </c>
    </row>
    <row r="9" spans="2:13" ht="28.5" customHeight="1" outlineLevel="1" thickBot="1">
      <c r="B9" s="221" t="s">
        <v>56</v>
      </c>
      <c r="C9" s="222">
        <f>'Юнит 02-08.02'!AE10</f>
        <v>2745.6607949999998</v>
      </c>
      <c r="D9" s="223">
        <f t="shared" si="2"/>
        <v>5.3124504904510664E-2</v>
      </c>
      <c r="E9" s="223">
        <f t="shared" si="3"/>
        <v>0.99450855613645972</v>
      </c>
      <c r="F9" s="224" t="str">
        <f t="shared" si="1"/>
        <v>C</v>
      </c>
      <c r="G9" s="224" t="str">
        <f t="shared" si="4"/>
        <v>B</v>
      </c>
      <c r="I9" s="221" t="s">
        <v>56</v>
      </c>
      <c r="J9" s="222">
        <f>'Юнит 02-08.02'!R10</f>
        <v>9</v>
      </c>
      <c r="K9" s="223">
        <f t="shared" si="5"/>
        <v>5.7692307692307696E-2</v>
      </c>
      <c r="L9" s="223">
        <f t="shared" si="6"/>
        <v>0.8076923076923076</v>
      </c>
      <c r="M9" s="224" t="str">
        <f t="shared" si="0"/>
        <v>B</v>
      </c>
    </row>
    <row r="10" spans="2:13" ht="28.5" customHeight="1" outlineLevel="1" thickBot="1">
      <c r="B10" s="221" t="s">
        <v>39</v>
      </c>
      <c r="C10" s="222">
        <f>'Юнит 02-08.02'!AE4</f>
        <v>1645.7899999999995</v>
      </c>
      <c r="D10" s="223">
        <f t="shared" si="2"/>
        <v>3.1843619971561196E-2</v>
      </c>
      <c r="E10" s="223">
        <f t="shared" si="3"/>
        <v>1.026352176108021</v>
      </c>
      <c r="F10" s="224" t="str">
        <f t="shared" si="1"/>
        <v>C</v>
      </c>
      <c r="G10" s="224" t="str">
        <f t="shared" si="4"/>
        <v>A</v>
      </c>
      <c r="I10" s="221" t="s">
        <v>59</v>
      </c>
      <c r="J10" s="222">
        <f>'Юнит 02-08.02'!R14</f>
        <v>8</v>
      </c>
      <c r="K10" s="223">
        <f t="shared" si="5"/>
        <v>5.128205128205128E-2</v>
      </c>
      <c r="L10" s="223">
        <f t="shared" si="6"/>
        <v>0.85897435897435892</v>
      </c>
      <c r="M10" s="224" t="str">
        <f t="shared" si="0"/>
        <v>B</v>
      </c>
    </row>
    <row r="11" spans="2:13" ht="28.5" customHeight="1" outlineLevel="1" thickBot="1">
      <c r="B11" s="221" t="s">
        <v>55</v>
      </c>
      <c r="C11" s="222">
        <f>'Юнит 02-08.02'!AE9</f>
        <v>1434.63</v>
      </c>
      <c r="D11" s="223">
        <f t="shared" si="2"/>
        <v>2.7757984019711419E-2</v>
      </c>
      <c r="E11" s="223">
        <f t="shared" si="3"/>
        <v>1.0541101601277325</v>
      </c>
      <c r="F11" s="224" t="str">
        <f t="shared" si="1"/>
        <v>C</v>
      </c>
      <c r="G11" s="224" t="str">
        <f t="shared" si="4"/>
        <v>B</v>
      </c>
      <c r="I11" s="221" t="s">
        <v>55</v>
      </c>
      <c r="J11" s="222">
        <f>'Юнит 02-08.02'!R9</f>
        <v>4</v>
      </c>
      <c r="K11" s="223">
        <f t="shared" si="5"/>
        <v>2.564102564102564E-2</v>
      </c>
      <c r="L11" s="223">
        <f t="shared" si="6"/>
        <v>0.88461538461538458</v>
      </c>
      <c r="M11" s="224" t="str">
        <f t="shared" si="0"/>
        <v>B</v>
      </c>
    </row>
    <row r="12" spans="2:13" ht="28.5" customHeight="1" outlineLevel="1" thickBot="1">
      <c r="B12" s="221" t="s">
        <v>40</v>
      </c>
      <c r="C12" s="222">
        <f>'Юнит 02-08.02'!AE5</f>
        <v>472.63000000000011</v>
      </c>
      <c r="D12" s="223">
        <f t="shared" ref="D12:D17" si="7">C12/C$18</f>
        <v>9.1446965330686022E-3</v>
      </c>
      <c r="E12" s="223">
        <f>D12+E5</f>
        <v>0.68861801622967178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57</v>
      </c>
      <c r="J12" s="222">
        <f>'Юнит 02-08.02'!R12</f>
        <v>4</v>
      </c>
      <c r="K12" s="223">
        <f t="shared" ref="K12:K17" si="9">J12/J$18</f>
        <v>2.564102564102564E-2</v>
      </c>
      <c r="L12" s="223">
        <f>K12+L5</f>
        <v>0.54487179487179482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'Юнит 02-08.02'!AE13</f>
        <v>372.2599999999984</v>
      </c>
      <c r="D13" s="223">
        <f t="shared" si="7"/>
        <v>7.2026844072532485E-3</v>
      </c>
      <c r="E13" s="223">
        <f t="shared" ref="E13:E16" si="10">D13+E12</f>
        <v>0.69582070063692503</v>
      </c>
      <c r="F13" s="224" t="str">
        <f t="shared" si="1"/>
        <v>A</v>
      </c>
      <c r="G13" s="224" t="str">
        <f t="shared" si="8"/>
        <v>A</v>
      </c>
      <c r="I13" s="221" t="s">
        <v>58</v>
      </c>
      <c r="J13" s="222">
        <f>'Юнит 02-08.02'!R13</f>
        <v>4</v>
      </c>
      <c r="K13" s="223">
        <f t="shared" si="9"/>
        <v>2.564102564102564E-2</v>
      </c>
      <c r="L13" s="223">
        <f t="shared" ref="L13:L16" si="11">K13+L12</f>
        <v>0.57051282051282048</v>
      </c>
      <c r="M13" s="224" t="str">
        <f t="shared" si="0"/>
        <v>A</v>
      </c>
    </row>
    <row r="14" spans="2:13" ht="28.5" customHeight="1" outlineLevel="1" thickBot="1">
      <c r="B14" s="221" t="s">
        <v>60</v>
      </c>
      <c r="C14" s="222">
        <f>'Юнит 02-08.02'!AE16</f>
        <v>356.26405699999987</v>
      </c>
      <c r="D14" s="223">
        <f t="shared" si="7"/>
        <v>6.8931863971919962E-3</v>
      </c>
      <c r="E14" s="223">
        <f t="shared" si="10"/>
        <v>0.70271388703411697</v>
      </c>
      <c r="F14" s="224" t="str">
        <f t="shared" si="1"/>
        <v>A</v>
      </c>
      <c r="G14" s="224" t="str">
        <f t="shared" si="8"/>
        <v>A</v>
      </c>
      <c r="I14" s="221" t="s">
        <v>60</v>
      </c>
      <c r="J14" s="222">
        <f>'Юнит 02-08.02'!R16</f>
        <v>4</v>
      </c>
      <c r="K14" s="223">
        <f t="shared" si="9"/>
        <v>2.564102564102564E-2</v>
      </c>
      <c r="L14" s="223">
        <f t="shared" si="11"/>
        <v>0.59615384615384615</v>
      </c>
      <c r="M14" s="224" t="str">
        <f t="shared" si="0"/>
        <v>A</v>
      </c>
    </row>
    <row r="15" spans="2:13" ht="28.5" customHeight="1" outlineLevel="1" thickBot="1">
      <c r="B15" s="221" t="s">
        <v>38</v>
      </c>
      <c r="C15" s="222">
        <f>'Юнит 02-08.02'!AE3</f>
        <v>282.53000000000003</v>
      </c>
      <c r="D15" s="223">
        <f t="shared" si="7"/>
        <v>5.4665406586291015E-3</v>
      </c>
      <c r="E15" s="223">
        <f t="shared" si="10"/>
        <v>0.70818042769274603</v>
      </c>
      <c r="F15" s="224" t="str">
        <f t="shared" si="1"/>
        <v>A</v>
      </c>
      <c r="G15" s="224" t="str">
        <f t="shared" si="8"/>
        <v>A</v>
      </c>
      <c r="I15" s="221" t="s">
        <v>39</v>
      </c>
      <c r="J15" s="222">
        <f>'Юнит 02-08.02'!R4</f>
        <v>3</v>
      </c>
      <c r="K15" s="223">
        <f t="shared" si="9"/>
        <v>1.9230769230769232E-2</v>
      </c>
      <c r="L15" s="223">
        <f t="shared" si="11"/>
        <v>0.61538461538461542</v>
      </c>
      <c r="M15" s="224" t="str">
        <f t="shared" si="0"/>
        <v>A</v>
      </c>
    </row>
    <row r="16" spans="2:13" ht="28.5" customHeight="1" outlineLevel="1" thickBot="1">
      <c r="B16" s="221" t="s">
        <v>57</v>
      </c>
      <c r="C16" s="222">
        <f>'Юнит 02-08.02'!AE12</f>
        <v>-773.09999999999991</v>
      </c>
      <c r="D16" s="223">
        <f t="shared" si="7"/>
        <v>-1.4958349850232391E-2</v>
      </c>
      <c r="E16" s="223">
        <f t="shared" si="10"/>
        <v>0.69322207784251366</v>
      </c>
      <c r="F16" s="224" t="str">
        <f t="shared" si="1"/>
        <v>A</v>
      </c>
      <c r="G16" s="224" t="str">
        <f t="shared" si="8"/>
        <v>A</v>
      </c>
      <c r="I16" s="221" t="s">
        <v>40</v>
      </c>
      <c r="J16" s="222">
        <f>'Юнит 02-08.02'!R5</f>
        <v>2</v>
      </c>
      <c r="K16" s="223">
        <f t="shared" si="9"/>
        <v>1.282051282051282E-2</v>
      </c>
      <c r="L16" s="223">
        <f t="shared" si="11"/>
        <v>0.62820512820512819</v>
      </c>
      <c r="M16" s="224" t="str">
        <f t="shared" si="0"/>
        <v>A</v>
      </c>
    </row>
    <row r="17" spans="2:13" ht="28.5" customHeight="1" outlineLevel="1" thickBot="1">
      <c r="B17" s="221" t="s">
        <v>42</v>
      </c>
      <c r="C17" s="222">
        <f>'Юнит 02-08.02'!AE7</f>
        <v>-3507.186971999995</v>
      </c>
      <c r="D17" s="223">
        <f t="shared" si="7"/>
        <v>-6.7858918273642641E-2</v>
      </c>
      <c r="E17" s="223">
        <f>D17+E14</f>
        <v>0.63485496876047431</v>
      </c>
      <c r="F17" s="224" t="str">
        <f t="shared" si="1"/>
        <v>A</v>
      </c>
      <c r="G17" s="224" t="str">
        <f t="shared" si="8"/>
        <v>A</v>
      </c>
      <c r="I17" s="221" t="s">
        <v>38</v>
      </c>
      <c r="J17" s="222">
        <f>'Юнит 02-08.02'!R3</f>
        <v>1</v>
      </c>
      <c r="K17" s="223">
        <f t="shared" si="9"/>
        <v>6.41025641025641E-3</v>
      </c>
      <c r="L17" s="223">
        <f>K17+L14</f>
        <v>0.60256410256410253</v>
      </c>
      <c r="M17" s="224" t="str">
        <f t="shared" si="0"/>
        <v>A</v>
      </c>
    </row>
    <row r="18" spans="2:13" outlineLevel="1">
      <c r="C18" s="225">
        <f>SUM(C4:C17)</f>
        <v>51683.508391000039</v>
      </c>
      <c r="D18" s="226">
        <f>SUM(D4:D17)</f>
        <v>1.0000000000000004</v>
      </c>
      <c r="J18" s="225">
        <f>SUM(J4:J17)</f>
        <v>156</v>
      </c>
      <c r="K18" s="226">
        <f>SUM(K4:K17)</f>
        <v>1</v>
      </c>
    </row>
    <row r="20" spans="2:13" ht="15" hidden="1" outlineLevel="1" thickBot="1">
      <c r="B20" s="301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3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71" priority="4" operator="equal">
      <formula>"C"</formula>
    </cfRule>
    <cfRule type="cellIs" dxfId="170" priority="5" operator="equal">
      <formula>"B"</formula>
    </cfRule>
    <cfRule type="cellIs" dxfId="169" priority="6" operator="equal">
      <formula>"A"</formula>
    </cfRule>
  </conditionalFormatting>
  <conditionalFormatting sqref="M22:M41 D22:D41 K22:K41 F22:G41">
    <cfRule type="cellIs" dxfId="168" priority="1" operator="equal">
      <formula>"C"</formula>
    </cfRule>
    <cfRule type="cellIs" dxfId="167" priority="2" operator="equal">
      <formula>"B"</formula>
    </cfRule>
    <cfRule type="cellIs" dxfId="16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98" t="s">
        <v>1074</v>
      </c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300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53</v>
      </c>
      <c r="C4" s="222">
        <f>ЯНВАРЬ!AE15</f>
        <v>30164.136720000031</v>
      </c>
      <c r="D4" s="223">
        <f>C4/C$18</f>
        <v>0.27352858202972702</v>
      </c>
      <c r="E4" s="223">
        <f>D4</f>
        <v>0.27352858202972702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ЯНВАРЬ!R11</f>
        <v>165</v>
      </c>
      <c r="K4" s="223">
        <f>J4/J$18</f>
        <v>0.31190926275992437</v>
      </c>
      <c r="L4" s="223">
        <f>K4</f>
        <v>0.31190926275992437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52</v>
      </c>
      <c r="C5" s="222">
        <f>ЯНВАРЬ!AE11</f>
        <v>27810.244062000042</v>
      </c>
      <c r="D5" s="223">
        <f>C5/C$18</f>
        <v>0.25218346856039248</v>
      </c>
      <c r="E5" s="223">
        <f>D5+E4</f>
        <v>0.5257120505901195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ЯНВАРЬ!R15</f>
        <v>161</v>
      </c>
      <c r="K5" s="223">
        <f>J5/J$18</f>
        <v>0.30434782608695654</v>
      </c>
      <c r="L5" s="223">
        <f>K5+L4</f>
        <v>0.61625708884688091</v>
      </c>
      <c r="M5" s="224" t="str">
        <f t="shared" si="0"/>
        <v>A</v>
      </c>
    </row>
    <row r="6" spans="2:13" ht="28.5" customHeight="1" outlineLevel="1" thickBot="1">
      <c r="B6" s="221" t="s">
        <v>41</v>
      </c>
      <c r="C6" s="222">
        <f>ЯНВАРЬ!AE6</f>
        <v>20914.500945999993</v>
      </c>
      <c r="D6" s="223">
        <f t="shared" ref="D6:D11" si="2">C6/C$18</f>
        <v>0.18965282649132473</v>
      </c>
      <c r="E6" s="223">
        <f t="shared" ref="E6:E11" si="3">D6+E5</f>
        <v>0.71536487708144425</v>
      </c>
      <c r="F6" s="224" t="str">
        <f t="shared" si="1"/>
        <v>A</v>
      </c>
      <c r="G6" s="224" t="str">
        <f t="shared" ref="G6:G11" si="4">VLOOKUP(B$4:B$17,I$4:M$17,5,0)</f>
        <v>A</v>
      </c>
      <c r="I6" s="221" t="s">
        <v>41</v>
      </c>
      <c r="J6" s="222">
        <f>ЯНВАРЬ!R6</f>
        <v>82</v>
      </c>
      <c r="K6" s="223">
        <f t="shared" ref="K6:K11" si="5">J6/J$18</f>
        <v>0.15500945179584122</v>
      </c>
      <c r="L6" s="223">
        <f t="shared" ref="L6:L11" si="6">K6+L5</f>
        <v>0.77126654064272215</v>
      </c>
      <c r="M6" s="224" t="str">
        <f t="shared" si="0"/>
        <v>A</v>
      </c>
    </row>
    <row r="7" spans="2:13" ht="28.5" customHeight="1" outlineLevel="1" thickBot="1">
      <c r="B7" s="221" t="s">
        <v>39</v>
      </c>
      <c r="C7" s="222">
        <f>ЯНВАРЬ!AE4</f>
        <v>10414.951691000002</v>
      </c>
      <c r="D7" s="223">
        <f t="shared" si="2"/>
        <v>9.4442847623697396E-2</v>
      </c>
      <c r="E7" s="223">
        <f t="shared" si="3"/>
        <v>0.80980772470514162</v>
      </c>
      <c r="F7" s="224" t="str">
        <f t="shared" si="1"/>
        <v>B</v>
      </c>
      <c r="G7" s="224" t="str">
        <f t="shared" si="4"/>
        <v>C</v>
      </c>
      <c r="I7" s="221" t="s">
        <v>42</v>
      </c>
      <c r="J7" s="222">
        <f>ЯНВАРЬ!R7</f>
        <v>45</v>
      </c>
      <c r="K7" s="223">
        <f t="shared" si="5"/>
        <v>8.5066162570888462E-2</v>
      </c>
      <c r="L7" s="223">
        <f t="shared" si="6"/>
        <v>0.85633270321361066</v>
      </c>
      <c r="M7" s="224" t="str">
        <f t="shared" si="0"/>
        <v>B</v>
      </c>
    </row>
    <row r="8" spans="2:13" ht="28.5" customHeight="1" outlineLevel="1" thickBot="1">
      <c r="B8" s="221" t="s">
        <v>42</v>
      </c>
      <c r="C8" s="222">
        <f>ЯНВАРЬ!AE7</f>
        <v>9317.0298899999943</v>
      </c>
      <c r="D8" s="223">
        <f t="shared" si="2"/>
        <v>8.4486885807361495E-2</v>
      </c>
      <c r="E8" s="223">
        <f t="shared" si="3"/>
        <v>0.89429461051250314</v>
      </c>
      <c r="F8" s="224" t="str">
        <f t="shared" si="1"/>
        <v>B</v>
      </c>
      <c r="G8" s="224" t="str">
        <f t="shared" si="4"/>
        <v>B</v>
      </c>
      <c r="I8" s="221" t="s">
        <v>43</v>
      </c>
      <c r="J8" s="222">
        <f>ЯНВАРЬ!R8</f>
        <v>31</v>
      </c>
      <c r="K8" s="223">
        <f t="shared" si="5"/>
        <v>5.8601134215500943E-2</v>
      </c>
      <c r="L8" s="223">
        <f t="shared" si="6"/>
        <v>0.91493383742911161</v>
      </c>
      <c r="M8" s="224" t="str">
        <f t="shared" si="0"/>
        <v>B</v>
      </c>
    </row>
    <row r="9" spans="2:13" ht="28.5" customHeight="1" outlineLevel="1" thickBot="1">
      <c r="B9" s="221" t="s">
        <v>38</v>
      </c>
      <c r="C9" s="222">
        <f>ЯНВАРЬ!AE3</f>
        <v>6488.9299360000005</v>
      </c>
      <c r="D9" s="223">
        <f t="shared" si="2"/>
        <v>5.8841657586954664E-2</v>
      </c>
      <c r="E9" s="223">
        <f t="shared" si="3"/>
        <v>0.95313626809945784</v>
      </c>
      <c r="F9" s="224" t="str">
        <f t="shared" si="1"/>
        <v>C</v>
      </c>
      <c r="G9" s="224" t="str">
        <f t="shared" si="4"/>
        <v>C</v>
      </c>
      <c r="I9" s="221" t="s">
        <v>39</v>
      </c>
      <c r="J9" s="222">
        <f>ЯНВАРЬ!R4</f>
        <v>19</v>
      </c>
      <c r="K9" s="223">
        <f t="shared" si="5"/>
        <v>3.5916824196597356E-2</v>
      </c>
      <c r="L9" s="223">
        <f t="shared" si="6"/>
        <v>0.95085066162570897</v>
      </c>
      <c r="M9" s="224" t="str">
        <f t="shared" si="0"/>
        <v>C</v>
      </c>
    </row>
    <row r="10" spans="2:13" ht="28.5" customHeight="1" outlineLevel="1" thickBot="1">
      <c r="B10" s="221" t="s">
        <v>40</v>
      </c>
      <c r="C10" s="222">
        <f>ЯНВАРЬ!AE5</f>
        <v>4628.4432890000007</v>
      </c>
      <c r="D10" s="223">
        <f t="shared" si="2"/>
        <v>4.1970752937403308E-2</v>
      </c>
      <c r="E10" s="223">
        <f t="shared" si="3"/>
        <v>0.99510702103686111</v>
      </c>
      <c r="F10" s="224" t="str">
        <f t="shared" si="1"/>
        <v>C</v>
      </c>
      <c r="G10" s="224" t="str">
        <f t="shared" si="4"/>
        <v>C</v>
      </c>
      <c r="I10" s="221" t="s">
        <v>38</v>
      </c>
      <c r="J10" s="222">
        <f>ЯНВАРЬ!R3</f>
        <v>15</v>
      </c>
      <c r="K10" s="223">
        <f t="shared" si="5"/>
        <v>2.835538752362949E-2</v>
      </c>
      <c r="L10" s="223">
        <f t="shared" si="6"/>
        <v>0.97920604914933851</v>
      </c>
      <c r="M10" s="224" t="str">
        <f t="shared" si="0"/>
        <v>C</v>
      </c>
    </row>
    <row r="11" spans="2:13" ht="28.5" customHeight="1" outlineLevel="1" thickBot="1">
      <c r="B11" s="221" t="s">
        <v>43</v>
      </c>
      <c r="C11" s="222">
        <f>ЯНВАРЬ!AE8</f>
        <v>4052.5984060000014</v>
      </c>
      <c r="D11" s="223">
        <f t="shared" si="2"/>
        <v>3.6748987906361386E-2</v>
      </c>
      <c r="E11" s="223">
        <f t="shared" si="3"/>
        <v>1.0318560089432225</v>
      </c>
      <c r="F11" s="224" t="str">
        <f t="shared" si="1"/>
        <v>C</v>
      </c>
      <c r="G11" s="224" t="str">
        <f t="shared" si="4"/>
        <v>B</v>
      </c>
      <c r="I11" s="221" t="s">
        <v>40</v>
      </c>
      <c r="J11" s="222">
        <f>ЯНВАРЬ!R5</f>
        <v>9</v>
      </c>
      <c r="K11" s="223">
        <f t="shared" si="5"/>
        <v>1.7013232514177693E-2</v>
      </c>
      <c r="L11" s="223">
        <f t="shared" si="6"/>
        <v>0.99621928166351625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ЯНВАРЬ!AE9</f>
        <v>284.37054400000011</v>
      </c>
      <c r="D12" s="223">
        <f t="shared" ref="D12:D17" si="7">C12/C$18</f>
        <v>2.5786738865882603E-3</v>
      </c>
      <c r="E12" s="223">
        <f>D12+E5</f>
        <v>0.52829072447670777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ЯНВАРЬ!R9</f>
        <v>1</v>
      </c>
      <c r="K12" s="223">
        <f t="shared" ref="K12:K17" si="9">J12/J$18</f>
        <v>1.890359168241966E-3</v>
      </c>
      <c r="L12" s="223">
        <f>K12+L5</f>
        <v>0.61814744801512289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ЯНВАРЬ!AE13</f>
        <v>207.80594900000006</v>
      </c>
      <c r="D13" s="223">
        <f t="shared" si="7"/>
        <v>1.8843856562161788E-3</v>
      </c>
      <c r="E13" s="223">
        <f t="shared" ref="E13:E16" si="10">D13+E12</f>
        <v>0.53017511013292395</v>
      </c>
      <c r="F13" s="224" t="str">
        <f t="shared" si="1"/>
        <v>A</v>
      </c>
      <c r="G13" s="224" t="str">
        <f t="shared" si="8"/>
        <v>A</v>
      </c>
      <c r="I13" s="221" t="s">
        <v>58</v>
      </c>
      <c r="J13" s="222">
        <f>ЯНВАРЬ!R13</f>
        <v>1</v>
      </c>
      <c r="K13" s="223">
        <f t="shared" si="9"/>
        <v>1.890359168241966E-3</v>
      </c>
      <c r="L13" s="223">
        <f t="shared" ref="L13:L16" si="11">K13+L12</f>
        <v>0.62003780718336488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ЯНВАРЬ!AE12</f>
        <v>-555.84385799999995</v>
      </c>
      <c r="D14" s="223">
        <f t="shared" si="7"/>
        <v>-5.0403956101904577E-3</v>
      </c>
      <c r="E14" s="223">
        <f t="shared" si="10"/>
        <v>0.52513471452273353</v>
      </c>
      <c r="F14" s="224" t="str">
        <f t="shared" si="1"/>
        <v>A</v>
      </c>
      <c r="G14" s="224" t="str">
        <f t="shared" si="8"/>
        <v>A</v>
      </c>
      <c r="I14" s="221" t="s">
        <v>56</v>
      </c>
      <c r="J14" s="222">
        <f>ЯНВАРЬ!R10</f>
        <v>0</v>
      </c>
      <c r="K14" s="223">
        <f t="shared" si="9"/>
        <v>0</v>
      </c>
      <c r="L14" s="223">
        <f t="shared" si="11"/>
        <v>0.62003780718336488</v>
      </c>
      <c r="M14" s="224" t="str">
        <f t="shared" si="0"/>
        <v>A</v>
      </c>
    </row>
    <row r="15" spans="2:13" ht="28.5" customHeight="1" outlineLevel="1" thickBot="1">
      <c r="B15" s="221" t="s">
        <v>59</v>
      </c>
      <c r="C15" s="222">
        <f>ЯНВАРЬ!AE14</f>
        <v>-607.06545600000004</v>
      </c>
      <c r="D15" s="223">
        <f t="shared" si="7"/>
        <v>-5.5048733839219086E-3</v>
      </c>
      <c r="E15" s="223">
        <f t="shared" si="10"/>
        <v>0.51962984113881161</v>
      </c>
      <c r="F15" s="224" t="str">
        <f t="shared" si="1"/>
        <v>A</v>
      </c>
      <c r="G15" s="224" t="str">
        <f t="shared" si="8"/>
        <v>A</v>
      </c>
      <c r="I15" s="221" t="s">
        <v>57</v>
      </c>
      <c r="J15" s="222">
        <f>ЯНВАРЬ!R12</f>
        <v>0</v>
      </c>
      <c r="K15" s="223">
        <f t="shared" si="9"/>
        <v>0</v>
      </c>
      <c r="L15" s="223">
        <f t="shared" si="11"/>
        <v>0.62003780718336488</v>
      </c>
      <c r="M15" s="224" t="str">
        <f t="shared" si="0"/>
        <v>A</v>
      </c>
    </row>
    <row r="16" spans="2:13" ht="28.5" customHeight="1" outlineLevel="1" thickBot="1">
      <c r="B16" s="221" t="s">
        <v>60</v>
      </c>
      <c r="C16" s="222">
        <f>ЯНВАРЬ!AE16</f>
        <v>-1324.84465</v>
      </c>
      <c r="D16" s="223">
        <f t="shared" si="7"/>
        <v>-1.2013699642327097E-2</v>
      </c>
      <c r="E16" s="223">
        <f t="shared" si="10"/>
        <v>0.50761614149648449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ЯНВАРЬ!R14</f>
        <v>0</v>
      </c>
      <c r="K16" s="223">
        <f t="shared" si="9"/>
        <v>0</v>
      </c>
      <c r="L16" s="223">
        <f t="shared" si="11"/>
        <v>0.62003780718336488</v>
      </c>
      <c r="M16" s="224" t="str">
        <f t="shared" si="0"/>
        <v>A</v>
      </c>
    </row>
    <row r="17" spans="2:13" ht="28.5" customHeight="1" outlineLevel="1" thickBot="1">
      <c r="B17" s="221" t="s">
        <v>56</v>
      </c>
      <c r="C17" s="222">
        <f>ЯНВАРЬ!AE10</f>
        <v>-1517.4338640000001</v>
      </c>
      <c r="D17" s="223">
        <f t="shared" si="7"/>
        <v>-1.3760099849587516E-2</v>
      </c>
      <c r="E17" s="223">
        <f>D17+E14</f>
        <v>0.51137461467314604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ЯНВАРЬ!R16</f>
        <v>0</v>
      </c>
      <c r="K17" s="223">
        <f t="shared" si="9"/>
        <v>0</v>
      </c>
      <c r="L17" s="223">
        <f>K17+L14</f>
        <v>0.62003780718336488</v>
      </c>
      <c r="M17" s="224" t="str">
        <f t="shared" si="0"/>
        <v>A</v>
      </c>
    </row>
    <row r="18" spans="2:13" outlineLevel="1">
      <c r="C18" s="225">
        <f>SUM(C4:C17)</f>
        <v>110277.82360500007</v>
      </c>
      <c r="D18" s="226">
        <f>SUM(D4:D17)</f>
        <v>1</v>
      </c>
      <c r="J18" s="225">
        <f>SUM(J4:J17)</f>
        <v>529</v>
      </c>
      <c r="K18" s="226">
        <f>SUM(K4:K17)</f>
        <v>1.0000000000000002</v>
      </c>
    </row>
    <row r="20" spans="2:13" ht="15" hidden="1" outlineLevel="1" thickBot="1">
      <c r="B20" s="301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3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65" priority="4" operator="equal">
      <formula>"C"</formula>
    </cfRule>
    <cfRule type="cellIs" dxfId="164" priority="5" operator="equal">
      <formula>"B"</formula>
    </cfRule>
    <cfRule type="cellIs" dxfId="163" priority="6" operator="equal">
      <formula>"A"</formula>
    </cfRule>
  </conditionalFormatting>
  <conditionalFormatting sqref="M22:M41 D22:D41 K22:K41 F22:G41">
    <cfRule type="cellIs" dxfId="162" priority="1" operator="equal">
      <formula>"C"</formula>
    </cfRule>
    <cfRule type="cellIs" dxfId="161" priority="2" operator="equal">
      <formula>"B"</formula>
    </cfRule>
    <cfRule type="cellIs" dxfId="160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98" t="s">
        <v>1074</v>
      </c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300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52</v>
      </c>
      <c r="C4" s="222">
        <f>'Юнит 26.01-01.02'!AE11</f>
        <v>16111.06089600003</v>
      </c>
      <c r="D4" s="223">
        <f>C4/C$18</f>
        <v>0.5177037483928586</v>
      </c>
      <c r="E4" s="223">
        <f>D4</f>
        <v>0.5177037483928586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26.01-01.02'!R11</f>
        <v>48</v>
      </c>
      <c r="K4" s="223">
        <f>J4/J$18</f>
        <v>0.375</v>
      </c>
      <c r="L4" s="223">
        <f>K4</f>
        <v>0.375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53</v>
      </c>
      <c r="C5" s="222">
        <f>'Юнит 26.01-01.02'!AE15</f>
        <v>11558.881158000031</v>
      </c>
      <c r="D5" s="223">
        <f>C5/C$18</f>
        <v>0.3714265709348723</v>
      </c>
      <c r="E5" s="223">
        <f>D5+E4</f>
        <v>0.8891303193277309</v>
      </c>
      <c r="F5" s="224" t="str">
        <f t="shared" ref="F5:F17" si="1">IF(AND(E5&lt;=0),"C",IF(E5&lt;=0.8,"A",IF(E5&lt;=0.95,"B","C")))</f>
        <v>B</v>
      </c>
      <c r="G5" s="224" t="str">
        <f>VLOOKUP(B$4:B$17,I$4:M$17,5,0)</f>
        <v>A</v>
      </c>
      <c r="I5" s="221" t="s">
        <v>53</v>
      </c>
      <c r="J5" s="222">
        <f>'Юнит 26.01-01.02'!R15</f>
        <v>38</v>
      </c>
      <c r="K5" s="223">
        <f>J5/J$18</f>
        <v>0.296875</v>
      </c>
      <c r="L5" s="223">
        <f>K5+L4</f>
        <v>0.671875</v>
      </c>
      <c r="M5" s="224" t="str">
        <f t="shared" si="0"/>
        <v>A</v>
      </c>
    </row>
    <row r="6" spans="2:13" ht="28.5" customHeight="1" outlineLevel="1" thickBot="1">
      <c r="B6" s="221" t="s">
        <v>39</v>
      </c>
      <c r="C6" s="222">
        <f>'Юнит 26.01-01.02'!AE4</f>
        <v>3322.05</v>
      </c>
      <c r="D6" s="223">
        <f t="shared" ref="D6:D11" si="2">C6/C$18</f>
        <v>0.10674888192964924</v>
      </c>
      <c r="E6" s="223">
        <f t="shared" ref="E6:E11" si="3">D6+E5</f>
        <v>0.99587920125738016</v>
      </c>
      <c r="F6" s="224" t="str">
        <f t="shared" si="1"/>
        <v>C</v>
      </c>
      <c r="G6" s="224" t="str">
        <f t="shared" ref="G6:G11" si="4">VLOOKUP(B$4:B$17,I$4:M$17,5,0)</f>
        <v>C</v>
      </c>
      <c r="I6" s="221" t="s">
        <v>42</v>
      </c>
      <c r="J6" s="222">
        <f>'Юнит 26.01-01.02'!R7</f>
        <v>16</v>
      </c>
      <c r="K6" s="223">
        <f t="shared" ref="K6:K11" si="5">J6/J$18</f>
        <v>0.125</v>
      </c>
      <c r="L6" s="223">
        <f t="shared" ref="L6:L11" si="6">K6+L5</f>
        <v>0.796875</v>
      </c>
      <c r="M6" s="224" t="str">
        <f t="shared" si="0"/>
        <v>A</v>
      </c>
    </row>
    <row r="7" spans="2:13" ht="28.5" customHeight="1" outlineLevel="1" thickBot="1">
      <c r="B7" s="221" t="s">
        <v>43</v>
      </c>
      <c r="C7" s="222">
        <f>'Юнит 26.01-01.02'!AE8</f>
        <v>1849.5272290000039</v>
      </c>
      <c r="D7" s="223">
        <f t="shared" si="2"/>
        <v>5.9431665325384249E-2</v>
      </c>
      <c r="E7" s="223">
        <f t="shared" si="3"/>
        <v>1.0553108665827644</v>
      </c>
      <c r="F7" s="224" t="str">
        <f t="shared" si="1"/>
        <v>C</v>
      </c>
      <c r="G7" s="224" t="str">
        <f t="shared" si="4"/>
        <v>B</v>
      </c>
      <c r="I7" s="221" t="s">
        <v>43</v>
      </c>
      <c r="J7" s="222">
        <f>'Юнит 26.01-01.02'!R8</f>
        <v>10</v>
      </c>
      <c r="K7" s="223">
        <f t="shared" si="5"/>
        <v>7.8125E-2</v>
      </c>
      <c r="L7" s="223">
        <f t="shared" si="6"/>
        <v>0.875</v>
      </c>
      <c r="M7" s="224" t="str">
        <f t="shared" si="0"/>
        <v>B</v>
      </c>
    </row>
    <row r="8" spans="2:13" ht="28.5" customHeight="1" outlineLevel="1" thickBot="1">
      <c r="B8" s="221" t="s">
        <v>41</v>
      </c>
      <c r="C8" s="222">
        <f>'Юнит 26.01-01.02'!AE6</f>
        <v>1191.3599999999988</v>
      </c>
      <c r="D8" s="223">
        <f t="shared" si="2"/>
        <v>3.8282490623472491E-2</v>
      </c>
      <c r="E8" s="223">
        <f t="shared" si="3"/>
        <v>1.0935933572062368</v>
      </c>
      <c r="F8" s="224" t="str">
        <f t="shared" si="1"/>
        <v>C</v>
      </c>
      <c r="G8" s="224" t="str">
        <f t="shared" si="4"/>
        <v>B</v>
      </c>
      <c r="I8" s="221" t="s">
        <v>41</v>
      </c>
      <c r="J8" s="222">
        <f>'Юнит 26.01-01.02'!R6</f>
        <v>6</v>
      </c>
      <c r="K8" s="223">
        <f t="shared" si="5"/>
        <v>4.6875E-2</v>
      </c>
      <c r="L8" s="223">
        <f t="shared" si="6"/>
        <v>0.921875</v>
      </c>
      <c r="M8" s="224" t="str">
        <f t="shared" si="0"/>
        <v>B</v>
      </c>
    </row>
    <row r="9" spans="2:13" ht="28.5" customHeight="1" outlineLevel="1" thickBot="1">
      <c r="B9" s="221" t="s">
        <v>57</v>
      </c>
      <c r="C9" s="222">
        <f>'Юнит 26.01-01.02'!AE12</f>
        <v>291.3461420000001</v>
      </c>
      <c r="D9" s="223">
        <f t="shared" si="2"/>
        <v>9.3619526837395075E-3</v>
      </c>
      <c r="E9" s="223">
        <f t="shared" si="3"/>
        <v>1.1029553098899763</v>
      </c>
      <c r="F9" s="224" t="str">
        <f t="shared" si="1"/>
        <v>C</v>
      </c>
      <c r="G9" s="224" t="str">
        <f t="shared" si="4"/>
        <v>A</v>
      </c>
      <c r="I9" s="221" t="s">
        <v>39</v>
      </c>
      <c r="J9" s="222">
        <f>'Юнит 26.01-01.02'!R4</f>
        <v>5</v>
      </c>
      <c r="K9" s="223">
        <f t="shared" si="5"/>
        <v>3.90625E-2</v>
      </c>
      <c r="L9" s="223">
        <f t="shared" si="6"/>
        <v>0.9609375</v>
      </c>
      <c r="M9" s="224" t="str">
        <f t="shared" si="0"/>
        <v>C</v>
      </c>
    </row>
    <row r="10" spans="2:13" ht="28.5" customHeight="1" outlineLevel="1" thickBot="1">
      <c r="B10" s="221" t="s">
        <v>55</v>
      </c>
      <c r="C10" s="222">
        <f>'Юнит 26.01-01.02'!AE9</f>
        <v>284.37054400000011</v>
      </c>
      <c r="D10" s="223">
        <f t="shared" si="2"/>
        <v>9.1378027500266801E-3</v>
      </c>
      <c r="E10" s="223">
        <f t="shared" si="3"/>
        <v>1.1120931126400029</v>
      </c>
      <c r="F10" s="224" t="str">
        <f t="shared" si="1"/>
        <v>C</v>
      </c>
      <c r="G10" s="224" t="str">
        <f t="shared" si="4"/>
        <v>C</v>
      </c>
      <c r="I10" s="221" t="s">
        <v>38</v>
      </c>
      <c r="J10" s="222">
        <f>'Юнит 26.01-01.02'!R3</f>
        <v>1</v>
      </c>
      <c r="K10" s="223">
        <f t="shared" si="5"/>
        <v>7.8125E-3</v>
      </c>
      <c r="L10" s="223">
        <f t="shared" si="6"/>
        <v>0.96875</v>
      </c>
      <c r="M10" s="224" t="str">
        <f t="shared" si="0"/>
        <v>C</v>
      </c>
    </row>
    <row r="11" spans="2:13" ht="28.5" customHeight="1" outlineLevel="1" thickBot="1">
      <c r="B11" s="221" t="s">
        <v>58</v>
      </c>
      <c r="C11" s="222">
        <f>'Юнит 26.01-01.02'!AE13</f>
        <v>207.80594900000006</v>
      </c>
      <c r="D11" s="223">
        <f t="shared" si="2"/>
        <v>6.6775192167726908E-3</v>
      </c>
      <c r="E11" s="223">
        <f t="shared" si="3"/>
        <v>1.1187706318567756</v>
      </c>
      <c r="F11" s="224" t="str">
        <f t="shared" si="1"/>
        <v>C</v>
      </c>
      <c r="G11" s="224" t="str">
        <f t="shared" si="4"/>
        <v>A</v>
      </c>
      <c r="I11" s="221" t="s">
        <v>55</v>
      </c>
      <c r="J11" s="222">
        <f>'Юнит 26.01-01.02'!R9</f>
        <v>1</v>
      </c>
      <c r="K11" s="223">
        <f t="shared" si="5"/>
        <v>7.8125E-3</v>
      </c>
      <c r="L11" s="223">
        <f t="shared" si="6"/>
        <v>0.9765625</v>
      </c>
      <c r="M11" s="224" t="str">
        <f t="shared" si="0"/>
        <v>C</v>
      </c>
    </row>
    <row r="12" spans="2:13" ht="28.5" customHeight="1" outlineLevel="1" thickBot="1">
      <c r="B12" s="221" t="s">
        <v>38</v>
      </c>
      <c r="C12" s="222">
        <f>'Юнит 26.01-01.02'!AE3</f>
        <v>152.1099999999999</v>
      </c>
      <c r="D12" s="223">
        <f t="shared" ref="D12:D17" si="7">C12/C$18</f>
        <v>4.8878169896054953E-3</v>
      </c>
      <c r="E12" s="223">
        <f>D12+E5</f>
        <v>0.8940181363173364</v>
      </c>
      <c r="F12" s="224" t="str">
        <f t="shared" si="1"/>
        <v>B</v>
      </c>
      <c r="G12" s="224" t="str">
        <f t="shared" ref="G12:G17" si="8">VLOOKUP(B$4:B$17,I$4:M$17,5,0)</f>
        <v>C</v>
      </c>
      <c r="I12" s="221" t="s">
        <v>56</v>
      </c>
      <c r="J12" s="222">
        <f>'Юнит 26.01-01.02'!R10</f>
        <v>1</v>
      </c>
      <c r="K12" s="223">
        <f t="shared" ref="K12:K17" si="9">J12/J$18</f>
        <v>7.8125E-3</v>
      </c>
      <c r="L12" s="223">
        <f>K12+L5</f>
        <v>0.6796875</v>
      </c>
      <c r="M12" s="224" t="str">
        <f t="shared" si="0"/>
        <v>A</v>
      </c>
    </row>
    <row r="13" spans="2:13" ht="28.5" customHeight="1" outlineLevel="1" thickBot="1">
      <c r="B13" s="221" t="s">
        <v>40</v>
      </c>
      <c r="C13" s="222">
        <f>'Юнит 26.01-01.02'!AE5</f>
        <v>0</v>
      </c>
      <c r="D13" s="223">
        <f t="shared" si="7"/>
        <v>0</v>
      </c>
      <c r="E13" s="223">
        <f t="shared" ref="E13:E16" si="10">D13+E12</f>
        <v>0.8940181363173364</v>
      </c>
      <c r="F13" s="224" t="str">
        <f t="shared" si="1"/>
        <v>B</v>
      </c>
      <c r="G13" s="224" t="str">
        <f t="shared" si="8"/>
        <v>A</v>
      </c>
      <c r="I13" s="221" t="s">
        <v>57</v>
      </c>
      <c r="J13" s="222">
        <f>'Юнит 26.01-01.02'!R12</f>
        <v>1</v>
      </c>
      <c r="K13" s="223">
        <f t="shared" si="9"/>
        <v>7.8125E-3</v>
      </c>
      <c r="L13" s="223">
        <f t="shared" ref="L13:L16" si="11">K13+L12</f>
        <v>0.6875</v>
      </c>
      <c r="M13" s="224" t="str">
        <f t="shared" si="0"/>
        <v>A</v>
      </c>
    </row>
    <row r="14" spans="2:13" ht="28.5" customHeight="1" outlineLevel="1" thickBot="1">
      <c r="B14" s="221" t="s">
        <v>42</v>
      </c>
      <c r="C14" s="222">
        <f>'Юнит 26.01-01.02'!AE7</f>
        <v>-472.79957499999551</v>
      </c>
      <c r="D14" s="223">
        <f t="shared" si="7"/>
        <v>-1.5192675007318631E-2</v>
      </c>
      <c r="E14" s="223">
        <f t="shared" si="10"/>
        <v>0.87882546131001782</v>
      </c>
      <c r="F14" s="224" t="str">
        <f t="shared" si="1"/>
        <v>B</v>
      </c>
      <c r="G14" s="224" t="str">
        <f t="shared" si="8"/>
        <v>A</v>
      </c>
      <c r="I14" s="221" t="s">
        <v>58</v>
      </c>
      <c r="J14" s="222">
        <f>'Юнит 26.01-01.02'!R13</f>
        <v>1</v>
      </c>
      <c r="K14" s="223">
        <f t="shared" si="9"/>
        <v>7.8125E-3</v>
      </c>
      <c r="L14" s="223">
        <f t="shared" si="11"/>
        <v>0.6953125</v>
      </c>
      <c r="M14" s="224" t="str">
        <f t="shared" si="0"/>
        <v>A</v>
      </c>
    </row>
    <row r="15" spans="2:13" ht="28.5" customHeight="1" outlineLevel="1" thickBot="1">
      <c r="B15" s="221" t="s">
        <v>59</v>
      </c>
      <c r="C15" s="222">
        <f>'Юнит 26.01-01.02'!AE14</f>
        <v>-807.06545600000004</v>
      </c>
      <c r="D15" s="223">
        <f t="shared" si="7"/>
        <v>-2.5933786388537959E-2</v>
      </c>
      <c r="E15" s="223">
        <f t="shared" si="10"/>
        <v>0.85289167492147988</v>
      </c>
      <c r="F15" s="224" t="str">
        <f t="shared" si="1"/>
        <v>B</v>
      </c>
      <c r="G15" s="224" t="str">
        <f t="shared" si="8"/>
        <v>A</v>
      </c>
      <c r="I15" s="221" t="s">
        <v>40</v>
      </c>
      <c r="J15" s="222">
        <f>'Юнит 26.01-01.02'!R5</f>
        <v>0</v>
      </c>
      <c r="K15" s="223">
        <f t="shared" si="9"/>
        <v>0</v>
      </c>
      <c r="L15" s="223">
        <f t="shared" si="11"/>
        <v>0.6953125</v>
      </c>
      <c r="M15" s="224" t="str">
        <f t="shared" si="0"/>
        <v>A</v>
      </c>
    </row>
    <row r="16" spans="2:13" ht="28.5" customHeight="1" outlineLevel="1" thickBot="1">
      <c r="B16" s="221" t="s">
        <v>56</v>
      </c>
      <c r="C16" s="222">
        <f>'Юнит 26.01-01.02'!AE10</f>
        <v>-963.67689800000016</v>
      </c>
      <c r="D16" s="223">
        <f t="shared" si="7"/>
        <v>-3.0966250177731414E-2</v>
      </c>
      <c r="E16" s="223">
        <f t="shared" si="10"/>
        <v>0.82192542474374841</v>
      </c>
      <c r="F16" s="224" t="str">
        <f t="shared" si="1"/>
        <v>B</v>
      </c>
      <c r="G16" s="224" t="str">
        <f t="shared" si="8"/>
        <v>A</v>
      </c>
      <c r="I16" s="221" t="s">
        <v>59</v>
      </c>
      <c r="J16" s="222">
        <f>'Юнит 26.01-01.02'!R14</f>
        <v>0</v>
      </c>
      <c r="K16" s="223">
        <f t="shared" si="9"/>
        <v>0</v>
      </c>
      <c r="L16" s="223">
        <f t="shared" si="11"/>
        <v>0.6953125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26.01-01.02'!AE16</f>
        <v>-1604.737721</v>
      </c>
      <c r="D17" s="223">
        <f t="shared" si="7"/>
        <v>-5.1565737272793427E-2</v>
      </c>
      <c r="E17" s="223">
        <f>D17+E14</f>
        <v>0.82725972403722436</v>
      </c>
      <c r="F17" s="224" t="str">
        <f t="shared" si="1"/>
        <v>B</v>
      </c>
      <c r="G17" s="224" t="str">
        <f t="shared" si="8"/>
        <v>A</v>
      </c>
      <c r="I17" s="221" t="s">
        <v>60</v>
      </c>
      <c r="J17" s="222">
        <f>'Юнит 26.01-01.02'!R16</f>
        <v>0</v>
      </c>
      <c r="K17" s="223">
        <f t="shared" si="9"/>
        <v>0</v>
      </c>
      <c r="L17" s="223">
        <f>K17+L14</f>
        <v>0.6953125</v>
      </c>
      <c r="M17" s="224" t="str">
        <f t="shared" si="0"/>
        <v>A</v>
      </c>
    </row>
    <row r="18" spans="2:13" outlineLevel="1">
      <c r="C18" s="225">
        <f>SUM(C4:C17)</f>
        <v>31120.232268000073</v>
      </c>
      <c r="D18" s="226">
        <f>SUM(D4:D17)</f>
        <v>0.99999999999999944</v>
      </c>
      <c r="J18" s="225">
        <f>SUM(J4:J17)</f>
        <v>128</v>
      </c>
      <c r="K18" s="226">
        <f>SUM(K4:K17)</f>
        <v>1</v>
      </c>
    </row>
    <row r="20" spans="2:13" ht="15" hidden="1" outlineLevel="1" thickBot="1">
      <c r="B20" s="301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3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59" priority="4" operator="equal">
      <formula>"C"</formula>
    </cfRule>
    <cfRule type="cellIs" dxfId="158" priority="5" operator="equal">
      <formula>"B"</formula>
    </cfRule>
    <cfRule type="cellIs" dxfId="157" priority="6" operator="equal">
      <formula>"A"</formula>
    </cfRule>
  </conditionalFormatting>
  <conditionalFormatting sqref="M22:M41 D22:D41 K22:K41 F22:G41">
    <cfRule type="cellIs" dxfId="156" priority="1" operator="equal">
      <formula>"C"</formula>
    </cfRule>
    <cfRule type="cellIs" dxfId="155" priority="2" operator="equal">
      <formula>"B"</formula>
    </cfRule>
    <cfRule type="cellIs" dxfId="154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98" t="s">
        <v>1074</v>
      </c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300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41</v>
      </c>
      <c r="C4" s="222">
        <f>'Юнит 19-25.01'!AE6</f>
        <v>10158.920000000002</v>
      </c>
      <c r="D4" s="223">
        <f>C4/C$18</f>
        <v>0.52787055982190201</v>
      </c>
      <c r="E4" s="223">
        <f>D4</f>
        <v>0.52787055982190201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19-25.01'!R11</f>
        <v>26</v>
      </c>
      <c r="K4" s="223">
        <f>J4/J$18</f>
        <v>0.29213483146067415</v>
      </c>
      <c r="L4" s="223">
        <f>K4</f>
        <v>0.29213483146067415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39</v>
      </c>
      <c r="C5" s="222">
        <f>'Юнит 19-25.01'!AE4</f>
        <v>4879.4517290000013</v>
      </c>
      <c r="D5" s="223">
        <f>C5/C$18</f>
        <v>0.25354259269796176</v>
      </c>
      <c r="E5" s="223">
        <f>D5+E4</f>
        <v>0.78141315251986376</v>
      </c>
      <c r="F5" s="224" t="str">
        <f t="shared" ref="F5:F17" si="1">IF(AND(E5&lt;=0),"C",IF(E5&lt;=0.8,"A",IF(E5&lt;=0.95,"B","C")))</f>
        <v>A</v>
      </c>
      <c r="G5" s="224" t="str">
        <f>VLOOKUP(B$4:B$17,I$4:M$17,5,0)</f>
        <v>B</v>
      </c>
      <c r="I5" s="221" t="s">
        <v>41</v>
      </c>
      <c r="J5" s="222">
        <f>'Юнит 19-25.01'!R6</f>
        <v>18</v>
      </c>
      <c r="K5" s="223">
        <f>J5/J$18</f>
        <v>0.20224719101123595</v>
      </c>
      <c r="L5" s="223">
        <f>K5+L4</f>
        <v>0.4943820224719101</v>
      </c>
      <c r="M5" s="224" t="str">
        <f t="shared" si="0"/>
        <v>A</v>
      </c>
    </row>
    <row r="6" spans="2:13" ht="28.5" customHeight="1" outlineLevel="1" thickBot="1">
      <c r="B6" s="221" t="s">
        <v>38</v>
      </c>
      <c r="C6" s="222">
        <f>'Юнит 19-25.01'!AE3</f>
        <v>3054.9100000000008</v>
      </c>
      <c r="D6" s="223">
        <f t="shared" ref="D6:D11" si="2">C6/C$18</f>
        <v>0.15873705589821818</v>
      </c>
      <c r="E6" s="223">
        <f t="shared" ref="E6:E11" si="3">D6+E5</f>
        <v>0.94015020841808195</v>
      </c>
      <c r="F6" s="224" t="str">
        <f t="shared" si="1"/>
        <v>B</v>
      </c>
      <c r="G6" s="224" t="str">
        <f t="shared" ref="G6:G11" si="4">VLOOKUP(B$4:B$17,I$4:M$17,5,0)</f>
        <v>B</v>
      </c>
      <c r="I6" s="221" t="s">
        <v>53</v>
      </c>
      <c r="J6" s="222">
        <f>'Юнит 19-25.01'!R15</f>
        <v>17</v>
      </c>
      <c r="K6" s="223">
        <f t="shared" ref="K6:K11" si="5">J6/J$18</f>
        <v>0.19101123595505617</v>
      </c>
      <c r="L6" s="223">
        <f t="shared" ref="L6:L11" si="6">K6+L5</f>
        <v>0.6853932584269663</v>
      </c>
      <c r="M6" s="224" t="str">
        <f t="shared" si="0"/>
        <v>A</v>
      </c>
    </row>
    <row r="7" spans="2:13" ht="28.5" customHeight="1" outlineLevel="1" thickBot="1">
      <c r="B7" s="221" t="s">
        <v>40</v>
      </c>
      <c r="C7" s="222">
        <f>'Юнит 19-25.01'!AE5</f>
        <v>2087.1199999999994</v>
      </c>
      <c r="D7" s="223">
        <f t="shared" si="2"/>
        <v>0.1084494417532068</v>
      </c>
      <c r="E7" s="223">
        <f t="shared" si="3"/>
        <v>1.0485996501712886</v>
      </c>
      <c r="F7" s="224" t="str">
        <f t="shared" si="1"/>
        <v>C</v>
      </c>
      <c r="G7" s="224" t="str">
        <f t="shared" si="4"/>
        <v>C</v>
      </c>
      <c r="I7" s="221" t="s">
        <v>42</v>
      </c>
      <c r="J7" s="222">
        <f>'Юнит 19-25.01'!R7</f>
        <v>10</v>
      </c>
      <c r="K7" s="223">
        <f t="shared" si="5"/>
        <v>0.11235955056179775</v>
      </c>
      <c r="L7" s="223">
        <f t="shared" si="6"/>
        <v>0.797752808988764</v>
      </c>
      <c r="M7" s="224" t="str">
        <f t="shared" si="0"/>
        <v>A</v>
      </c>
    </row>
    <row r="8" spans="2:13" ht="28.5" customHeight="1" outlineLevel="1" thickBot="1">
      <c r="B8" s="221" t="s">
        <v>42</v>
      </c>
      <c r="C8" s="222">
        <f>'Юнит 19-25.01'!AE7</f>
        <v>1636.0081960000007</v>
      </c>
      <c r="D8" s="223">
        <f t="shared" si="2"/>
        <v>8.5009091743584966E-2</v>
      </c>
      <c r="E8" s="223">
        <f t="shared" si="3"/>
        <v>1.1336087419148737</v>
      </c>
      <c r="F8" s="224" t="str">
        <f t="shared" si="1"/>
        <v>C</v>
      </c>
      <c r="G8" s="224" t="str">
        <f t="shared" si="4"/>
        <v>A</v>
      </c>
      <c r="I8" s="221" t="s">
        <v>39</v>
      </c>
      <c r="J8" s="222">
        <f>'Юнит 19-25.01'!R4</f>
        <v>7</v>
      </c>
      <c r="K8" s="223">
        <f t="shared" si="5"/>
        <v>7.8651685393258425E-2</v>
      </c>
      <c r="L8" s="223">
        <f t="shared" si="6"/>
        <v>0.87640449438202239</v>
      </c>
      <c r="M8" s="224" t="str">
        <f t="shared" si="0"/>
        <v>B</v>
      </c>
    </row>
    <row r="9" spans="2:13" ht="28.5" customHeight="1" outlineLevel="1" thickBot="1">
      <c r="B9" s="221" t="s">
        <v>52</v>
      </c>
      <c r="C9" s="222">
        <f>'Юнит 19-25.01'!AE11</f>
        <v>2661.2440730000003</v>
      </c>
      <c r="D9" s="223">
        <f t="shared" si="2"/>
        <v>0.13828166760218888</v>
      </c>
      <c r="E9" s="223">
        <f t="shared" si="3"/>
        <v>1.2718904095170627</v>
      </c>
      <c r="F9" s="224" t="str">
        <f t="shared" si="1"/>
        <v>C</v>
      </c>
      <c r="G9" s="224" t="str">
        <f t="shared" si="4"/>
        <v>A</v>
      </c>
      <c r="I9" s="221" t="s">
        <v>38</v>
      </c>
      <c r="J9" s="222">
        <f>'Юнит 19-25.01'!R3</f>
        <v>5</v>
      </c>
      <c r="K9" s="223">
        <f t="shared" si="5"/>
        <v>5.6179775280898875E-2</v>
      </c>
      <c r="L9" s="223">
        <f t="shared" si="6"/>
        <v>0.93258426966292129</v>
      </c>
      <c r="M9" s="224" t="str">
        <f t="shared" si="0"/>
        <v>B</v>
      </c>
    </row>
    <row r="10" spans="2:13" ht="28.5" customHeight="1" outlineLevel="1" thickBot="1">
      <c r="B10" s="221" t="s">
        <v>55</v>
      </c>
      <c r="C10" s="222">
        <f>'Юнит 19-25.01'!AE9</f>
        <v>0</v>
      </c>
      <c r="D10" s="223">
        <f t="shared" si="2"/>
        <v>0</v>
      </c>
      <c r="E10" s="223">
        <f t="shared" si="3"/>
        <v>1.2718904095170627</v>
      </c>
      <c r="F10" s="224" t="str">
        <f t="shared" si="1"/>
        <v>C</v>
      </c>
      <c r="G10" s="224" t="str">
        <f t="shared" si="4"/>
        <v>A</v>
      </c>
      <c r="I10" s="221" t="s">
        <v>40</v>
      </c>
      <c r="J10" s="222">
        <f>'Юнит 19-25.01'!R5</f>
        <v>3</v>
      </c>
      <c r="K10" s="223">
        <f t="shared" si="5"/>
        <v>3.3707865168539325E-2</v>
      </c>
      <c r="L10" s="223">
        <f t="shared" si="6"/>
        <v>0.96629213483146059</v>
      </c>
      <c r="M10" s="224" t="str">
        <f t="shared" si="0"/>
        <v>C</v>
      </c>
    </row>
    <row r="11" spans="2:13" ht="28.5" customHeight="1" outlineLevel="1" thickBot="1">
      <c r="B11" s="221" t="s">
        <v>56</v>
      </c>
      <c r="C11" s="222">
        <f>'Юнит 19-25.01'!AE10</f>
        <v>0</v>
      </c>
      <c r="D11" s="223">
        <f t="shared" si="2"/>
        <v>0</v>
      </c>
      <c r="E11" s="223">
        <f t="shared" si="3"/>
        <v>1.2718904095170627</v>
      </c>
      <c r="F11" s="224" t="str">
        <f t="shared" si="1"/>
        <v>C</v>
      </c>
      <c r="G11" s="224" t="str">
        <f t="shared" si="4"/>
        <v>A</v>
      </c>
      <c r="I11" s="221" t="s">
        <v>43</v>
      </c>
      <c r="J11" s="222">
        <f>'Юнит 19-25.01'!R8</f>
        <v>3</v>
      </c>
      <c r="K11" s="223">
        <f t="shared" si="5"/>
        <v>3.3707865168539325E-2</v>
      </c>
      <c r="L11" s="223">
        <f t="shared" si="6"/>
        <v>0.99999999999999989</v>
      </c>
      <c r="M11" s="224" t="str">
        <f t="shared" si="0"/>
        <v>C</v>
      </c>
    </row>
    <row r="12" spans="2:13" ht="28.5" customHeight="1" outlineLevel="1" thickBot="1">
      <c r="B12" s="221" t="s">
        <v>57</v>
      </c>
      <c r="C12" s="222">
        <f>'Юнит 19-25.01'!AE12</f>
        <v>0</v>
      </c>
      <c r="D12" s="223">
        <f t="shared" ref="D12:D17" si="7">C12/C$18</f>
        <v>0</v>
      </c>
      <c r="E12" s="223">
        <f>D12+E5</f>
        <v>0.78141315251986376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19-25.01'!R9</f>
        <v>0</v>
      </c>
      <c r="K12" s="223">
        <f t="shared" ref="K12:K17" si="9">J12/J$18</f>
        <v>0</v>
      </c>
      <c r="L12" s="223">
        <f>K12+L5</f>
        <v>0.4943820224719101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'Юнит 19-25.01'!AE13</f>
        <v>0</v>
      </c>
      <c r="D13" s="223">
        <f t="shared" si="7"/>
        <v>0</v>
      </c>
      <c r="E13" s="223">
        <f t="shared" ref="E13:E16" si="10">D13+E12</f>
        <v>0.78141315251986376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19-25.01'!R10</f>
        <v>0</v>
      </c>
      <c r="K13" s="223">
        <f t="shared" si="9"/>
        <v>0</v>
      </c>
      <c r="L13" s="223">
        <f t="shared" ref="L13:L16" si="11">K13+L12</f>
        <v>0.4943820224719101</v>
      </c>
      <c r="M13" s="224" t="str">
        <f t="shared" si="0"/>
        <v>A</v>
      </c>
    </row>
    <row r="14" spans="2:13" ht="28.5" customHeight="1" outlineLevel="1" thickBot="1">
      <c r="B14" s="221" t="s">
        <v>59</v>
      </c>
      <c r="C14" s="222">
        <f>'Юнит 19-25.01'!AE14</f>
        <v>0</v>
      </c>
      <c r="D14" s="223">
        <f t="shared" si="7"/>
        <v>0</v>
      </c>
      <c r="E14" s="223">
        <f t="shared" si="10"/>
        <v>0.78141315251986376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19-25.01'!R12</f>
        <v>0</v>
      </c>
      <c r="K14" s="223">
        <f t="shared" si="9"/>
        <v>0</v>
      </c>
      <c r="L14" s="223">
        <f t="shared" si="11"/>
        <v>0.4943820224719101</v>
      </c>
      <c r="M14" s="224" t="str">
        <f t="shared" si="0"/>
        <v>A</v>
      </c>
    </row>
    <row r="15" spans="2:13" ht="28.5" customHeight="1" outlineLevel="1" thickBot="1">
      <c r="B15" s="221" t="s">
        <v>60</v>
      </c>
      <c r="C15" s="222">
        <f>'Юнит 19-25.01'!AE16</f>
        <v>0</v>
      </c>
      <c r="D15" s="223">
        <f t="shared" si="7"/>
        <v>0</v>
      </c>
      <c r="E15" s="223">
        <f t="shared" si="10"/>
        <v>0.78141315251986376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19-25.01'!R13</f>
        <v>0</v>
      </c>
      <c r="K15" s="223">
        <f t="shared" si="9"/>
        <v>0</v>
      </c>
      <c r="L15" s="223">
        <f t="shared" si="11"/>
        <v>0.4943820224719101</v>
      </c>
      <c r="M15" s="224" t="str">
        <f t="shared" si="0"/>
        <v>A</v>
      </c>
    </row>
    <row r="16" spans="2:13" ht="28.5" customHeight="1" outlineLevel="1" thickBot="1">
      <c r="B16" s="221" t="s">
        <v>43</v>
      </c>
      <c r="C16" s="222">
        <f>'Юнит 19-25.01'!AE8</f>
        <v>-789.5849779999985</v>
      </c>
      <c r="D16" s="223">
        <f t="shared" si="7"/>
        <v>-4.1027851815333055E-2</v>
      </c>
      <c r="E16" s="223">
        <f t="shared" si="10"/>
        <v>0.74038530070453068</v>
      </c>
      <c r="F16" s="224" t="str">
        <f t="shared" si="1"/>
        <v>A</v>
      </c>
      <c r="G16" s="224" t="str">
        <f t="shared" si="8"/>
        <v>C</v>
      </c>
      <c r="I16" s="221" t="s">
        <v>59</v>
      </c>
      <c r="J16" s="222">
        <f>'Юнит 19-25.01'!R14</f>
        <v>0</v>
      </c>
      <c r="K16" s="223">
        <f t="shared" si="9"/>
        <v>0</v>
      </c>
      <c r="L16" s="223">
        <f t="shared" si="11"/>
        <v>0.4943820224719101</v>
      </c>
      <c r="M16" s="224" t="str">
        <f t="shared" si="0"/>
        <v>A</v>
      </c>
    </row>
    <row r="17" spans="2:13" ht="28.5" customHeight="1" outlineLevel="1" thickBot="1">
      <c r="B17" s="221" t="s">
        <v>53</v>
      </c>
      <c r="C17" s="222">
        <f>'Юнит 19-25.01'!AE15</f>
        <v>-4442.9722610000026</v>
      </c>
      <c r="D17" s="223">
        <f t="shared" si="7"/>
        <v>-0.23086255770172939</v>
      </c>
      <c r="E17" s="223">
        <f>D17+E14</f>
        <v>0.5505505948181344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19-25.01'!R16</f>
        <v>0</v>
      </c>
      <c r="K17" s="223">
        <f t="shared" si="9"/>
        <v>0</v>
      </c>
      <c r="L17" s="223">
        <f>K17+L14</f>
        <v>0.4943820224719101</v>
      </c>
      <c r="M17" s="224" t="str">
        <f t="shared" si="0"/>
        <v>A</v>
      </c>
    </row>
    <row r="18" spans="2:13" outlineLevel="1">
      <c r="C18" s="225">
        <f>SUM(C4:C17)</f>
        <v>19245.096759</v>
      </c>
      <c r="D18" s="226">
        <f>SUM(D4:D17)</f>
        <v>1.0000000000000002</v>
      </c>
      <c r="J18" s="225">
        <f>SUM(J4:J17)</f>
        <v>89</v>
      </c>
      <c r="K18" s="226">
        <f>SUM(K4:K17)</f>
        <v>0.99999999999999989</v>
      </c>
    </row>
    <row r="20" spans="2:13" ht="15" hidden="1" outlineLevel="1" thickBot="1">
      <c r="B20" s="301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3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53" priority="4" operator="equal">
      <formula>"C"</formula>
    </cfRule>
    <cfRule type="cellIs" dxfId="152" priority="5" operator="equal">
      <formula>"B"</formula>
    </cfRule>
    <cfRule type="cellIs" dxfId="151" priority="6" operator="equal">
      <formula>"A"</formula>
    </cfRule>
  </conditionalFormatting>
  <conditionalFormatting sqref="M22:M41 D22:D41 K22:K41 F22:G41">
    <cfRule type="cellIs" dxfId="150" priority="1" operator="equal">
      <formula>"C"</formula>
    </cfRule>
    <cfRule type="cellIs" dxfId="149" priority="2" operator="equal">
      <formula>"B"</formula>
    </cfRule>
    <cfRule type="cellIs" dxfId="148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98" t="s">
        <v>1074</v>
      </c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300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53</v>
      </c>
      <c r="C4" s="222">
        <f>'Юнит 12-18.01'!AE15</f>
        <v>7845.52650000003</v>
      </c>
      <c r="D4" s="223">
        <f>C4/C$18</f>
        <v>0.3149799510558548</v>
      </c>
      <c r="E4" s="223">
        <f>D4</f>
        <v>0.3149799510558548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53</v>
      </c>
      <c r="J4" s="222">
        <f>'Юнит 12-18.01'!R15</f>
        <v>37</v>
      </c>
      <c r="K4" s="223">
        <f>J4/J$18</f>
        <v>0.30833333333333335</v>
      </c>
      <c r="L4" s="223">
        <f>K4</f>
        <v>0.30833333333333335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41</v>
      </c>
      <c r="C5" s="222">
        <f>'Юнит 12-18.01'!AE6</f>
        <v>4986.2704150000072</v>
      </c>
      <c r="D5" s="223">
        <f>C5/C$18</f>
        <v>0.20018735661245335</v>
      </c>
      <c r="E5" s="223">
        <f>D5+E4</f>
        <v>0.51516730766830809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52</v>
      </c>
      <c r="J5" s="222">
        <f>'Юнит 12-18.01'!R11</f>
        <v>35</v>
      </c>
      <c r="K5" s="223">
        <f>J5/J$18</f>
        <v>0.29166666666666669</v>
      </c>
      <c r="L5" s="223">
        <f>K5+L4</f>
        <v>0.60000000000000009</v>
      </c>
      <c r="M5" s="224" t="str">
        <f t="shared" si="0"/>
        <v>A</v>
      </c>
    </row>
    <row r="6" spans="2:13" ht="28.5" customHeight="1" outlineLevel="1" thickBot="1">
      <c r="B6" s="221" t="s">
        <v>42</v>
      </c>
      <c r="C6" s="222">
        <f>'Юнит 12-18.01'!AE7</f>
        <v>3808.3998000000038</v>
      </c>
      <c r="D6" s="223">
        <f t="shared" ref="D6:D11" si="2">C6/C$18</f>
        <v>0.15289854448966858</v>
      </c>
      <c r="E6" s="223">
        <f t="shared" ref="E6:E11" si="3">D6+E5</f>
        <v>0.66806585215797665</v>
      </c>
      <c r="F6" s="224" t="str">
        <f t="shared" si="1"/>
        <v>A</v>
      </c>
      <c r="G6" s="224" t="str">
        <f t="shared" ref="G6:G11" si="4">VLOOKUP(B$4:B$17,I$4:M$17,5,0)</f>
        <v>B</v>
      </c>
      <c r="I6" s="221" t="s">
        <v>41</v>
      </c>
      <c r="J6" s="222">
        <f>'Юнит 12-18.01'!R6</f>
        <v>20</v>
      </c>
      <c r="K6" s="223">
        <f t="shared" ref="K6:K11" si="5">J6/J$18</f>
        <v>0.16666666666666666</v>
      </c>
      <c r="L6" s="223">
        <f t="shared" ref="L6:L11" si="6">K6+L5</f>
        <v>0.76666666666666672</v>
      </c>
      <c r="M6" s="224" t="str">
        <f t="shared" si="0"/>
        <v>A</v>
      </c>
    </row>
    <row r="7" spans="2:13" ht="28.5" customHeight="1" outlineLevel="1" thickBot="1">
      <c r="B7" s="221" t="s">
        <v>40</v>
      </c>
      <c r="C7" s="222">
        <f>'Юнит 12-18.01'!AE5</f>
        <v>2085.487411000001</v>
      </c>
      <c r="D7" s="223">
        <f t="shared" si="2"/>
        <v>8.3727551317859819E-2</v>
      </c>
      <c r="E7" s="223">
        <f t="shared" si="3"/>
        <v>0.75179340347583645</v>
      </c>
      <c r="F7" s="224" t="str">
        <f t="shared" si="1"/>
        <v>A</v>
      </c>
      <c r="G7" s="224" t="str">
        <f t="shared" si="4"/>
        <v>C</v>
      </c>
      <c r="I7" s="221" t="s">
        <v>42</v>
      </c>
      <c r="J7" s="222">
        <f>'Юнит 12-18.01'!R7</f>
        <v>10</v>
      </c>
      <c r="K7" s="223">
        <f t="shared" si="5"/>
        <v>8.3333333333333329E-2</v>
      </c>
      <c r="L7" s="223">
        <f t="shared" si="6"/>
        <v>0.85000000000000009</v>
      </c>
      <c r="M7" s="224" t="str">
        <f t="shared" si="0"/>
        <v>B</v>
      </c>
    </row>
    <row r="8" spans="2:13" ht="28.5" customHeight="1" outlineLevel="1" thickBot="1">
      <c r="B8" s="221" t="s">
        <v>38</v>
      </c>
      <c r="C8" s="222">
        <f>'Юнит 12-18.01'!AE3</f>
        <v>1162.1223400000003</v>
      </c>
      <c r="D8" s="223">
        <f t="shared" si="2"/>
        <v>4.6656554888204652E-2</v>
      </c>
      <c r="E8" s="223">
        <f t="shared" si="3"/>
        <v>0.79844995836404109</v>
      </c>
      <c r="F8" s="224" t="str">
        <f t="shared" si="1"/>
        <v>A</v>
      </c>
      <c r="G8" s="224" t="str">
        <f t="shared" si="4"/>
        <v>C</v>
      </c>
      <c r="I8" s="221" t="s">
        <v>43</v>
      </c>
      <c r="J8" s="222">
        <f>'Юнит 12-18.01'!R8</f>
        <v>7</v>
      </c>
      <c r="K8" s="223">
        <f t="shared" si="5"/>
        <v>5.8333333333333334E-2</v>
      </c>
      <c r="L8" s="223">
        <f t="shared" si="6"/>
        <v>0.90833333333333344</v>
      </c>
      <c r="M8" s="224" t="str">
        <f t="shared" si="0"/>
        <v>B</v>
      </c>
    </row>
    <row r="9" spans="2:13" ht="28.5" customHeight="1" outlineLevel="1" thickBot="1">
      <c r="B9" s="221" t="s">
        <v>52</v>
      </c>
      <c r="C9" s="222">
        <f>'Юнит 12-18.01'!AE11</f>
        <v>3663.4073629999939</v>
      </c>
      <c r="D9" s="223">
        <f t="shared" si="2"/>
        <v>0.14707742965311402</v>
      </c>
      <c r="E9" s="223">
        <f t="shared" si="3"/>
        <v>0.94552738801715508</v>
      </c>
      <c r="F9" s="224" t="str">
        <f t="shared" si="1"/>
        <v>B</v>
      </c>
      <c r="G9" s="224" t="str">
        <f t="shared" si="4"/>
        <v>A</v>
      </c>
      <c r="I9" s="221" t="s">
        <v>39</v>
      </c>
      <c r="J9" s="222">
        <f>'Юнит 12-18.01'!R4</f>
        <v>4</v>
      </c>
      <c r="K9" s="223">
        <f t="shared" si="5"/>
        <v>3.3333333333333333E-2</v>
      </c>
      <c r="L9" s="223">
        <f t="shared" si="6"/>
        <v>0.94166666666666676</v>
      </c>
      <c r="M9" s="224" t="str">
        <f t="shared" si="0"/>
        <v>B</v>
      </c>
    </row>
    <row r="10" spans="2:13" ht="28.5" customHeight="1" outlineLevel="1" thickBot="1">
      <c r="B10" s="221" t="s">
        <v>39</v>
      </c>
      <c r="C10" s="222">
        <f>'Юнит 12-18.01'!AE4</f>
        <v>745.60926800000107</v>
      </c>
      <c r="D10" s="223">
        <f t="shared" si="2"/>
        <v>2.9934507357974146E-2</v>
      </c>
      <c r="E10" s="223">
        <f t="shared" si="3"/>
        <v>0.97546189537512917</v>
      </c>
      <c r="F10" s="224" t="str">
        <f t="shared" si="1"/>
        <v>C</v>
      </c>
      <c r="G10" s="224" t="str">
        <f t="shared" si="4"/>
        <v>B</v>
      </c>
      <c r="I10" s="221" t="s">
        <v>40</v>
      </c>
      <c r="J10" s="222">
        <f>'Юнит 12-18.01'!R5</f>
        <v>4</v>
      </c>
      <c r="K10" s="223">
        <f t="shared" si="5"/>
        <v>3.3333333333333333E-2</v>
      </c>
      <c r="L10" s="223">
        <f t="shared" si="6"/>
        <v>0.97500000000000009</v>
      </c>
      <c r="M10" s="224" t="str">
        <f t="shared" si="0"/>
        <v>C</v>
      </c>
    </row>
    <row r="11" spans="2:13" ht="28.5" customHeight="1" outlineLevel="1" thickBot="1">
      <c r="B11" s="221" t="s">
        <v>43</v>
      </c>
      <c r="C11" s="222">
        <f>'Юнит 12-18.01'!AE8</f>
        <v>611.195568000001</v>
      </c>
      <c r="D11" s="223">
        <f t="shared" si="2"/>
        <v>2.4538104624870612E-2</v>
      </c>
      <c r="E11" s="223">
        <f t="shared" si="3"/>
        <v>0.99999999999999978</v>
      </c>
      <c r="F11" s="224" t="str">
        <f t="shared" si="1"/>
        <v>C</v>
      </c>
      <c r="G11" s="224" t="str">
        <f t="shared" si="4"/>
        <v>B</v>
      </c>
      <c r="I11" s="221" t="s">
        <v>38</v>
      </c>
      <c r="J11" s="222">
        <f>'Юнит 12-18.01'!R3</f>
        <v>3</v>
      </c>
      <c r="K11" s="223">
        <f t="shared" si="5"/>
        <v>2.5000000000000001E-2</v>
      </c>
      <c r="L11" s="223">
        <f t="shared" si="6"/>
        <v>1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'Юнит 12-18.01'!AE9</f>
        <v>0</v>
      </c>
      <c r="D12" s="223">
        <f t="shared" ref="D12:D17" si="7">C12/C$18</f>
        <v>0</v>
      </c>
      <c r="E12" s="223">
        <f>D12+E5</f>
        <v>0.51516730766830809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12-18.01'!R9</f>
        <v>0</v>
      </c>
      <c r="K12" s="223">
        <f t="shared" ref="K12:K17" si="9">J12/J$18</f>
        <v>0</v>
      </c>
      <c r="L12" s="223">
        <f>K12+L5</f>
        <v>0.60000000000000009</v>
      </c>
      <c r="M12" s="224" t="str">
        <f t="shared" si="0"/>
        <v>A</v>
      </c>
    </row>
    <row r="13" spans="2:13" ht="28.5" customHeight="1" outlineLevel="1" thickBot="1">
      <c r="B13" s="221" t="s">
        <v>56</v>
      </c>
      <c r="C13" s="222">
        <f>'Юнит 12-18.01'!AE10</f>
        <v>0</v>
      </c>
      <c r="D13" s="223">
        <f t="shared" si="7"/>
        <v>0</v>
      </c>
      <c r="E13" s="223">
        <f t="shared" ref="E13:E16" si="10">D13+E12</f>
        <v>0.51516730766830809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12-18.01'!R10</f>
        <v>0</v>
      </c>
      <c r="K13" s="223">
        <f t="shared" si="9"/>
        <v>0</v>
      </c>
      <c r="L13" s="223">
        <f t="shared" ref="L13:L16" si="11">K13+L12</f>
        <v>0.60000000000000009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'Юнит 12-18.01'!AE12</f>
        <v>0</v>
      </c>
      <c r="D14" s="223">
        <f t="shared" si="7"/>
        <v>0</v>
      </c>
      <c r="E14" s="223">
        <f t="shared" si="10"/>
        <v>0.51516730766830809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12-18.01'!R12</f>
        <v>0</v>
      </c>
      <c r="K14" s="223">
        <f t="shared" si="9"/>
        <v>0</v>
      </c>
      <c r="L14" s="223">
        <f t="shared" si="11"/>
        <v>0.60000000000000009</v>
      </c>
      <c r="M14" s="224" t="str">
        <f t="shared" si="0"/>
        <v>A</v>
      </c>
    </row>
    <row r="15" spans="2:13" ht="28.5" customHeight="1" outlineLevel="1" thickBot="1">
      <c r="B15" s="221" t="s">
        <v>58</v>
      </c>
      <c r="C15" s="222">
        <f>'Юнит 12-18.01'!AE13</f>
        <v>0</v>
      </c>
      <c r="D15" s="223">
        <f t="shared" si="7"/>
        <v>0</v>
      </c>
      <c r="E15" s="223">
        <f t="shared" si="10"/>
        <v>0.51516730766830809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12-18.01'!R13</f>
        <v>0</v>
      </c>
      <c r="K15" s="223">
        <f t="shared" si="9"/>
        <v>0</v>
      </c>
      <c r="L15" s="223">
        <f t="shared" si="11"/>
        <v>0.60000000000000009</v>
      </c>
      <c r="M15" s="224" t="str">
        <f t="shared" si="0"/>
        <v>A</v>
      </c>
    </row>
    <row r="16" spans="2:13" ht="28.5" customHeight="1" outlineLevel="1" thickBot="1">
      <c r="B16" s="221" t="s">
        <v>59</v>
      </c>
      <c r="C16" s="222">
        <f>'Юнит 12-18.01'!AE14</f>
        <v>0</v>
      </c>
      <c r="D16" s="223">
        <f t="shared" si="7"/>
        <v>0</v>
      </c>
      <c r="E16" s="223">
        <f t="shared" si="10"/>
        <v>0.51516730766830809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'Юнит 12-18.01'!R14</f>
        <v>0</v>
      </c>
      <c r="K16" s="223">
        <f t="shared" si="9"/>
        <v>0</v>
      </c>
      <c r="L16" s="223">
        <f t="shared" si="11"/>
        <v>0.60000000000000009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12-18.01'!AE16</f>
        <v>0</v>
      </c>
      <c r="D17" s="223">
        <f t="shared" si="7"/>
        <v>0</v>
      </c>
      <c r="E17" s="223">
        <f>D17+E14</f>
        <v>0.51516730766830809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12-18.01'!R16</f>
        <v>0</v>
      </c>
      <c r="K17" s="223">
        <f t="shared" si="9"/>
        <v>0</v>
      </c>
      <c r="L17" s="223">
        <f>K17+L14</f>
        <v>0.60000000000000009</v>
      </c>
      <c r="M17" s="224" t="str">
        <f t="shared" si="0"/>
        <v>A</v>
      </c>
    </row>
    <row r="18" spans="2:13" outlineLevel="1">
      <c r="C18" s="225">
        <f>SUM(C4:C17)</f>
        <v>24908.01866500004</v>
      </c>
      <c r="D18" s="226">
        <f>SUM(D4:D17)</f>
        <v>0.99999999999999978</v>
      </c>
      <c r="J18" s="225">
        <f>SUM(J4:J17)</f>
        <v>120</v>
      </c>
      <c r="K18" s="226">
        <f>SUM(K4:K17)</f>
        <v>1</v>
      </c>
    </row>
    <row r="20" spans="2:13" ht="15" hidden="1" outlineLevel="1" thickBot="1">
      <c r="B20" s="301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3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47" priority="4" operator="equal">
      <formula>"C"</formula>
    </cfRule>
    <cfRule type="cellIs" dxfId="146" priority="5" operator="equal">
      <formula>"B"</formula>
    </cfRule>
    <cfRule type="cellIs" dxfId="145" priority="6" operator="equal">
      <formula>"A"</formula>
    </cfRule>
  </conditionalFormatting>
  <conditionalFormatting sqref="M22:M41 D22:D41 K22:K41 F22:G41">
    <cfRule type="cellIs" dxfId="144" priority="1" operator="equal">
      <formula>"C"</formula>
    </cfRule>
    <cfRule type="cellIs" dxfId="143" priority="2" operator="equal">
      <formula>"B"</formula>
    </cfRule>
    <cfRule type="cellIs" dxfId="142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98" t="s">
        <v>1074</v>
      </c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300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52</v>
      </c>
      <c r="C4" s="222">
        <f>'Юнит 05-11.01'!AE11</f>
        <v>14577.679418000027</v>
      </c>
      <c r="D4" s="223">
        <f>C4/C$18</f>
        <v>0.32994497100826942</v>
      </c>
      <c r="E4" s="223">
        <f>D4</f>
        <v>0.32994497100826942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05-11.01'!R11</f>
        <v>52</v>
      </c>
      <c r="K4" s="223">
        <f>J4/J$18</f>
        <v>0.32500000000000001</v>
      </c>
      <c r="L4" s="223">
        <f>K4</f>
        <v>0.32500000000000001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53</v>
      </c>
      <c r="C5" s="222">
        <f>'Юнит 05-11.01'!AE15</f>
        <v>13681.242649000027</v>
      </c>
      <c r="D5" s="223">
        <f>C5/C$18</f>
        <v>0.30965540397380442</v>
      </c>
      <c r="E5" s="223">
        <f>D5+E4</f>
        <v>0.63960037498207378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'Юнит 05-11.01'!R15</f>
        <v>49</v>
      </c>
      <c r="K5" s="223">
        <f>J5/J$18</f>
        <v>0.30625000000000002</v>
      </c>
      <c r="L5" s="223">
        <f>K5+L4</f>
        <v>0.63125000000000009</v>
      </c>
      <c r="M5" s="224" t="str">
        <f t="shared" si="0"/>
        <v>A</v>
      </c>
    </row>
    <row r="6" spans="2:13" ht="28.5" customHeight="1" outlineLevel="1" thickBot="1">
      <c r="B6" s="221" t="s">
        <v>41</v>
      </c>
      <c r="C6" s="222">
        <f>'Юнит 05-11.01'!AE6</f>
        <v>6919.016599999999</v>
      </c>
      <c r="D6" s="223">
        <f t="shared" ref="D6:D11" si="2">C6/C$18</f>
        <v>0.15660206717633623</v>
      </c>
      <c r="E6" s="223">
        <f t="shared" ref="E6:E11" si="3">D6+E5</f>
        <v>0.79620244215840996</v>
      </c>
      <c r="F6" s="224" t="str">
        <f t="shared" si="1"/>
        <v>A</v>
      </c>
      <c r="G6" s="224" t="str">
        <f t="shared" ref="G6:G11" si="4">VLOOKUP(B$4:B$17,I$4:M$17,5,0)</f>
        <v>B</v>
      </c>
      <c r="I6" s="221" t="s">
        <v>41</v>
      </c>
      <c r="J6" s="222">
        <f>'Юнит 05-11.01'!R6</f>
        <v>31</v>
      </c>
      <c r="K6" s="223">
        <f t="shared" ref="K6:K11" si="5">J6/J$18</f>
        <v>0.19375000000000001</v>
      </c>
      <c r="L6" s="223">
        <f t="shared" ref="L6:L11" si="6">K6+L5</f>
        <v>0.82500000000000007</v>
      </c>
      <c r="M6" s="224" t="str">
        <f t="shared" si="0"/>
        <v>B</v>
      </c>
    </row>
    <row r="7" spans="2:13" ht="28.5" customHeight="1" outlineLevel="1" thickBot="1">
      <c r="B7" s="221" t="s">
        <v>42</v>
      </c>
      <c r="C7" s="222">
        <f>'Юнит 05-11.01'!AE7</f>
        <v>2667.2832120000003</v>
      </c>
      <c r="D7" s="223">
        <f t="shared" si="2"/>
        <v>6.0370149241141868E-2</v>
      </c>
      <c r="E7" s="223">
        <f t="shared" si="3"/>
        <v>0.85657259139955189</v>
      </c>
      <c r="F7" s="224" t="str">
        <f t="shared" si="1"/>
        <v>B</v>
      </c>
      <c r="G7" s="224" t="str">
        <f t="shared" si="4"/>
        <v>B</v>
      </c>
      <c r="I7" s="221" t="s">
        <v>43</v>
      </c>
      <c r="J7" s="222">
        <f>'Юнит 05-11.01'!R8</f>
        <v>10</v>
      </c>
      <c r="K7" s="223">
        <f t="shared" si="5"/>
        <v>6.25E-2</v>
      </c>
      <c r="L7" s="223">
        <f t="shared" si="6"/>
        <v>0.88750000000000007</v>
      </c>
      <c r="M7" s="224" t="str">
        <f t="shared" si="0"/>
        <v>B</v>
      </c>
    </row>
    <row r="8" spans="2:13" ht="28.5" customHeight="1" outlineLevel="1" thickBot="1">
      <c r="B8" s="221" t="s">
        <v>43</v>
      </c>
      <c r="C8" s="222">
        <f>'Юнит 05-11.01'!AE8</f>
        <v>2517.3576420000009</v>
      </c>
      <c r="D8" s="223">
        <f t="shared" si="2"/>
        <v>5.697679791075333E-2</v>
      </c>
      <c r="E8" s="223">
        <f t="shared" si="3"/>
        <v>0.91354938931030527</v>
      </c>
      <c r="F8" s="224" t="str">
        <f t="shared" si="1"/>
        <v>B</v>
      </c>
      <c r="G8" s="224" t="str">
        <f t="shared" si="4"/>
        <v>B</v>
      </c>
      <c r="I8" s="221" t="s">
        <v>42</v>
      </c>
      <c r="J8" s="222">
        <f>'Юнит 05-11.01'!R7</f>
        <v>8</v>
      </c>
      <c r="K8" s="223">
        <f t="shared" si="5"/>
        <v>0.05</v>
      </c>
      <c r="L8" s="223">
        <f t="shared" si="6"/>
        <v>0.93750000000000011</v>
      </c>
      <c r="M8" s="224" t="str">
        <f t="shared" si="0"/>
        <v>B</v>
      </c>
    </row>
    <row r="9" spans="2:13" ht="28.5" customHeight="1" outlineLevel="1" thickBot="1">
      <c r="B9" s="221" t="s">
        <v>38</v>
      </c>
      <c r="C9" s="222">
        <f>'Юнит 05-11.01'!AE3</f>
        <v>1842.5975959999987</v>
      </c>
      <c r="D9" s="223">
        <f t="shared" si="2"/>
        <v>4.1704567164609421E-2</v>
      </c>
      <c r="E9" s="223">
        <f t="shared" si="3"/>
        <v>0.95525395647491473</v>
      </c>
      <c r="F9" s="224" t="str">
        <f t="shared" si="1"/>
        <v>C</v>
      </c>
      <c r="G9" s="224" t="str">
        <f t="shared" si="4"/>
        <v>C</v>
      </c>
      <c r="I9" s="221" t="s">
        <v>38</v>
      </c>
      <c r="J9" s="222">
        <f>'Юнит 05-11.01'!R3</f>
        <v>5</v>
      </c>
      <c r="K9" s="223">
        <f t="shared" si="5"/>
        <v>3.125E-2</v>
      </c>
      <c r="L9" s="223">
        <f t="shared" si="6"/>
        <v>0.96875000000000011</v>
      </c>
      <c r="M9" s="224" t="str">
        <f t="shared" si="0"/>
        <v>C</v>
      </c>
    </row>
    <row r="10" spans="2:13" ht="28.5" customHeight="1" outlineLevel="1" thickBot="1">
      <c r="B10" s="221" t="s">
        <v>39</v>
      </c>
      <c r="C10" s="222">
        <f>'Юнит 05-11.01'!AE4</f>
        <v>1521.1406939999995</v>
      </c>
      <c r="D10" s="223">
        <f t="shared" si="2"/>
        <v>3.4428848912784325E-2</v>
      </c>
      <c r="E10" s="223">
        <f t="shared" si="3"/>
        <v>0.98968280538769904</v>
      </c>
      <c r="F10" s="224" t="str">
        <f t="shared" si="1"/>
        <v>C</v>
      </c>
      <c r="G10" s="224" t="str">
        <f t="shared" si="4"/>
        <v>C</v>
      </c>
      <c r="I10" s="221" t="s">
        <v>39</v>
      </c>
      <c r="J10" s="222">
        <f>'Юнит 05-11.01'!R4</f>
        <v>3</v>
      </c>
      <c r="K10" s="223">
        <f t="shared" si="5"/>
        <v>1.8749999999999999E-2</v>
      </c>
      <c r="L10" s="223">
        <f t="shared" si="6"/>
        <v>0.98750000000000016</v>
      </c>
      <c r="M10" s="224" t="str">
        <f t="shared" si="0"/>
        <v>C</v>
      </c>
    </row>
    <row r="11" spans="2:13" ht="28.5" customHeight="1" outlineLevel="1" thickBot="1">
      <c r="B11" s="221" t="s">
        <v>40</v>
      </c>
      <c r="C11" s="222">
        <f>'Юнит 05-11.01'!AE5</f>
        <v>455.83587800000009</v>
      </c>
      <c r="D11" s="223">
        <f t="shared" si="2"/>
        <v>1.0317194612300863E-2</v>
      </c>
      <c r="E11" s="223">
        <f t="shared" si="3"/>
        <v>0.99999999999999989</v>
      </c>
      <c r="F11" s="224" t="str">
        <f t="shared" si="1"/>
        <v>C</v>
      </c>
      <c r="G11" s="224" t="str">
        <f t="shared" si="4"/>
        <v>C</v>
      </c>
      <c r="I11" s="221" t="s">
        <v>40</v>
      </c>
      <c r="J11" s="222">
        <f>'Юнит 05-11.01'!R5</f>
        <v>2</v>
      </c>
      <c r="K11" s="223">
        <f t="shared" si="5"/>
        <v>1.2500000000000001E-2</v>
      </c>
      <c r="L11" s="223">
        <f t="shared" si="6"/>
        <v>1.0000000000000002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'Юнит 05-11.01'!AE9</f>
        <v>0</v>
      </c>
      <c r="D12" s="223">
        <f t="shared" ref="D12:D17" si="7">C12/C$18</f>
        <v>0</v>
      </c>
      <c r="E12" s="223">
        <f>D12+E5</f>
        <v>0.63960037498207378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05-11.01'!R9</f>
        <v>0</v>
      </c>
      <c r="K12" s="223">
        <f t="shared" ref="K12:K17" si="9">J12/J$18</f>
        <v>0</v>
      </c>
      <c r="L12" s="223">
        <f>K12+L5</f>
        <v>0.63125000000000009</v>
      </c>
      <c r="M12" s="224" t="str">
        <f t="shared" si="0"/>
        <v>A</v>
      </c>
    </row>
    <row r="13" spans="2:13" ht="28.5" customHeight="1" outlineLevel="1" thickBot="1">
      <c r="B13" s="221" t="s">
        <v>56</v>
      </c>
      <c r="C13" s="222">
        <f>'Юнит 05-11.01'!AE10</f>
        <v>0</v>
      </c>
      <c r="D13" s="223">
        <f t="shared" si="7"/>
        <v>0</v>
      </c>
      <c r="E13" s="223">
        <f t="shared" ref="E13:E16" si="10">D13+E12</f>
        <v>0.63960037498207378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05-11.01'!R10</f>
        <v>0</v>
      </c>
      <c r="K13" s="223">
        <f t="shared" si="9"/>
        <v>0</v>
      </c>
      <c r="L13" s="223">
        <f t="shared" ref="L13:L16" si="11">K13+L12</f>
        <v>0.63125000000000009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'Юнит 05-11.01'!AE12</f>
        <v>0</v>
      </c>
      <c r="D14" s="223">
        <f t="shared" si="7"/>
        <v>0</v>
      </c>
      <c r="E14" s="223">
        <f t="shared" si="10"/>
        <v>0.63960037498207378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05-11.01'!R12</f>
        <v>0</v>
      </c>
      <c r="K14" s="223">
        <f t="shared" si="9"/>
        <v>0</v>
      </c>
      <c r="L14" s="223">
        <f t="shared" si="11"/>
        <v>0.63125000000000009</v>
      </c>
      <c r="M14" s="224" t="str">
        <f t="shared" si="0"/>
        <v>A</v>
      </c>
    </row>
    <row r="15" spans="2:13" ht="28.5" customHeight="1" outlineLevel="1" thickBot="1">
      <c r="B15" s="221" t="s">
        <v>58</v>
      </c>
      <c r="C15" s="222">
        <f>'Юнит 05-11.01'!AE13</f>
        <v>0</v>
      </c>
      <c r="D15" s="223">
        <f t="shared" si="7"/>
        <v>0</v>
      </c>
      <c r="E15" s="223">
        <f t="shared" si="10"/>
        <v>0.63960037498207378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05-11.01'!R13</f>
        <v>0</v>
      </c>
      <c r="K15" s="223">
        <f t="shared" si="9"/>
        <v>0</v>
      </c>
      <c r="L15" s="223">
        <f t="shared" si="11"/>
        <v>0.63125000000000009</v>
      </c>
      <c r="M15" s="224" t="str">
        <f t="shared" si="0"/>
        <v>A</v>
      </c>
    </row>
    <row r="16" spans="2:13" ht="28.5" customHeight="1" outlineLevel="1" thickBot="1">
      <c r="B16" s="221" t="s">
        <v>59</v>
      </c>
      <c r="C16" s="222">
        <f>'Юнит 05-11.01'!AE14</f>
        <v>0</v>
      </c>
      <c r="D16" s="223">
        <f t="shared" si="7"/>
        <v>0</v>
      </c>
      <c r="E16" s="223">
        <f t="shared" si="10"/>
        <v>0.63960037498207378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'Юнит 05-11.01'!R14</f>
        <v>0</v>
      </c>
      <c r="K16" s="223">
        <f t="shared" si="9"/>
        <v>0</v>
      </c>
      <c r="L16" s="223">
        <f t="shared" si="11"/>
        <v>0.63125000000000009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05-11.01'!AE16</f>
        <v>0</v>
      </c>
      <c r="D17" s="223">
        <f t="shared" si="7"/>
        <v>0</v>
      </c>
      <c r="E17" s="223">
        <f>D17+E14</f>
        <v>0.63960037498207378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05-11.01'!R16</f>
        <v>0</v>
      </c>
      <c r="K17" s="223">
        <f t="shared" si="9"/>
        <v>0</v>
      </c>
      <c r="L17" s="223">
        <f>K17+L14</f>
        <v>0.63125000000000009</v>
      </c>
      <c r="M17" s="224" t="str">
        <f t="shared" si="0"/>
        <v>A</v>
      </c>
    </row>
    <row r="18" spans="2:13" outlineLevel="1">
      <c r="C18" s="225">
        <f>SUM(C4:C17)</f>
        <v>44182.153689000057</v>
      </c>
      <c r="D18" s="226">
        <f>SUM(D4:D17)</f>
        <v>0.99999999999999989</v>
      </c>
      <c r="J18" s="225">
        <f>SUM(J4:J17)</f>
        <v>160</v>
      </c>
      <c r="K18" s="226">
        <f>SUM(K4:K17)</f>
        <v>1.0000000000000002</v>
      </c>
    </row>
    <row r="20" spans="2:13" ht="15" hidden="1" outlineLevel="1" thickBot="1">
      <c r="B20" s="301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3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41" priority="4" operator="equal">
      <formula>"C"</formula>
    </cfRule>
    <cfRule type="cellIs" dxfId="140" priority="5" operator="equal">
      <formula>"B"</formula>
    </cfRule>
    <cfRule type="cellIs" dxfId="139" priority="6" operator="equal">
      <formula>"A"</formula>
    </cfRule>
  </conditionalFormatting>
  <conditionalFormatting sqref="M22:M41 D22:D41 K22:K41 F22:G41">
    <cfRule type="cellIs" dxfId="138" priority="1" operator="equal">
      <formula>"C"</formula>
    </cfRule>
    <cfRule type="cellIs" dxfId="137" priority="2" operator="equal">
      <formula>"B"</formula>
    </cfRule>
    <cfRule type="cellIs" dxfId="136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98" t="s">
        <v>1074</v>
      </c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300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53</v>
      </c>
      <c r="C4" s="222">
        <f>'Юнит 01-04.01'!AE15</f>
        <v>2923.2652270000012</v>
      </c>
      <c r="D4" s="223">
        <f>C4/C$18</f>
        <v>-0.7804093277273686</v>
      </c>
      <c r="E4" s="223">
        <f>D4</f>
        <v>-0.7804093277273686</v>
      </c>
      <c r="F4" s="224" t="str">
        <f>IF(AND(E4&lt;=0),"C",IF(E4&lt;=0.8,"A",IF(E4&lt;=0.95,"B","C")))</f>
        <v>C</v>
      </c>
      <c r="G4" s="224" t="str">
        <f>VLOOKUP(B$4:B$17,I$4:M$17,5,0)</f>
        <v>A</v>
      </c>
      <c r="I4" s="221" t="s">
        <v>53</v>
      </c>
      <c r="J4" s="222">
        <f>'Юнит 01-04.01'!R15</f>
        <v>25</v>
      </c>
      <c r="K4" s="223">
        <f>J4/J$18</f>
        <v>0.5</v>
      </c>
      <c r="L4" s="223">
        <f>K4</f>
        <v>0.5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39</v>
      </c>
      <c r="C5" s="222">
        <f>'Юнит 01-04.01'!AE4</f>
        <v>684.33</v>
      </c>
      <c r="D5" s="223">
        <f>C5/C$18</f>
        <v>-0.1826921178109269</v>
      </c>
      <c r="E5" s="223">
        <f>D5+E4</f>
        <v>-0.96310144553829546</v>
      </c>
      <c r="F5" s="224" t="str">
        <f t="shared" ref="F5:F17" si="1">IF(AND(E5&lt;=0),"C",IF(E5&lt;=0.8,"A",IF(E5&lt;=0.95,"B","C")))</f>
        <v>C</v>
      </c>
      <c r="G5" s="224" t="str">
        <f>VLOOKUP(B$4:B$17,I$4:M$17,5,0)</f>
        <v>C</v>
      </c>
      <c r="I5" s="221" t="s">
        <v>52</v>
      </c>
      <c r="J5" s="222">
        <f>'Юнит 01-04.01'!R11</f>
        <v>12</v>
      </c>
      <c r="K5" s="223">
        <f>J5/J$18</f>
        <v>0.24</v>
      </c>
      <c r="L5" s="223">
        <f>K5+L4</f>
        <v>0.74</v>
      </c>
      <c r="M5" s="224" t="str">
        <f t="shared" si="0"/>
        <v>A</v>
      </c>
    </row>
    <row r="6" spans="2:13" ht="28.5" customHeight="1" outlineLevel="1" thickBot="1">
      <c r="B6" s="221" t="s">
        <v>42</v>
      </c>
      <c r="C6" s="222">
        <f>'Юнит 01-04.01'!AE7</f>
        <v>752.97</v>
      </c>
      <c r="D6" s="223">
        <f t="shared" ref="D6:D11" si="2">C6/C$18</f>
        <v>-0.20101659133472682</v>
      </c>
      <c r="E6" s="223">
        <f t="shared" ref="E6:E11" si="3">D6+E5</f>
        <v>-1.1641180368730222</v>
      </c>
      <c r="F6" s="224" t="str">
        <f t="shared" ref="F6:F11" si="4">IF(AND(E6&lt;=0),"C",IF(E6&lt;=0.8,"A",IF(E6&lt;=0.95,"B","C")))</f>
        <v>C</v>
      </c>
      <c r="G6" s="224" t="str">
        <f t="shared" ref="G6:G11" si="5">VLOOKUP(B$4:B$17,I$4:M$17,5,0)</f>
        <v>B</v>
      </c>
      <c r="I6" s="221" t="s">
        <v>41</v>
      </c>
      <c r="J6" s="222">
        <f>'Юнит 01-04.01'!R6</f>
        <v>7</v>
      </c>
      <c r="K6" s="223">
        <f t="shared" ref="K6:K11" si="6">J6/J$18</f>
        <v>0.14000000000000001</v>
      </c>
      <c r="L6" s="223">
        <f t="shared" ref="L6:L11" si="7">K6+L5</f>
        <v>0.88</v>
      </c>
      <c r="M6" s="224" t="str">
        <f t="shared" ref="M6:M11" si="8">_xlfn.IFS(L6&lt;80%,"A",L6&lt;=95%,"B",L6&gt;95%,"C")</f>
        <v>B</v>
      </c>
    </row>
    <row r="7" spans="2:13" ht="28.5" customHeight="1" outlineLevel="1" thickBot="1">
      <c r="B7" s="221" t="s">
        <v>38</v>
      </c>
      <c r="C7" s="222">
        <f>'Юнит 01-04.01'!AE3</f>
        <v>277.18999999999994</v>
      </c>
      <c r="D7" s="223">
        <f t="shared" si="2"/>
        <v>-7.4000011889016712E-2</v>
      </c>
      <c r="E7" s="223">
        <f t="shared" si="3"/>
        <v>-1.2381180487620389</v>
      </c>
      <c r="F7" s="224" t="str">
        <f t="shared" si="4"/>
        <v>C</v>
      </c>
      <c r="G7" s="224" t="str">
        <f t="shared" si="5"/>
        <v>C</v>
      </c>
      <c r="I7" s="221" t="s">
        <v>42</v>
      </c>
      <c r="J7" s="222">
        <f>'Юнит 01-04.01'!R7</f>
        <v>2</v>
      </c>
      <c r="K7" s="223">
        <f t="shared" si="6"/>
        <v>0.04</v>
      </c>
      <c r="L7" s="223">
        <f t="shared" si="7"/>
        <v>0.92</v>
      </c>
      <c r="M7" s="224" t="str">
        <f t="shared" si="8"/>
        <v>B</v>
      </c>
    </row>
    <row r="8" spans="2:13" ht="28.5" customHeight="1" outlineLevel="1" thickBot="1">
      <c r="B8" s="221" t="s">
        <v>40</v>
      </c>
      <c r="C8" s="222">
        <f>'Юнит 01-04.01'!AE5</f>
        <v>0</v>
      </c>
      <c r="D8" s="223">
        <f t="shared" si="2"/>
        <v>0</v>
      </c>
      <c r="E8" s="223">
        <f t="shared" si="3"/>
        <v>-1.2381180487620389</v>
      </c>
      <c r="F8" s="224" t="str">
        <f t="shared" si="4"/>
        <v>C</v>
      </c>
      <c r="G8" s="224" t="str">
        <f t="shared" si="5"/>
        <v>C</v>
      </c>
      <c r="I8" s="221" t="s">
        <v>43</v>
      </c>
      <c r="J8" s="222">
        <f>'Юнит 01-04.01'!R8</f>
        <v>2</v>
      </c>
      <c r="K8" s="223">
        <f t="shared" si="6"/>
        <v>0.04</v>
      </c>
      <c r="L8" s="223">
        <f t="shared" si="7"/>
        <v>0.96000000000000008</v>
      </c>
      <c r="M8" s="224" t="str">
        <f t="shared" si="8"/>
        <v>C</v>
      </c>
    </row>
    <row r="9" spans="2:13" ht="28.5" customHeight="1" outlineLevel="1" thickBot="1">
      <c r="B9" s="221" t="s">
        <v>55</v>
      </c>
      <c r="C9" s="222">
        <f>'Юнит 01-04.01'!AE9</f>
        <v>0</v>
      </c>
      <c r="D9" s="223">
        <f t="shared" si="2"/>
        <v>0</v>
      </c>
      <c r="E9" s="223">
        <f t="shared" si="3"/>
        <v>-1.2381180487620389</v>
      </c>
      <c r="F9" s="224" t="str">
        <f t="shared" si="4"/>
        <v>C</v>
      </c>
      <c r="G9" s="224" t="str">
        <f t="shared" si="5"/>
        <v>A</v>
      </c>
      <c r="I9" s="221" t="s">
        <v>38</v>
      </c>
      <c r="J9" s="222">
        <f>'Юнит 01-04.01'!R3</f>
        <v>1</v>
      </c>
      <c r="K9" s="223">
        <f t="shared" si="6"/>
        <v>0.02</v>
      </c>
      <c r="L9" s="223">
        <f t="shared" si="7"/>
        <v>0.98000000000000009</v>
      </c>
      <c r="M9" s="224" t="str">
        <f t="shared" si="8"/>
        <v>C</v>
      </c>
    </row>
    <row r="10" spans="2:13" ht="28.5" customHeight="1" outlineLevel="1" thickBot="1">
      <c r="B10" s="221" t="s">
        <v>56</v>
      </c>
      <c r="C10" s="222">
        <f>'Юнит 01-04.01'!AE10</f>
        <v>0</v>
      </c>
      <c r="D10" s="223">
        <f t="shared" si="2"/>
        <v>0</v>
      </c>
      <c r="E10" s="223">
        <f t="shared" si="3"/>
        <v>-1.2381180487620389</v>
      </c>
      <c r="F10" s="224" t="str">
        <f t="shared" si="4"/>
        <v>C</v>
      </c>
      <c r="G10" s="224" t="str">
        <f t="shared" si="5"/>
        <v>A</v>
      </c>
      <c r="I10" s="221" t="s">
        <v>39</v>
      </c>
      <c r="J10" s="222">
        <f>'Юнит 01-04.01'!R4</f>
        <v>1</v>
      </c>
      <c r="K10" s="223">
        <f t="shared" si="6"/>
        <v>0.02</v>
      </c>
      <c r="L10" s="223">
        <f t="shared" si="7"/>
        <v>1</v>
      </c>
      <c r="M10" s="224" t="str">
        <f t="shared" si="8"/>
        <v>C</v>
      </c>
    </row>
    <row r="11" spans="2:13" ht="28.5" customHeight="1" outlineLevel="1" thickBot="1">
      <c r="B11" s="221" t="s">
        <v>57</v>
      </c>
      <c r="C11" s="222">
        <f>'Юнит 01-04.01'!AE12</f>
        <v>0</v>
      </c>
      <c r="D11" s="223">
        <f t="shared" si="2"/>
        <v>0</v>
      </c>
      <c r="E11" s="223">
        <f t="shared" si="3"/>
        <v>-1.2381180487620389</v>
      </c>
      <c r="F11" s="224" t="str">
        <f t="shared" si="4"/>
        <v>C</v>
      </c>
      <c r="G11" s="224" t="str">
        <f t="shared" si="5"/>
        <v>A</v>
      </c>
      <c r="I11" s="221" t="s">
        <v>40</v>
      </c>
      <c r="J11" s="222">
        <f>'Юнит 01-04.01'!R5</f>
        <v>0</v>
      </c>
      <c r="K11" s="223">
        <f t="shared" si="6"/>
        <v>0</v>
      </c>
      <c r="L11" s="223">
        <f t="shared" si="7"/>
        <v>1</v>
      </c>
      <c r="M11" s="224" t="str">
        <f t="shared" si="8"/>
        <v>C</v>
      </c>
    </row>
    <row r="12" spans="2:13" ht="28.5" customHeight="1" outlineLevel="1" thickBot="1">
      <c r="B12" s="221" t="s">
        <v>58</v>
      </c>
      <c r="C12" s="222">
        <f>'Юнит 01-04.01'!AE13</f>
        <v>0</v>
      </c>
      <c r="D12" s="223">
        <f t="shared" ref="D12:D17" si="9">C12/C$18</f>
        <v>0</v>
      </c>
      <c r="E12" s="223">
        <f>D12+E5</f>
        <v>-0.96310144553829546</v>
      </c>
      <c r="F12" s="224" t="str">
        <f t="shared" si="1"/>
        <v>C</v>
      </c>
      <c r="G12" s="224" t="str">
        <f t="shared" ref="G12:G17" si="10">VLOOKUP(B$4:B$17,I$4:M$17,5,0)</f>
        <v>A</v>
      </c>
      <c r="I12" s="221" t="s">
        <v>55</v>
      </c>
      <c r="J12" s="222">
        <f>'Юнит 01-04.01'!R9</f>
        <v>0</v>
      </c>
      <c r="K12" s="223">
        <f t="shared" ref="K12:K17" si="11">J12/J$18</f>
        <v>0</v>
      </c>
      <c r="L12" s="223">
        <f>K12+L5</f>
        <v>0.74</v>
      </c>
      <c r="M12" s="224" t="str">
        <f t="shared" si="0"/>
        <v>A</v>
      </c>
    </row>
    <row r="13" spans="2:13" ht="28.5" customHeight="1" outlineLevel="1" thickBot="1">
      <c r="B13" s="221" t="s">
        <v>59</v>
      </c>
      <c r="C13" s="222">
        <f>'Юнит 01-04.01'!AE14</f>
        <v>0</v>
      </c>
      <c r="D13" s="223">
        <f t="shared" si="9"/>
        <v>0</v>
      </c>
      <c r="E13" s="223">
        <f t="shared" ref="E13:E16" si="12">D13+E12</f>
        <v>-0.96310144553829546</v>
      </c>
      <c r="F13" s="224" t="str">
        <f t="shared" si="1"/>
        <v>C</v>
      </c>
      <c r="G13" s="224" t="str">
        <f t="shared" si="10"/>
        <v>A</v>
      </c>
      <c r="I13" s="221" t="s">
        <v>56</v>
      </c>
      <c r="J13" s="222">
        <f>'Юнит 01-04.01'!R10</f>
        <v>0</v>
      </c>
      <c r="K13" s="223">
        <f t="shared" si="11"/>
        <v>0</v>
      </c>
      <c r="L13" s="223">
        <f t="shared" ref="L13:L16" si="13">K13+L12</f>
        <v>0.74</v>
      </c>
      <c r="M13" s="224" t="str">
        <f t="shared" si="0"/>
        <v>A</v>
      </c>
    </row>
    <row r="14" spans="2:13" ht="28.5" customHeight="1" outlineLevel="1" thickBot="1">
      <c r="B14" s="221" t="s">
        <v>60</v>
      </c>
      <c r="C14" s="222">
        <f>'Юнит 01-04.01'!AE16</f>
        <v>0</v>
      </c>
      <c r="D14" s="223">
        <f t="shared" si="9"/>
        <v>0</v>
      </c>
      <c r="E14" s="223">
        <f t="shared" si="12"/>
        <v>-0.96310144553829546</v>
      </c>
      <c r="F14" s="224" t="str">
        <f t="shared" si="1"/>
        <v>C</v>
      </c>
      <c r="G14" s="224" t="str">
        <f t="shared" si="10"/>
        <v>A</v>
      </c>
      <c r="I14" s="221" t="s">
        <v>57</v>
      </c>
      <c r="J14" s="222">
        <f>'Юнит 01-04.01'!R12</f>
        <v>0</v>
      </c>
      <c r="K14" s="223">
        <f t="shared" si="11"/>
        <v>0</v>
      </c>
      <c r="L14" s="223">
        <f t="shared" si="13"/>
        <v>0.74</v>
      </c>
      <c r="M14" s="224" t="str">
        <f t="shared" si="0"/>
        <v>A</v>
      </c>
    </row>
    <row r="15" spans="2:13" ht="28.5" customHeight="1" outlineLevel="1" thickBot="1">
      <c r="B15" s="221" t="s">
        <v>43</v>
      </c>
      <c r="C15" s="222">
        <f>'Юнит 01-04.01'!AE8</f>
        <v>-419.22999999999973</v>
      </c>
      <c r="D15" s="223">
        <f t="shared" si="9"/>
        <v>0.11191971205394302</v>
      </c>
      <c r="E15" s="223">
        <f t="shared" si="12"/>
        <v>-0.85118173348435244</v>
      </c>
      <c r="F15" s="224" t="str">
        <f t="shared" si="1"/>
        <v>C</v>
      </c>
      <c r="G15" s="224" t="str">
        <f t="shared" si="10"/>
        <v>C</v>
      </c>
      <c r="I15" s="221" t="s">
        <v>58</v>
      </c>
      <c r="J15" s="222">
        <f>'Юнит 01-04.01'!R13</f>
        <v>0</v>
      </c>
      <c r="K15" s="223">
        <f t="shared" si="11"/>
        <v>0</v>
      </c>
      <c r="L15" s="223">
        <f t="shared" si="13"/>
        <v>0.74</v>
      </c>
      <c r="M15" s="224" t="str">
        <f t="shared" si="0"/>
        <v>A</v>
      </c>
    </row>
    <row r="16" spans="2:13" ht="28.5" customHeight="1" outlineLevel="1" thickBot="1">
      <c r="B16" s="221" t="s">
        <v>41</v>
      </c>
      <c r="C16" s="222">
        <f>'Юнит 01-04.01'!AE6</f>
        <v>-2341.0660689999986</v>
      </c>
      <c r="D16" s="223">
        <f t="shared" si="9"/>
        <v>0.62498256408591057</v>
      </c>
      <c r="E16" s="223">
        <f t="shared" si="12"/>
        <v>-0.22619916939844187</v>
      </c>
      <c r="F16" s="224" t="str">
        <f t="shared" si="1"/>
        <v>C</v>
      </c>
      <c r="G16" s="224" t="str">
        <f t="shared" si="10"/>
        <v>B</v>
      </c>
      <c r="I16" s="221" t="s">
        <v>59</v>
      </c>
      <c r="J16" s="222">
        <f>'Юнит 01-04.01'!R14</f>
        <v>0</v>
      </c>
      <c r="K16" s="223">
        <f t="shared" si="11"/>
        <v>0</v>
      </c>
      <c r="L16" s="223">
        <f t="shared" si="13"/>
        <v>0.74</v>
      </c>
      <c r="M16" s="224" t="str">
        <f t="shared" si="0"/>
        <v>A</v>
      </c>
    </row>
    <row r="17" spans="2:13" ht="28.5" customHeight="1" outlineLevel="1" thickBot="1">
      <c r="B17" s="221" t="s">
        <v>52</v>
      </c>
      <c r="C17" s="222">
        <f>'Юнит 01-04.01'!AE11</f>
        <v>-5623.269366999999</v>
      </c>
      <c r="D17" s="223">
        <f t="shared" si="9"/>
        <v>1.5012157726221853</v>
      </c>
      <c r="E17" s="223">
        <f>D17+E14</f>
        <v>0.53811432708388984</v>
      </c>
      <c r="F17" s="224" t="str">
        <f t="shared" si="1"/>
        <v>A</v>
      </c>
      <c r="G17" s="224" t="str">
        <f t="shared" si="10"/>
        <v>A</v>
      </c>
      <c r="I17" s="221" t="s">
        <v>60</v>
      </c>
      <c r="J17" s="222">
        <f>'Юнит 01-04.01'!R16</f>
        <v>0</v>
      </c>
      <c r="K17" s="223">
        <f t="shared" si="11"/>
        <v>0</v>
      </c>
      <c r="L17" s="223">
        <f>K17+L14</f>
        <v>0.74</v>
      </c>
      <c r="M17" s="224" t="str">
        <f t="shared" si="0"/>
        <v>A</v>
      </c>
    </row>
    <row r="18" spans="2:13" outlineLevel="1">
      <c r="C18" s="225">
        <f>SUM(C4:C17)</f>
        <v>-3745.8102089999966</v>
      </c>
      <c r="D18" s="226">
        <f>SUM(D4:D17)</f>
        <v>1</v>
      </c>
      <c r="J18" s="225">
        <f>SUM(J4:J17)</f>
        <v>50</v>
      </c>
      <c r="K18" s="226">
        <f>SUM(K4:K17)</f>
        <v>1</v>
      </c>
    </row>
    <row r="20" spans="2:13" ht="15" hidden="1" outlineLevel="1" thickBot="1">
      <c r="B20" s="301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3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4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5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6">C23/C$42</f>
        <v>#DIV/0!</v>
      </c>
      <c r="E23" s="223" t="e">
        <f>D23+E22</f>
        <v>#DIV/0!</v>
      </c>
      <c r="F23" s="224" t="e">
        <f t="shared" si="14"/>
        <v>#DIV/0!</v>
      </c>
      <c r="G23" s="224" t="e">
        <f t="shared" ref="G23:G41" si="17">VLOOKUP(B$22:B$42,I$22:M$42,5,0)</f>
        <v>#N/A</v>
      </c>
      <c r="I23" s="221"/>
      <c r="J23" s="222"/>
      <c r="K23" s="223" t="e">
        <f t="shared" ref="K23:K41" si="18">J23/J$42</f>
        <v>#DIV/0!</v>
      </c>
      <c r="L23" s="223" t="e">
        <f>K23+L22</f>
        <v>#DIV/0!</v>
      </c>
      <c r="M23" s="224" t="e">
        <f t="shared" si="15"/>
        <v>#DIV/0!</v>
      </c>
    </row>
    <row r="24" spans="2:13" ht="15" hidden="1" outlineLevel="1" thickBot="1">
      <c r="B24" s="221"/>
      <c r="C24" s="222"/>
      <c r="D24" s="223" t="e">
        <f t="shared" si="16"/>
        <v>#DIV/0!</v>
      </c>
      <c r="E24" s="223" t="e">
        <f t="shared" ref="E24:E41" si="19">D24+E23</f>
        <v>#DIV/0!</v>
      </c>
      <c r="F24" s="224" t="e">
        <f t="shared" si="14"/>
        <v>#DIV/0!</v>
      </c>
      <c r="G24" s="224" t="e">
        <f t="shared" si="17"/>
        <v>#N/A</v>
      </c>
      <c r="I24" s="221"/>
      <c r="J24" s="222"/>
      <c r="K24" s="223" t="e">
        <f t="shared" si="18"/>
        <v>#DIV/0!</v>
      </c>
      <c r="L24" s="223" t="e">
        <f t="shared" ref="L24:L41" si="20">K24+L23</f>
        <v>#DIV/0!</v>
      </c>
      <c r="M24" s="224" t="e">
        <f t="shared" si="15"/>
        <v>#DIV/0!</v>
      </c>
    </row>
    <row r="25" spans="2:13" ht="15" hidden="1" outlineLevel="1" thickBot="1">
      <c r="B25" s="221"/>
      <c r="C25" s="222"/>
      <c r="D25" s="223" t="e">
        <f t="shared" si="16"/>
        <v>#DIV/0!</v>
      </c>
      <c r="E25" s="223" t="e">
        <f t="shared" si="19"/>
        <v>#DIV/0!</v>
      </c>
      <c r="F25" s="224" t="e">
        <f t="shared" si="14"/>
        <v>#DIV/0!</v>
      </c>
      <c r="G25" s="224" t="e">
        <f t="shared" si="17"/>
        <v>#N/A</v>
      </c>
      <c r="I25" s="221"/>
      <c r="J25" s="222"/>
      <c r="K25" s="223" t="e">
        <f t="shared" si="18"/>
        <v>#DIV/0!</v>
      </c>
      <c r="L25" s="223" t="e">
        <f t="shared" si="20"/>
        <v>#DIV/0!</v>
      </c>
      <c r="M25" s="224" t="e">
        <f t="shared" si="15"/>
        <v>#DIV/0!</v>
      </c>
    </row>
    <row r="26" spans="2:13" ht="15" hidden="1" outlineLevel="1" thickBot="1">
      <c r="B26" s="221"/>
      <c r="C26" s="222"/>
      <c r="D26" s="223" t="e">
        <f t="shared" si="16"/>
        <v>#DIV/0!</v>
      </c>
      <c r="E26" s="223" t="e">
        <f t="shared" si="19"/>
        <v>#DIV/0!</v>
      </c>
      <c r="F26" s="224" t="e">
        <f t="shared" si="14"/>
        <v>#DIV/0!</v>
      </c>
      <c r="G26" s="224" t="e">
        <f t="shared" si="17"/>
        <v>#N/A</v>
      </c>
      <c r="I26" s="221"/>
      <c r="J26" s="222"/>
      <c r="K26" s="223" t="e">
        <f t="shared" si="18"/>
        <v>#DIV/0!</v>
      </c>
      <c r="L26" s="223" t="e">
        <f t="shared" si="20"/>
        <v>#DIV/0!</v>
      </c>
      <c r="M26" s="224" t="e">
        <f t="shared" si="15"/>
        <v>#DIV/0!</v>
      </c>
    </row>
    <row r="27" spans="2:13" ht="15" hidden="1" outlineLevel="1" thickBot="1">
      <c r="B27" s="221"/>
      <c r="C27" s="222"/>
      <c r="D27" s="223" t="e">
        <f t="shared" si="16"/>
        <v>#DIV/0!</v>
      </c>
      <c r="E27" s="223" t="e">
        <f t="shared" si="19"/>
        <v>#DIV/0!</v>
      </c>
      <c r="F27" s="224" t="e">
        <f t="shared" si="14"/>
        <v>#DIV/0!</v>
      </c>
      <c r="G27" s="224" t="e">
        <f t="shared" si="17"/>
        <v>#N/A</v>
      </c>
      <c r="I27" s="221"/>
      <c r="J27" s="222"/>
      <c r="K27" s="223" t="e">
        <f t="shared" si="18"/>
        <v>#DIV/0!</v>
      </c>
      <c r="L27" s="223" t="e">
        <f t="shared" si="20"/>
        <v>#DIV/0!</v>
      </c>
      <c r="M27" s="224" t="e">
        <f t="shared" si="15"/>
        <v>#DIV/0!</v>
      </c>
    </row>
    <row r="28" spans="2:13" ht="15" hidden="1" outlineLevel="1" thickBot="1">
      <c r="B28" s="221"/>
      <c r="C28" s="222"/>
      <c r="D28" s="223" t="e">
        <f t="shared" si="16"/>
        <v>#DIV/0!</v>
      </c>
      <c r="E28" s="223" t="e">
        <f t="shared" si="19"/>
        <v>#DIV/0!</v>
      </c>
      <c r="F28" s="224" t="e">
        <f t="shared" si="14"/>
        <v>#DIV/0!</v>
      </c>
      <c r="G28" s="224" t="e">
        <f t="shared" si="17"/>
        <v>#N/A</v>
      </c>
      <c r="I28" s="221"/>
      <c r="J28" s="222"/>
      <c r="K28" s="223" t="e">
        <f t="shared" si="18"/>
        <v>#DIV/0!</v>
      </c>
      <c r="L28" s="223" t="e">
        <f t="shared" si="20"/>
        <v>#DIV/0!</v>
      </c>
      <c r="M28" s="224" t="e">
        <f t="shared" si="15"/>
        <v>#DIV/0!</v>
      </c>
    </row>
    <row r="29" spans="2:13" ht="15" hidden="1" outlineLevel="1" thickBot="1">
      <c r="B29" s="221"/>
      <c r="C29" s="222"/>
      <c r="D29" s="223" t="e">
        <f t="shared" si="16"/>
        <v>#DIV/0!</v>
      </c>
      <c r="E29" s="223" t="e">
        <f t="shared" si="19"/>
        <v>#DIV/0!</v>
      </c>
      <c r="F29" s="224" t="e">
        <f>IF(AND(E29&lt;=0),"C",IF(E29&lt;=0.8,"A",IF(E29&lt;=0.95,"B","C")))</f>
        <v>#DIV/0!</v>
      </c>
      <c r="G29" s="224" t="e">
        <f t="shared" si="17"/>
        <v>#N/A</v>
      </c>
      <c r="I29" s="221"/>
      <c r="J29" s="222"/>
      <c r="K29" s="223" t="e">
        <f t="shared" si="18"/>
        <v>#DIV/0!</v>
      </c>
      <c r="L29" s="223" t="e">
        <f t="shared" si="20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6"/>
        <v>#DIV/0!</v>
      </c>
      <c r="E30" s="223" t="e">
        <f t="shared" si="19"/>
        <v>#DIV/0!</v>
      </c>
      <c r="F30" s="224" t="e">
        <f t="shared" ref="F30:F41" si="21">IF(AND(E30&lt;=0),"C",IF(E30&lt;=0.8,"A",IF(E30&lt;=0.95,"B","C")))</f>
        <v>#DIV/0!</v>
      </c>
      <c r="G30" s="224" t="e">
        <f t="shared" si="17"/>
        <v>#N/A</v>
      </c>
      <c r="I30" s="221"/>
      <c r="J30" s="222"/>
      <c r="K30" s="223" t="e">
        <f t="shared" si="18"/>
        <v>#DIV/0!</v>
      </c>
      <c r="L30" s="223" t="e">
        <f t="shared" si="20"/>
        <v>#DIV/0!</v>
      </c>
      <c r="M30" s="224" t="e">
        <f t="shared" ref="M30:M41" si="22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6"/>
        <v>#DIV/0!</v>
      </c>
      <c r="E31" s="223" t="e">
        <f t="shared" si="19"/>
        <v>#DIV/0!</v>
      </c>
      <c r="F31" s="224" t="e">
        <f t="shared" si="21"/>
        <v>#DIV/0!</v>
      </c>
      <c r="G31" s="224" t="e">
        <f t="shared" si="17"/>
        <v>#N/A</v>
      </c>
      <c r="I31" s="221"/>
      <c r="J31" s="222"/>
      <c r="K31" s="223" t="e">
        <f t="shared" si="18"/>
        <v>#DIV/0!</v>
      </c>
      <c r="L31" s="223" t="e">
        <f t="shared" si="20"/>
        <v>#DIV/0!</v>
      </c>
      <c r="M31" s="224" t="e">
        <f t="shared" si="22"/>
        <v>#DIV/0!</v>
      </c>
    </row>
    <row r="32" spans="2:13" ht="15" hidden="1" outlineLevel="1" thickBot="1">
      <c r="B32" s="221"/>
      <c r="C32" s="222"/>
      <c r="D32" s="223" t="e">
        <f t="shared" si="16"/>
        <v>#DIV/0!</v>
      </c>
      <c r="E32" s="223" t="e">
        <f t="shared" si="19"/>
        <v>#DIV/0!</v>
      </c>
      <c r="F32" s="224" t="e">
        <f t="shared" si="21"/>
        <v>#DIV/0!</v>
      </c>
      <c r="G32" s="224" t="e">
        <f t="shared" si="17"/>
        <v>#N/A</v>
      </c>
      <c r="I32" s="221"/>
      <c r="J32" s="222"/>
      <c r="K32" s="223" t="e">
        <f t="shared" si="18"/>
        <v>#DIV/0!</v>
      </c>
      <c r="L32" s="223" t="e">
        <f t="shared" si="20"/>
        <v>#DIV/0!</v>
      </c>
      <c r="M32" s="224" t="e">
        <f t="shared" si="22"/>
        <v>#DIV/0!</v>
      </c>
    </row>
    <row r="33" spans="2:13" ht="15" hidden="1" outlineLevel="1" thickBot="1">
      <c r="B33" s="221"/>
      <c r="C33" s="222"/>
      <c r="D33" s="223" t="e">
        <f t="shared" si="16"/>
        <v>#DIV/0!</v>
      </c>
      <c r="E33" s="223" t="e">
        <f t="shared" si="19"/>
        <v>#DIV/0!</v>
      </c>
      <c r="F33" s="224" t="e">
        <f t="shared" si="21"/>
        <v>#DIV/0!</v>
      </c>
      <c r="G33" s="224" t="e">
        <f t="shared" si="17"/>
        <v>#N/A</v>
      </c>
      <c r="I33" s="221"/>
      <c r="J33" s="222"/>
      <c r="K33" s="223" t="e">
        <f t="shared" si="18"/>
        <v>#DIV/0!</v>
      </c>
      <c r="L33" s="223" t="e">
        <f t="shared" si="20"/>
        <v>#DIV/0!</v>
      </c>
      <c r="M33" s="224" t="e">
        <f t="shared" si="22"/>
        <v>#DIV/0!</v>
      </c>
    </row>
    <row r="34" spans="2:13" ht="15" hidden="1" outlineLevel="1" thickBot="1">
      <c r="B34" s="221"/>
      <c r="C34" s="222"/>
      <c r="D34" s="223" t="e">
        <f t="shared" si="16"/>
        <v>#DIV/0!</v>
      </c>
      <c r="E34" s="223" t="e">
        <f t="shared" si="19"/>
        <v>#DIV/0!</v>
      </c>
      <c r="F34" s="224" t="e">
        <f t="shared" si="21"/>
        <v>#DIV/0!</v>
      </c>
      <c r="G34" s="224" t="e">
        <f t="shared" si="17"/>
        <v>#N/A</v>
      </c>
      <c r="I34" s="221"/>
      <c r="J34" s="222"/>
      <c r="K34" s="223" t="e">
        <f t="shared" si="18"/>
        <v>#DIV/0!</v>
      </c>
      <c r="L34" s="223" t="e">
        <f t="shared" si="20"/>
        <v>#DIV/0!</v>
      </c>
      <c r="M34" s="224" t="e">
        <f t="shared" si="22"/>
        <v>#DIV/0!</v>
      </c>
    </row>
    <row r="35" spans="2:13" ht="15" hidden="1" outlineLevel="1" thickBot="1">
      <c r="B35" s="221"/>
      <c r="C35" s="222"/>
      <c r="D35" s="223" t="e">
        <f t="shared" si="16"/>
        <v>#DIV/0!</v>
      </c>
      <c r="E35" s="223" t="e">
        <f t="shared" si="19"/>
        <v>#DIV/0!</v>
      </c>
      <c r="F35" s="224" t="e">
        <f t="shared" si="21"/>
        <v>#DIV/0!</v>
      </c>
      <c r="G35" s="224" t="e">
        <f t="shared" si="17"/>
        <v>#N/A</v>
      </c>
      <c r="I35" s="221"/>
      <c r="J35" s="222"/>
      <c r="K35" s="223" t="e">
        <f t="shared" si="18"/>
        <v>#DIV/0!</v>
      </c>
      <c r="L35" s="223" t="e">
        <f t="shared" si="20"/>
        <v>#DIV/0!</v>
      </c>
      <c r="M35" s="224" t="e">
        <f t="shared" si="22"/>
        <v>#DIV/0!</v>
      </c>
    </row>
    <row r="36" spans="2:13" ht="15" hidden="1" outlineLevel="1" thickBot="1">
      <c r="B36" s="221"/>
      <c r="C36" s="222"/>
      <c r="D36" s="223" t="e">
        <f t="shared" si="16"/>
        <v>#DIV/0!</v>
      </c>
      <c r="E36" s="223" t="e">
        <f t="shared" si="19"/>
        <v>#DIV/0!</v>
      </c>
      <c r="F36" s="224" t="e">
        <f t="shared" si="21"/>
        <v>#DIV/0!</v>
      </c>
      <c r="G36" s="224" t="e">
        <f t="shared" si="17"/>
        <v>#N/A</v>
      </c>
      <c r="I36" s="221"/>
      <c r="J36" s="222"/>
      <c r="K36" s="223" t="e">
        <f t="shared" si="18"/>
        <v>#DIV/0!</v>
      </c>
      <c r="L36" s="223" t="e">
        <f t="shared" si="20"/>
        <v>#DIV/0!</v>
      </c>
      <c r="M36" s="224" t="e">
        <f t="shared" si="22"/>
        <v>#DIV/0!</v>
      </c>
    </row>
    <row r="37" spans="2:13" ht="15" hidden="1" outlineLevel="1" thickBot="1">
      <c r="B37" s="221"/>
      <c r="C37" s="222"/>
      <c r="D37" s="223" t="e">
        <f t="shared" si="16"/>
        <v>#DIV/0!</v>
      </c>
      <c r="E37" s="223" t="e">
        <f t="shared" si="19"/>
        <v>#DIV/0!</v>
      </c>
      <c r="F37" s="224" t="e">
        <f t="shared" si="21"/>
        <v>#DIV/0!</v>
      </c>
      <c r="G37" s="224" t="e">
        <f t="shared" si="17"/>
        <v>#N/A</v>
      </c>
      <c r="I37" s="221"/>
      <c r="J37" s="222"/>
      <c r="K37" s="223" t="e">
        <f t="shared" si="18"/>
        <v>#DIV/0!</v>
      </c>
      <c r="L37" s="223" t="e">
        <f t="shared" si="20"/>
        <v>#DIV/0!</v>
      </c>
      <c r="M37" s="224" t="e">
        <f t="shared" si="22"/>
        <v>#DIV/0!</v>
      </c>
    </row>
    <row r="38" spans="2:13" ht="15" hidden="1" outlineLevel="1" thickBot="1">
      <c r="B38" s="221"/>
      <c r="C38" s="222"/>
      <c r="D38" s="223" t="e">
        <f t="shared" si="16"/>
        <v>#DIV/0!</v>
      </c>
      <c r="E38" s="223" t="e">
        <f t="shared" si="19"/>
        <v>#DIV/0!</v>
      </c>
      <c r="F38" s="224" t="e">
        <f t="shared" si="21"/>
        <v>#DIV/0!</v>
      </c>
      <c r="G38" s="224" t="e">
        <f t="shared" si="17"/>
        <v>#N/A</v>
      </c>
      <c r="I38" s="221"/>
      <c r="J38" s="222"/>
      <c r="K38" s="223" t="e">
        <f t="shared" si="18"/>
        <v>#DIV/0!</v>
      </c>
      <c r="L38" s="223" t="e">
        <f t="shared" si="20"/>
        <v>#DIV/0!</v>
      </c>
      <c r="M38" s="224" t="e">
        <f t="shared" si="22"/>
        <v>#DIV/0!</v>
      </c>
    </row>
    <row r="39" spans="2:13" ht="15" hidden="1" outlineLevel="1" thickBot="1">
      <c r="B39" s="221"/>
      <c r="C39" s="222"/>
      <c r="D39" s="223" t="e">
        <f t="shared" si="16"/>
        <v>#DIV/0!</v>
      </c>
      <c r="E39" s="223" t="e">
        <f t="shared" si="19"/>
        <v>#DIV/0!</v>
      </c>
      <c r="F39" s="224" t="e">
        <f t="shared" si="21"/>
        <v>#DIV/0!</v>
      </c>
      <c r="G39" s="224" t="e">
        <f t="shared" si="17"/>
        <v>#N/A</v>
      </c>
      <c r="I39" s="221"/>
      <c r="J39" s="222"/>
      <c r="K39" s="223" t="e">
        <f t="shared" si="18"/>
        <v>#DIV/0!</v>
      </c>
      <c r="L39" s="223" t="e">
        <f t="shared" si="20"/>
        <v>#DIV/0!</v>
      </c>
      <c r="M39" s="224" t="e">
        <f t="shared" si="22"/>
        <v>#DIV/0!</v>
      </c>
    </row>
    <row r="40" spans="2:13" ht="15" hidden="1" outlineLevel="1" thickBot="1">
      <c r="B40" s="221"/>
      <c r="C40" s="222"/>
      <c r="D40" s="223" t="e">
        <f t="shared" si="16"/>
        <v>#DIV/0!</v>
      </c>
      <c r="E40" s="223" t="e">
        <f t="shared" si="19"/>
        <v>#DIV/0!</v>
      </c>
      <c r="F40" s="224" t="e">
        <f t="shared" si="21"/>
        <v>#DIV/0!</v>
      </c>
      <c r="G40" s="224" t="e">
        <f t="shared" si="17"/>
        <v>#N/A</v>
      </c>
      <c r="I40" s="221"/>
      <c r="J40" s="222"/>
      <c r="K40" s="223" t="e">
        <f t="shared" si="18"/>
        <v>#DIV/0!</v>
      </c>
      <c r="L40" s="223" t="e">
        <f t="shared" si="20"/>
        <v>#DIV/0!</v>
      </c>
      <c r="M40" s="224" t="e">
        <f t="shared" si="22"/>
        <v>#DIV/0!</v>
      </c>
    </row>
    <row r="41" spans="2:13" ht="15" hidden="1" outlineLevel="1" thickBot="1">
      <c r="B41" s="221"/>
      <c r="C41" s="222"/>
      <c r="D41" s="223" t="e">
        <f t="shared" si="16"/>
        <v>#DIV/0!</v>
      </c>
      <c r="E41" s="223" t="e">
        <f t="shared" si="19"/>
        <v>#DIV/0!</v>
      </c>
      <c r="F41" s="224" t="e">
        <f t="shared" si="21"/>
        <v>#DIV/0!</v>
      </c>
      <c r="G41" s="224" t="e">
        <f t="shared" si="17"/>
        <v>#N/A</v>
      </c>
      <c r="I41" s="221"/>
      <c r="J41" s="222"/>
      <c r="K41" s="223" t="e">
        <f t="shared" si="18"/>
        <v>#DIV/0!</v>
      </c>
      <c r="L41" s="223" t="e">
        <f t="shared" si="20"/>
        <v>#DIV/0!</v>
      </c>
      <c r="M41" s="224" t="e">
        <f t="shared" si="22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35" priority="4" operator="equal">
      <formula>"C"</formula>
    </cfRule>
    <cfRule type="cellIs" dxfId="134" priority="5" operator="equal">
      <formula>"B"</formula>
    </cfRule>
    <cfRule type="cellIs" dxfId="133" priority="6" operator="equal">
      <formula>"A"</formula>
    </cfRule>
  </conditionalFormatting>
  <conditionalFormatting sqref="M22:M41 D22:D41 K22:K41 F22:G41">
    <cfRule type="cellIs" dxfId="132" priority="1" operator="equal">
      <formula>"C"</formula>
    </cfRule>
    <cfRule type="cellIs" dxfId="131" priority="2" operator="equal">
      <formula>"B"</formula>
    </cfRule>
    <cfRule type="cellIs" dxfId="130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1392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3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4">S3+T3</f>
        <v>0</v>
      </c>
      <c r="V3" s="43">
        <f t="shared" ref="V3:V14" si="5">U3/$U$24</f>
        <v>0</v>
      </c>
      <c r="W3" s="44">
        <f t="shared" ref="W3:W7" si="6">R3*H3</f>
        <v>0</v>
      </c>
      <c r="X3" s="42">
        <f>-SUMIFS('Отчет 01.02'!P:P,'Отчет 01.02'!C:C,"Вознаграждение Ozon",'Отчет 01.02'!E:E,B3)</f>
        <v>0</v>
      </c>
      <c r="Y3" s="45">
        <f t="shared" ref="Y3:Y16" si="7">IF(U3=0,0,X3/U3)</f>
        <v>0</v>
      </c>
      <c r="Z3" s="42">
        <f>-SUMIFS('Отчет 01.02'!P:P,'Отчет 01.02'!C:C,"Услуги доставки",'Отчет 01.02'!E:E,B3)</f>
        <v>0</v>
      </c>
      <c r="AA3" s="32"/>
      <c r="AB3" s="42"/>
      <c r="AC3" s="42"/>
      <c r="AD3" s="46">
        <f t="shared" ref="AD3:AD16" si="8">U3*1%</f>
        <v>0</v>
      </c>
      <c r="AE3" s="47">
        <f t="shared" ref="AE3:AE7" si="9">U3-W3-X3-Z3-AA3-AB3-AC3-AD3</f>
        <v>0</v>
      </c>
      <c r="AF3" s="46"/>
      <c r="AG3" s="48">
        <f t="shared" ref="AG3:AG7" si="10">IF(R3=0,0,U3/R3)</f>
        <v>0</v>
      </c>
      <c r="AH3" s="49">
        <f t="shared" ref="AH3:AH7" si="11">H3</f>
        <v>142.97999999999999</v>
      </c>
      <c r="AI3" s="49">
        <f t="shared" ref="AI3:AI7" si="12">IF(R3=0,0,X3/R3)</f>
        <v>0</v>
      </c>
      <c r="AJ3" s="49">
        <f t="shared" ref="AJ3:AJ7" si="13">IF(P3=0,Z3/1,Z3/P3)</f>
        <v>0</v>
      </c>
      <c r="AK3" s="49">
        <f t="shared" ref="AK3:AK7" si="14">IF(P3=0,0,AA3/P3)</f>
        <v>0</v>
      </c>
      <c r="AL3" s="49">
        <f>_xlfn.IFS(R3=0,AE3,R3&lt;0,AE3/-R3,R3&gt;0,AE3/R3)</f>
        <v>0</v>
      </c>
      <c r="AM3" s="50">
        <f t="shared" ref="AM3:AM7" si="15">IF(AG3=0,0,AL3/AG3)</f>
        <v>0</v>
      </c>
      <c r="AN3" s="51">
        <f t="shared" ref="AN3:AN7" si="16">IF(AH3=0,0,AL3/AH3)</f>
        <v>0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0.14285714285714285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3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4"/>
        <v>1750</v>
      </c>
      <c r="V4" s="43">
        <f t="shared" si="5"/>
        <v>5.3644779596591245E-2</v>
      </c>
      <c r="W4" s="44">
        <f t="shared" si="6"/>
        <v>123.09</v>
      </c>
      <c r="X4" s="42">
        <f>-SUMIFS('Отчет 01.02'!P:P,'Отчет 01.02'!C:C,"Вознаграждение Ozon",'Отчет 01.02'!E:E,B4)</f>
        <v>752.5</v>
      </c>
      <c r="Y4" s="45">
        <f t="shared" si="7"/>
        <v>0.43</v>
      </c>
      <c r="Z4" s="42">
        <f>-SUMIFS('Отчет 01.02'!P:P,'Отчет 01.02'!C:C,"Услуги доставки",'Отчет 01.02'!E:E,B4)</f>
        <v>119.28</v>
      </c>
      <c r="AA4" s="32"/>
      <c r="AB4" s="42"/>
      <c r="AC4" s="42"/>
      <c r="AD4" s="46">
        <f t="shared" si="8"/>
        <v>17.5</v>
      </c>
      <c r="AE4" s="47">
        <f t="shared" si="9"/>
        <v>737.63000000000011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119.28</v>
      </c>
      <c r="AK4" s="49">
        <f t="shared" si="14"/>
        <v>0</v>
      </c>
      <c r="AL4" s="49">
        <f t="array" ref="AL4">_xlfn.IFS(R4=0,AE4,R4&lt;0,AE4/-R4,R4&gt;0,AE4/R4)</f>
        <v>737.63000000000011</v>
      </c>
      <c r="AM4" s="50">
        <f t="shared" si="15"/>
        <v>0.42150285714285718</v>
      </c>
      <c r="AN4" s="51">
        <f t="shared" si="16"/>
        <v>5.9926070355024788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3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01.02'!P:P,'Отчет 01.02'!C:C,"Вознаграждение Ozon",'Отчет 01.02'!E:E,B5)</f>
        <v>0</v>
      </c>
      <c r="Y5" s="45">
        <f t="shared" si="7"/>
        <v>0</v>
      </c>
      <c r="Z5" s="42">
        <f>-SUMIFS('Отчет 01.02'!P:P,'Отчет 01.02'!C:C,"Услуги доставки",'Отчет 01.02'!E:E,B5)</f>
        <v>0</v>
      </c>
      <c r="AA5" s="32"/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3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4"/>
        <v>0</v>
      </c>
      <c r="V6" s="43">
        <f t="shared" si="5"/>
        <v>0</v>
      </c>
      <c r="W6" s="44">
        <f t="shared" si="6"/>
        <v>0</v>
      </c>
      <c r="X6" s="42">
        <f>-SUMIFS('Отчет 01.02'!P:P,'Отчет 01.02'!C:C,"Вознаграждение Ozon",'Отчет 01.02'!E:E,B6)</f>
        <v>0</v>
      </c>
      <c r="Y6" s="45">
        <f t="shared" si="7"/>
        <v>0</v>
      </c>
      <c r="Z6" s="42">
        <f>-SUMIFS('Отчет 01.02'!P:P,'Отчет 01.02'!C:C,"Услуги доставки",'Отчет 01.02'!E:E,B6)</f>
        <v>0</v>
      </c>
      <c r="AA6" s="32"/>
      <c r="AB6" s="55"/>
      <c r="AC6" s="42"/>
      <c r="AD6" s="46">
        <f t="shared" si="8"/>
        <v>0</v>
      </c>
      <c r="AE6" s="47">
        <f t="shared" si="9"/>
        <v>0</v>
      </c>
      <c r="AF6" s="46"/>
      <c r="AG6" s="48">
        <f t="shared" si="10"/>
        <v>0</v>
      </c>
      <c r="AH6" s="49">
        <f t="shared" si="11"/>
        <v>123.09</v>
      </c>
      <c r="AI6" s="49">
        <f t="shared" si="12"/>
        <v>0</v>
      </c>
      <c r="AJ6" s="49">
        <f t="shared" si="13"/>
        <v>0</v>
      </c>
      <c r="AK6" s="49">
        <f t="shared" si="14"/>
        <v>0</v>
      </c>
      <c r="AL6" s="49">
        <f t="array" ref="AL6">_xlfn.IFS(R6=0,AE6,R6&lt;0,AE6/-R6,R6&gt;0,AE6/R6)</f>
        <v>0</v>
      </c>
      <c r="AM6" s="50">
        <f t="shared" si="15"/>
        <v>0</v>
      </c>
      <c r="AN6" s="51">
        <f t="shared" si="16"/>
        <v>0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0.14285714285714285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3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4"/>
        <v>1750</v>
      </c>
      <c r="V7" s="43">
        <f t="shared" si="5"/>
        <v>5.3644779596591245E-2</v>
      </c>
      <c r="W7" s="44">
        <f t="shared" si="6"/>
        <v>117.24</v>
      </c>
      <c r="X7" s="42">
        <f>-SUMIFS('Отчет 01.02'!P:P,'Отчет 01.02'!C:C,"Вознаграждение Ozon",'Отчет 01.02'!E:E,B7)</f>
        <v>752.5</v>
      </c>
      <c r="Y7" s="45">
        <f t="shared" si="7"/>
        <v>0.43</v>
      </c>
      <c r="Z7" s="42">
        <f>-SUMIFS('Отчет 01.02'!P:P,'Отчет 01.02'!C:C,"Услуги доставки",'Отчет 01.02'!E:E,B7)</f>
        <v>262.74</v>
      </c>
      <c r="AA7" s="32"/>
      <c r="AB7" s="55"/>
      <c r="AC7" s="42"/>
      <c r="AD7" s="46">
        <f t="shared" si="8"/>
        <v>17.5</v>
      </c>
      <c r="AE7" s="47">
        <f t="shared" si="9"/>
        <v>600.02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131.37</v>
      </c>
      <c r="AK7" s="49">
        <f t="shared" si="14"/>
        <v>0</v>
      </c>
      <c r="AL7" s="49">
        <f t="array" ref="AL7">_xlfn.IFS(R7=0,AE7,R7&lt;0,AE7/-R7,R7&gt;0,AE7/R7)</f>
        <v>600.02</v>
      </c>
      <c r="AM7" s="50">
        <f t="shared" si="15"/>
        <v>0.34286857142857141</v>
      </c>
      <c r="AN7" s="51">
        <f t="shared" si="16"/>
        <v>5.1178778573865573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0.14285714285714285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5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7"/>
        <v>0.43</v>
      </c>
      <c r="Z8" s="42">
        <f>-SUMIFS('Отчет 01.02'!P:P,'Отчет 01.02'!C:C,"Услуги доставки",'Отчет 01.02'!E:E,B8)</f>
        <v>131.37</v>
      </c>
      <c r="AA8" s="32"/>
      <c r="AB8" s="55"/>
      <c r="AC8" s="42"/>
      <c r="AD8" s="46">
        <f t="shared" si="8"/>
        <v>17.5</v>
      </c>
      <c r="AE8" s="47">
        <f>U8-W8-X8-Z8-AA8-AB8-AC8-AD8</f>
        <v>678.74000000000012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0</v>
      </c>
      <c r="AL8" s="49">
        <f t="array" ref="AL8">_xlfn.IFS(R8=0,AE8,R8&lt;0,AE8/-R8,R8&gt;0,AE8/R8)</f>
        <v>678.74000000000012</v>
      </c>
      <c r="AM8" s="50">
        <f>IF(AG8=0,0,AL8/AG8)</f>
        <v>0.38785142857142862</v>
      </c>
      <c r="AN8" s="51">
        <f>IF(AH8=0,0,AL8/AH8)</f>
        <v>3.9951733474601223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20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1">S9+T9</f>
        <v>0</v>
      </c>
      <c r="V9" s="43">
        <f t="shared" si="5"/>
        <v>0</v>
      </c>
      <c r="W9" s="44">
        <f t="shared" ref="W9:W16" si="22">R9*H9</f>
        <v>0</v>
      </c>
      <c r="X9" s="42">
        <f>-SUMIFS('Отчет 01.02'!P:P,'Отчет 01.02'!C:C,"Вознаграждение Ozon",'Отчет 01.02'!E:E,B9)</f>
        <v>0</v>
      </c>
      <c r="Y9" s="45">
        <f t="shared" si="7"/>
        <v>0</v>
      </c>
      <c r="Z9" s="42">
        <f>-SUMIFS('Отчет 01.02'!P:P,'Отчет 01.02'!C:C,"Услуги доставки",'Отчет 01.02'!E:E,B9)</f>
        <v>0</v>
      </c>
      <c r="AA9" s="32"/>
      <c r="AB9" s="55"/>
      <c r="AC9" s="42"/>
      <c r="AD9" s="46">
        <f t="shared" si="8"/>
        <v>0</v>
      </c>
      <c r="AE9" s="47">
        <f t="shared" ref="AE9:AE16" si="23">U9-W9-X9-Z9-AA9-AB9-AC9-AD9</f>
        <v>0</v>
      </c>
      <c r="AF9" s="46"/>
      <c r="AG9" s="48">
        <f t="shared" ref="AG9:AG16" si="24">IF(R9=0,0,U9/R9)</f>
        <v>0</v>
      </c>
      <c r="AH9" s="49">
        <f t="shared" ref="AH9:AH16" si="25">H9</f>
        <v>123</v>
      </c>
      <c r="AI9" s="49">
        <f t="shared" ref="AI9:AI16" si="26">IF(R9=0,0,X9/R9)</f>
        <v>0</v>
      </c>
      <c r="AJ9" s="49">
        <f t="shared" ref="AJ9:AJ16" si="27">IF(P9=0,Z9/1,Z9/P9)</f>
        <v>0</v>
      </c>
      <c r="AK9" s="49">
        <f t="shared" ref="AK9:AK16" si="28">IF(P9=0,0,AA9/P9)</f>
        <v>0</v>
      </c>
      <c r="AL9" s="49">
        <f t="array" ref="AL9">_xlfn.IFS(R9=0,AE9,R9&lt;0,AE9/-R9,R9&gt;0,AE9/R9)</f>
        <v>0</v>
      </c>
      <c r="AM9" s="50">
        <f t="shared" ref="AM9:AM16" si="29">IF(AG9=0,0,AL9/AG9)</f>
        <v>0</v>
      </c>
      <c r="AN9" s="51">
        <f t="shared" ref="AN9:AN16" si="30">IF(AH9=0,0,AL9/AH9)</f>
        <v>0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0.14285714285714285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20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1"/>
        <v>2000</v>
      </c>
      <c r="V10" s="43">
        <f t="shared" si="5"/>
        <v>6.1308319538961424E-2</v>
      </c>
      <c r="W10" s="44">
        <f t="shared" si="22"/>
        <v>123</v>
      </c>
      <c r="X10" s="42">
        <f>-SUMIFS('Отчет 01.02'!P:P,'Отчет 01.02'!C:C,"Вознаграждение Ozon",'Отчет 01.02'!E:E,B10)</f>
        <v>860</v>
      </c>
      <c r="Y10" s="45">
        <f t="shared" si="7"/>
        <v>0.43</v>
      </c>
      <c r="Z10" s="42">
        <f>-SUMIFS('Отчет 01.02'!P:P,'Отчет 01.02'!C:C,"Услуги доставки",'Отчет 01.02'!E:E,B10)</f>
        <v>155.81</v>
      </c>
      <c r="AA10" s="32"/>
      <c r="AB10" s="55"/>
      <c r="AC10" s="42"/>
      <c r="AD10" s="46">
        <f t="shared" si="8"/>
        <v>20</v>
      </c>
      <c r="AE10" s="47">
        <f t="shared" si="23"/>
        <v>841.19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0</v>
      </c>
      <c r="AL10" s="49">
        <f t="array" ref="AL10">_xlfn.IFS(R10=0,AE10,R10&lt;0,AE10/-R10,R10&gt;0,AE10/R10)</f>
        <v>841.19</v>
      </c>
      <c r="AM10" s="50">
        <f t="shared" si="29"/>
        <v>0.42059500000000005</v>
      </c>
      <c r="AN10" s="51">
        <f t="shared" si="30"/>
        <v>6.8389430894308951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1.1428571428571428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20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1"/>
        <v>14312.000000000005</v>
      </c>
      <c r="V11" s="43">
        <f t="shared" si="5"/>
        <v>0.43872233462080812</v>
      </c>
      <c r="W11" s="44">
        <f t="shared" si="22"/>
        <v>984</v>
      </c>
      <c r="X11" s="42">
        <f>-SUMIFS('Отчет 01.02'!P:P,'Отчет 01.02'!C:C,"Вознаграждение Ozon",'Отчет 01.02'!E:E,B11)</f>
        <v>6154.16</v>
      </c>
      <c r="Y11" s="45">
        <f t="shared" si="7"/>
        <v>0.42999999999999983</v>
      </c>
      <c r="Z11" s="42">
        <f>-SUMIFS('Отчет 01.02'!P:P,'Отчет 01.02'!C:C,"Услуги доставки",'Отчет 01.02'!E:E,B11)</f>
        <v>1379.34</v>
      </c>
      <c r="AA11" s="32"/>
      <c r="AB11" s="55"/>
      <c r="AC11" s="42"/>
      <c r="AD11" s="46">
        <f t="shared" si="8"/>
        <v>143.12000000000006</v>
      </c>
      <c r="AE11" s="47">
        <f t="shared" si="23"/>
        <v>5651.3800000000056</v>
      </c>
      <c r="AF11" s="46"/>
      <c r="AG11" s="48">
        <f t="shared" si="24"/>
        <v>1789.0000000000007</v>
      </c>
      <c r="AH11" s="49">
        <f t="shared" si="25"/>
        <v>123</v>
      </c>
      <c r="AI11" s="49">
        <f t="shared" si="26"/>
        <v>769.27</v>
      </c>
      <c r="AJ11" s="49">
        <f t="shared" si="27"/>
        <v>172.41749999999999</v>
      </c>
      <c r="AK11" s="49">
        <f t="shared" si="28"/>
        <v>0</v>
      </c>
      <c r="AL11" s="49">
        <f t="array" ref="AL11">_xlfn.IFS(R11=0,AE11,R11&lt;0,AE11/-R11,R11&gt;0,AE11/R11)</f>
        <v>706.4225000000007</v>
      </c>
      <c r="AM11" s="50">
        <f t="shared" si="29"/>
        <v>0.39487003912800472</v>
      </c>
      <c r="AN11" s="51">
        <f t="shared" si="30"/>
        <v>5.7432723577235825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0.14285714285714285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20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1"/>
        <v>2000</v>
      </c>
      <c r="V12" s="43">
        <f t="shared" si="5"/>
        <v>6.1308319538961424E-2</v>
      </c>
      <c r="W12" s="44">
        <f t="shared" si="22"/>
        <v>117</v>
      </c>
      <c r="X12" s="42">
        <f>-SUMIFS('Отчет 01.02'!P:P,'Отчет 01.02'!C:C,"Вознаграждение Ozon",'Отчет 01.02'!E:E,B12)</f>
        <v>860</v>
      </c>
      <c r="Y12" s="45">
        <f t="shared" si="7"/>
        <v>0.43</v>
      </c>
      <c r="Z12" s="42">
        <f>-SUMIFS('Отчет 01.02'!P:P,'Отчет 01.02'!C:C,"Услуги доставки",'Отчет 01.02'!E:E,B12)</f>
        <v>155.81</v>
      </c>
      <c r="AA12" s="32"/>
      <c r="AB12" s="55"/>
      <c r="AC12" s="42"/>
      <c r="AD12" s="46">
        <f t="shared" si="8"/>
        <v>20</v>
      </c>
      <c r="AE12" s="47">
        <f t="shared" si="23"/>
        <v>847.19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0</v>
      </c>
      <c r="AL12" s="49">
        <f t="array" ref="AL12">_xlfn.IFS(R12=0,AE12,R12&lt;0,AE12/-R12,R12&gt;0,AE12/R12)</f>
        <v>847.19</v>
      </c>
      <c r="AM12" s="50">
        <f t="shared" si="29"/>
        <v>0.42359500000000005</v>
      </c>
      <c r="AN12" s="51">
        <f t="shared" si="30"/>
        <v>7.2409401709401715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20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1"/>
        <v>0</v>
      </c>
      <c r="V13" s="43">
        <f t="shared" si="5"/>
        <v>0</v>
      </c>
      <c r="W13" s="44">
        <f t="shared" si="22"/>
        <v>0</v>
      </c>
      <c r="X13" s="42">
        <f>-SUMIFS('Отчет 01.02'!P:P,'Отчет 01.02'!C:C,"Вознаграждение Ozon",'Отчет 01.02'!E:E,B13)</f>
        <v>0</v>
      </c>
      <c r="Y13" s="45">
        <f t="shared" si="7"/>
        <v>0</v>
      </c>
      <c r="Z13" s="42">
        <f>-SUMIFS('Отчет 01.02'!P:P,'Отчет 01.02'!C:C,"Услуги доставки",'Отчет 01.02'!E:E,B13)</f>
        <v>0</v>
      </c>
      <c r="AA13" s="32"/>
      <c r="AB13" s="55"/>
      <c r="AC13" s="42"/>
      <c r="AD13" s="46">
        <f t="shared" si="8"/>
        <v>0</v>
      </c>
      <c r="AE13" s="47">
        <f t="shared" si="23"/>
        <v>0</v>
      </c>
      <c r="AF13" s="46"/>
      <c r="AG13" s="48">
        <f t="shared" si="24"/>
        <v>0</v>
      </c>
      <c r="AH13" s="49">
        <f t="shared" si="25"/>
        <v>123</v>
      </c>
      <c r="AI13" s="49">
        <f t="shared" si="26"/>
        <v>0</v>
      </c>
      <c r="AJ13" s="49">
        <f t="shared" si="27"/>
        <v>0</v>
      </c>
      <c r="AK13" s="49">
        <f t="shared" si="28"/>
        <v>0</v>
      </c>
      <c r="AL13" s="49">
        <f t="array" ref="AL13">_xlfn.IFS(R13=0,AE13,R13&lt;0,AE13/-R13,R13&gt;0,AE13/R13)</f>
        <v>0</v>
      </c>
      <c r="AM13" s="50">
        <f t="shared" si="29"/>
        <v>0</v>
      </c>
      <c r="AN13" s="51">
        <f t="shared" si="30"/>
        <v>0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20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42">
        <f>-SUMIFS('Отчет 01.02'!P:P,'Отчет 01.02'!C:C,"Вознаграждение Ozon",'Отчет 01.02'!E:E,B14)</f>
        <v>0</v>
      </c>
      <c r="Y14" s="45">
        <f t="shared" si="7"/>
        <v>0</v>
      </c>
      <c r="Z14" s="42">
        <f>-SUMIFS('Отчет 01.02'!P:P,'Отчет 01.02'!C:C,"Услуги доставки",'Отчет 01.02'!E:E,B14)</f>
        <v>0</v>
      </c>
      <c r="AA14" s="32"/>
      <c r="AB14" s="55"/>
      <c r="AC14" s="42"/>
      <c r="AD14" s="46">
        <f t="shared" si="8"/>
        <v>0</v>
      </c>
      <c r="AE14" s="47">
        <f t="shared" si="23"/>
        <v>0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0</v>
      </c>
      <c r="AM14" s="50">
        <f t="shared" si="29"/>
        <v>0</v>
      </c>
      <c r="AN14" s="51">
        <f t="shared" si="30"/>
        <v>0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0.7142857142857143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20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1"/>
        <v>9060.0000000000018</v>
      </c>
      <c r="V15" s="43">
        <f>U15/$U$24</f>
        <v>0.27772668751149532</v>
      </c>
      <c r="W15" s="44">
        <f t="shared" si="22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7"/>
        <v>0.42999999999999988</v>
      </c>
      <c r="Z15" s="42">
        <f>-SUMIFS('Отчет 01.02'!P:P,'Отчет 01.02'!C:C,"Услуги доставки",'Отчет 01.02'!E:E,B15)</f>
        <v>975.17000000000007</v>
      </c>
      <c r="AA15" s="32"/>
      <c r="AB15" s="55"/>
      <c r="AC15" s="42"/>
      <c r="AD15" s="46">
        <f t="shared" si="8"/>
        <v>90.600000000000023</v>
      </c>
      <c r="AE15" s="47">
        <f t="shared" si="23"/>
        <v>3483.4300000000026</v>
      </c>
      <c r="AF15" s="46"/>
      <c r="AG15" s="48">
        <f t="shared" si="24"/>
        <v>1812.0000000000005</v>
      </c>
      <c r="AH15" s="49">
        <f t="shared" si="25"/>
        <v>123</v>
      </c>
      <c r="AI15" s="49">
        <f t="shared" si="26"/>
        <v>779.16</v>
      </c>
      <c r="AJ15" s="49">
        <f t="shared" si="27"/>
        <v>195.03400000000002</v>
      </c>
      <c r="AK15" s="49">
        <f t="shared" si="28"/>
        <v>0</v>
      </c>
      <c r="AL15" s="49">
        <f t="array" ref="AL15">_xlfn.IFS(R15=0,AE15,R15&lt;0,AE15/-R15,R15&gt;0,AE15/R15)</f>
        <v>696.68600000000049</v>
      </c>
      <c r="AM15" s="50">
        <f t="shared" si="29"/>
        <v>0.38448454746136884</v>
      </c>
      <c r="AN15" s="51">
        <f t="shared" si="30"/>
        <v>5.6641138211382156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20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42">
        <f>-SUMIFS('Отчет 01.02'!P:P,'Отчет 01.02'!C:C,"Вознаграждение Ozon",'Отчет 01.02'!E:E,B16)</f>
        <v>0</v>
      </c>
      <c r="Y16" s="45">
        <f t="shared" si="7"/>
        <v>0</v>
      </c>
      <c r="Z16" s="42">
        <f>-SUMIFS('Отчет 01.02'!P:P,'Отчет 01.02'!C:C,"Услуги доставки",'Отчет 01.02'!E:E,B16)</f>
        <v>0</v>
      </c>
      <c r="AA16" s="32"/>
      <c r="AB16" s="55"/>
      <c r="AC16" s="42"/>
      <c r="AD16" s="46">
        <f t="shared" si="8"/>
        <v>0</v>
      </c>
      <c r="AE16" s="47">
        <f t="shared" si="23"/>
        <v>0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0</v>
      </c>
      <c r="AM16" s="50">
        <f t="shared" si="29"/>
        <v>0</v>
      </c>
      <c r="AN16" s="51">
        <f t="shared" si="30"/>
        <v>0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1835.8571428571429</v>
      </c>
      <c r="AH17" s="58">
        <f t="shared" si="32"/>
        <v>127.26</v>
      </c>
      <c r="AI17" s="58">
        <f t="shared" si="32"/>
        <v>789.41857142857145</v>
      </c>
      <c r="AJ17" s="58">
        <f t="shared" si="32"/>
        <v>151.58449999999999</v>
      </c>
      <c r="AK17" s="58" t="e">
        <f t="shared" si="32"/>
        <v>#DIV/0!</v>
      </c>
      <c r="AL17" s="58">
        <f t="shared" si="32"/>
        <v>729.69692857142877</v>
      </c>
      <c r="AM17" s="59">
        <f t="shared" si="32"/>
        <v>0.3965382062474615</v>
      </c>
      <c r="AN17" s="59">
        <f t="shared" si="32"/>
        <v>5.7989896685117177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19</v>
      </c>
      <c r="Q18" s="64">
        <f t="shared" si="33"/>
        <v>1</v>
      </c>
      <c r="R18" s="64">
        <f t="shared" si="33"/>
        <v>18</v>
      </c>
      <c r="S18" s="70">
        <f t="shared" si="33"/>
        <v>34372.000000000007</v>
      </c>
      <c r="T18" s="64">
        <f t="shared" si="33"/>
        <v>-1750</v>
      </c>
      <c r="U18" s="64">
        <f t="shared" si="33"/>
        <v>32622.000000000007</v>
      </c>
      <c r="V18" s="71">
        <f t="shared" si="33"/>
        <v>1</v>
      </c>
      <c r="W18" s="64">
        <f t="shared" si="33"/>
        <v>2249.2200000000003</v>
      </c>
      <c r="X18" s="64">
        <f t="shared" si="33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0</v>
      </c>
      <c r="AB18" s="64">
        <f>SUM(AB3:AB16)</f>
        <v>0</v>
      </c>
      <c r="AC18" s="64">
        <f>SUM(AC3:AC16)</f>
        <v>0</v>
      </c>
      <c r="AD18" s="73">
        <f>SUM(AD3:AD16)</f>
        <v>326.22000000000008</v>
      </c>
      <c r="AE18" s="74">
        <f>SUM(AE3:AE16)</f>
        <v>12839.580000000009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0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6">S18+S22</f>
        <v>34372.000000000007</v>
      </c>
      <c r="T24" s="118">
        <f t="shared" si="36"/>
        <v>-1750</v>
      </c>
      <c r="U24" s="121">
        <f t="shared" si="36"/>
        <v>32622.000000000007</v>
      </c>
      <c r="V24" s="122">
        <f t="shared" si="36"/>
        <v>1</v>
      </c>
      <c r="W24" s="118">
        <f t="shared" si="36"/>
        <v>2249.2200000000003</v>
      </c>
      <c r="X24" s="118">
        <f t="shared" si="36"/>
        <v>14027.46</v>
      </c>
      <c r="Y24" s="123">
        <f>X24/U24</f>
        <v>0.42999999999999988</v>
      </c>
      <c r="Z24" s="118">
        <f>Z18+Z22</f>
        <v>3179.52</v>
      </c>
      <c r="AA24" s="124"/>
      <c r="AB24" s="125"/>
      <c r="AC24" s="125">
        <f>SUM(AC3:AC20)</f>
        <v>0</v>
      </c>
      <c r="AD24" s="118">
        <f>AD18+AD22</f>
        <v>326.22000000000008</v>
      </c>
      <c r="AE24" s="126">
        <f>AE18+AE22</f>
        <v>12839.580000000009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0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E19" sqref="AE1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1350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 t="shared" ref="AD3:AD16" si="8">U3*1%</f>
        <v>16.5</v>
      </c>
      <c r="AE3" s="47">
        <f t="shared" ref="AE3:AE7" si="9">U3-W3-X3-Z3-AA3-AB3-AC3-AD3</f>
        <v>282.53000000000003</v>
      </c>
      <c r="AF3" s="46"/>
      <c r="AG3" s="48">
        <f t="shared" ref="AG3:AG7" si="10">IF(R3=0,0,U3/R3)</f>
        <v>1650</v>
      </c>
      <c r="AH3" s="49">
        <f t="shared" ref="AH3:AH7" si="11">H3</f>
        <v>142.97999999999999</v>
      </c>
      <c r="AI3" s="49">
        <f t="shared" ref="AI3:AI7" si="12">IF(R3=0,0,X3/R3)</f>
        <v>709.5</v>
      </c>
      <c r="AJ3" s="49">
        <f t="shared" ref="AJ3:AJ7" si="13">IF(P3=0,Z3/1,Z3/P3)</f>
        <v>498.48999999999995</v>
      </c>
      <c r="AK3" s="49">
        <f t="shared" ref="AK3:AK7" si="14">IF(P3=0,0,AA3/P3)</f>
        <v>0</v>
      </c>
      <c r="AL3" s="49">
        <f>_xlfn.IFS(R3=0,AE3,R3&lt;0,AE3/-R3,R3&gt;0,AE3/R3)</f>
        <v>282.53000000000003</v>
      </c>
      <c r="AM3" s="50">
        <f t="shared" ref="AM3:AM7" si="15">IF(AG3=0,0,AL3/AG3)</f>
        <v>0.17123030303030304</v>
      </c>
      <c r="AN3" s="51">
        <f t="shared" ref="AN3:AN7" si="16">IF(AH3=0,0,AL3/AH3)</f>
        <v>1.976010630857463</v>
      </c>
      <c r="AP3" s="53">
        <f t="shared" ref="AP3:AP7" si="17">AL3*C3</f>
        <v>103688.51000000001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si="8"/>
        <v>55.54</v>
      </c>
      <c r="AE4" s="47">
        <f t="shared" si="9"/>
        <v>1645.7899999999995</v>
      </c>
      <c r="AF4" s="46"/>
      <c r="AG4" s="48">
        <f t="shared" si="10"/>
        <v>1851.3333333333333</v>
      </c>
      <c r="AH4" s="49">
        <f t="shared" si="11"/>
        <v>123.09</v>
      </c>
      <c r="AI4" s="49">
        <f t="shared" si="12"/>
        <v>796.07333333333338</v>
      </c>
      <c r="AJ4" s="49">
        <f t="shared" si="13"/>
        <v>184.89333333333332</v>
      </c>
      <c r="AK4" s="49">
        <f t="shared" si="14"/>
        <v>180.16666666666666</v>
      </c>
      <c r="AL4" s="49">
        <f t="array" ref="AL4">_xlfn.IFS(R4=0,AE4,R4&lt;0,AE4/-R4,R4&gt;0,AE4/R4)</f>
        <v>548.59666666666647</v>
      </c>
      <c r="AM4" s="50">
        <f t="shared" si="15"/>
        <v>0.2963251710478933</v>
      </c>
      <c r="AN4" s="51">
        <f t="shared" si="16"/>
        <v>4.4568743737644523</v>
      </c>
      <c r="AP4" s="53">
        <f t="shared" si="17"/>
        <v>199140.58999999994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8"/>
        <v>35</v>
      </c>
      <c r="AE5" s="47">
        <f t="shared" si="9"/>
        <v>472.63000000000011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172.095</v>
      </c>
      <c r="AK5" s="49">
        <f t="shared" si="14"/>
        <v>448.5</v>
      </c>
      <c r="AL5" s="49">
        <f t="array" ref="AL5">_xlfn.IFS(R5=0,AE5,R5&lt;0,AE5/-R5,R5&gt;0,AE5/R5)</f>
        <v>236.31500000000005</v>
      </c>
      <c r="AM5" s="50">
        <f t="shared" si="15"/>
        <v>0.13503714285714288</v>
      </c>
      <c r="AN5" s="51">
        <f t="shared" si="16"/>
        <v>1.9198553903647742</v>
      </c>
      <c r="AP5" s="53">
        <f t="shared" si="17"/>
        <v>87909.180000000022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 t="shared" si="8"/>
        <v>161.5</v>
      </c>
      <c r="AE6" s="47">
        <f t="shared" si="9"/>
        <v>4764.67</v>
      </c>
      <c r="AF6" s="46"/>
      <c r="AG6" s="48">
        <f t="shared" si="10"/>
        <v>1794.4444444444443</v>
      </c>
      <c r="AH6" s="49">
        <f t="shared" si="11"/>
        <v>123.09</v>
      </c>
      <c r="AI6" s="49">
        <f t="shared" si="12"/>
        <v>771.61111111111109</v>
      </c>
      <c r="AJ6" s="49">
        <f t="shared" si="13"/>
        <v>173.40199999999999</v>
      </c>
      <c r="AK6" s="49">
        <f t="shared" si="14"/>
        <v>143.75</v>
      </c>
      <c r="AL6" s="49">
        <f t="array" ref="AL6">_xlfn.IFS(R6=0,AE6,R6&lt;0,AE6/-R6,R6&gt;0,AE6/R6)</f>
        <v>529.40777777777782</v>
      </c>
      <c r="AM6" s="50">
        <f t="shared" si="15"/>
        <v>0.29502600619195052</v>
      </c>
      <c r="AN6" s="51">
        <f t="shared" si="16"/>
        <v>4.3009812151903306</v>
      </c>
      <c r="AP6" s="53">
        <f t="shared" si="17"/>
        <v>358409.06555555557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8"/>
        <v>202.54000000000005</v>
      </c>
      <c r="AE7" s="47">
        <f t="shared" si="9"/>
        <v>-3507.186971999995</v>
      </c>
      <c r="AF7" s="46"/>
      <c r="AG7" s="48">
        <f t="shared" si="10"/>
        <v>1841.2727272727277</v>
      </c>
      <c r="AH7" s="49">
        <f t="shared" si="11"/>
        <v>117.24</v>
      </c>
      <c r="AI7" s="49">
        <f t="shared" si="12"/>
        <v>791.74727272727262</v>
      </c>
      <c r="AJ7" s="49">
        <f t="shared" si="13"/>
        <v>209.96923076923076</v>
      </c>
      <c r="AK7" s="49">
        <f t="shared" si="14"/>
        <v>833.09130553846148</v>
      </c>
      <c r="AL7" s="49">
        <f t="array" ref="AL7">_xlfn.IFS(R7=0,AE7,R7&lt;0,AE7/-R7,R7&gt;0,AE7/R7)</f>
        <v>-318.8351792727268</v>
      </c>
      <c r="AM7" s="50">
        <f t="shared" si="15"/>
        <v>-0.173160213883677</v>
      </c>
      <c r="AN7" s="51">
        <f t="shared" si="16"/>
        <v>-2.7195085233088263</v>
      </c>
      <c r="AP7" s="53">
        <f t="shared" si="17"/>
        <v>-212344.22939563607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8"/>
        <v>304</v>
      </c>
      <c r="AE8" s="47">
        <f>U8-W8-X8-Z8-AA8-AB8-AC8-AD8</f>
        <v>5949.5454910000026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371.84659318750016</v>
      </c>
      <c r="AM8" s="50">
        <f>IF(AG8=0,0,AL8/AG8)</f>
        <v>0.19570873325657903</v>
      </c>
      <c r="AN8" s="51">
        <f>IF(AH8=0,0,AL8/AH8)</f>
        <v>2.1887491505533001</v>
      </c>
      <c r="AP8" s="53">
        <f>AL8*C8</f>
        <v>117503.52344725005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8"/>
        <v>80</v>
      </c>
      <c r="AE9" s="47">
        <f t="shared" ref="AE9:AE16" si="23">U9-W9-X9-Z9-AA9-AB9-AC9-AD9</f>
        <v>1434.63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358.65750000000003</v>
      </c>
      <c r="AM9" s="50">
        <f t="shared" ref="AM9:AM16" si="29">IF(AG9=0,0,AL9/AG9)</f>
        <v>0.17932875000000001</v>
      </c>
      <c r="AN9" s="51">
        <f t="shared" ref="AN9:AN16" si="30">IF(AH9=0,0,AL9/AH9)</f>
        <v>2.9159146341463416</v>
      </c>
      <c r="AP9" s="53">
        <f t="shared" ref="AP9:AP16" si="31">AL9*C9</f>
        <v>138800.45250000001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8"/>
        <v>180</v>
      </c>
      <c r="AE10" s="47">
        <f t="shared" si="23"/>
        <v>2745.6607949999998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305.07342166666666</v>
      </c>
      <c r="AM10" s="50">
        <f t="shared" si="29"/>
        <v>0.15253671083333334</v>
      </c>
      <c r="AN10" s="51">
        <f t="shared" si="30"/>
        <v>2.4802717208672087</v>
      </c>
      <c r="AP10" s="53">
        <f t="shared" si="31"/>
        <v>117758.34076333333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8"/>
        <v>814.37000000000012</v>
      </c>
      <c r="AE11" s="47">
        <f t="shared" si="23"/>
        <v>17298.21627300002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411.86229221428619</v>
      </c>
      <c r="AM11" s="50">
        <f t="shared" si="29"/>
        <v>0.21241224840060435</v>
      </c>
      <c r="AN11" s="51">
        <f t="shared" si="30"/>
        <v>3.3484739204413509</v>
      </c>
      <c r="AP11" s="53">
        <f t="shared" si="31"/>
        <v>278830.77182907175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8"/>
        <v>80</v>
      </c>
      <c r="AE12" s="47">
        <f t="shared" si="23"/>
        <v>-773.09999999999991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-193.27499999999998</v>
      </c>
      <c r="AM12" s="50">
        <f t="shared" si="29"/>
        <v>-9.6637499999999987E-2</v>
      </c>
      <c r="AN12" s="51">
        <f t="shared" si="30"/>
        <v>-1.6519230769230768</v>
      </c>
      <c r="AP12" s="53">
        <f t="shared" si="31"/>
        <v>-67066.424999999988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8"/>
        <v>79.999999999999986</v>
      </c>
      <c r="AE13" s="47">
        <f t="shared" si="23"/>
        <v>372.2599999999984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93.0649999999996</v>
      </c>
      <c r="AM13" s="50">
        <f t="shared" si="29"/>
        <v>4.6532499999999803E-2</v>
      </c>
      <c r="AN13" s="51">
        <f t="shared" si="30"/>
        <v>0.75662601626015935</v>
      </c>
      <c r="AP13" s="53">
        <f t="shared" si="31"/>
        <v>36202.284999999843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8"/>
        <v>160</v>
      </c>
      <c r="AE14" s="47">
        <f t="shared" si="23"/>
        <v>2822.25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352.78125</v>
      </c>
      <c r="AM14" s="50">
        <f t="shared" si="29"/>
        <v>0.176390625</v>
      </c>
      <c r="AN14" s="51">
        <f t="shared" si="30"/>
        <v>2.868140243902439</v>
      </c>
      <c r="AP14" s="53">
        <f t="shared" si="31"/>
        <v>122415.09375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8"/>
        <v>756.6500000000002</v>
      </c>
      <c r="AE15" s="47">
        <f t="shared" si="23"/>
        <v>17819.348747000022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456.90637812820569</v>
      </c>
      <c r="AM15" s="50">
        <f t="shared" si="29"/>
        <v>0.23550318835657197</v>
      </c>
      <c r="AN15" s="51">
        <f t="shared" si="30"/>
        <v>3.7146860010423226</v>
      </c>
      <c r="AP15" s="53">
        <f t="shared" si="31"/>
        <v>273230.01412066701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8"/>
        <v>80</v>
      </c>
      <c r="AE16" s="47">
        <f t="shared" si="23"/>
        <v>356.26405699999987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89.066014249999967</v>
      </c>
      <c r="AM16" s="50">
        <f t="shared" si="29"/>
        <v>4.4533007124999982E-2</v>
      </c>
      <c r="AN16" s="51">
        <f t="shared" si="30"/>
        <v>0.76124798504273472</v>
      </c>
      <c r="AP16" s="53">
        <f t="shared" si="31"/>
        <v>34201.349471999987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264.22551541295201</v>
      </c>
      <c r="AM17" s="59">
        <f t="shared" si="32"/>
        <v>0.14047951269928471</v>
      </c>
      <c r="AN17" s="59">
        <f t="shared" si="32"/>
        <v>2.0427039767044799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3006.1</v>
      </c>
      <c r="AE18" s="74">
        <f>SUM(AE3:AE16)</f>
        <v>51683.508391000047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1588678.5220422414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65686.441609000001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3006.1</v>
      </c>
      <c r="AE24" s="126">
        <f>AE18+AE22</f>
        <v>51683.508391000047</v>
      </c>
      <c r="AF24" s="127"/>
      <c r="AG24" s="128"/>
      <c r="AH24" s="129"/>
      <c r="AI24" s="129"/>
      <c r="AJ24" s="129"/>
      <c r="AK24" s="129">
        <f>AA25/P24</f>
        <v>399.61928143712572</v>
      </c>
      <c r="AL24" s="129"/>
      <c r="AM24" s="129"/>
      <c r="AN24" s="130"/>
      <c r="AP24" s="126">
        <f>SUM(AP3:AP20)</f>
        <v>3177357.0440844828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66736.42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65686.441609000001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3177357.0440844828</v>
      </c>
      <c r="L32" s="161">
        <f>K32/I32</f>
        <v>4.0424244840298194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8" t="s">
        <v>1353</v>
      </c>
      <c r="O1" s="239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 t="shared" ref="AD3:AD16" si="6">U3*1%</f>
        <v>0</v>
      </c>
      <c r="AE3" s="47">
        <f t="shared" ref="AE3:AE7" si="7">U3-W3-X3-Z3-AA3-AB3-AC3-AD3</f>
        <v>0</v>
      </c>
      <c r="AF3" s="46"/>
      <c r="AG3" s="48">
        <f t="shared" ref="AG3:AG7" si="8">IF(R3=0,0,U3/R3)</f>
        <v>0</v>
      </c>
      <c r="AH3" s="49">
        <f t="shared" ref="AH3:AH7" si="9">H3</f>
        <v>142.97999999999999</v>
      </c>
      <c r="AI3" s="49">
        <f t="shared" ref="AI3:AI7" si="10">IF(R3=0,0,X3/R3)</f>
        <v>0</v>
      </c>
      <c r="AJ3" s="49">
        <f t="shared" ref="AJ3:AJ7" si="11">IF(P3=0,Z3/1,Z3/P3)</f>
        <v>0</v>
      </c>
      <c r="AK3" s="49">
        <f t="shared" ref="AK3:AK7" si="12">IF(P3=0,0,AA3/P3)</f>
        <v>0</v>
      </c>
      <c r="AL3" s="49">
        <f>_xlfn.IFS(R3=0,AE3,R3&lt;0,AE3/-R3,R3&gt;0,AE3/R3)</f>
        <v>0</v>
      </c>
      <c r="AM3" s="50">
        <f t="shared" ref="AM3:AM7" si="13">IF(AG3=0,0,AL3/AG3)</f>
        <v>0</v>
      </c>
      <c r="AN3" s="51">
        <f t="shared" ref="AN3:AN7" si="14">IF(AH3=0,0,AL3/AH3)</f>
        <v>0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6">K4/$O$1</f>
        <v>0</v>
      </c>
      <c r="O4" s="38">
        <f t="shared" ref="O4:O16" si="17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8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si="6"/>
        <v>17.5</v>
      </c>
      <c r="AE4" s="47">
        <f t="shared" si="7"/>
        <v>737.63000000000011</v>
      </c>
      <c r="AF4" s="46"/>
      <c r="AG4" s="48">
        <f t="shared" si="8"/>
        <v>1750</v>
      </c>
      <c r="AH4" s="49">
        <f t="shared" si="9"/>
        <v>123.09</v>
      </c>
      <c r="AI4" s="49">
        <f t="shared" si="10"/>
        <v>752.5</v>
      </c>
      <c r="AJ4" s="49">
        <f t="shared" si="11"/>
        <v>119.28</v>
      </c>
      <c r="AK4" s="49">
        <f t="shared" si="12"/>
        <v>0</v>
      </c>
      <c r="AL4" s="49">
        <f t="array" ref="AL4">_xlfn.IFS(R4=0,AE4,R4&lt;0,AE4/-R4,R4&gt;0,AE4/R4)</f>
        <v>737.63000000000011</v>
      </c>
      <c r="AM4" s="50">
        <f t="shared" si="13"/>
        <v>0.42150285714285718</v>
      </c>
      <c r="AN4" s="51">
        <f t="shared" si="14"/>
        <v>5.9926070355024788</v>
      </c>
      <c r="AP4" s="53">
        <f t="shared" si="15"/>
        <v>271447.84000000003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6"/>
        <v>0</v>
      </c>
      <c r="O5" s="38">
        <f t="shared" si="17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8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6"/>
        <v>1</v>
      </c>
      <c r="O6" s="38">
        <f t="shared" si="17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8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6"/>
        <v>0</v>
      </c>
      <c r="AE6" s="47">
        <f t="shared" si="7"/>
        <v>0</v>
      </c>
      <c r="AF6" s="46"/>
      <c r="AG6" s="48">
        <f t="shared" si="8"/>
        <v>0</v>
      </c>
      <c r="AH6" s="49">
        <f t="shared" si="9"/>
        <v>123.09</v>
      </c>
      <c r="AI6" s="49">
        <f t="shared" si="10"/>
        <v>0</v>
      </c>
      <c r="AJ6" s="49">
        <f t="shared" si="11"/>
        <v>0</v>
      </c>
      <c r="AK6" s="49">
        <f t="shared" si="12"/>
        <v>0</v>
      </c>
      <c r="AL6" s="49">
        <f t="array" ref="AL6">_xlfn.IFS(R6=0,AE6,R6&lt;0,AE6/-R6,R6&gt;0,AE6/R6)</f>
        <v>0</v>
      </c>
      <c r="AM6" s="50">
        <f t="shared" si="13"/>
        <v>0</v>
      </c>
      <c r="AN6" s="51">
        <f t="shared" si="14"/>
        <v>0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6"/>
        <v>4</v>
      </c>
      <c r="O7" s="38">
        <f t="shared" si="17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8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6"/>
        <v>17.5</v>
      </c>
      <c r="AE7" s="47">
        <f t="shared" si="7"/>
        <v>-925.16825700000004</v>
      </c>
      <c r="AF7" s="46"/>
      <c r="AG7" s="48">
        <f t="shared" si="8"/>
        <v>1750</v>
      </c>
      <c r="AH7" s="49">
        <f t="shared" si="9"/>
        <v>117.24</v>
      </c>
      <c r="AI7" s="49">
        <f t="shared" si="10"/>
        <v>752.5</v>
      </c>
      <c r="AJ7" s="49">
        <f t="shared" si="11"/>
        <v>131.37</v>
      </c>
      <c r="AK7" s="49">
        <f t="shared" si="12"/>
        <v>762.59412850000001</v>
      </c>
      <c r="AL7" s="49">
        <f t="array" ref="AL7">_xlfn.IFS(R7=0,AE7,R7&lt;0,AE7/-R7,R7&gt;0,AE7/R7)</f>
        <v>-925.16825700000004</v>
      </c>
      <c r="AM7" s="50">
        <f t="shared" si="13"/>
        <v>-0.52866757542857146</v>
      </c>
      <c r="AN7" s="51">
        <f t="shared" si="14"/>
        <v>-7.8912338536335724</v>
      </c>
      <c r="AP7" s="53">
        <f t="shared" si="15"/>
        <v>-624488.57347499998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6"/>
        <v>8</v>
      </c>
      <c r="O8" s="38">
        <f t="shared" si="17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8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6"/>
        <v>17.5</v>
      </c>
      <c r="AE8" s="47">
        <f>U8-W8-X8-Z8-AA8-AB8-AC8-AD8</f>
        <v>-283.33294499999988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-283.33294499999988</v>
      </c>
      <c r="AM8" s="50">
        <f>IF(AG8=0,0,AL8/AG8)</f>
        <v>-0.16190453999999993</v>
      </c>
      <c r="AN8" s="51">
        <f>IF(AH8=0,0,AL8/AH8)</f>
        <v>-1.6677435105067979</v>
      </c>
      <c r="AP8" s="53">
        <f>AL8*C8</f>
        <v>-94916.536574999962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6"/>
        <v>2</v>
      </c>
      <c r="O9" s="38">
        <f t="shared" si="17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8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6"/>
        <v>2</v>
      </c>
      <c r="O10" s="38">
        <f t="shared" si="17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8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6"/>
        <v>20</v>
      </c>
      <c r="AE10" s="47">
        <f t="shared" si="22"/>
        <v>553.75696600000003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553.75696600000003</v>
      </c>
      <c r="AM10" s="50">
        <f t="shared" si="28"/>
        <v>0.27687848300000001</v>
      </c>
      <c r="AN10" s="51">
        <f t="shared" si="29"/>
        <v>4.5020891544715447</v>
      </c>
      <c r="AP10" s="53">
        <f t="shared" si="30"/>
        <v>216518.97370600002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6"/>
        <v>8</v>
      </c>
      <c r="O11" s="38">
        <f t="shared" si="17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8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6"/>
        <v>143.12000000000006</v>
      </c>
      <c r="AE11" s="47">
        <f t="shared" si="22"/>
        <v>3579.8783210000056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447.4847901250007</v>
      </c>
      <c r="AM11" s="50">
        <f t="shared" si="28"/>
        <v>0.25013124098658496</v>
      </c>
      <c r="AN11" s="51">
        <f t="shared" si="29"/>
        <v>3.6380877245935017</v>
      </c>
      <c r="AP11" s="53">
        <f t="shared" si="30"/>
        <v>315476.7770381255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8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6"/>
        <v>20</v>
      </c>
      <c r="AE12" s="47">
        <f t="shared" si="22"/>
        <v>847.19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847.19</v>
      </c>
      <c r="AM12" s="50">
        <f t="shared" si="28"/>
        <v>0.42359500000000005</v>
      </c>
      <c r="AN12" s="51">
        <f t="shared" si="29"/>
        <v>7.2409401709401715</v>
      </c>
      <c r="AP12" s="53">
        <f t="shared" si="30"/>
        <v>301599.64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6"/>
        <v>2</v>
      </c>
      <c r="O13" s="38">
        <f t="shared" si="17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8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6"/>
        <v>1</v>
      </c>
      <c r="O14" s="38">
        <f t="shared" si="17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8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6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6"/>
        <v>7</v>
      </c>
      <c r="O15" s="38">
        <f t="shared" si="17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8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6"/>
        <v>90.600000000000023</v>
      </c>
      <c r="AE15" s="47">
        <f t="shared" si="22"/>
        <v>1401.8065530000026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280.36131060000054</v>
      </c>
      <c r="AM15" s="50">
        <f t="shared" si="28"/>
        <v>0.15472478509933801</v>
      </c>
      <c r="AN15" s="51">
        <f t="shared" si="29"/>
        <v>2.2793602487804923</v>
      </c>
      <c r="AP15" s="53">
        <f t="shared" si="30"/>
        <v>172702.56732960034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8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6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182.2402330906252</v>
      </c>
      <c r="AM17" s="59">
        <f t="shared" si="31"/>
        <v>0.11946575011431555</v>
      </c>
      <c r="AN17" s="59">
        <f t="shared" si="31"/>
        <v>1.558511338748152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326.22000000000008</v>
      </c>
      <c r="AE18" s="74">
        <f>SUM(AE3:AE16)</f>
        <v>5431.8675670000084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400696.61616772594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7407.7124330000006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326.22000000000008</v>
      </c>
      <c r="AE24" s="126">
        <f>AE18+AE22</f>
        <v>5431.8675670000084</v>
      </c>
      <c r="AF24" s="127"/>
      <c r="AG24" s="128"/>
      <c r="AH24" s="129"/>
      <c r="AI24" s="129"/>
      <c r="AJ24" s="129"/>
      <c r="AK24" s="129">
        <f>AA25/P24</f>
        <v>397.77368421052631</v>
      </c>
      <c r="AL24" s="129"/>
      <c r="AM24" s="129"/>
      <c r="AN24" s="130"/>
      <c r="AP24" s="126">
        <f>SUM(AP3:AP20)</f>
        <v>801393.23233545187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7557.7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7407.7124330000006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801393.23233545187</v>
      </c>
      <c r="L32" s="161">
        <f>K32/I32</f>
        <v>1.0226336258218471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3" priority="19" operator="greaterThan">
      <formula>120</formula>
    </cfRule>
  </conditionalFormatting>
  <conditionalFormatting sqref="N23">
    <cfRule type="cellIs" dxfId="102" priority="18" operator="between">
      <formula>0.000001</formula>
      <formula>25</formula>
    </cfRule>
  </conditionalFormatting>
  <conditionalFormatting sqref="V1 V25:V28 V30:V1048576">
    <cfRule type="cellIs" dxfId="10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00" priority="14" operator="greaterThan">
      <formula>120</formula>
    </cfRule>
  </conditionalFormatting>
  <conditionalFormatting sqref="Q23">
    <cfRule type="cellIs" dxfId="99" priority="13" operator="greaterThan">
      <formula>120</formula>
    </cfRule>
  </conditionalFormatting>
  <conditionalFormatting sqref="R23">
    <cfRule type="cellIs" dxfId="98" priority="12" operator="greaterThan">
      <formula>120</formula>
    </cfRule>
  </conditionalFormatting>
  <conditionalFormatting sqref="S23">
    <cfRule type="cellIs" dxfId="97" priority="11" operator="greaterThan">
      <formula>120</formula>
    </cfRule>
  </conditionalFormatting>
  <conditionalFormatting sqref="T23">
    <cfRule type="cellIs" dxfId="96" priority="10" operator="greaterThan">
      <formula>120</formula>
    </cfRule>
  </conditionalFormatting>
  <conditionalFormatting sqref="U23">
    <cfRule type="cellIs" dxfId="95" priority="9" operator="greaterThan">
      <formula>120</formula>
    </cfRule>
  </conditionalFormatting>
  <conditionalFormatting sqref="V23">
    <cfRule type="cellIs" dxfId="94" priority="8" operator="greaterThan">
      <formula>120</formula>
    </cfRule>
  </conditionalFormatting>
  <conditionalFormatting sqref="W23">
    <cfRule type="cellIs" dxfId="93" priority="7" operator="greaterThan">
      <formula>120</formula>
    </cfRule>
  </conditionalFormatting>
  <conditionalFormatting sqref="X23">
    <cfRule type="cellIs" dxfId="92" priority="6" operator="greaterThan">
      <formula>120</formula>
    </cfRule>
  </conditionalFormatting>
  <conditionalFormatting sqref="Z23">
    <cfRule type="cellIs" dxfId="9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7"/>
  <sheetViews>
    <sheetView zoomScale="70" zoomScaleNormal="70" workbookViewId="0">
      <pane xSplit="2" ySplit="2" topLeftCell="AK6" activePane="bottomRight" state="frozen"/>
      <selection pane="topRight" activeCell="C1" sqref="C1"/>
      <selection pane="bottomLeft" activeCell="A3" sqref="A3"/>
      <selection pane="bottomRight" activeCell="AS17" sqref="AS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1073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1399</v>
      </c>
      <c r="AS2" s="10" t="s">
        <v>1400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46">
        <f t="shared" ref="AD3:AD16" si="6">U3*1%</f>
        <v>241.42000000000002</v>
      </c>
      <c r="AE3" s="47">
        <f t="shared" ref="AE3:AE7" si="7">U3-W3-X3-Z3-AA3-AB3-AC3-AD3</f>
        <v>6488.9299360000005</v>
      </c>
      <c r="AF3" s="46"/>
      <c r="AG3" s="48">
        <f t="shared" ref="AG3:AG7" si="8">IF(R3=0,0,U3/R3)</f>
        <v>1609.4666666666667</v>
      </c>
      <c r="AH3" s="49">
        <f t="shared" ref="AH3:AH7" si="9">H3</f>
        <v>142.97999999999999</v>
      </c>
      <c r="AI3" s="49">
        <f t="shared" ref="AI3:AI7" si="10">IF(R3=0,0,X3/R3)</f>
        <v>692.07066666666663</v>
      </c>
      <c r="AJ3" s="49">
        <f t="shared" ref="AJ3:AJ7" si="11">IF(P3=0,Z3/1,Z3/P3)</f>
        <v>170.48</v>
      </c>
      <c r="AK3" s="49">
        <f t="shared" ref="AK3:AK7" si="12">IF(P3=0,0,AA3/P3)</f>
        <v>155.24600426666666</v>
      </c>
      <c r="AL3" s="49">
        <f>_xlfn.IFS(R3=0,AE3,R3&lt;0,AE3/-R3,R3&gt;0,AE3/R3)</f>
        <v>432.59532906666669</v>
      </c>
      <c r="AM3" s="50">
        <f t="shared" ref="AM3:AM7" si="13">IF(AG3=0,0,AL3/AG3)</f>
        <v>0.26878178841852374</v>
      </c>
      <c r="AN3" s="51">
        <f t="shared" ref="AN3:AN7" si="14">IF(AH3=0,0,AL3/AH3)</f>
        <v>3.0255653172937942</v>
      </c>
      <c r="AP3" s="53">
        <f t="shared" ref="AP3:AP7" si="15">AL3*C3</f>
        <v>0</v>
      </c>
      <c r="AR3" s="263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6">K4/31</f>
        <v>0.87096774193548387</v>
      </c>
      <c r="O4" s="38">
        <f t="shared" ref="O4:O16" si="17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46">
        <f t="shared" si="6"/>
        <v>327.5</v>
      </c>
      <c r="AE4" s="47">
        <f t="shared" si="7"/>
        <v>10414.951691000002</v>
      </c>
      <c r="AF4" s="46"/>
      <c r="AG4" s="48">
        <f t="shared" si="8"/>
        <v>1723.6842105263158</v>
      </c>
      <c r="AH4" s="49">
        <f t="shared" si="9"/>
        <v>123.09</v>
      </c>
      <c r="AI4" s="49">
        <f t="shared" si="10"/>
        <v>741.18421052631584</v>
      </c>
      <c r="AJ4" s="49">
        <f t="shared" si="11"/>
        <v>147.42473684210529</v>
      </c>
      <c r="AK4" s="49">
        <f t="shared" si="12"/>
        <v>146.59306889473683</v>
      </c>
      <c r="AL4" s="49">
        <f t="array" ref="AL4">_xlfn.IFS(R4=0,AE4,R4&lt;0,AE4/-R4,R4&gt;0,AE4/R4)</f>
        <v>548.15535215789487</v>
      </c>
      <c r="AM4" s="50">
        <f t="shared" si="13"/>
        <v>0.31801379209160313</v>
      </c>
      <c r="AN4" s="51">
        <f t="shared" si="14"/>
        <v>4.4532890743187492</v>
      </c>
      <c r="AP4" s="53">
        <f t="shared" si="15"/>
        <v>0</v>
      </c>
      <c r="AR4" s="263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6"/>
        <v>0.38709677419354838</v>
      </c>
      <c r="O5" s="38">
        <f t="shared" si="17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46">
        <f t="shared" si="6"/>
        <v>153.5</v>
      </c>
      <c r="AE5" s="47">
        <f t="shared" si="7"/>
        <v>4628.4432890000007</v>
      </c>
      <c r="AF5" s="46"/>
      <c r="AG5" s="48">
        <f t="shared" si="8"/>
        <v>1705.5555555555557</v>
      </c>
      <c r="AH5" s="49">
        <f t="shared" si="9"/>
        <v>123.09</v>
      </c>
      <c r="AI5" s="49">
        <f t="shared" si="10"/>
        <v>733.38888888888891</v>
      </c>
      <c r="AJ5" s="49">
        <f t="shared" si="11"/>
        <v>148.49888888888887</v>
      </c>
      <c r="AK5" s="49">
        <f t="shared" si="12"/>
        <v>169.25074566666666</v>
      </c>
      <c r="AL5" s="49">
        <f t="array" ref="AL5">_xlfn.IFS(R5=0,AE5,R5&lt;0,AE5/-R5,R5&gt;0,AE5/R5)</f>
        <v>514.27147655555564</v>
      </c>
      <c r="AM5" s="50">
        <f t="shared" si="13"/>
        <v>0.30152725009771991</v>
      </c>
      <c r="AN5" s="51">
        <f t="shared" si="14"/>
        <v>4.1780118332566056</v>
      </c>
      <c r="AP5" s="53">
        <f t="shared" si="15"/>
        <v>0</v>
      </c>
      <c r="AR5" s="263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6"/>
        <v>3.4516129032258065</v>
      </c>
      <c r="O6" s="38">
        <f t="shared" si="17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46">
        <f t="shared" si="6"/>
        <v>1370.5</v>
      </c>
      <c r="AE6" s="47">
        <f t="shared" si="7"/>
        <v>20914.500945999993</v>
      </c>
      <c r="AF6" s="46"/>
      <c r="AG6" s="48">
        <f t="shared" si="8"/>
        <v>1671.3414634146341</v>
      </c>
      <c r="AH6" s="49">
        <f t="shared" si="9"/>
        <v>123.09</v>
      </c>
      <c r="AI6" s="49">
        <f t="shared" si="10"/>
        <v>718.67682926829264</v>
      </c>
      <c r="AJ6" s="49">
        <f t="shared" si="11"/>
        <v>157.98558139534885</v>
      </c>
      <c r="AK6" s="49">
        <f t="shared" si="12"/>
        <v>373.87626806976743</v>
      </c>
      <c r="AL6" s="49">
        <f t="array" ref="AL6">_xlfn.IFS(R6=0,AE6,R6&lt;0,AE6/-R6,R6&gt;0,AE6/R6)</f>
        <v>255.05488958536577</v>
      </c>
      <c r="AM6" s="50">
        <f t="shared" si="13"/>
        <v>0.15260489562933233</v>
      </c>
      <c r="AN6" s="51">
        <f t="shared" si="14"/>
        <v>2.0721008171692725</v>
      </c>
      <c r="AP6" s="53">
        <f t="shared" si="15"/>
        <v>0</v>
      </c>
      <c r="AR6" s="263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6"/>
        <v>2.806451612903226</v>
      </c>
      <c r="O7" s="38">
        <f t="shared" si="17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46">
        <f t="shared" si="6"/>
        <v>764.75</v>
      </c>
      <c r="AE7" s="47">
        <f t="shared" si="7"/>
        <v>9317.0298899999943</v>
      </c>
      <c r="AF7" s="46"/>
      <c r="AG7" s="48">
        <f t="shared" si="8"/>
        <v>1699.4444444444443</v>
      </c>
      <c r="AH7" s="49">
        <f t="shared" si="9"/>
        <v>117.24</v>
      </c>
      <c r="AI7" s="49">
        <f t="shared" si="10"/>
        <v>730.76111111111106</v>
      </c>
      <c r="AJ7" s="49">
        <f t="shared" si="11"/>
        <v>171.49391304347824</v>
      </c>
      <c r="AK7" s="49">
        <f t="shared" si="12"/>
        <v>442.2706545652174</v>
      </c>
      <c r="AL7" s="49">
        <f t="array" ref="AL7">_xlfn.IFS(R7=0,AE7,R7&lt;0,AE7/-R7,R7&gt;0,AE7/R7)</f>
        <v>207.04510866666655</v>
      </c>
      <c r="AM7" s="50">
        <f t="shared" si="13"/>
        <v>0.1218310544622425</v>
      </c>
      <c r="AN7" s="51">
        <f t="shared" si="14"/>
        <v>1.7659937620834745</v>
      </c>
      <c r="AP7" s="53">
        <f t="shared" si="15"/>
        <v>0</v>
      </c>
      <c r="AR7" s="263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6"/>
        <v>1.6129032258064515</v>
      </c>
      <c r="O8" s="38">
        <f t="shared" si="17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46">
        <f t="shared" si="6"/>
        <v>465.78000000000003</v>
      </c>
      <c r="AE8" s="47">
        <f>U8-W8-X8-Z8-AA8-AB8-AC8-AD8</f>
        <v>4052.5984060000014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130.72898083870973</v>
      </c>
      <c r="AM8" s="50">
        <f>IF(AG8=0,0,AL8/AG8)</f>
        <v>8.7006707157885735E-2</v>
      </c>
      <c r="AN8" s="51">
        <f>IF(AH8=0,0,AL8/AH8)</f>
        <v>0.76949191146453433</v>
      </c>
      <c r="AP8" s="53">
        <f>AL8*C8</f>
        <v>0</v>
      </c>
      <c r="AR8" s="263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6"/>
        <v>0.12903225806451613</v>
      </c>
      <c r="O9" s="38">
        <f t="shared" si="17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46">
        <f t="shared" si="6"/>
        <v>20</v>
      </c>
      <c r="AE9" s="47">
        <f t="shared" ref="AE9:AE16" si="22">U9-W9-X9-Z9-AA9-AB9-AC9-AD9</f>
        <v>284.37054400000011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8">IF(AG9=0,0,AL9/AG9)</f>
        <v>0.14218527200000006</v>
      </c>
      <c r="AN9" s="51">
        <f t="shared" ref="AN9:AN16" si="29">IF(AH9=0,0,AL9/AH9)</f>
        <v>2.3119556422764238</v>
      </c>
      <c r="AP9" s="53">
        <f t="shared" ref="AP9:AP16" si="30">AL9*C9</f>
        <v>0</v>
      </c>
      <c r="AR9" s="263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6"/>
        <v>0.19354838709677419</v>
      </c>
      <c r="O10" s="38">
        <f t="shared" si="17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46">
        <f t="shared" si="6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3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6"/>
        <v>7.774193548387097</v>
      </c>
      <c r="O11" s="38">
        <f t="shared" si="17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46">
        <f t="shared" si="6"/>
        <v>2812.25</v>
      </c>
      <c r="AE11" s="47">
        <f t="shared" si="22"/>
        <v>27810.244062000042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168.54693370909115</v>
      </c>
      <c r="AM11" s="50">
        <f t="shared" si="28"/>
        <v>9.8889657967819497E-2</v>
      </c>
      <c r="AN11" s="51">
        <f t="shared" si="29"/>
        <v>1.3703002740576515</v>
      </c>
      <c r="AP11" s="53">
        <f t="shared" si="30"/>
        <v>0</v>
      </c>
      <c r="AR11" s="263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6"/>
        <v>0.16129032258064516</v>
      </c>
      <c r="O12" s="38">
        <f t="shared" si="17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46">
        <f t="shared" si="6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3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6"/>
        <v>6.4516129032258063E-2</v>
      </c>
      <c r="O13" s="38">
        <f t="shared" si="17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46">
        <f t="shared" si="6"/>
        <v>20</v>
      </c>
      <c r="AE13" s="47">
        <f t="shared" si="22"/>
        <v>207.80594900000006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207.80594900000006</v>
      </c>
      <c r="AM13" s="50">
        <f t="shared" si="28"/>
        <v>0.10390297450000002</v>
      </c>
      <c r="AN13" s="51">
        <f t="shared" si="29"/>
        <v>1.6894792601626021</v>
      </c>
      <c r="AP13" s="53">
        <f t="shared" si="30"/>
        <v>0</v>
      </c>
      <c r="AR13" s="263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6"/>
        <v>0</v>
      </c>
      <c r="O14" s="38">
        <f t="shared" si="17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46">
        <f t="shared" si="6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3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6"/>
        <v>7.709677419354839</v>
      </c>
      <c r="O15" s="38">
        <f t="shared" si="17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46">
        <f t="shared" si="6"/>
        <v>2934.1</v>
      </c>
      <c r="AE15" s="47">
        <f t="shared" si="22"/>
        <v>30164.136720000031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187.35488645962752</v>
      </c>
      <c r="AM15" s="50">
        <f t="shared" si="28"/>
        <v>0.10280541467570986</v>
      </c>
      <c r="AN15" s="51">
        <f t="shared" si="29"/>
        <v>1.523210459021362</v>
      </c>
      <c r="AP15" s="53">
        <f t="shared" si="30"/>
        <v>0</v>
      </c>
      <c r="AR15" s="263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6"/>
        <v>6.4516129032258063E-2</v>
      </c>
      <c r="O16" s="38">
        <f t="shared" si="17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46">
        <f t="shared" si="6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3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19.660482464582898</v>
      </c>
      <c r="AM17" s="59">
        <f t="shared" si="31"/>
        <v>0.16975488070008368</v>
      </c>
      <c r="AN17" s="59">
        <f t="shared" si="31"/>
        <v>8.7403380834947086E-2</v>
      </c>
      <c r="AO17" s="60"/>
      <c r="AP17" s="61"/>
      <c r="AR17" s="265">
        <f>AVERAGE(AR3:AR16)</f>
        <v>0.76142857142857168</v>
      </c>
      <c r="AS17" s="264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9109.8000000000011</v>
      </c>
      <c r="AE18" s="74">
        <f>SUM(AE3:AE16)</f>
        <v>110277.82360500009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6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5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9109.8000000000011</v>
      </c>
      <c r="AE24" s="126">
        <f>AE18+AE22</f>
        <v>110277.82360500009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6">
        <f>Сводная!Z17+Сводная!R17+Сводная!S17+Сводная!T17+Сводная!V17-Сводная!U17-Сводная!W17-(AA26-AA25)</f>
        <v>110277.82360500004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0" priority="20" operator="greaterThan">
      <formula>120</formula>
    </cfRule>
  </conditionalFormatting>
  <conditionalFormatting sqref="N23">
    <cfRule type="cellIs" dxfId="89" priority="19" operator="between">
      <formula>0.000001</formula>
      <formula>25</formula>
    </cfRule>
  </conditionalFormatting>
  <conditionalFormatting sqref="V1 V25:V28 V30:V1048576">
    <cfRule type="cellIs" dxfId="88" priority="21" operator="greaterThan">
      <formula>0.23</formula>
    </cfRule>
  </conditionalFormatting>
  <conditionalFormatting sqref="AM2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{595B29D4-CC8B-4B78-BA25-65EC4F0E875E}</x14:id>
        </ext>
      </extLst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87" priority="15" operator="greaterThan">
      <formula>120</formula>
    </cfRule>
  </conditionalFormatting>
  <conditionalFormatting sqref="Q23">
    <cfRule type="cellIs" dxfId="86" priority="14" operator="greaterThan">
      <formula>120</formula>
    </cfRule>
  </conditionalFormatting>
  <conditionalFormatting sqref="R23">
    <cfRule type="cellIs" dxfId="85" priority="13" operator="greaterThan">
      <formula>120</formula>
    </cfRule>
  </conditionalFormatting>
  <conditionalFormatting sqref="S23">
    <cfRule type="cellIs" dxfId="84" priority="12" operator="greaterThan">
      <formula>120</formula>
    </cfRule>
  </conditionalFormatting>
  <conditionalFormatting sqref="T23">
    <cfRule type="cellIs" dxfId="83" priority="11" operator="greaterThan">
      <formula>120</formula>
    </cfRule>
  </conditionalFormatting>
  <conditionalFormatting sqref="U23">
    <cfRule type="cellIs" dxfId="82" priority="10" operator="greaterThan">
      <formula>120</formula>
    </cfRule>
  </conditionalFormatting>
  <conditionalFormatting sqref="V23">
    <cfRule type="cellIs" dxfId="81" priority="9" operator="greaterThan">
      <formula>120</formula>
    </cfRule>
  </conditionalFormatting>
  <conditionalFormatting sqref="W23">
    <cfRule type="cellIs" dxfId="80" priority="8" operator="greaterThan">
      <formula>120</formula>
    </cfRule>
  </conditionalFormatting>
  <conditionalFormatting sqref="X23">
    <cfRule type="cellIs" dxfId="79" priority="7" operator="greaterThan">
      <formula>120</formula>
    </cfRule>
  </conditionalFormatting>
  <conditionalFormatting sqref="Z23">
    <cfRule type="cellIs" dxfId="78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B29D4-CC8B-4B78-BA25-65EC4F0E8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9" operator="greaterThan">
      <formula>120</formula>
    </cfRule>
  </conditionalFormatting>
  <conditionalFormatting sqref="N23">
    <cfRule type="cellIs" dxfId="63" priority="18" operator="between">
      <formula>0.000001</formula>
      <formula>25</formula>
    </cfRule>
  </conditionalFormatting>
  <conditionalFormatting sqref="V1 V25:V28 V30:V1048576">
    <cfRule type="cellIs" dxfId="6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61" priority="14" operator="greaterThan">
      <formula>120</formula>
    </cfRule>
  </conditionalFormatting>
  <conditionalFormatting sqref="Q23">
    <cfRule type="cellIs" dxfId="60" priority="13" operator="greaterThan">
      <formula>120</formula>
    </cfRule>
  </conditionalFormatting>
  <conditionalFormatting sqref="R23">
    <cfRule type="cellIs" dxfId="59" priority="12" operator="greaterThan">
      <formula>120</formula>
    </cfRule>
  </conditionalFormatting>
  <conditionalFormatting sqref="S23">
    <cfRule type="cellIs" dxfId="58" priority="11" operator="greaterThan">
      <formula>120</formula>
    </cfRule>
  </conditionalFormatting>
  <conditionalFormatting sqref="T23">
    <cfRule type="cellIs" dxfId="57" priority="10" operator="greaterThan">
      <formula>120</formula>
    </cfRule>
  </conditionalFormatting>
  <conditionalFormatting sqref="U23">
    <cfRule type="cellIs" dxfId="56" priority="9" operator="greaterThan">
      <formula>120</formula>
    </cfRule>
  </conditionalFormatting>
  <conditionalFormatting sqref="V23">
    <cfRule type="cellIs" dxfId="55" priority="8" operator="greaterThan">
      <formula>120</formula>
    </cfRule>
  </conditionalFormatting>
  <conditionalFormatting sqref="W23">
    <cfRule type="cellIs" dxfId="54" priority="7" operator="greaterThan">
      <formula>120</formula>
    </cfRule>
  </conditionalFormatting>
  <conditionalFormatting sqref="X23">
    <cfRule type="cellIs" dxfId="53" priority="6" operator="greaterThan">
      <formula>120</formula>
    </cfRule>
  </conditionalFormatting>
  <conditionalFormatting sqref="Z23">
    <cfRule type="cellIs" dxfId="5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17" operator="greaterThan">
      <formula>120</formula>
    </cfRule>
  </conditionalFormatting>
  <conditionalFormatting sqref="N23">
    <cfRule type="cellIs" dxfId="50" priority="16" operator="between">
      <formula>0.000001</formula>
      <formula>25</formula>
    </cfRule>
  </conditionalFormatting>
  <conditionalFormatting sqref="V1 V25:V28 V30:V1048576">
    <cfRule type="cellIs" dxfId="49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48" priority="12" operator="greaterThan">
      <formula>120</formula>
    </cfRule>
  </conditionalFormatting>
  <conditionalFormatting sqref="Q23">
    <cfRule type="cellIs" dxfId="47" priority="11" operator="greaterThan">
      <formula>120</formula>
    </cfRule>
  </conditionalFormatting>
  <conditionalFormatting sqref="R23">
    <cfRule type="cellIs" dxfId="46" priority="10" operator="greaterThan">
      <formula>120</formula>
    </cfRule>
  </conditionalFormatting>
  <conditionalFormatting sqref="S23">
    <cfRule type="cellIs" dxfId="45" priority="9" operator="greaterThan">
      <formula>120</formula>
    </cfRule>
  </conditionalFormatting>
  <conditionalFormatting sqref="T23">
    <cfRule type="cellIs" dxfId="44" priority="8" operator="greaterThan">
      <formula>120</formula>
    </cfRule>
  </conditionalFormatting>
  <conditionalFormatting sqref="U23">
    <cfRule type="cellIs" dxfId="43" priority="7" operator="greaterThan">
      <formula>120</formula>
    </cfRule>
  </conditionalFormatting>
  <conditionalFormatting sqref="V23">
    <cfRule type="cellIs" dxfId="42" priority="6" operator="greaterThan">
      <formula>120</formula>
    </cfRule>
  </conditionalFormatting>
  <conditionalFormatting sqref="W23">
    <cfRule type="cellIs" dxfId="41" priority="5" operator="greaterThan">
      <formula>120</formula>
    </cfRule>
  </conditionalFormatting>
  <conditionalFormatting sqref="X23">
    <cfRule type="cellIs" dxfId="40" priority="4" operator="greaterThan">
      <formula>120</formula>
    </cfRule>
  </conditionalFormatting>
  <conditionalFormatting sqref="Z23">
    <cfRule type="cellIs" dxfId="39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26" operator="greaterThan">
      <formula>120</formula>
    </cfRule>
  </conditionalFormatting>
  <conditionalFormatting sqref="N23">
    <cfRule type="cellIs" dxfId="37" priority="25" operator="between">
      <formula>0.000001</formula>
      <formula>25</formula>
    </cfRule>
  </conditionalFormatting>
  <conditionalFormatting sqref="V1 V25:V28 V30:V1048576">
    <cfRule type="cellIs" dxfId="36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35" priority="21" operator="greaterThan">
      <formula>120</formula>
    </cfRule>
  </conditionalFormatting>
  <conditionalFormatting sqref="Q23">
    <cfRule type="cellIs" dxfId="34" priority="20" operator="greaterThan">
      <formula>120</formula>
    </cfRule>
  </conditionalFormatting>
  <conditionalFormatting sqref="R23">
    <cfRule type="cellIs" dxfId="33" priority="19" operator="greaterThan">
      <formula>120</formula>
    </cfRule>
  </conditionalFormatting>
  <conditionalFormatting sqref="S23">
    <cfRule type="cellIs" dxfId="32" priority="18" operator="greaterThan">
      <formula>120</formula>
    </cfRule>
  </conditionalFormatting>
  <conditionalFormatting sqref="T23">
    <cfRule type="cellIs" dxfId="31" priority="17" operator="greaterThan">
      <formula>120</formula>
    </cfRule>
  </conditionalFormatting>
  <conditionalFormatting sqref="U23">
    <cfRule type="cellIs" dxfId="30" priority="16" operator="greaterThan">
      <formula>120</formula>
    </cfRule>
  </conditionalFormatting>
  <conditionalFormatting sqref="V23">
    <cfRule type="cellIs" dxfId="29" priority="15" operator="greaterThan">
      <formula>120</formula>
    </cfRule>
  </conditionalFormatting>
  <conditionalFormatting sqref="W23">
    <cfRule type="cellIs" dxfId="28" priority="14" operator="greaterThan">
      <formula>120</formula>
    </cfRule>
  </conditionalFormatting>
  <conditionalFormatting sqref="X23">
    <cfRule type="cellIs" dxfId="27" priority="13" operator="greaterThan">
      <formula>120</formula>
    </cfRule>
  </conditionalFormatting>
  <conditionalFormatting sqref="Z23">
    <cfRule type="cellIs" dxfId="26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" priority="19" operator="greaterThan">
      <formula>120</formula>
    </cfRule>
  </conditionalFormatting>
  <conditionalFormatting sqref="N23">
    <cfRule type="cellIs" dxfId="11" priority="18" operator="between">
      <formula>0.000001</formula>
      <formula>25</formula>
    </cfRule>
  </conditionalFormatting>
  <conditionalFormatting sqref="V1 V25:V28 V30:V1048576">
    <cfRule type="cellIs" dxfId="1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dimension ref="A1"/>
  <sheetViews>
    <sheetView workbookViewId="0">
      <selection activeCell="H13" sqref="H13"/>
    </sheetView>
  </sheetViews>
  <sheetFormatPr defaultRowHeight="14.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dimension ref="A1:P1627"/>
  <sheetViews>
    <sheetView workbookViewId="0">
      <selection activeCell="C8" sqref="C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1401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1402</v>
      </c>
      <c r="B3" s="176">
        <v>46055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46054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-11.92</v>
      </c>
    </row>
    <row r="4" spans="1:16" ht="19.5" customHeight="1">
      <c r="A4" s="172" t="s">
        <v>1403</v>
      </c>
      <c r="B4" s="176">
        <v>46055</v>
      </c>
      <c r="C4" s="172" t="s">
        <v>81</v>
      </c>
      <c r="D4" s="172" t="s">
        <v>82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-12</v>
      </c>
    </row>
    <row r="5" spans="1:16" ht="19.5" customHeight="1">
      <c r="A5" s="172" t="s">
        <v>1403</v>
      </c>
      <c r="B5" s="176">
        <v>46055</v>
      </c>
      <c r="C5" s="172" t="s">
        <v>81</v>
      </c>
      <c r="D5" s="172" t="s">
        <v>82</v>
      </c>
      <c r="E5" s="172" t="s">
        <v>59</v>
      </c>
      <c r="F5" s="172" t="s">
        <v>1389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customHeight="1">
      <c r="A6" s="172" t="s">
        <v>1403</v>
      </c>
      <c r="B6" s="176">
        <v>46055</v>
      </c>
      <c r="C6" s="172" t="s">
        <v>81</v>
      </c>
      <c r="D6" s="172" t="s">
        <v>82</v>
      </c>
      <c r="E6" s="172" t="s">
        <v>58</v>
      </c>
      <c r="F6" s="172" t="s">
        <v>1302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-15.65</v>
      </c>
    </row>
    <row r="7" spans="1:16" ht="19.5" customHeight="1">
      <c r="A7" s="172" t="s">
        <v>1404</v>
      </c>
      <c r="B7" s="176">
        <v>46055</v>
      </c>
      <c r="C7" s="172" t="s">
        <v>81</v>
      </c>
      <c r="D7" s="172" t="s">
        <v>82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-11.56</v>
      </c>
    </row>
    <row r="8" spans="1:16" ht="19.5" customHeight="1">
      <c r="A8" s="172" t="s">
        <v>1404</v>
      </c>
      <c r="B8" s="176">
        <v>46055</v>
      </c>
      <c r="C8" s="172" t="s">
        <v>81</v>
      </c>
      <c r="D8" s="172" t="s">
        <v>82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46055</v>
      </c>
      <c r="K8" s="172" t="s">
        <v>85</v>
      </c>
      <c r="L8" s="172" t="s">
        <v>85</v>
      </c>
      <c r="M8" s="179">
        <v>0</v>
      </c>
      <c r="N8" s="177"/>
      <c r="O8" s="177"/>
      <c r="P8" s="180">
        <v>-12.91</v>
      </c>
    </row>
    <row r="9" spans="1:16" ht="19.5" customHeight="1">
      <c r="A9" s="172" t="s">
        <v>1405</v>
      </c>
      <c r="B9" s="176">
        <v>46055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>
        <v>44</v>
      </c>
      <c r="P9" s="180">
        <v>-46.77</v>
      </c>
    </row>
    <row r="10" spans="1:16" ht="19.5" customHeight="1">
      <c r="A10" s="172" t="s">
        <v>1405</v>
      </c>
      <c r="B10" s="176">
        <v>46055</v>
      </c>
      <c r="C10" s="172" t="s">
        <v>92</v>
      </c>
      <c r="D10" s="172" t="s">
        <v>96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customHeight="1">
      <c r="A11" s="172" t="s">
        <v>1405</v>
      </c>
      <c r="B11" s="176">
        <v>46055</v>
      </c>
      <c r="C11" s="172" t="s">
        <v>92</v>
      </c>
      <c r="D11" s="172" t="s">
        <v>97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46048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customHeight="1">
      <c r="A12" s="172" t="s">
        <v>1406</v>
      </c>
      <c r="B12" s="176">
        <v>46055</v>
      </c>
      <c r="C12" s="172" t="s">
        <v>81</v>
      </c>
      <c r="D12" s="172" t="s">
        <v>82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46055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-5.65</v>
      </c>
    </row>
    <row r="13" spans="1:16" ht="19.5" customHeight="1">
      <c r="A13" s="172" t="s">
        <v>1407</v>
      </c>
      <c r="B13" s="176">
        <v>46055</v>
      </c>
      <c r="C13" s="172" t="s">
        <v>92</v>
      </c>
      <c r="D13" s="172" t="s">
        <v>24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>
        <v>40</v>
      </c>
      <c r="P13" s="180">
        <v>-46.77</v>
      </c>
    </row>
    <row r="14" spans="1:16" ht="19.5" customHeight="1">
      <c r="A14" s="172" t="s">
        <v>1407</v>
      </c>
      <c r="B14" s="176">
        <v>46055</v>
      </c>
      <c r="C14" s="172" t="s">
        <v>81</v>
      </c>
      <c r="D14" s="172" t="s">
        <v>95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-25</v>
      </c>
    </row>
    <row r="15" spans="1:16" ht="19.5" customHeight="1">
      <c r="A15" s="172" t="s">
        <v>1407</v>
      </c>
      <c r="B15" s="176">
        <v>46055</v>
      </c>
      <c r="C15" s="172" t="s">
        <v>92</v>
      </c>
      <c r="D15" s="172" t="s">
        <v>96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1407</v>
      </c>
      <c r="B16" s="176">
        <v>46055</v>
      </c>
      <c r="C16" s="172" t="s">
        <v>92</v>
      </c>
      <c r="D16" s="172" t="s">
        <v>97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-46.77</v>
      </c>
    </row>
    <row r="17" spans="1:16" ht="19.5" customHeight="1">
      <c r="A17" s="172" t="s">
        <v>1407</v>
      </c>
      <c r="B17" s="176">
        <v>46055</v>
      </c>
      <c r="C17" s="172" t="s">
        <v>81</v>
      </c>
      <c r="D17" s="172" t="s">
        <v>98</v>
      </c>
      <c r="E17" s="172" t="s">
        <v>41</v>
      </c>
      <c r="F17" s="172" t="s">
        <v>83</v>
      </c>
      <c r="G17" s="172" t="s">
        <v>84</v>
      </c>
      <c r="H17" s="177">
        <v>1</v>
      </c>
      <c r="I17" s="178">
        <v>0</v>
      </c>
      <c r="J17" s="176">
        <v>46045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1408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</v>
      </c>
    </row>
    <row r="19" spans="1:16" ht="19.5" customHeight="1">
      <c r="A19" s="172" t="s">
        <v>1409</v>
      </c>
      <c r="B19" s="176">
        <v>46055</v>
      </c>
      <c r="C19" s="172" t="s">
        <v>81</v>
      </c>
      <c r="D19" s="172" t="s">
        <v>82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-11.92</v>
      </c>
    </row>
    <row r="20" spans="1:16" ht="19.5" customHeight="1">
      <c r="A20" s="172" t="s">
        <v>1410</v>
      </c>
      <c r="B20" s="176">
        <v>46055</v>
      </c>
      <c r="C20" s="172" t="s">
        <v>81</v>
      </c>
      <c r="D20" s="172" t="s">
        <v>82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46055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-11.76</v>
      </c>
    </row>
    <row r="21" spans="1:16" ht="19.5" customHeight="1">
      <c r="A21" s="172" t="s">
        <v>1411</v>
      </c>
      <c r="B21" s="176">
        <v>46055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0.43</v>
      </c>
      <c r="N21" s="177"/>
      <c r="O21" s="177">
        <v>41</v>
      </c>
      <c r="P21" s="180">
        <v>-135.16</v>
      </c>
    </row>
    <row r="22" spans="1:16" ht="19.5" customHeight="1">
      <c r="A22" s="172" t="s">
        <v>1411</v>
      </c>
      <c r="B22" s="176">
        <v>46055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712.38</v>
      </c>
    </row>
    <row r="23" spans="1:16" ht="19.5" customHeight="1">
      <c r="A23" s="172" t="s">
        <v>1411</v>
      </c>
      <c r="B23" s="176">
        <v>46055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7.12</v>
      </c>
    </row>
    <row r="24" spans="1:16" ht="19.5" customHeight="1">
      <c r="A24" s="172" t="s">
        <v>1411</v>
      </c>
      <c r="B24" s="176">
        <v>46055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1092.5</v>
      </c>
    </row>
    <row r="25" spans="1:16" ht="19.5" customHeight="1">
      <c r="A25" s="172" t="s">
        <v>1411</v>
      </c>
      <c r="B25" s="176">
        <v>46055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-779.16</v>
      </c>
    </row>
    <row r="26" spans="1:16" ht="19.5" customHeight="1">
      <c r="A26" s="172" t="s">
        <v>1411</v>
      </c>
      <c r="B26" s="176">
        <v>46055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46047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-14.22</v>
      </c>
    </row>
    <row r="27" spans="1:16" ht="19.5" customHeight="1">
      <c r="A27" s="172" t="s">
        <v>1409</v>
      </c>
      <c r="B27" s="176">
        <v>46055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11.92</v>
      </c>
    </row>
    <row r="28" spans="1:16" ht="19.5" customHeight="1">
      <c r="A28" s="172" t="s">
        <v>85</v>
      </c>
      <c r="B28" s="176">
        <v>46055</v>
      </c>
      <c r="C28" s="172" t="s">
        <v>109</v>
      </c>
      <c r="D28" s="172" t="s">
        <v>110</v>
      </c>
      <c r="E28" s="172" t="s">
        <v>85</v>
      </c>
      <c r="F28" s="172" t="s">
        <v>85</v>
      </c>
      <c r="G28" s="172" t="s">
        <v>1412</v>
      </c>
      <c r="H28" s="177">
        <v>0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-150</v>
      </c>
    </row>
    <row r="29" spans="1:16" ht="19.5" customHeight="1">
      <c r="A29" s="172" t="s">
        <v>1413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-12.21</v>
      </c>
    </row>
    <row r="30" spans="1:16" ht="19.5" customHeight="1">
      <c r="A30" s="172" t="s">
        <v>1414</v>
      </c>
      <c r="B30" s="176">
        <v>46055</v>
      </c>
      <c r="C30" s="172" t="s">
        <v>81</v>
      </c>
      <c r="D30" s="172" t="s">
        <v>82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-11.99</v>
      </c>
    </row>
    <row r="31" spans="1:16" ht="19.5" customHeight="1">
      <c r="A31" s="172" t="s">
        <v>1415</v>
      </c>
      <c r="B31" s="176">
        <v>46055</v>
      </c>
      <c r="C31" s="172" t="s">
        <v>81</v>
      </c>
      <c r="D31" s="172" t="s">
        <v>82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46055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-4.2</v>
      </c>
    </row>
    <row r="32" spans="1:16" ht="19.5" customHeight="1">
      <c r="A32" s="172" t="s">
        <v>1416</v>
      </c>
      <c r="B32" s="176">
        <v>46055</v>
      </c>
      <c r="C32" s="172" t="s">
        <v>92</v>
      </c>
      <c r="D32" s="172" t="s">
        <v>24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0.43</v>
      </c>
      <c r="N32" s="177"/>
      <c r="O32" s="177">
        <v>44</v>
      </c>
      <c r="P32" s="180">
        <v>-131.37</v>
      </c>
    </row>
    <row r="33" spans="1:16" ht="19.5" customHeight="1">
      <c r="A33" s="172" t="s">
        <v>1416</v>
      </c>
      <c r="B33" s="176">
        <v>46055</v>
      </c>
      <c r="C33" s="172" t="s">
        <v>100</v>
      </c>
      <c r="D33" s="172" t="s">
        <v>101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609.52</v>
      </c>
    </row>
    <row r="34" spans="1:16" ht="19.5" customHeight="1">
      <c r="A34" s="172" t="s">
        <v>1416</v>
      </c>
      <c r="B34" s="176">
        <v>46055</v>
      </c>
      <c r="C34" s="172" t="s">
        <v>100</v>
      </c>
      <c r="D34" s="172" t="s">
        <v>102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6.1</v>
      </c>
    </row>
    <row r="35" spans="1:16" ht="19.5" customHeight="1">
      <c r="A35" s="172" t="s">
        <v>1416</v>
      </c>
      <c r="B35" s="176">
        <v>46055</v>
      </c>
      <c r="C35" s="172" t="s">
        <v>100</v>
      </c>
      <c r="D35" s="172" t="s">
        <v>103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1134.3800000000001</v>
      </c>
    </row>
    <row r="36" spans="1:16" ht="19.5" customHeight="1">
      <c r="A36" s="172" t="s">
        <v>1416</v>
      </c>
      <c r="B36" s="176">
        <v>46055</v>
      </c>
      <c r="C36" s="172" t="s">
        <v>104</v>
      </c>
      <c r="D36" s="172" t="s">
        <v>105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-752.5</v>
      </c>
    </row>
    <row r="37" spans="1:16" ht="19.5" customHeight="1">
      <c r="A37" s="172" t="s">
        <v>1416</v>
      </c>
      <c r="B37" s="176">
        <v>46055</v>
      </c>
      <c r="C37" s="172" t="s">
        <v>81</v>
      </c>
      <c r="D37" s="172" t="s">
        <v>95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1750</v>
      </c>
      <c r="J37" s="176">
        <v>46053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-10.59</v>
      </c>
    </row>
    <row r="38" spans="1:16" ht="19.5" customHeight="1">
      <c r="A38" s="172" t="s">
        <v>1417</v>
      </c>
      <c r="B38" s="176">
        <v>46055</v>
      </c>
      <c r="C38" s="172" t="s">
        <v>92</v>
      </c>
      <c r="D38" s="172" t="s">
        <v>24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0.43</v>
      </c>
      <c r="N38" s="177"/>
      <c r="O38" s="177">
        <v>44</v>
      </c>
      <c r="P38" s="180">
        <v>-149.51</v>
      </c>
    </row>
    <row r="39" spans="1:16" ht="19.5" customHeight="1">
      <c r="A39" s="172" t="s">
        <v>1417</v>
      </c>
      <c r="B39" s="176">
        <v>46055</v>
      </c>
      <c r="C39" s="172" t="s">
        <v>100</v>
      </c>
      <c r="D39" s="172" t="s">
        <v>101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643.80999999999995</v>
      </c>
    </row>
    <row r="40" spans="1:16" ht="19.5" customHeight="1">
      <c r="A40" s="172" t="s">
        <v>1417</v>
      </c>
      <c r="B40" s="176">
        <v>46055</v>
      </c>
      <c r="C40" s="172" t="s">
        <v>100</v>
      </c>
      <c r="D40" s="172" t="s">
        <v>102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6.44</v>
      </c>
    </row>
    <row r="41" spans="1:16" ht="19.5" customHeight="1">
      <c r="A41" s="172" t="s">
        <v>1417</v>
      </c>
      <c r="B41" s="176">
        <v>46055</v>
      </c>
      <c r="C41" s="172" t="s">
        <v>100</v>
      </c>
      <c r="D41" s="172" t="s">
        <v>103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1149.75</v>
      </c>
    </row>
    <row r="42" spans="1:16" ht="19.5" customHeight="1">
      <c r="A42" s="172" t="s">
        <v>1417</v>
      </c>
      <c r="B42" s="176">
        <v>46055</v>
      </c>
      <c r="C42" s="172" t="s">
        <v>104</v>
      </c>
      <c r="D42" s="172" t="s">
        <v>105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-774</v>
      </c>
    </row>
    <row r="43" spans="1:16" ht="19.5" customHeight="1">
      <c r="A43" s="172" t="s">
        <v>1417</v>
      </c>
      <c r="B43" s="176">
        <v>46055</v>
      </c>
      <c r="C43" s="172" t="s">
        <v>81</v>
      </c>
      <c r="D43" s="172" t="s">
        <v>95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1800</v>
      </c>
      <c r="J43" s="176">
        <v>46050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-16.52</v>
      </c>
    </row>
    <row r="44" spans="1:16" ht="19.5" customHeight="1">
      <c r="A44" s="172" t="s">
        <v>1417</v>
      </c>
      <c r="B44" s="176">
        <v>46055</v>
      </c>
      <c r="C44" s="172" t="s">
        <v>81</v>
      </c>
      <c r="D44" s="172" t="s">
        <v>82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0</v>
      </c>
      <c r="J44" s="176">
        <v>46050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-12.23</v>
      </c>
    </row>
    <row r="45" spans="1:16" ht="19.5" customHeight="1">
      <c r="A45" s="172" t="s">
        <v>1418</v>
      </c>
      <c r="B45" s="176">
        <v>46055</v>
      </c>
      <c r="C45" s="172" t="s">
        <v>81</v>
      </c>
      <c r="D45" s="172" t="s">
        <v>82</v>
      </c>
      <c r="E45" s="172" t="s">
        <v>55</v>
      </c>
      <c r="F45" s="172" t="s">
        <v>1274</v>
      </c>
      <c r="G45" s="172" t="s">
        <v>84</v>
      </c>
      <c r="H45" s="177">
        <v>1</v>
      </c>
      <c r="I45" s="178">
        <v>0</v>
      </c>
      <c r="J45" s="176">
        <v>46055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-14.82</v>
      </c>
    </row>
    <row r="46" spans="1:16" ht="19.5" customHeight="1">
      <c r="A46" s="172" t="s">
        <v>1419</v>
      </c>
      <c r="B46" s="176">
        <v>46055</v>
      </c>
      <c r="C46" s="172" t="s">
        <v>92</v>
      </c>
      <c r="D46" s="172" t="s">
        <v>24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>
        <v>44</v>
      </c>
      <c r="P46" s="180">
        <v>-46.77</v>
      </c>
    </row>
    <row r="47" spans="1:16" ht="19.5" customHeight="1">
      <c r="A47" s="172" t="s">
        <v>1419</v>
      </c>
      <c r="B47" s="176">
        <v>46055</v>
      </c>
      <c r="C47" s="172" t="s">
        <v>81</v>
      </c>
      <c r="D47" s="172" t="s">
        <v>95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0</v>
      </c>
      <c r="J47" s="176">
        <v>46048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-9.49</v>
      </c>
    </row>
    <row r="48" spans="1:16" ht="19.5" customHeight="1">
      <c r="A48" s="172" t="s">
        <v>1289</v>
      </c>
      <c r="B48" s="176">
        <v>46055</v>
      </c>
      <c r="C48" s="172" t="s">
        <v>92</v>
      </c>
      <c r="D48" s="172" t="s">
        <v>272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customHeight="1">
      <c r="A49" s="172" t="s">
        <v>1289</v>
      </c>
      <c r="B49" s="176">
        <v>46055</v>
      </c>
      <c r="C49" s="172" t="s">
        <v>92</v>
      </c>
      <c r="D49" s="172" t="s">
        <v>97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customHeight="1">
      <c r="A50" s="172" t="s">
        <v>1289</v>
      </c>
      <c r="B50" s="176">
        <v>46055</v>
      </c>
      <c r="C50" s="172" t="s">
        <v>81</v>
      </c>
      <c r="D50" s="172" t="s">
        <v>98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0</v>
      </c>
      <c r="J50" s="176">
        <v>46051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customHeight="1">
      <c r="A51" s="172" t="s">
        <v>1419</v>
      </c>
      <c r="B51" s="176">
        <v>46055</v>
      </c>
      <c r="C51" s="172" t="s">
        <v>92</v>
      </c>
      <c r="D51" s="172" t="s">
        <v>96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customHeight="1">
      <c r="A52" s="172" t="s">
        <v>1419</v>
      </c>
      <c r="B52" s="176">
        <v>46055</v>
      </c>
      <c r="C52" s="172" t="s">
        <v>92</v>
      </c>
      <c r="D52" s="172" t="s">
        <v>97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-46.77</v>
      </c>
    </row>
    <row r="53" spans="1:16" ht="19.5" customHeight="1">
      <c r="A53" s="172" t="s">
        <v>1419</v>
      </c>
      <c r="B53" s="176">
        <v>46055</v>
      </c>
      <c r="C53" s="172" t="s">
        <v>81</v>
      </c>
      <c r="D53" s="172" t="s">
        <v>98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customHeight="1">
      <c r="A54" s="172" t="s">
        <v>1420</v>
      </c>
      <c r="B54" s="176">
        <v>46055</v>
      </c>
      <c r="C54" s="172" t="s">
        <v>92</v>
      </c>
      <c r="D54" s="172" t="s">
        <v>24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>
        <v>44</v>
      </c>
      <c r="P54" s="180">
        <v>-46.77</v>
      </c>
    </row>
    <row r="55" spans="1:16" ht="19.5" customHeight="1">
      <c r="A55" s="172" t="s">
        <v>1420</v>
      </c>
      <c r="B55" s="176">
        <v>46055</v>
      </c>
      <c r="C55" s="172" t="s">
        <v>81</v>
      </c>
      <c r="D55" s="172" t="s">
        <v>95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-9.49</v>
      </c>
    </row>
    <row r="56" spans="1:16" ht="19.5" customHeight="1">
      <c r="A56" s="172" t="s">
        <v>1420</v>
      </c>
      <c r="B56" s="176">
        <v>46055</v>
      </c>
      <c r="C56" s="172" t="s">
        <v>92</v>
      </c>
      <c r="D56" s="172" t="s">
        <v>96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customHeight="1">
      <c r="A57" s="172" t="s">
        <v>1420</v>
      </c>
      <c r="B57" s="176">
        <v>46055</v>
      </c>
      <c r="C57" s="172" t="s">
        <v>92</v>
      </c>
      <c r="D57" s="172" t="s">
        <v>97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-46.77</v>
      </c>
    </row>
    <row r="58" spans="1:16" ht="19.5" customHeight="1">
      <c r="A58" s="172" t="s">
        <v>1420</v>
      </c>
      <c r="B58" s="176">
        <v>46055</v>
      </c>
      <c r="C58" s="172" t="s">
        <v>81</v>
      </c>
      <c r="D58" s="172" t="s">
        <v>98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46048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customHeight="1">
      <c r="A59" s="172" t="s">
        <v>1421</v>
      </c>
      <c r="B59" s="176">
        <v>46055</v>
      </c>
      <c r="C59" s="172" t="s">
        <v>81</v>
      </c>
      <c r="D59" s="172" t="s">
        <v>82</v>
      </c>
      <c r="E59" s="172" t="s">
        <v>40</v>
      </c>
      <c r="F59" s="172" t="s">
        <v>197</v>
      </c>
      <c r="G59" s="172" t="s">
        <v>84</v>
      </c>
      <c r="H59" s="177">
        <v>1</v>
      </c>
      <c r="I59" s="178">
        <v>0</v>
      </c>
      <c r="J59" s="176">
        <v>46055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-17.97</v>
      </c>
    </row>
    <row r="60" spans="1:16" ht="19.5" customHeight="1">
      <c r="A60" s="172" t="s">
        <v>1422</v>
      </c>
      <c r="B60" s="176">
        <v>46055</v>
      </c>
      <c r="C60" s="172" t="s">
        <v>92</v>
      </c>
      <c r="D60" s="172" t="s">
        <v>24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0.43</v>
      </c>
      <c r="N60" s="177"/>
      <c r="O60" s="177">
        <v>44</v>
      </c>
      <c r="P60" s="180">
        <v>-148.36000000000001</v>
      </c>
    </row>
    <row r="61" spans="1:16" ht="19.5" customHeight="1">
      <c r="A61" s="172" t="s">
        <v>1422</v>
      </c>
      <c r="B61" s="176">
        <v>46055</v>
      </c>
      <c r="C61" s="172" t="s">
        <v>100</v>
      </c>
      <c r="D61" s="172" t="s">
        <v>101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661.9</v>
      </c>
    </row>
    <row r="62" spans="1:16" ht="19.5" customHeight="1">
      <c r="A62" s="172" t="s">
        <v>1422</v>
      </c>
      <c r="B62" s="176">
        <v>46055</v>
      </c>
      <c r="C62" s="172" t="s">
        <v>100</v>
      </c>
      <c r="D62" s="172" t="s">
        <v>102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6.62</v>
      </c>
    </row>
    <row r="63" spans="1:16" ht="19.5" customHeight="1">
      <c r="A63" s="172" t="s">
        <v>1422</v>
      </c>
      <c r="B63" s="176">
        <v>46055</v>
      </c>
      <c r="C63" s="172" t="s">
        <v>100</v>
      </c>
      <c r="D63" s="172" t="s">
        <v>103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1143.48</v>
      </c>
    </row>
    <row r="64" spans="1:16" ht="19.5" customHeight="1">
      <c r="A64" s="172" t="s">
        <v>1422</v>
      </c>
      <c r="B64" s="176">
        <v>46055</v>
      </c>
      <c r="C64" s="172" t="s">
        <v>104</v>
      </c>
      <c r="D64" s="172" t="s">
        <v>105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-779.16</v>
      </c>
    </row>
    <row r="65" spans="1:16" ht="19.5" customHeight="1">
      <c r="A65" s="172" t="s">
        <v>1422</v>
      </c>
      <c r="B65" s="176">
        <v>46055</v>
      </c>
      <c r="C65" s="172" t="s">
        <v>81</v>
      </c>
      <c r="D65" s="172" t="s">
        <v>95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46052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-12.45</v>
      </c>
    </row>
    <row r="66" spans="1:16" ht="19.5" customHeight="1">
      <c r="A66" s="172" t="s">
        <v>1423</v>
      </c>
      <c r="B66" s="176">
        <v>46055</v>
      </c>
      <c r="C66" s="172" t="s">
        <v>81</v>
      </c>
      <c r="D66" s="172" t="s">
        <v>82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0</v>
      </c>
      <c r="J66" s="176">
        <v>46055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-6.22</v>
      </c>
    </row>
    <row r="67" spans="1:16" ht="19.5" customHeight="1">
      <c r="A67" s="172" t="s">
        <v>1424</v>
      </c>
      <c r="B67" s="176">
        <v>46055</v>
      </c>
      <c r="C67" s="172" t="s">
        <v>92</v>
      </c>
      <c r="D67" s="172" t="s">
        <v>24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>
        <v>44</v>
      </c>
      <c r="P67" s="180">
        <v>-46.77</v>
      </c>
    </row>
    <row r="68" spans="1:16" ht="19.5" customHeight="1">
      <c r="A68" s="172" t="s">
        <v>1424</v>
      </c>
      <c r="B68" s="176">
        <v>46055</v>
      </c>
      <c r="C68" s="172" t="s">
        <v>81</v>
      </c>
      <c r="D68" s="172" t="s">
        <v>95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-12.23</v>
      </c>
    </row>
    <row r="69" spans="1:16" ht="19.5" customHeight="1">
      <c r="A69" s="172" t="s">
        <v>1424</v>
      </c>
      <c r="B69" s="176">
        <v>46055</v>
      </c>
      <c r="C69" s="172" t="s">
        <v>92</v>
      </c>
      <c r="D69" s="172" t="s">
        <v>96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customHeight="1">
      <c r="A70" s="172" t="s">
        <v>1424</v>
      </c>
      <c r="B70" s="176">
        <v>46055</v>
      </c>
      <c r="C70" s="172" t="s">
        <v>92</v>
      </c>
      <c r="D70" s="172" t="s">
        <v>97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-46.77</v>
      </c>
    </row>
    <row r="71" spans="1:16" ht="19.5" customHeight="1">
      <c r="A71" s="172" t="s">
        <v>1424</v>
      </c>
      <c r="B71" s="176">
        <v>46055</v>
      </c>
      <c r="C71" s="172" t="s">
        <v>81</v>
      </c>
      <c r="D71" s="172" t="s">
        <v>98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</v>
      </c>
    </row>
    <row r="72" spans="1:16" ht="19.5" customHeight="1">
      <c r="A72" s="172" t="s">
        <v>1425</v>
      </c>
      <c r="B72" s="176">
        <v>46055</v>
      </c>
      <c r="C72" s="172" t="s">
        <v>92</v>
      </c>
      <c r="D72" s="172" t="s">
        <v>24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0.43</v>
      </c>
      <c r="N72" s="177"/>
      <c r="O72" s="177">
        <v>44</v>
      </c>
      <c r="P72" s="180">
        <v>-149.88999999999999</v>
      </c>
    </row>
    <row r="73" spans="1:16" ht="19.5" customHeight="1">
      <c r="A73" s="172" t="s">
        <v>1425</v>
      </c>
      <c r="B73" s="176">
        <v>46055</v>
      </c>
      <c r="C73" s="172" t="s">
        <v>100</v>
      </c>
      <c r="D73" s="172" t="s">
        <v>101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631.42999999999995</v>
      </c>
    </row>
    <row r="74" spans="1:16" ht="19.5" customHeight="1">
      <c r="A74" s="172" t="s">
        <v>1425</v>
      </c>
      <c r="B74" s="176">
        <v>46055</v>
      </c>
      <c r="C74" s="172" t="s">
        <v>100</v>
      </c>
      <c r="D74" s="172" t="s">
        <v>102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6.31</v>
      </c>
    </row>
    <row r="75" spans="1:16" ht="19.5" customHeight="1">
      <c r="A75" s="172" t="s">
        <v>1425</v>
      </c>
      <c r="B75" s="176">
        <v>46055</v>
      </c>
      <c r="C75" s="172" t="s">
        <v>100</v>
      </c>
      <c r="D75" s="172" t="s">
        <v>103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1174.26</v>
      </c>
    </row>
    <row r="76" spans="1:16" ht="19.5" customHeight="1">
      <c r="A76" s="172" t="s">
        <v>1425</v>
      </c>
      <c r="B76" s="176">
        <v>46055</v>
      </c>
      <c r="C76" s="172" t="s">
        <v>104</v>
      </c>
      <c r="D76" s="172" t="s">
        <v>105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-779.16</v>
      </c>
    </row>
    <row r="77" spans="1:16" ht="19.5" customHeight="1">
      <c r="A77" s="172" t="s">
        <v>1425</v>
      </c>
      <c r="B77" s="176">
        <v>46055</v>
      </c>
      <c r="C77" s="172" t="s">
        <v>81</v>
      </c>
      <c r="D77" s="172" t="s">
        <v>95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-10.51</v>
      </c>
    </row>
    <row r="78" spans="1:16" ht="19.5" customHeight="1">
      <c r="A78" s="172" t="s">
        <v>1426</v>
      </c>
      <c r="B78" s="176">
        <v>46055</v>
      </c>
      <c r="C78" s="172" t="s">
        <v>92</v>
      </c>
      <c r="D78" s="172" t="s">
        <v>24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0.43</v>
      </c>
      <c r="N78" s="177"/>
      <c r="O78" s="177">
        <v>41</v>
      </c>
      <c r="P78" s="180">
        <v>-134.84</v>
      </c>
    </row>
    <row r="79" spans="1:16" ht="19.5" customHeight="1">
      <c r="A79" s="172" t="s">
        <v>1426</v>
      </c>
      <c r="B79" s="176">
        <v>46055</v>
      </c>
      <c r="C79" s="172" t="s">
        <v>100</v>
      </c>
      <c r="D79" s="172" t="s">
        <v>101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640</v>
      </c>
    </row>
    <row r="80" spans="1:16" ht="19.5" customHeight="1">
      <c r="A80" s="172" t="s">
        <v>1426</v>
      </c>
      <c r="B80" s="176">
        <v>46055</v>
      </c>
      <c r="C80" s="172" t="s">
        <v>100</v>
      </c>
      <c r="D80" s="172" t="s">
        <v>102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6.4</v>
      </c>
    </row>
    <row r="81" spans="1:16" ht="19.5" customHeight="1">
      <c r="A81" s="172" t="s">
        <v>1426</v>
      </c>
      <c r="B81" s="176">
        <v>46055</v>
      </c>
      <c r="C81" s="172" t="s">
        <v>100</v>
      </c>
      <c r="D81" s="172" t="s">
        <v>103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1153.5999999999999</v>
      </c>
    </row>
    <row r="82" spans="1:16" ht="19.5" customHeight="1">
      <c r="A82" s="172" t="s">
        <v>1426</v>
      </c>
      <c r="B82" s="176">
        <v>46055</v>
      </c>
      <c r="C82" s="172" t="s">
        <v>104</v>
      </c>
      <c r="D82" s="172" t="s">
        <v>105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-774</v>
      </c>
    </row>
    <row r="83" spans="1:16" ht="19.5" customHeight="1">
      <c r="A83" s="172" t="s">
        <v>1426</v>
      </c>
      <c r="B83" s="176">
        <v>46055</v>
      </c>
      <c r="C83" s="172" t="s">
        <v>81</v>
      </c>
      <c r="D83" s="172" t="s">
        <v>95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46047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-0.64</v>
      </c>
    </row>
    <row r="84" spans="1:16" ht="19.5" customHeight="1">
      <c r="A84" s="172" t="s">
        <v>1427</v>
      </c>
      <c r="B84" s="176">
        <v>46055</v>
      </c>
      <c r="C84" s="172" t="s">
        <v>92</v>
      </c>
      <c r="D84" s="172" t="s">
        <v>24</v>
      </c>
      <c r="E84" s="172" t="s">
        <v>56</v>
      </c>
      <c r="F84" s="172" t="s">
        <v>1215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>
        <v>44</v>
      </c>
      <c r="P84" s="180">
        <v>-155.81</v>
      </c>
    </row>
    <row r="85" spans="1:16" ht="19.5" customHeight="1">
      <c r="A85" s="172" t="s">
        <v>1427</v>
      </c>
      <c r="B85" s="176">
        <v>46055</v>
      </c>
      <c r="C85" s="172" t="s">
        <v>100</v>
      </c>
      <c r="D85" s="172" t="s">
        <v>101</v>
      </c>
      <c r="E85" s="172" t="s">
        <v>56</v>
      </c>
      <c r="F85" s="172" t="s">
        <v>1215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749.52</v>
      </c>
    </row>
    <row r="86" spans="1:16" ht="19.5" customHeight="1">
      <c r="A86" s="172" t="s">
        <v>1427</v>
      </c>
      <c r="B86" s="176">
        <v>46055</v>
      </c>
      <c r="C86" s="172" t="s">
        <v>100</v>
      </c>
      <c r="D86" s="172" t="s">
        <v>102</v>
      </c>
      <c r="E86" s="172" t="s">
        <v>56</v>
      </c>
      <c r="F86" s="172" t="s">
        <v>1215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7.5</v>
      </c>
    </row>
    <row r="87" spans="1:16" ht="19.5" customHeight="1">
      <c r="A87" s="172" t="s">
        <v>1427</v>
      </c>
      <c r="B87" s="176">
        <v>46055</v>
      </c>
      <c r="C87" s="172" t="s">
        <v>100</v>
      </c>
      <c r="D87" s="172" t="s">
        <v>103</v>
      </c>
      <c r="E87" s="172" t="s">
        <v>56</v>
      </c>
      <c r="F87" s="172" t="s">
        <v>1215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1242.98</v>
      </c>
    </row>
    <row r="88" spans="1:16" ht="19.5" customHeight="1">
      <c r="A88" s="172" t="s">
        <v>1427</v>
      </c>
      <c r="B88" s="176">
        <v>46055</v>
      </c>
      <c r="C88" s="172" t="s">
        <v>104</v>
      </c>
      <c r="D88" s="172" t="s">
        <v>105</v>
      </c>
      <c r="E88" s="172" t="s">
        <v>56</v>
      </c>
      <c r="F88" s="172" t="s">
        <v>1215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-860</v>
      </c>
    </row>
    <row r="89" spans="1:16" ht="19.5" customHeight="1">
      <c r="A89" s="172" t="s">
        <v>1427</v>
      </c>
      <c r="B89" s="176">
        <v>46055</v>
      </c>
      <c r="C89" s="172" t="s">
        <v>81</v>
      </c>
      <c r="D89" s="172" t="s">
        <v>95</v>
      </c>
      <c r="E89" s="172" t="s">
        <v>56</v>
      </c>
      <c r="F89" s="172" t="s">
        <v>1215</v>
      </c>
      <c r="G89" s="172" t="s">
        <v>84</v>
      </c>
      <c r="H89" s="177">
        <v>1</v>
      </c>
      <c r="I89" s="178">
        <v>2000</v>
      </c>
      <c r="J89" s="176">
        <v>46053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-11.23</v>
      </c>
    </row>
    <row r="90" spans="1:16" ht="19.5" customHeight="1">
      <c r="A90" s="172" t="s">
        <v>1428</v>
      </c>
      <c r="B90" s="176">
        <v>46055</v>
      </c>
      <c r="C90" s="172" t="s">
        <v>92</v>
      </c>
      <c r="D90" s="172" t="s">
        <v>24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0.43</v>
      </c>
      <c r="N90" s="177"/>
      <c r="O90" s="177">
        <v>44</v>
      </c>
      <c r="P90" s="180">
        <v>-147.97999999999999</v>
      </c>
    </row>
    <row r="91" spans="1:16" ht="19.5" customHeight="1">
      <c r="A91" s="172" t="s">
        <v>1428</v>
      </c>
      <c r="B91" s="176">
        <v>46055</v>
      </c>
      <c r="C91" s="172" t="s">
        <v>100</v>
      </c>
      <c r="D91" s="172" t="s">
        <v>101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627.62</v>
      </c>
    </row>
    <row r="92" spans="1:16" ht="19.5" customHeight="1">
      <c r="A92" s="172" t="s">
        <v>1428</v>
      </c>
      <c r="B92" s="176">
        <v>46055</v>
      </c>
      <c r="C92" s="172" t="s">
        <v>100</v>
      </c>
      <c r="D92" s="172" t="s">
        <v>102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6.28</v>
      </c>
    </row>
    <row r="93" spans="1:16" ht="19.5" customHeight="1">
      <c r="A93" s="172" t="s">
        <v>1428</v>
      </c>
      <c r="B93" s="176">
        <v>46055</v>
      </c>
      <c r="C93" s="172" t="s">
        <v>100</v>
      </c>
      <c r="D93" s="172" t="s">
        <v>103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1166.0999999999999</v>
      </c>
    </row>
    <row r="94" spans="1:16" ht="19.5" customHeight="1">
      <c r="A94" s="172" t="s">
        <v>1428</v>
      </c>
      <c r="B94" s="176">
        <v>46055</v>
      </c>
      <c r="C94" s="172" t="s">
        <v>104</v>
      </c>
      <c r="D94" s="172" t="s">
        <v>105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1800</v>
      </c>
      <c r="J94" s="176">
        <v>46051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-774</v>
      </c>
    </row>
    <row r="95" spans="1:16" ht="19.5" customHeight="1">
      <c r="A95" s="172" t="s">
        <v>1429</v>
      </c>
      <c r="B95" s="176">
        <v>46055</v>
      </c>
      <c r="C95" s="172" t="s">
        <v>92</v>
      </c>
      <c r="D95" s="172" t="s">
        <v>24</v>
      </c>
      <c r="E95" s="172" t="s">
        <v>60</v>
      </c>
      <c r="F95" s="172" t="s">
        <v>1430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0.43</v>
      </c>
      <c r="N95" s="177"/>
      <c r="O95" s="177">
        <v>44</v>
      </c>
      <c r="P95" s="180">
        <v>-155.81</v>
      </c>
    </row>
    <row r="96" spans="1:16" ht="19.5" customHeight="1">
      <c r="A96" s="172" t="s">
        <v>1429</v>
      </c>
      <c r="B96" s="176">
        <v>46055</v>
      </c>
      <c r="C96" s="172" t="s">
        <v>100</v>
      </c>
      <c r="D96" s="172" t="s">
        <v>101</v>
      </c>
      <c r="E96" s="172" t="s">
        <v>60</v>
      </c>
      <c r="F96" s="172" t="s">
        <v>1430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704.37</v>
      </c>
    </row>
    <row r="97" spans="1:16" ht="19.5" customHeight="1">
      <c r="A97" s="172" t="s">
        <v>1429</v>
      </c>
      <c r="B97" s="176">
        <v>46055</v>
      </c>
      <c r="C97" s="172" t="s">
        <v>100</v>
      </c>
      <c r="D97" s="172" t="s">
        <v>102</v>
      </c>
      <c r="E97" s="172" t="s">
        <v>60</v>
      </c>
      <c r="F97" s="172" t="s">
        <v>1430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7.04</v>
      </c>
    </row>
    <row r="98" spans="1:16" ht="19.5" customHeight="1">
      <c r="A98" s="172" t="s">
        <v>1429</v>
      </c>
      <c r="B98" s="176">
        <v>46055</v>
      </c>
      <c r="C98" s="172" t="s">
        <v>100</v>
      </c>
      <c r="D98" s="172" t="s">
        <v>103</v>
      </c>
      <c r="E98" s="172" t="s">
        <v>60</v>
      </c>
      <c r="F98" s="172" t="s">
        <v>1430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1288.5899999999999</v>
      </c>
    </row>
    <row r="99" spans="1:16" ht="19.5" customHeight="1">
      <c r="A99" s="172" t="s">
        <v>1429</v>
      </c>
      <c r="B99" s="176">
        <v>46055</v>
      </c>
      <c r="C99" s="172" t="s">
        <v>104</v>
      </c>
      <c r="D99" s="172" t="s">
        <v>105</v>
      </c>
      <c r="E99" s="172" t="s">
        <v>60</v>
      </c>
      <c r="F99" s="172" t="s">
        <v>1430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-860</v>
      </c>
    </row>
    <row r="100" spans="1:16" ht="19.5" customHeight="1">
      <c r="A100" s="172" t="s">
        <v>1429</v>
      </c>
      <c r="B100" s="176">
        <v>46055</v>
      </c>
      <c r="C100" s="172" t="s">
        <v>81</v>
      </c>
      <c r="D100" s="172" t="s">
        <v>95</v>
      </c>
      <c r="E100" s="172" t="s">
        <v>60</v>
      </c>
      <c r="F100" s="172" t="s">
        <v>1430</v>
      </c>
      <c r="G100" s="172" t="s">
        <v>84</v>
      </c>
      <c r="H100" s="177">
        <v>1</v>
      </c>
      <c r="I100" s="178">
        <v>2000</v>
      </c>
      <c r="J100" s="176">
        <v>46053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-9.99</v>
      </c>
    </row>
    <row r="101" spans="1:16" ht="19.5" customHeight="1">
      <c r="A101" s="172" t="s">
        <v>1431</v>
      </c>
      <c r="B101" s="176">
        <v>46055</v>
      </c>
      <c r="C101" s="172" t="s">
        <v>92</v>
      </c>
      <c r="D101" s="172" t="s">
        <v>24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0.43</v>
      </c>
      <c r="N101" s="177"/>
      <c r="O101" s="177">
        <v>41</v>
      </c>
      <c r="P101" s="180">
        <v>-135.16</v>
      </c>
    </row>
    <row r="102" spans="1:16" ht="19.5" customHeight="1">
      <c r="A102" s="172" t="s">
        <v>1431</v>
      </c>
      <c r="B102" s="176">
        <v>46055</v>
      </c>
      <c r="C102" s="172" t="s">
        <v>100</v>
      </c>
      <c r="D102" s="172" t="s">
        <v>101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647.62</v>
      </c>
    </row>
    <row r="103" spans="1:16" ht="19.5" customHeight="1">
      <c r="A103" s="172" t="s">
        <v>1431</v>
      </c>
      <c r="B103" s="176">
        <v>46055</v>
      </c>
      <c r="C103" s="172" t="s">
        <v>100</v>
      </c>
      <c r="D103" s="172" t="s">
        <v>102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6.48</v>
      </c>
    </row>
    <row r="104" spans="1:16" ht="19.5" customHeight="1">
      <c r="A104" s="172" t="s">
        <v>1431</v>
      </c>
      <c r="B104" s="176">
        <v>46055</v>
      </c>
      <c r="C104" s="172" t="s">
        <v>100</v>
      </c>
      <c r="D104" s="172" t="s">
        <v>103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1157.9000000000001</v>
      </c>
    </row>
    <row r="105" spans="1:16" ht="19.5" customHeight="1">
      <c r="A105" s="172" t="s">
        <v>1431</v>
      </c>
      <c r="B105" s="176">
        <v>46055</v>
      </c>
      <c r="C105" s="172" t="s">
        <v>104</v>
      </c>
      <c r="D105" s="172" t="s">
        <v>105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-779.16</v>
      </c>
    </row>
    <row r="106" spans="1:16" ht="19.5" customHeight="1">
      <c r="A106" s="172" t="s">
        <v>1431</v>
      </c>
      <c r="B106" s="176">
        <v>46055</v>
      </c>
      <c r="C106" s="172" t="s">
        <v>81</v>
      </c>
      <c r="D106" s="172" t="s">
        <v>95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1812</v>
      </c>
      <c r="J106" s="176">
        <v>46047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-9.8000000000000007</v>
      </c>
    </row>
    <row r="107" spans="1:16" ht="19.5" customHeight="1">
      <c r="A107" s="172" t="s">
        <v>1432</v>
      </c>
      <c r="B107" s="176">
        <v>46055</v>
      </c>
      <c r="C107" s="172" t="s">
        <v>92</v>
      </c>
      <c r="D107" s="172" t="s">
        <v>24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0.43</v>
      </c>
      <c r="N107" s="177"/>
      <c r="O107" s="177">
        <v>44</v>
      </c>
      <c r="P107" s="180">
        <v>-131.37</v>
      </c>
    </row>
    <row r="108" spans="1:16" ht="19.5" customHeight="1">
      <c r="A108" s="172" t="s">
        <v>1432</v>
      </c>
      <c r="B108" s="176">
        <v>46055</v>
      </c>
      <c r="C108" s="172" t="s">
        <v>100</v>
      </c>
      <c r="D108" s="172" t="s">
        <v>101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609.52</v>
      </c>
    </row>
    <row r="109" spans="1:16" ht="19.5" customHeight="1">
      <c r="A109" s="172" t="s">
        <v>1432</v>
      </c>
      <c r="B109" s="176">
        <v>46055</v>
      </c>
      <c r="C109" s="172" t="s">
        <v>100</v>
      </c>
      <c r="D109" s="172" t="s">
        <v>102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6.1</v>
      </c>
    </row>
    <row r="110" spans="1:16" ht="19.5" customHeight="1">
      <c r="A110" s="172" t="s">
        <v>1432</v>
      </c>
      <c r="B110" s="176">
        <v>46055</v>
      </c>
      <c r="C110" s="172" t="s">
        <v>100</v>
      </c>
      <c r="D110" s="172" t="s">
        <v>103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1134.3800000000001</v>
      </c>
    </row>
    <row r="111" spans="1:16" ht="19.5" customHeight="1">
      <c r="A111" s="172" t="s">
        <v>1432</v>
      </c>
      <c r="B111" s="176">
        <v>46055</v>
      </c>
      <c r="C111" s="172" t="s">
        <v>104</v>
      </c>
      <c r="D111" s="172" t="s">
        <v>105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-752.5</v>
      </c>
    </row>
    <row r="112" spans="1:16" ht="19.5" customHeight="1">
      <c r="A112" s="172" t="s">
        <v>1432</v>
      </c>
      <c r="B112" s="176">
        <v>46055</v>
      </c>
      <c r="C112" s="172" t="s">
        <v>81</v>
      </c>
      <c r="D112" s="172" t="s">
        <v>95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1750</v>
      </c>
      <c r="J112" s="176">
        <v>46053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-16.850000000000001</v>
      </c>
    </row>
    <row r="113" spans="1:16" ht="19.5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60</v>
      </c>
      <c r="F113" s="172" t="s">
        <v>1430</v>
      </c>
      <c r="G113" s="172" t="s">
        <v>84</v>
      </c>
      <c r="H113" s="177">
        <v>1</v>
      </c>
      <c r="I113" s="178">
        <v>0</v>
      </c>
      <c r="J113" s="176">
        <v>46053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-13.38</v>
      </c>
    </row>
    <row r="114" spans="1:16" ht="19.5" customHeight="1">
      <c r="A114" s="172" t="s">
        <v>1433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46055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customHeight="1">
      <c r="A115" s="172" t="s">
        <v>1434</v>
      </c>
      <c r="B115" s="176">
        <v>46055</v>
      </c>
      <c r="C115" s="172" t="s">
        <v>81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46054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-11.92</v>
      </c>
    </row>
    <row r="116" spans="1:16" ht="19.5" customHeight="1">
      <c r="A116" s="172" t="s">
        <v>1434</v>
      </c>
      <c r="B116" s="176">
        <v>46055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0.43</v>
      </c>
      <c r="N116" s="177"/>
      <c r="O116" s="177">
        <v>43</v>
      </c>
      <c r="P116" s="180">
        <v>-145.1</v>
      </c>
    </row>
    <row r="117" spans="1:16" ht="19.5" customHeight="1">
      <c r="A117" s="172" t="s">
        <v>1434</v>
      </c>
      <c r="B117" s="176">
        <v>46055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customHeight="1">
      <c r="A118" s="172" t="s">
        <v>1434</v>
      </c>
      <c r="B118" s="176">
        <v>46055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customHeight="1">
      <c r="A119" s="172" t="s">
        <v>1434</v>
      </c>
      <c r="B119" s="176">
        <v>46055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customHeight="1">
      <c r="A120" s="172" t="s">
        <v>1434</v>
      </c>
      <c r="B120" s="176">
        <v>46055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customHeight="1">
      <c r="A121" s="172" t="s">
        <v>1434</v>
      </c>
      <c r="B121" s="176">
        <v>46055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46054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-20.22</v>
      </c>
    </row>
    <row r="122" spans="1:16" ht="19.5" customHeight="1">
      <c r="A122" s="172" t="s">
        <v>1435</v>
      </c>
      <c r="B122" s="176">
        <v>46055</v>
      </c>
      <c r="C122" s="172" t="s">
        <v>92</v>
      </c>
      <c r="D122" s="172" t="s">
        <v>24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-149.88999999999999</v>
      </c>
    </row>
    <row r="123" spans="1:16" ht="19.5" customHeight="1">
      <c r="A123" s="172" t="s">
        <v>1435</v>
      </c>
      <c r="B123" s="176">
        <v>46055</v>
      </c>
      <c r="C123" s="172" t="s">
        <v>100</v>
      </c>
      <c r="D123" s="172" t="s">
        <v>101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630.83000000000004</v>
      </c>
    </row>
    <row r="124" spans="1:16" ht="19.5" customHeight="1">
      <c r="A124" s="172" t="s">
        <v>1435</v>
      </c>
      <c r="B124" s="176">
        <v>46055</v>
      </c>
      <c r="C124" s="172" t="s">
        <v>100</v>
      </c>
      <c r="D124" s="172" t="s">
        <v>102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6.31</v>
      </c>
    </row>
    <row r="125" spans="1:16" ht="19.5" customHeight="1">
      <c r="A125" s="172" t="s">
        <v>1435</v>
      </c>
      <c r="B125" s="176">
        <v>46055</v>
      </c>
      <c r="C125" s="172" t="s">
        <v>100</v>
      </c>
      <c r="D125" s="172" t="s">
        <v>103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1174.8599999999999</v>
      </c>
    </row>
    <row r="126" spans="1:16" ht="19.5" customHeight="1">
      <c r="A126" s="172" t="s">
        <v>1435</v>
      </c>
      <c r="B126" s="176">
        <v>46055</v>
      </c>
      <c r="C126" s="172" t="s">
        <v>104</v>
      </c>
      <c r="D126" s="172" t="s">
        <v>105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-779.16</v>
      </c>
    </row>
    <row r="127" spans="1:16" ht="19.5" customHeight="1">
      <c r="A127" s="172" t="s">
        <v>1435</v>
      </c>
      <c r="B127" s="176">
        <v>46055</v>
      </c>
      <c r="C127" s="172" t="s">
        <v>81</v>
      </c>
      <c r="D127" s="172" t="s">
        <v>95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46051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-11.08</v>
      </c>
    </row>
    <row r="128" spans="1:16" ht="19.5" customHeight="1">
      <c r="A128" s="172" t="s">
        <v>1436</v>
      </c>
      <c r="B128" s="176">
        <v>46055</v>
      </c>
      <c r="C128" s="172" t="s">
        <v>92</v>
      </c>
      <c r="D128" s="172" t="s">
        <v>24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0.43</v>
      </c>
      <c r="N128" s="177"/>
      <c r="O128" s="177">
        <v>44</v>
      </c>
      <c r="P128" s="180">
        <v>-149.88999999999999</v>
      </c>
    </row>
    <row r="129" spans="1:16" ht="19.5" customHeight="1">
      <c r="A129" s="172" t="s">
        <v>1436</v>
      </c>
      <c r="B129" s="176">
        <v>46055</v>
      </c>
      <c r="C129" s="172" t="s">
        <v>100</v>
      </c>
      <c r="D129" s="172" t="s">
        <v>101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631.42999999999995</v>
      </c>
    </row>
    <row r="130" spans="1:16" ht="19.5" customHeight="1">
      <c r="A130" s="172" t="s">
        <v>1436</v>
      </c>
      <c r="B130" s="176">
        <v>46055</v>
      </c>
      <c r="C130" s="172" t="s">
        <v>100</v>
      </c>
      <c r="D130" s="172" t="s">
        <v>102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6.31</v>
      </c>
    </row>
    <row r="131" spans="1:16" ht="19.5" customHeight="1">
      <c r="A131" s="172" t="s">
        <v>1436</v>
      </c>
      <c r="B131" s="176">
        <v>46055</v>
      </c>
      <c r="C131" s="172" t="s">
        <v>100</v>
      </c>
      <c r="D131" s="172" t="s">
        <v>103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1174.26</v>
      </c>
    </row>
    <row r="132" spans="1:16" ht="19.5" customHeight="1">
      <c r="A132" s="172" t="s">
        <v>1436</v>
      </c>
      <c r="B132" s="176">
        <v>46055</v>
      </c>
      <c r="C132" s="172" t="s">
        <v>104</v>
      </c>
      <c r="D132" s="172" t="s">
        <v>105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-779.16</v>
      </c>
    </row>
    <row r="133" spans="1:16" ht="19.5" customHeight="1">
      <c r="A133" s="172" t="s">
        <v>1436</v>
      </c>
      <c r="B133" s="176">
        <v>46055</v>
      </c>
      <c r="C133" s="172" t="s">
        <v>81</v>
      </c>
      <c r="D133" s="172" t="s">
        <v>95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1812</v>
      </c>
      <c r="J133" s="176">
        <v>46053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-22.12</v>
      </c>
    </row>
    <row r="134" spans="1:16" ht="19.5" customHeight="1">
      <c r="A134" s="172" t="s">
        <v>1437</v>
      </c>
      <c r="B134" s="176">
        <v>46055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0.43</v>
      </c>
      <c r="N134" s="177"/>
      <c r="O134" s="177">
        <v>43</v>
      </c>
      <c r="P134" s="180">
        <v>-127.33</v>
      </c>
    </row>
    <row r="135" spans="1:16" ht="19.5" customHeight="1">
      <c r="A135" s="172" t="s">
        <v>1437</v>
      </c>
      <c r="B135" s="176">
        <v>46055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609.52</v>
      </c>
    </row>
    <row r="136" spans="1:16" ht="19.5" customHeight="1">
      <c r="A136" s="172" t="s">
        <v>1437</v>
      </c>
      <c r="B136" s="176">
        <v>46055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6.1</v>
      </c>
    </row>
    <row r="137" spans="1:16" ht="19.5" customHeight="1">
      <c r="A137" s="172" t="s">
        <v>1437</v>
      </c>
      <c r="B137" s="176">
        <v>46055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1134.3800000000001</v>
      </c>
    </row>
    <row r="138" spans="1:16" ht="19.5" customHeight="1">
      <c r="A138" s="172" t="s">
        <v>1437</v>
      </c>
      <c r="B138" s="176">
        <v>46055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-752.5</v>
      </c>
    </row>
    <row r="139" spans="1:16" ht="19.5" customHeight="1">
      <c r="A139" s="172" t="s">
        <v>1437</v>
      </c>
      <c r="B139" s="176">
        <v>46055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1750</v>
      </c>
      <c r="J139" s="176">
        <v>46054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-7.88</v>
      </c>
    </row>
    <row r="140" spans="1:16" ht="19.5" customHeight="1">
      <c r="A140" s="172" t="s">
        <v>1438</v>
      </c>
      <c r="B140" s="176">
        <v>46055</v>
      </c>
      <c r="C140" s="172" t="s">
        <v>92</v>
      </c>
      <c r="D140" s="172" t="s">
        <v>24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0.43</v>
      </c>
      <c r="N140" s="177"/>
      <c r="O140" s="177">
        <v>44</v>
      </c>
      <c r="P140" s="180">
        <v>-148.36000000000001</v>
      </c>
    </row>
    <row r="141" spans="1:16" ht="19.5" customHeight="1">
      <c r="A141" s="172" t="s">
        <v>1438</v>
      </c>
      <c r="B141" s="176">
        <v>46055</v>
      </c>
      <c r="C141" s="172" t="s">
        <v>100</v>
      </c>
      <c r="D141" s="172" t="s">
        <v>101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631.42999999999995</v>
      </c>
    </row>
    <row r="142" spans="1:16" ht="19.5" customHeight="1">
      <c r="A142" s="172" t="s">
        <v>1438</v>
      </c>
      <c r="B142" s="176">
        <v>46055</v>
      </c>
      <c r="C142" s="172" t="s">
        <v>100</v>
      </c>
      <c r="D142" s="172" t="s">
        <v>102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6.31</v>
      </c>
    </row>
    <row r="143" spans="1:16" ht="19.5" customHeight="1">
      <c r="A143" s="172" t="s">
        <v>1438</v>
      </c>
      <c r="B143" s="176">
        <v>46055</v>
      </c>
      <c r="C143" s="172" t="s">
        <v>100</v>
      </c>
      <c r="D143" s="172" t="s">
        <v>103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1174.26</v>
      </c>
    </row>
    <row r="144" spans="1:16" ht="19.5" customHeight="1">
      <c r="A144" s="172" t="s">
        <v>1438</v>
      </c>
      <c r="B144" s="176">
        <v>46055</v>
      </c>
      <c r="C144" s="172" t="s">
        <v>104</v>
      </c>
      <c r="D144" s="172" t="s">
        <v>105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-779.16</v>
      </c>
    </row>
    <row r="145" spans="1:16" ht="19.5" customHeight="1">
      <c r="A145" s="172" t="s">
        <v>1438</v>
      </c>
      <c r="B145" s="176">
        <v>46055</v>
      </c>
      <c r="C145" s="172" t="s">
        <v>81</v>
      </c>
      <c r="D145" s="172" t="s">
        <v>95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-18.57</v>
      </c>
    </row>
    <row r="146" spans="1:16" ht="19.5" customHeight="1">
      <c r="A146" s="172" t="s">
        <v>1438</v>
      </c>
      <c r="B146" s="176">
        <v>46055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46053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</v>
      </c>
    </row>
    <row r="147" spans="1:16" ht="19.5" customHeight="1">
      <c r="A147" s="172" t="s">
        <v>1439</v>
      </c>
      <c r="B147" s="176">
        <v>46055</v>
      </c>
      <c r="C147" s="172" t="s">
        <v>81</v>
      </c>
      <c r="D147" s="172" t="s">
        <v>82</v>
      </c>
      <c r="E147" s="172" t="s">
        <v>60</v>
      </c>
      <c r="F147" s="172" t="s">
        <v>1430</v>
      </c>
      <c r="G147" s="172" t="s">
        <v>84</v>
      </c>
      <c r="H147" s="177">
        <v>1</v>
      </c>
      <c r="I147" s="178">
        <v>0</v>
      </c>
      <c r="J147" s="176">
        <v>46055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-13.34</v>
      </c>
    </row>
    <row r="148" spans="1:16" ht="19.5" customHeight="1">
      <c r="A148" s="172" t="s">
        <v>1440</v>
      </c>
      <c r="B148" s="176">
        <v>46055</v>
      </c>
      <c r="C148" s="172" t="s">
        <v>92</v>
      </c>
      <c r="D148" s="172" t="s">
        <v>24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>
        <v>44</v>
      </c>
      <c r="P148" s="180">
        <v>-131.37</v>
      </c>
    </row>
    <row r="149" spans="1:16" ht="19.5" customHeight="1">
      <c r="A149" s="172" t="s">
        <v>1440</v>
      </c>
      <c r="B149" s="176">
        <v>46055</v>
      </c>
      <c r="C149" s="172" t="s">
        <v>100</v>
      </c>
      <c r="D149" s="172" t="s">
        <v>101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609.52</v>
      </c>
    </row>
    <row r="150" spans="1:16" ht="19.5" customHeight="1">
      <c r="A150" s="172" t="s">
        <v>1440</v>
      </c>
      <c r="B150" s="176">
        <v>46055</v>
      </c>
      <c r="C150" s="172" t="s">
        <v>100</v>
      </c>
      <c r="D150" s="172" t="s">
        <v>102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6.1</v>
      </c>
    </row>
    <row r="151" spans="1:16" ht="19.5" customHeight="1">
      <c r="A151" s="172" t="s">
        <v>1440</v>
      </c>
      <c r="B151" s="176">
        <v>46055</v>
      </c>
      <c r="C151" s="172" t="s">
        <v>100</v>
      </c>
      <c r="D151" s="172" t="s">
        <v>103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1134.3800000000001</v>
      </c>
    </row>
    <row r="152" spans="1:16" ht="19.5" customHeight="1">
      <c r="A152" s="172" t="s">
        <v>1440</v>
      </c>
      <c r="B152" s="176">
        <v>46055</v>
      </c>
      <c r="C152" s="172" t="s">
        <v>104</v>
      </c>
      <c r="D152" s="172" t="s">
        <v>105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-752.5</v>
      </c>
    </row>
    <row r="153" spans="1:16" ht="19.5" customHeight="1">
      <c r="A153" s="172" t="s">
        <v>1440</v>
      </c>
      <c r="B153" s="176">
        <v>46055</v>
      </c>
      <c r="C153" s="172" t="s">
        <v>81</v>
      </c>
      <c r="D153" s="172" t="s">
        <v>95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1750</v>
      </c>
      <c r="J153" s="176">
        <v>46052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-9.61</v>
      </c>
    </row>
    <row r="154" spans="1:16" ht="19.5" customHeight="1">
      <c r="A154" s="172" t="s">
        <v>1441</v>
      </c>
      <c r="B154" s="176">
        <v>46055</v>
      </c>
      <c r="C154" s="172" t="s">
        <v>81</v>
      </c>
      <c r="D154" s="172" t="s">
        <v>82</v>
      </c>
      <c r="E154" s="172" t="s">
        <v>39</v>
      </c>
      <c r="F154" s="172" t="s">
        <v>117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-23.16</v>
      </c>
    </row>
    <row r="155" spans="1:16" ht="19.5" customHeight="1">
      <c r="A155" s="172" t="s">
        <v>1442</v>
      </c>
      <c r="B155" s="176">
        <v>46055</v>
      </c>
      <c r="C155" s="172" t="s">
        <v>81</v>
      </c>
      <c r="D155" s="172" t="s">
        <v>82</v>
      </c>
      <c r="E155" s="172" t="s">
        <v>58</v>
      </c>
      <c r="F155" s="172" t="s">
        <v>1302</v>
      </c>
      <c r="G155" s="172" t="s">
        <v>84</v>
      </c>
      <c r="H155" s="177">
        <v>1</v>
      </c>
      <c r="I155" s="178">
        <v>0</v>
      </c>
      <c r="J155" s="176">
        <v>46055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-17.39</v>
      </c>
    </row>
    <row r="156" spans="1:16" ht="19.5" customHeight="1">
      <c r="A156" s="172" t="s">
        <v>1443</v>
      </c>
      <c r="B156" s="176">
        <v>46055</v>
      </c>
      <c r="C156" s="172" t="s">
        <v>92</v>
      </c>
      <c r="D156" s="172" t="s">
        <v>24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0.43</v>
      </c>
      <c r="N156" s="177"/>
      <c r="O156" s="177">
        <v>44</v>
      </c>
      <c r="P156" s="180">
        <v>-131.37</v>
      </c>
    </row>
    <row r="157" spans="1:16" ht="19.5" customHeight="1">
      <c r="A157" s="172" t="s">
        <v>1443</v>
      </c>
      <c r="B157" s="176">
        <v>46055</v>
      </c>
      <c r="C157" s="172" t="s">
        <v>100</v>
      </c>
      <c r="D157" s="172" t="s">
        <v>101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609.52</v>
      </c>
    </row>
    <row r="158" spans="1:16" ht="19.5" customHeight="1">
      <c r="A158" s="172" t="s">
        <v>1443</v>
      </c>
      <c r="B158" s="176">
        <v>46055</v>
      </c>
      <c r="C158" s="172" t="s">
        <v>100</v>
      </c>
      <c r="D158" s="172" t="s">
        <v>102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6.1</v>
      </c>
    </row>
    <row r="159" spans="1:16" ht="19.5" customHeight="1">
      <c r="A159" s="172" t="s">
        <v>1443</v>
      </c>
      <c r="B159" s="176">
        <v>46055</v>
      </c>
      <c r="C159" s="172" t="s">
        <v>100</v>
      </c>
      <c r="D159" s="172" t="s">
        <v>103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1134.3800000000001</v>
      </c>
    </row>
    <row r="160" spans="1:16" ht="19.5" customHeight="1">
      <c r="A160" s="172" t="s">
        <v>1443</v>
      </c>
      <c r="B160" s="176">
        <v>46055</v>
      </c>
      <c r="C160" s="172" t="s">
        <v>104</v>
      </c>
      <c r="D160" s="172" t="s">
        <v>105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-752.5</v>
      </c>
    </row>
    <row r="161" spans="1:16" ht="19.5" customHeight="1">
      <c r="A161" s="172" t="s">
        <v>1443</v>
      </c>
      <c r="B161" s="176">
        <v>46055</v>
      </c>
      <c r="C161" s="172" t="s">
        <v>81</v>
      </c>
      <c r="D161" s="172" t="s">
        <v>95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1750</v>
      </c>
      <c r="J161" s="176">
        <v>46053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-13.73</v>
      </c>
    </row>
    <row r="162" spans="1:16" ht="19.5" customHeight="1">
      <c r="A162" s="172" t="s">
        <v>1444</v>
      </c>
      <c r="B162" s="176">
        <v>46055</v>
      </c>
      <c r="C162" s="172" t="s">
        <v>92</v>
      </c>
      <c r="D162" s="172" t="s">
        <v>24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0.43</v>
      </c>
      <c r="N162" s="177"/>
      <c r="O162" s="177">
        <v>44</v>
      </c>
      <c r="P162" s="180">
        <v>-131.37</v>
      </c>
    </row>
    <row r="163" spans="1:16" ht="19.5" customHeight="1">
      <c r="A163" s="172" t="s">
        <v>1444</v>
      </c>
      <c r="B163" s="176">
        <v>46055</v>
      </c>
      <c r="C163" s="172" t="s">
        <v>100</v>
      </c>
      <c r="D163" s="172" t="s">
        <v>101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608.94000000000005</v>
      </c>
    </row>
    <row r="164" spans="1:16" ht="19.5" customHeight="1">
      <c r="A164" s="172" t="s">
        <v>1444</v>
      </c>
      <c r="B164" s="176">
        <v>46055</v>
      </c>
      <c r="C164" s="172" t="s">
        <v>100</v>
      </c>
      <c r="D164" s="172" t="s">
        <v>102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6.09</v>
      </c>
    </row>
    <row r="165" spans="1:16" ht="19.5" customHeight="1">
      <c r="A165" s="172" t="s">
        <v>1444</v>
      </c>
      <c r="B165" s="176">
        <v>46055</v>
      </c>
      <c r="C165" s="172" t="s">
        <v>100</v>
      </c>
      <c r="D165" s="172" t="s">
        <v>103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1134.97</v>
      </c>
    </row>
    <row r="166" spans="1:16" ht="19.5" customHeight="1">
      <c r="A166" s="172" t="s">
        <v>1444</v>
      </c>
      <c r="B166" s="176">
        <v>46055</v>
      </c>
      <c r="C166" s="172" t="s">
        <v>104</v>
      </c>
      <c r="D166" s="172" t="s">
        <v>105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-752.5</v>
      </c>
    </row>
    <row r="167" spans="1:16" ht="19.5" customHeight="1">
      <c r="A167" s="172" t="s">
        <v>1444</v>
      </c>
      <c r="B167" s="176">
        <v>46055</v>
      </c>
      <c r="C167" s="172" t="s">
        <v>81</v>
      </c>
      <c r="D167" s="172" t="s">
        <v>95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1750</v>
      </c>
      <c r="J167" s="176">
        <v>46048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-10.18</v>
      </c>
    </row>
    <row r="168" spans="1:16" ht="19.5" customHeight="1">
      <c r="A168" s="172" t="s">
        <v>1445</v>
      </c>
      <c r="B168" s="176">
        <v>46055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>
        <v>45</v>
      </c>
      <c r="P168" s="180">
        <v>-56</v>
      </c>
    </row>
    <row r="169" spans="1:16" ht="19.5" customHeight="1">
      <c r="A169" s="172" t="s">
        <v>1445</v>
      </c>
      <c r="B169" s="176">
        <v>46055</v>
      </c>
      <c r="C169" s="172" t="s">
        <v>81</v>
      </c>
      <c r="D169" s="172" t="s">
        <v>95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46049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-13.83</v>
      </c>
    </row>
    <row r="170" spans="1:16" ht="19.5" customHeight="1">
      <c r="A170" s="172" t="s">
        <v>1446</v>
      </c>
      <c r="B170" s="176">
        <v>46055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0.43</v>
      </c>
      <c r="N170" s="177"/>
      <c r="O170" s="177">
        <v>44</v>
      </c>
      <c r="P170" s="180">
        <v>-148.36000000000001</v>
      </c>
    </row>
    <row r="171" spans="1:16" ht="19.5" customHeight="1">
      <c r="A171" s="172" t="s">
        <v>1446</v>
      </c>
      <c r="B171" s="176">
        <v>46055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630.23</v>
      </c>
    </row>
    <row r="172" spans="1:16" ht="19.5" customHeight="1">
      <c r="A172" s="172" t="s">
        <v>1446</v>
      </c>
      <c r="B172" s="176">
        <v>46055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6.3</v>
      </c>
    </row>
    <row r="173" spans="1:16" ht="19.5" customHeight="1">
      <c r="A173" s="172" t="s">
        <v>1446</v>
      </c>
      <c r="B173" s="176">
        <v>46055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1175.47</v>
      </c>
    </row>
    <row r="174" spans="1:16" ht="19.5" customHeight="1">
      <c r="A174" s="172" t="s">
        <v>1446</v>
      </c>
      <c r="B174" s="176">
        <v>46055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-779.16</v>
      </c>
    </row>
    <row r="175" spans="1:16" ht="19.5" customHeight="1">
      <c r="A175" s="172" t="s">
        <v>1446</v>
      </c>
      <c r="B175" s="176">
        <v>46055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1812</v>
      </c>
      <c r="J175" s="176">
        <v>46053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-11.37</v>
      </c>
    </row>
    <row r="176" spans="1:16" ht="19.5" customHeight="1">
      <c r="A176" s="172" t="s">
        <v>1444</v>
      </c>
      <c r="B176" s="176">
        <v>46055</v>
      </c>
      <c r="C176" s="172" t="s">
        <v>81</v>
      </c>
      <c r="D176" s="172" t="s">
        <v>82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0</v>
      </c>
      <c r="J176" s="176">
        <v>46048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-11.57</v>
      </c>
    </row>
    <row r="177" spans="1:16" ht="19.5" customHeight="1">
      <c r="A177" s="172" t="s">
        <v>1445</v>
      </c>
      <c r="B177" s="176">
        <v>46055</v>
      </c>
      <c r="C177" s="172" t="s">
        <v>92</v>
      </c>
      <c r="D177" s="172" t="s">
        <v>96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1445</v>
      </c>
      <c r="B178" s="176">
        <v>46055</v>
      </c>
      <c r="C178" s="172" t="s">
        <v>92</v>
      </c>
      <c r="D178" s="172" t="s">
        <v>97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1445</v>
      </c>
      <c r="B179" s="176">
        <v>46055</v>
      </c>
      <c r="C179" s="172" t="s">
        <v>81</v>
      </c>
      <c r="D179" s="172" t="s">
        <v>98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46049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1418</v>
      </c>
      <c r="B180" s="176">
        <v>46055</v>
      </c>
      <c r="C180" s="172" t="s">
        <v>81</v>
      </c>
      <c r="D180" s="172" t="s">
        <v>82</v>
      </c>
      <c r="E180" s="172" t="s">
        <v>55</v>
      </c>
      <c r="F180" s="172" t="s">
        <v>1274</v>
      </c>
      <c r="G180" s="172" t="s">
        <v>84</v>
      </c>
      <c r="H180" s="177">
        <v>1</v>
      </c>
      <c r="I180" s="178">
        <v>0</v>
      </c>
      <c r="J180" s="176">
        <v>46055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14.82</v>
      </c>
    </row>
    <row r="181" spans="1:16" ht="19.5" customHeight="1">
      <c r="A181" s="172" t="s">
        <v>1447</v>
      </c>
      <c r="B181" s="176">
        <v>46055</v>
      </c>
      <c r="C181" s="172" t="s">
        <v>92</v>
      </c>
      <c r="D181" s="172" t="s">
        <v>24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0.43</v>
      </c>
      <c r="N181" s="177"/>
      <c r="O181" s="177">
        <v>44</v>
      </c>
      <c r="P181" s="180">
        <v>-149.88999999999999</v>
      </c>
    </row>
    <row r="182" spans="1:16" ht="19.5" customHeight="1">
      <c r="A182" s="172" t="s">
        <v>1447</v>
      </c>
      <c r="B182" s="176">
        <v>46055</v>
      </c>
      <c r="C182" s="172" t="s">
        <v>100</v>
      </c>
      <c r="D182" s="172" t="s">
        <v>101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631.42999999999995</v>
      </c>
    </row>
    <row r="183" spans="1:16" ht="19.5" customHeight="1">
      <c r="A183" s="172" t="s">
        <v>1447</v>
      </c>
      <c r="B183" s="176">
        <v>46055</v>
      </c>
      <c r="C183" s="172" t="s">
        <v>100</v>
      </c>
      <c r="D183" s="172" t="s">
        <v>102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6.31</v>
      </c>
    </row>
    <row r="184" spans="1:16" ht="19.5" customHeight="1">
      <c r="A184" s="172" t="s">
        <v>1447</v>
      </c>
      <c r="B184" s="176">
        <v>46055</v>
      </c>
      <c r="C184" s="172" t="s">
        <v>100</v>
      </c>
      <c r="D184" s="172" t="s">
        <v>103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1174.26</v>
      </c>
    </row>
    <row r="185" spans="1:16" ht="19.5" customHeight="1">
      <c r="A185" s="172" t="s">
        <v>1447</v>
      </c>
      <c r="B185" s="176">
        <v>46055</v>
      </c>
      <c r="C185" s="172" t="s">
        <v>104</v>
      </c>
      <c r="D185" s="172" t="s">
        <v>105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-779.16</v>
      </c>
    </row>
    <row r="186" spans="1:16" ht="19.5" customHeight="1">
      <c r="A186" s="172" t="s">
        <v>1447</v>
      </c>
      <c r="B186" s="176">
        <v>46055</v>
      </c>
      <c r="C186" s="172" t="s">
        <v>81</v>
      </c>
      <c r="D186" s="172" t="s">
        <v>95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1812</v>
      </c>
      <c r="J186" s="176">
        <v>46053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-12.23</v>
      </c>
    </row>
    <row r="187" spans="1:16" ht="19.5" customHeight="1">
      <c r="A187" s="172" t="s">
        <v>1447</v>
      </c>
      <c r="B187" s="176">
        <v>46055</v>
      </c>
      <c r="C187" s="172" t="s">
        <v>81</v>
      </c>
      <c r="D187" s="172" t="s">
        <v>82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0</v>
      </c>
      <c r="J187" s="176">
        <v>46053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-12</v>
      </c>
    </row>
    <row r="188" spans="1:16" ht="19.5" customHeight="1">
      <c r="A188" s="172" t="s">
        <v>1448</v>
      </c>
      <c r="B188" s="176">
        <v>46055</v>
      </c>
      <c r="C188" s="172" t="s">
        <v>92</v>
      </c>
      <c r="D188" s="172" t="s">
        <v>24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0.43</v>
      </c>
      <c r="N188" s="177"/>
      <c r="O188" s="177">
        <v>44</v>
      </c>
      <c r="P188" s="180">
        <v>-131.37</v>
      </c>
    </row>
    <row r="189" spans="1:16" ht="19.5" customHeight="1">
      <c r="A189" s="172" t="s">
        <v>1448</v>
      </c>
      <c r="B189" s="176">
        <v>46055</v>
      </c>
      <c r="C189" s="172" t="s">
        <v>100</v>
      </c>
      <c r="D189" s="172" t="s">
        <v>101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1072.04</v>
      </c>
    </row>
    <row r="190" spans="1:16" ht="19.5" customHeight="1">
      <c r="A190" s="172" t="s">
        <v>1448</v>
      </c>
      <c r="B190" s="176">
        <v>46055</v>
      </c>
      <c r="C190" s="172" t="s">
        <v>100</v>
      </c>
      <c r="D190" s="172" t="s">
        <v>102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customHeight="1">
      <c r="A191" s="172" t="s">
        <v>1448</v>
      </c>
      <c r="B191" s="176">
        <v>46055</v>
      </c>
      <c r="C191" s="172" t="s">
        <v>100</v>
      </c>
      <c r="D191" s="172" t="s">
        <v>103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677.96</v>
      </c>
    </row>
    <row r="192" spans="1:16" ht="19.5" customHeight="1">
      <c r="A192" s="172" t="s">
        <v>1448</v>
      </c>
      <c r="B192" s="176">
        <v>46055</v>
      </c>
      <c r="C192" s="172" t="s">
        <v>104</v>
      </c>
      <c r="D192" s="172" t="s">
        <v>105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-752.5</v>
      </c>
    </row>
    <row r="193" spans="1:16" ht="19.5" customHeight="1">
      <c r="A193" s="172" t="s">
        <v>1448</v>
      </c>
      <c r="B193" s="176">
        <v>46055</v>
      </c>
      <c r="C193" s="172" t="s">
        <v>81</v>
      </c>
      <c r="D193" s="172" t="s">
        <v>95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1750</v>
      </c>
      <c r="J193" s="176">
        <v>46053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-10.23</v>
      </c>
    </row>
    <row r="194" spans="1:16" ht="19.5" customHeight="1">
      <c r="A194" s="172" t="s">
        <v>1449</v>
      </c>
      <c r="B194" s="176">
        <v>46055</v>
      </c>
      <c r="C194" s="172" t="s">
        <v>81</v>
      </c>
      <c r="D194" s="172" t="s">
        <v>82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0</v>
      </c>
      <c r="J194" s="176">
        <v>46055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-16.87</v>
      </c>
    </row>
    <row r="195" spans="1:16" ht="19.5" customHeight="1">
      <c r="A195" s="172" t="s">
        <v>1450</v>
      </c>
      <c r="B195" s="176">
        <v>46055</v>
      </c>
      <c r="C195" s="172" t="s">
        <v>92</v>
      </c>
      <c r="D195" s="172" t="s">
        <v>24</v>
      </c>
      <c r="E195" s="172" t="s">
        <v>56</v>
      </c>
      <c r="F195" s="172" t="s">
        <v>1215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-151.1</v>
      </c>
    </row>
    <row r="196" spans="1:16" ht="19.5" customHeight="1">
      <c r="A196" s="172" t="s">
        <v>1450</v>
      </c>
      <c r="B196" s="176">
        <v>46055</v>
      </c>
      <c r="C196" s="172" t="s">
        <v>100</v>
      </c>
      <c r="D196" s="172" t="s">
        <v>101</v>
      </c>
      <c r="E196" s="172" t="s">
        <v>56</v>
      </c>
      <c r="F196" s="172" t="s">
        <v>1215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759.05</v>
      </c>
    </row>
    <row r="197" spans="1:16" ht="19.5" customHeight="1">
      <c r="A197" s="172" t="s">
        <v>1450</v>
      </c>
      <c r="B197" s="176">
        <v>46055</v>
      </c>
      <c r="C197" s="172" t="s">
        <v>100</v>
      </c>
      <c r="D197" s="172" t="s">
        <v>102</v>
      </c>
      <c r="E197" s="172" t="s">
        <v>56</v>
      </c>
      <c r="F197" s="172" t="s">
        <v>1215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7.59</v>
      </c>
    </row>
    <row r="198" spans="1:16" ht="19.5" customHeight="1">
      <c r="A198" s="172" t="s">
        <v>1450</v>
      </c>
      <c r="B198" s="176">
        <v>46055</v>
      </c>
      <c r="C198" s="172" t="s">
        <v>100</v>
      </c>
      <c r="D198" s="172" t="s">
        <v>103</v>
      </c>
      <c r="E198" s="172" t="s">
        <v>56</v>
      </c>
      <c r="F198" s="172" t="s">
        <v>1215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1233.3599999999999</v>
      </c>
    </row>
    <row r="199" spans="1:16" ht="19.5" customHeight="1">
      <c r="A199" s="172" t="s">
        <v>1450</v>
      </c>
      <c r="B199" s="176">
        <v>46055</v>
      </c>
      <c r="C199" s="172" t="s">
        <v>104</v>
      </c>
      <c r="D199" s="172" t="s">
        <v>105</v>
      </c>
      <c r="E199" s="172" t="s">
        <v>56</v>
      </c>
      <c r="F199" s="172" t="s">
        <v>1215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-860</v>
      </c>
    </row>
    <row r="200" spans="1:16" ht="19.5" customHeight="1">
      <c r="A200" s="172" t="s">
        <v>1450</v>
      </c>
      <c r="B200" s="176">
        <v>46055</v>
      </c>
      <c r="C200" s="172" t="s">
        <v>81</v>
      </c>
      <c r="D200" s="172" t="s">
        <v>95</v>
      </c>
      <c r="E200" s="172" t="s">
        <v>56</v>
      </c>
      <c r="F200" s="172" t="s">
        <v>1215</v>
      </c>
      <c r="G200" s="172" t="s">
        <v>84</v>
      </c>
      <c r="H200" s="177">
        <v>1</v>
      </c>
      <c r="I200" s="178">
        <v>2000</v>
      </c>
      <c r="J200" s="176">
        <v>46054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-25</v>
      </c>
    </row>
    <row r="201" spans="1:16" ht="19.5" customHeight="1">
      <c r="A201" s="172" t="s">
        <v>1450</v>
      </c>
      <c r="B201" s="176">
        <v>46055</v>
      </c>
      <c r="C201" s="172" t="s">
        <v>81</v>
      </c>
      <c r="D201" s="172" t="s">
        <v>82</v>
      </c>
      <c r="E201" s="172" t="s">
        <v>56</v>
      </c>
      <c r="F201" s="172" t="s">
        <v>1215</v>
      </c>
      <c r="G201" s="172" t="s">
        <v>84</v>
      </c>
      <c r="H201" s="177">
        <v>1</v>
      </c>
      <c r="I201" s="178">
        <v>0</v>
      </c>
      <c r="J201" s="176">
        <v>46054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-14.42</v>
      </c>
    </row>
    <row r="202" spans="1:16" ht="19.5" customHeight="1">
      <c r="A202" s="172" t="s">
        <v>1451</v>
      </c>
      <c r="B202" s="176">
        <v>46055</v>
      </c>
      <c r="C202" s="172" t="s">
        <v>92</v>
      </c>
      <c r="D202" s="172" t="s">
        <v>24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0.43</v>
      </c>
      <c r="N202" s="177"/>
      <c r="O202" s="177">
        <v>44</v>
      </c>
      <c r="P202" s="180">
        <v>-131.37</v>
      </c>
    </row>
    <row r="203" spans="1:16" ht="19.5" customHeight="1">
      <c r="A203" s="172" t="s">
        <v>1451</v>
      </c>
      <c r="B203" s="176">
        <v>46055</v>
      </c>
      <c r="C203" s="172" t="s">
        <v>100</v>
      </c>
      <c r="D203" s="172" t="s">
        <v>101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639.04999999999995</v>
      </c>
    </row>
    <row r="204" spans="1:16" ht="19.5" customHeight="1">
      <c r="A204" s="172" t="s">
        <v>1451</v>
      </c>
      <c r="B204" s="176">
        <v>46055</v>
      </c>
      <c r="C204" s="172" t="s">
        <v>100</v>
      </c>
      <c r="D204" s="172" t="s">
        <v>102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6.39</v>
      </c>
    </row>
    <row r="205" spans="1:16" ht="19.5" customHeight="1">
      <c r="A205" s="172" t="s">
        <v>1451</v>
      </c>
      <c r="B205" s="176">
        <v>46055</v>
      </c>
      <c r="C205" s="172" t="s">
        <v>100</v>
      </c>
      <c r="D205" s="172" t="s">
        <v>103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1104.56</v>
      </c>
    </row>
    <row r="206" spans="1:16" ht="19.5" customHeight="1">
      <c r="A206" s="172" t="s">
        <v>1451</v>
      </c>
      <c r="B206" s="176">
        <v>46055</v>
      </c>
      <c r="C206" s="172" t="s">
        <v>104</v>
      </c>
      <c r="D206" s="172" t="s">
        <v>105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-752.5</v>
      </c>
    </row>
    <row r="207" spans="1:16" ht="19.5" customHeight="1">
      <c r="A207" s="172" t="s">
        <v>1451</v>
      </c>
      <c r="B207" s="176">
        <v>46055</v>
      </c>
      <c r="C207" s="172" t="s">
        <v>81</v>
      </c>
      <c r="D207" s="172" t="s">
        <v>95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1750</v>
      </c>
      <c r="J207" s="176">
        <v>46048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-25</v>
      </c>
    </row>
    <row r="208" spans="1:16" ht="19.5" customHeight="1">
      <c r="A208" s="172" t="s">
        <v>1451</v>
      </c>
      <c r="B208" s="176">
        <v>46055</v>
      </c>
      <c r="C208" s="172" t="s">
        <v>81</v>
      </c>
      <c r="D208" s="172" t="s">
        <v>82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0</v>
      </c>
      <c r="J208" s="176">
        <v>46048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-12.14</v>
      </c>
    </row>
    <row r="209" spans="1:16" ht="19.5" customHeight="1">
      <c r="A209" s="172" t="s">
        <v>1372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4.59</v>
      </c>
    </row>
    <row r="210" spans="1:16" ht="19.5" customHeight="1">
      <c r="A210" s="172" t="s">
        <v>1452</v>
      </c>
      <c r="B210" s="176">
        <v>46055</v>
      </c>
      <c r="C210" s="172" t="s">
        <v>81</v>
      </c>
      <c r="D210" s="172" t="s">
        <v>82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0</v>
      </c>
      <c r="J210" s="176">
        <v>46055</v>
      </c>
      <c r="K210" s="172" t="s">
        <v>85</v>
      </c>
      <c r="L210" s="172" t="s">
        <v>85</v>
      </c>
      <c r="M210" s="179">
        <v>0</v>
      </c>
      <c r="N210" s="177"/>
      <c r="O210" s="177"/>
      <c r="P210" s="180">
        <v>-15.11</v>
      </c>
    </row>
    <row r="211" spans="1:16" ht="19.5" customHeight="1">
      <c r="A211" s="172" t="s">
        <v>1453</v>
      </c>
      <c r="B211" s="176">
        <v>46055</v>
      </c>
      <c r="C211" s="172" t="s">
        <v>92</v>
      </c>
      <c r="D211" s="172" t="s">
        <v>24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>
        <v>44</v>
      </c>
      <c r="P211" s="180">
        <v>-56.94</v>
      </c>
    </row>
    <row r="212" spans="1:16" ht="19.5" customHeight="1">
      <c r="A212" s="172" t="s">
        <v>1453</v>
      </c>
      <c r="B212" s="176">
        <v>46055</v>
      </c>
      <c r="C212" s="172" t="s">
        <v>81</v>
      </c>
      <c r="D212" s="172" t="s">
        <v>95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-9.9</v>
      </c>
    </row>
    <row r="213" spans="1:16" ht="19.5" customHeight="1">
      <c r="A213" s="172" t="s">
        <v>1453</v>
      </c>
      <c r="B213" s="176">
        <v>46055</v>
      </c>
      <c r="C213" s="172" t="s">
        <v>92</v>
      </c>
      <c r="D213" s="172" t="s">
        <v>96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0</v>
      </c>
    </row>
    <row r="214" spans="1:16" ht="19.5" customHeight="1">
      <c r="A214" s="172" t="s">
        <v>1453</v>
      </c>
      <c r="B214" s="176">
        <v>46055</v>
      </c>
      <c r="C214" s="172" t="s">
        <v>92</v>
      </c>
      <c r="D214" s="172" t="s">
        <v>97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-56.94</v>
      </c>
    </row>
    <row r="215" spans="1:16" ht="19.5" customHeight="1">
      <c r="A215" s="172" t="s">
        <v>1453</v>
      </c>
      <c r="B215" s="176">
        <v>46055</v>
      </c>
      <c r="C215" s="172" t="s">
        <v>81</v>
      </c>
      <c r="D215" s="172" t="s">
        <v>98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46041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customHeight="1">
      <c r="A216" s="172" t="s">
        <v>1207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-68.400000000000006</v>
      </c>
    </row>
    <row r="217" spans="1:16" ht="19.5" customHeight="1">
      <c r="A217" s="172" t="s">
        <v>1208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-138.38999999999999</v>
      </c>
    </row>
    <row r="218" spans="1:16" ht="19.5" customHeight="1">
      <c r="A218" s="172" t="s">
        <v>141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-433.04</v>
      </c>
    </row>
    <row r="219" spans="1:16" ht="19.5" customHeight="1">
      <c r="A219" s="172" t="s">
        <v>145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-977.36</v>
      </c>
    </row>
    <row r="220" spans="1:16" ht="19.5" customHeight="1">
      <c r="A220" s="172" t="s">
        <v>138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-1121.72</v>
      </c>
    </row>
    <row r="221" spans="1:16" ht="19.5" customHeight="1">
      <c r="A221" s="172" t="s">
        <v>144</v>
      </c>
      <c r="B221" s="176">
        <v>46055</v>
      </c>
      <c r="C221" s="172" t="s">
        <v>109</v>
      </c>
      <c r="D221" s="172" t="s">
        <v>139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-1158.26</v>
      </c>
    </row>
    <row r="222" spans="1:16" ht="19.5" customHeight="1">
      <c r="A222" s="172" t="s">
        <v>142</v>
      </c>
      <c r="B222" s="176">
        <v>46055</v>
      </c>
      <c r="C222" s="172" t="s">
        <v>109</v>
      </c>
      <c r="D222" s="172" t="s">
        <v>143</v>
      </c>
      <c r="E222" s="172" t="s">
        <v>85</v>
      </c>
      <c r="F222" s="172" t="s">
        <v>85</v>
      </c>
      <c r="G222" s="172" t="s">
        <v>85</v>
      </c>
      <c r="H222" s="177">
        <v>0</v>
      </c>
      <c r="I222" s="178">
        <v>0</v>
      </c>
      <c r="J222" s="176">
        <v>46055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-6544.06</v>
      </c>
    </row>
    <row r="223" spans="1:16" ht="19.5" customHeight="1">
      <c r="A223" s="172" t="s">
        <v>1454</v>
      </c>
      <c r="B223" s="176">
        <v>46056</v>
      </c>
      <c r="C223" s="172" t="s">
        <v>92</v>
      </c>
      <c r="D223" s="172" t="s">
        <v>24</v>
      </c>
      <c r="E223" s="172" t="s">
        <v>55</v>
      </c>
      <c r="F223" s="172" t="s">
        <v>1274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>
        <v>44</v>
      </c>
      <c r="P223" s="180">
        <v>-56.94</v>
      </c>
    </row>
    <row r="224" spans="1:16" ht="19.5" customHeight="1">
      <c r="A224" s="172" t="s">
        <v>1454</v>
      </c>
      <c r="B224" s="176">
        <v>46056</v>
      </c>
      <c r="C224" s="172" t="s">
        <v>81</v>
      </c>
      <c r="D224" s="172" t="s">
        <v>95</v>
      </c>
      <c r="E224" s="172" t="s">
        <v>55</v>
      </c>
      <c r="F224" s="172" t="s">
        <v>1274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-19.12</v>
      </c>
    </row>
    <row r="225" spans="1:16" ht="19.5" customHeight="1">
      <c r="A225" s="172" t="s">
        <v>1454</v>
      </c>
      <c r="B225" s="176">
        <v>46056</v>
      </c>
      <c r="C225" s="172" t="s">
        <v>92</v>
      </c>
      <c r="D225" s="172" t="s">
        <v>96</v>
      </c>
      <c r="E225" s="172" t="s">
        <v>55</v>
      </c>
      <c r="F225" s="172" t="s">
        <v>1274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0</v>
      </c>
    </row>
    <row r="226" spans="1:16" ht="19.5" customHeight="1">
      <c r="A226" s="172" t="s">
        <v>1454</v>
      </c>
      <c r="B226" s="176">
        <v>46056</v>
      </c>
      <c r="C226" s="172" t="s">
        <v>92</v>
      </c>
      <c r="D226" s="172" t="s">
        <v>97</v>
      </c>
      <c r="E226" s="172" t="s">
        <v>55</v>
      </c>
      <c r="F226" s="172" t="s">
        <v>1274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-56.94</v>
      </c>
    </row>
    <row r="227" spans="1:16" ht="19.5" customHeight="1">
      <c r="A227" s="172" t="s">
        <v>1454</v>
      </c>
      <c r="B227" s="176">
        <v>46056</v>
      </c>
      <c r="C227" s="172" t="s">
        <v>81</v>
      </c>
      <c r="D227" s="172" t="s">
        <v>98</v>
      </c>
      <c r="E227" s="172" t="s">
        <v>55</v>
      </c>
      <c r="F227" s="172" t="s">
        <v>1274</v>
      </c>
      <c r="G227" s="172" t="s">
        <v>84</v>
      </c>
      <c r="H227" s="177">
        <v>1</v>
      </c>
      <c r="I227" s="178">
        <v>0</v>
      </c>
      <c r="J227" s="176">
        <v>46050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-15</v>
      </c>
    </row>
    <row r="228" spans="1:16" ht="19.5" customHeight="1">
      <c r="A228" s="172" t="s">
        <v>1455</v>
      </c>
      <c r="B228" s="176">
        <v>46056</v>
      </c>
      <c r="C228" s="172" t="s">
        <v>92</v>
      </c>
      <c r="D228" s="172" t="s">
        <v>24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>
        <v>46</v>
      </c>
      <c r="P228" s="180">
        <v>-56.94</v>
      </c>
    </row>
    <row r="229" spans="1:16" ht="19.5" customHeight="1">
      <c r="A229" s="172" t="s">
        <v>1455</v>
      </c>
      <c r="B229" s="176">
        <v>46056</v>
      </c>
      <c r="C229" s="172" t="s">
        <v>81</v>
      </c>
      <c r="D229" s="172" t="s">
        <v>95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-24.81</v>
      </c>
    </row>
    <row r="230" spans="1:16" ht="19.5" customHeight="1">
      <c r="A230" s="172" t="s">
        <v>1455</v>
      </c>
      <c r="B230" s="176">
        <v>46056</v>
      </c>
      <c r="C230" s="172" t="s">
        <v>92</v>
      </c>
      <c r="D230" s="172" t="s">
        <v>96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customHeight="1">
      <c r="A231" s="172" t="s">
        <v>1455</v>
      </c>
      <c r="B231" s="176">
        <v>46056</v>
      </c>
      <c r="C231" s="172" t="s">
        <v>92</v>
      </c>
      <c r="D231" s="172" t="s">
        <v>97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-56.94</v>
      </c>
    </row>
    <row r="232" spans="1:16" ht="19.5" customHeight="1">
      <c r="A232" s="172" t="s">
        <v>1455</v>
      </c>
      <c r="B232" s="176">
        <v>46056</v>
      </c>
      <c r="C232" s="172" t="s">
        <v>81</v>
      </c>
      <c r="D232" s="172" t="s">
        <v>98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46038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customHeight="1">
      <c r="A233" s="172" t="s">
        <v>1456</v>
      </c>
      <c r="B233" s="176">
        <v>46056</v>
      </c>
      <c r="C233" s="172" t="s">
        <v>92</v>
      </c>
      <c r="D233" s="172" t="s">
        <v>24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>
        <v>44</v>
      </c>
      <c r="P233" s="180">
        <v>-46.77</v>
      </c>
    </row>
    <row r="234" spans="1:16" ht="19.5" customHeight="1">
      <c r="A234" s="172" t="s">
        <v>1456</v>
      </c>
      <c r="B234" s="176">
        <v>46056</v>
      </c>
      <c r="C234" s="172" t="s">
        <v>81</v>
      </c>
      <c r="D234" s="172" t="s">
        <v>95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-8.6999999999999993</v>
      </c>
    </row>
    <row r="235" spans="1:16" ht="19.5" customHeight="1">
      <c r="A235" s="172" t="s">
        <v>1456</v>
      </c>
      <c r="B235" s="176">
        <v>46056</v>
      </c>
      <c r="C235" s="172" t="s">
        <v>92</v>
      </c>
      <c r="D235" s="172" t="s">
        <v>96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0</v>
      </c>
    </row>
    <row r="236" spans="1:16" ht="19.5" customHeight="1">
      <c r="A236" s="172" t="s">
        <v>1456</v>
      </c>
      <c r="B236" s="176">
        <v>46056</v>
      </c>
      <c r="C236" s="172" t="s">
        <v>92</v>
      </c>
      <c r="D236" s="172" t="s">
        <v>97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-46.77</v>
      </c>
    </row>
    <row r="237" spans="1:16" ht="19.5" customHeight="1">
      <c r="A237" s="172" t="s">
        <v>1456</v>
      </c>
      <c r="B237" s="176">
        <v>46056</v>
      </c>
      <c r="C237" s="172" t="s">
        <v>81</v>
      </c>
      <c r="D237" s="172" t="s">
        <v>98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-15</v>
      </c>
    </row>
    <row r="238" spans="1:16" ht="19.5" customHeight="1">
      <c r="A238" s="172" t="s">
        <v>1457</v>
      </c>
      <c r="B238" s="176">
        <v>46056</v>
      </c>
      <c r="C238" s="172" t="s">
        <v>92</v>
      </c>
      <c r="D238" s="172" t="s">
        <v>24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>
        <v>44</v>
      </c>
      <c r="P238" s="180">
        <v>-56.94</v>
      </c>
    </row>
    <row r="239" spans="1:16" ht="19.5" customHeight="1">
      <c r="A239" s="172" t="s">
        <v>1457</v>
      </c>
      <c r="B239" s="176">
        <v>46056</v>
      </c>
      <c r="C239" s="172" t="s">
        <v>81</v>
      </c>
      <c r="D239" s="172" t="s">
        <v>95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-9.01</v>
      </c>
    </row>
    <row r="240" spans="1:16" ht="19.5" customHeight="1">
      <c r="A240" s="172" t="s">
        <v>1457</v>
      </c>
      <c r="B240" s="176">
        <v>46056</v>
      </c>
      <c r="C240" s="172" t="s">
        <v>92</v>
      </c>
      <c r="D240" s="172" t="s">
        <v>96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customHeight="1">
      <c r="A241" s="172" t="s">
        <v>1457</v>
      </c>
      <c r="B241" s="176">
        <v>46056</v>
      </c>
      <c r="C241" s="172" t="s">
        <v>92</v>
      </c>
      <c r="D241" s="172" t="s">
        <v>97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-56.94</v>
      </c>
    </row>
    <row r="242" spans="1:16" ht="19.5" customHeight="1">
      <c r="A242" s="172" t="s">
        <v>1457</v>
      </c>
      <c r="B242" s="176">
        <v>46056</v>
      </c>
      <c r="C242" s="172" t="s">
        <v>81</v>
      </c>
      <c r="D242" s="172" t="s">
        <v>98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46053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customHeight="1">
      <c r="A243" s="172" t="s">
        <v>1458</v>
      </c>
      <c r="B243" s="176">
        <v>46056</v>
      </c>
      <c r="C243" s="172" t="s">
        <v>92</v>
      </c>
      <c r="D243" s="172" t="s">
        <v>24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0.43</v>
      </c>
      <c r="N243" s="177"/>
      <c r="O243" s="177">
        <v>45</v>
      </c>
      <c r="P243" s="180">
        <v>-135.38999999999999</v>
      </c>
    </row>
    <row r="244" spans="1:16" ht="19.5" customHeight="1">
      <c r="A244" s="172" t="s">
        <v>1458</v>
      </c>
      <c r="B244" s="176">
        <v>46056</v>
      </c>
      <c r="C244" s="172" t="s">
        <v>100</v>
      </c>
      <c r="D244" s="172" t="s">
        <v>101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700</v>
      </c>
    </row>
    <row r="245" spans="1:16" ht="19.5" customHeight="1">
      <c r="A245" s="172" t="s">
        <v>1458</v>
      </c>
      <c r="B245" s="176">
        <v>46056</v>
      </c>
      <c r="C245" s="172" t="s">
        <v>100</v>
      </c>
      <c r="D245" s="172" t="s">
        <v>102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1458</v>
      </c>
      <c r="B246" s="176">
        <v>46056</v>
      </c>
      <c r="C246" s="172" t="s">
        <v>100</v>
      </c>
      <c r="D246" s="172" t="s">
        <v>103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1050</v>
      </c>
    </row>
    <row r="247" spans="1:16" ht="19.5" customHeight="1">
      <c r="A247" s="172" t="s">
        <v>1458</v>
      </c>
      <c r="B247" s="176">
        <v>46056</v>
      </c>
      <c r="C247" s="172" t="s">
        <v>104</v>
      </c>
      <c r="D247" s="172" t="s">
        <v>105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46036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-752.5</v>
      </c>
    </row>
    <row r="248" spans="1:16" ht="19.5" customHeight="1">
      <c r="A248" s="172" t="s">
        <v>1459</v>
      </c>
      <c r="B248" s="176">
        <v>46056</v>
      </c>
      <c r="C248" s="172" t="s">
        <v>92</v>
      </c>
      <c r="D248" s="172" t="s">
        <v>24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0.43</v>
      </c>
      <c r="N248" s="177"/>
      <c r="O248" s="177">
        <v>44</v>
      </c>
      <c r="P248" s="180">
        <v>-131.37</v>
      </c>
    </row>
    <row r="249" spans="1:16" ht="19.5" customHeight="1">
      <c r="A249" s="172" t="s">
        <v>1459</v>
      </c>
      <c r="B249" s="176">
        <v>46056</v>
      </c>
      <c r="C249" s="172" t="s">
        <v>100</v>
      </c>
      <c r="D249" s="172" t="s">
        <v>101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646.66999999999996</v>
      </c>
    </row>
    <row r="250" spans="1:16" ht="19.5" customHeight="1">
      <c r="A250" s="172" t="s">
        <v>1459</v>
      </c>
      <c r="B250" s="176">
        <v>46056</v>
      </c>
      <c r="C250" s="172" t="s">
        <v>100</v>
      </c>
      <c r="D250" s="172" t="s">
        <v>102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6.47</v>
      </c>
    </row>
    <row r="251" spans="1:16" ht="19.5" customHeight="1">
      <c r="A251" s="172" t="s">
        <v>1459</v>
      </c>
      <c r="B251" s="176">
        <v>46056</v>
      </c>
      <c r="C251" s="172" t="s">
        <v>100</v>
      </c>
      <c r="D251" s="172" t="s">
        <v>103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1096.8599999999999</v>
      </c>
    </row>
    <row r="252" spans="1:16" ht="19.5" customHeight="1">
      <c r="A252" s="172" t="s">
        <v>1459</v>
      </c>
      <c r="B252" s="176">
        <v>46056</v>
      </c>
      <c r="C252" s="172" t="s">
        <v>104</v>
      </c>
      <c r="D252" s="172" t="s">
        <v>105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-752.5</v>
      </c>
    </row>
    <row r="253" spans="1:16" ht="19.5" customHeight="1">
      <c r="A253" s="172" t="s">
        <v>1459</v>
      </c>
      <c r="B253" s="176">
        <v>46056</v>
      </c>
      <c r="C253" s="172" t="s">
        <v>81</v>
      </c>
      <c r="D253" s="172" t="s">
        <v>95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46050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-25</v>
      </c>
    </row>
    <row r="254" spans="1:16" ht="19.5" customHeight="1">
      <c r="A254" s="172" t="s">
        <v>1460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-24.02</v>
      </c>
    </row>
    <row r="255" spans="1:16" ht="19.5" customHeight="1">
      <c r="A255" s="172" t="s">
        <v>1460</v>
      </c>
      <c r="B255" s="176">
        <v>46056</v>
      </c>
      <c r="C255" s="172" t="s">
        <v>81</v>
      </c>
      <c r="D255" s="172" t="s">
        <v>82</v>
      </c>
      <c r="E255" s="172" t="s">
        <v>39</v>
      </c>
      <c r="F255" s="172" t="s">
        <v>117</v>
      </c>
      <c r="G255" s="172" t="s">
        <v>84</v>
      </c>
      <c r="H255" s="177">
        <v>1</v>
      </c>
      <c r="I255" s="178">
        <v>0</v>
      </c>
      <c r="J255" s="176">
        <v>46056</v>
      </c>
      <c r="K255" s="172" t="s">
        <v>85</v>
      </c>
      <c r="L255" s="172" t="s">
        <v>85</v>
      </c>
      <c r="M255" s="179">
        <v>0</v>
      </c>
      <c r="N255" s="177"/>
      <c r="O255" s="177"/>
      <c r="P255" s="180">
        <v>24.02</v>
      </c>
    </row>
    <row r="256" spans="1:16" ht="19.5" customHeight="1">
      <c r="A256" s="172" t="s">
        <v>1461</v>
      </c>
      <c r="B256" s="176">
        <v>46056</v>
      </c>
      <c r="C256" s="172" t="s">
        <v>92</v>
      </c>
      <c r="D256" s="172" t="s">
        <v>24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>
        <v>41</v>
      </c>
      <c r="P256" s="180">
        <v>-46.77</v>
      </c>
    </row>
    <row r="257" spans="1:16" ht="19.5" customHeight="1">
      <c r="A257" s="172" t="s">
        <v>1461</v>
      </c>
      <c r="B257" s="176">
        <v>46056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46047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-13.68</v>
      </c>
    </row>
    <row r="258" spans="1:16" ht="19.5" customHeight="1">
      <c r="A258" s="172" t="s">
        <v>85</v>
      </c>
      <c r="B258" s="176">
        <v>46056</v>
      </c>
      <c r="C258" s="172" t="s">
        <v>109</v>
      </c>
      <c r="D258" s="172" t="s">
        <v>110</v>
      </c>
      <c r="E258" s="172" t="s">
        <v>85</v>
      </c>
      <c r="F258" s="172" t="s">
        <v>85</v>
      </c>
      <c r="G258" s="172" t="s">
        <v>1462</v>
      </c>
      <c r="H258" s="177">
        <v>0</v>
      </c>
      <c r="I258" s="178">
        <v>0</v>
      </c>
      <c r="J258" s="176">
        <v>46056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-150</v>
      </c>
    </row>
    <row r="259" spans="1:16" ht="19.5" customHeight="1">
      <c r="A259" s="172" t="s">
        <v>1461</v>
      </c>
      <c r="B259" s="176">
        <v>46056</v>
      </c>
      <c r="C259" s="172" t="s">
        <v>92</v>
      </c>
      <c r="D259" s="172" t="s">
        <v>96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0</v>
      </c>
    </row>
    <row r="260" spans="1:16" ht="19.5" customHeight="1">
      <c r="A260" s="172" t="s">
        <v>1461</v>
      </c>
      <c r="B260" s="176">
        <v>46056</v>
      </c>
      <c r="C260" s="172" t="s">
        <v>92</v>
      </c>
      <c r="D260" s="172" t="s">
        <v>97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-46.77</v>
      </c>
    </row>
    <row r="261" spans="1:16" ht="19.5" customHeight="1">
      <c r="A261" s="172" t="s">
        <v>1461</v>
      </c>
      <c r="B261" s="176">
        <v>46056</v>
      </c>
      <c r="C261" s="172" t="s">
        <v>81</v>
      </c>
      <c r="D261" s="172" t="s">
        <v>98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46047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-15</v>
      </c>
    </row>
    <row r="262" spans="1:16" ht="19.5" customHeight="1">
      <c r="A262" s="172" t="s">
        <v>1463</v>
      </c>
      <c r="B262" s="176">
        <v>46056</v>
      </c>
      <c r="C262" s="172" t="s">
        <v>92</v>
      </c>
      <c r="D262" s="172" t="s">
        <v>24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0.43</v>
      </c>
      <c r="N262" s="177"/>
      <c r="O262" s="177">
        <v>44</v>
      </c>
      <c r="P262" s="180">
        <v>-126.7</v>
      </c>
    </row>
    <row r="263" spans="1:16" ht="19.5" customHeight="1">
      <c r="A263" s="172" t="s">
        <v>1463</v>
      </c>
      <c r="B263" s="176">
        <v>46056</v>
      </c>
      <c r="C263" s="172" t="s">
        <v>100</v>
      </c>
      <c r="D263" s="172" t="s">
        <v>101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861.22</v>
      </c>
    </row>
    <row r="264" spans="1:16" ht="19.5" customHeight="1">
      <c r="A264" s="172" t="s">
        <v>1463</v>
      </c>
      <c r="B264" s="176">
        <v>46056</v>
      </c>
      <c r="C264" s="172" t="s">
        <v>100</v>
      </c>
      <c r="D264" s="172" t="s">
        <v>102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8.61</v>
      </c>
    </row>
    <row r="265" spans="1:16" ht="19.5" customHeight="1">
      <c r="A265" s="172" t="s">
        <v>1463</v>
      </c>
      <c r="B265" s="176">
        <v>46056</v>
      </c>
      <c r="C265" s="172" t="s">
        <v>100</v>
      </c>
      <c r="D265" s="172" t="s">
        <v>103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732.17</v>
      </c>
    </row>
    <row r="266" spans="1:16" ht="19.5" customHeight="1">
      <c r="A266" s="172" t="s">
        <v>1463</v>
      </c>
      <c r="B266" s="176">
        <v>46056</v>
      </c>
      <c r="C266" s="172" t="s">
        <v>104</v>
      </c>
      <c r="D266" s="172" t="s">
        <v>105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-688.86</v>
      </c>
    </row>
    <row r="267" spans="1:16" ht="19.5" customHeight="1">
      <c r="A267" s="172" t="s">
        <v>1463</v>
      </c>
      <c r="B267" s="176">
        <v>46056</v>
      </c>
      <c r="C267" s="172" t="s">
        <v>81</v>
      </c>
      <c r="D267" s="172" t="s">
        <v>95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1602</v>
      </c>
      <c r="J267" s="176">
        <v>46053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-7.76</v>
      </c>
    </row>
    <row r="268" spans="1:16" ht="19.5" customHeight="1">
      <c r="A268" s="172" t="s">
        <v>1463</v>
      </c>
      <c r="B268" s="176">
        <v>46056</v>
      </c>
      <c r="C268" s="172" t="s">
        <v>81</v>
      </c>
      <c r="D268" s="172" t="s">
        <v>82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46053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-16.36</v>
      </c>
    </row>
    <row r="269" spans="1:16" ht="19.5" customHeight="1">
      <c r="A269" s="172" t="s">
        <v>1464</v>
      </c>
      <c r="B269" s="176">
        <v>46056</v>
      </c>
      <c r="C269" s="172" t="s">
        <v>92</v>
      </c>
      <c r="D269" s="172" t="s">
        <v>24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0.43</v>
      </c>
      <c r="N269" s="177"/>
      <c r="O269" s="177">
        <v>43</v>
      </c>
      <c r="P269" s="180">
        <v>-144.94999999999999</v>
      </c>
    </row>
    <row r="270" spans="1:16" ht="19.5" customHeight="1">
      <c r="A270" s="172" t="s">
        <v>1464</v>
      </c>
      <c r="B270" s="176">
        <v>46056</v>
      </c>
      <c r="C270" s="172" t="s">
        <v>100</v>
      </c>
      <c r="D270" s="172" t="s">
        <v>101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707.62</v>
      </c>
    </row>
    <row r="271" spans="1:16" ht="19.5" customHeight="1">
      <c r="A271" s="172" t="s">
        <v>1464</v>
      </c>
      <c r="B271" s="176">
        <v>46056</v>
      </c>
      <c r="C271" s="172" t="s">
        <v>100</v>
      </c>
      <c r="D271" s="172" t="s">
        <v>102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0</v>
      </c>
    </row>
    <row r="272" spans="1:16" ht="19.5" customHeight="1">
      <c r="A272" s="172" t="s">
        <v>1464</v>
      </c>
      <c r="B272" s="176">
        <v>46056</v>
      </c>
      <c r="C272" s="172" t="s">
        <v>100</v>
      </c>
      <c r="D272" s="172" t="s">
        <v>103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1137.3800000000001</v>
      </c>
    </row>
    <row r="273" spans="1:16" ht="19.5" customHeight="1">
      <c r="A273" s="172" t="s">
        <v>1464</v>
      </c>
      <c r="B273" s="176">
        <v>46056</v>
      </c>
      <c r="C273" s="172" t="s">
        <v>104</v>
      </c>
      <c r="D273" s="172" t="s">
        <v>105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1845</v>
      </c>
      <c r="J273" s="176">
        <v>46042</v>
      </c>
      <c r="K273" s="172" t="s">
        <v>93</v>
      </c>
      <c r="L273" s="172" t="s">
        <v>94</v>
      </c>
      <c r="M273" s="179">
        <v>0.43</v>
      </c>
      <c r="N273" s="177"/>
      <c r="O273" s="177"/>
      <c r="P273" s="180">
        <v>-793.35</v>
      </c>
    </row>
    <row r="274" spans="1:16" ht="19.5" customHeight="1">
      <c r="A274" s="172" t="s">
        <v>1465</v>
      </c>
      <c r="B274" s="176">
        <v>46056</v>
      </c>
      <c r="C274" s="172" t="s">
        <v>92</v>
      </c>
      <c r="D274" s="172" t="s">
        <v>24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0.43</v>
      </c>
      <c r="N274" s="177"/>
      <c r="O274" s="177">
        <v>44</v>
      </c>
      <c r="P274" s="180">
        <v>-149.51</v>
      </c>
    </row>
    <row r="275" spans="1:16" ht="19.5" customHeight="1">
      <c r="A275" s="172" t="s">
        <v>1465</v>
      </c>
      <c r="B275" s="176">
        <v>46056</v>
      </c>
      <c r="C275" s="172" t="s">
        <v>100</v>
      </c>
      <c r="D275" s="172" t="s">
        <v>101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627.62</v>
      </c>
    </row>
    <row r="276" spans="1:16" ht="19.5" customHeight="1">
      <c r="A276" s="172" t="s">
        <v>1465</v>
      </c>
      <c r="B276" s="176">
        <v>46056</v>
      </c>
      <c r="C276" s="172" t="s">
        <v>100</v>
      </c>
      <c r="D276" s="172" t="s">
        <v>102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6.28</v>
      </c>
    </row>
    <row r="277" spans="1:16" ht="19.5" customHeight="1">
      <c r="A277" s="172" t="s">
        <v>1465</v>
      </c>
      <c r="B277" s="176">
        <v>46056</v>
      </c>
      <c r="C277" s="172" t="s">
        <v>100</v>
      </c>
      <c r="D277" s="172" t="s">
        <v>103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1166.0999999999999</v>
      </c>
    </row>
    <row r="278" spans="1:16" ht="19.5" customHeight="1">
      <c r="A278" s="172" t="s">
        <v>1465</v>
      </c>
      <c r="B278" s="176">
        <v>46056</v>
      </c>
      <c r="C278" s="172" t="s">
        <v>104</v>
      </c>
      <c r="D278" s="172" t="s">
        <v>105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-774</v>
      </c>
    </row>
    <row r="279" spans="1:16" ht="19.5" customHeight="1">
      <c r="A279" s="172" t="s">
        <v>1465</v>
      </c>
      <c r="B279" s="176">
        <v>46056</v>
      </c>
      <c r="C279" s="172" t="s">
        <v>81</v>
      </c>
      <c r="D279" s="172" t="s">
        <v>95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1800</v>
      </c>
      <c r="J279" s="176">
        <v>46053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-25</v>
      </c>
    </row>
    <row r="280" spans="1:16" ht="19.5" customHeight="1">
      <c r="A280" s="172" t="s">
        <v>1465</v>
      </c>
      <c r="B280" s="176">
        <v>46056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46053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-11.92</v>
      </c>
    </row>
    <row r="281" spans="1:16" ht="19.5" customHeight="1">
      <c r="A281" s="172" t="s">
        <v>1466</v>
      </c>
      <c r="B281" s="176">
        <v>46056</v>
      </c>
      <c r="C281" s="172" t="s">
        <v>92</v>
      </c>
      <c r="D281" s="172" t="s">
        <v>24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-145.46</v>
      </c>
    </row>
    <row r="282" spans="1:16" ht="19.5" customHeight="1">
      <c r="A282" s="172" t="s">
        <v>1466</v>
      </c>
      <c r="B282" s="176">
        <v>46056</v>
      </c>
      <c r="C282" s="172" t="s">
        <v>100</v>
      </c>
      <c r="D282" s="172" t="s">
        <v>101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631.42999999999995</v>
      </c>
    </row>
    <row r="283" spans="1:16" ht="19.5" customHeight="1">
      <c r="A283" s="172" t="s">
        <v>1466</v>
      </c>
      <c r="B283" s="176">
        <v>46056</v>
      </c>
      <c r="C283" s="172" t="s">
        <v>100</v>
      </c>
      <c r="D283" s="172" t="s">
        <v>102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6.31</v>
      </c>
    </row>
    <row r="284" spans="1:16" ht="19.5" customHeight="1">
      <c r="A284" s="172" t="s">
        <v>1466</v>
      </c>
      <c r="B284" s="176">
        <v>46056</v>
      </c>
      <c r="C284" s="172" t="s">
        <v>100</v>
      </c>
      <c r="D284" s="172" t="s">
        <v>103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1174.26</v>
      </c>
    </row>
    <row r="285" spans="1:16" ht="19.5" customHeight="1">
      <c r="A285" s="172" t="s">
        <v>1466</v>
      </c>
      <c r="B285" s="176">
        <v>46056</v>
      </c>
      <c r="C285" s="172" t="s">
        <v>104</v>
      </c>
      <c r="D285" s="172" t="s">
        <v>105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-779.16</v>
      </c>
    </row>
    <row r="286" spans="1:16" ht="19.5" customHeight="1">
      <c r="A286" s="172" t="s">
        <v>1466</v>
      </c>
      <c r="B286" s="176">
        <v>46056</v>
      </c>
      <c r="C286" s="172" t="s">
        <v>81</v>
      </c>
      <c r="D286" s="172" t="s">
        <v>95</v>
      </c>
      <c r="E286" s="172" t="s">
        <v>53</v>
      </c>
      <c r="F286" s="172" t="s">
        <v>120</v>
      </c>
      <c r="G286" s="172" t="s">
        <v>84</v>
      </c>
      <c r="H286" s="177">
        <v>1</v>
      </c>
      <c r="I286" s="178">
        <v>1812</v>
      </c>
      <c r="J286" s="176">
        <v>46054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-13.26</v>
      </c>
    </row>
    <row r="287" spans="1:16" ht="19.5" customHeight="1">
      <c r="A287" s="172" t="s">
        <v>1467</v>
      </c>
      <c r="B287" s="176">
        <v>46056</v>
      </c>
      <c r="C287" s="172" t="s">
        <v>81</v>
      </c>
      <c r="D287" s="172" t="s">
        <v>82</v>
      </c>
      <c r="E287" s="172" t="s">
        <v>59</v>
      </c>
      <c r="F287" s="172" t="s">
        <v>1389</v>
      </c>
      <c r="G287" s="172" t="s">
        <v>84</v>
      </c>
      <c r="H287" s="177">
        <v>1</v>
      </c>
      <c r="I287" s="178">
        <v>0</v>
      </c>
      <c r="J287" s="176">
        <v>46056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-17.8</v>
      </c>
    </row>
    <row r="288" spans="1:16" ht="19.5" customHeight="1">
      <c r="A288" s="172" t="s">
        <v>1466</v>
      </c>
      <c r="B288" s="176">
        <v>46056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46054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-12</v>
      </c>
    </row>
    <row r="289" spans="1:16" ht="19.5" customHeight="1">
      <c r="A289" s="172" t="s">
        <v>1468</v>
      </c>
      <c r="B289" s="176">
        <v>46056</v>
      </c>
      <c r="C289" s="172" t="s">
        <v>92</v>
      </c>
      <c r="D289" s="172" t="s">
        <v>24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>
        <v>44</v>
      </c>
      <c r="P289" s="180">
        <v>-46.77</v>
      </c>
    </row>
    <row r="290" spans="1:16" ht="19.5" customHeight="1">
      <c r="A290" s="172" t="s">
        <v>1468</v>
      </c>
      <c r="B290" s="176">
        <v>46056</v>
      </c>
      <c r="C290" s="172" t="s">
        <v>81</v>
      </c>
      <c r="D290" s="172" t="s">
        <v>95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-13.13</v>
      </c>
    </row>
    <row r="291" spans="1:16" ht="19.5" customHeight="1">
      <c r="A291" s="172" t="s">
        <v>1468</v>
      </c>
      <c r="B291" s="176">
        <v>46056</v>
      </c>
      <c r="C291" s="172" t="s">
        <v>92</v>
      </c>
      <c r="D291" s="172" t="s">
        <v>96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0</v>
      </c>
    </row>
    <row r="292" spans="1:16" ht="19.5" customHeight="1">
      <c r="A292" s="172" t="s">
        <v>1468</v>
      </c>
      <c r="B292" s="176">
        <v>46056</v>
      </c>
      <c r="C292" s="172" t="s">
        <v>92</v>
      </c>
      <c r="D292" s="172" t="s">
        <v>97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-46.77</v>
      </c>
    </row>
    <row r="293" spans="1:16" ht="19.5" customHeight="1">
      <c r="A293" s="172" t="s">
        <v>1468</v>
      </c>
      <c r="B293" s="176">
        <v>46056</v>
      </c>
      <c r="C293" s="172" t="s">
        <v>81</v>
      </c>
      <c r="D293" s="172" t="s">
        <v>98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46050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-15</v>
      </c>
    </row>
    <row r="294" spans="1:16" ht="19.5" customHeight="1">
      <c r="A294" s="172" t="s">
        <v>1469</v>
      </c>
      <c r="B294" s="176">
        <v>46056</v>
      </c>
      <c r="C294" s="172" t="s">
        <v>92</v>
      </c>
      <c r="D294" s="172" t="s">
        <v>24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0.43</v>
      </c>
      <c r="N294" s="177"/>
      <c r="O294" s="177">
        <v>43</v>
      </c>
      <c r="P294" s="180">
        <v>-145.46</v>
      </c>
    </row>
    <row r="295" spans="1:16" ht="19.5" customHeight="1">
      <c r="A295" s="172" t="s">
        <v>1469</v>
      </c>
      <c r="B295" s="176">
        <v>46056</v>
      </c>
      <c r="C295" s="172" t="s">
        <v>100</v>
      </c>
      <c r="D295" s="172" t="s">
        <v>101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631.42999999999995</v>
      </c>
    </row>
    <row r="296" spans="1:16" ht="19.5" customHeight="1">
      <c r="A296" s="172" t="s">
        <v>1469</v>
      </c>
      <c r="B296" s="176">
        <v>46056</v>
      </c>
      <c r="C296" s="172" t="s">
        <v>100</v>
      </c>
      <c r="D296" s="172" t="s">
        <v>102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6.31</v>
      </c>
    </row>
    <row r="297" spans="1:16" ht="19.5" customHeight="1">
      <c r="A297" s="172" t="s">
        <v>1469</v>
      </c>
      <c r="B297" s="176">
        <v>46056</v>
      </c>
      <c r="C297" s="172" t="s">
        <v>100</v>
      </c>
      <c r="D297" s="172" t="s">
        <v>103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1174.26</v>
      </c>
    </row>
    <row r="298" spans="1:16" ht="19.5" customHeight="1">
      <c r="A298" s="172" t="s">
        <v>1469</v>
      </c>
      <c r="B298" s="176">
        <v>46056</v>
      </c>
      <c r="C298" s="172" t="s">
        <v>104</v>
      </c>
      <c r="D298" s="172" t="s">
        <v>105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1812</v>
      </c>
      <c r="J298" s="176">
        <v>46054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-779.16</v>
      </c>
    </row>
    <row r="299" spans="1:16" ht="19.5" customHeight="1">
      <c r="A299" s="172" t="s">
        <v>1470</v>
      </c>
      <c r="B299" s="176">
        <v>46056</v>
      </c>
      <c r="C299" s="172" t="s">
        <v>81</v>
      </c>
      <c r="D299" s="172" t="s">
        <v>82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-5.81</v>
      </c>
    </row>
    <row r="300" spans="1:16" ht="19.5" customHeight="1">
      <c r="A300" s="172" t="s">
        <v>1471</v>
      </c>
      <c r="B300" s="176">
        <v>46056</v>
      </c>
      <c r="C300" s="172" t="s">
        <v>81</v>
      </c>
      <c r="D300" s="172" t="s">
        <v>82</v>
      </c>
      <c r="E300" s="172" t="s">
        <v>55</v>
      </c>
      <c r="F300" s="172" t="s">
        <v>1274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-6.71</v>
      </c>
    </row>
    <row r="301" spans="1:16" ht="19.5" customHeight="1">
      <c r="A301" s="172" t="s">
        <v>1472</v>
      </c>
      <c r="B301" s="176">
        <v>46056</v>
      </c>
      <c r="C301" s="172" t="s">
        <v>81</v>
      </c>
      <c r="D301" s="172" t="s">
        <v>82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46056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-7.56</v>
      </c>
    </row>
    <row r="302" spans="1:16" ht="19.5" customHeight="1">
      <c r="A302" s="172" t="s">
        <v>1473</v>
      </c>
      <c r="B302" s="176">
        <v>46056</v>
      </c>
      <c r="C302" s="172" t="s">
        <v>92</v>
      </c>
      <c r="D302" s="172" t="s">
        <v>24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0.43</v>
      </c>
      <c r="N302" s="177"/>
      <c r="O302" s="177">
        <v>43</v>
      </c>
      <c r="P302" s="180">
        <v>-145.1</v>
      </c>
    </row>
    <row r="303" spans="1:16" ht="19.5" customHeight="1">
      <c r="A303" s="172" t="s">
        <v>1473</v>
      </c>
      <c r="B303" s="176">
        <v>46056</v>
      </c>
      <c r="C303" s="172" t="s">
        <v>100</v>
      </c>
      <c r="D303" s="172" t="s">
        <v>101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627.62</v>
      </c>
    </row>
    <row r="304" spans="1:16" ht="19.5" customHeight="1">
      <c r="A304" s="172" t="s">
        <v>1473</v>
      </c>
      <c r="B304" s="176">
        <v>46056</v>
      </c>
      <c r="C304" s="172" t="s">
        <v>100</v>
      </c>
      <c r="D304" s="172" t="s">
        <v>102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6.28</v>
      </c>
    </row>
    <row r="305" spans="1:16" ht="19.5" customHeight="1">
      <c r="A305" s="172" t="s">
        <v>1473</v>
      </c>
      <c r="B305" s="176">
        <v>46056</v>
      </c>
      <c r="C305" s="172" t="s">
        <v>100</v>
      </c>
      <c r="D305" s="172" t="s">
        <v>103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1166.0999999999999</v>
      </c>
    </row>
    <row r="306" spans="1:16" ht="19.5" customHeight="1">
      <c r="A306" s="172" t="s">
        <v>1473</v>
      </c>
      <c r="B306" s="176">
        <v>46056</v>
      </c>
      <c r="C306" s="172" t="s">
        <v>104</v>
      </c>
      <c r="D306" s="172" t="s">
        <v>105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-774</v>
      </c>
    </row>
    <row r="307" spans="1:16" ht="19.5" customHeight="1">
      <c r="A307" s="172" t="s">
        <v>1473</v>
      </c>
      <c r="B307" s="176">
        <v>46056</v>
      </c>
      <c r="C307" s="172" t="s">
        <v>81</v>
      </c>
      <c r="D307" s="172" t="s">
        <v>95</v>
      </c>
      <c r="E307" s="172" t="s">
        <v>52</v>
      </c>
      <c r="F307" s="172" t="s">
        <v>90</v>
      </c>
      <c r="G307" s="172" t="s">
        <v>84</v>
      </c>
      <c r="H307" s="177">
        <v>1</v>
      </c>
      <c r="I307" s="178">
        <v>1800</v>
      </c>
      <c r="J307" s="176">
        <v>46054</v>
      </c>
      <c r="K307" s="172" t="s">
        <v>93</v>
      </c>
      <c r="L307" s="172" t="s">
        <v>94</v>
      </c>
      <c r="M307" s="179">
        <v>0.43</v>
      </c>
      <c r="N307" s="177"/>
      <c r="O307" s="177"/>
      <c r="P307" s="180">
        <v>-7.5</v>
      </c>
    </row>
    <row r="308" spans="1:16" ht="19.5" customHeight="1">
      <c r="A308" s="172" t="s">
        <v>1474</v>
      </c>
      <c r="B308" s="176">
        <v>46056</v>
      </c>
      <c r="C308" s="172" t="s">
        <v>92</v>
      </c>
      <c r="D308" s="172" t="s">
        <v>24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0.43</v>
      </c>
      <c r="N308" s="177"/>
      <c r="O308" s="177">
        <v>44</v>
      </c>
      <c r="P308" s="180">
        <v>-149.88999999999999</v>
      </c>
    </row>
    <row r="309" spans="1:16" ht="19.5" customHeight="1">
      <c r="A309" s="172" t="s">
        <v>1474</v>
      </c>
      <c r="B309" s="176">
        <v>46056</v>
      </c>
      <c r="C309" s="172" t="s">
        <v>100</v>
      </c>
      <c r="D309" s="172" t="s">
        <v>101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630.83000000000004</v>
      </c>
    </row>
    <row r="310" spans="1:16" ht="19.5" customHeight="1">
      <c r="A310" s="172" t="s">
        <v>1474</v>
      </c>
      <c r="B310" s="176">
        <v>46056</v>
      </c>
      <c r="C310" s="172" t="s">
        <v>100</v>
      </c>
      <c r="D310" s="172" t="s">
        <v>102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6.31</v>
      </c>
    </row>
    <row r="311" spans="1:16" ht="19.5" customHeight="1">
      <c r="A311" s="172" t="s">
        <v>1474</v>
      </c>
      <c r="B311" s="176">
        <v>46056</v>
      </c>
      <c r="C311" s="172" t="s">
        <v>100</v>
      </c>
      <c r="D311" s="172" t="s">
        <v>103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1174.8599999999999</v>
      </c>
    </row>
    <row r="312" spans="1:16" ht="19.5" customHeight="1">
      <c r="A312" s="172" t="s">
        <v>1474</v>
      </c>
      <c r="B312" s="176">
        <v>46056</v>
      </c>
      <c r="C312" s="172" t="s">
        <v>104</v>
      </c>
      <c r="D312" s="172" t="s">
        <v>105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-779.16</v>
      </c>
    </row>
    <row r="313" spans="1:16" ht="19.5" customHeight="1">
      <c r="A313" s="172" t="s">
        <v>1474</v>
      </c>
      <c r="B313" s="176">
        <v>46056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1812</v>
      </c>
      <c r="J313" s="176">
        <v>46053</v>
      </c>
      <c r="K313" s="172" t="s">
        <v>93</v>
      </c>
      <c r="L313" s="172" t="s">
        <v>94</v>
      </c>
      <c r="M313" s="179">
        <v>0.43</v>
      </c>
      <c r="N313" s="177"/>
      <c r="O313" s="177"/>
      <c r="P313" s="180">
        <v>-19.18</v>
      </c>
    </row>
    <row r="314" spans="1:16" ht="19.5" customHeight="1">
      <c r="A314" s="172" t="s">
        <v>1475</v>
      </c>
      <c r="B314" s="176">
        <v>46056</v>
      </c>
      <c r="C314" s="172" t="s">
        <v>92</v>
      </c>
      <c r="D314" s="172" t="s">
        <v>24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>
        <v>44</v>
      </c>
      <c r="P314" s="180">
        <v>-56.94</v>
      </c>
    </row>
    <row r="315" spans="1:16" ht="19.5" customHeight="1">
      <c r="A315" s="172" t="s">
        <v>1475</v>
      </c>
      <c r="B315" s="176">
        <v>46056</v>
      </c>
      <c r="C315" s="172" t="s">
        <v>81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-17.23</v>
      </c>
    </row>
    <row r="316" spans="1:16" ht="19.5" customHeight="1">
      <c r="A316" s="172" t="s">
        <v>1476</v>
      </c>
      <c r="B316" s="176">
        <v>46056</v>
      </c>
      <c r="C316" s="172" t="s">
        <v>92</v>
      </c>
      <c r="D316" s="172" t="s">
        <v>24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-56.94</v>
      </c>
    </row>
    <row r="317" spans="1:16" ht="19.5" customHeight="1">
      <c r="A317" s="172" t="s">
        <v>1476</v>
      </c>
      <c r="B317" s="176">
        <v>46056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-17.350000000000001</v>
      </c>
    </row>
    <row r="318" spans="1:16" ht="19.5" customHeight="1">
      <c r="A318" s="172" t="s">
        <v>1476</v>
      </c>
      <c r="B318" s="176">
        <v>46056</v>
      </c>
      <c r="C318" s="172" t="s">
        <v>92</v>
      </c>
      <c r="D318" s="172" t="s">
        <v>96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1476</v>
      </c>
      <c r="B319" s="176">
        <v>46056</v>
      </c>
      <c r="C319" s="172" t="s">
        <v>92</v>
      </c>
      <c r="D319" s="172" t="s">
        <v>97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-56.94</v>
      </c>
    </row>
    <row r="320" spans="1:16" ht="19.5" customHeight="1">
      <c r="A320" s="172" t="s">
        <v>1476</v>
      </c>
      <c r="B320" s="176">
        <v>46056</v>
      </c>
      <c r="C320" s="172" t="s">
        <v>81</v>
      </c>
      <c r="D320" s="172" t="s">
        <v>98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1475</v>
      </c>
      <c r="B321" s="176">
        <v>46056</v>
      </c>
      <c r="C321" s="172" t="s">
        <v>92</v>
      </c>
      <c r="D321" s="172" t="s">
        <v>96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0</v>
      </c>
    </row>
    <row r="322" spans="1:16" ht="19.5" customHeight="1">
      <c r="A322" s="172" t="s">
        <v>1475</v>
      </c>
      <c r="B322" s="176">
        <v>46056</v>
      </c>
      <c r="C322" s="172" t="s">
        <v>92</v>
      </c>
      <c r="D322" s="172" t="s">
        <v>97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-56.94</v>
      </c>
    </row>
    <row r="323" spans="1:16" ht="19.5" customHeight="1">
      <c r="A323" s="172" t="s">
        <v>1475</v>
      </c>
      <c r="B323" s="176">
        <v>46056</v>
      </c>
      <c r="C323" s="172" t="s">
        <v>81</v>
      </c>
      <c r="D323" s="172" t="s">
        <v>98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46052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-15</v>
      </c>
    </row>
    <row r="324" spans="1:16" ht="19.5" customHeight="1">
      <c r="A324" s="172" t="s">
        <v>1477</v>
      </c>
      <c r="B324" s="176">
        <v>46056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0.43</v>
      </c>
      <c r="N324" s="177"/>
      <c r="O324" s="177">
        <v>41</v>
      </c>
      <c r="P324" s="180">
        <v>-135.16</v>
      </c>
    </row>
    <row r="325" spans="1:16" ht="19.5" customHeight="1">
      <c r="A325" s="172" t="s">
        <v>1477</v>
      </c>
      <c r="B325" s="176">
        <v>46056</v>
      </c>
      <c r="C325" s="172" t="s">
        <v>100</v>
      </c>
      <c r="D325" s="172" t="s">
        <v>101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692.38</v>
      </c>
    </row>
    <row r="326" spans="1:16" ht="19.5" customHeight="1">
      <c r="A326" s="172" t="s">
        <v>1477</v>
      </c>
      <c r="B326" s="176">
        <v>46056</v>
      </c>
      <c r="C326" s="172" t="s">
        <v>100</v>
      </c>
      <c r="D326" s="172" t="s">
        <v>102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1477</v>
      </c>
      <c r="B327" s="176">
        <v>46056</v>
      </c>
      <c r="C327" s="172" t="s">
        <v>100</v>
      </c>
      <c r="D327" s="172" t="s">
        <v>103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1119.6199999999999</v>
      </c>
    </row>
    <row r="328" spans="1:16" ht="19.5" customHeight="1">
      <c r="A328" s="172" t="s">
        <v>1477</v>
      </c>
      <c r="B328" s="176">
        <v>46056</v>
      </c>
      <c r="C328" s="172" t="s">
        <v>104</v>
      </c>
      <c r="D328" s="172" t="s">
        <v>105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-779.16</v>
      </c>
    </row>
    <row r="329" spans="1:16" ht="19.5" customHeight="1">
      <c r="A329" s="172" t="s">
        <v>1477</v>
      </c>
      <c r="B329" s="176">
        <v>46056</v>
      </c>
      <c r="C329" s="172" t="s">
        <v>81</v>
      </c>
      <c r="D329" s="172" t="s">
        <v>95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1812</v>
      </c>
      <c r="J329" s="176">
        <v>46047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-24.63</v>
      </c>
    </row>
    <row r="330" spans="1:16" ht="19.5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46053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-11.99</v>
      </c>
    </row>
    <row r="331" spans="1:16" ht="19.5" customHeight="1">
      <c r="A331" s="172" t="s">
        <v>1478</v>
      </c>
      <c r="B331" s="176">
        <v>46056</v>
      </c>
      <c r="C331" s="172" t="s">
        <v>81</v>
      </c>
      <c r="D331" s="172" t="s">
        <v>82</v>
      </c>
      <c r="E331" s="172" t="s">
        <v>56</v>
      </c>
      <c r="F331" s="172" t="s">
        <v>1215</v>
      </c>
      <c r="G331" s="172" t="s">
        <v>84</v>
      </c>
      <c r="H331" s="177">
        <v>1</v>
      </c>
      <c r="I331" s="178">
        <v>0</v>
      </c>
      <c r="J331" s="176">
        <v>46056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-17.39</v>
      </c>
    </row>
    <row r="332" spans="1:16" ht="19.5" customHeight="1">
      <c r="A332" s="172" t="s">
        <v>1479</v>
      </c>
      <c r="B332" s="176">
        <v>46056</v>
      </c>
      <c r="C332" s="172" t="s">
        <v>92</v>
      </c>
      <c r="D332" s="172" t="s">
        <v>24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0.43</v>
      </c>
      <c r="N332" s="177"/>
      <c r="O332" s="177">
        <v>44</v>
      </c>
      <c r="P332" s="180">
        <v>-147.97999999999999</v>
      </c>
    </row>
    <row r="333" spans="1:16" ht="19.5" customHeight="1">
      <c r="A333" s="172" t="s">
        <v>1479</v>
      </c>
      <c r="B333" s="176">
        <v>46056</v>
      </c>
      <c r="C333" s="172" t="s">
        <v>100</v>
      </c>
      <c r="D333" s="172" t="s">
        <v>101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627.02</v>
      </c>
    </row>
    <row r="334" spans="1:16" ht="19.5" customHeight="1">
      <c r="A334" s="172" t="s">
        <v>1479</v>
      </c>
      <c r="B334" s="176">
        <v>46056</v>
      </c>
      <c r="C334" s="172" t="s">
        <v>100</v>
      </c>
      <c r="D334" s="172" t="s">
        <v>102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6.27</v>
      </c>
    </row>
    <row r="335" spans="1:16" ht="19.5" customHeight="1">
      <c r="A335" s="172" t="s">
        <v>1479</v>
      </c>
      <c r="B335" s="176">
        <v>46056</v>
      </c>
      <c r="C335" s="172" t="s">
        <v>100</v>
      </c>
      <c r="D335" s="172" t="s">
        <v>103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1166.71</v>
      </c>
    </row>
    <row r="336" spans="1:16" ht="19.5" customHeight="1">
      <c r="A336" s="172" t="s">
        <v>1479</v>
      </c>
      <c r="B336" s="176">
        <v>46056</v>
      </c>
      <c r="C336" s="172" t="s">
        <v>104</v>
      </c>
      <c r="D336" s="172" t="s">
        <v>105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-774</v>
      </c>
    </row>
    <row r="337" spans="1:16" ht="19.5" customHeight="1">
      <c r="A337" s="172" t="s">
        <v>1479</v>
      </c>
      <c r="B337" s="176">
        <v>46056</v>
      </c>
      <c r="C337" s="172" t="s">
        <v>81</v>
      </c>
      <c r="D337" s="172" t="s">
        <v>95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1800</v>
      </c>
      <c r="J337" s="176">
        <v>46048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-12.39</v>
      </c>
    </row>
    <row r="338" spans="1:16" ht="19.5" customHeight="1">
      <c r="A338" s="172" t="s">
        <v>1480</v>
      </c>
      <c r="B338" s="176">
        <v>46056</v>
      </c>
      <c r="C338" s="172" t="s">
        <v>81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-16.05</v>
      </c>
    </row>
    <row r="339" spans="1:16" ht="19.5" customHeight="1">
      <c r="A339" s="172" t="s">
        <v>1481</v>
      </c>
      <c r="B339" s="176">
        <v>46056</v>
      </c>
      <c r="C339" s="172" t="s">
        <v>81</v>
      </c>
      <c r="D339" s="172" t="s">
        <v>82</v>
      </c>
      <c r="E339" s="172" t="s">
        <v>60</v>
      </c>
      <c r="F339" s="172" t="s">
        <v>1430</v>
      </c>
      <c r="G339" s="172" t="s">
        <v>84</v>
      </c>
      <c r="H339" s="177">
        <v>1</v>
      </c>
      <c r="I339" s="178">
        <v>0</v>
      </c>
      <c r="J339" s="176">
        <v>46056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-15.74</v>
      </c>
    </row>
    <row r="340" spans="1:16" ht="19.5" customHeight="1">
      <c r="A340" s="172" t="s">
        <v>1323</v>
      </c>
      <c r="B340" s="176">
        <v>46056</v>
      </c>
      <c r="C340" s="172" t="s">
        <v>166</v>
      </c>
      <c r="D340" s="172" t="s">
        <v>167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-666.98</v>
      </c>
    </row>
    <row r="341" spans="1:16" ht="19.5" customHeight="1">
      <c r="A341" s="172" t="s">
        <v>1323</v>
      </c>
      <c r="B341" s="176">
        <v>46056</v>
      </c>
      <c r="C341" s="172" t="s">
        <v>166</v>
      </c>
      <c r="D341" s="172" t="s">
        <v>102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-6.67</v>
      </c>
    </row>
    <row r="342" spans="1:16" ht="19.5" customHeight="1">
      <c r="A342" s="172" t="s">
        <v>1323</v>
      </c>
      <c r="B342" s="176">
        <v>46056</v>
      </c>
      <c r="C342" s="172" t="s">
        <v>166</v>
      </c>
      <c r="D342" s="172" t="s">
        <v>103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-1138.3499999999999</v>
      </c>
    </row>
    <row r="343" spans="1:16" ht="19.5" customHeight="1">
      <c r="A343" s="172" t="s">
        <v>1323</v>
      </c>
      <c r="B343" s="176">
        <v>46056</v>
      </c>
      <c r="C343" s="172" t="s">
        <v>104</v>
      </c>
      <c r="D343" s="172" t="s">
        <v>168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-1812</v>
      </c>
      <c r="J343" s="176">
        <v>46048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779.16</v>
      </c>
    </row>
    <row r="344" spans="1:16" ht="19.5" customHeight="1">
      <c r="A344" s="172" t="s">
        <v>1482</v>
      </c>
      <c r="B344" s="176">
        <v>46056</v>
      </c>
      <c r="C344" s="172" t="s">
        <v>81</v>
      </c>
      <c r="D344" s="172" t="s">
        <v>82</v>
      </c>
      <c r="E344" s="172" t="s">
        <v>56</v>
      </c>
      <c r="F344" s="172" t="s">
        <v>1215</v>
      </c>
      <c r="G344" s="172" t="s">
        <v>84</v>
      </c>
      <c r="H344" s="177">
        <v>1</v>
      </c>
      <c r="I344" s="178">
        <v>0</v>
      </c>
      <c r="J344" s="176">
        <v>46056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-17.39</v>
      </c>
    </row>
    <row r="345" spans="1:16" ht="19.5" customHeight="1">
      <c r="A345" s="172" t="s">
        <v>1483</v>
      </c>
      <c r="B345" s="176">
        <v>46056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-149.88999999999999</v>
      </c>
    </row>
    <row r="346" spans="1:16" ht="19.5" customHeight="1">
      <c r="A346" s="172" t="s">
        <v>1483</v>
      </c>
      <c r="B346" s="176">
        <v>46056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690.48</v>
      </c>
    </row>
    <row r="347" spans="1:16" ht="19.5" customHeight="1">
      <c r="A347" s="172" t="s">
        <v>1483</v>
      </c>
      <c r="B347" s="176">
        <v>46056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customHeight="1">
      <c r="A348" s="172" t="s">
        <v>1483</v>
      </c>
      <c r="B348" s="176">
        <v>46056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1121.52</v>
      </c>
    </row>
    <row r="349" spans="1:16" ht="19.5" customHeight="1">
      <c r="A349" s="172" t="s">
        <v>1483</v>
      </c>
      <c r="B349" s="176">
        <v>46056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-779.16</v>
      </c>
    </row>
    <row r="350" spans="1:16" ht="19.5" customHeight="1">
      <c r="A350" s="172" t="s">
        <v>1483</v>
      </c>
      <c r="B350" s="176">
        <v>46056</v>
      </c>
      <c r="C350" s="172" t="s">
        <v>81</v>
      </c>
      <c r="D350" s="172" t="s">
        <v>95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1812</v>
      </c>
      <c r="J350" s="176">
        <v>46050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-10.52</v>
      </c>
    </row>
    <row r="351" spans="1:16" ht="19.5" customHeight="1">
      <c r="A351" s="172" t="s">
        <v>1123</v>
      </c>
      <c r="B351" s="176">
        <v>46056</v>
      </c>
      <c r="C351" s="172" t="s">
        <v>81</v>
      </c>
      <c r="D351" s="172" t="s">
        <v>82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0</v>
      </c>
      <c r="J351" s="176">
        <v>46048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12.67</v>
      </c>
    </row>
    <row r="352" spans="1:16" ht="19.5" customHeight="1">
      <c r="A352" s="172" t="s">
        <v>1484</v>
      </c>
      <c r="B352" s="176">
        <v>46056</v>
      </c>
      <c r="C352" s="172" t="s">
        <v>81</v>
      </c>
      <c r="D352" s="172" t="s">
        <v>82</v>
      </c>
      <c r="E352" s="172" t="s">
        <v>57</v>
      </c>
      <c r="F352" s="172" t="s">
        <v>1265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-16.559999999999999</v>
      </c>
    </row>
    <row r="353" spans="1:16" ht="19.5" customHeight="1">
      <c r="A353" s="172" t="s">
        <v>1485</v>
      </c>
      <c r="B353" s="176">
        <v>46056</v>
      </c>
      <c r="C353" s="172" t="s">
        <v>81</v>
      </c>
      <c r="D353" s="172" t="s">
        <v>82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0</v>
      </c>
      <c r="J353" s="176">
        <v>46056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-15.08</v>
      </c>
    </row>
    <row r="354" spans="1:16" ht="19.5" customHeight="1">
      <c r="A354" s="172" t="s">
        <v>1486</v>
      </c>
      <c r="B354" s="176">
        <v>46056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0.43</v>
      </c>
      <c r="N354" s="177"/>
      <c r="O354" s="177">
        <v>43</v>
      </c>
      <c r="P354" s="180">
        <v>-143.6</v>
      </c>
    </row>
    <row r="355" spans="1:16" ht="19.5" customHeight="1">
      <c r="A355" s="172" t="s">
        <v>1486</v>
      </c>
      <c r="B355" s="176">
        <v>46056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627.62</v>
      </c>
    </row>
    <row r="356" spans="1:16" ht="19.5" customHeight="1">
      <c r="A356" s="172" t="s">
        <v>1486</v>
      </c>
      <c r="B356" s="176">
        <v>46056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6.28</v>
      </c>
    </row>
    <row r="357" spans="1:16" ht="19.5" customHeight="1">
      <c r="A357" s="172" t="s">
        <v>1486</v>
      </c>
      <c r="B357" s="176">
        <v>46056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1166.0999999999999</v>
      </c>
    </row>
    <row r="358" spans="1:16" ht="19.5" customHeight="1">
      <c r="A358" s="172" t="s">
        <v>1486</v>
      </c>
      <c r="B358" s="176">
        <v>46056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-774</v>
      </c>
    </row>
    <row r="359" spans="1:16" ht="19.5" customHeight="1">
      <c r="A359" s="172" t="s">
        <v>1486</v>
      </c>
      <c r="B359" s="176">
        <v>46056</v>
      </c>
      <c r="C359" s="172" t="s">
        <v>81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1800</v>
      </c>
      <c r="J359" s="176">
        <v>46054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-8.67</v>
      </c>
    </row>
    <row r="360" spans="1:16" ht="19.5" customHeight="1">
      <c r="A360" s="172" t="s">
        <v>1487</v>
      </c>
      <c r="B360" s="176">
        <v>46056</v>
      </c>
      <c r="C360" s="172" t="s">
        <v>81</v>
      </c>
      <c r="D360" s="172" t="s">
        <v>82</v>
      </c>
      <c r="E360" s="172" t="s">
        <v>52</v>
      </c>
      <c r="F360" s="172" t="s">
        <v>90</v>
      </c>
      <c r="G360" s="172" t="s">
        <v>84</v>
      </c>
      <c r="H360" s="177">
        <v>2</v>
      </c>
      <c r="I360" s="178">
        <v>0</v>
      </c>
      <c r="J360" s="176">
        <v>46056</v>
      </c>
      <c r="K360" s="172" t="s">
        <v>85</v>
      </c>
      <c r="L360" s="172" t="s">
        <v>85</v>
      </c>
      <c r="M360" s="179">
        <v>0</v>
      </c>
      <c r="N360" s="177"/>
      <c r="O360" s="177"/>
      <c r="P360" s="180">
        <v>-30.22</v>
      </c>
    </row>
    <row r="361" spans="1:16" ht="19.5" customHeight="1">
      <c r="A361" s="172" t="s">
        <v>1488</v>
      </c>
      <c r="B361" s="176">
        <v>46056</v>
      </c>
      <c r="C361" s="172" t="s">
        <v>92</v>
      </c>
      <c r="D361" s="172" t="s">
        <v>24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0.43</v>
      </c>
      <c r="N361" s="177"/>
      <c r="O361" s="177">
        <v>41</v>
      </c>
      <c r="P361" s="180">
        <v>-119.28</v>
      </c>
    </row>
    <row r="362" spans="1:16" ht="19.5" customHeight="1">
      <c r="A362" s="172" t="s">
        <v>1488</v>
      </c>
      <c r="B362" s="176">
        <v>46056</v>
      </c>
      <c r="C362" s="172" t="s">
        <v>100</v>
      </c>
      <c r="D362" s="172" t="s">
        <v>101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608.37</v>
      </c>
    </row>
    <row r="363" spans="1:16" ht="19.5" customHeight="1">
      <c r="A363" s="172" t="s">
        <v>1488</v>
      </c>
      <c r="B363" s="176">
        <v>46056</v>
      </c>
      <c r="C363" s="172" t="s">
        <v>100</v>
      </c>
      <c r="D363" s="172" t="s">
        <v>102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6.08</v>
      </c>
    </row>
    <row r="364" spans="1:16" ht="19.5" customHeight="1">
      <c r="A364" s="172" t="s">
        <v>1488</v>
      </c>
      <c r="B364" s="176">
        <v>46056</v>
      </c>
      <c r="C364" s="172" t="s">
        <v>100</v>
      </c>
      <c r="D364" s="172" t="s">
        <v>103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1135.55</v>
      </c>
    </row>
    <row r="365" spans="1:16" ht="19.5" customHeight="1">
      <c r="A365" s="172" t="s">
        <v>1488</v>
      </c>
      <c r="B365" s="176">
        <v>46056</v>
      </c>
      <c r="C365" s="172" t="s">
        <v>104</v>
      </c>
      <c r="D365" s="172" t="s">
        <v>105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-752.5</v>
      </c>
    </row>
    <row r="366" spans="1:16" ht="19.5" customHeight="1">
      <c r="A366" s="172" t="s">
        <v>1488</v>
      </c>
      <c r="B366" s="176">
        <v>46056</v>
      </c>
      <c r="C366" s="172" t="s">
        <v>81</v>
      </c>
      <c r="D366" s="172" t="s">
        <v>95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-8.82</v>
      </c>
    </row>
    <row r="367" spans="1:16" ht="19.5" customHeight="1">
      <c r="A367" s="172" t="s">
        <v>1489</v>
      </c>
      <c r="B367" s="176">
        <v>46056</v>
      </c>
      <c r="C367" s="172" t="s">
        <v>92</v>
      </c>
      <c r="D367" s="172" t="s">
        <v>24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0.43</v>
      </c>
      <c r="N367" s="177"/>
      <c r="O367" s="177">
        <v>41</v>
      </c>
      <c r="P367" s="180">
        <v>-118.09</v>
      </c>
    </row>
    <row r="368" spans="1:16" ht="19.5" customHeight="1">
      <c r="A368" s="172" t="s">
        <v>1489</v>
      </c>
      <c r="B368" s="176">
        <v>46056</v>
      </c>
      <c r="C368" s="172" t="s">
        <v>100</v>
      </c>
      <c r="D368" s="172" t="s">
        <v>101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679.66</v>
      </c>
    </row>
    <row r="369" spans="1:16" ht="19.5" customHeight="1">
      <c r="A369" s="172" t="s">
        <v>1489</v>
      </c>
      <c r="B369" s="176">
        <v>46056</v>
      </c>
      <c r="C369" s="172" t="s">
        <v>100</v>
      </c>
      <c r="D369" s="172" t="s">
        <v>102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6.8</v>
      </c>
    </row>
    <row r="370" spans="1:16" ht="19.5" customHeight="1">
      <c r="A370" s="172" t="s">
        <v>1489</v>
      </c>
      <c r="B370" s="176">
        <v>46056</v>
      </c>
      <c r="C370" s="172" t="s">
        <v>100</v>
      </c>
      <c r="D370" s="172" t="s">
        <v>103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1063.54</v>
      </c>
    </row>
    <row r="371" spans="1:16" ht="19.5" customHeight="1">
      <c r="A371" s="172" t="s">
        <v>1489</v>
      </c>
      <c r="B371" s="176">
        <v>46056</v>
      </c>
      <c r="C371" s="172" t="s">
        <v>104</v>
      </c>
      <c r="D371" s="172" t="s">
        <v>105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-752.5</v>
      </c>
    </row>
    <row r="372" spans="1:16" ht="19.5" customHeight="1">
      <c r="A372" s="172" t="s">
        <v>1489</v>
      </c>
      <c r="B372" s="176">
        <v>46056</v>
      </c>
      <c r="C372" s="172" t="s">
        <v>81</v>
      </c>
      <c r="D372" s="172" t="s">
        <v>95</v>
      </c>
      <c r="E372" s="172" t="s">
        <v>41</v>
      </c>
      <c r="F372" s="172" t="s">
        <v>83</v>
      </c>
      <c r="G372" s="172" t="s">
        <v>84</v>
      </c>
      <c r="H372" s="177">
        <v>1</v>
      </c>
      <c r="I372" s="178">
        <v>1750</v>
      </c>
      <c r="J372" s="176">
        <v>46055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-9.41</v>
      </c>
    </row>
    <row r="373" spans="1:16" ht="19.5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0</v>
      </c>
      <c r="J373" s="176">
        <v>46054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-11.92</v>
      </c>
    </row>
    <row r="374" spans="1:16" ht="19.5" customHeight="1">
      <c r="A374" s="172" t="s">
        <v>1490</v>
      </c>
      <c r="B374" s="176">
        <v>46056</v>
      </c>
      <c r="C374" s="172" t="s">
        <v>81</v>
      </c>
      <c r="D374" s="172" t="s">
        <v>82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-18.350000000000001</v>
      </c>
    </row>
    <row r="375" spans="1:16" ht="19.5" customHeight="1">
      <c r="A375" s="172" t="s">
        <v>1491</v>
      </c>
      <c r="B375" s="176">
        <v>46056</v>
      </c>
      <c r="C375" s="172" t="s">
        <v>92</v>
      </c>
      <c r="D375" s="172" t="s">
        <v>24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0.43</v>
      </c>
      <c r="N375" s="177"/>
      <c r="O375" s="177">
        <v>43</v>
      </c>
      <c r="P375" s="180">
        <v>-127.33</v>
      </c>
    </row>
    <row r="376" spans="1:16" ht="19.5" customHeight="1">
      <c r="A376" s="172" t="s">
        <v>1491</v>
      </c>
      <c r="B376" s="176">
        <v>46056</v>
      </c>
      <c r="C376" s="172" t="s">
        <v>100</v>
      </c>
      <c r="D376" s="172" t="s">
        <v>101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609.52</v>
      </c>
    </row>
    <row r="377" spans="1:16" ht="19.5" customHeight="1">
      <c r="A377" s="172" t="s">
        <v>1491</v>
      </c>
      <c r="B377" s="176">
        <v>46056</v>
      </c>
      <c r="C377" s="172" t="s">
        <v>100</v>
      </c>
      <c r="D377" s="172" t="s">
        <v>102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6.1</v>
      </c>
    </row>
    <row r="378" spans="1:16" ht="19.5" customHeight="1">
      <c r="A378" s="172" t="s">
        <v>1491</v>
      </c>
      <c r="B378" s="176">
        <v>46056</v>
      </c>
      <c r="C378" s="172" t="s">
        <v>100</v>
      </c>
      <c r="D378" s="172" t="s">
        <v>103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1134.3800000000001</v>
      </c>
    </row>
    <row r="379" spans="1:16" ht="19.5" customHeight="1">
      <c r="A379" s="172" t="s">
        <v>1491</v>
      </c>
      <c r="B379" s="176">
        <v>46056</v>
      </c>
      <c r="C379" s="172" t="s">
        <v>104</v>
      </c>
      <c r="D379" s="172" t="s">
        <v>105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-752.5</v>
      </c>
    </row>
    <row r="380" spans="1:16" ht="19.5" customHeight="1">
      <c r="A380" s="172" t="s">
        <v>1491</v>
      </c>
      <c r="B380" s="176">
        <v>46056</v>
      </c>
      <c r="C380" s="172" t="s">
        <v>81</v>
      </c>
      <c r="D380" s="172" t="s">
        <v>95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1750</v>
      </c>
      <c r="J380" s="176">
        <v>46054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-9.68</v>
      </c>
    </row>
    <row r="381" spans="1:16" ht="19.5" customHeight="1">
      <c r="A381" s="172" t="s">
        <v>1491</v>
      </c>
      <c r="B381" s="176">
        <v>46056</v>
      </c>
      <c r="C381" s="172" t="s">
        <v>81</v>
      </c>
      <c r="D381" s="172" t="s">
        <v>82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46054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-11.58</v>
      </c>
    </row>
    <row r="382" spans="1:16" ht="19.5" customHeight="1">
      <c r="A382" s="172" t="s">
        <v>1492</v>
      </c>
      <c r="B382" s="176">
        <v>46056</v>
      </c>
      <c r="C382" s="172" t="s">
        <v>92</v>
      </c>
      <c r="D382" s="172" t="s">
        <v>24</v>
      </c>
      <c r="E382" s="172" t="s">
        <v>58</v>
      </c>
      <c r="F382" s="172" t="s">
        <v>1302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0.43</v>
      </c>
      <c r="N382" s="177"/>
      <c r="O382" s="177">
        <v>41</v>
      </c>
      <c r="P382" s="180">
        <v>-141.69</v>
      </c>
    </row>
    <row r="383" spans="1:16" ht="19.5" customHeight="1">
      <c r="A383" s="172" t="s">
        <v>1492</v>
      </c>
      <c r="B383" s="176">
        <v>46056</v>
      </c>
      <c r="C383" s="172" t="s">
        <v>100</v>
      </c>
      <c r="D383" s="172" t="s">
        <v>101</v>
      </c>
      <c r="E383" s="172" t="s">
        <v>58</v>
      </c>
      <c r="F383" s="172" t="s">
        <v>1302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915.24</v>
      </c>
    </row>
    <row r="384" spans="1:16" ht="19.5" customHeight="1">
      <c r="A384" s="172" t="s">
        <v>1492</v>
      </c>
      <c r="B384" s="176">
        <v>46056</v>
      </c>
      <c r="C384" s="172" t="s">
        <v>100</v>
      </c>
      <c r="D384" s="172" t="s">
        <v>102</v>
      </c>
      <c r="E384" s="172" t="s">
        <v>58</v>
      </c>
      <c r="F384" s="172" t="s">
        <v>1302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9.15</v>
      </c>
    </row>
    <row r="385" spans="1:16" ht="19.5" customHeight="1">
      <c r="A385" s="172" t="s">
        <v>1492</v>
      </c>
      <c r="B385" s="176">
        <v>46056</v>
      </c>
      <c r="C385" s="172" t="s">
        <v>100</v>
      </c>
      <c r="D385" s="172" t="s">
        <v>103</v>
      </c>
      <c r="E385" s="172" t="s">
        <v>58</v>
      </c>
      <c r="F385" s="172" t="s">
        <v>1302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1075.6099999999999</v>
      </c>
    </row>
    <row r="386" spans="1:16" ht="19.5" customHeight="1">
      <c r="A386" s="172" t="s">
        <v>1492</v>
      </c>
      <c r="B386" s="176">
        <v>46056</v>
      </c>
      <c r="C386" s="172" t="s">
        <v>104</v>
      </c>
      <c r="D386" s="172" t="s">
        <v>105</v>
      </c>
      <c r="E386" s="172" t="s">
        <v>58</v>
      </c>
      <c r="F386" s="172" t="s">
        <v>1302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-860</v>
      </c>
    </row>
    <row r="387" spans="1:16" ht="19.5" customHeight="1">
      <c r="A387" s="172" t="s">
        <v>1492</v>
      </c>
      <c r="B387" s="176">
        <v>46056</v>
      </c>
      <c r="C387" s="172" t="s">
        <v>81</v>
      </c>
      <c r="D387" s="172" t="s">
        <v>95</v>
      </c>
      <c r="E387" s="172" t="s">
        <v>58</v>
      </c>
      <c r="F387" s="172" t="s">
        <v>1302</v>
      </c>
      <c r="G387" s="172" t="s">
        <v>84</v>
      </c>
      <c r="H387" s="177">
        <v>1</v>
      </c>
      <c r="I387" s="178">
        <v>2000</v>
      </c>
      <c r="J387" s="176">
        <v>46055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-22.4</v>
      </c>
    </row>
    <row r="388" spans="1:16" ht="19.5" customHeight="1">
      <c r="A388" s="172" t="s">
        <v>1493</v>
      </c>
      <c r="B388" s="176">
        <v>46056</v>
      </c>
      <c r="C388" s="172" t="s">
        <v>92</v>
      </c>
      <c r="D388" s="172" t="s">
        <v>24</v>
      </c>
      <c r="E388" s="172" t="s">
        <v>59</v>
      </c>
      <c r="F388" s="172" t="s">
        <v>1389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0.43</v>
      </c>
      <c r="N388" s="177"/>
      <c r="O388" s="177">
        <v>43</v>
      </c>
      <c r="P388" s="180">
        <v>-151.1</v>
      </c>
    </row>
    <row r="389" spans="1:16" ht="19.5" customHeight="1">
      <c r="A389" s="172" t="s">
        <v>1493</v>
      </c>
      <c r="B389" s="176">
        <v>46056</v>
      </c>
      <c r="C389" s="172" t="s">
        <v>100</v>
      </c>
      <c r="D389" s="172" t="s">
        <v>101</v>
      </c>
      <c r="E389" s="172" t="s">
        <v>59</v>
      </c>
      <c r="F389" s="172" t="s">
        <v>1389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823.81</v>
      </c>
    </row>
    <row r="390" spans="1:16" ht="19.5" customHeight="1">
      <c r="A390" s="172" t="s">
        <v>1493</v>
      </c>
      <c r="B390" s="176">
        <v>46056</v>
      </c>
      <c r="C390" s="172" t="s">
        <v>100</v>
      </c>
      <c r="D390" s="172" t="s">
        <v>102</v>
      </c>
      <c r="E390" s="172" t="s">
        <v>59</v>
      </c>
      <c r="F390" s="172" t="s">
        <v>1389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8.24</v>
      </c>
    </row>
    <row r="391" spans="1:16" ht="19.5" customHeight="1">
      <c r="A391" s="172" t="s">
        <v>1493</v>
      </c>
      <c r="B391" s="176">
        <v>46056</v>
      </c>
      <c r="C391" s="172" t="s">
        <v>100</v>
      </c>
      <c r="D391" s="172" t="s">
        <v>103</v>
      </c>
      <c r="E391" s="172" t="s">
        <v>59</v>
      </c>
      <c r="F391" s="172" t="s">
        <v>1389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1167.95</v>
      </c>
    </row>
    <row r="392" spans="1:16" ht="19.5" customHeight="1">
      <c r="A392" s="172" t="s">
        <v>1493</v>
      </c>
      <c r="B392" s="176">
        <v>46056</v>
      </c>
      <c r="C392" s="172" t="s">
        <v>104</v>
      </c>
      <c r="D392" s="172" t="s">
        <v>105</v>
      </c>
      <c r="E392" s="172" t="s">
        <v>59</v>
      </c>
      <c r="F392" s="172" t="s">
        <v>1389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-860</v>
      </c>
    </row>
    <row r="393" spans="1:16" ht="19.5" customHeight="1">
      <c r="A393" s="172" t="s">
        <v>1493</v>
      </c>
      <c r="B393" s="176">
        <v>46056</v>
      </c>
      <c r="C393" s="172" t="s">
        <v>81</v>
      </c>
      <c r="D393" s="172" t="s">
        <v>95</v>
      </c>
      <c r="E393" s="172" t="s">
        <v>59</v>
      </c>
      <c r="F393" s="172" t="s">
        <v>1389</v>
      </c>
      <c r="G393" s="172" t="s">
        <v>84</v>
      </c>
      <c r="H393" s="177">
        <v>1</v>
      </c>
      <c r="I393" s="178">
        <v>2000</v>
      </c>
      <c r="J393" s="176">
        <v>46054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-16</v>
      </c>
    </row>
    <row r="394" spans="1:16" ht="19.5" customHeight="1">
      <c r="A394" s="172" t="s">
        <v>1494</v>
      </c>
      <c r="B394" s="176">
        <v>46056</v>
      </c>
      <c r="C394" s="172" t="s">
        <v>92</v>
      </c>
      <c r="D394" s="172" t="s">
        <v>24</v>
      </c>
      <c r="E394" s="172" t="s">
        <v>58</v>
      </c>
      <c r="F394" s="172" t="s">
        <v>1302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0.43</v>
      </c>
      <c r="N394" s="177"/>
      <c r="O394" s="177">
        <v>41</v>
      </c>
      <c r="P394" s="180">
        <v>-141.69</v>
      </c>
    </row>
    <row r="395" spans="1:16" ht="19.5" customHeight="1">
      <c r="A395" s="172" t="s">
        <v>1494</v>
      </c>
      <c r="B395" s="176">
        <v>46056</v>
      </c>
      <c r="C395" s="172" t="s">
        <v>100</v>
      </c>
      <c r="D395" s="172" t="s">
        <v>101</v>
      </c>
      <c r="E395" s="172" t="s">
        <v>58</v>
      </c>
      <c r="F395" s="172" t="s">
        <v>1302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915.24</v>
      </c>
    </row>
    <row r="396" spans="1:16" ht="19.5" customHeight="1">
      <c r="A396" s="172" t="s">
        <v>1494</v>
      </c>
      <c r="B396" s="176">
        <v>46056</v>
      </c>
      <c r="C396" s="172" t="s">
        <v>100</v>
      </c>
      <c r="D396" s="172" t="s">
        <v>102</v>
      </c>
      <c r="E396" s="172" t="s">
        <v>58</v>
      </c>
      <c r="F396" s="172" t="s">
        <v>1302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9.15</v>
      </c>
    </row>
    <row r="397" spans="1:16" ht="19.5" customHeight="1">
      <c r="A397" s="172" t="s">
        <v>1494</v>
      </c>
      <c r="B397" s="176">
        <v>46056</v>
      </c>
      <c r="C397" s="172" t="s">
        <v>100</v>
      </c>
      <c r="D397" s="172" t="s">
        <v>103</v>
      </c>
      <c r="E397" s="172" t="s">
        <v>58</v>
      </c>
      <c r="F397" s="172" t="s">
        <v>1302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1075.6099999999999</v>
      </c>
    </row>
    <row r="398" spans="1:16" ht="19.5" customHeight="1">
      <c r="A398" s="172" t="s">
        <v>1494</v>
      </c>
      <c r="B398" s="176">
        <v>46056</v>
      </c>
      <c r="C398" s="172" t="s">
        <v>104</v>
      </c>
      <c r="D398" s="172" t="s">
        <v>105</v>
      </c>
      <c r="E398" s="172" t="s">
        <v>58</v>
      </c>
      <c r="F398" s="172" t="s">
        <v>1302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-860</v>
      </c>
    </row>
    <row r="399" spans="1:16" ht="19.5" customHeight="1">
      <c r="A399" s="172" t="s">
        <v>1494</v>
      </c>
      <c r="B399" s="176">
        <v>46056</v>
      </c>
      <c r="C399" s="172" t="s">
        <v>81</v>
      </c>
      <c r="D399" s="172" t="s">
        <v>95</v>
      </c>
      <c r="E399" s="172" t="s">
        <v>58</v>
      </c>
      <c r="F399" s="172" t="s">
        <v>1302</v>
      </c>
      <c r="G399" s="172" t="s">
        <v>84</v>
      </c>
      <c r="H399" s="177">
        <v>1</v>
      </c>
      <c r="I399" s="178">
        <v>2000</v>
      </c>
      <c r="J399" s="176">
        <v>46055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-8.44</v>
      </c>
    </row>
    <row r="400" spans="1:16" ht="19.5" customHeight="1">
      <c r="A400" s="172" t="s">
        <v>1494</v>
      </c>
      <c r="B400" s="176">
        <v>46056</v>
      </c>
      <c r="C400" s="172" t="s">
        <v>81</v>
      </c>
      <c r="D400" s="172" t="s">
        <v>82</v>
      </c>
      <c r="E400" s="172" t="s">
        <v>58</v>
      </c>
      <c r="F400" s="172" t="s">
        <v>1302</v>
      </c>
      <c r="G400" s="172" t="s">
        <v>84</v>
      </c>
      <c r="H400" s="177">
        <v>1</v>
      </c>
      <c r="I400" s="178">
        <v>0</v>
      </c>
      <c r="J400" s="176">
        <v>46055</v>
      </c>
      <c r="K400" s="172" t="s">
        <v>85</v>
      </c>
      <c r="L400" s="172" t="s">
        <v>85</v>
      </c>
      <c r="M400" s="179">
        <v>0</v>
      </c>
      <c r="N400" s="177"/>
      <c r="O400" s="177"/>
      <c r="P400" s="180">
        <v>-17.39</v>
      </c>
    </row>
    <row r="401" spans="1:16" ht="19.5" customHeight="1">
      <c r="A401" s="172" t="s">
        <v>1495</v>
      </c>
      <c r="B401" s="176">
        <v>46056</v>
      </c>
      <c r="C401" s="172" t="s">
        <v>92</v>
      </c>
      <c r="D401" s="172" t="s">
        <v>24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0.43</v>
      </c>
      <c r="N401" s="177"/>
      <c r="O401" s="177">
        <v>44</v>
      </c>
      <c r="P401" s="180">
        <v>-149.51</v>
      </c>
    </row>
    <row r="402" spans="1:16" ht="19.5" customHeight="1">
      <c r="A402" s="172" t="s">
        <v>1495</v>
      </c>
      <c r="B402" s="176">
        <v>46056</v>
      </c>
      <c r="C402" s="172" t="s">
        <v>100</v>
      </c>
      <c r="D402" s="172" t="s">
        <v>101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634.63</v>
      </c>
    </row>
    <row r="403" spans="1:16" ht="19.5" customHeight="1">
      <c r="A403" s="172" t="s">
        <v>1495</v>
      </c>
      <c r="B403" s="176">
        <v>46056</v>
      </c>
      <c r="C403" s="172" t="s">
        <v>100</v>
      </c>
      <c r="D403" s="172" t="s">
        <v>102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6.35</v>
      </c>
    </row>
    <row r="404" spans="1:16" ht="19.5" customHeight="1">
      <c r="A404" s="172" t="s">
        <v>1495</v>
      </c>
      <c r="B404" s="176">
        <v>46056</v>
      </c>
      <c r="C404" s="172" t="s">
        <v>100</v>
      </c>
      <c r="D404" s="172" t="s">
        <v>103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1159.02</v>
      </c>
    </row>
    <row r="405" spans="1:16" ht="19.5" customHeight="1">
      <c r="A405" s="172" t="s">
        <v>1495</v>
      </c>
      <c r="B405" s="176">
        <v>46056</v>
      </c>
      <c r="C405" s="172" t="s">
        <v>104</v>
      </c>
      <c r="D405" s="172" t="s">
        <v>105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-774</v>
      </c>
    </row>
    <row r="406" spans="1:16" ht="19.5" customHeight="1">
      <c r="A406" s="172" t="s">
        <v>1495</v>
      </c>
      <c r="B406" s="176">
        <v>46056</v>
      </c>
      <c r="C406" s="172" t="s">
        <v>81</v>
      </c>
      <c r="D406" s="172" t="s">
        <v>95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46051</v>
      </c>
      <c r="K406" s="172" t="s">
        <v>93</v>
      </c>
      <c r="L406" s="172" t="s">
        <v>94</v>
      </c>
      <c r="M406" s="179">
        <v>0.43</v>
      </c>
      <c r="N406" s="177"/>
      <c r="O406" s="177"/>
      <c r="P406" s="180">
        <v>-11.31</v>
      </c>
    </row>
    <row r="407" spans="1:16" ht="19.5" customHeight="1">
      <c r="A407" s="172" t="s">
        <v>1496</v>
      </c>
      <c r="B407" s="176">
        <v>46056</v>
      </c>
      <c r="C407" s="172" t="s">
        <v>92</v>
      </c>
      <c r="D407" s="172" t="s">
        <v>24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0.43</v>
      </c>
      <c r="N407" s="177"/>
      <c r="O407" s="177">
        <v>44</v>
      </c>
      <c r="P407" s="180">
        <v>-147.97999999999999</v>
      </c>
    </row>
    <row r="408" spans="1:16" ht="19.5" customHeight="1">
      <c r="A408" s="172" t="s">
        <v>1496</v>
      </c>
      <c r="B408" s="176">
        <v>46056</v>
      </c>
      <c r="C408" s="172" t="s">
        <v>100</v>
      </c>
      <c r="D408" s="172" t="s">
        <v>101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602.03</v>
      </c>
    </row>
    <row r="409" spans="1:16" ht="19.5" customHeight="1">
      <c r="A409" s="172" t="s">
        <v>1496</v>
      </c>
      <c r="B409" s="176">
        <v>46056</v>
      </c>
      <c r="C409" s="172" t="s">
        <v>100</v>
      </c>
      <c r="D409" s="172" t="s">
        <v>102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6.02</v>
      </c>
    </row>
    <row r="410" spans="1:16" ht="19.5" customHeight="1">
      <c r="A410" s="172" t="s">
        <v>1496</v>
      </c>
      <c r="B410" s="176">
        <v>46056</v>
      </c>
      <c r="C410" s="172" t="s">
        <v>100</v>
      </c>
      <c r="D410" s="172" t="s">
        <v>103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1191.95</v>
      </c>
    </row>
    <row r="411" spans="1:16" ht="19.5" customHeight="1">
      <c r="A411" s="172" t="s">
        <v>1496</v>
      </c>
      <c r="B411" s="176">
        <v>46056</v>
      </c>
      <c r="C411" s="172" t="s">
        <v>104</v>
      </c>
      <c r="D411" s="172" t="s">
        <v>105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-774</v>
      </c>
    </row>
    <row r="412" spans="1:16" ht="19.5" customHeight="1">
      <c r="A412" s="172" t="s">
        <v>1496</v>
      </c>
      <c r="B412" s="176">
        <v>46056</v>
      </c>
      <c r="C412" s="172" t="s">
        <v>81</v>
      </c>
      <c r="D412" s="172" t="s">
        <v>95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1800</v>
      </c>
      <c r="J412" s="176">
        <v>46050</v>
      </c>
      <c r="K412" s="172" t="s">
        <v>93</v>
      </c>
      <c r="L412" s="172" t="s">
        <v>94</v>
      </c>
      <c r="M412" s="179">
        <v>0.43</v>
      </c>
      <c r="N412" s="177"/>
      <c r="O412" s="177"/>
      <c r="P412" s="180">
        <v>-18.739999999999998</v>
      </c>
    </row>
    <row r="413" spans="1:16" ht="19.5" customHeight="1">
      <c r="A413" s="172" t="s">
        <v>1497</v>
      </c>
      <c r="B413" s="176">
        <v>46056</v>
      </c>
      <c r="C413" s="172" t="s">
        <v>92</v>
      </c>
      <c r="D413" s="172" t="s">
        <v>24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0.43</v>
      </c>
      <c r="N413" s="177"/>
      <c r="O413" s="177">
        <v>41</v>
      </c>
      <c r="P413" s="180">
        <v>-136.61000000000001</v>
      </c>
    </row>
    <row r="414" spans="1:16" ht="19.5" customHeight="1">
      <c r="A414" s="172" t="s">
        <v>1497</v>
      </c>
      <c r="B414" s="176">
        <v>46056</v>
      </c>
      <c r="C414" s="172" t="s">
        <v>100</v>
      </c>
      <c r="D414" s="172" t="s">
        <v>101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630.83000000000004</v>
      </c>
    </row>
    <row r="415" spans="1:16" ht="19.5" customHeight="1">
      <c r="A415" s="172" t="s">
        <v>1497</v>
      </c>
      <c r="B415" s="176">
        <v>46056</v>
      </c>
      <c r="C415" s="172" t="s">
        <v>100</v>
      </c>
      <c r="D415" s="172" t="s">
        <v>102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6.31</v>
      </c>
    </row>
    <row r="416" spans="1:16" ht="19.5" customHeight="1">
      <c r="A416" s="172" t="s">
        <v>1497</v>
      </c>
      <c r="B416" s="176">
        <v>46056</v>
      </c>
      <c r="C416" s="172" t="s">
        <v>100</v>
      </c>
      <c r="D416" s="172" t="s">
        <v>103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1174.8599999999999</v>
      </c>
    </row>
    <row r="417" spans="1:16" ht="19.5" customHeight="1">
      <c r="A417" s="172" t="s">
        <v>1497</v>
      </c>
      <c r="B417" s="176">
        <v>46056</v>
      </c>
      <c r="C417" s="172" t="s">
        <v>104</v>
      </c>
      <c r="D417" s="172" t="s">
        <v>105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-779.16</v>
      </c>
    </row>
    <row r="418" spans="1:16" ht="19.5" customHeight="1">
      <c r="A418" s="172" t="s">
        <v>1497</v>
      </c>
      <c r="B418" s="176">
        <v>46056</v>
      </c>
      <c r="C418" s="172" t="s">
        <v>81</v>
      </c>
      <c r="D418" s="172" t="s">
        <v>95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1812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-22.65</v>
      </c>
    </row>
    <row r="419" spans="1:16" ht="19.5" customHeight="1">
      <c r="A419" s="172" t="s">
        <v>1498</v>
      </c>
      <c r="B419" s="176">
        <v>46056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0.43</v>
      </c>
      <c r="N419" s="177"/>
      <c r="O419" s="177">
        <v>41</v>
      </c>
      <c r="P419" s="180">
        <v>-130.08000000000001</v>
      </c>
    </row>
    <row r="420" spans="1:16" ht="19.5" customHeight="1">
      <c r="A420" s="172" t="s">
        <v>1498</v>
      </c>
      <c r="B420" s="176">
        <v>46056</v>
      </c>
      <c r="C420" s="172" t="s">
        <v>100</v>
      </c>
      <c r="D420" s="172" t="s">
        <v>101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822.24</v>
      </c>
    </row>
    <row r="421" spans="1:16" ht="19.5" customHeight="1">
      <c r="A421" s="172" t="s">
        <v>1498</v>
      </c>
      <c r="B421" s="176">
        <v>46056</v>
      </c>
      <c r="C421" s="172" t="s">
        <v>100</v>
      </c>
      <c r="D421" s="172" t="s">
        <v>102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8.2200000000000006</v>
      </c>
    </row>
    <row r="422" spans="1:16" ht="19.5" customHeight="1">
      <c r="A422" s="172" t="s">
        <v>1498</v>
      </c>
      <c r="B422" s="176">
        <v>46056</v>
      </c>
      <c r="C422" s="172" t="s">
        <v>100</v>
      </c>
      <c r="D422" s="172" t="s">
        <v>103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1319.54</v>
      </c>
    </row>
    <row r="423" spans="1:16" ht="19.5" customHeight="1">
      <c r="A423" s="172" t="s">
        <v>1498</v>
      </c>
      <c r="B423" s="176">
        <v>46056</v>
      </c>
      <c r="C423" s="172" t="s">
        <v>104</v>
      </c>
      <c r="D423" s="172" t="s">
        <v>105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-924.5</v>
      </c>
    </row>
    <row r="424" spans="1:16" ht="19.5" customHeight="1">
      <c r="A424" s="172" t="s">
        <v>1498</v>
      </c>
      <c r="B424" s="176">
        <v>46056</v>
      </c>
      <c r="C424" s="172" t="s">
        <v>81</v>
      </c>
      <c r="D424" s="172" t="s">
        <v>95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2150</v>
      </c>
      <c r="J424" s="176">
        <v>46055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-9.85</v>
      </c>
    </row>
    <row r="425" spans="1:16" ht="19.5" customHeight="1">
      <c r="A425" s="172" t="s">
        <v>1495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46051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-12.06</v>
      </c>
    </row>
    <row r="426" spans="1:16" ht="19.5" customHeight="1">
      <c r="A426" s="172" t="s">
        <v>1496</v>
      </c>
      <c r="B426" s="176">
        <v>46056</v>
      </c>
      <c r="C426" s="172" t="s">
        <v>81</v>
      </c>
      <c r="D426" s="172" t="s">
        <v>82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46050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-11.44</v>
      </c>
    </row>
    <row r="427" spans="1:16" ht="19.5" customHeight="1">
      <c r="A427" s="172" t="s">
        <v>1499</v>
      </c>
      <c r="B427" s="176">
        <v>46056</v>
      </c>
      <c r="C427" s="172" t="s">
        <v>92</v>
      </c>
      <c r="D427" s="172" t="s">
        <v>24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-114.09</v>
      </c>
    </row>
    <row r="428" spans="1:16" ht="19.5" customHeight="1">
      <c r="A428" s="172" t="s">
        <v>1499</v>
      </c>
      <c r="B428" s="176">
        <v>46056</v>
      </c>
      <c r="C428" s="172" t="s">
        <v>100</v>
      </c>
      <c r="D428" s="172" t="s">
        <v>101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685.71</v>
      </c>
    </row>
    <row r="429" spans="1:16" ht="19.5" customHeight="1">
      <c r="A429" s="172" t="s">
        <v>1499</v>
      </c>
      <c r="B429" s="176">
        <v>46056</v>
      </c>
      <c r="C429" s="172" t="s">
        <v>100</v>
      </c>
      <c r="D429" s="172" t="s">
        <v>102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6.86</v>
      </c>
    </row>
    <row r="430" spans="1:16" ht="19.5" customHeight="1">
      <c r="A430" s="172" t="s">
        <v>1499</v>
      </c>
      <c r="B430" s="176">
        <v>46056</v>
      </c>
      <c r="C430" s="172" t="s">
        <v>100</v>
      </c>
      <c r="D430" s="172" t="s">
        <v>103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1057.43</v>
      </c>
    </row>
    <row r="431" spans="1:16" ht="19.5" customHeight="1">
      <c r="A431" s="172" t="s">
        <v>1499</v>
      </c>
      <c r="B431" s="176">
        <v>46056</v>
      </c>
      <c r="C431" s="172" t="s">
        <v>104</v>
      </c>
      <c r="D431" s="172" t="s">
        <v>105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-752.5</v>
      </c>
    </row>
    <row r="432" spans="1:16" ht="19.5" customHeight="1">
      <c r="A432" s="172" t="s">
        <v>1499</v>
      </c>
      <c r="B432" s="176">
        <v>46056</v>
      </c>
      <c r="C432" s="172" t="s">
        <v>81</v>
      </c>
      <c r="D432" s="172" t="s">
        <v>95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1750</v>
      </c>
      <c r="J432" s="176">
        <v>46046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-0.47</v>
      </c>
    </row>
    <row r="433" spans="1:16" ht="19.5" customHeight="1">
      <c r="A433" s="172" t="s">
        <v>1498</v>
      </c>
      <c r="B433" s="176">
        <v>46056</v>
      </c>
      <c r="C433" s="172" t="s">
        <v>81</v>
      </c>
      <c r="D433" s="172" t="s">
        <v>82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46055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-15.62</v>
      </c>
    </row>
    <row r="434" spans="1:16" ht="19.5" customHeight="1">
      <c r="A434" s="172" t="s">
        <v>1500</v>
      </c>
      <c r="B434" s="176">
        <v>46056</v>
      </c>
      <c r="C434" s="172" t="s">
        <v>81</v>
      </c>
      <c r="D434" s="172" t="s">
        <v>82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-14.96</v>
      </c>
    </row>
    <row r="435" spans="1:16" ht="19.5" customHeight="1">
      <c r="A435" s="172" t="s">
        <v>1149</v>
      </c>
      <c r="B435" s="176">
        <v>46056</v>
      </c>
      <c r="C435" s="172" t="s">
        <v>354</v>
      </c>
      <c r="D435" s="172" t="s">
        <v>467</v>
      </c>
      <c r="E435" s="172" t="s">
        <v>85</v>
      </c>
      <c r="F435" s="172" t="s">
        <v>85</v>
      </c>
      <c r="G435" s="172" t="s">
        <v>85</v>
      </c>
      <c r="H435" s="177">
        <v>0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-1920</v>
      </c>
    </row>
    <row r="436" spans="1:16" ht="19.5" customHeight="1">
      <c r="A436" s="172" t="s">
        <v>1501</v>
      </c>
      <c r="B436" s="176">
        <v>46056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46056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-14.22</v>
      </c>
    </row>
    <row r="437" spans="1:16" ht="19.5" customHeight="1">
      <c r="A437" s="172" t="s">
        <v>1502</v>
      </c>
      <c r="B437" s="176">
        <v>46056</v>
      </c>
      <c r="C437" s="172" t="s">
        <v>92</v>
      </c>
      <c r="D437" s="172" t="s">
        <v>24</v>
      </c>
      <c r="E437" s="172" t="s">
        <v>56</v>
      </c>
      <c r="F437" s="172" t="s">
        <v>1215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0.43</v>
      </c>
      <c r="N437" s="177"/>
      <c r="O437" s="177">
        <v>43</v>
      </c>
      <c r="P437" s="180">
        <v>-151.1</v>
      </c>
    </row>
    <row r="438" spans="1:16" ht="19.5" customHeight="1">
      <c r="A438" s="172" t="s">
        <v>1502</v>
      </c>
      <c r="B438" s="176">
        <v>46056</v>
      </c>
      <c r="C438" s="172" t="s">
        <v>100</v>
      </c>
      <c r="D438" s="172" t="s">
        <v>101</v>
      </c>
      <c r="E438" s="172" t="s">
        <v>56</v>
      </c>
      <c r="F438" s="172" t="s">
        <v>1215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759.05</v>
      </c>
    </row>
    <row r="439" spans="1:16" ht="19.5" customHeight="1">
      <c r="A439" s="172" t="s">
        <v>1502</v>
      </c>
      <c r="B439" s="176">
        <v>46056</v>
      </c>
      <c r="C439" s="172" t="s">
        <v>100</v>
      </c>
      <c r="D439" s="172" t="s">
        <v>102</v>
      </c>
      <c r="E439" s="172" t="s">
        <v>56</v>
      </c>
      <c r="F439" s="172" t="s">
        <v>1215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7.59</v>
      </c>
    </row>
    <row r="440" spans="1:16" ht="19.5" customHeight="1">
      <c r="A440" s="172" t="s">
        <v>1502</v>
      </c>
      <c r="B440" s="176">
        <v>46056</v>
      </c>
      <c r="C440" s="172" t="s">
        <v>100</v>
      </c>
      <c r="D440" s="172" t="s">
        <v>103</v>
      </c>
      <c r="E440" s="172" t="s">
        <v>56</v>
      </c>
      <c r="F440" s="172" t="s">
        <v>1215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1233.3599999999999</v>
      </c>
    </row>
    <row r="441" spans="1:16" ht="19.5" customHeight="1">
      <c r="A441" s="172" t="s">
        <v>1502</v>
      </c>
      <c r="B441" s="176">
        <v>46056</v>
      </c>
      <c r="C441" s="172" t="s">
        <v>104</v>
      </c>
      <c r="D441" s="172" t="s">
        <v>105</v>
      </c>
      <c r="E441" s="172" t="s">
        <v>56</v>
      </c>
      <c r="F441" s="172" t="s">
        <v>1215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-860</v>
      </c>
    </row>
    <row r="442" spans="1:16" ht="19.5" customHeight="1">
      <c r="A442" s="172" t="s">
        <v>1502</v>
      </c>
      <c r="B442" s="176">
        <v>46056</v>
      </c>
      <c r="C442" s="172" t="s">
        <v>81</v>
      </c>
      <c r="D442" s="172" t="s">
        <v>95</v>
      </c>
      <c r="E442" s="172" t="s">
        <v>56</v>
      </c>
      <c r="F442" s="172" t="s">
        <v>1215</v>
      </c>
      <c r="G442" s="172" t="s">
        <v>84</v>
      </c>
      <c r="H442" s="177">
        <v>1</v>
      </c>
      <c r="I442" s="178">
        <v>2000</v>
      </c>
      <c r="J442" s="176">
        <v>46054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-14.13</v>
      </c>
    </row>
    <row r="443" spans="1:16" ht="19.5" customHeight="1">
      <c r="A443" s="172" t="s">
        <v>1503</v>
      </c>
      <c r="B443" s="176">
        <v>46056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-149.51</v>
      </c>
    </row>
    <row r="444" spans="1:16" ht="19.5" customHeight="1">
      <c r="A444" s="172" t="s">
        <v>1503</v>
      </c>
      <c r="B444" s="176">
        <v>46056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627.62</v>
      </c>
    </row>
    <row r="445" spans="1:16" ht="19.5" customHeight="1">
      <c r="A445" s="172" t="s">
        <v>1503</v>
      </c>
      <c r="B445" s="176">
        <v>46056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6.28</v>
      </c>
    </row>
    <row r="446" spans="1:16" ht="19.5" customHeight="1">
      <c r="A446" s="172" t="s">
        <v>1503</v>
      </c>
      <c r="B446" s="176">
        <v>46056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1166.0999999999999</v>
      </c>
    </row>
    <row r="447" spans="1:16" ht="19.5" customHeight="1">
      <c r="A447" s="172" t="s">
        <v>1503</v>
      </c>
      <c r="B447" s="176">
        <v>46056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-774</v>
      </c>
    </row>
    <row r="448" spans="1:16" ht="19.5" customHeight="1">
      <c r="A448" s="172" t="s">
        <v>1503</v>
      </c>
      <c r="B448" s="176">
        <v>46056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1800</v>
      </c>
      <c r="J448" s="176">
        <v>46053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-12.43</v>
      </c>
    </row>
    <row r="449" spans="1:16" ht="19.5" customHeight="1">
      <c r="A449" s="172" t="s">
        <v>1502</v>
      </c>
      <c r="B449" s="176">
        <v>46056</v>
      </c>
      <c r="C449" s="172" t="s">
        <v>81</v>
      </c>
      <c r="D449" s="172" t="s">
        <v>82</v>
      </c>
      <c r="E449" s="172" t="s">
        <v>56</v>
      </c>
      <c r="F449" s="172" t="s">
        <v>1215</v>
      </c>
      <c r="G449" s="172" t="s">
        <v>84</v>
      </c>
      <c r="H449" s="177">
        <v>1</v>
      </c>
      <c r="I449" s="178">
        <v>0</v>
      </c>
      <c r="J449" s="176">
        <v>46054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-14.42</v>
      </c>
    </row>
    <row r="450" spans="1:16" ht="19.5" customHeight="1">
      <c r="A450" s="172" t="s">
        <v>1504</v>
      </c>
      <c r="B450" s="176">
        <v>46056</v>
      </c>
      <c r="C450" s="172" t="s">
        <v>92</v>
      </c>
      <c r="D450" s="172" t="s">
        <v>24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0</v>
      </c>
      <c r="J450" s="176">
        <v>46053</v>
      </c>
      <c r="K450" s="172" t="s">
        <v>93</v>
      </c>
      <c r="L450" s="172" t="s">
        <v>94</v>
      </c>
      <c r="M450" s="179">
        <v>0</v>
      </c>
      <c r="N450" s="177"/>
      <c r="O450" s="177">
        <v>44</v>
      </c>
      <c r="P450" s="180">
        <v>-131.37</v>
      </c>
    </row>
    <row r="451" spans="1:16" ht="19.5" customHeight="1">
      <c r="A451" s="172" t="s">
        <v>1505</v>
      </c>
      <c r="B451" s="176">
        <v>46056</v>
      </c>
      <c r="C451" s="172" t="s">
        <v>81</v>
      </c>
      <c r="D451" s="172" t="s">
        <v>82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-17.350000000000001</v>
      </c>
    </row>
    <row r="452" spans="1:16" ht="19.5" customHeight="1">
      <c r="A452" s="172" t="s">
        <v>1506</v>
      </c>
      <c r="B452" s="176">
        <v>46056</v>
      </c>
      <c r="C452" s="172" t="s">
        <v>81</v>
      </c>
      <c r="D452" s="172" t="s">
        <v>82</v>
      </c>
      <c r="E452" s="172" t="s">
        <v>57</v>
      </c>
      <c r="F452" s="172" t="s">
        <v>1265</v>
      </c>
      <c r="G452" s="172" t="s">
        <v>84</v>
      </c>
      <c r="H452" s="177">
        <v>1</v>
      </c>
      <c r="I452" s="178">
        <v>0</v>
      </c>
      <c r="J452" s="176">
        <v>46056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-16.59</v>
      </c>
    </row>
    <row r="453" spans="1:16" ht="19.5" customHeight="1">
      <c r="A453" s="172" t="s">
        <v>1507</v>
      </c>
      <c r="B453" s="176">
        <v>46056</v>
      </c>
      <c r="C453" s="172" t="s">
        <v>92</v>
      </c>
      <c r="D453" s="172" t="s">
        <v>24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>
        <v>41</v>
      </c>
      <c r="P453" s="180">
        <v>-56</v>
      </c>
    </row>
    <row r="454" spans="1:16" ht="19.5" customHeight="1">
      <c r="A454" s="172" t="s">
        <v>1507</v>
      </c>
      <c r="B454" s="176">
        <v>46056</v>
      </c>
      <c r="C454" s="172" t="s">
        <v>92</v>
      </c>
      <c r="D454" s="172" t="s">
        <v>96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customHeight="1">
      <c r="A455" s="172" t="s">
        <v>1507</v>
      </c>
      <c r="B455" s="176">
        <v>46056</v>
      </c>
      <c r="C455" s="172" t="s">
        <v>92</v>
      </c>
      <c r="D455" s="172" t="s">
        <v>97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0</v>
      </c>
      <c r="J455" s="176">
        <v>46047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-56</v>
      </c>
    </row>
    <row r="456" spans="1:16" ht="19.5" customHeight="1">
      <c r="A456" s="172" t="s">
        <v>141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-428.4</v>
      </c>
    </row>
    <row r="457" spans="1:16" ht="19.5" customHeight="1">
      <c r="A457" s="172" t="s">
        <v>145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-1000.92</v>
      </c>
    </row>
    <row r="458" spans="1:16" ht="19.5" customHeight="1">
      <c r="A458" s="172" t="s">
        <v>138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-1087.8399999999999</v>
      </c>
    </row>
    <row r="459" spans="1:16" ht="19.5" customHeight="1">
      <c r="A459" s="172" t="s">
        <v>144</v>
      </c>
      <c r="B459" s="176">
        <v>46056</v>
      </c>
      <c r="C459" s="172" t="s">
        <v>109</v>
      </c>
      <c r="D459" s="172" t="s">
        <v>139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-1141.21</v>
      </c>
    </row>
    <row r="460" spans="1:16" ht="19.5" customHeight="1">
      <c r="A460" s="172" t="s">
        <v>142</v>
      </c>
      <c r="B460" s="176">
        <v>46056</v>
      </c>
      <c r="C460" s="172" t="s">
        <v>109</v>
      </c>
      <c r="D460" s="172" t="s">
        <v>143</v>
      </c>
      <c r="E460" s="172" t="s">
        <v>85</v>
      </c>
      <c r="F460" s="172" t="s">
        <v>85</v>
      </c>
      <c r="G460" s="172" t="s">
        <v>85</v>
      </c>
      <c r="H460" s="177">
        <v>0</v>
      </c>
      <c r="I460" s="178">
        <v>0</v>
      </c>
      <c r="J460" s="176">
        <v>46056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-8090.1</v>
      </c>
    </row>
    <row r="461" spans="1:16" ht="19.5" customHeight="1">
      <c r="A461" s="172" t="s">
        <v>1508</v>
      </c>
      <c r="B461" s="176">
        <v>46057</v>
      </c>
      <c r="C461" s="172" t="s">
        <v>92</v>
      </c>
      <c r="D461" s="172" t="s">
        <v>96</v>
      </c>
      <c r="E461" s="172" t="s">
        <v>57</v>
      </c>
      <c r="F461" s="172" t="s">
        <v>1265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0</v>
      </c>
    </row>
    <row r="462" spans="1:16" ht="19.5" customHeight="1">
      <c r="A462" s="172" t="s">
        <v>1508</v>
      </c>
      <c r="B462" s="176">
        <v>46057</v>
      </c>
      <c r="C462" s="172" t="s">
        <v>92</v>
      </c>
      <c r="D462" s="172" t="s">
        <v>97</v>
      </c>
      <c r="E462" s="172" t="s">
        <v>57</v>
      </c>
      <c r="F462" s="172" t="s">
        <v>1265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-56.94</v>
      </c>
    </row>
    <row r="463" spans="1:16" ht="19.5" customHeight="1">
      <c r="A463" s="172" t="s">
        <v>1508</v>
      </c>
      <c r="B463" s="176">
        <v>46057</v>
      </c>
      <c r="C463" s="172" t="s">
        <v>81</v>
      </c>
      <c r="D463" s="172" t="s">
        <v>98</v>
      </c>
      <c r="E463" s="172" t="s">
        <v>57</v>
      </c>
      <c r="F463" s="172" t="s">
        <v>1265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-15</v>
      </c>
    </row>
    <row r="464" spans="1:16" ht="19.5" customHeight="1">
      <c r="A464" s="172" t="s">
        <v>1508</v>
      </c>
      <c r="B464" s="176">
        <v>46057</v>
      </c>
      <c r="C464" s="172" t="s">
        <v>92</v>
      </c>
      <c r="D464" s="172" t="s">
        <v>24</v>
      </c>
      <c r="E464" s="172" t="s">
        <v>57</v>
      </c>
      <c r="F464" s="172" t="s">
        <v>1265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>
        <v>44</v>
      </c>
      <c r="P464" s="180">
        <v>-56.94</v>
      </c>
    </row>
    <row r="465" spans="1:16" ht="19.5" customHeight="1">
      <c r="A465" s="172" t="s">
        <v>1508</v>
      </c>
      <c r="B465" s="176">
        <v>46057</v>
      </c>
      <c r="C465" s="172" t="s">
        <v>81</v>
      </c>
      <c r="D465" s="172" t="s">
        <v>95</v>
      </c>
      <c r="E465" s="172" t="s">
        <v>57</v>
      </c>
      <c r="F465" s="172" t="s">
        <v>1265</v>
      </c>
      <c r="G465" s="172" t="s">
        <v>84</v>
      </c>
      <c r="H465" s="177">
        <v>1</v>
      </c>
      <c r="I465" s="178">
        <v>0</v>
      </c>
      <c r="J465" s="176">
        <v>46051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-12.46</v>
      </c>
    </row>
    <row r="466" spans="1:16" ht="19.5" customHeight="1">
      <c r="A466" s="172" t="s">
        <v>1509</v>
      </c>
      <c r="B466" s="176">
        <v>46057</v>
      </c>
      <c r="C466" s="172" t="s">
        <v>81</v>
      </c>
      <c r="D466" s="172" t="s">
        <v>82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46057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-17.41</v>
      </c>
    </row>
    <row r="467" spans="1:16" ht="19.5" customHeight="1">
      <c r="A467" s="172" t="s">
        <v>1510</v>
      </c>
      <c r="B467" s="176">
        <v>46057</v>
      </c>
      <c r="C467" s="172" t="s">
        <v>92</v>
      </c>
      <c r="D467" s="172" t="s">
        <v>24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>
        <v>42</v>
      </c>
      <c r="P467" s="180">
        <v>-46.77</v>
      </c>
    </row>
    <row r="468" spans="1:16" ht="19.5" customHeight="1">
      <c r="A468" s="172" t="s">
        <v>1510</v>
      </c>
      <c r="B468" s="176">
        <v>46057</v>
      </c>
      <c r="C468" s="172" t="s">
        <v>81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0</v>
      </c>
      <c r="J468" s="176">
        <v>46044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-9.85</v>
      </c>
    </row>
    <row r="469" spans="1:16" ht="19.5" customHeight="1">
      <c r="A469" s="172" t="s">
        <v>1511</v>
      </c>
      <c r="B469" s="176">
        <v>46057</v>
      </c>
      <c r="C469" s="172" t="s">
        <v>92</v>
      </c>
      <c r="D469" s="172" t="s">
        <v>24</v>
      </c>
      <c r="E469" s="172" t="s">
        <v>55</v>
      </c>
      <c r="F469" s="172" t="s">
        <v>1274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0.43</v>
      </c>
      <c r="N469" s="177"/>
      <c r="O469" s="177">
        <v>44</v>
      </c>
      <c r="P469" s="180">
        <v>-155.81</v>
      </c>
    </row>
    <row r="470" spans="1:16" ht="19.5" customHeight="1">
      <c r="A470" s="172" t="s">
        <v>1511</v>
      </c>
      <c r="B470" s="176">
        <v>46057</v>
      </c>
      <c r="C470" s="172" t="s">
        <v>100</v>
      </c>
      <c r="D470" s="172" t="s">
        <v>101</v>
      </c>
      <c r="E470" s="172" t="s">
        <v>55</v>
      </c>
      <c r="F470" s="172" t="s">
        <v>1274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773.46</v>
      </c>
    </row>
    <row r="471" spans="1:16" ht="19.5" customHeight="1">
      <c r="A471" s="172" t="s">
        <v>1511</v>
      </c>
      <c r="B471" s="176">
        <v>46057</v>
      </c>
      <c r="C471" s="172" t="s">
        <v>100</v>
      </c>
      <c r="D471" s="172" t="s">
        <v>102</v>
      </c>
      <c r="E471" s="172" t="s">
        <v>55</v>
      </c>
      <c r="F471" s="172" t="s">
        <v>1274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7.73</v>
      </c>
    </row>
    <row r="472" spans="1:16" ht="19.5" customHeight="1">
      <c r="A472" s="172" t="s">
        <v>1511</v>
      </c>
      <c r="B472" s="176">
        <v>46057</v>
      </c>
      <c r="C472" s="172" t="s">
        <v>100</v>
      </c>
      <c r="D472" s="172" t="s">
        <v>103</v>
      </c>
      <c r="E472" s="172" t="s">
        <v>55</v>
      </c>
      <c r="F472" s="172" t="s">
        <v>1274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1218.81</v>
      </c>
    </row>
    <row r="473" spans="1:16" ht="19.5" customHeight="1">
      <c r="A473" s="172" t="s">
        <v>1511</v>
      </c>
      <c r="B473" s="176">
        <v>46057</v>
      </c>
      <c r="C473" s="172" t="s">
        <v>104</v>
      </c>
      <c r="D473" s="172" t="s">
        <v>105</v>
      </c>
      <c r="E473" s="172" t="s">
        <v>55</v>
      </c>
      <c r="F473" s="172" t="s">
        <v>1274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-860</v>
      </c>
    </row>
    <row r="474" spans="1:16" ht="19.5" customHeight="1">
      <c r="A474" s="172" t="s">
        <v>1511</v>
      </c>
      <c r="B474" s="176">
        <v>46057</v>
      </c>
      <c r="C474" s="172" t="s">
        <v>81</v>
      </c>
      <c r="D474" s="172" t="s">
        <v>95</v>
      </c>
      <c r="E474" s="172" t="s">
        <v>55</v>
      </c>
      <c r="F474" s="172" t="s">
        <v>1274</v>
      </c>
      <c r="G474" s="172" t="s">
        <v>84</v>
      </c>
      <c r="H474" s="177">
        <v>1</v>
      </c>
      <c r="I474" s="178">
        <v>2000</v>
      </c>
      <c r="J474" s="176">
        <v>46052</v>
      </c>
      <c r="K474" s="172" t="s">
        <v>93</v>
      </c>
      <c r="L474" s="172" t="s">
        <v>94</v>
      </c>
      <c r="M474" s="179">
        <v>0.43</v>
      </c>
      <c r="N474" s="177"/>
      <c r="O474" s="177"/>
      <c r="P474" s="180">
        <v>-9.06</v>
      </c>
    </row>
    <row r="475" spans="1:16" ht="19.5" customHeight="1">
      <c r="A475" s="172" t="s">
        <v>1510</v>
      </c>
      <c r="B475" s="176">
        <v>46057</v>
      </c>
      <c r="C475" s="172" t="s">
        <v>92</v>
      </c>
      <c r="D475" s="172" t="s">
        <v>96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0</v>
      </c>
    </row>
    <row r="476" spans="1:16" ht="19.5" customHeight="1">
      <c r="A476" s="172" t="s">
        <v>1510</v>
      </c>
      <c r="B476" s="176">
        <v>46057</v>
      </c>
      <c r="C476" s="172" t="s">
        <v>92</v>
      </c>
      <c r="D476" s="172" t="s">
        <v>97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-46.77</v>
      </c>
    </row>
    <row r="477" spans="1:16" ht="19.5" customHeight="1">
      <c r="A477" s="172" t="s">
        <v>1510</v>
      </c>
      <c r="B477" s="176">
        <v>46057</v>
      </c>
      <c r="C477" s="172" t="s">
        <v>81</v>
      </c>
      <c r="D477" s="172" t="s">
        <v>98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46044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-15</v>
      </c>
    </row>
    <row r="478" spans="1:16" ht="19.5" customHeight="1">
      <c r="A478" s="172" t="s">
        <v>1512</v>
      </c>
      <c r="B478" s="176">
        <v>46057</v>
      </c>
      <c r="C478" s="172" t="s">
        <v>81</v>
      </c>
      <c r="D478" s="172" t="s">
        <v>82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0</v>
      </c>
      <c r="J478" s="176">
        <v>46057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-16.2</v>
      </c>
    </row>
    <row r="479" spans="1:16" ht="19.5" customHeight="1">
      <c r="A479" s="172" t="s">
        <v>1511</v>
      </c>
      <c r="B479" s="176">
        <v>46057</v>
      </c>
      <c r="C479" s="172" t="s">
        <v>81</v>
      </c>
      <c r="D479" s="172" t="s">
        <v>82</v>
      </c>
      <c r="E479" s="172" t="s">
        <v>55</v>
      </c>
      <c r="F479" s="172" t="s">
        <v>1274</v>
      </c>
      <c r="G479" s="172" t="s">
        <v>84</v>
      </c>
      <c r="H479" s="177">
        <v>1</v>
      </c>
      <c r="I479" s="178">
        <v>0</v>
      </c>
      <c r="J479" s="176">
        <v>46052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-14.7</v>
      </c>
    </row>
    <row r="480" spans="1:16" ht="19.5" customHeight="1">
      <c r="A480" s="172" t="s">
        <v>85</v>
      </c>
      <c r="B480" s="176">
        <v>46057</v>
      </c>
      <c r="C480" s="172" t="s">
        <v>109</v>
      </c>
      <c r="D480" s="172" t="s">
        <v>110</v>
      </c>
      <c r="E480" s="172" t="s">
        <v>85</v>
      </c>
      <c r="F480" s="172" t="s">
        <v>85</v>
      </c>
      <c r="G480" s="172" t="s">
        <v>1513</v>
      </c>
      <c r="H480" s="177">
        <v>0</v>
      </c>
      <c r="I480" s="178">
        <v>0</v>
      </c>
      <c r="J480" s="176">
        <v>46057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-150</v>
      </c>
    </row>
    <row r="481" spans="1:16" ht="19.5" customHeight="1">
      <c r="A481" s="172" t="s">
        <v>1514</v>
      </c>
      <c r="B481" s="176">
        <v>46057</v>
      </c>
      <c r="C481" s="172" t="s">
        <v>92</v>
      </c>
      <c r="D481" s="172" t="s">
        <v>24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>
        <v>44</v>
      </c>
      <c r="P481" s="180">
        <v>-56</v>
      </c>
    </row>
    <row r="482" spans="1:16" ht="19.5" customHeight="1">
      <c r="A482" s="172" t="s">
        <v>1514</v>
      </c>
      <c r="B482" s="176">
        <v>46057</v>
      </c>
      <c r="C482" s="172" t="s">
        <v>81</v>
      </c>
      <c r="D482" s="172" t="s">
        <v>95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-9.31</v>
      </c>
    </row>
    <row r="483" spans="1:16" ht="19.5" customHeight="1">
      <c r="A483" s="172" t="s">
        <v>1514</v>
      </c>
      <c r="B483" s="176">
        <v>46057</v>
      </c>
      <c r="C483" s="172" t="s">
        <v>92</v>
      </c>
      <c r="D483" s="172" t="s">
        <v>96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0</v>
      </c>
    </row>
    <row r="484" spans="1:16" ht="19.5" customHeight="1">
      <c r="A484" s="172" t="s">
        <v>1514</v>
      </c>
      <c r="B484" s="176">
        <v>46057</v>
      </c>
      <c r="C484" s="172" t="s">
        <v>92</v>
      </c>
      <c r="D484" s="172" t="s">
        <v>97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-56</v>
      </c>
    </row>
    <row r="485" spans="1:16" ht="19.5" customHeight="1">
      <c r="A485" s="172" t="s">
        <v>1514</v>
      </c>
      <c r="B485" s="176">
        <v>46057</v>
      </c>
      <c r="C485" s="172" t="s">
        <v>81</v>
      </c>
      <c r="D485" s="172" t="s">
        <v>98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46048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-15</v>
      </c>
    </row>
    <row r="486" spans="1:16" ht="19.5" customHeight="1">
      <c r="A486" s="172" t="s">
        <v>1515</v>
      </c>
      <c r="B486" s="176">
        <v>46057</v>
      </c>
      <c r="C486" s="172" t="s">
        <v>81</v>
      </c>
      <c r="D486" s="172" t="s">
        <v>276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0</v>
      </c>
      <c r="J486" s="176">
        <v>46057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-12</v>
      </c>
    </row>
    <row r="487" spans="1:16" ht="19.5" customHeight="1">
      <c r="A487" s="172" t="s">
        <v>1516</v>
      </c>
      <c r="B487" s="176">
        <v>46057</v>
      </c>
      <c r="C487" s="172" t="s">
        <v>92</v>
      </c>
      <c r="D487" s="172" t="s">
        <v>24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0.43</v>
      </c>
      <c r="N487" s="177"/>
      <c r="O487" s="177">
        <v>43</v>
      </c>
      <c r="P487" s="180">
        <v>-145.46</v>
      </c>
    </row>
    <row r="488" spans="1:16" ht="19.5" customHeight="1">
      <c r="A488" s="172" t="s">
        <v>1516</v>
      </c>
      <c r="B488" s="176">
        <v>46057</v>
      </c>
      <c r="C488" s="172" t="s">
        <v>100</v>
      </c>
      <c r="D488" s="172" t="s">
        <v>101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631.42999999999995</v>
      </c>
    </row>
    <row r="489" spans="1:16" ht="19.5" customHeight="1">
      <c r="A489" s="172" t="s">
        <v>1516</v>
      </c>
      <c r="B489" s="176">
        <v>46057</v>
      </c>
      <c r="C489" s="172" t="s">
        <v>100</v>
      </c>
      <c r="D489" s="172" t="s">
        <v>102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6.31</v>
      </c>
    </row>
    <row r="490" spans="1:16" ht="19.5" customHeight="1">
      <c r="A490" s="172" t="s">
        <v>1516</v>
      </c>
      <c r="B490" s="176">
        <v>46057</v>
      </c>
      <c r="C490" s="172" t="s">
        <v>100</v>
      </c>
      <c r="D490" s="172" t="s">
        <v>103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1174.26</v>
      </c>
    </row>
    <row r="491" spans="1:16" ht="19.5" customHeight="1">
      <c r="A491" s="172" t="s">
        <v>1516</v>
      </c>
      <c r="B491" s="176">
        <v>46057</v>
      </c>
      <c r="C491" s="172" t="s">
        <v>104</v>
      </c>
      <c r="D491" s="172" t="s">
        <v>105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1812</v>
      </c>
      <c r="J491" s="176">
        <v>46054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-779.16</v>
      </c>
    </row>
    <row r="492" spans="1:16" ht="19.5" customHeight="1">
      <c r="A492" s="172" t="s">
        <v>1517</v>
      </c>
      <c r="B492" s="176">
        <v>46057</v>
      </c>
      <c r="C492" s="172" t="s">
        <v>92</v>
      </c>
      <c r="D492" s="172" t="s">
        <v>24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-131.37</v>
      </c>
    </row>
    <row r="493" spans="1:16" ht="19.5" customHeight="1">
      <c r="A493" s="172" t="s">
        <v>1517</v>
      </c>
      <c r="B493" s="176">
        <v>46057</v>
      </c>
      <c r="C493" s="172" t="s">
        <v>100</v>
      </c>
      <c r="D493" s="172" t="s">
        <v>101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714.56</v>
      </c>
    </row>
    <row r="494" spans="1:16" ht="19.5" customHeight="1">
      <c r="A494" s="172" t="s">
        <v>1517</v>
      </c>
      <c r="B494" s="176">
        <v>46057</v>
      </c>
      <c r="C494" s="172" t="s">
        <v>100</v>
      </c>
      <c r="D494" s="172" t="s">
        <v>102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7.15</v>
      </c>
    </row>
    <row r="495" spans="1:16" ht="19.5" customHeight="1">
      <c r="A495" s="172" t="s">
        <v>1517</v>
      </c>
      <c r="B495" s="176">
        <v>46057</v>
      </c>
      <c r="C495" s="172" t="s">
        <v>100</v>
      </c>
      <c r="D495" s="172" t="s">
        <v>103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1028.29</v>
      </c>
    </row>
    <row r="496" spans="1:16" ht="19.5" customHeight="1">
      <c r="A496" s="172" t="s">
        <v>1517</v>
      </c>
      <c r="B496" s="176">
        <v>46057</v>
      </c>
      <c r="C496" s="172" t="s">
        <v>104</v>
      </c>
      <c r="D496" s="172" t="s">
        <v>105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-752.5</v>
      </c>
    </row>
    <row r="497" spans="1:16" ht="19.5" customHeight="1">
      <c r="A497" s="172" t="s">
        <v>1517</v>
      </c>
      <c r="B497" s="176">
        <v>46057</v>
      </c>
      <c r="C497" s="172" t="s">
        <v>81</v>
      </c>
      <c r="D497" s="172" t="s">
        <v>95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1750</v>
      </c>
      <c r="J497" s="176">
        <v>46048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-15.7</v>
      </c>
    </row>
    <row r="498" spans="1:16" ht="19.5" customHeight="1">
      <c r="A498" s="172" t="s">
        <v>1517</v>
      </c>
      <c r="B498" s="176">
        <v>46057</v>
      </c>
      <c r="C498" s="172" t="s">
        <v>81</v>
      </c>
      <c r="D498" s="172" t="s">
        <v>82</v>
      </c>
      <c r="E498" s="172" t="s">
        <v>41</v>
      </c>
      <c r="F498" s="172" t="s">
        <v>83</v>
      </c>
      <c r="G498" s="172" t="s">
        <v>84</v>
      </c>
      <c r="H498" s="177">
        <v>1</v>
      </c>
      <c r="I498" s="178">
        <v>0</v>
      </c>
      <c r="J498" s="176">
        <v>46048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-13.58</v>
      </c>
    </row>
    <row r="499" spans="1:16" ht="19.5" customHeight="1">
      <c r="A499" s="172" t="s">
        <v>1518</v>
      </c>
      <c r="B499" s="176">
        <v>46057</v>
      </c>
      <c r="C499" s="172" t="s">
        <v>92</v>
      </c>
      <c r="D499" s="172" t="s">
        <v>24</v>
      </c>
      <c r="E499" s="172" t="s">
        <v>55</v>
      </c>
      <c r="F499" s="172" t="s">
        <v>1274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0.43</v>
      </c>
      <c r="N499" s="177"/>
      <c r="O499" s="177">
        <v>43</v>
      </c>
      <c r="P499" s="180">
        <v>-151.1</v>
      </c>
    </row>
    <row r="500" spans="1:16" ht="19.5" customHeight="1">
      <c r="A500" s="172" t="s">
        <v>1518</v>
      </c>
      <c r="B500" s="176">
        <v>46057</v>
      </c>
      <c r="C500" s="172" t="s">
        <v>100</v>
      </c>
      <c r="D500" s="172" t="s">
        <v>101</v>
      </c>
      <c r="E500" s="172" t="s">
        <v>55</v>
      </c>
      <c r="F500" s="172" t="s">
        <v>1274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800.95</v>
      </c>
    </row>
    <row r="501" spans="1:16" ht="19.5" customHeight="1">
      <c r="A501" s="172" t="s">
        <v>1518</v>
      </c>
      <c r="B501" s="176">
        <v>46057</v>
      </c>
      <c r="C501" s="172" t="s">
        <v>100</v>
      </c>
      <c r="D501" s="172" t="s">
        <v>102</v>
      </c>
      <c r="E501" s="172" t="s">
        <v>55</v>
      </c>
      <c r="F501" s="172" t="s">
        <v>1274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1518</v>
      </c>
      <c r="B502" s="176">
        <v>46057</v>
      </c>
      <c r="C502" s="172" t="s">
        <v>100</v>
      </c>
      <c r="D502" s="172" t="s">
        <v>103</v>
      </c>
      <c r="E502" s="172" t="s">
        <v>55</v>
      </c>
      <c r="F502" s="172" t="s">
        <v>1274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1199.05</v>
      </c>
    </row>
    <row r="503" spans="1:16" ht="19.5" customHeight="1">
      <c r="A503" s="172" t="s">
        <v>1518</v>
      </c>
      <c r="B503" s="176">
        <v>46057</v>
      </c>
      <c r="C503" s="172" t="s">
        <v>104</v>
      </c>
      <c r="D503" s="172" t="s">
        <v>105</v>
      </c>
      <c r="E503" s="172" t="s">
        <v>55</v>
      </c>
      <c r="F503" s="172" t="s">
        <v>1274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-860</v>
      </c>
    </row>
    <row r="504" spans="1:16" ht="19.5" customHeight="1">
      <c r="A504" s="172" t="s">
        <v>1518</v>
      </c>
      <c r="B504" s="176">
        <v>46057</v>
      </c>
      <c r="C504" s="172" t="s">
        <v>81</v>
      </c>
      <c r="D504" s="172" t="s">
        <v>95</v>
      </c>
      <c r="E504" s="172" t="s">
        <v>55</v>
      </c>
      <c r="F504" s="172" t="s">
        <v>1274</v>
      </c>
      <c r="G504" s="172" t="s">
        <v>84</v>
      </c>
      <c r="H504" s="177">
        <v>1</v>
      </c>
      <c r="I504" s="178">
        <v>2000</v>
      </c>
      <c r="J504" s="176">
        <v>46054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-8.77</v>
      </c>
    </row>
    <row r="505" spans="1:16" ht="19.5" customHeight="1">
      <c r="A505" s="172" t="s">
        <v>1519</v>
      </c>
      <c r="B505" s="176">
        <v>46057</v>
      </c>
      <c r="C505" s="172" t="s">
        <v>81</v>
      </c>
      <c r="D505" s="172" t="s">
        <v>82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46057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-16.47</v>
      </c>
    </row>
    <row r="506" spans="1:16" ht="19.5" customHeight="1">
      <c r="A506" s="172" t="s">
        <v>1518</v>
      </c>
      <c r="B506" s="176">
        <v>46057</v>
      </c>
      <c r="C506" s="172" t="s">
        <v>81</v>
      </c>
      <c r="D506" s="172" t="s">
        <v>82</v>
      </c>
      <c r="E506" s="172" t="s">
        <v>55</v>
      </c>
      <c r="F506" s="172" t="s">
        <v>1274</v>
      </c>
      <c r="G506" s="172" t="s">
        <v>84</v>
      </c>
      <c r="H506" s="177">
        <v>1</v>
      </c>
      <c r="I506" s="178">
        <v>0</v>
      </c>
      <c r="J506" s="176">
        <v>46054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-5.05</v>
      </c>
    </row>
    <row r="507" spans="1:16" ht="19.5" customHeight="1">
      <c r="A507" s="172" t="s">
        <v>1520</v>
      </c>
      <c r="B507" s="176">
        <v>46057</v>
      </c>
      <c r="C507" s="172" t="s">
        <v>81</v>
      </c>
      <c r="D507" s="172" t="s">
        <v>82</v>
      </c>
      <c r="E507" s="172" t="s">
        <v>56</v>
      </c>
      <c r="F507" s="172" t="s">
        <v>1215</v>
      </c>
      <c r="G507" s="172" t="s">
        <v>84</v>
      </c>
      <c r="H507" s="177">
        <v>1</v>
      </c>
      <c r="I507" s="178">
        <v>0</v>
      </c>
      <c r="J507" s="176">
        <v>46057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-17.34</v>
      </c>
    </row>
    <row r="508" spans="1:16" ht="19.5" customHeight="1">
      <c r="A508" s="172" t="s">
        <v>1521</v>
      </c>
      <c r="B508" s="176">
        <v>46057</v>
      </c>
      <c r="C508" s="172" t="s">
        <v>92</v>
      </c>
      <c r="D508" s="172" t="s">
        <v>24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0.43</v>
      </c>
      <c r="N508" s="177"/>
      <c r="O508" s="177">
        <v>41</v>
      </c>
      <c r="P508" s="180">
        <v>-119.28</v>
      </c>
    </row>
    <row r="509" spans="1:16" ht="19.5" customHeight="1">
      <c r="A509" s="172" t="s">
        <v>1521</v>
      </c>
      <c r="B509" s="176">
        <v>46057</v>
      </c>
      <c r="C509" s="172" t="s">
        <v>100</v>
      </c>
      <c r="D509" s="172" t="s">
        <v>101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663.51</v>
      </c>
    </row>
    <row r="510" spans="1:16" ht="19.5" customHeight="1">
      <c r="A510" s="172" t="s">
        <v>1521</v>
      </c>
      <c r="B510" s="176">
        <v>46057</v>
      </c>
      <c r="C510" s="172" t="s">
        <v>100</v>
      </c>
      <c r="D510" s="172" t="s">
        <v>102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1521</v>
      </c>
      <c r="B511" s="176">
        <v>46057</v>
      </c>
      <c r="C511" s="172" t="s">
        <v>100</v>
      </c>
      <c r="D511" s="172" t="s">
        <v>103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1086.49</v>
      </c>
    </row>
    <row r="512" spans="1:16" ht="19.5" customHeight="1">
      <c r="A512" s="172" t="s">
        <v>1521</v>
      </c>
      <c r="B512" s="176">
        <v>46057</v>
      </c>
      <c r="C512" s="172" t="s">
        <v>104</v>
      </c>
      <c r="D512" s="172" t="s">
        <v>105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-752.5</v>
      </c>
    </row>
    <row r="513" spans="1:16" ht="19.5" customHeight="1">
      <c r="A513" s="172" t="s">
        <v>1521</v>
      </c>
      <c r="B513" s="176">
        <v>46057</v>
      </c>
      <c r="C513" s="172" t="s">
        <v>81</v>
      </c>
      <c r="D513" s="172" t="s">
        <v>95</v>
      </c>
      <c r="E513" s="172" t="s">
        <v>42</v>
      </c>
      <c r="F513" s="172" t="s">
        <v>89</v>
      </c>
      <c r="G513" s="172" t="s">
        <v>84</v>
      </c>
      <c r="H513" s="177">
        <v>1</v>
      </c>
      <c r="I513" s="178">
        <v>1750</v>
      </c>
      <c r="J513" s="176">
        <v>46055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-15.87</v>
      </c>
    </row>
    <row r="514" spans="1:16" ht="19.5" customHeight="1">
      <c r="A514" s="172" t="s">
        <v>1522</v>
      </c>
      <c r="B514" s="176">
        <v>46057</v>
      </c>
      <c r="C514" s="172" t="s">
        <v>81</v>
      </c>
      <c r="D514" s="172" t="s">
        <v>82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-5.4</v>
      </c>
    </row>
    <row r="515" spans="1:16" ht="19.5" customHeight="1">
      <c r="A515" s="172" t="s">
        <v>1523</v>
      </c>
      <c r="B515" s="176">
        <v>46057</v>
      </c>
      <c r="C515" s="172" t="s">
        <v>81</v>
      </c>
      <c r="D515" s="172" t="s">
        <v>82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46057</v>
      </c>
      <c r="K515" s="172" t="s">
        <v>85</v>
      </c>
      <c r="L515" s="172" t="s">
        <v>85</v>
      </c>
      <c r="M515" s="179">
        <v>0</v>
      </c>
      <c r="N515" s="177"/>
      <c r="O515" s="177"/>
      <c r="P515" s="180">
        <v>-17.28</v>
      </c>
    </row>
    <row r="516" spans="1:16" ht="19.5" customHeight="1">
      <c r="A516" s="172" t="s">
        <v>1524</v>
      </c>
      <c r="B516" s="176">
        <v>46057</v>
      </c>
      <c r="C516" s="172" t="s">
        <v>92</v>
      </c>
      <c r="D516" s="172" t="s">
        <v>24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>
        <v>40</v>
      </c>
      <c r="P516" s="180">
        <v>-46.77</v>
      </c>
    </row>
    <row r="517" spans="1:16" ht="19.5" customHeight="1">
      <c r="A517" s="172" t="s">
        <v>1524</v>
      </c>
      <c r="B517" s="176">
        <v>46057</v>
      </c>
      <c r="C517" s="172" t="s">
        <v>81</v>
      </c>
      <c r="D517" s="172" t="s">
        <v>95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-12.2</v>
      </c>
    </row>
    <row r="518" spans="1:16" ht="19.5" customHeight="1">
      <c r="A518" s="172" t="s">
        <v>1524</v>
      </c>
      <c r="B518" s="176">
        <v>46057</v>
      </c>
      <c r="C518" s="172" t="s">
        <v>92</v>
      </c>
      <c r="D518" s="172" t="s">
        <v>96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0</v>
      </c>
    </row>
    <row r="519" spans="1:16" ht="19.5" customHeight="1">
      <c r="A519" s="172" t="s">
        <v>1524</v>
      </c>
      <c r="B519" s="176">
        <v>46057</v>
      </c>
      <c r="C519" s="172" t="s">
        <v>92</v>
      </c>
      <c r="D519" s="172" t="s">
        <v>97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-46.77</v>
      </c>
    </row>
    <row r="520" spans="1:16" ht="19.5" customHeight="1">
      <c r="A520" s="172" t="s">
        <v>1524</v>
      </c>
      <c r="B520" s="176">
        <v>46057</v>
      </c>
      <c r="C520" s="172" t="s">
        <v>81</v>
      </c>
      <c r="D520" s="172" t="s">
        <v>98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46045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-15</v>
      </c>
    </row>
    <row r="521" spans="1:16" ht="19.5" customHeight="1">
      <c r="A521" s="172" t="s">
        <v>1525</v>
      </c>
      <c r="B521" s="176">
        <v>46057</v>
      </c>
      <c r="C521" s="172" t="s">
        <v>92</v>
      </c>
      <c r="D521" s="172" t="s">
        <v>24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>
        <v>44</v>
      </c>
      <c r="P521" s="180">
        <v>-56.94</v>
      </c>
    </row>
    <row r="522" spans="1:16" ht="19.5" customHeight="1">
      <c r="A522" s="172" t="s">
        <v>1525</v>
      </c>
      <c r="B522" s="176">
        <v>46057</v>
      </c>
      <c r="C522" s="172" t="s">
        <v>81</v>
      </c>
      <c r="D522" s="172" t="s">
        <v>95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-19.5</v>
      </c>
    </row>
    <row r="523" spans="1:16" ht="19.5" customHeight="1">
      <c r="A523" s="172" t="s">
        <v>1525</v>
      </c>
      <c r="B523" s="176">
        <v>46057</v>
      </c>
      <c r="C523" s="172" t="s">
        <v>92</v>
      </c>
      <c r="D523" s="172" t="s">
        <v>96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0</v>
      </c>
    </row>
    <row r="524" spans="1:16" ht="19.5" customHeight="1">
      <c r="A524" s="172" t="s">
        <v>1525</v>
      </c>
      <c r="B524" s="176">
        <v>46057</v>
      </c>
      <c r="C524" s="172" t="s">
        <v>92</v>
      </c>
      <c r="D524" s="172" t="s">
        <v>97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-56.94</v>
      </c>
    </row>
    <row r="525" spans="1:16" ht="19.5" customHeight="1">
      <c r="A525" s="172" t="s">
        <v>1525</v>
      </c>
      <c r="B525" s="176">
        <v>46057</v>
      </c>
      <c r="C525" s="172" t="s">
        <v>81</v>
      </c>
      <c r="D525" s="172" t="s">
        <v>98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0</v>
      </c>
      <c r="J525" s="176">
        <v>46053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-15</v>
      </c>
    </row>
    <row r="526" spans="1:16" ht="19.5" customHeight="1">
      <c r="A526" s="172" t="s">
        <v>1526</v>
      </c>
      <c r="B526" s="176">
        <v>46057</v>
      </c>
      <c r="C526" s="172" t="s">
        <v>92</v>
      </c>
      <c r="D526" s="172" t="s">
        <v>24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-127.33</v>
      </c>
    </row>
    <row r="527" spans="1:16" ht="19.5" customHeight="1">
      <c r="A527" s="172" t="s">
        <v>1526</v>
      </c>
      <c r="B527" s="176">
        <v>46057</v>
      </c>
      <c r="C527" s="172" t="s">
        <v>100</v>
      </c>
      <c r="D527" s="172" t="s">
        <v>101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609.52</v>
      </c>
    </row>
    <row r="528" spans="1:16" ht="19.5" customHeight="1">
      <c r="A528" s="172" t="s">
        <v>1526</v>
      </c>
      <c r="B528" s="176">
        <v>46057</v>
      </c>
      <c r="C528" s="172" t="s">
        <v>100</v>
      </c>
      <c r="D528" s="172" t="s">
        <v>102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6.1</v>
      </c>
    </row>
    <row r="529" spans="1:16" ht="19.5" customHeight="1">
      <c r="A529" s="172" t="s">
        <v>1526</v>
      </c>
      <c r="B529" s="176">
        <v>46057</v>
      </c>
      <c r="C529" s="172" t="s">
        <v>100</v>
      </c>
      <c r="D529" s="172" t="s">
        <v>103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1134.3800000000001</v>
      </c>
    </row>
    <row r="530" spans="1:16" ht="19.5" customHeight="1">
      <c r="A530" s="172" t="s">
        <v>1526</v>
      </c>
      <c r="B530" s="176">
        <v>46057</v>
      </c>
      <c r="C530" s="172" t="s">
        <v>104</v>
      </c>
      <c r="D530" s="172" t="s">
        <v>105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-752.5</v>
      </c>
    </row>
    <row r="531" spans="1:16" ht="19.5" customHeight="1">
      <c r="A531" s="172" t="s">
        <v>1526</v>
      </c>
      <c r="B531" s="176">
        <v>46057</v>
      </c>
      <c r="C531" s="172" t="s">
        <v>81</v>
      </c>
      <c r="D531" s="172" t="s">
        <v>95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1750</v>
      </c>
      <c r="J531" s="176">
        <v>46054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-20.22</v>
      </c>
    </row>
    <row r="532" spans="1:16" ht="19.5" customHeight="1">
      <c r="A532" s="172" t="s">
        <v>1527</v>
      </c>
      <c r="B532" s="176">
        <v>46057</v>
      </c>
      <c r="C532" s="172" t="s">
        <v>92</v>
      </c>
      <c r="D532" s="172" t="s">
        <v>24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0.43</v>
      </c>
      <c r="N532" s="177"/>
      <c r="O532" s="177">
        <v>41</v>
      </c>
      <c r="P532" s="180">
        <v>-145.74</v>
      </c>
    </row>
    <row r="533" spans="1:16" ht="19.5" customHeight="1">
      <c r="A533" s="172" t="s">
        <v>1527</v>
      </c>
      <c r="B533" s="176">
        <v>46057</v>
      </c>
      <c r="C533" s="172" t="s">
        <v>100</v>
      </c>
      <c r="D533" s="172" t="s">
        <v>101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844.11</v>
      </c>
    </row>
    <row r="534" spans="1:16" ht="19.5" customHeight="1">
      <c r="A534" s="172" t="s">
        <v>1527</v>
      </c>
      <c r="B534" s="176">
        <v>46057</v>
      </c>
      <c r="C534" s="172" t="s">
        <v>100</v>
      </c>
      <c r="D534" s="172" t="s">
        <v>102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8.44</v>
      </c>
    </row>
    <row r="535" spans="1:16" ht="19.5" customHeight="1">
      <c r="A535" s="172" t="s">
        <v>1527</v>
      </c>
      <c r="B535" s="176">
        <v>46057</v>
      </c>
      <c r="C535" s="172" t="s">
        <v>100</v>
      </c>
      <c r="D535" s="172" t="s">
        <v>103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1297.45</v>
      </c>
    </row>
    <row r="536" spans="1:16" ht="19.5" customHeight="1">
      <c r="A536" s="172" t="s">
        <v>1527</v>
      </c>
      <c r="B536" s="176">
        <v>46057</v>
      </c>
      <c r="C536" s="172" t="s">
        <v>104</v>
      </c>
      <c r="D536" s="172" t="s">
        <v>105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-924.5</v>
      </c>
    </row>
    <row r="537" spans="1:16" ht="19.5" customHeight="1">
      <c r="A537" s="172" t="s">
        <v>1527</v>
      </c>
      <c r="B537" s="176">
        <v>46057</v>
      </c>
      <c r="C537" s="172" t="s">
        <v>81</v>
      </c>
      <c r="D537" s="172" t="s">
        <v>95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2150</v>
      </c>
      <c r="J537" s="176">
        <v>46056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-9.3000000000000007</v>
      </c>
    </row>
    <row r="538" spans="1:16" ht="19.5" customHeight="1">
      <c r="A538" s="172" t="s">
        <v>1527</v>
      </c>
      <c r="B538" s="176">
        <v>46057</v>
      </c>
      <c r="C538" s="172" t="s">
        <v>81</v>
      </c>
      <c r="D538" s="172" t="s">
        <v>82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46056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-16.04</v>
      </c>
    </row>
    <row r="539" spans="1:16" ht="19.5" customHeight="1">
      <c r="A539" s="172" t="s">
        <v>1528</v>
      </c>
      <c r="B539" s="176">
        <v>46057</v>
      </c>
      <c r="C539" s="172" t="s">
        <v>92</v>
      </c>
      <c r="D539" s="172" t="s">
        <v>24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0.43</v>
      </c>
      <c r="N539" s="177"/>
      <c r="O539" s="177">
        <v>44</v>
      </c>
      <c r="P539" s="180">
        <v>-149.51</v>
      </c>
    </row>
    <row r="540" spans="1:16" ht="19.5" customHeight="1">
      <c r="A540" s="172" t="s">
        <v>1528</v>
      </c>
      <c r="B540" s="176">
        <v>46057</v>
      </c>
      <c r="C540" s="172" t="s">
        <v>100</v>
      </c>
      <c r="D540" s="172" t="s">
        <v>101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627.62</v>
      </c>
    </row>
    <row r="541" spans="1:16" ht="19.5" customHeight="1">
      <c r="A541" s="172" t="s">
        <v>1528</v>
      </c>
      <c r="B541" s="176">
        <v>46057</v>
      </c>
      <c r="C541" s="172" t="s">
        <v>100</v>
      </c>
      <c r="D541" s="172" t="s">
        <v>102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6.28</v>
      </c>
    </row>
    <row r="542" spans="1:16" ht="19.5" customHeight="1">
      <c r="A542" s="172" t="s">
        <v>1528</v>
      </c>
      <c r="B542" s="176">
        <v>46057</v>
      </c>
      <c r="C542" s="172" t="s">
        <v>100</v>
      </c>
      <c r="D542" s="172" t="s">
        <v>103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1166.0999999999999</v>
      </c>
    </row>
    <row r="543" spans="1:16" ht="19.5" customHeight="1">
      <c r="A543" s="172" t="s">
        <v>1528</v>
      </c>
      <c r="B543" s="176">
        <v>46057</v>
      </c>
      <c r="C543" s="172" t="s">
        <v>104</v>
      </c>
      <c r="D543" s="172" t="s">
        <v>105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-774</v>
      </c>
    </row>
    <row r="544" spans="1:16" ht="19.5" customHeight="1">
      <c r="A544" s="172" t="s">
        <v>1528</v>
      </c>
      <c r="B544" s="176">
        <v>46057</v>
      </c>
      <c r="C544" s="172" t="s">
        <v>81</v>
      </c>
      <c r="D544" s="172" t="s">
        <v>95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1800</v>
      </c>
      <c r="J544" s="176">
        <v>46050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-7.96</v>
      </c>
    </row>
    <row r="545" spans="1:16" ht="19.5" customHeight="1">
      <c r="A545" s="172" t="s">
        <v>1529</v>
      </c>
      <c r="B545" s="176">
        <v>46057</v>
      </c>
      <c r="C545" s="172" t="s">
        <v>81</v>
      </c>
      <c r="D545" s="172" t="s">
        <v>82</v>
      </c>
      <c r="E545" s="172" t="s">
        <v>59</v>
      </c>
      <c r="F545" s="172" t="s">
        <v>1389</v>
      </c>
      <c r="G545" s="172" t="s">
        <v>84</v>
      </c>
      <c r="H545" s="177">
        <v>1</v>
      </c>
      <c r="I545" s="178">
        <v>0</v>
      </c>
      <c r="J545" s="176">
        <v>46057</v>
      </c>
      <c r="K545" s="172" t="s">
        <v>85</v>
      </c>
      <c r="L545" s="172" t="s">
        <v>85</v>
      </c>
      <c r="M545" s="179">
        <v>0</v>
      </c>
      <c r="N545" s="177"/>
      <c r="O545" s="177"/>
      <c r="P545" s="180">
        <v>-17.309999999999999</v>
      </c>
    </row>
    <row r="546" spans="1:16" ht="19.5" customHeight="1">
      <c r="A546" s="172" t="s">
        <v>1530</v>
      </c>
      <c r="B546" s="176">
        <v>46057</v>
      </c>
      <c r="C546" s="172" t="s">
        <v>92</v>
      </c>
      <c r="D546" s="172" t="s">
        <v>24</v>
      </c>
      <c r="E546" s="172" t="s">
        <v>56</v>
      </c>
      <c r="F546" s="172" t="s">
        <v>1215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0.43</v>
      </c>
      <c r="N546" s="177"/>
      <c r="O546" s="177">
        <v>43</v>
      </c>
      <c r="P546" s="180">
        <v>-151.1</v>
      </c>
    </row>
    <row r="547" spans="1:16" ht="19.5" customHeight="1">
      <c r="A547" s="172" t="s">
        <v>1530</v>
      </c>
      <c r="B547" s="176">
        <v>46057</v>
      </c>
      <c r="C547" s="172" t="s">
        <v>100</v>
      </c>
      <c r="D547" s="172" t="s">
        <v>101</v>
      </c>
      <c r="E547" s="172" t="s">
        <v>56</v>
      </c>
      <c r="F547" s="172" t="s">
        <v>1215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759.05</v>
      </c>
    </row>
    <row r="548" spans="1:16" ht="19.5" customHeight="1">
      <c r="A548" s="172" t="s">
        <v>1530</v>
      </c>
      <c r="B548" s="176">
        <v>46057</v>
      </c>
      <c r="C548" s="172" t="s">
        <v>100</v>
      </c>
      <c r="D548" s="172" t="s">
        <v>102</v>
      </c>
      <c r="E548" s="172" t="s">
        <v>56</v>
      </c>
      <c r="F548" s="172" t="s">
        <v>1215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7.59</v>
      </c>
    </row>
    <row r="549" spans="1:16" ht="19.5" customHeight="1">
      <c r="A549" s="172" t="s">
        <v>1530</v>
      </c>
      <c r="B549" s="176">
        <v>46057</v>
      </c>
      <c r="C549" s="172" t="s">
        <v>100</v>
      </c>
      <c r="D549" s="172" t="s">
        <v>103</v>
      </c>
      <c r="E549" s="172" t="s">
        <v>56</v>
      </c>
      <c r="F549" s="172" t="s">
        <v>1215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1233.3599999999999</v>
      </c>
    </row>
    <row r="550" spans="1:16" ht="19.5" customHeight="1">
      <c r="A550" s="172" t="s">
        <v>1530</v>
      </c>
      <c r="B550" s="176">
        <v>46057</v>
      </c>
      <c r="C550" s="172" t="s">
        <v>104</v>
      </c>
      <c r="D550" s="172" t="s">
        <v>105</v>
      </c>
      <c r="E550" s="172" t="s">
        <v>56</v>
      </c>
      <c r="F550" s="172" t="s">
        <v>1215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-860</v>
      </c>
    </row>
    <row r="551" spans="1:16" ht="19.5" customHeight="1">
      <c r="A551" s="172" t="s">
        <v>1530</v>
      </c>
      <c r="B551" s="176">
        <v>46057</v>
      </c>
      <c r="C551" s="172" t="s">
        <v>81</v>
      </c>
      <c r="D551" s="172" t="s">
        <v>95</v>
      </c>
      <c r="E551" s="172" t="s">
        <v>56</v>
      </c>
      <c r="F551" s="172" t="s">
        <v>1215</v>
      </c>
      <c r="G551" s="172" t="s">
        <v>84</v>
      </c>
      <c r="H551" s="177">
        <v>1</v>
      </c>
      <c r="I551" s="178">
        <v>2000</v>
      </c>
      <c r="J551" s="176">
        <v>46054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-20.170000000000002</v>
      </c>
    </row>
    <row r="552" spans="1:16" ht="19.5" customHeight="1">
      <c r="A552" s="172" t="s">
        <v>1531</v>
      </c>
      <c r="B552" s="176">
        <v>46057</v>
      </c>
      <c r="C552" s="172" t="s">
        <v>81</v>
      </c>
      <c r="D552" s="172" t="s">
        <v>82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0</v>
      </c>
      <c r="J552" s="176">
        <v>46057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-16.09</v>
      </c>
    </row>
    <row r="553" spans="1:16" ht="19.5" customHeight="1">
      <c r="A553" s="172" t="s">
        <v>1532</v>
      </c>
      <c r="B553" s="176">
        <v>46057</v>
      </c>
      <c r="C553" s="172" t="s">
        <v>92</v>
      </c>
      <c r="D553" s="172" t="s">
        <v>24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>
        <v>40</v>
      </c>
      <c r="P553" s="180">
        <v>-56</v>
      </c>
    </row>
    <row r="554" spans="1:16" ht="19.5" customHeight="1">
      <c r="A554" s="172" t="s">
        <v>1532</v>
      </c>
      <c r="B554" s="176">
        <v>46057</v>
      </c>
      <c r="C554" s="172" t="s">
        <v>81</v>
      </c>
      <c r="D554" s="172" t="s">
        <v>95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-12.17</v>
      </c>
    </row>
    <row r="555" spans="1:16" ht="19.5" customHeight="1">
      <c r="A555" s="172" t="s">
        <v>1532</v>
      </c>
      <c r="B555" s="176">
        <v>46057</v>
      </c>
      <c r="C555" s="172" t="s">
        <v>92</v>
      </c>
      <c r="D555" s="172" t="s">
        <v>96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1532</v>
      </c>
      <c r="B556" s="176">
        <v>46057</v>
      </c>
      <c r="C556" s="172" t="s">
        <v>92</v>
      </c>
      <c r="D556" s="172" t="s">
        <v>97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1532</v>
      </c>
      <c r="B557" s="176">
        <v>46057</v>
      </c>
      <c r="C557" s="172" t="s">
        <v>81</v>
      </c>
      <c r="D557" s="172" t="s">
        <v>98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46046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1530</v>
      </c>
      <c r="B558" s="176">
        <v>46057</v>
      </c>
      <c r="C558" s="172" t="s">
        <v>81</v>
      </c>
      <c r="D558" s="172" t="s">
        <v>82</v>
      </c>
      <c r="E558" s="172" t="s">
        <v>56</v>
      </c>
      <c r="F558" s="172" t="s">
        <v>1215</v>
      </c>
      <c r="G558" s="172" t="s">
        <v>84</v>
      </c>
      <c r="H558" s="177">
        <v>1</v>
      </c>
      <c r="I558" s="178">
        <v>0</v>
      </c>
      <c r="J558" s="176">
        <v>46054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-14.42</v>
      </c>
    </row>
    <row r="559" spans="1:16" ht="19.5" customHeight="1">
      <c r="A559" s="172" t="s">
        <v>1533</v>
      </c>
      <c r="B559" s="176">
        <v>46057</v>
      </c>
      <c r="C559" s="172" t="s">
        <v>92</v>
      </c>
      <c r="D559" s="172" t="s">
        <v>24</v>
      </c>
      <c r="E559" s="172" t="s">
        <v>59</v>
      </c>
      <c r="F559" s="172" t="s">
        <v>1389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0.43</v>
      </c>
      <c r="N559" s="177"/>
      <c r="O559" s="177">
        <v>41</v>
      </c>
      <c r="P559" s="180">
        <v>-141.69</v>
      </c>
    </row>
    <row r="560" spans="1:16" ht="19.5" customHeight="1">
      <c r="A560" s="172" t="s">
        <v>1533</v>
      </c>
      <c r="B560" s="176">
        <v>46057</v>
      </c>
      <c r="C560" s="172" t="s">
        <v>100</v>
      </c>
      <c r="D560" s="172" t="s">
        <v>101</v>
      </c>
      <c r="E560" s="172" t="s">
        <v>59</v>
      </c>
      <c r="F560" s="172" t="s">
        <v>1389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937.01</v>
      </c>
    </row>
    <row r="561" spans="1:16" ht="19.5" customHeight="1">
      <c r="A561" s="172" t="s">
        <v>1533</v>
      </c>
      <c r="B561" s="176">
        <v>46057</v>
      </c>
      <c r="C561" s="172" t="s">
        <v>100</v>
      </c>
      <c r="D561" s="172" t="s">
        <v>102</v>
      </c>
      <c r="E561" s="172" t="s">
        <v>59</v>
      </c>
      <c r="F561" s="172" t="s">
        <v>1389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9.3699999999999992</v>
      </c>
    </row>
    <row r="562" spans="1:16" ht="19.5" customHeight="1">
      <c r="A562" s="172" t="s">
        <v>1533</v>
      </c>
      <c r="B562" s="176">
        <v>46057</v>
      </c>
      <c r="C562" s="172" t="s">
        <v>100</v>
      </c>
      <c r="D562" s="172" t="s">
        <v>103</v>
      </c>
      <c r="E562" s="172" t="s">
        <v>59</v>
      </c>
      <c r="F562" s="172" t="s">
        <v>1389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1053.6199999999999</v>
      </c>
    </row>
    <row r="563" spans="1:16" ht="19.5" customHeight="1">
      <c r="A563" s="172" t="s">
        <v>1533</v>
      </c>
      <c r="B563" s="176">
        <v>46057</v>
      </c>
      <c r="C563" s="172" t="s">
        <v>104</v>
      </c>
      <c r="D563" s="172" t="s">
        <v>105</v>
      </c>
      <c r="E563" s="172" t="s">
        <v>59</v>
      </c>
      <c r="F563" s="172" t="s">
        <v>1389</v>
      </c>
      <c r="G563" s="172" t="s">
        <v>84</v>
      </c>
      <c r="H563" s="177">
        <v>1</v>
      </c>
      <c r="I563" s="178">
        <v>2000</v>
      </c>
      <c r="J563" s="176">
        <v>46056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-860</v>
      </c>
    </row>
    <row r="564" spans="1:16" ht="19.5" customHeight="1">
      <c r="A564" s="172" t="s">
        <v>1534</v>
      </c>
      <c r="B564" s="176">
        <v>46057</v>
      </c>
      <c r="C564" s="172" t="s">
        <v>92</v>
      </c>
      <c r="D564" s="172" t="s">
        <v>24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0.43</v>
      </c>
      <c r="N564" s="177"/>
      <c r="O564" s="177">
        <v>43</v>
      </c>
      <c r="P564" s="180">
        <v>-127.33</v>
      </c>
    </row>
    <row r="565" spans="1:16" ht="19.5" customHeight="1">
      <c r="A565" s="172" t="s">
        <v>1534</v>
      </c>
      <c r="B565" s="176">
        <v>46057</v>
      </c>
      <c r="C565" s="172" t="s">
        <v>100</v>
      </c>
      <c r="D565" s="172" t="s">
        <v>101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606.64</v>
      </c>
    </row>
    <row r="566" spans="1:16" ht="19.5" customHeight="1">
      <c r="A566" s="172" t="s">
        <v>1534</v>
      </c>
      <c r="B566" s="176">
        <v>46057</v>
      </c>
      <c r="C566" s="172" t="s">
        <v>100</v>
      </c>
      <c r="D566" s="172" t="s">
        <v>102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6.07</v>
      </c>
    </row>
    <row r="567" spans="1:16" ht="19.5" customHeight="1">
      <c r="A567" s="172" t="s">
        <v>1534</v>
      </c>
      <c r="B567" s="176">
        <v>46057</v>
      </c>
      <c r="C567" s="172" t="s">
        <v>100</v>
      </c>
      <c r="D567" s="172" t="s">
        <v>103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1137.29</v>
      </c>
    </row>
    <row r="568" spans="1:16" ht="19.5" customHeight="1">
      <c r="A568" s="172" t="s">
        <v>1534</v>
      </c>
      <c r="B568" s="176">
        <v>46057</v>
      </c>
      <c r="C568" s="172" t="s">
        <v>104</v>
      </c>
      <c r="D568" s="172" t="s">
        <v>105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1534</v>
      </c>
      <c r="B569" s="176">
        <v>46057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1750</v>
      </c>
      <c r="J569" s="176">
        <v>46054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-9.2100000000000009</v>
      </c>
    </row>
    <row r="570" spans="1:16" ht="19.5" customHeight="1">
      <c r="A570" s="172" t="s">
        <v>1535</v>
      </c>
      <c r="B570" s="176">
        <v>46057</v>
      </c>
      <c r="C570" s="172" t="s">
        <v>92</v>
      </c>
      <c r="D570" s="172" t="s">
        <v>24</v>
      </c>
      <c r="E570" s="172" t="s">
        <v>57</v>
      </c>
      <c r="F570" s="172" t="s">
        <v>1265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0.43</v>
      </c>
      <c r="N570" s="177"/>
      <c r="O570" s="177">
        <v>41</v>
      </c>
      <c r="P570" s="180">
        <v>-141.69</v>
      </c>
    </row>
    <row r="571" spans="1:16" ht="19.5" customHeight="1">
      <c r="A571" s="172" t="s">
        <v>1535</v>
      </c>
      <c r="B571" s="176">
        <v>46057</v>
      </c>
      <c r="C571" s="172" t="s">
        <v>100</v>
      </c>
      <c r="D571" s="172" t="s">
        <v>101</v>
      </c>
      <c r="E571" s="172" t="s">
        <v>57</v>
      </c>
      <c r="F571" s="172" t="s">
        <v>1265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871.43</v>
      </c>
    </row>
    <row r="572" spans="1:16" ht="19.5" customHeight="1">
      <c r="A572" s="172" t="s">
        <v>1535</v>
      </c>
      <c r="B572" s="176">
        <v>46057</v>
      </c>
      <c r="C572" s="172" t="s">
        <v>100</v>
      </c>
      <c r="D572" s="172" t="s">
        <v>102</v>
      </c>
      <c r="E572" s="172" t="s">
        <v>57</v>
      </c>
      <c r="F572" s="172" t="s">
        <v>1265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8.7100000000000009</v>
      </c>
    </row>
    <row r="573" spans="1:16" ht="19.5" customHeight="1">
      <c r="A573" s="172" t="s">
        <v>1535</v>
      </c>
      <c r="B573" s="176">
        <v>46057</v>
      </c>
      <c r="C573" s="172" t="s">
        <v>100</v>
      </c>
      <c r="D573" s="172" t="s">
        <v>103</v>
      </c>
      <c r="E573" s="172" t="s">
        <v>57</v>
      </c>
      <c r="F573" s="172" t="s">
        <v>1265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1119.8599999999999</v>
      </c>
    </row>
    <row r="574" spans="1:16" ht="19.5" customHeight="1">
      <c r="A574" s="172" t="s">
        <v>1535</v>
      </c>
      <c r="B574" s="176">
        <v>46057</v>
      </c>
      <c r="C574" s="172" t="s">
        <v>104</v>
      </c>
      <c r="D574" s="172" t="s">
        <v>105</v>
      </c>
      <c r="E574" s="172" t="s">
        <v>57</v>
      </c>
      <c r="F574" s="172" t="s">
        <v>1265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-860</v>
      </c>
    </row>
    <row r="575" spans="1:16" ht="19.5" customHeight="1">
      <c r="A575" s="172" t="s">
        <v>1535</v>
      </c>
      <c r="B575" s="176">
        <v>46057</v>
      </c>
      <c r="C575" s="172" t="s">
        <v>81</v>
      </c>
      <c r="D575" s="172" t="s">
        <v>95</v>
      </c>
      <c r="E575" s="172" t="s">
        <v>57</v>
      </c>
      <c r="F575" s="172" t="s">
        <v>1265</v>
      </c>
      <c r="G575" s="172" t="s">
        <v>84</v>
      </c>
      <c r="H575" s="177">
        <v>1</v>
      </c>
      <c r="I575" s="178">
        <v>2000</v>
      </c>
      <c r="J575" s="176">
        <v>46056</v>
      </c>
      <c r="K575" s="172" t="s">
        <v>93</v>
      </c>
      <c r="L575" s="172" t="s">
        <v>94</v>
      </c>
      <c r="M575" s="179">
        <v>0.43</v>
      </c>
      <c r="N575" s="177"/>
      <c r="O575" s="177"/>
      <c r="P575" s="180">
        <v>-9.42</v>
      </c>
    </row>
    <row r="576" spans="1:16" ht="19.5" customHeight="1">
      <c r="A576" s="172" t="s">
        <v>1536</v>
      </c>
      <c r="B576" s="176">
        <v>46057</v>
      </c>
      <c r="C576" s="172" t="s">
        <v>81</v>
      </c>
      <c r="D576" s="172" t="s">
        <v>82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0</v>
      </c>
      <c r="J576" s="176">
        <v>46057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-15.55</v>
      </c>
    </row>
    <row r="577" spans="1:16" ht="19.5" customHeight="1">
      <c r="A577" s="172" t="s">
        <v>1478</v>
      </c>
      <c r="B577" s="176">
        <v>46057</v>
      </c>
      <c r="C577" s="172" t="s">
        <v>81</v>
      </c>
      <c r="D577" s="172" t="s">
        <v>82</v>
      </c>
      <c r="E577" s="172" t="s">
        <v>56</v>
      </c>
      <c r="F577" s="172" t="s">
        <v>1215</v>
      </c>
      <c r="G577" s="172" t="s">
        <v>84</v>
      </c>
      <c r="H577" s="177">
        <v>1</v>
      </c>
      <c r="I577" s="178">
        <v>0</v>
      </c>
      <c r="J577" s="176">
        <v>46056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17.39</v>
      </c>
    </row>
    <row r="578" spans="1:16" ht="19.5" customHeight="1">
      <c r="A578" s="172" t="s">
        <v>1537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-16.63</v>
      </c>
    </row>
    <row r="579" spans="1:16" ht="19.5" customHeight="1">
      <c r="A579" s="172" t="s">
        <v>1538</v>
      </c>
      <c r="B579" s="176">
        <v>46057</v>
      </c>
      <c r="C579" s="172" t="s">
        <v>81</v>
      </c>
      <c r="D579" s="172" t="s">
        <v>82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0</v>
      </c>
      <c r="J579" s="176">
        <v>46057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-14.95</v>
      </c>
    </row>
    <row r="580" spans="1:16" ht="19.5" customHeight="1">
      <c r="A580" s="172" t="s">
        <v>1534</v>
      </c>
      <c r="B580" s="176">
        <v>46057</v>
      </c>
      <c r="C580" s="172" t="s">
        <v>81</v>
      </c>
      <c r="D580" s="172" t="s">
        <v>82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0</v>
      </c>
      <c r="J580" s="176">
        <v>46054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-11.53</v>
      </c>
    </row>
    <row r="581" spans="1:16" ht="19.5" customHeight="1">
      <c r="A581" s="172" t="s">
        <v>1539</v>
      </c>
      <c r="B581" s="176">
        <v>46057</v>
      </c>
      <c r="C581" s="172" t="s">
        <v>92</v>
      </c>
      <c r="D581" s="172" t="s">
        <v>24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0.43</v>
      </c>
      <c r="N581" s="177"/>
      <c r="O581" s="177">
        <v>43</v>
      </c>
      <c r="P581" s="180">
        <v>-143.6</v>
      </c>
    </row>
    <row r="582" spans="1:16" ht="19.5" customHeight="1">
      <c r="A582" s="172" t="s">
        <v>1539</v>
      </c>
      <c r="B582" s="176">
        <v>46057</v>
      </c>
      <c r="C582" s="172" t="s">
        <v>100</v>
      </c>
      <c r="D582" s="172" t="s">
        <v>101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684.41</v>
      </c>
    </row>
    <row r="583" spans="1:16" ht="19.5" customHeight="1">
      <c r="A583" s="172" t="s">
        <v>1539</v>
      </c>
      <c r="B583" s="176">
        <v>46057</v>
      </c>
      <c r="C583" s="172" t="s">
        <v>100</v>
      </c>
      <c r="D583" s="172" t="s">
        <v>102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customHeight="1">
      <c r="A584" s="172" t="s">
        <v>1539</v>
      </c>
      <c r="B584" s="176">
        <v>46057</v>
      </c>
      <c r="C584" s="172" t="s">
        <v>100</v>
      </c>
      <c r="D584" s="172" t="s">
        <v>103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1115.5899999999999</v>
      </c>
    </row>
    <row r="585" spans="1:16" ht="19.5" customHeight="1">
      <c r="A585" s="172" t="s">
        <v>1539</v>
      </c>
      <c r="B585" s="176">
        <v>46057</v>
      </c>
      <c r="C585" s="172" t="s">
        <v>104</v>
      </c>
      <c r="D585" s="172" t="s">
        <v>105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-774</v>
      </c>
    </row>
    <row r="586" spans="1:16" ht="19.5" customHeight="1">
      <c r="A586" s="172" t="s">
        <v>1539</v>
      </c>
      <c r="B586" s="176">
        <v>46057</v>
      </c>
      <c r="C586" s="172" t="s">
        <v>81</v>
      </c>
      <c r="D586" s="172" t="s">
        <v>95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1800</v>
      </c>
      <c r="J586" s="176">
        <v>46054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-10.62</v>
      </c>
    </row>
    <row r="587" spans="1:16" ht="19.5" customHeight="1">
      <c r="A587" s="172" t="s">
        <v>1540</v>
      </c>
      <c r="B587" s="176">
        <v>46057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0.43</v>
      </c>
      <c r="N587" s="177"/>
      <c r="O587" s="177">
        <v>41</v>
      </c>
      <c r="P587" s="180">
        <v>-145.74</v>
      </c>
    </row>
    <row r="588" spans="1:16" ht="19.5" customHeight="1">
      <c r="A588" s="172" t="s">
        <v>1540</v>
      </c>
      <c r="B588" s="176">
        <v>46057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888</v>
      </c>
    </row>
    <row r="589" spans="1:16" ht="19.5" customHeight="1">
      <c r="A589" s="172" t="s">
        <v>1540</v>
      </c>
      <c r="B589" s="176">
        <v>46057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8.8800000000000008</v>
      </c>
    </row>
    <row r="590" spans="1:16" ht="19.5" customHeight="1">
      <c r="A590" s="172" t="s">
        <v>1540</v>
      </c>
      <c r="B590" s="176">
        <v>46057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1253.1199999999999</v>
      </c>
    </row>
    <row r="591" spans="1:16" ht="19.5" customHeight="1">
      <c r="A591" s="172" t="s">
        <v>1540</v>
      </c>
      <c r="B591" s="176">
        <v>46057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2150</v>
      </c>
      <c r="J591" s="176">
        <v>46055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customHeight="1">
      <c r="A592" s="172" t="s">
        <v>1541</v>
      </c>
      <c r="B592" s="176">
        <v>46057</v>
      </c>
      <c r="C592" s="172" t="s">
        <v>92</v>
      </c>
      <c r="D592" s="172" t="s">
        <v>24</v>
      </c>
      <c r="E592" s="172" t="s">
        <v>60</v>
      </c>
      <c r="F592" s="172" t="s">
        <v>1430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>
        <v>43</v>
      </c>
      <c r="P592" s="180">
        <v>-56.94</v>
      </c>
    </row>
    <row r="593" spans="1:16" ht="19.5" customHeight="1">
      <c r="A593" s="172" t="s">
        <v>1541</v>
      </c>
      <c r="B593" s="176">
        <v>46057</v>
      </c>
      <c r="C593" s="172" t="s">
        <v>81</v>
      </c>
      <c r="D593" s="172" t="s">
        <v>95</v>
      </c>
      <c r="E593" s="172" t="s">
        <v>60</v>
      </c>
      <c r="F593" s="172" t="s">
        <v>1430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-18.68</v>
      </c>
    </row>
    <row r="594" spans="1:16" ht="19.5" customHeight="1">
      <c r="A594" s="172" t="s">
        <v>1541</v>
      </c>
      <c r="B594" s="176">
        <v>46057</v>
      </c>
      <c r="C594" s="172" t="s">
        <v>92</v>
      </c>
      <c r="D594" s="172" t="s">
        <v>96</v>
      </c>
      <c r="E594" s="172" t="s">
        <v>60</v>
      </c>
      <c r="F594" s="172" t="s">
        <v>1430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0</v>
      </c>
    </row>
    <row r="595" spans="1:16" ht="19.5" customHeight="1">
      <c r="A595" s="172" t="s">
        <v>1541</v>
      </c>
      <c r="B595" s="176">
        <v>46057</v>
      </c>
      <c r="C595" s="172" t="s">
        <v>92</v>
      </c>
      <c r="D595" s="172" t="s">
        <v>97</v>
      </c>
      <c r="E595" s="172" t="s">
        <v>60</v>
      </c>
      <c r="F595" s="172" t="s">
        <v>1430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-56.94</v>
      </c>
    </row>
    <row r="596" spans="1:16" ht="19.5" customHeight="1">
      <c r="A596" s="172" t="s">
        <v>1541</v>
      </c>
      <c r="B596" s="176">
        <v>46057</v>
      </c>
      <c r="C596" s="172" t="s">
        <v>81</v>
      </c>
      <c r="D596" s="172" t="s">
        <v>98</v>
      </c>
      <c r="E596" s="172" t="s">
        <v>60</v>
      </c>
      <c r="F596" s="172" t="s">
        <v>1430</v>
      </c>
      <c r="G596" s="172" t="s">
        <v>84</v>
      </c>
      <c r="H596" s="177">
        <v>1</v>
      </c>
      <c r="I596" s="178">
        <v>0</v>
      </c>
      <c r="J596" s="176">
        <v>46054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-15</v>
      </c>
    </row>
    <row r="597" spans="1:16" ht="19.5" customHeight="1">
      <c r="A597" s="172" t="s">
        <v>1542</v>
      </c>
      <c r="B597" s="176">
        <v>46057</v>
      </c>
      <c r="C597" s="172" t="s">
        <v>92</v>
      </c>
      <c r="D597" s="172" t="s">
        <v>24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>
        <v>44</v>
      </c>
      <c r="P597" s="180">
        <v>-46.77</v>
      </c>
    </row>
    <row r="598" spans="1:16" ht="19.5" customHeight="1">
      <c r="A598" s="172" t="s">
        <v>1542</v>
      </c>
      <c r="B598" s="176">
        <v>46057</v>
      </c>
      <c r="C598" s="172" t="s">
        <v>81</v>
      </c>
      <c r="D598" s="172" t="s">
        <v>95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-10.119999999999999</v>
      </c>
    </row>
    <row r="599" spans="1:16" ht="19.5" customHeight="1">
      <c r="A599" s="172" t="s">
        <v>1542</v>
      </c>
      <c r="B599" s="176">
        <v>46057</v>
      </c>
      <c r="C599" s="172" t="s">
        <v>92</v>
      </c>
      <c r="D599" s="172" t="s">
        <v>96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1542</v>
      </c>
      <c r="B600" s="176">
        <v>46057</v>
      </c>
      <c r="C600" s="172" t="s">
        <v>92</v>
      </c>
      <c r="D600" s="172" t="s">
        <v>97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-46.77</v>
      </c>
    </row>
    <row r="601" spans="1:16" ht="19.5" customHeight="1">
      <c r="A601" s="172" t="s">
        <v>1542</v>
      </c>
      <c r="B601" s="176">
        <v>46057</v>
      </c>
      <c r="C601" s="172" t="s">
        <v>81</v>
      </c>
      <c r="D601" s="172" t="s">
        <v>98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46052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1543</v>
      </c>
      <c r="B602" s="176">
        <v>46057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-145.74</v>
      </c>
    </row>
    <row r="603" spans="1:16" ht="19.5" customHeight="1">
      <c r="A603" s="172" t="s">
        <v>1543</v>
      </c>
      <c r="B603" s="176">
        <v>46057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750.71</v>
      </c>
    </row>
    <row r="604" spans="1:16" ht="19.5" customHeight="1">
      <c r="A604" s="172" t="s">
        <v>1543</v>
      </c>
      <c r="B604" s="176">
        <v>46057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7.51</v>
      </c>
    </row>
    <row r="605" spans="1:16" ht="19.5" customHeight="1">
      <c r="A605" s="172" t="s">
        <v>1543</v>
      </c>
      <c r="B605" s="176">
        <v>46057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1391.78</v>
      </c>
    </row>
    <row r="606" spans="1:16" ht="19.5" customHeight="1">
      <c r="A606" s="172" t="s">
        <v>1543</v>
      </c>
      <c r="B606" s="176">
        <v>46057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customHeight="1">
      <c r="A607" s="172" t="s">
        <v>1543</v>
      </c>
      <c r="B607" s="176">
        <v>46057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-14.64</v>
      </c>
    </row>
    <row r="608" spans="1:16" ht="19.5" customHeight="1">
      <c r="A608" s="172" t="s">
        <v>1544</v>
      </c>
      <c r="B608" s="176">
        <v>46057</v>
      </c>
      <c r="C608" s="172" t="s">
        <v>354</v>
      </c>
      <c r="D608" s="172" t="s">
        <v>892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-3283.2</v>
      </c>
    </row>
    <row r="609" spans="1:16" ht="19.5" customHeight="1">
      <c r="A609" s="172" t="s">
        <v>1544</v>
      </c>
      <c r="B609" s="176">
        <v>46057</v>
      </c>
      <c r="C609" s="172" t="s">
        <v>354</v>
      </c>
      <c r="D609" s="172" t="s">
        <v>892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customHeight="1">
      <c r="A610" s="172" t="s">
        <v>1544</v>
      </c>
      <c r="B610" s="176">
        <v>46057</v>
      </c>
      <c r="C610" s="172" t="s">
        <v>354</v>
      </c>
      <c r="D610" s="172" t="s">
        <v>892</v>
      </c>
      <c r="E610" s="172" t="s">
        <v>85</v>
      </c>
      <c r="F610" s="172" t="s">
        <v>85</v>
      </c>
      <c r="G610" s="172" t="s">
        <v>85</v>
      </c>
      <c r="H610" s="177">
        <v>0</v>
      </c>
      <c r="I610" s="178">
        <v>0</v>
      </c>
      <c r="J610" s="176">
        <v>46041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-3321.6</v>
      </c>
    </row>
    <row r="611" spans="1:16" ht="19.5" customHeight="1">
      <c r="A611" s="172" t="s">
        <v>1543</v>
      </c>
      <c r="B611" s="176">
        <v>46057</v>
      </c>
      <c r="C611" s="172" t="s">
        <v>81</v>
      </c>
      <c r="D611" s="172" t="s">
        <v>82</v>
      </c>
      <c r="E611" s="172" t="s">
        <v>53</v>
      </c>
      <c r="F611" s="172" t="s">
        <v>120</v>
      </c>
      <c r="G611" s="172" t="s">
        <v>84</v>
      </c>
      <c r="H611" s="177">
        <v>1</v>
      </c>
      <c r="I611" s="178">
        <v>0</v>
      </c>
      <c r="J611" s="176">
        <v>46055</v>
      </c>
      <c r="K611" s="172" t="s">
        <v>85</v>
      </c>
      <c r="L611" s="172" t="s">
        <v>85</v>
      </c>
      <c r="M611" s="179">
        <v>0</v>
      </c>
      <c r="N611" s="177"/>
      <c r="O611" s="177"/>
      <c r="P611" s="180">
        <v>-14.26</v>
      </c>
    </row>
    <row r="612" spans="1:16" ht="19.5" customHeight="1">
      <c r="A612" s="172" t="s">
        <v>1545</v>
      </c>
      <c r="B612" s="176">
        <v>46057</v>
      </c>
      <c r="C612" s="172" t="s">
        <v>92</v>
      </c>
      <c r="D612" s="172" t="s">
        <v>24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0.43</v>
      </c>
      <c r="N612" s="177"/>
      <c r="O612" s="177">
        <v>41</v>
      </c>
      <c r="P612" s="180">
        <v>-145.74</v>
      </c>
    </row>
    <row r="613" spans="1:16" ht="19.5" customHeight="1">
      <c r="A613" s="172" t="s">
        <v>1545</v>
      </c>
      <c r="B613" s="176">
        <v>46057</v>
      </c>
      <c r="C613" s="172" t="s">
        <v>100</v>
      </c>
      <c r="D613" s="172" t="s">
        <v>101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954.55</v>
      </c>
    </row>
    <row r="614" spans="1:16" ht="19.5" customHeight="1">
      <c r="A614" s="172" t="s">
        <v>1545</v>
      </c>
      <c r="B614" s="176">
        <v>46057</v>
      </c>
      <c r="C614" s="172" t="s">
        <v>100</v>
      </c>
      <c r="D614" s="172" t="s">
        <v>102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customHeight="1">
      <c r="A615" s="172" t="s">
        <v>1545</v>
      </c>
      <c r="B615" s="176">
        <v>46057</v>
      </c>
      <c r="C615" s="172" t="s">
        <v>100</v>
      </c>
      <c r="D615" s="172" t="s">
        <v>103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1195.45</v>
      </c>
    </row>
    <row r="616" spans="1:16" ht="19.5" customHeight="1">
      <c r="A616" s="172" t="s">
        <v>1545</v>
      </c>
      <c r="B616" s="176">
        <v>46057</v>
      </c>
      <c r="C616" s="172" t="s">
        <v>104</v>
      </c>
      <c r="D616" s="172" t="s">
        <v>105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-924.5</v>
      </c>
    </row>
    <row r="617" spans="1:16" ht="19.5" customHeight="1">
      <c r="A617" s="172" t="s">
        <v>1545</v>
      </c>
      <c r="B617" s="176">
        <v>46057</v>
      </c>
      <c r="C617" s="172" t="s">
        <v>81</v>
      </c>
      <c r="D617" s="172" t="s">
        <v>95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2150</v>
      </c>
      <c r="J617" s="176">
        <v>46056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-11.4</v>
      </c>
    </row>
    <row r="618" spans="1:16" ht="19.5" customHeight="1">
      <c r="A618" s="172" t="s">
        <v>1546</v>
      </c>
      <c r="B618" s="176">
        <v>46057</v>
      </c>
      <c r="C618" s="172" t="s">
        <v>92</v>
      </c>
      <c r="D618" s="172" t="s">
        <v>24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>
        <v>44</v>
      </c>
      <c r="P618" s="180">
        <v>-56.94</v>
      </c>
    </row>
    <row r="619" spans="1:16" ht="19.5" customHeight="1">
      <c r="A619" s="172" t="s">
        <v>1546</v>
      </c>
      <c r="B619" s="176">
        <v>46057</v>
      </c>
      <c r="C619" s="172" t="s">
        <v>81</v>
      </c>
      <c r="D619" s="172" t="s">
        <v>95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-9.7799999999999994</v>
      </c>
    </row>
    <row r="620" spans="1:16" ht="19.5" customHeight="1">
      <c r="A620" s="172" t="s">
        <v>1546</v>
      </c>
      <c r="B620" s="176">
        <v>46057</v>
      </c>
      <c r="C620" s="172" t="s">
        <v>92</v>
      </c>
      <c r="D620" s="172" t="s">
        <v>96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0</v>
      </c>
    </row>
    <row r="621" spans="1:16" ht="19.5" customHeight="1">
      <c r="A621" s="172" t="s">
        <v>1546</v>
      </c>
      <c r="B621" s="176">
        <v>46057</v>
      </c>
      <c r="C621" s="172" t="s">
        <v>92</v>
      </c>
      <c r="D621" s="172" t="s">
        <v>97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-56.94</v>
      </c>
    </row>
    <row r="622" spans="1:16" ht="19.5" customHeight="1">
      <c r="A622" s="172" t="s">
        <v>1546</v>
      </c>
      <c r="B622" s="176">
        <v>46057</v>
      </c>
      <c r="C622" s="172" t="s">
        <v>81</v>
      </c>
      <c r="D622" s="172" t="s">
        <v>98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0</v>
      </c>
      <c r="J622" s="176">
        <v>46052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-15</v>
      </c>
    </row>
    <row r="623" spans="1:16" ht="19.5" customHeight="1">
      <c r="A623" s="172" t="s">
        <v>1547</v>
      </c>
      <c r="B623" s="176">
        <v>46057</v>
      </c>
      <c r="C623" s="172" t="s">
        <v>92</v>
      </c>
      <c r="D623" s="172" t="s">
        <v>24</v>
      </c>
      <c r="E623" s="172" t="s">
        <v>43</v>
      </c>
      <c r="F623" s="172" t="s">
        <v>125</v>
      </c>
      <c r="G623" s="172" t="s">
        <v>84</v>
      </c>
      <c r="H623" s="177">
        <v>1</v>
      </c>
      <c r="I623" s="178">
        <v>0</v>
      </c>
      <c r="J623" s="176">
        <v>46055</v>
      </c>
      <c r="K623" s="172" t="s">
        <v>93</v>
      </c>
      <c r="L623" s="172" t="s">
        <v>94</v>
      </c>
      <c r="M623" s="179">
        <v>0</v>
      </c>
      <c r="N623" s="177"/>
      <c r="O623" s="177">
        <v>41</v>
      </c>
      <c r="P623" s="180">
        <v>-130.08000000000001</v>
      </c>
    </row>
    <row r="624" spans="1:16" ht="19.5" customHeight="1">
      <c r="A624" s="172" t="s">
        <v>1545</v>
      </c>
      <c r="B624" s="176">
        <v>46057</v>
      </c>
      <c r="C624" s="172" t="s">
        <v>81</v>
      </c>
      <c r="D624" s="172" t="s">
        <v>82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46056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-8.3000000000000007</v>
      </c>
    </row>
    <row r="625" spans="1:16" ht="19.5" customHeight="1">
      <c r="A625" s="172" t="s">
        <v>1548</v>
      </c>
      <c r="B625" s="176">
        <v>46057</v>
      </c>
      <c r="C625" s="172" t="s">
        <v>92</v>
      </c>
      <c r="D625" s="172" t="s">
        <v>24</v>
      </c>
      <c r="E625" s="172" t="s">
        <v>58</v>
      </c>
      <c r="F625" s="172" t="s">
        <v>1302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0.43</v>
      </c>
      <c r="N625" s="177"/>
      <c r="O625" s="177">
        <v>41</v>
      </c>
      <c r="P625" s="180">
        <v>-141.69</v>
      </c>
    </row>
    <row r="626" spans="1:16" ht="19.5" customHeight="1">
      <c r="A626" s="172" t="s">
        <v>1548</v>
      </c>
      <c r="B626" s="176">
        <v>46057</v>
      </c>
      <c r="C626" s="172" t="s">
        <v>100</v>
      </c>
      <c r="D626" s="172" t="s">
        <v>101</v>
      </c>
      <c r="E626" s="172" t="s">
        <v>58</v>
      </c>
      <c r="F626" s="172" t="s">
        <v>1302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823.81</v>
      </c>
    </row>
    <row r="627" spans="1:16" ht="19.5" customHeight="1">
      <c r="A627" s="172" t="s">
        <v>1548</v>
      </c>
      <c r="B627" s="176">
        <v>46057</v>
      </c>
      <c r="C627" s="172" t="s">
        <v>100</v>
      </c>
      <c r="D627" s="172" t="s">
        <v>102</v>
      </c>
      <c r="E627" s="172" t="s">
        <v>58</v>
      </c>
      <c r="F627" s="172" t="s">
        <v>1302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8.24</v>
      </c>
    </row>
    <row r="628" spans="1:16" ht="19.5" customHeight="1">
      <c r="A628" s="172" t="s">
        <v>1548</v>
      </c>
      <c r="B628" s="176">
        <v>46057</v>
      </c>
      <c r="C628" s="172" t="s">
        <v>100</v>
      </c>
      <c r="D628" s="172" t="s">
        <v>103</v>
      </c>
      <c r="E628" s="172" t="s">
        <v>58</v>
      </c>
      <c r="F628" s="172" t="s">
        <v>1302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1167.95</v>
      </c>
    </row>
    <row r="629" spans="1:16" ht="19.5" customHeight="1">
      <c r="A629" s="172" t="s">
        <v>1548</v>
      </c>
      <c r="B629" s="176">
        <v>46057</v>
      </c>
      <c r="C629" s="172" t="s">
        <v>104</v>
      </c>
      <c r="D629" s="172" t="s">
        <v>105</v>
      </c>
      <c r="E629" s="172" t="s">
        <v>58</v>
      </c>
      <c r="F629" s="172" t="s">
        <v>1302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-860</v>
      </c>
    </row>
    <row r="630" spans="1:16" ht="19.5" customHeight="1">
      <c r="A630" s="172" t="s">
        <v>1548</v>
      </c>
      <c r="B630" s="176">
        <v>46057</v>
      </c>
      <c r="C630" s="172" t="s">
        <v>81</v>
      </c>
      <c r="D630" s="172" t="s">
        <v>95</v>
      </c>
      <c r="E630" s="172" t="s">
        <v>58</v>
      </c>
      <c r="F630" s="172" t="s">
        <v>1302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-16.149999999999999</v>
      </c>
    </row>
    <row r="631" spans="1:16" ht="19.5" customHeight="1">
      <c r="A631" s="172" t="s">
        <v>1549</v>
      </c>
      <c r="B631" s="176">
        <v>46057</v>
      </c>
      <c r="C631" s="172" t="s">
        <v>92</v>
      </c>
      <c r="D631" s="172" t="s">
        <v>24</v>
      </c>
      <c r="E631" s="172" t="s">
        <v>59</v>
      </c>
      <c r="F631" s="172" t="s">
        <v>1389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0.43</v>
      </c>
      <c r="N631" s="177"/>
      <c r="O631" s="177">
        <v>41</v>
      </c>
      <c r="P631" s="180">
        <v>-141.69</v>
      </c>
    </row>
    <row r="632" spans="1:16" ht="19.5" customHeight="1">
      <c r="A632" s="172" t="s">
        <v>1549</v>
      </c>
      <c r="B632" s="176">
        <v>46057</v>
      </c>
      <c r="C632" s="172" t="s">
        <v>100</v>
      </c>
      <c r="D632" s="172" t="s">
        <v>101</v>
      </c>
      <c r="E632" s="172" t="s">
        <v>59</v>
      </c>
      <c r="F632" s="172" t="s">
        <v>1389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823.81</v>
      </c>
    </row>
    <row r="633" spans="1:16" ht="19.5" customHeight="1">
      <c r="A633" s="172" t="s">
        <v>1549</v>
      </c>
      <c r="B633" s="176">
        <v>46057</v>
      </c>
      <c r="C633" s="172" t="s">
        <v>100</v>
      </c>
      <c r="D633" s="172" t="s">
        <v>102</v>
      </c>
      <c r="E633" s="172" t="s">
        <v>59</v>
      </c>
      <c r="F633" s="172" t="s">
        <v>1389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8.24</v>
      </c>
    </row>
    <row r="634" spans="1:16" ht="19.5" customHeight="1">
      <c r="A634" s="172" t="s">
        <v>1549</v>
      </c>
      <c r="B634" s="176">
        <v>46057</v>
      </c>
      <c r="C634" s="172" t="s">
        <v>100</v>
      </c>
      <c r="D634" s="172" t="s">
        <v>103</v>
      </c>
      <c r="E634" s="172" t="s">
        <v>59</v>
      </c>
      <c r="F634" s="172" t="s">
        <v>1389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1167.95</v>
      </c>
    </row>
    <row r="635" spans="1:16" ht="19.5" customHeight="1">
      <c r="A635" s="172" t="s">
        <v>1549</v>
      </c>
      <c r="B635" s="176">
        <v>46057</v>
      </c>
      <c r="C635" s="172" t="s">
        <v>104</v>
      </c>
      <c r="D635" s="172" t="s">
        <v>105</v>
      </c>
      <c r="E635" s="172" t="s">
        <v>59</v>
      </c>
      <c r="F635" s="172" t="s">
        <v>1389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-860</v>
      </c>
    </row>
    <row r="636" spans="1:16" ht="19.5" customHeight="1">
      <c r="A636" s="172" t="s">
        <v>1549</v>
      </c>
      <c r="B636" s="176">
        <v>46057</v>
      </c>
      <c r="C636" s="172" t="s">
        <v>81</v>
      </c>
      <c r="D636" s="172" t="s">
        <v>95</v>
      </c>
      <c r="E636" s="172" t="s">
        <v>59</v>
      </c>
      <c r="F636" s="172" t="s">
        <v>1389</v>
      </c>
      <c r="G636" s="172" t="s">
        <v>84</v>
      </c>
      <c r="H636" s="177">
        <v>1</v>
      </c>
      <c r="I636" s="178">
        <v>2000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-16.149999999999999</v>
      </c>
    </row>
    <row r="637" spans="1:16" ht="19.5" customHeight="1">
      <c r="A637" s="172" t="s">
        <v>1550</v>
      </c>
      <c r="B637" s="176">
        <v>46057</v>
      </c>
      <c r="C637" s="172" t="s">
        <v>92</v>
      </c>
      <c r="D637" s="172" t="s">
        <v>24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0.43</v>
      </c>
      <c r="N637" s="177"/>
      <c r="O637" s="177">
        <v>41</v>
      </c>
      <c r="P637" s="180">
        <v>-136.61000000000001</v>
      </c>
    </row>
    <row r="638" spans="1:16" ht="19.5" customHeight="1">
      <c r="A638" s="172" t="s">
        <v>1550</v>
      </c>
      <c r="B638" s="176">
        <v>46057</v>
      </c>
      <c r="C638" s="172" t="s">
        <v>100</v>
      </c>
      <c r="D638" s="172" t="s">
        <v>101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631.42999999999995</v>
      </c>
    </row>
    <row r="639" spans="1:16" ht="19.5" customHeight="1">
      <c r="A639" s="172" t="s">
        <v>1550</v>
      </c>
      <c r="B639" s="176">
        <v>46057</v>
      </c>
      <c r="C639" s="172" t="s">
        <v>100</v>
      </c>
      <c r="D639" s="172" t="s">
        <v>102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6.31</v>
      </c>
    </row>
    <row r="640" spans="1:16" ht="19.5" customHeight="1">
      <c r="A640" s="172" t="s">
        <v>1550</v>
      </c>
      <c r="B640" s="176">
        <v>46057</v>
      </c>
      <c r="C640" s="172" t="s">
        <v>100</v>
      </c>
      <c r="D640" s="172" t="s">
        <v>103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1174.26</v>
      </c>
    </row>
    <row r="641" spans="1:16" ht="19.5" customHeight="1">
      <c r="A641" s="172" t="s">
        <v>1550</v>
      </c>
      <c r="B641" s="176">
        <v>46057</v>
      </c>
      <c r="C641" s="172" t="s">
        <v>104</v>
      </c>
      <c r="D641" s="172" t="s">
        <v>105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-779.16</v>
      </c>
    </row>
    <row r="642" spans="1:16" ht="19.5" customHeight="1">
      <c r="A642" s="172" t="s">
        <v>1550</v>
      </c>
      <c r="B642" s="176">
        <v>46057</v>
      </c>
      <c r="C642" s="172" t="s">
        <v>81</v>
      </c>
      <c r="D642" s="172" t="s">
        <v>95</v>
      </c>
      <c r="E642" s="172" t="s">
        <v>53</v>
      </c>
      <c r="F642" s="172" t="s">
        <v>120</v>
      </c>
      <c r="G642" s="172" t="s">
        <v>84</v>
      </c>
      <c r="H642" s="177">
        <v>1</v>
      </c>
      <c r="I642" s="178">
        <v>1812</v>
      </c>
      <c r="J642" s="176">
        <v>46055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-14.63</v>
      </c>
    </row>
    <row r="643" spans="1:16" ht="19.5" customHeight="1">
      <c r="A643" s="172" t="s">
        <v>1551</v>
      </c>
      <c r="B643" s="176">
        <v>46057</v>
      </c>
      <c r="C643" s="172" t="s">
        <v>81</v>
      </c>
      <c r="D643" s="172" t="s">
        <v>82</v>
      </c>
      <c r="E643" s="172" t="s">
        <v>55</v>
      </c>
      <c r="F643" s="172" t="s">
        <v>1274</v>
      </c>
      <c r="G643" s="172" t="s">
        <v>84</v>
      </c>
      <c r="H643" s="177">
        <v>1</v>
      </c>
      <c r="I643" s="178">
        <v>0</v>
      </c>
      <c r="J643" s="176">
        <v>46057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-18.28</v>
      </c>
    </row>
    <row r="644" spans="1:16" ht="19.5" customHeight="1">
      <c r="A644" s="172" t="s">
        <v>1552</v>
      </c>
      <c r="B644" s="176">
        <v>46057</v>
      </c>
      <c r="C644" s="172" t="s">
        <v>92</v>
      </c>
      <c r="D644" s="172" t="s">
        <v>96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1552</v>
      </c>
      <c r="B645" s="176">
        <v>46057</v>
      </c>
      <c r="C645" s="172" t="s">
        <v>92</v>
      </c>
      <c r="D645" s="172" t="s">
        <v>97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1552</v>
      </c>
      <c r="B646" s="176">
        <v>46057</v>
      </c>
      <c r="C646" s="172" t="s">
        <v>81</v>
      </c>
      <c r="D646" s="172" t="s">
        <v>98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customHeight="1">
      <c r="A647" s="172" t="s">
        <v>1552</v>
      </c>
      <c r="B647" s="176">
        <v>46057</v>
      </c>
      <c r="C647" s="172" t="s">
        <v>92</v>
      </c>
      <c r="D647" s="172" t="s">
        <v>24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>
        <v>41</v>
      </c>
      <c r="P647" s="180">
        <v>-56</v>
      </c>
    </row>
    <row r="648" spans="1:16" ht="19.5" customHeight="1">
      <c r="A648" s="172" t="s">
        <v>1552</v>
      </c>
      <c r="B648" s="176">
        <v>46057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-9.8699999999999992</v>
      </c>
    </row>
    <row r="649" spans="1:16" ht="19.5" customHeight="1">
      <c r="A649" s="172" t="s">
        <v>1553</v>
      </c>
      <c r="B649" s="176">
        <v>46057</v>
      </c>
      <c r="C649" s="172" t="s">
        <v>92</v>
      </c>
      <c r="D649" s="172" t="s">
        <v>24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>
        <v>41</v>
      </c>
      <c r="P649" s="180">
        <v>-56</v>
      </c>
    </row>
    <row r="650" spans="1:16" ht="19.5" customHeight="1">
      <c r="A650" s="172" t="s">
        <v>1553</v>
      </c>
      <c r="B650" s="176">
        <v>46057</v>
      </c>
      <c r="C650" s="172" t="s">
        <v>81</v>
      </c>
      <c r="D650" s="172" t="s">
        <v>95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-9.93</v>
      </c>
    </row>
    <row r="651" spans="1:16" ht="19.5" customHeight="1">
      <c r="A651" s="172" t="s">
        <v>1553</v>
      </c>
      <c r="B651" s="176">
        <v>46057</v>
      </c>
      <c r="C651" s="172" t="s">
        <v>92</v>
      </c>
      <c r="D651" s="172" t="s">
        <v>96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0</v>
      </c>
    </row>
    <row r="652" spans="1:16" ht="19.5" customHeight="1">
      <c r="A652" s="172" t="s">
        <v>1553</v>
      </c>
      <c r="B652" s="176">
        <v>46057</v>
      </c>
      <c r="C652" s="172" t="s">
        <v>92</v>
      </c>
      <c r="D652" s="172" t="s">
        <v>97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-56</v>
      </c>
    </row>
    <row r="653" spans="1:16" ht="19.5" customHeight="1">
      <c r="A653" s="172" t="s">
        <v>1553</v>
      </c>
      <c r="B653" s="176">
        <v>46057</v>
      </c>
      <c r="C653" s="172" t="s">
        <v>81</v>
      </c>
      <c r="D653" s="172" t="s">
        <v>98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0</v>
      </c>
      <c r="J653" s="176">
        <v>46047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-15</v>
      </c>
    </row>
    <row r="654" spans="1:16" ht="19.5" customHeight="1">
      <c r="A654" s="172" t="s">
        <v>1554</v>
      </c>
      <c r="B654" s="176">
        <v>46057</v>
      </c>
      <c r="C654" s="172" t="s">
        <v>92</v>
      </c>
      <c r="D654" s="172" t="s">
        <v>24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>
        <v>45</v>
      </c>
      <c r="P654" s="180">
        <v>-46.77</v>
      </c>
    </row>
    <row r="655" spans="1:16" ht="19.5" customHeight="1">
      <c r="A655" s="172" t="s">
        <v>1554</v>
      </c>
      <c r="B655" s="176">
        <v>46057</v>
      </c>
      <c r="C655" s="172" t="s">
        <v>81</v>
      </c>
      <c r="D655" s="172" t="s">
        <v>95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-8.91</v>
      </c>
    </row>
    <row r="656" spans="1:16" ht="19.5" customHeight="1">
      <c r="A656" s="172" t="s">
        <v>1554</v>
      </c>
      <c r="B656" s="176">
        <v>46057</v>
      </c>
      <c r="C656" s="172" t="s">
        <v>92</v>
      </c>
      <c r="D656" s="172" t="s">
        <v>96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0</v>
      </c>
    </row>
    <row r="657" spans="1:16" ht="19.5" customHeight="1">
      <c r="A657" s="172" t="s">
        <v>1554</v>
      </c>
      <c r="B657" s="176">
        <v>46057</v>
      </c>
      <c r="C657" s="172" t="s">
        <v>92</v>
      </c>
      <c r="D657" s="172" t="s">
        <v>97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-46.77</v>
      </c>
    </row>
    <row r="658" spans="1:16" ht="19.5" customHeight="1">
      <c r="A658" s="172" t="s">
        <v>1554</v>
      </c>
      <c r="B658" s="176">
        <v>46057</v>
      </c>
      <c r="C658" s="172" t="s">
        <v>81</v>
      </c>
      <c r="D658" s="172" t="s">
        <v>98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0</v>
      </c>
      <c r="J658" s="176">
        <v>46049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-15</v>
      </c>
    </row>
    <row r="659" spans="1:16" ht="19.5" customHeight="1">
      <c r="A659" s="172" t="s">
        <v>1555</v>
      </c>
      <c r="B659" s="176">
        <v>46057</v>
      </c>
      <c r="C659" s="172" t="s">
        <v>81</v>
      </c>
      <c r="D659" s="172" t="s">
        <v>82</v>
      </c>
      <c r="E659" s="172" t="s">
        <v>57</v>
      </c>
      <c r="F659" s="172" t="s">
        <v>1265</v>
      </c>
      <c r="G659" s="172" t="s">
        <v>84</v>
      </c>
      <c r="H659" s="177">
        <v>1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-17.43</v>
      </c>
    </row>
    <row r="660" spans="1:16" ht="19.5" customHeight="1">
      <c r="A660" s="172" t="s">
        <v>1556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-223.46</v>
      </c>
    </row>
    <row r="661" spans="1:16" ht="19.5" customHeight="1">
      <c r="A661" s="172" t="s">
        <v>1557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-214.69</v>
      </c>
    </row>
    <row r="662" spans="1:16" ht="19.5" customHeight="1">
      <c r="A662" s="172" t="s">
        <v>141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-426.45</v>
      </c>
    </row>
    <row r="663" spans="1:16" ht="19.5" customHeight="1">
      <c r="A663" s="172" t="s">
        <v>145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-1005.74</v>
      </c>
    </row>
    <row r="664" spans="1:16" ht="19.5" customHeight="1">
      <c r="A664" s="172" t="s">
        <v>138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-1131.2</v>
      </c>
    </row>
    <row r="665" spans="1:16" ht="19.5" customHeight="1">
      <c r="A665" s="172" t="s">
        <v>144</v>
      </c>
      <c r="B665" s="176">
        <v>46057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-713.59</v>
      </c>
    </row>
    <row r="666" spans="1:16" ht="19.5" customHeight="1">
      <c r="A666" s="172" t="s">
        <v>142</v>
      </c>
      <c r="B666" s="176">
        <v>46057</v>
      </c>
      <c r="C666" s="172" t="s">
        <v>109</v>
      </c>
      <c r="D666" s="172" t="s">
        <v>143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46057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-6073.36</v>
      </c>
    </row>
    <row r="667" spans="1:16" ht="19.5" customHeight="1">
      <c r="A667" s="172" t="s">
        <v>1558</v>
      </c>
      <c r="B667" s="176">
        <v>46058</v>
      </c>
      <c r="C667" s="172" t="s">
        <v>92</v>
      </c>
      <c r="D667" s="172" t="s">
        <v>24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>
        <v>44</v>
      </c>
      <c r="P667" s="180">
        <v>-56</v>
      </c>
    </row>
    <row r="668" spans="1:16" ht="19.5" customHeight="1">
      <c r="A668" s="172" t="s">
        <v>1558</v>
      </c>
      <c r="B668" s="176">
        <v>46058</v>
      </c>
      <c r="C668" s="172" t="s">
        <v>81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-15.79</v>
      </c>
    </row>
    <row r="669" spans="1:16" ht="19.5" customHeight="1">
      <c r="A669" s="172" t="s">
        <v>1558</v>
      </c>
      <c r="B669" s="176">
        <v>46058</v>
      </c>
      <c r="C669" s="172" t="s">
        <v>92</v>
      </c>
      <c r="D669" s="172" t="s">
        <v>96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0</v>
      </c>
    </row>
    <row r="670" spans="1:16" ht="19.5" customHeight="1">
      <c r="A670" s="172" t="s">
        <v>1558</v>
      </c>
      <c r="B670" s="176">
        <v>46058</v>
      </c>
      <c r="C670" s="172" t="s">
        <v>92</v>
      </c>
      <c r="D670" s="172" t="s">
        <v>97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-56</v>
      </c>
    </row>
    <row r="671" spans="1:16" ht="19.5" customHeight="1">
      <c r="A671" s="172" t="s">
        <v>1558</v>
      </c>
      <c r="B671" s="176">
        <v>46058</v>
      </c>
      <c r="C671" s="172" t="s">
        <v>81</v>
      </c>
      <c r="D671" s="172" t="s">
        <v>98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0</v>
      </c>
      <c r="J671" s="176">
        <v>46052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-15</v>
      </c>
    </row>
    <row r="672" spans="1:16" ht="19.5" customHeight="1">
      <c r="A672" s="172" t="s">
        <v>1559</v>
      </c>
      <c r="B672" s="176">
        <v>46058</v>
      </c>
      <c r="C672" s="172" t="s">
        <v>92</v>
      </c>
      <c r="D672" s="172" t="s">
        <v>96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customHeight="1">
      <c r="A673" s="172" t="s">
        <v>1559</v>
      </c>
      <c r="B673" s="176">
        <v>46058</v>
      </c>
      <c r="C673" s="172" t="s">
        <v>92</v>
      </c>
      <c r="D673" s="172" t="s">
        <v>97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-46.77</v>
      </c>
    </row>
    <row r="674" spans="1:16" ht="19.5" customHeight="1">
      <c r="A674" s="172" t="s">
        <v>1559</v>
      </c>
      <c r="B674" s="176">
        <v>46058</v>
      </c>
      <c r="C674" s="172" t="s">
        <v>81</v>
      </c>
      <c r="D674" s="172" t="s">
        <v>98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-15</v>
      </c>
    </row>
    <row r="675" spans="1:16" ht="19.5" customHeight="1">
      <c r="A675" s="172" t="s">
        <v>1559</v>
      </c>
      <c r="B675" s="176">
        <v>46058</v>
      </c>
      <c r="C675" s="172" t="s">
        <v>92</v>
      </c>
      <c r="D675" s="172" t="s">
        <v>24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>
        <v>44</v>
      </c>
      <c r="P675" s="180">
        <v>-46.77</v>
      </c>
    </row>
    <row r="676" spans="1:16" ht="19.5" customHeight="1">
      <c r="A676" s="172" t="s">
        <v>1559</v>
      </c>
      <c r="B676" s="176">
        <v>46058</v>
      </c>
      <c r="C676" s="172" t="s">
        <v>81</v>
      </c>
      <c r="D676" s="172" t="s">
        <v>95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0</v>
      </c>
      <c r="J676" s="176">
        <v>46053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-14.85</v>
      </c>
    </row>
    <row r="677" spans="1:16" ht="19.5" customHeight="1">
      <c r="A677" s="172" t="s">
        <v>1560</v>
      </c>
      <c r="B677" s="176">
        <v>46058</v>
      </c>
      <c r="C677" s="172" t="s">
        <v>92</v>
      </c>
      <c r="D677" s="172" t="s">
        <v>96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0</v>
      </c>
    </row>
    <row r="678" spans="1:16" ht="19.5" customHeight="1">
      <c r="A678" s="172" t="s">
        <v>1560</v>
      </c>
      <c r="B678" s="176">
        <v>46058</v>
      </c>
      <c r="C678" s="172" t="s">
        <v>92</v>
      </c>
      <c r="D678" s="172" t="s">
        <v>97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-56</v>
      </c>
    </row>
    <row r="679" spans="1:16" ht="19.5" customHeight="1">
      <c r="A679" s="172" t="s">
        <v>1560</v>
      </c>
      <c r="B679" s="176">
        <v>46058</v>
      </c>
      <c r="C679" s="172" t="s">
        <v>81</v>
      </c>
      <c r="D679" s="172" t="s">
        <v>98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-15</v>
      </c>
    </row>
    <row r="680" spans="1:16" ht="19.5" customHeight="1">
      <c r="A680" s="172" t="s">
        <v>1560</v>
      </c>
      <c r="B680" s="176">
        <v>46058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>
        <v>43</v>
      </c>
      <c r="P680" s="180">
        <v>-56</v>
      </c>
    </row>
    <row r="681" spans="1:16" ht="19.5" customHeight="1">
      <c r="A681" s="172" t="s">
        <v>1560</v>
      </c>
      <c r="B681" s="176">
        <v>46058</v>
      </c>
      <c r="C681" s="172" t="s">
        <v>81</v>
      </c>
      <c r="D681" s="172" t="s">
        <v>95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0</v>
      </c>
      <c r="J681" s="176">
        <v>46054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-18.18</v>
      </c>
    </row>
    <row r="682" spans="1:16" ht="19.5" customHeight="1">
      <c r="A682" s="172" t="s">
        <v>1561</v>
      </c>
      <c r="B682" s="176">
        <v>46058</v>
      </c>
      <c r="C682" s="172" t="s">
        <v>92</v>
      </c>
      <c r="D682" s="172" t="s">
        <v>24</v>
      </c>
      <c r="E682" s="172" t="s">
        <v>57</v>
      </c>
      <c r="F682" s="172" t="s">
        <v>1265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>
        <v>44</v>
      </c>
      <c r="P682" s="180">
        <v>-56.94</v>
      </c>
    </row>
    <row r="683" spans="1:16" ht="19.5" customHeight="1">
      <c r="A683" s="172" t="s">
        <v>1561</v>
      </c>
      <c r="B683" s="176">
        <v>46058</v>
      </c>
      <c r="C683" s="172" t="s">
        <v>81</v>
      </c>
      <c r="D683" s="172" t="s">
        <v>95</v>
      </c>
      <c r="E683" s="172" t="s">
        <v>57</v>
      </c>
      <c r="F683" s="172" t="s">
        <v>1265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-9.3800000000000008</v>
      </c>
    </row>
    <row r="684" spans="1:16" ht="19.5" customHeight="1">
      <c r="A684" s="172" t="s">
        <v>1561</v>
      </c>
      <c r="B684" s="176">
        <v>46058</v>
      </c>
      <c r="C684" s="172" t="s">
        <v>92</v>
      </c>
      <c r="D684" s="172" t="s">
        <v>96</v>
      </c>
      <c r="E684" s="172" t="s">
        <v>57</v>
      </c>
      <c r="F684" s="172" t="s">
        <v>1265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customHeight="1">
      <c r="A685" s="172" t="s">
        <v>1561</v>
      </c>
      <c r="B685" s="176">
        <v>46058</v>
      </c>
      <c r="C685" s="172" t="s">
        <v>92</v>
      </c>
      <c r="D685" s="172" t="s">
        <v>97</v>
      </c>
      <c r="E685" s="172" t="s">
        <v>57</v>
      </c>
      <c r="F685" s="172" t="s">
        <v>1265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customHeight="1">
      <c r="A686" s="172" t="s">
        <v>1561</v>
      </c>
      <c r="B686" s="176">
        <v>46058</v>
      </c>
      <c r="C686" s="172" t="s">
        <v>81</v>
      </c>
      <c r="D686" s="172" t="s">
        <v>98</v>
      </c>
      <c r="E686" s="172" t="s">
        <v>57</v>
      </c>
      <c r="F686" s="172" t="s">
        <v>1265</v>
      </c>
      <c r="G686" s="172" t="s">
        <v>84</v>
      </c>
      <c r="H686" s="177">
        <v>1</v>
      </c>
      <c r="I686" s="178">
        <v>0</v>
      </c>
      <c r="J686" s="176">
        <v>46051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customHeight="1">
      <c r="A687" s="172" t="s">
        <v>1562</v>
      </c>
      <c r="B687" s="176">
        <v>46058</v>
      </c>
      <c r="C687" s="172" t="s">
        <v>92</v>
      </c>
      <c r="D687" s="172" t="s">
        <v>24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0.43</v>
      </c>
      <c r="N687" s="177"/>
      <c r="O687" s="177">
        <v>41</v>
      </c>
      <c r="P687" s="180">
        <v>-134.84</v>
      </c>
    </row>
    <row r="688" spans="1:16" ht="19.5" customHeight="1">
      <c r="A688" s="172" t="s">
        <v>1562</v>
      </c>
      <c r="B688" s="176">
        <v>46058</v>
      </c>
      <c r="C688" s="172" t="s">
        <v>100</v>
      </c>
      <c r="D688" s="172" t="s">
        <v>101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640.67999999999995</v>
      </c>
    </row>
    <row r="689" spans="1:16" ht="19.5" customHeight="1">
      <c r="A689" s="172" t="s">
        <v>1562</v>
      </c>
      <c r="B689" s="176">
        <v>46058</v>
      </c>
      <c r="C689" s="172" t="s">
        <v>100</v>
      </c>
      <c r="D689" s="172" t="s">
        <v>102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6.41</v>
      </c>
    </row>
    <row r="690" spans="1:16" ht="19.5" customHeight="1">
      <c r="A690" s="172" t="s">
        <v>1562</v>
      </c>
      <c r="B690" s="176">
        <v>46058</v>
      </c>
      <c r="C690" s="172" t="s">
        <v>100</v>
      </c>
      <c r="D690" s="172" t="s">
        <v>103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1152.9100000000001</v>
      </c>
    </row>
    <row r="691" spans="1:16" ht="19.5" customHeight="1">
      <c r="A691" s="172" t="s">
        <v>1562</v>
      </c>
      <c r="B691" s="176">
        <v>46058</v>
      </c>
      <c r="C691" s="172" t="s">
        <v>104</v>
      </c>
      <c r="D691" s="172" t="s">
        <v>105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1800</v>
      </c>
      <c r="J691" s="176">
        <v>46047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-774</v>
      </c>
    </row>
    <row r="692" spans="1:16" ht="19.5" customHeight="1">
      <c r="A692" s="172" t="s">
        <v>85</v>
      </c>
      <c r="B692" s="176">
        <v>46058</v>
      </c>
      <c r="C692" s="172" t="s">
        <v>109</v>
      </c>
      <c r="D692" s="172" t="s">
        <v>110</v>
      </c>
      <c r="E692" s="172" t="s">
        <v>85</v>
      </c>
      <c r="F692" s="172" t="s">
        <v>85</v>
      </c>
      <c r="G692" s="172" t="s">
        <v>1563</v>
      </c>
      <c r="H692" s="177">
        <v>0</v>
      </c>
      <c r="I692" s="178">
        <v>0</v>
      </c>
      <c r="J692" s="176">
        <v>46058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-150</v>
      </c>
    </row>
    <row r="693" spans="1:16" ht="19.5" customHeight="1">
      <c r="A693" s="172" t="s">
        <v>1562</v>
      </c>
      <c r="B693" s="176">
        <v>46058</v>
      </c>
      <c r="C693" s="172" t="s">
        <v>81</v>
      </c>
      <c r="D693" s="172" t="s">
        <v>82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46047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-12.17</v>
      </c>
    </row>
    <row r="694" spans="1:16" ht="19.5" customHeight="1">
      <c r="A694" s="172" t="s">
        <v>1564</v>
      </c>
      <c r="B694" s="176">
        <v>46058</v>
      </c>
      <c r="C694" s="172" t="s">
        <v>92</v>
      </c>
      <c r="D694" s="172" t="s">
        <v>24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0.43</v>
      </c>
      <c r="N694" s="177"/>
      <c r="O694" s="177">
        <v>44</v>
      </c>
      <c r="P694" s="180">
        <v>-131.37</v>
      </c>
    </row>
    <row r="695" spans="1:16" ht="19.5" customHeight="1">
      <c r="A695" s="172" t="s">
        <v>1564</v>
      </c>
      <c r="B695" s="176">
        <v>46058</v>
      </c>
      <c r="C695" s="172" t="s">
        <v>100</v>
      </c>
      <c r="D695" s="172" t="s">
        <v>101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680.95</v>
      </c>
    </row>
    <row r="696" spans="1:16" ht="19.5" customHeight="1">
      <c r="A696" s="172" t="s">
        <v>1564</v>
      </c>
      <c r="B696" s="176">
        <v>46058</v>
      </c>
      <c r="C696" s="172" t="s">
        <v>100</v>
      </c>
      <c r="D696" s="172" t="s">
        <v>102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6.81</v>
      </c>
    </row>
    <row r="697" spans="1:16" ht="19.5" customHeight="1">
      <c r="A697" s="172" t="s">
        <v>1564</v>
      </c>
      <c r="B697" s="176">
        <v>46058</v>
      </c>
      <c r="C697" s="172" t="s">
        <v>100</v>
      </c>
      <c r="D697" s="172" t="s">
        <v>103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1062.24</v>
      </c>
    </row>
    <row r="698" spans="1:16" ht="19.5" customHeight="1">
      <c r="A698" s="172" t="s">
        <v>1564</v>
      </c>
      <c r="B698" s="176">
        <v>46058</v>
      </c>
      <c r="C698" s="172" t="s">
        <v>104</v>
      </c>
      <c r="D698" s="172" t="s">
        <v>105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-752.5</v>
      </c>
    </row>
    <row r="699" spans="1:16" ht="19.5" customHeight="1">
      <c r="A699" s="172" t="s">
        <v>1564</v>
      </c>
      <c r="B699" s="176">
        <v>46058</v>
      </c>
      <c r="C699" s="172" t="s">
        <v>81</v>
      </c>
      <c r="D699" s="172" t="s">
        <v>95</v>
      </c>
      <c r="E699" s="172" t="s">
        <v>41</v>
      </c>
      <c r="F699" s="172" t="s">
        <v>83</v>
      </c>
      <c r="G699" s="172" t="s">
        <v>84</v>
      </c>
      <c r="H699" s="177">
        <v>1</v>
      </c>
      <c r="I699" s="178">
        <v>1750</v>
      </c>
      <c r="J699" s="176">
        <v>46053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-13.57</v>
      </c>
    </row>
    <row r="700" spans="1:16" ht="19.5" customHeight="1">
      <c r="A700" s="172" t="s">
        <v>1565</v>
      </c>
      <c r="B700" s="176">
        <v>46058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0.43</v>
      </c>
      <c r="N700" s="177"/>
      <c r="O700" s="177">
        <v>44</v>
      </c>
      <c r="P700" s="180">
        <v>-149.51</v>
      </c>
    </row>
    <row r="701" spans="1:16" ht="19.5" customHeight="1">
      <c r="A701" s="172" t="s">
        <v>1565</v>
      </c>
      <c r="B701" s="176">
        <v>46058</v>
      </c>
      <c r="C701" s="172" t="s">
        <v>100</v>
      </c>
      <c r="D701" s="172" t="s">
        <v>101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695.24</v>
      </c>
    </row>
    <row r="702" spans="1:16" ht="19.5" customHeight="1">
      <c r="A702" s="172" t="s">
        <v>1565</v>
      </c>
      <c r="B702" s="176">
        <v>46058</v>
      </c>
      <c r="C702" s="172" t="s">
        <v>100</v>
      </c>
      <c r="D702" s="172" t="s">
        <v>102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6.95</v>
      </c>
    </row>
    <row r="703" spans="1:16" ht="19.5" customHeight="1">
      <c r="A703" s="172" t="s">
        <v>1565</v>
      </c>
      <c r="B703" s="176">
        <v>46058</v>
      </c>
      <c r="C703" s="172" t="s">
        <v>100</v>
      </c>
      <c r="D703" s="172" t="s">
        <v>103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1097.81</v>
      </c>
    </row>
    <row r="704" spans="1:16" ht="19.5" customHeight="1">
      <c r="A704" s="172" t="s">
        <v>1565</v>
      </c>
      <c r="B704" s="176">
        <v>46058</v>
      </c>
      <c r="C704" s="172" t="s">
        <v>104</v>
      </c>
      <c r="D704" s="172" t="s">
        <v>105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-774</v>
      </c>
    </row>
    <row r="705" spans="1:16" ht="19.5" customHeight="1">
      <c r="A705" s="172" t="s">
        <v>1565</v>
      </c>
      <c r="B705" s="176">
        <v>46058</v>
      </c>
      <c r="C705" s="172" t="s">
        <v>81</v>
      </c>
      <c r="D705" s="172" t="s">
        <v>95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1800</v>
      </c>
      <c r="J705" s="176">
        <v>46048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-11</v>
      </c>
    </row>
    <row r="706" spans="1:16" ht="19.5" customHeight="1">
      <c r="A706" s="172" t="s">
        <v>1566</v>
      </c>
      <c r="B706" s="176">
        <v>46058</v>
      </c>
      <c r="C706" s="172" t="s">
        <v>92</v>
      </c>
      <c r="D706" s="172" t="s">
        <v>24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0.43</v>
      </c>
      <c r="N706" s="177"/>
      <c r="O706" s="177">
        <v>43</v>
      </c>
      <c r="P706" s="180">
        <v>-146.15</v>
      </c>
    </row>
    <row r="707" spans="1:16" ht="19.5" customHeight="1">
      <c r="A707" s="172" t="s">
        <v>1566</v>
      </c>
      <c r="B707" s="176">
        <v>46058</v>
      </c>
      <c r="C707" s="172" t="s">
        <v>100</v>
      </c>
      <c r="D707" s="172" t="s">
        <v>101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720</v>
      </c>
    </row>
    <row r="708" spans="1:16" ht="19.5" customHeight="1">
      <c r="A708" s="172" t="s">
        <v>1566</v>
      </c>
      <c r="B708" s="176">
        <v>46058</v>
      </c>
      <c r="C708" s="172" t="s">
        <v>100</v>
      </c>
      <c r="D708" s="172" t="s">
        <v>102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7.2</v>
      </c>
    </row>
    <row r="709" spans="1:16" ht="19.5" customHeight="1">
      <c r="A709" s="172" t="s">
        <v>1566</v>
      </c>
      <c r="B709" s="176">
        <v>46058</v>
      </c>
      <c r="C709" s="172" t="s">
        <v>100</v>
      </c>
      <c r="D709" s="172" t="s">
        <v>103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1157.8</v>
      </c>
    </row>
    <row r="710" spans="1:16" ht="19.5" customHeight="1">
      <c r="A710" s="172" t="s">
        <v>1566</v>
      </c>
      <c r="B710" s="176">
        <v>46058</v>
      </c>
      <c r="C710" s="172" t="s">
        <v>104</v>
      </c>
      <c r="D710" s="172" t="s">
        <v>105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1885</v>
      </c>
      <c r="J710" s="176">
        <v>46042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-810.55</v>
      </c>
    </row>
    <row r="711" spans="1:16" ht="19.5" customHeight="1">
      <c r="A711" s="172" t="s">
        <v>1565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-13.21</v>
      </c>
    </row>
    <row r="712" spans="1:16" ht="19.5" customHeight="1">
      <c r="A712" s="172" t="s">
        <v>1566</v>
      </c>
      <c r="B712" s="176">
        <v>46058</v>
      </c>
      <c r="C712" s="172" t="s">
        <v>81</v>
      </c>
      <c r="D712" s="172" t="s">
        <v>82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0</v>
      </c>
      <c r="J712" s="176">
        <v>46042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-13.68</v>
      </c>
    </row>
    <row r="713" spans="1:16" ht="19.5" customHeight="1">
      <c r="A713" s="172" t="s">
        <v>1567</v>
      </c>
      <c r="B713" s="176">
        <v>46058</v>
      </c>
      <c r="C713" s="172" t="s">
        <v>81</v>
      </c>
      <c r="D713" s="172" t="s">
        <v>82</v>
      </c>
      <c r="E713" s="172" t="s">
        <v>59</v>
      </c>
      <c r="F713" s="172" t="s">
        <v>1389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85</v>
      </c>
      <c r="L713" s="172" t="s">
        <v>85</v>
      </c>
      <c r="M713" s="179">
        <v>0</v>
      </c>
      <c r="N713" s="177"/>
      <c r="O713" s="177"/>
      <c r="P713" s="180">
        <v>-6.27</v>
      </c>
    </row>
    <row r="714" spans="1:16" ht="19.5" customHeight="1">
      <c r="A714" s="172" t="s">
        <v>1568</v>
      </c>
      <c r="B714" s="176">
        <v>46058</v>
      </c>
      <c r="C714" s="172" t="s">
        <v>92</v>
      </c>
      <c r="D714" s="172" t="s">
        <v>24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>
        <v>40</v>
      </c>
      <c r="P714" s="180">
        <v>-56.94</v>
      </c>
    </row>
    <row r="715" spans="1:16" ht="19.5" customHeight="1">
      <c r="A715" s="172" t="s">
        <v>1568</v>
      </c>
      <c r="B715" s="176">
        <v>46058</v>
      </c>
      <c r="C715" s="172" t="s">
        <v>81</v>
      </c>
      <c r="D715" s="172" t="s">
        <v>95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-16.489999999999998</v>
      </c>
    </row>
    <row r="716" spans="1:16" ht="19.5" customHeight="1">
      <c r="A716" s="172" t="s">
        <v>1568</v>
      </c>
      <c r="B716" s="176">
        <v>46058</v>
      </c>
      <c r="C716" s="172" t="s">
        <v>92</v>
      </c>
      <c r="D716" s="172" t="s">
        <v>96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0</v>
      </c>
    </row>
    <row r="717" spans="1:16" ht="19.5" customHeight="1">
      <c r="A717" s="172" t="s">
        <v>1568</v>
      </c>
      <c r="B717" s="176">
        <v>46058</v>
      </c>
      <c r="C717" s="172" t="s">
        <v>92</v>
      </c>
      <c r="D717" s="172" t="s">
        <v>97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-56.94</v>
      </c>
    </row>
    <row r="718" spans="1:16" ht="19.5" customHeight="1">
      <c r="A718" s="172" t="s">
        <v>1568</v>
      </c>
      <c r="B718" s="176">
        <v>46058</v>
      </c>
      <c r="C718" s="172" t="s">
        <v>81</v>
      </c>
      <c r="D718" s="172" t="s">
        <v>98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0</v>
      </c>
      <c r="J718" s="176">
        <v>46046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-15</v>
      </c>
    </row>
    <row r="719" spans="1:16" ht="19.5" customHeight="1">
      <c r="A719" s="172" t="s">
        <v>1569</v>
      </c>
      <c r="B719" s="176">
        <v>46058</v>
      </c>
      <c r="C719" s="172" t="s">
        <v>81</v>
      </c>
      <c r="D719" s="172" t="s">
        <v>82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-7.05</v>
      </c>
    </row>
    <row r="720" spans="1:16" ht="19.5" customHeight="1">
      <c r="A720" s="172" t="s">
        <v>1569</v>
      </c>
      <c r="B720" s="176">
        <v>46058</v>
      </c>
      <c r="C720" s="172" t="s">
        <v>81</v>
      </c>
      <c r="D720" s="172" t="s">
        <v>82</v>
      </c>
      <c r="E720" s="172" t="s">
        <v>40</v>
      </c>
      <c r="F720" s="172" t="s">
        <v>197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-7.91</v>
      </c>
    </row>
    <row r="721" spans="1:16" ht="19.5" customHeight="1">
      <c r="A721" s="172" t="s">
        <v>1570</v>
      </c>
      <c r="B721" s="176">
        <v>46058</v>
      </c>
      <c r="C721" s="172" t="s">
        <v>92</v>
      </c>
      <c r="D721" s="172" t="s">
        <v>24</v>
      </c>
      <c r="E721" s="172" t="s">
        <v>56</v>
      </c>
      <c r="F721" s="172" t="s">
        <v>1215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0.43</v>
      </c>
      <c r="N721" s="177"/>
      <c r="O721" s="177">
        <v>41</v>
      </c>
      <c r="P721" s="180">
        <v>-141.69</v>
      </c>
    </row>
    <row r="722" spans="1:16" ht="19.5" customHeight="1">
      <c r="A722" s="172" t="s">
        <v>1570</v>
      </c>
      <c r="B722" s="176">
        <v>46058</v>
      </c>
      <c r="C722" s="172" t="s">
        <v>100</v>
      </c>
      <c r="D722" s="172" t="s">
        <v>101</v>
      </c>
      <c r="E722" s="172" t="s">
        <v>56</v>
      </c>
      <c r="F722" s="172" t="s">
        <v>1215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915.24</v>
      </c>
    </row>
    <row r="723" spans="1:16" ht="19.5" customHeight="1">
      <c r="A723" s="172" t="s">
        <v>1570</v>
      </c>
      <c r="B723" s="176">
        <v>46058</v>
      </c>
      <c r="C723" s="172" t="s">
        <v>100</v>
      </c>
      <c r="D723" s="172" t="s">
        <v>102</v>
      </c>
      <c r="E723" s="172" t="s">
        <v>56</v>
      </c>
      <c r="F723" s="172" t="s">
        <v>1215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9.15</v>
      </c>
    </row>
    <row r="724" spans="1:16" ht="19.5" customHeight="1">
      <c r="A724" s="172" t="s">
        <v>1570</v>
      </c>
      <c r="B724" s="176">
        <v>46058</v>
      </c>
      <c r="C724" s="172" t="s">
        <v>100</v>
      </c>
      <c r="D724" s="172" t="s">
        <v>103</v>
      </c>
      <c r="E724" s="172" t="s">
        <v>56</v>
      </c>
      <c r="F724" s="172" t="s">
        <v>1215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1075.6099999999999</v>
      </c>
    </row>
    <row r="725" spans="1:16" ht="19.5" customHeight="1">
      <c r="A725" s="172" t="s">
        <v>1570</v>
      </c>
      <c r="B725" s="176">
        <v>46058</v>
      </c>
      <c r="C725" s="172" t="s">
        <v>104</v>
      </c>
      <c r="D725" s="172" t="s">
        <v>105</v>
      </c>
      <c r="E725" s="172" t="s">
        <v>56</v>
      </c>
      <c r="F725" s="172" t="s">
        <v>1215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-860</v>
      </c>
    </row>
    <row r="726" spans="1:16" ht="19.5" customHeight="1">
      <c r="A726" s="172" t="s">
        <v>1570</v>
      </c>
      <c r="B726" s="176">
        <v>46058</v>
      </c>
      <c r="C726" s="172" t="s">
        <v>81</v>
      </c>
      <c r="D726" s="172" t="s">
        <v>95</v>
      </c>
      <c r="E726" s="172" t="s">
        <v>56</v>
      </c>
      <c r="F726" s="172" t="s">
        <v>1215</v>
      </c>
      <c r="G726" s="172" t="s">
        <v>84</v>
      </c>
      <c r="H726" s="177">
        <v>1</v>
      </c>
      <c r="I726" s="178">
        <v>2000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-22.02</v>
      </c>
    </row>
    <row r="727" spans="1:16" ht="19.5" customHeight="1">
      <c r="A727" s="172" t="s">
        <v>1571</v>
      </c>
      <c r="B727" s="176">
        <v>46058</v>
      </c>
      <c r="C727" s="172" t="s">
        <v>92</v>
      </c>
      <c r="D727" s="172" t="s">
        <v>24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0.43</v>
      </c>
      <c r="N727" s="177"/>
      <c r="O727" s="177">
        <v>41</v>
      </c>
      <c r="P727" s="180">
        <v>-145.74</v>
      </c>
    </row>
    <row r="728" spans="1:16" ht="19.5" customHeight="1">
      <c r="A728" s="172" t="s">
        <v>1571</v>
      </c>
      <c r="B728" s="176">
        <v>46058</v>
      </c>
      <c r="C728" s="172" t="s">
        <v>100</v>
      </c>
      <c r="D728" s="172" t="s">
        <v>101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869.52</v>
      </c>
    </row>
    <row r="729" spans="1:16" ht="19.5" customHeight="1">
      <c r="A729" s="172" t="s">
        <v>1571</v>
      </c>
      <c r="B729" s="176">
        <v>46058</v>
      </c>
      <c r="C729" s="172" t="s">
        <v>100</v>
      </c>
      <c r="D729" s="172" t="s">
        <v>102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0</v>
      </c>
    </row>
    <row r="730" spans="1:16" ht="19.5" customHeight="1">
      <c r="A730" s="172" t="s">
        <v>1571</v>
      </c>
      <c r="B730" s="176">
        <v>46058</v>
      </c>
      <c r="C730" s="172" t="s">
        <v>100</v>
      </c>
      <c r="D730" s="172" t="s">
        <v>103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1280.48</v>
      </c>
    </row>
    <row r="731" spans="1:16" ht="19.5" customHeight="1">
      <c r="A731" s="172" t="s">
        <v>1571</v>
      </c>
      <c r="B731" s="176">
        <v>46058</v>
      </c>
      <c r="C731" s="172" t="s">
        <v>104</v>
      </c>
      <c r="D731" s="172" t="s">
        <v>105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-924.5</v>
      </c>
    </row>
    <row r="732" spans="1:16" ht="19.5" customHeight="1">
      <c r="A732" s="172" t="s">
        <v>1571</v>
      </c>
      <c r="B732" s="176">
        <v>46058</v>
      </c>
      <c r="C732" s="172" t="s">
        <v>81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2150</v>
      </c>
      <c r="J732" s="176">
        <v>46056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-25</v>
      </c>
    </row>
    <row r="733" spans="1:16" ht="19.5" customHeight="1">
      <c r="A733" s="172" t="s">
        <v>1572</v>
      </c>
      <c r="B733" s="176">
        <v>46058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0.43</v>
      </c>
      <c r="N733" s="177"/>
      <c r="O733" s="177">
        <v>44</v>
      </c>
      <c r="P733" s="180">
        <v>-148.36000000000001</v>
      </c>
    </row>
    <row r="734" spans="1:16" ht="19.5" customHeight="1">
      <c r="A734" s="172" t="s">
        <v>1572</v>
      </c>
      <c r="B734" s="176">
        <v>46058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773.33</v>
      </c>
    </row>
    <row r="735" spans="1:16" ht="19.5" customHeight="1">
      <c r="A735" s="172" t="s">
        <v>1572</v>
      </c>
      <c r="B735" s="176">
        <v>46058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0</v>
      </c>
    </row>
    <row r="736" spans="1:16" ht="19.5" customHeight="1">
      <c r="A736" s="172" t="s">
        <v>1572</v>
      </c>
      <c r="B736" s="176">
        <v>46058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1038.67</v>
      </c>
    </row>
    <row r="737" spans="1:16" ht="19.5" customHeight="1">
      <c r="A737" s="172" t="s">
        <v>1572</v>
      </c>
      <c r="B737" s="176">
        <v>46058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-779.16</v>
      </c>
    </row>
    <row r="738" spans="1:16" ht="19.5" customHeight="1">
      <c r="A738" s="172" t="s">
        <v>1572</v>
      </c>
      <c r="B738" s="176">
        <v>46058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46048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-8.74</v>
      </c>
    </row>
    <row r="739" spans="1:16" ht="19.5" customHeight="1">
      <c r="A739" s="172" t="s">
        <v>1573</v>
      </c>
      <c r="B739" s="176">
        <v>46058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0.43</v>
      </c>
      <c r="N739" s="177"/>
      <c r="O739" s="177">
        <v>43</v>
      </c>
      <c r="P739" s="180">
        <v>-145.46</v>
      </c>
    </row>
    <row r="740" spans="1:16" ht="19.5" customHeight="1">
      <c r="A740" s="172" t="s">
        <v>1573</v>
      </c>
      <c r="B740" s="176">
        <v>46058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631.42999999999995</v>
      </c>
    </row>
    <row r="741" spans="1:16" ht="19.5" customHeight="1">
      <c r="A741" s="172" t="s">
        <v>1573</v>
      </c>
      <c r="B741" s="176">
        <v>46058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6.31</v>
      </c>
    </row>
    <row r="742" spans="1:16" ht="19.5" customHeight="1">
      <c r="A742" s="172" t="s">
        <v>1573</v>
      </c>
      <c r="B742" s="176">
        <v>46058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1174.26</v>
      </c>
    </row>
    <row r="743" spans="1:16" ht="19.5" customHeight="1">
      <c r="A743" s="172" t="s">
        <v>1573</v>
      </c>
      <c r="B743" s="176">
        <v>46058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-779.16</v>
      </c>
    </row>
    <row r="744" spans="1:16" ht="19.5" customHeight="1">
      <c r="A744" s="172" t="s">
        <v>1573</v>
      </c>
      <c r="B744" s="176">
        <v>46058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1812</v>
      </c>
      <c r="J744" s="176">
        <v>46054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-9.18</v>
      </c>
    </row>
    <row r="745" spans="1:16" ht="19.5" customHeight="1">
      <c r="A745" s="172" t="s">
        <v>1572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46048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-4.87</v>
      </c>
    </row>
    <row r="746" spans="1:16" ht="19.5" customHeight="1">
      <c r="A746" s="172" t="s">
        <v>1573</v>
      </c>
      <c r="B746" s="176">
        <v>46058</v>
      </c>
      <c r="C746" s="172" t="s">
        <v>81</v>
      </c>
      <c r="D746" s="172" t="s">
        <v>82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46054</v>
      </c>
      <c r="K746" s="172" t="s">
        <v>85</v>
      </c>
      <c r="L746" s="172" t="s">
        <v>85</v>
      </c>
      <c r="M746" s="179">
        <v>0</v>
      </c>
      <c r="N746" s="177"/>
      <c r="O746" s="177"/>
      <c r="P746" s="180">
        <v>-12</v>
      </c>
    </row>
    <row r="747" spans="1:16" ht="19.5" customHeight="1">
      <c r="A747" s="172" t="s">
        <v>1574</v>
      </c>
      <c r="B747" s="176">
        <v>46058</v>
      </c>
      <c r="C747" s="172" t="s">
        <v>92</v>
      </c>
      <c r="D747" s="172" t="s">
        <v>24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0.43</v>
      </c>
      <c r="N747" s="177"/>
      <c r="O747" s="177">
        <v>41</v>
      </c>
      <c r="P747" s="180">
        <v>-145.74</v>
      </c>
    </row>
    <row r="748" spans="1:16" ht="19.5" customHeight="1">
      <c r="A748" s="172" t="s">
        <v>1574</v>
      </c>
      <c r="B748" s="176">
        <v>46058</v>
      </c>
      <c r="C748" s="172" t="s">
        <v>100</v>
      </c>
      <c r="D748" s="172" t="s">
        <v>101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796.58</v>
      </c>
    </row>
    <row r="749" spans="1:16" ht="19.5" customHeight="1">
      <c r="A749" s="172" t="s">
        <v>1574</v>
      </c>
      <c r="B749" s="176">
        <v>46058</v>
      </c>
      <c r="C749" s="172" t="s">
        <v>100</v>
      </c>
      <c r="D749" s="172" t="s">
        <v>102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7.97</v>
      </c>
    </row>
    <row r="750" spans="1:16" ht="19.5" customHeight="1">
      <c r="A750" s="172" t="s">
        <v>1574</v>
      </c>
      <c r="B750" s="176">
        <v>46058</v>
      </c>
      <c r="C750" s="172" t="s">
        <v>100</v>
      </c>
      <c r="D750" s="172" t="s">
        <v>103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1345.45</v>
      </c>
    </row>
    <row r="751" spans="1:16" ht="19.5" customHeight="1">
      <c r="A751" s="172" t="s">
        <v>1574</v>
      </c>
      <c r="B751" s="176">
        <v>46058</v>
      </c>
      <c r="C751" s="172" t="s">
        <v>104</v>
      </c>
      <c r="D751" s="172" t="s">
        <v>105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-924.5</v>
      </c>
    </row>
    <row r="752" spans="1:16" ht="19.5" customHeight="1">
      <c r="A752" s="172" t="s">
        <v>1574</v>
      </c>
      <c r="B752" s="176">
        <v>46058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/>
      <c r="P752" s="180">
        <v>-10.57</v>
      </c>
    </row>
    <row r="753" spans="1:16" ht="19.5" customHeight="1">
      <c r="A753" s="172" t="s">
        <v>1575</v>
      </c>
      <c r="B753" s="176">
        <v>46058</v>
      </c>
      <c r="C753" s="172" t="s">
        <v>92</v>
      </c>
      <c r="D753" s="172" t="s">
        <v>24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0.43</v>
      </c>
      <c r="N753" s="177"/>
      <c r="O753" s="177">
        <v>41</v>
      </c>
      <c r="P753" s="180">
        <v>-130.08000000000001</v>
      </c>
    </row>
    <row r="754" spans="1:16" ht="19.5" customHeight="1">
      <c r="A754" s="172" t="s">
        <v>1575</v>
      </c>
      <c r="B754" s="176">
        <v>46058</v>
      </c>
      <c r="C754" s="172" t="s">
        <v>100</v>
      </c>
      <c r="D754" s="172" t="s">
        <v>101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965.71</v>
      </c>
    </row>
    <row r="755" spans="1:16" ht="19.5" customHeight="1">
      <c r="A755" s="172" t="s">
        <v>1575</v>
      </c>
      <c r="B755" s="176">
        <v>46058</v>
      </c>
      <c r="C755" s="172" t="s">
        <v>100</v>
      </c>
      <c r="D755" s="172" t="s">
        <v>102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9.66</v>
      </c>
    </row>
    <row r="756" spans="1:16" ht="19.5" customHeight="1">
      <c r="A756" s="172" t="s">
        <v>1575</v>
      </c>
      <c r="B756" s="176">
        <v>46058</v>
      </c>
      <c r="C756" s="172" t="s">
        <v>100</v>
      </c>
      <c r="D756" s="172" t="s">
        <v>103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1174.6300000000001</v>
      </c>
    </row>
    <row r="757" spans="1:16" ht="19.5" customHeight="1">
      <c r="A757" s="172" t="s">
        <v>1575</v>
      </c>
      <c r="B757" s="176">
        <v>46058</v>
      </c>
      <c r="C757" s="172" t="s">
        <v>104</v>
      </c>
      <c r="D757" s="172" t="s">
        <v>105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-924.5</v>
      </c>
    </row>
    <row r="758" spans="1:16" ht="19.5" customHeight="1">
      <c r="A758" s="172" t="s">
        <v>1575</v>
      </c>
      <c r="B758" s="176">
        <v>46058</v>
      </c>
      <c r="C758" s="172" t="s">
        <v>81</v>
      </c>
      <c r="D758" s="172" t="s">
        <v>95</v>
      </c>
      <c r="E758" s="172" t="s">
        <v>41</v>
      </c>
      <c r="F758" s="172" t="s">
        <v>83</v>
      </c>
      <c r="G758" s="172" t="s">
        <v>84</v>
      </c>
      <c r="H758" s="177">
        <v>1</v>
      </c>
      <c r="I758" s="178">
        <v>2150</v>
      </c>
      <c r="J758" s="176">
        <v>46056</v>
      </c>
      <c r="K758" s="172" t="s">
        <v>93</v>
      </c>
      <c r="L758" s="172" t="s">
        <v>94</v>
      </c>
      <c r="M758" s="179">
        <v>0.43</v>
      </c>
      <c r="N758" s="177"/>
      <c r="O758" s="177"/>
      <c r="P758" s="180">
        <v>-17.399999999999999</v>
      </c>
    </row>
    <row r="759" spans="1:16" ht="19.5" customHeight="1">
      <c r="A759" s="172" t="s">
        <v>1576</v>
      </c>
      <c r="B759" s="176">
        <v>46058</v>
      </c>
      <c r="C759" s="172" t="s">
        <v>81</v>
      </c>
      <c r="D759" s="172" t="s">
        <v>82</v>
      </c>
      <c r="E759" s="172" t="s">
        <v>59</v>
      </c>
      <c r="F759" s="172" t="s">
        <v>1389</v>
      </c>
      <c r="G759" s="172" t="s">
        <v>84</v>
      </c>
      <c r="H759" s="177">
        <v>1</v>
      </c>
      <c r="I759" s="178">
        <v>0</v>
      </c>
      <c r="J759" s="176">
        <v>46058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-18.239999999999998</v>
      </c>
    </row>
    <row r="760" spans="1:16" ht="19.5" customHeight="1">
      <c r="A760" s="172" t="s">
        <v>1574</v>
      </c>
      <c r="B760" s="176">
        <v>46058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46056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-15.14</v>
      </c>
    </row>
    <row r="761" spans="1:16" ht="19.5" customHeight="1">
      <c r="A761" s="172" t="s">
        <v>1269</v>
      </c>
      <c r="B761" s="176">
        <v>46058</v>
      </c>
      <c r="C761" s="172" t="s">
        <v>354</v>
      </c>
      <c r="D761" s="172" t="s">
        <v>467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customHeight="1">
      <c r="A762" s="172" t="s">
        <v>1303</v>
      </c>
      <c r="B762" s="176">
        <v>46058</v>
      </c>
      <c r="C762" s="172" t="s">
        <v>354</v>
      </c>
      <c r="D762" s="172" t="s">
        <v>467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customHeight="1">
      <c r="A763" s="172" t="s">
        <v>1298</v>
      </c>
      <c r="B763" s="176">
        <v>46058</v>
      </c>
      <c r="C763" s="172" t="s">
        <v>354</v>
      </c>
      <c r="D763" s="172" t="s">
        <v>467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customHeight="1">
      <c r="A764" s="172" t="s">
        <v>1296</v>
      </c>
      <c r="B764" s="176">
        <v>46058</v>
      </c>
      <c r="C764" s="172" t="s">
        <v>354</v>
      </c>
      <c r="D764" s="172" t="s">
        <v>467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-1920</v>
      </c>
    </row>
    <row r="765" spans="1:16" ht="19.5" customHeight="1">
      <c r="A765" s="172" t="s">
        <v>1544</v>
      </c>
      <c r="B765" s="176">
        <v>46058</v>
      </c>
      <c r="C765" s="172" t="s">
        <v>354</v>
      </c>
      <c r="D765" s="172" t="s">
        <v>467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-2868</v>
      </c>
    </row>
    <row r="766" spans="1:16" ht="19.5" customHeight="1">
      <c r="A766" s="172" t="s">
        <v>1544</v>
      </c>
      <c r="B766" s="176">
        <v>46058</v>
      </c>
      <c r="C766" s="172" t="s">
        <v>354</v>
      </c>
      <c r="D766" s="172" t="s">
        <v>1577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-20</v>
      </c>
    </row>
    <row r="767" spans="1:16" ht="19.5" customHeight="1">
      <c r="A767" s="172" t="s">
        <v>1278</v>
      </c>
      <c r="B767" s="176">
        <v>46058</v>
      </c>
      <c r="C767" s="172" t="s">
        <v>354</v>
      </c>
      <c r="D767" s="172" t="s">
        <v>467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46058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-1920</v>
      </c>
    </row>
    <row r="768" spans="1:16" ht="19.5" customHeight="1">
      <c r="A768" s="172" t="s">
        <v>1578</v>
      </c>
      <c r="B768" s="176">
        <v>46058</v>
      </c>
      <c r="C768" s="172" t="s">
        <v>92</v>
      </c>
      <c r="D768" s="172" t="s">
        <v>24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0.43</v>
      </c>
      <c r="N768" s="177"/>
      <c r="O768" s="177">
        <v>41</v>
      </c>
      <c r="P768" s="180">
        <v>-145.74</v>
      </c>
    </row>
    <row r="769" spans="1:16" ht="19.5" customHeight="1">
      <c r="A769" s="172" t="s">
        <v>1578</v>
      </c>
      <c r="B769" s="176">
        <v>46058</v>
      </c>
      <c r="C769" s="172" t="s">
        <v>100</v>
      </c>
      <c r="D769" s="172" t="s">
        <v>101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787.62</v>
      </c>
    </row>
    <row r="770" spans="1:16" ht="19.5" customHeight="1">
      <c r="A770" s="172" t="s">
        <v>1578</v>
      </c>
      <c r="B770" s="176">
        <v>46058</v>
      </c>
      <c r="C770" s="172" t="s">
        <v>100</v>
      </c>
      <c r="D770" s="172" t="s">
        <v>102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7.88</v>
      </c>
    </row>
    <row r="771" spans="1:16" ht="19.5" customHeight="1">
      <c r="A771" s="172" t="s">
        <v>1578</v>
      </c>
      <c r="B771" s="176">
        <v>46058</v>
      </c>
      <c r="C771" s="172" t="s">
        <v>100</v>
      </c>
      <c r="D771" s="172" t="s">
        <v>103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1354.5</v>
      </c>
    </row>
    <row r="772" spans="1:16" ht="19.5" customHeight="1">
      <c r="A772" s="172" t="s">
        <v>1578</v>
      </c>
      <c r="B772" s="176">
        <v>46058</v>
      </c>
      <c r="C772" s="172" t="s">
        <v>104</v>
      </c>
      <c r="D772" s="172" t="s">
        <v>105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-924.5</v>
      </c>
    </row>
    <row r="773" spans="1:16" ht="19.5" customHeight="1">
      <c r="A773" s="172" t="s">
        <v>1578</v>
      </c>
      <c r="B773" s="176">
        <v>46058</v>
      </c>
      <c r="C773" s="172" t="s">
        <v>81</v>
      </c>
      <c r="D773" s="172" t="s">
        <v>95</v>
      </c>
      <c r="E773" s="172" t="s">
        <v>52</v>
      </c>
      <c r="F773" s="172" t="s">
        <v>90</v>
      </c>
      <c r="G773" s="172" t="s">
        <v>84</v>
      </c>
      <c r="H773" s="177">
        <v>1</v>
      </c>
      <c r="I773" s="178">
        <v>2150</v>
      </c>
      <c r="J773" s="176">
        <v>46056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-14.05</v>
      </c>
    </row>
    <row r="774" spans="1:16" ht="19.5" customHeight="1">
      <c r="A774" s="172" t="s">
        <v>1579</v>
      </c>
      <c r="B774" s="176">
        <v>46058</v>
      </c>
      <c r="C774" s="172" t="s">
        <v>92</v>
      </c>
      <c r="D774" s="172" t="s">
        <v>24</v>
      </c>
      <c r="E774" s="172" t="s">
        <v>55</v>
      </c>
      <c r="F774" s="172" t="s">
        <v>1274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>
        <v>41</v>
      </c>
      <c r="P774" s="180">
        <v>-56.94</v>
      </c>
    </row>
    <row r="775" spans="1:16" ht="19.5" customHeight="1">
      <c r="A775" s="172" t="s">
        <v>1579</v>
      </c>
      <c r="B775" s="176">
        <v>46058</v>
      </c>
      <c r="C775" s="172" t="s">
        <v>92</v>
      </c>
      <c r="D775" s="172" t="s">
        <v>96</v>
      </c>
      <c r="E775" s="172" t="s">
        <v>55</v>
      </c>
      <c r="F775" s="172" t="s">
        <v>1274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0</v>
      </c>
    </row>
    <row r="776" spans="1:16" ht="19.5" customHeight="1">
      <c r="A776" s="172" t="s">
        <v>1579</v>
      </c>
      <c r="B776" s="176">
        <v>46058</v>
      </c>
      <c r="C776" s="172" t="s">
        <v>92</v>
      </c>
      <c r="D776" s="172" t="s">
        <v>97</v>
      </c>
      <c r="E776" s="172" t="s">
        <v>55</v>
      </c>
      <c r="F776" s="172" t="s">
        <v>1274</v>
      </c>
      <c r="G776" s="172" t="s">
        <v>84</v>
      </c>
      <c r="H776" s="177">
        <v>1</v>
      </c>
      <c r="I776" s="178">
        <v>0</v>
      </c>
      <c r="J776" s="176">
        <v>46055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-56.94</v>
      </c>
    </row>
    <row r="777" spans="1:16" ht="19.5" customHeight="1">
      <c r="A777" s="172" t="s">
        <v>1580</v>
      </c>
      <c r="B777" s="176">
        <v>46058</v>
      </c>
      <c r="C777" s="172" t="s">
        <v>92</v>
      </c>
      <c r="D777" s="172" t="s">
        <v>24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0.43</v>
      </c>
      <c r="N777" s="177"/>
      <c r="O777" s="177">
        <v>44</v>
      </c>
      <c r="P777" s="180">
        <v>-148.36000000000001</v>
      </c>
    </row>
    <row r="778" spans="1:16" ht="19.5" customHeight="1">
      <c r="A778" s="172" t="s">
        <v>1580</v>
      </c>
      <c r="B778" s="176">
        <v>46058</v>
      </c>
      <c r="C778" s="172" t="s">
        <v>100</v>
      </c>
      <c r="D778" s="172" t="s">
        <v>101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630.83000000000004</v>
      </c>
    </row>
    <row r="779" spans="1:16" ht="19.5" customHeight="1">
      <c r="A779" s="172" t="s">
        <v>1580</v>
      </c>
      <c r="B779" s="176">
        <v>46058</v>
      </c>
      <c r="C779" s="172" t="s">
        <v>100</v>
      </c>
      <c r="D779" s="172" t="s">
        <v>102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6.31</v>
      </c>
    </row>
    <row r="780" spans="1:16" ht="19.5" customHeight="1">
      <c r="A780" s="172" t="s">
        <v>1580</v>
      </c>
      <c r="B780" s="176">
        <v>46058</v>
      </c>
      <c r="C780" s="172" t="s">
        <v>100</v>
      </c>
      <c r="D780" s="172" t="s">
        <v>103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1174.8599999999999</v>
      </c>
    </row>
    <row r="781" spans="1:16" ht="19.5" customHeight="1">
      <c r="A781" s="172" t="s">
        <v>1580</v>
      </c>
      <c r="B781" s="176">
        <v>46058</v>
      </c>
      <c r="C781" s="172" t="s">
        <v>104</v>
      </c>
      <c r="D781" s="172" t="s">
        <v>105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-779.16</v>
      </c>
    </row>
    <row r="782" spans="1:16" ht="19.5" customHeight="1">
      <c r="A782" s="172" t="s">
        <v>1580</v>
      </c>
      <c r="B782" s="176">
        <v>46058</v>
      </c>
      <c r="C782" s="172" t="s">
        <v>81</v>
      </c>
      <c r="D782" s="172" t="s">
        <v>95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1812</v>
      </c>
      <c r="J782" s="176">
        <v>46051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-11.46</v>
      </c>
    </row>
    <row r="783" spans="1:16" ht="19.5" customHeight="1">
      <c r="A783" s="172" t="s">
        <v>1533</v>
      </c>
      <c r="B783" s="176">
        <v>46058</v>
      </c>
      <c r="C783" s="172" t="s">
        <v>166</v>
      </c>
      <c r="D783" s="172" t="s">
        <v>167</v>
      </c>
      <c r="E783" s="172" t="s">
        <v>59</v>
      </c>
      <c r="F783" s="172" t="s">
        <v>1389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-937.01</v>
      </c>
    </row>
    <row r="784" spans="1:16" ht="19.5" customHeight="1">
      <c r="A784" s="172" t="s">
        <v>1533</v>
      </c>
      <c r="B784" s="176">
        <v>46058</v>
      </c>
      <c r="C784" s="172" t="s">
        <v>166</v>
      </c>
      <c r="D784" s="172" t="s">
        <v>102</v>
      </c>
      <c r="E784" s="172" t="s">
        <v>59</v>
      </c>
      <c r="F784" s="172" t="s">
        <v>1389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-9.3699999999999992</v>
      </c>
    </row>
    <row r="785" spans="1:16" ht="19.5" customHeight="1">
      <c r="A785" s="172" t="s">
        <v>1533</v>
      </c>
      <c r="B785" s="176">
        <v>46058</v>
      </c>
      <c r="C785" s="172" t="s">
        <v>166</v>
      </c>
      <c r="D785" s="172" t="s">
        <v>103</v>
      </c>
      <c r="E785" s="172" t="s">
        <v>59</v>
      </c>
      <c r="F785" s="172" t="s">
        <v>1389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-1053.6199999999999</v>
      </c>
    </row>
    <row r="786" spans="1:16" ht="19.5" customHeight="1">
      <c r="A786" s="172" t="s">
        <v>1533</v>
      </c>
      <c r="B786" s="176">
        <v>46058</v>
      </c>
      <c r="C786" s="172" t="s">
        <v>104</v>
      </c>
      <c r="D786" s="172" t="s">
        <v>168</v>
      </c>
      <c r="E786" s="172" t="s">
        <v>59</v>
      </c>
      <c r="F786" s="172" t="s">
        <v>1389</v>
      </c>
      <c r="G786" s="172" t="s">
        <v>84</v>
      </c>
      <c r="H786" s="177">
        <v>1</v>
      </c>
      <c r="I786" s="178">
        <v>-2000</v>
      </c>
      <c r="J786" s="176">
        <v>46056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860</v>
      </c>
    </row>
    <row r="787" spans="1:16" ht="19.5" customHeight="1">
      <c r="A787" s="172" t="s">
        <v>1580</v>
      </c>
      <c r="B787" s="176">
        <v>46058</v>
      </c>
      <c r="C787" s="172" t="s">
        <v>81</v>
      </c>
      <c r="D787" s="172" t="s">
        <v>82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0</v>
      </c>
      <c r="J787" s="176">
        <v>46051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-11.99</v>
      </c>
    </row>
    <row r="788" spans="1:16" ht="19.5" customHeight="1">
      <c r="A788" s="172" t="s">
        <v>1467</v>
      </c>
      <c r="B788" s="176">
        <v>46058</v>
      </c>
      <c r="C788" s="172" t="s">
        <v>81</v>
      </c>
      <c r="D788" s="172" t="s">
        <v>82</v>
      </c>
      <c r="E788" s="172" t="s">
        <v>59</v>
      </c>
      <c r="F788" s="172" t="s">
        <v>1389</v>
      </c>
      <c r="G788" s="172" t="s">
        <v>84</v>
      </c>
      <c r="H788" s="177">
        <v>1</v>
      </c>
      <c r="I788" s="178">
        <v>0</v>
      </c>
      <c r="J788" s="176">
        <v>46056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17.8</v>
      </c>
    </row>
    <row r="789" spans="1:16" ht="19.5" customHeight="1">
      <c r="A789" s="172" t="s">
        <v>1441</v>
      </c>
      <c r="B789" s="176">
        <v>46058</v>
      </c>
      <c r="C789" s="172" t="s">
        <v>81</v>
      </c>
      <c r="D789" s="172" t="s">
        <v>82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0</v>
      </c>
      <c r="J789" s="176">
        <v>46055</v>
      </c>
      <c r="K789" s="172" t="s">
        <v>85</v>
      </c>
      <c r="L789" s="172" t="s">
        <v>85</v>
      </c>
      <c r="M789" s="179">
        <v>0</v>
      </c>
      <c r="N789" s="177"/>
      <c r="O789" s="177"/>
      <c r="P789" s="180">
        <v>23.16</v>
      </c>
    </row>
    <row r="790" spans="1:16" ht="19.5" customHeight="1">
      <c r="A790" s="172" t="s">
        <v>1581</v>
      </c>
      <c r="B790" s="176">
        <v>46058</v>
      </c>
      <c r="C790" s="172" t="s">
        <v>92</v>
      </c>
      <c r="D790" s="172" t="s">
        <v>24</v>
      </c>
      <c r="E790" s="172" t="s">
        <v>60</v>
      </c>
      <c r="F790" s="172" t="s">
        <v>1430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0.43</v>
      </c>
      <c r="N790" s="177"/>
      <c r="O790" s="177">
        <v>40</v>
      </c>
      <c r="P790" s="180">
        <v>-136.97999999999999</v>
      </c>
    </row>
    <row r="791" spans="1:16" ht="19.5" customHeight="1">
      <c r="A791" s="172" t="s">
        <v>1581</v>
      </c>
      <c r="B791" s="176">
        <v>46058</v>
      </c>
      <c r="C791" s="172" t="s">
        <v>100</v>
      </c>
      <c r="D791" s="172" t="s">
        <v>101</v>
      </c>
      <c r="E791" s="172" t="s">
        <v>60</v>
      </c>
      <c r="F791" s="172" t="s">
        <v>1430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745.96</v>
      </c>
    </row>
    <row r="792" spans="1:16" ht="19.5" customHeight="1">
      <c r="A792" s="172" t="s">
        <v>1581</v>
      </c>
      <c r="B792" s="176">
        <v>46058</v>
      </c>
      <c r="C792" s="172" t="s">
        <v>100</v>
      </c>
      <c r="D792" s="172" t="s">
        <v>102</v>
      </c>
      <c r="E792" s="172" t="s">
        <v>60</v>
      </c>
      <c r="F792" s="172" t="s">
        <v>1430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7.46</v>
      </c>
    </row>
    <row r="793" spans="1:16" ht="19.5" customHeight="1">
      <c r="A793" s="172" t="s">
        <v>1581</v>
      </c>
      <c r="B793" s="176">
        <v>46058</v>
      </c>
      <c r="C793" s="172" t="s">
        <v>100</v>
      </c>
      <c r="D793" s="172" t="s">
        <v>103</v>
      </c>
      <c r="E793" s="172" t="s">
        <v>60</v>
      </c>
      <c r="F793" s="172" t="s">
        <v>1430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1246.58</v>
      </c>
    </row>
    <row r="794" spans="1:16" ht="19.5" customHeight="1">
      <c r="A794" s="172" t="s">
        <v>1581</v>
      </c>
      <c r="B794" s="176">
        <v>46058</v>
      </c>
      <c r="C794" s="172" t="s">
        <v>104</v>
      </c>
      <c r="D794" s="172" t="s">
        <v>105</v>
      </c>
      <c r="E794" s="172" t="s">
        <v>60</v>
      </c>
      <c r="F794" s="172" t="s">
        <v>1430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-860</v>
      </c>
    </row>
    <row r="795" spans="1:16" ht="19.5" customHeight="1">
      <c r="A795" s="172" t="s">
        <v>1581</v>
      </c>
      <c r="B795" s="176">
        <v>46058</v>
      </c>
      <c r="C795" s="172" t="s">
        <v>81</v>
      </c>
      <c r="D795" s="172" t="s">
        <v>95</v>
      </c>
      <c r="E795" s="172" t="s">
        <v>60</v>
      </c>
      <c r="F795" s="172" t="s">
        <v>1430</v>
      </c>
      <c r="G795" s="172" t="s">
        <v>84</v>
      </c>
      <c r="H795" s="177">
        <v>1</v>
      </c>
      <c r="I795" s="178">
        <v>2000</v>
      </c>
      <c r="J795" s="176">
        <v>46057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-9.83</v>
      </c>
    </row>
    <row r="796" spans="1:16" ht="19.5" customHeight="1">
      <c r="A796" s="172" t="s">
        <v>1376</v>
      </c>
      <c r="B796" s="176">
        <v>46058</v>
      </c>
      <c r="C796" s="172" t="s">
        <v>166</v>
      </c>
      <c r="D796" s="172" t="s">
        <v>167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-628.57000000000005</v>
      </c>
    </row>
    <row r="797" spans="1:16" ht="19.5" customHeight="1">
      <c r="A797" s="172" t="s">
        <v>1376</v>
      </c>
      <c r="B797" s="176">
        <v>46058</v>
      </c>
      <c r="C797" s="172" t="s">
        <v>166</v>
      </c>
      <c r="D797" s="172" t="s">
        <v>102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-6.29</v>
      </c>
    </row>
    <row r="798" spans="1:16" ht="19.5" customHeight="1">
      <c r="A798" s="172" t="s">
        <v>1376</v>
      </c>
      <c r="B798" s="176">
        <v>46058</v>
      </c>
      <c r="C798" s="172" t="s">
        <v>166</v>
      </c>
      <c r="D798" s="172" t="s">
        <v>103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-1165.1400000000001</v>
      </c>
    </row>
    <row r="799" spans="1:16" ht="19.5" customHeight="1">
      <c r="A799" s="172" t="s">
        <v>1376</v>
      </c>
      <c r="B799" s="176">
        <v>46058</v>
      </c>
      <c r="C799" s="172" t="s">
        <v>104</v>
      </c>
      <c r="D799" s="172" t="s">
        <v>168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-1800</v>
      </c>
      <c r="J799" s="176">
        <v>46045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774</v>
      </c>
    </row>
    <row r="800" spans="1:16" ht="19.5" customHeight="1">
      <c r="A800" s="172" t="s">
        <v>1582</v>
      </c>
      <c r="B800" s="176">
        <v>46058</v>
      </c>
      <c r="C800" s="172" t="s">
        <v>92</v>
      </c>
      <c r="D800" s="172" t="s">
        <v>24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0.43</v>
      </c>
      <c r="N800" s="177"/>
      <c r="O800" s="177">
        <v>41</v>
      </c>
      <c r="P800" s="180">
        <v>-145.74</v>
      </c>
    </row>
    <row r="801" spans="1:16" ht="19.5" customHeight="1">
      <c r="A801" s="172" t="s">
        <v>1582</v>
      </c>
      <c r="B801" s="176">
        <v>46058</v>
      </c>
      <c r="C801" s="172" t="s">
        <v>100</v>
      </c>
      <c r="D801" s="172" t="s">
        <v>101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922.05</v>
      </c>
    </row>
    <row r="802" spans="1:16" ht="19.5" customHeight="1">
      <c r="A802" s="172" t="s">
        <v>1582</v>
      </c>
      <c r="B802" s="176">
        <v>46058</v>
      </c>
      <c r="C802" s="172" t="s">
        <v>100</v>
      </c>
      <c r="D802" s="172" t="s">
        <v>102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0</v>
      </c>
    </row>
    <row r="803" spans="1:16" ht="19.5" customHeight="1">
      <c r="A803" s="172" t="s">
        <v>1582</v>
      </c>
      <c r="B803" s="176">
        <v>46058</v>
      </c>
      <c r="C803" s="172" t="s">
        <v>100</v>
      </c>
      <c r="D803" s="172" t="s">
        <v>103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1227.95</v>
      </c>
    </row>
    <row r="804" spans="1:16" ht="19.5" customHeight="1">
      <c r="A804" s="172" t="s">
        <v>1582</v>
      </c>
      <c r="B804" s="176">
        <v>46058</v>
      </c>
      <c r="C804" s="172" t="s">
        <v>104</v>
      </c>
      <c r="D804" s="172" t="s">
        <v>105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-924.5</v>
      </c>
    </row>
    <row r="805" spans="1:16" ht="19.5" customHeight="1">
      <c r="A805" s="172" t="s">
        <v>1582</v>
      </c>
      <c r="B805" s="176">
        <v>46058</v>
      </c>
      <c r="C805" s="172" t="s">
        <v>81</v>
      </c>
      <c r="D805" s="172" t="s">
        <v>95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2150</v>
      </c>
      <c r="J805" s="176">
        <v>46056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-19.12</v>
      </c>
    </row>
    <row r="806" spans="1:16" ht="19.5" customHeight="1">
      <c r="A806" s="172" t="s">
        <v>1581</v>
      </c>
      <c r="B806" s="176">
        <v>46058</v>
      </c>
      <c r="C806" s="172" t="s">
        <v>81</v>
      </c>
      <c r="D806" s="172" t="s">
        <v>82</v>
      </c>
      <c r="E806" s="172" t="s">
        <v>60</v>
      </c>
      <c r="F806" s="172" t="s">
        <v>1430</v>
      </c>
      <c r="G806" s="172" t="s">
        <v>84</v>
      </c>
      <c r="H806" s="177">
        <v>1</v>
      </c>
      <c r="I806" s="178">
        <v>0</v>
      </c>
      <c r="J806" s="176">
        <v>46057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-14.17</v>
      </c>
    </row>
    <row r="807" spans="1:16" ht="19.5" customHeight="1">
      <c r="A807" s="172" t="s">
        <v>1376</v>
      </c>
      <c r="B807" s="176">
        <v>46058</v>
      </c>
      <c r="C807" s="172" t="s">
        <v>81</v>
      </c>
      <c r="D807" s="172" t="s">
        <v>82</v>
      </c>
      <c r="E807" s="172" t="s">
        <v>52</v>
      </c>
      <c r="F807" s="172" t="s">
        <v>90</v>
      </c>
      <c r="G807" s="172" t="s">
        <v>84</v>
      </c>
      <c r="H807" s="177">
        <v>1</v>
      </c>
      <c r="I807" s="178">
        <v>0</v>
      </c>
      <c r="J807" s="176">
        <v>46045</v>
      </c>
      <c r="K807" s="172" t="s">
        <v>85</v>
      </c>
      <c r="L807" s="172" t="s">
        <v>85</v>
      </c>
      <c r="M807" s="179">
        <v>0</v>
      </c>
      <c r="N807" s="177"/>
      <c r="O807" s="177"/>
      <c r="P807" s="180">
        <v>11.94</v>
      </c>
    </row>
    <row r="808" spans="1:16" ht="19.5" customHeight="1">
      <c r="A808" s="172" t="s">
        <v>1583</v>
      </c>
      <c r="B808" s="176">
        <v>46058</v>
      </c>
      <c r="C808" s="172" t="s">
        <v>92</v>
      </c>
      <c r="D808" s="172" t="s">
        <v>24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0.43</v>
      </c>
      <c r="N808" s="177"/>
      <c r="O808" s="177">
        <v>40</v>
      </c>
      <c r="P808" s="180">
        <v>-125.45</v>
      </c>
    </row>
    <row r="809" spans="1:16" ht="19.5" customHeight="1">
      <c r="A809" s="172" t="s">
        <v>1583</v>
      </c>
      <c r="B809" s="176">
        <v>46058</v>
      </c>
      <c r="C809" s="172" t="s">
        <v>100</v>
      </c>
      <c r="D809" s="172" t="s">
        <v>101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846.74</v>
      </c>
    </row>
    <row r="810" spans="1:16" ht="19.5" customHeight="1">
      <c r="A810" s="172" t="s">
        <v>1583</v>
      </c>
      <c r="B810" s="176">
        <v>46058</v>
      </c>
      <c r="C810" s="172" t="s">
        <v>100</v>
      </c>
      <c r="D810" s="172" t="s">
        <v>102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8.4700000000000006</v>
      </c>
    </row>
    <row r="811" spans="1:16" ht="19.5" customHeight="1">
      <c r="A811" s="172" t="s">
        <v>1583</v>
      </c>
      <c r="B811" s="176">
        <v>46058</v>
      </c>
      <c r="C811" s="172" t="s">
        <v>100</v>
      </c>
      <c r="D811" s="172" t="s">
        <v>103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1294.79</v>
      </c>
    </row>
    <row r="812" spans="1:16" ht="19.5" customHeight="1">
      <c r="A812" s="172" t="s">
        <v>1583</v>
      </c>
      <c r="B812" s="176">
        <v>46058</v>
      </c>
      <c r="C812" s="172" t="s">
        <v>104</v>
      </c>
      <c r="D812" s="172" t="s">
        <v>105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-924.5</v>
      </c>
    </row>
    <row r="813" spans="1:16" ht="19.5" customHeight="1">
      <c r="A813" s="172" t="s">
        <v>1583</v>
      </c>
      <c r="B813" s="176">
        <v>46058</v>
      </c>
      <c r="C813" s="172" t="s">
        <v>81</v>
      </c>
      <c r="D813" s="172" t="s">
        <v>95</v>
      </c>
      <c r="E813" s="172" t="s">
        <v>42</v>
      </c>
      <c r="F813" s="172" t="s">
        <v>89</v>
      </c>
      <c r="G813" s="172" t="s">
        <v>84</v>
      </c>
      <c r="H813" s="177">
        <v>1</v>
      </c>
      <c r="I813" s="178">
        <v>2150</v>
      </c>
      <c r="J813" s="176">
        <v>46057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-8.7100000000000009</v>
      </c>
    </row>
    <row r="814" spans="1:16" ht="19.5" customHeight="1">
      <c r="A814" s="172" t="s">
        <v>1584</v>
      </c>
      <c r="B814" s="176">
        <v>46058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0.43</v>
      </c>
      <c r="N814" s="177"/>
      <c r="O814" s="177">
        <v>41</v>
      </c>
      <c r="P814" s="180">
        <v>-145.74</v>
      </c>
    </row>
    <row r="815" spans="1:16" ht="19.5" customHeight="1">
      <c r="A815" s="172" t="s">
        <v>1584</v>
      </c>
      <c r="B815" s="176">
        <v>46058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795.24</v>
      </c>
    </row>
    <row r="816" spans="1:16" ht="19.5" customHeight="1">
      <c r="A816" s="172" t="s">
        <v>1584</v>
      </c>
      <c r="B816" s="176">
        <v>46058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7.95</v>
      </c>
    </row>
    <row r="817" spans="1:16" ht="19.5" customHeight="1">
      <c r="A817" s="172" t="s">
        <v>1584</v>
      </c>
      <c r="B817" s="176">
        <v>46058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1346.81</v>
      </c>
    </row>
    <row r="818" spans="1:16" ht="19.5" customHeight="1">
      <c r="A818" s="172" t="s">
        <v>1584</v>
      </c>
      <c r="B818" s="176">
        <v>46058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-924.5</v>
      </c>
    </row>
    <row r="819" spans="1:16" ht="19.5" customHeight="1">
      <c r="A819" s="172" t="s">
        <v>1585</v>
      </c>
      <c r="B819" s="176">
        <v>46058</v>
      </c>
      <c r="C819" s="172" t="s">
        <v>92</v>
      </c>
      <c r="D819" s="172" t="s">
        <v>24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0.43</v>
      </c>
      <c r="N819" s="177"/>
      <c r="O819" s="177">
        <v>41</v>
      </c>
      <c r="P819" s="180">
        <v>-145.74</v>
      </c>
    </row>
    <row r="820" spans="1:16" ht="19.5" customHeight="1">
      <c r="A820" s="172" t="s">
        <v>1585</v>
      </c>
      <c r="B820" s="176">
        <v>46058</v>
      </c>
      <c r="C820" s="172" t="s">
        <v>100</v>
      </c>
      <c r="D820" s="172" t="s">
        <v>101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795.24</v>
      </c>
    </row>
    <row r="821" spans="1:16" ht="19.5" customHeight="1">
      <c r="A821" s="172" t="s">
        <v>1585</v>
      </c>
      <c r="B821" s="176">
        <v>46058</v>
      </c>
      <c r="C821" s="172" t="s">
        <v>100</v>
      </c>
      <c r="D821" s="172" t="s">
        <v>102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7.95</v>
      </c>
    </row>
    <row r="822" spans="1:16" ht="19.5" customHeight="1">
      <c r="A822" s="172" t="s">
        <v>1585</v>
      </c>
      <c r="B822" s="176">
        <v>46058</v>
      </c>
      <c r="C822" s="172" t="s">
        <v>100</v>
      </c>
      <c r="D822" s="172" t="s">
        <v>103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1346.81</v>
      </c>
    </row>
    <row r="823" spans="1:16" ht="19.5" customHeight="1">
      <c r="A823" s="172" t="s">
        <v>1585</v>
      </c>
      <c r="B823" s="176">
        <v>46058</v>
      </c>
      <c r="C823" s="172" t="s">
        <v>104</v>
      </c>
      <c r="D823" s="172" t="s">
        <v>105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2150</v>
      </c>
      <c r="J823" s="176">
        <v>46056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-924.5</v>
      </c>
    </row>
    <row r="824" spans="1:16" ht="19.5" customHeight="1">
      <c r="A824" s="172" t="s">
        <v>1586</v>
      </c>
      <c r="B824" s="176">
        <v>46058</v>
      </c>
      <c r="C824" s="172" t="s">
        <v>81</v>
      </c>
      <c r="D824" s="172" t="s">
        <v>82</v>
      </c>
      <c r="E824" s="172" t="s">
        <v>57</v>
      </c>
      <c r="F824" s="172" t="s">
        <v>1265</v>
      </c>
      <c r="G824" s="172" t="s">
        <v>84</v>
      </c>
      <c r="H824" s="177">
        <v>1</v>
      </c>
      <c r="I824" s="178">
        <v>0</v>
      </c>
      <c r="J824" s="176">
        <v>46058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-15.83</v>
      </c>
    </row>
    <row r="825" spans="1:16" ht="19.5" customHeight="1">
      <c r="A825" s="172" t="s">
        <v>1587</v>
      </c>
      <c r="B825" s="176">
        <v>46058</v>
      </c>
      <c r="C825" s="172" t="s">
        <v>92</v>
      </c>
      <c r="D825" s="172" t="s">
        <v>24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0.43</v>
      </c>
      <c r="N825" s="177"/>
      <c r="O825" s="177">
        <v>43</v>
      </c>
      <c r="P825" s="180">
        <v>-145.1</v>
      </c>
    </row>
    <row r="826" spans="1:16" ht="19.5" customHeight="1">
      <c r="A826" s="172" t="s">
        <v>1587</v>
      </c>
      <c r="B826" s="176">
        <v>46058</v>
      </c>
      <c r="C826" s="172" t="s">
        <v>100</v>
      </c>
      <c r="D826" s="172" t="s">
        <v>101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627.62</v>
      </c>
    </row>
    <row r="827" spans="1:16" ht="19.5" customHeight="1">
      <c r="A827" s="172" t="s">
        <v>1587</v>
      </c>
      <c r="B827" s="176">
        <v>46058</v>
      </c>
      <c r="C827" s="172" t="s">
        <v>100</v>
      </c>
      <c r="D827" s="172" t="s">
        <v>102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6.28</v>
      </c>
    </row>
    <row r="828" spans="1:16" ht="19.5" customHeight="1">
      <c r="A828" s="172" t="s">
        <v>1587</v>
      </c>
      <c r="B828" s="176">
        <v>46058</v>
      </c>
      <c r="C828" s="172" t="s">
        <v>100</v>
      </c>
      <c r="D828" s="172" t="s">
        <v>103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1166.0999999999999</v>
      </c>
    </row>
    <row r="829" spans="1:16" ht="19.5" customHeight="1">
      <c r="A829" s="172" t="s">
        <v>1587</v>
      </c>
      <c r="B829" s="176">
        <v>46058</v>
      </c>
      <c r="C829" s="172" t="s">
        <v>104</v>
      </c>
      <c r="D829" s="172" t="s">
        <v>105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-774</v>
      </c>
    </row>
    <row r="830" spans="1:16" ht="19.5" customHeight="1">
      <c r="A830" s="172" t="s">
        <v>1587</v>
      </c>
      <c r="B830" s="176">
        <v>46058</v>
      </c>
      <c r="C830" s="172" t="s">
        <v>81</v>
      </c>
      <c r="D830" s="172" t="s">
        <v>95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1800</v>
      </c>
      <c r="J830" s="176">
        <v>46054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-12</v>
      </c>
    </row>
    <row r="831" spans="1:16" ht="19.5" customHeight="1">
      <c r="A831" s="172" t="s">
        <v>1588</v>
      </c>
      <c r="B831" s="176">
        <v>46058</v>
      </c>
      <c r="C831" s="172" t="s">
        <v>92</v>
      </c>
      <c r="D831" s="172" t="s">
        <v>24</v>
      </c>
      <c r="E831" s="172" t="s">
        <v>55</v>
      </c>
      <c r="F831" s="172" t="s">
        <v>1274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0.43</v>
      </c>
      <c r="N831" s="177"/>
      <c r="O831" s="177">
        <v>41</v>
      </c>
      <c r="P831" s="180">
        <v>-141.69</v>
      </c>
    </row>
    <row r="832" spans="1:16" ht="19.5" customHeight="1">
      <c r="A832" s="172" t="s">
        <v>1588</v>
      </c>
      <c r="B832" s="176">
        <v>46058</v>
      </c>
      <c r="C832" s="172" t="s">
        <v>100</v>
      </c>
      <c r="D832" s="172" t="s">
        <v>101</v>
      </c>
      <c r="E832" s="172" t="s">
        <v>55</v>
      </c>
      <c r="F832" s="172" t="s">
        <v>1274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1000.95</v>
      </c>
    </row>
    <row r="833" spans="1:16" ht="19.5" customHeight="1">
      <c r="A833" s="172" t="s">
        <v>1588</v>
      </c>
      <c r="B833" s="176">
        <v>46058</v>
      </c>
      <c r="C833" s="172" t="s">
        <v>100</v>
      </c>
      <c r="D833" s="172" t="s">
        <v>102</v>
      </c>
      <c r="E833" s="172" t="s">
        <v>55</v>
      </c>
      <c r="F833" s="172" t="s">
        <v>1274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customHeight="1">
      <c r="A834" s="172" t="s">
        <v>1588</v>
      </c>
      <c r="B834" s="176">
        <v>46058</v>
      </c>
      <c r="C834" s="172" t="s">
        <v>100</v>
      </c>
      <c r="D834" s="172" t="s">
        <v>103</v>
      </c>
      <c r="E834" s="172" t="s">
        <v>55</v>
      </c>
      <c r="F834" s="172" t="s">
        <v>1274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999.05</v>
      </c>
    </row>
    <row r="835" spans="1:16" ht="19.5" customHeight="1">
      <c r="A835" s="172" t="s">
        <v>1588</v>
      </c>
      <c r="B835" s="176">
        <v>46058</v>
      </c>
      <c r="C835" s="172" t="s">
        <v>104</v>
      </c>
      <c r="D835" s="172" t="s">
        <v>105</v>
      </c>
      <c r="E835" s="172" t="s">
        <v>55</v>
      </c>
      <c r="F835" s="172" t="s">
        <v>1274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-860</v>
      </c>
    </row>
    <row r="836" spans="1:16" ht="19.5" customHeight="1">
      <c r="A836" s="172" t="s">
        <v>1588</v>
      </c>
      <c r="B836" s="176">
        <v>46058</v>
      </c>
      <c r="C836" s="172" t="s">
        <v>81</v>
      </c>
      <c r="D836" s="172" t="s">
        <v>95</v>
      </c>
      <c r="E836" s="172" t="s">
        <v>55</v>
      </c>
      <c r="F836" s="172" t="s">
        <v>1274</v>
      </c>
      <c r="G836" s="172" t="s">
        <v>84</v>
      </c>
      <c r="H836" s="177">
        <v>1</v>
      </c>
      <c r="I836" s="178">
        <v>2000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-9.61</v>
      </c>
    </row>
    <row r="837" spans="1:16" ht="19.5" customHeight="1">
      <c r="A837" s="172" t="s">
        <v>1589</v>
      </c>
      <c r="B837" s="176">
        <v>46058</v>
      </c>
      <c r="C837" s="172" t="s">
        <v>92</v>
      </c>
      <c r="D837" s="172" t="s">
        <v>24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0.43</v>
      </c>
      <c r="N837" s="177"/>
      <c r="O837" s="177">
        <v>41</v>
      </c>
      <c r="P837" s="180">
        <v>-145.74</v>
      </c>
    </row>
    <row r="838" spans="1:16" ht="19.5" customHeight="1">
      <c r="A838" s="172" t="s">
        <v>1589</v>
      </c>
      <c r="B838" s="176">
        <v>46058</v>
      </c>
      <c r="C838" s="172" t="s">
        <v>100</v>
      </c>
      <c r="D838" s="172" t="s">
        <v>101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793.73</v>
      </c>
    </row>
    <row r="839" spans="1:16" ht="19.5" customHeight="1">
      <c r="A839" s="172" t="s">
        <v>1589</v>
      </c>
      <c r="B839" s="176">
        <v>46058</v>
      </c>
      <c r="C839" s="172" t="s">
        <v>100</v>
      </c>
      <c r="D839" s="172" t="s">
        <v>102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7.94</v>
      </c>
    </row>
    <row r="840" spans="1:16" ht="19.5" customHeight="1">
      <c r="A840" s="172" t="s">
        <v>1589</v>
      </c>
      <c r="B840" s="176">
        <v>46058</v>
      </c>
      <c r="C840" s="172" t="s">
        <v>100</v>
      </c>
      <c r="D840" s="172" t="s">
        <v>103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1348.33</v>
      </c>
    </row>
    <row r="841" spans="1:16" ht="19.5" customHeight="1">
      <c r="A841" s="172" t="s">
        <v>1589</v>
      </c>
      <c r="B841" s="176">
        <v>46058</v>
      </c>
      <c r="C841" s="172" t="s">
        <v>104</v>
      </c>
      <c r="D841" s="172" t="s">
        <v>105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-924.5</v>
      </c>
    </row>
    <row r="842" spans="1:16" ht="19.5" customHeight="1">
      <c r="A842" s="172" t="s">
        <v>1589</v>
      </c>
      <c r="B842" s="176">
        <v>46058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2150</v>
      </c>
      <c r="J842" s="176">
        <v>46056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-17.43</v>
      </c>
    </row>
    <row r="843" spans="1:16" ht="19.5" customHeight="1">
      <c r="A843" s="172" t="s">
        <v>1590</v>
      </c>
      <c r="B843" s="176">
        <v>46058</v>
      </c>
      <c r="C843" s="172" t="s">
        <v>92</v>
      </c>
      <c r="D843" s="172" t="s">
        <v>24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0.43</v>
      </c>
      <c r="N843" s="177"/>
      <c r="O843" s="177">
        <v>44</v>
      </c>
      <c r="P843" s="180">
        <v>-131.37</v>
      </c>
    </row>
    <row r="844" spans="1:16" ht="19.5" customHeight="1">
      <c r="A844" s="172" t="s">
        <v>1590</v>
      </c>
      <c r="B844" s="176">
        <v>46058</v>
      </c>
      <c r="C844" s="172" t="s">
        <v>100</v>
      </c>
      <c r="D844" s="172" t="s">
        <v>101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605.49</v>
      </c>
    </row>
    <row r="845" spans="1:16" ht="19.5" customHeight="1">
      <c r="A845" s="172" t="s">
        <v>1590</v>
      </c>
      <c r="B845" s="176">
        <v>46058</v>
      </c>
      <c r="C845" s="172" t="s">
        <v>100</v>
      </c>
      <c r="D845" s="172" t="s">
        <v>102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6.05</v>
      </c>
    </row>
    <row r="846" spans="1:16" ht="19.5" customHeight="1">
      <c r="A846" s="172" t="s">
        <v>1590</v>
      </c>
      <c r="B846" s="176">
        <v>46058</v>
      </c>
      <c r="C846" s="172" t="s">
        <v>100</v>
      </c>
      <c r="D846" s="172" t="s">
        <v>103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1138.46</v>
      </c>
    </row>
    <row r="847" spans="1:16" ht="19.5" customHeight="1">
      <c r="A847" s="172" t="s">
        <v>1590</v>
      </c>
      <c r="B847" s="176">
        <v>46058</v>
      </c>
      <c r="C847" s="172" t="s">
        <v>104</v>
      </c>
      <c r="D847" s="172" t="s">
        <v>105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-752.5</v>
      </c>
    </row>
    <row r="848" spans="1:16" ht="19.5" customHeight="1">
      <c r="A848" s="172" t="s">
        <v>1590</v>
      </c>
      <c r="B848" s="176">
        <v>46058</v>
      </c>
      <c r="C848" s="172" t="s">
        <v>81</v>
      </c>
      <c r="D848" s="172" t="s">
        <v>95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46053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-9.6999999999999993</v>
      </c>
    </row>
    <row r="849" spans="1:16" ht="19.5" customHeight="1">
      <c r="A849" s="172" t="s">
        <v>1591</v>
      </c>
      <c r="B849" s="176">
        <v>46058</v>
      </c>
      <c r="C849" s="172" t="s">
        <v>81</v>
      </c>
      <c r="D849" s="172" t="s">
        <v>82</v>
      </c>
      <c r="E849" s="172" t="s">
        <v>53</v>
      </c>
      <c r="F849" s="172" t="s">
        <v>120</v>
      </c>
      <c r="G849" s="172" t="s">
        <v>84</v>
      </c>
      <c r="H849" s="177">
        <v>1</v>
      </c>
      <c r="I849" s="178">
        <v>0</v>
      </c>
      <c r="J849" s="176">
        <v>46058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-13.97</v>
      </c>
    </row>
    <row r="850" spans="1:16" ht="19.5" customHeight="1">
      <c r="A850" s="172" t="s">
        <v>1590</v>
      </c>
      <c r="B850" s="176">
        <v>46058</v>
      </c>
      <c r="C850" s="172" t="s">
        <v>81</v>
      </c>
      <c r="D850" s="172" t="s">
        <v>82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0</v>
      </c>
      <c r="J850" s="176">
        <v>46053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-11.5</v>
      </c>
    </row>
    <row r="851" spans="1:16" ht="19.5" customHeight="1">
      <c r="A851" s="172" t="s">
        <v>1592</v>
      </c>
      <c r="B851" s="176">
        <v>46058</v>
      </c>
      <c r="C851" s="172" t="s">
        <v>92</v>
      </c>
      <c r="D851" s="172" t="s">
        <v>24</v>
      </c>
      <c r="E851" s="172" t="s">
        <v>42</v>
      </c>
      <c r="F851" s="172" t="s">
        <v>89</v>
      </c>
      <c r="G851" s="172" t="s">
        <v>84</v>
      </c>
      <c r="H851" s="177">
        <v>1</v>
      </c>
      <c r="I851" s="178">
        <v>0</v>
      </c>
      <c r="J851" s="176">
        <v>46054</v>
      </c>
      <c r="K851" s="172" t="s">
        <v>93</v>
      </c>
      <c r="L851" s="172" t="s">
        <v>94</v>
      </c>
      <c r="M851" s="179">
        <v>0</v>
      </c>
      <c r="N851" s="177"/>
      <c r="O851" s="177">
        <v>43</v>
      </c>
      <c r="P851" s="180">
        <v>-127.33</v>
      </c>
    </row>
    <row r="852" spans="1:16" ht="19.5" customHeight="1">
      <c r="A852" s="172" t="s">
        <v>1593</v>
      </c>
      <c r="B852" s="176">
        <v>46058</v>
      </c>
      <c r="C852" s="172" t="s">
        <v>92</v>
      </c>
      <c r="D852" s="172" t="s">
        <v>24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0.43</v>
      </c>
      <c r="N852" s="177"/>
      <c r="O852" s="177">
        <v>41</v>
      </c>
      <c r="P852" s="180">
        <v>-130.08000000000001</v>
      </c>
    </row>
    <row r="853" spans="1:16" ht="19.5" customHeight="1">
      <c r="A853" s="172" t="s">
        <v>1593</v>
      </c>
      <c r="B853" s="176">
        <v>46058</v>
      </c>
      <c r="C853" s="172" t="s">
        <v>100</v>
      </c>
      <c r="D853" s="172" t="s">
        <v>101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840.95</v>
      </c>
    </row>
    <row r="854" spans="1:16" ht="19.5" customHeight="1">
      <c r="A854" s="172" t="s">
        <v>1593</v>
      </c>
      <c r="B854" s="176">
        <v>46058</v>
      </c>
      <c r="C854" s="172" t="s">
        <v>100</v>
      </c>
      <c r="D854" s="172" t="s">
        <v>102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8.41</v>
      </c>
    </row>
    <row r="855" spans="1:16" ht="19.5" customHeight="1">
      <c r="A855" s="172" t="s">
        <v>1593</v>
      </c>
      <c r="B855" s="176">
        <v>46058</v>
      </c>
      <c r="C855" s="172" t="s">
        <v>100</v>
      </c>
      <c r="D855" s="172" t="s">
        <v>103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1300.6400000000001</v>
      </c>
    </row>
    <row r="856" spans="1:16" ht="19.5" customHeight="1">
      <c r="A856" s="172" t="s">
        <v>1593</v>
      </c>
      <c r="B856" s="176">
        <v>46058</v>
      </c>
      <c r="C856" s="172" t="s">
        <v>104</v>
      </c>
      <c r="D856" s="172" t="s">
        <v>105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-924.5</v>
      </c>
    </row>
    <row r="857" spans="1:16" ht="19.5" customHeight="1">
      <c r="A857" s="172" t="s">
        <v>1593</v>
      </c>
      <c r="B857" s="176">
        <v>46058</v>
      </c>
      <c r="C857" s="172" t="s">
        <v>81</v>
      </c>
      <c r="D857" s="172" t="s">
        <v>95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2150</v>
      </c>
      <c r="J857" s="176">
        <v>46056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-9.11</v>
      </c>
    </row>
    <row r="858" spans="1:16" ht="19.5" customHeight="1">
      <c r="A858" s="172" t="s">
        <v>1593</v>
      </c>
      <c r="B858" s="176">
        <v>46058</v>
      </c>
      <c r="C858" s="172" t="s">
        <v>81</v>
      </c>
      <c r="D858" s="172" t="s">
        <v>82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46056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-15.98</v>
      </c>
    </row>
    <row r="859" spans="1:16" ht="19.5" customHeight="1">
      <c r="A859" s="172" t="s">
        <v>1594</v>
      </c>
      <c r="B859" s="176">
        <v>46058</v>
      </c>
      <c r="C859" s="172" t="s">
        <v>81</v>
      </c>
      <c r="D859" s="172" t="s">
        <v>82</v>
      </c>
      <c r="E859" s="172" t="s">
        <v>60</v>
      </c>
      <c r="F859" s="172" t="s">
        <v>1430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-13.23</v>
      </c>
    </row>
    <row r="860" spans="1:16" ht="19.5" customHeight="1">
      <c r="A860" s="172" t="s">
        <v>1595</v>
      </c>
      <c r="B860" s="176">
        <v>46058</v>
      </c>
      <c r="C860" s="172" t="s">
        <v>92</v>
      </c>
      <c r="D860" s="172" t="s">
        <v>24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0.43</v>
      </c>
      <c r="N860" s="177"/>
      <c r="O860" s="177">
        <v>41</v>
      </c>
      <c r="P860" s="180">
        <v>-136.29</v>
      </c>
    </row>
    <row r="861" spans="1:16" ht="19.5" customHeight="1">
      <c r="A861" s="172" t="s">
        <v>1595</v>
      </c>
      <c r="B861" s="176">
        <v>46058</v>
      </c>
      <c r="C861" s="172" t="s">
        <v>100</v>
      </c>
      <c r="D861" s="172" t="s">
        <v>101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627.62</v>
      </c>
    </row>
    <row r="862" spans="1:16" ht="19.5" customHeight="1">
      <c r="A862" s="172" t="s">
        <v>1595</v>
      </c>
      <c r="B862" s="176">
        <v>46058</v>
      </c>
      <c r="C862" s="172" t="s">
        <v>100</v>
      </c>
      <c r="D862" s="172" t="s">
        <v>102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6.28</v>
      </c>
    </row>
    <row r="863" spans="1:16" ht="19.5" customHeight="1">
      <c r="A863" s="172" t="s">
        <v>1595</v>
      </c>
      <c r="B863" s="176">
        <v>46058</v>
      </c>
      <c r="C863" s="172" t="s">
        <v>100</v>
      </c>
      <c r="D863" s="172" t="s">
        <v>103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1166.0999999999999</v>
      </c>
    </row>
    <row r="864" spans="1:16" ht="19.5" customHeight="1">
      <c r="A864" s="172" t="s">
        <v>1595</v>
      </c>
      <c r="B864" s="176">
        <v>46058</v>
      </c>
      <c r="C864" s="172" t="s">
        <v>104</v>
      </c>
      <c r="D864" s="172" t="s">
        <v>105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-774</v>
      </c>
    </row>
    <row r="865" spans="1:16" ht="19.5" customHeight="1">
      <c r="A865" s="172" t="s">
        <v>1595</v>
      </c>
      <c r="B865" s="176">
        <v>46058</v>
      </c>
      <c r="C865" s="172" t="s">
        <v>81</v>
      </c>
      <c r="D865" s="172" t="s">
        <v>95</v>
      </c>
      <c r="E865" s="172" t="s">
        <v>52</v>
      </c>
      <c r="F865" s="172" t="s">
        <v>90</v>
      </c>
      <c r="G865" s="172" t="s">
        <v>84</v>
      </c>
      <c r="H865" s="177">
        <v>1</v>
      </c>
      <c r="I865" s="178">
        <v>1800</v>
      </c>
      <c r="J865" s="176">
        <v>46055</v>
      </c>
      <c r="K865" s="172" t="s">
        <v>93</v>
      </c>
      <c r="L865" s="172" t="s">
        <v>94</v>
      </c>
      <c r="M865" s="179">
        <v>0.43</v>
      </c>
      <c r="N865" s="177"/>
      <c r="O865" s="177"/>
      <c r="P865" s="180">
        <v>-14.66</v>
      </c>
    </row>
    <row r="866" spans="1:16" ht="19.5" customHeight="1">
      <c r="A866" s="172" t="s">
        <v>1596</v>
      </c>
      <c r="B866" s="176">
        <v>46058</v>
      </c>
      <c r="C866" s="172" t="s">
        <v>92</v>
      </c>
      <c r="D866" s="172" t="s">
        <v>24</v>
      </c>
      <c r="E866" s="172" t="s">
        <v>55</v>
      </c>
      <c r="F866" s="172" t="s">
        <v>1274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>
        <v>40</v>
      </c>
      <c r="P866" s="180">
        <v>-136.97999999999999</v>
      </c>
    </row>
    <row r="867" spans="1:16" ht="19.5" customHeight="1">
      <c r="A867" s="172" t="s">
        <v>1596</v>
      </c>
      <c r="B867" s="176">
        <v>46058</v>
      </c>
      <c r="C867" s="172" t="s">
        <v>100</v>
      </c>
      <c r="D867" s="172" t="s">
        <v>101</v>
      </c>
      <c r="E867" s="172" t="s">
        <v>55</v>
      </c>
      <c r="F867" s="172" t="s">
        <v>1274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961.9</v>
      </c>
    </row>
    <row r="868" spans="1:16" ht="19.5" customHeight="1">
      <c r="A868" s="172" t="s">
        <v>1596</v>
      </c>
      <c r="B868" s="176">
        <v>46058</v>
      </c>
      <c r="C868" s="172" t="s">
        <v>100</v>
      </c>
      <c r="D868" s="172" t="s">
        <v>102</v>
      </c>
      <c r="E868" s="172" t="s">
        <v>55</v>
      </c>
      <c r="F868" s="172" t="s">
        <v>1274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9.6199999999999992</v>
      </c>
    </row>
    <row r="869" spans="1:16" ht="19.5" customHeight="1">
      <c r="A869" s="172" t="s">
        <v>1596</v>
      </c>
      <c r="B869" s="176">
        <v>46058</v>
      </c>
      <c r="C869" s="172" t="s">
        <v>100</v>
      </c>
      <c r="D869" s="172" t="s">
        <v>103</v>
      </c>
      <c r="E869" s="172" t="s">
        <v>55</v>
      </c>
      <c r="F869" s="172" t="s">
        <v>1274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1028.48</v>
      </c>
    </row>
    <row r="870" spans="1:16" ht="19.5" customHeight="1">
      <c r="A870" s="172" t="s">
        <v>1596</v>
      </c>
      <c r="B870" s="176">
        <v>46058</v>
      </c>
      <c r="C870" s="172" t="s">
        <v>104</v>
      </c>
      <c r="D870" s="172" t="s">
        <v>105</v>
      </c>
      <c r="E870" s="172" t="s">
        <v>55</v>
      </c>
      <c r="F870" s="172" t="s">
        <v>1274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-860</v>
      </c>
    </row>
    <row r="871" spans="1:16" ht="19.5" customHeight="1">
      <c r="A871" s="172" t="s">
        <v>1596</v>
      </c>
      <c r="B871" s="176">
        <v>46058</v>
      </c>
      <c r="C871" s="172" t="s">
        <v>81</v>
      </c>
      <c r="D871" s="172" t="s">
        <v>95</v>
      </c>
      <c r="E871" s="172" t="s">
        <v>55</v>
      </c>
      <c r="F871" s="172" t="s">
        <v>1274</v>
      </c>
      <c r="G871" s="172" t="s">
        <v>84</v>
      </c>
      <c r="H871" s="177">
        <v>1</v>
      </c>
      <c r="I871" s="178">
        <v>2000</v>
      </c>
      <c r="J871" s="176">
        <v>46057</v>
      </c>
      <c r="K871" s="172" t="s">
        <v>93</v>
      </c>
      <c r="L871" s="172" t="s">
        <v>94</v>
      </c>
      <c r="M871" s="179">
        <v>0.43</v>
      </c>
      <c r="N871" s="177"/>
      <c r="O871" s="177"/>
      <c r="P871" s="180">
        <v>-16.97</v>
      </c>
    </row>
    <row r="872" spans="1:16" ht="19.5" customHeight="1">
      <c r="A872" s="172" t="s">
        <v>1597</v>
      </c>
      <c r="B872" s="176">
        <v>46058</v>
      </c>
      <c r="C872" s="172" t="s">
        <v>81</v>
      </c>
      <c r="D872" s="172" t="s">
        <v>82</v>
      </c>
      <c r="E872" s="172" t="s">
        <v>59</v>
      </c>
      <c r="F872" s="172" t="s">
        <v>1389</v>
      </c>
      <c r="G872" s="172" t="s">
        <v>84</v>
      </c>
      <c r="H872" s="177">
        <v>1</v>
      </c>
      <c r="I872" s="178">
        <v>0</v>
      </c>
      <c r="J872" s="176">
        <v>46058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-9.1300000000000008</v>
      </c>
    </row>
    <row r="873" spans="1:16" ht="19.5" customHeight="1">
      <c r="A873" s="172" t="s">
        <v>1598</v>
      </c>
      <c r="B873" s="176">
        <v>46058</v>
      </c>
      <c r="C873" s="172" t="s">
        <v>92</v>
      </c>
      <c r="D873" s="172" t="s">
        <v>24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0.43</v>
      </c>
      <c r="N873" s="177"/>
      <c r="O873" s="177">
        <v>40</v>
      </c>
      <c r="P873" s="180">
        <v>-140.81</v>
      </c>
    </row>
    <row r="874" spans="1:16" ht="19.5" customHeight="1">
      <c r="A874" s="172" t="s">
        <v>1598</v>
      </c>
      <c r="B874" s="176">
        <v>46058</v>
      </c>
      <c r="C874" s="172" t="s">
        <v>100</v>
      </c>
      <c r="D874" s="172" t="s">
        <v>101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909.61</v>
      </c>
    </row>
    <row r="875" spans="1:16" ht="19.5" customHeight="1">
      <c r="A875" s="172" t="s">
        <v>1598</v>
      </c>
      <c r="B875" s="176">
        <v>46058</v>
      </c>
      <c r="C875" s="172" t="s">
        <v>100</v>
      </c>
      <c r="D875" s="172" t="s">
        <v>102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9.1</v>
      </c>
    </row>
    <row r="876" spans="1:16" ht="19.5" customHeight="1">
      <c r="A876" s="172" t="s">
        <v>1598</v>
      </c>
      <c r="B876" s="176">
        <v>46058</v>
      </c>
      <c r="C876" s="172" t="s">
        <v>100</v>
      </c>
      <c r="D876" s="172" t="s">
        <v>103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1231.29</v>
      </c>
    </row>
    <row r="877" spans="1:16" ht="19.5" customHeight="1">
      <c r="A877" s="172" t="s">
        <v>1598</v>
      </c>
      <c r="B877" s="176">
        <v>46058</v>
      </c>
      <c r="C877" s="172" t="s">
        <v>104</v>
      </c>
      <c r="D877" s="172" t="s">
        <v>105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-924.5</v>
      </c>
    </row>
    <row r="878" spans="1:16" ht="19.5" customHeight="1">
      <c r="A878" s="172" t="s">
        <v>1598</v>
      </c>
      <c r="B878" s="176">
        <v>46058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2150</v>
      </c>
      <c r="J878" s="176">
        <v>46057</v>
      </c>
      <c r="K878" s="172" t="s">
        <v>93</v>
      </c>
      <c r="L878" s="172" t="s">
        <v>94</v>
      </c>
      <c r="M878" s="179">
        <v>0.43</v>
      </c>
      <c r="N878" s="177"/>
      <c r="O878" s="177"/>
      <c r="P878" s="180">
        <v>-11.03</v>
      </c>
    </row>
    <row r="879" spans="1:16" ht="19.5" customHeight="1">
      <c r="A879" s="172" t="s">
        <v>1599</v>
      </c>
      <c r="B879" s="176">
        <v>46058</v>
      </c>
      <c r="C879" s="172" t="s">
        <v>92</v>
      </c>
      <c r="D879" s="172" t="s">
        <v>24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0.43</v>
      </c>
      <c r="N879" s="177"/>
      <c r="O879" s="177">
        <v>44</v>
      </c>
      <c r="P879" s="180">
        <v>-131.37</v>
      </c>
    </row>
    <row r="880" spans="1:16" ht="19.5" customHeight="1">
      <c r="A880" s="172" t="s">
        <v>1599</v>
      </c>
      <c r="B880" s="176">
        <v>46058</v>
      </c>
      <c r="C880" s="172" t="s">
        <v>100</v>
      </c>
      <c r="D880" s="172" t="s">
        <v>101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681.9</v>
      </c>
    </row>
    <row r="881" spans="1:16" ht="19.5" customHeight="1">
      <c r="A881" s="172" t="s">
        <v>1599</v>
      </c>
      <c r="B881" s="176">
        <v>46058</v>
      </c>
      <c r="C881" s="172" t="s">
        <v>100</v>
      </c>
      <c r="D881" s="172" t="s">
        <v>102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customHeight="1">
      <c r="A882" s="172" t="s">
        <v>1599</v>
      </c>
      <c r="B882" s="176">
        <v>46058</v>
      </c>
      <c r="C882" s="172" t="s">
        <v>100</v>
      </c>
      <c r="D882" s="172" t="s">
        <v>103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1068.0999999999999</v>
      </c>
    </row>
    <row r="883" spans="1:16" ht="19.5" customHeight="1">
      <c r="A883" s="172" t="s">
        <v>1599</v>
      </c>
      <c r="B883" s="176">
        <v>46058</v>
      </c>
      <c r="C883" s="172" t="s">
        <v>104</v>
      </c>
      <c r="D883" s="172" t="s">
        <v>105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-752.5</v>
      </c>
    </row>
    <row r="884" spans="1:16" ht="19.5" customHeight="1">
      <c r="A884" s="172" t="s">
        <v>1599</v>
      </c>
      <c r="B884" s="176">
        <v>46058</v>
      </c>
      <c r="C884" s="172" t="s">
        <v>81</v>
      </c>
      <c r="D884" s="172" t="s">
        <v>95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1750</v>
      </c>
      <c r="J884" s="176">
        <v>46051</v>
      </c>
      <c r="K884" s="172" t="s">
        <v>93</v>
      </c>
      <c r="L884" s="172" t="s">
        <v>94</v>
      </c>
      <c r="M884" s="179">
        <v>0.43</v>
      </c>
      <c r="N884" s="177"/>
      <c r="O884" s="177"/>
      <c r="P884" s="180">
        <v>-10.72</v>
      </c>
    </row>
    <row r="885" spans="1:16" ht="19.5" customHeight="1">
      <c r="A885" s="172" t="s">
        <v>1599</v>
      </c>
      <c r="B885" s="176">
        <v>46058</v>
      </c>
      <c r="C885" s="172" t="s">
        <v>81</v>
      </c>
      <c r="D885" s="172" t="s">
        <v>82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46051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-4.3</v>
      </c>
    </row>
    <row r="886" spans="1:16" ht="19.5" customHeight="1">
      <c r="A886" s="172" t="s">
        <v>1600</v>
      </c>
      <c r="B886" s="176">
        <v>46058</v>
      </c>
      <c r="C886" s="172" t="s">
        <v>81</v>
      </c>
      <c r="D886" s="172" t="s">
        <v>82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0</v>
      </c>
      <c r="J886" s="176">
        <v>46058</v>
      </c>
      <c r="K886" s="172" t="s">
        <v>85</v>
      </c>
      <c r="L886" s="172" t="s">
        <v>85</v>
      </c>
      <c r="M886" s="179">
        <v>0</v>
      </c>
      <c r="N886" s="177"/>
      <c r="O886" s="177"/>
      <c r="P886" s="180">
        <v>-14.67</v>
      </c>
    </row>
    <row r="887" spans="1:16" ht="19.5" customHeight="1">
      <c r="A887" s="172" t="s">
        <v>1601</v>
      </c>
      <c r="B887" s="176">
        <v>46058</v>
      </c>
      <c r="C887" s="172" t="s">
        <v>92</v>
      </c>
      <c r="D887" s="172" t="s">
        <v>24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0.43</v>
      </c>
      <c r="N887" s="177"/>
      <c r="O887" s="177">
        <v>41</v>
      </c>
      <c r="P887" s="180">
        <v>-145.74</v>
      </c>
    </row>
    <row r="888" spans="1:16" ht="19.5" customHeight="1">
      <c r="A888" s="172" t="s">
        <v>1601</v>
      </c>
      <c r="B888" s="176">
        <v>46058</v>
      </c>
      <c r="C888" s="172" t="s">
        <v>100</v>
      </c>
      <c r="D888" s="172" t="s">
        <v>101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841.71</v>
      </c>
    </row>
    <row r="889" spans="1:16" ht="19.5" customHeight="1">
      <c r="A889" s="172" t="s">
        <v>1601</v>
      </c>
      <c r="B889" s="176">
        <v>46058</v>
      </c>
      <c r="C889" s="172" t="s">
        <v>100</v>
      </c>
      <c r="D889" s="172" t="s">
        <v>102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8.42</v>
      </c>
    </row>
    <row r="890" spans="1:16" ht="19.5" customHeight="1">
      <c r="A890" s="172" t="s">
        <v>1601</v>
      </c>
      <c r="B890" s="176">
        <v>46058</v>
      </c>
      <c r="C890" s="172" t="s">
        <v>100</v>
      </c>
      <c r="D890" s="172" t="s">
        <v>103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1299.8699999999999</v>
      </c>
    </row>
    <row r="891" spans="1:16" ht="19.5" customHeight="1">
      <c r="A891" s="172" t="s">
        <v>1601</v>
      </c>
      <c r="B891" s="176">
        <v>46058</v>
      </c>
      <c r="C891" s="172" t="s">
        <v>104</v>
      </c>
      <c r="D891" s="172" t="s">
        <v>105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-924.5</v>
      </c>
    </row>
    <row r="892" spans="1:16" ht="19.5" customHeight="1">
      <c r="A892" s="172" t="s">
        <v>1601</v>
      </c>
      <c r="B892" s="176">
        <v>46058</v>
      </c>
      <c r="C892" s="172" t="s">
        <v>81</v>
      </c>
      <c r="D892" s="172" t="s">
        <v>95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2150</v>
      </c>
      <c r="J892" s="176">
        <v>46056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-25</v>
      </c>
    </row>
    <row r="893" spans="1:16" ht="19.5" customHeight="1">
      <c r="A893" s="172" t="s">
        <v>1601</v>
      </c>
      <c r="B893" s="176">
        <v>46058</v>
      </c>
      <c r="C893" s="172" t="s">
        <v>81</v>
      </c>
      <c r="D893" s="172" t="s">
        <v>82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46056</v>
      </c>
      <c r="K893" s="172" t="s">
        <v>85</v>
      </c>
      <c r="L893" s="172" t="s">
        <v>85</v>
      </c>
      <c r="M893" s="179">
        <v>0</v>
      </c>
      <c r="N893" s="177"/>
      <c r="O893" s="177"/>
      <c r="P893" s="180">
        <v>-15.99</v>
      </c>
    </row>
    <row r="894" spans="1:16" ht="19.5" customHeight="1">
      <c r="A894" s="172" t="s">
        <v>1602</v>
      </c>
      <c r="B894" s="176">
        <v>46058</v>
      </c>
      <c r="C894" s="172" t="s">
        <v>92</v>
      </c>
      <c r="D894" s="172" t="s">
        <v>24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>
        <v>45</v>
      </c>
      <c r="P894" s="180">
        <v>-46.77</v>
      </c>
    </row>
    <row r="895" spans="1:16" ht="19.5" customHeight="1">
      <c r="A895" s="172" t="s">
        <v>1602</v>
      </c>
      <c r="B895" s="176">
        <v>46058</v>
      </c>
      <c r="C895" s="172" t="s">
        <v>81</v>
      </c>
      <c r="D895" s="172" t="s">
        <v>95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-10.09</v>
      </c>
    </row>
    <row r="896" spans="1:16" ht="19.5" customHeight="1">
      <c r="A896" s="172" t="s">
        <v>1602</v>
      </c>
      <c r="B896" s="176">
        <v>46058</v>
      </c>
      <c r="C896" s="172" t="s">
        <v>92</v>
      </c>
      <c r="D896" s="172" t="s">
        <v>96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1602</v>
      </c>
      <c r="B897" s="176">
        <v>46058</v>
      </c>
      <c r="C897" s="172" t="s">
        <v>92</v>
      </c>
      <c r="D897" s="172" t="s">
        <v>97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-46.77</v>
      </c>
    </row>
    <row r="898" spans="1:16" ht="19.5" customHeight="1">
      <c r="A898" s="172" t="s">
        <v>1602</v>
      </c>
      <c r="B898" s="176">
        <v>46058</v>
      </c>
      <c r="C898" s="172" t="s">
        <v>81</v>
      </c>
      <c r="D898" s="172" t="s">
        <v>98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46049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-15</v>
      </c>
    </row>
    <row r="899" spans="1:16" ht="19.5" customHeight="1">
      <c r="A899" s="172" t="s">
        <v>1603</v>
      </c>
      <c r="B899" s="176">
        <v>46058</v>
      </c>
      <c r="C899" s="172" t="s">
        <v>92</v>
      </c>
      <c r="D899" s="172" t="s">
        <v>24</v>
      </c>
      <c r="E899" s="172" t="s">
        <v>56</v>
      </c>
      <c r="F899" s="172" t="s">
        <v>1215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>
        <v>44</v>
      </c>
      <c r="P899" s="180">
        <v>-56.94</v>
      </c>
    </row>
    <row r="900" spans="1:16" ht="19.5" customHeight="1">
      <c r="A900" s="172" t="s">
        <v>1603</v>
      </c>
      <c r="B900" s="176">
        <v>46058</v>
      </c>
      <c r="C900" s="172" t="s">
        <v>81</v>
      </c>
      <c r="D900" s="172" t="s">
        <v>95</v>
      </c>
      <c r="E900" s="172" t="s">
        <v>56</v>
      </c>
      <c r="F900" s="172" t="s">
        <v>1215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-10.64</v>
      </c>
    </row>
    <row r="901" spans="1:16" ht="19.5" customHeight="1">
      <c r="A901" s="172" t="s">
        <v>1603</v>
      </c>
      <c r="B901" s="176">
        <v>46058</v>
      </c>
      <c r="C901" s="172" t="s">
        <v>92</v>
      </c>
      <c r="D901" s="172" t="s">
        <v>96</v>
      </c>
      <c r="E901" s="172" t="s">
        <v>56</v>
      </c>
      <c r="F901" s="172" t="s">
        <v>1215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customHeight="1">
      <c r="A902" s="172" t="s">
        <v>1603</v>
      </c>
      <c r="B902" s="176">
        <v>46058</v>
      </c>
      <c r="C902" s="172" t="s">
        <v>92</v>
      </c>
      <c r="D902" s="172" t="s">
        <v>97</v>
      </c>
      <c r="E902" s="172" t="s">
        <v>56</v>
      </c>
      <c r="F902" s="172" t="s">
        <v>1215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-56.94</v>
      </c>
    </row>
    <row r="903" spans="1:16" ht="19.5" customHeight="1">
      <c r="A903" s="172" t="s">
        <v>1603</v>
      </c>
      <c r="B903" s="176">
        <v>46058</v>
      </c>
      <c r="C903" s="172" t="s">
        <v>81</v>
      </c>
      <c r="D903" s="172" t="s">
        <v>98</v>
      </c>
      <c r="E903" s="172" t="s">
        <v>56</v>
      </c>
      <c r="F903" s="172" t="s">
        <v>1215</v>
      </c>
      <c r="G903" s="172" t="s">
        <v>84</v>
      </c>
      <c r="H903" s="177">
        <v>1</v>
      </c>
      <c r="I903" s="178">
        <v>0</v>
      </c>
      <c r="J903" s="176">
        <v>46053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customHeight="1">
      <c r="A904" s="172" t="s">
        <v>1604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-5.49</v>
      </c>
    </row>
    <row r="905" spans="1:16" ht="19.5" customHeight="1">
      <c r="A905" s="172" t="s">
        <v>1605</v>
      </c>
      <c r="B905" s="176">
        <v>46058</v>
      </c>
      <c r="C905" s="172" t="s">
        <v>81</v>
      </c>
      <c r="D905" s="172" t="s">
        <v>82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-14.22</v>
      </c>
    </row>
    <row r="906" spans="1:16" ht="19.5" customHeight="1">
      <c r="A906" s="172" t="s">
        <v>1557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-298.33999999999997</v>
      </c>
    </row>
    <row r="907" spans="1:16" ht="19.5" customHeight="1">
      <c r="A907" s="172" t="s">
        <v>1556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-298.22000000000003</v>
      </c>
    </row>
    <row r="908" spans="1:16" ht="19.5" customHeight="1">
      <c r="A908" s="172" t="s">
        <v>141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-430.73</v>
      </c>
    </row>
    <row r="909" spans="1:16" ht="19.5" customHeight="1">
      <c r="A909" s="172" t="s">
        <v>145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-1010.87</v>
      </c>
    </row>
    <row r="910" spans="1:16" ht="19.5" customHeight="1">
      <c r="A910" s="172" t="s">
        <v>138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-1156.56</v>
      </c>
    </row>
    <row r="911" spans="1:16" ht="19.5" customHeight="1">
      <c r="A911" s="172" t="s">
        <v>144</v>
      </c>
      <c r="B911" s="176">
        <v>46058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-704.36</v>
      </c>
    </row>
    <row r="912" spans="1:16" ht="19.5" customHeight="1">
      <c r="A912" s="172" t="s">
        <v>142</v>
      </c>
      <c r="B912" s="176">
        <v>46058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-4948</v>
      </c>
    </row>
    <row r="913" spans="1:16" ht="19.5" customHeight="1">
      <c r="A913" s="172" t="s">
        <v>1606</v>
      </c>
      <c r="B913" s="176">
        <v>46059</v>
      </c>
      <c r="C913" s="172" t="s">
        <v>81</v>
      </c>
      <c r="D913" s="172" t="s">
        <v>82</v>
      </c>
      <c r="E913" s="172" t="s">
        <v>38</v>
      </c>
      <c r="F913" s="172" t="s">
        <v>87</v>
      </c>
      <c r="G913" s="172" t="s">
        <v>84</v>
      </c>
      <c r="H913" s="177">
        <v>1</v>
      </c>
      <c r="I913" s="178">
        <v>0</v>
      </c>
      <c r="J913" s="176">
        <v>46058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-24.28</v>
      </c>
    </row>
    <row r="914" spans="1:16" ht="19.5" customHeight="1">
      <c r="A914" s="172" t="s">
        <v>1607</v>
      </c>
      <c r="B914" s="176">
        <v>46059</v>
      </c>
      <c r="C914" s="172" t="s">
        <v>92</v>
      </c>
      <c r="D914" s="172" t="s">
        <v>24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>
        <v>44</v>
      </c>
      <c r="P914" s="180">
        <v>-56.94</v>
      </c>
    </row>
    <row r="915" spans="1:16" ht="19.5" customHeight="1">
      <c r="A915" s="172" t="s">
        <v>1607</v>
      </c>
      <c r="B915" s="176">
        <v>46059</v>
      </c>
      <c r="C915" s="172" t="s">
        <v>81</v>
      </c>
      <c r="D915" s="172" t="s">
        <v>95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-11.39</v>
      </c>
    </row>
    <row r="916" spans="1:16" ht="19.5" customHeight="1">
      <c r="A916" s="172" t="s">
        <v>1607</v>
      </c>
      <c r="B916" s="176">
        <v>46059</v>
      </c>
      <c r="C916" s="172" t="s">
        <v>92</v>
      </c>
      <c r="D916" s="172" t="s">
        <v>96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0</v>
      </c>
    </row>
    <row r="917" spans="1:16" ht="19.5" customHeight="1">
      <c r="A917" s="172" t="s">
        <v>1607</v>
      </c>
      <c r="B917" s="176">
        <v>46059</v>
      </c>
      <c r="C917" s="172" t="s">
        <v>92</v>
      </c>
      <c r="D917" s="172" t="s">
        <v>97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-56.94</v>
      </c>
    </row>
    <row r="918" spans="1:16" ht="19.5" customHeight="1">
      <c r="A918" s="172" t="s">
        <v>1607</v>
      </c>
      <c r="B918" s="176">
        <v>46059</v>
      </c>
      <c r="C918" s="172" t="s">
        <v>81</v>
      </c>
      <c r="D918" s="172" t="s">
        <v>98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-15</v>
      </c>
    </row>
    <row r="919" spans="1:16" ht="19.5" customHeight="1">
      <c r="A919" s="172" t="s">
        <v>1608</v>
      </c>
      <c r="B919" s="176">
        <v>46059</v>
      </c>
      <c r="C919" s="172" t="s">
        <v>92</v>
      </c>
      <c r="D919" s="172" t="s">
        <v>24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>
        <v>44</v>
      </c>
      <c r="P919" s="180">
        <v>-56</v>
      </c>
    </row>
    <row r="920" spans="1:16" ht="19.5" customHeight="1">
      <c r="A920" s="172" t="s">
        <v>1608</v>
      </c>
      <c r="B920" s="176">
        <v>46059</v>
      </c>
      <c r="C920" s="172" t="s">
        <v>81</v>
      </c>
      <c r="D920" s="172" t="s">
        <v>95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-11.31</v>
      </c>
    </row>
    <row r="921" spans="1:16" ht="19.5" customHeight="1">
      <c r="A921" s="172" t="s">
        <v>1608</v>
      </c>
      <c r="B921" s="176">
        <v>46059</v>
      </c>
      <c r="C921" s="172" t="s">
        <v>92</v>
      </c>
      <c r="D921" s="172" t="s">
        <v>96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0</v>
      </c>
    </row>
    <row r="922" spans="1:16" ht="19.5" customHeight="1">
      <c r="A922" s="172" t="s">
        <v>1608</v>
      </c>
      <c r="B922" s="176">
        <v>46059</v>
      </c>
      <c r="C922" s="172" t="s">
        <v>92</v>
      </c>
      <c r="D922" s="172" t="s">
        <v>97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-56</v>
      </c>
    </row>
    <row r="923" spans="1:16" ht="19.5" customHeight="1">
      <c r="A923" s="172" t="s">
        <v>1608</v>
      </c>
      <c r="B923" s="176">
        <v>46059</v>
      </c>
      <c r="C923" s="172" t="s">
        <v>81</v>
      </c>
      <c r="D923" s="172" t="s">
        <v>98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-15</v>
      </c>
    </row>
    <row r="924" spans="1:16" ht="19.5" customHeight="1">
      <c r="A924" s="172" t="s">
        <v>1609</v>
      </c>
      <c r="B924" s="176">
        <v>46059</v>
      </c>
      <c r="C924" s="172" t="s">
        <v>92</v>
      </c>
      <c r="D924" s="172" t="s">
        <v>96</v>
      </c>
      <c r="E924" s="172" t="s">
        <v>57</v>
      </c>
      <c r="F924" s="172" t="s">
        <v>1265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customHeight="1">
      <c r="A925" s="172" t="s">
        <v>1609</v>
      </c>
      <c r="B925" s="176">
        <v>46059</v>
      </c>
      <c r="C925" s="172" t="s">
        <v>92</v>
      </c>
      <c r="D925" s="172" t="s">
        <v>97</v>
      </c>
      <c r="E925" s="172" t="s">
        <v>57</v>
      </c>
      <c r="F925" s="172" t="s">
        <v>1265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-56.94</v>
      </c>
    </row>
    <row r="926" spans="1:16" ht="19.5" customHeight="1">
      <c r="A926" s="172" t="s">
        <v>1609</v>
      </c>
      <c r="B926" s="176">
        <v>46059</v>
      </c>
      <c r="C926" s="172" t="s">
        <v>92</v>
      </c>
      <c r="D926" s="172" t="s">
        <v>24</v>
      </c>
      <c r="E926" s="172" t="s">
        <v>57</v>
      </c>
      <c r="F926" s="172" t="s">
        <v>1265</v>
      </c>
      <c r="G926" s="172" t="s">
        <v>84</v>
      </c>
      <c r="H926" s="177">
        <v>1</v>
      </c>
      <c r="I926" s="178">
        <v>0</v>
      </c>
      <c r="J926" s="176">
        <v>46052</v>
      </c>
      <c r="K926" s="172" t="s">
        <v>93</v>
      </c>
      <c r="L926" s="172" t="s">
        <v>94</v>
      </c>
      <c r="M926" s="179">
        <v>0</v>
      </c>
      <c r="N926" s="177"/>
      <c r="O926" s="177">
        <v>44</v>
      </c>
      <c r="P926" s="180">
        <v>-56.94</v>
      </c>
    </row>
    <row r="927" spans="1:16" ht="19.5" customHeight="1">
      <c r="A927" s="172" t="s">
        <v>1610</v>
      </c>
      <c r="B927" s="176">
        <v>46059</v>
      </c>
      <c r="C927" s="172" t="s">
        <v>92</v>
      </c>
      <c r="D927" s="172" t="s">
        <v>24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0.43</v>
      </c>
      <c r="N927" s="177"/>
      <c r="O927" s="177">
        <v>41</v>
      </c>
      <c r="P927" s="180">
        <v>-135.16</v>
      </c>
    </row>
    <row r="928" spans="1:16" ht="19.5" customHeight="1">
      <c r="A928" s="172" t="s">
        <v>1610</v>
      </c>
      <c r="B928" s="176">
        <v>46059</v>
      </c>
      <c r="C928" s="172" t="s">
        <v>100</v>
      </c>
      <c r="D928" s="172" t="s">
        <v>101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708.57</v>
      </c>
    </row>
    <row r="929" spans="1:16" ht="19.5" customHeight="1">
      <c r="A929" s="172" t="s">
        <v>1610</v>
      </c>
      <c r="B929" s="176">
        <v>46059</v>
      </c>
      <c r="C929" s="172" t="s">
        <v>100</v>
      </c>
      <c r="D929" s="172" t="s">
        <v>102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0</v>
      </c>
    </row>
    <row r="930" spans="1:16" ht="19.5" customHeight="1">
      <c r="A930" s="172" t="s">
        <v>1610</v>
      </c>
      <c r="B930" s="176">
        <v>46059</v>
      </c>
      <c r="C930" s="172" t="s">
        <v>100</v>
      </c>
      <c r="D930" s="172" t="s">
        <v>103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1103.43</v>
      </c>
    </row>
    <row r="931" spans="1:16" ht="19.5" customHeight="1">
      <c r="A931" s="172" t="s">
        <v>1610</v>
      </c>
      <c r="B931" s="176">
        <v>46059</v>
      </c>
      <c r="C931" s="172" t="s">
        <v>104</v>
      </c>
      <c r="D931" s="172" t="s">
        <v>105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-779.16</v>
      </c>
    </row>
    <row r="932" spans="1:16" ht="19.5" customHeight="1">
      <c r="A932" s="172" t="s">
        <v>1610</v>
      </c>
      <c r="B932" s="176">
        <v>46059</v>
      </c>
      <c r="C932" s="172" t="s">
        <v>81</v>
      </c>
      <c r="D932" s="172" t="s">
        <v>95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1812</v>
      </c>
      <c r="J932" s="176">
        <v>46047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-0.74</v>
      </c>
    </row>
    <row r="933" spans="1:16" ht="19.5" customHeight="1">
      <c r="A933" s="172" t="s">
        <v>1611</v>
      </c>
      <c r="B933" s="176">
        <v>46059</v>
      </c>
      <c r="C933" s="172" t="s">
        <v>92</v>
      </c>
      <c r="D933" s="172" t="s">
        <v>24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0.43</v>
      </c>
      <c r="N933" s="177"/>
      <c r="O933" s="177">
        <v>40</v>
      </c>
      <c r="P933" s="180">
        <v>-140.81</v>
      </c>
    </row>
    <row r="934" spans="1:16" ht="19.5" customHeight="1">
      <c r="A934" s="172" t="s">
        <v>1611</v>
      </c>
      <c r="B934" s="176">
        <v>46059</v>
      </c>
      <c r="C934" s="172" t="s">
        <v>100</v>
      </c>
      <c r="D934" s="172" t="s">
        <v>101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909.61</v>
      </c>
    </row>
    <row r="935" spans="1:16" ht="19.5" customHeight="1">
      <c r="A935" s="172" t="s">
        <v>1611</v>
      </c>
      <c r="B935" s="176">
        <v>46059</v>
      </c>
      <c r="C935" s="172" t="s">
        <v>100</v>
      </c>
      <c r="D935" s="172" t="s">
        <v>102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9.1</v>
      </c>
    </row>
    <row r="936" spans="1:16" ht="19.5" customHeight="1">
      <c r="A936" s="172" t="s">
        <v>1611</v>
      </c>
      <c r="B936" s="176">
        <v>46059</v>
      </c>
      <c r="C936" s="172" t="s">
        <v>100</v>
      </c>
      <c r="D936" s="172" t="s">
        <v>103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1231.29</v>
      </c>
    </row>
    <row r="937" spans="1:16" ht="19.5" customHeight="1">
      <c r="A937" s="172" t="s">
        <v>1611</v>
      </c>
      <c r="B937" s="176">
        <v>46059</v>
      </c>
      <c r="C937" s="172" t="s">
        <v>104</v>
      </c>
      <c r="D937" s="172" t="s">
        <v>105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-924.5</v>
      </c>
    </row>
    <row r="938" spans="1:16" ht="19.5" customHeight="1">
      <c r="A938" s="172" t="s">
        <v>1611</v>
      </c>
      <c r="B938" s="176">
        <v>46059</v>
      </c>
      <c r="C938" s="172" t="s">
        <v>81</v>
      </c>
      <c r="D938" s="172" t="s">
        <v>95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2150</v>
      </c>
      <c r="J938" s="176">
        <v>46057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-25</v>
      </c>
    </row>
    <row r="939" spans="1:16" ht="19.5" customHeight="1">
      <c r="A939" s="172" t="s">
        <v>1611</v>
      </c>
      <c r="B939" s="176">
        <v>46059</v>
      </c>
      <c r="C939" s="172" t="s">
        <v>81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46057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-17.28</v>
      </c>
    </row>
    <row r="940" spans="1:16" ht="19.5" customHeight="1">
      <c r="A940" s="172" t="s">
        <v>1612</v>
      </c>
      <c r="B940" s="176">
        <v>46059</v>
      </c>
      <c r="C940" s="172" t="s">
        <v>92</v>
      </c>
      <c r="D940" s="172" t="s">
        <v>24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0.43</v>
      </c>
      <c r="N940" s="177"/>
      <c r="O940" s="177">
        <v>43</v>
      </c>
      <c r="P940" s="180">
        <v>-145.1</v>
      </c>
    </row>
    <row r="941" spans="1:16" ht="19.5" customHeight="1">
      <c r="A941" s="172" t="s">
        <v>1612</v>
      </c>
      <c r="B941" s="176">
        <v>46059</v>
      </c>
      <c r="C941" s="172" t="s">
        <v>100</v>
      </c>
      <c r="D941" s="172" t="s">
        <v>101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685.71</v>
      </c>
    </row>
    <row r="942" spans="1:16" ht="19.5" customHeight="1">
      <c r="A942" s="172" t="s">
        <v>1612</v>
      </c>
      <c r="B942" s="176">
        <v>46059</v>
      </c>
      <c r="C942" s="172" t="s">
        <v>100</v>
      </c>
      <c r="D942" s="172" t="s">
        <v>102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0</v>
      </c>
    </row>
    <row r="943" spans="1:16" ht="19.5" customHeight="1">
      <c r="A943" s="172" t="s">
        <v>1612</v>
      </c>
      <c r="B943" s="176">
        <v>46059</v>
      </c>
      <c r="C943" s="172" t="s">
        <v>100</v>
      </c>
      <c r="D943" s="172" t="s">
        <v>103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1114.29</v>
      </c>
    </row>
    <row r="944" spans="1:16" ht="19.5" customHeight="1">
      <c r="A944" s="172" t="s">
        <v>1612</v>
      </c>
      <c r="B944" s="176">
        <v>46059</v>
      </c>
      <c r="C944" s="172" t="s">
        <v>104</v>
      </c>
      <c r="D944" s="172" t="s">
        <v>105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-774</v>
      </c>
    </row>
    <row r="945" spans="1:16" ht="19.5" customHeight="1">
      <c r="A945" s="172" t="s">
        <v>1612</v>
      </c>
      <c r="B945" s="176">
        <v>46059</v>
      </c>
      <c r="C945" s="172" t="s">
        <v>81</v>
      </c>
      <c r="D945" s="172" t="s">
        <v>95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46054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-11.54</v>
      </c>
    </row>
    <row r="946" spans="1:16" ht="19.5" customHeight="1">
      <c r="A946" s="172" t="s">
        <v>1613</v>
      </c>
      <c r="B946" s="176">
        <v>46059</v>
      </c>
      <c r="C946" s="172" t="s">
        <v>92</v>
      </c>
      <c r="D946" s="172" t="s">
        <v>24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0.43</v>
      </c>
      <c r="N946" s="177"/>
      <c r="O946" s="177">
        <v>41</v>
      </c>
      <c r="P946" s="180">
        <v>-136.29</v>
      </c>
    </row>
    <row r="947" spans="1:16" ht="19.5" customHeight="1">
      <c r="A947" s="172" t="s">
        <v>1613</v>
      </c>
      <c r="B947" s="176">
        <v>46059</v>
      </c>
      <c r="C947" s="172" t="s">
        <v>100</v>
      </c>
      <c r="D947" s="172" t="s">
        <v>101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626.42999999999995</v>
      </c>
    </row>
    <row r="948" spans="1:16" ht="19.5" customHeight="1">
      <c r="A948" s="172" t="s">
        <v>1613</v>
      </c>
      <c r="B948" s="176">
        <v>46059</v>
      </c>
      <c r="C948" s="172" t="s">
        <v>100</v>
      </c>
      <c r="D948" s="172" t="s">
        <v>102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6.26</v>
      </c>
    </row>
    <row r="949" spans="1:16" ht="19.5" customHeight="1">
      <c r="A949" s="172" t="s">
        <v>1613</v>
      </c>
      <c r="B949" s="176">
        <v>46059</v>
      </c>
      <c r="C949" s="172" t="s">
        <v>100</v>
      </c>
      <c r="D949" s="172" t="s">
        <v>103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1167.31</v>
      </c>
    </row>
    <row r="950" spans="1:16" ht="19.5" customHeight="1">
      <c r="A950" s="172" t="s">
        <v>1613</v>
      </c>
      <c r="B950" s="176">
        <v>46059</v>
      </c>
      <c r="C950" s="172" t="s">
        <v>104</v>
      </c>
      <c r="D950" s="172" t="s">
        <v>105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-774</v>
      </c>
    </row>
    <row r="951" spans="1:16" ht="19.5" customHeight="1">
      <c r="A951" s="172" t="s">
        <v>1613</v>
      </c>
      <c r="B951" s="176">
        <v>46059</v>
      </c>
      <c r="C951" s="172" t="s">
        <v>81</v>
      </c>
      <c r="D951" s="172" t="s">
        <v>95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1800</v>
      </c>
      <c r="J951" s="176">
        <v>46055</v>
      </c>
      <c r="K951" s="172" t="s">
        <v>93</v>
      </c>
      <c r="L951" s="172" t="s">
        <v>94</v>
      </c>
      <c r="M951" s="179">
        <v>0.43</v>
      </c>
      <c r="N951" s="177"/>
      <c r="O951" s="177"/>
      <c r="P951" s="180">
        <v>-20.92</v>
      </c>
    </row>
    <row r="952" spans="1:16" ht="19.5" customHeight="1">
      <c r="A952" s="172" t="s">
        <v>1614</v>
      </c>
      <c r="B952" s="176">
        <v>46059</v>
      </c>
      <c r="C952" s="172" t="s">
        <v>354</v>
      </c>
      <c r="D952" s="172" t="s">
        <v>892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-1643.5</v>
      </c>
    </row>
    <row r="953" spans="1:16" ht="19.5" customHeight="1">
      <c r="A953" s="172" t="s">
        <v>1614</v>
      </c>
      <c r="B953" s="176">
        <v>46059</v>
      </c>
      <c r="C953" s="172" t="s">
        <v>354</v>
      </c>
      <c r="D953" s="172" t="s">
        <v>892</v>
      </c>
      <c r="E953" s="172" t="s">
        <v>85</v>
      </c>
      <c r="F953" s="172" t="s">
        <v>85</v>
      </c>
      <c r="G953" s="172" t="s">
        <v>85</v>
      </c>
      <c r="H953" s="177">
        <v>0</v>
      </c>
      <c r="I953" s="178">
        <v>0</v>
      </c>
      <c r="J953" s="176">
        <v>46041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-1634</v>
      </c>
    </row>
    <row r="954" spans="1:16" ht="19.5" customHeight="1">
      <c r="A954" s="172" t="s">
        <v>85</v>
      </c>
      <c r="B954" s="176">
        <v>46059</v>
      </c>
      <c r="C954" s="172" t="s">
        <v>109</v>
      </c>
      <c r="D954" s="172" t="s">
        <v>110</v>
      </c>
      <c r="E954" s="172" t="s">
        <v>85</v>
      </c>
      <c r="F954" s="172" t="s">
        <v>85</v>
      </c>
      <c r="G954" s="172" t="s">
        <v>1615</v>
      </c>
      <c r="H954" s="177">
        <v>0</v>
      </c>
      <c r="I954" s="178">
        <v>0</v>
      </c>
      <c r="J954" s="176">
        <v>46059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-150</v>
      </c>
    </row>
    <row r="955" spans="1:16" ht="19.5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46054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-4.32</v>
      </c>
    </row>
    <row r="956" spans="1:16" ht="19.5" customHeight="1">
      <c r="A956" s="172" t="s">
        <v>1616</v>
      </c>
      <c r="B956" s="176">
        <v>46059</v>
      </c>
      <c r="C956" s="172" t="s">
        <v>81</v>
      </c>
      <c r="D956" s="172" t="s">
        <v>82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0</v>
      </c>
      <c r="J956" s="176">
        <v>46059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-14.82</v>
      </c>
    </row>
    <row r="957" spans="1:16" ht="19.5" customHeight="1">
      <c r="A957" s="172" t="s">
        <v>1617</v>
      </c>
      <c r="B957" s="176">
        <v>46059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0.43</v>
      </c>
      <c r="N957" s="177"/>
      <c r="O957" s="177">
        <v>44</v>
      </c>
      <c r="P957" s="180">
        <v>-149.51</v>
      </c>
    </row>
    <row r="958" spans="1:16" ht="19.5" customHeight="1">
      <c r="A958" s="172" t="s">
        <v>1617</v>
      </c>
      <c r="B958" s="176">
        <v>46059</v>
      </c>
      <c r="C958" s="172" t="s">
        <v>100</v>
      </c>
      <c r="D958" s="172" t="s">
        <v>101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630.48</v>
      </c>
    </row>
    <row r="959" spans="1:16" ht="19.5" customHeight="1">
      <c r="A959" s="172" t="s">
        <v>1617</v>
      </c>
      <c r="B959" s="176">
        <v>46059</v>
      </c>
      <c r="C959" s="172" t="s">
        <v>100</v>
      </c>
      <c r="D959" s="172" t="s">
        <v>102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6.3</v>
      </c>
    </row>
    <row r="960" spans="1:16" ht="19.5" customHeight="1">
      <c r="A960" s="172" t="s">
        <v>1617</v>
      </c>
      <c r="B960" s="176">
        <v>46059</v>
      </c>
      <c r="C960" s="172" t="s">
        <v>100</v>
      </c>
      <c r="D960" s="172" t="s">
        <v>103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1163.22</v>
      </c>
    </row>
    <row r="961" spans="1:16" ht="19.5" customHeight="1">
      <c r="A961" s="172" t="s">
        <v>1617</v>
      </c>
      <c r="B961" s="176">
        <v>46059</v>
      </c>
      <c r="C961" s="172" t="s">
        <v>104</v>
      </c>
      <c r="D961" s="172" t="s">
        <v>105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1800</v>
      </c>
      <c r="J961" s="176">
        <v>46052</v>
      </c>
      <c r="K961" s="172" t="s">
        <v>93</v>
      </c>
      <c r="L961" s="172" t="s">
        <v>94</v>
      </c>
      <c r="M961" s="179">
        <v>0.43</v>
      </c>
      <c r="N961" s="177"/>
      <c r="O961" s="177"/>
      <c r="P961" s="180">
        <v>-774</v>
      </c>
    </row>
    <row r="962" spans="1:16" ht="19.5" customHeight="1">
      <c r="A962" s="172" t="s">
        <v>1618</v>
      </c>
      <c r="B962" s="176">
        <v>46059</v>
      </c>
      <c r="C962" s="172" t="s">
        <v>81</v>
      </c>
      <c r="D962" s="172" t="s">
        <v>82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46059</v>
      </c>
      <c r="K962" s="172" t="s">
        <v>85</v>
      </c>
      <c r="L962" s="172" t="s">
        <v>85</v>
      </c>
      <c r="M962" s="179">
        <v>0</v>
      </c>
      <c r="N962" s="177"/>
      <c r="O962" s="177"/>
      <c r="P962" s="180">
        <v>-14.96</v>
      </c>
    </row>
    <row r="963" spans="1:16" ht="19.5" customHeight="1">
      <c r="A963" s="172" t="s">
        <v>1619</v>
      </c>
      <c r="B963" s="176">
        <v>46059</v>
      </c>
      <c r="C963" s="172" t="s">
        <v>92</v>
      </c>
      <c r="D963" s="172" t="s">
        <v>24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>
        <v>44</v>
      </c>
      <c r="P963" s="180">
        <v>-56</v>
      </c>
    </row>
    <row r="964" spans="1:16" ht="19.5" customHeight="1">
      <c r="A964" s="172" t="s">
        <v>1619</v>
      </c>
      <c r="B964" s="176">
        <v>46059</v>
      </c>
      <c r="C964" s="172" t="s">
        <v>81</v>
      </c>
      <c r="D964" s="172" t="s">
        <v>95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-18.09</v>
      </c>
    </row>
    <row r="965" spans="1:16" ht="19.5" customHeight="1">
      <c r="A965" s="172" t="s">
        <v>1619</v>
      </c>
      <c r="B965" s="176">
        <v>46059</v>
      </c>
      <c r="C965" s="172" t="s">
        <v>92</v>
      </c>
      <c r="D965" s="172" t="s">
        <v>96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customHeight="1">
      <c r="A966" s="172" t="s">
        <v>1619</v>
      </c>
      <c r="B966" s="176">
        <v>46059</v>
      </c>
      <c r="C966" s="172" t="s">
        <v>92</v>
      </c>
      <c r="D966" s="172" t="s">
        <v>97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-56</v>
      </c>
    </row>
    <row r="967" spans="1:16" ht="19.5" customHeight="1">
      <c r="A967" s="172" t="s">
        <v>1619</v>
      </c>
      <c r="B967" s="176">
        <v>46059</v>
      </c>
      <c r="C967" s="172" t="s">
        <v>81</v>
      </c>
      <c r="D967" s="172" t="s">
        <v>98</v>
      </c>
      <c r="E967" s="172" t="s">
        <v>53</v>
      </c>
      <c r="F967" s="172" t="s">
        <v>120</v>
      </c>
      <c r="G967" s="172" t="s">
        <v>84</v>
      </c>
      <c r="H967" s="177">
        <v>1</v>
      </c>
      <c r="I967" s="178">
        <v>0</v>
      </c>
      <c r="J967" s="176">
        <v>46048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-15</v>
      </c>
    </row>
    <row r="968" spans="1:16" ht="19.5" customHeight="1">
      <c r="A968" s="172" t="s">
        <v>1620</v>
      </c>
      <c r="B968" s="176">
        <v>46059</v>
      </c>
      <c r="C968" s="172" t="s">
        <v>81</v>
      </c>
      <c r="D968" s="172" t="s">
        <v>82</v>
      </c>
      <c r="E968" s="172" t="s">
        <v>56</v>
      </c>
      <c r="F968" s="172" t="s">
        <v>1215</v>
      </c>
      <c r="G968" s="172" t="s">
        <v>84</v>
      </c>
      <c r="H968" s="177">
        <v>1</v>
      </c>
      <c r="I968" s="178">
        <v>0</v>
      </c>
      <c r="J968" s="176">
        <v>46059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-13.78</v>
      </c>
    </row>
    <row r="969" spans="1:16" ht="19.5" customHeight="1">
      <c r="A969" s="172" t="s">
        <v>1621</v>
      </c>
      <c r="B969" s="176">
        <v>46059</v>
      </c>
      <c r="C969" s="172" t="s">
        <v>92</v>
      </c>
      <c r="D969" s="172" t="s">
        <v>24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0.43</v>
      </c>
      <c r="N969" s="177"/>
      <c r="O969" s="177">
        <v>41</v>
      </c>
      <c r="P969" s="180">
        <v>-145.74</v>
      </c>
    </row>
    <row r="970" spans="1:16" ht="19.5" customHeight="1">
      <c r="A970" s="172" t="s">
        <v>1621</v>
      </c>
      <c r="B970" s="176">
        <v>46059</v>
      </c>
      <c r="C970" s="172" t="s">
        <v>100</v>
      </c>
      <c r="D970" s="172" t="s">
        <v>101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795.24</v>
      </c>
    </row>
    <row r="971" spans="1:16" ht="19.5" customHeight="1">
      <c r="A971" s="172" t="s">
        <v>1621</v>
      </c>
      <c r="B971" s="176">
        <v>46059</v>
      </c>
      <c r="C971" s="172" t="s">
        <v>100</v>
      </c>
      <c r="D971" s="172" t="s">
        <v>102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7.95</v>
      </c>
    </row>
    <row r="972" spans="1:16" ht="19.5" customHeight="1">
      <c r="A972" s="172" t="s">
        <v>1621</v>
      </c>
      <c r="B972" s="176">
        <v>46059</v>
      </c>
      <c r="C972" s="172" t="s">
        <v>100</v>
      </c>
      <c r="D972" s="172" t="s">
        <v>103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1346.81</v>
      </c>
    </row>
    <row r="973" spans="1:16" ht="19.5" customHeight="1">
      <c r="A973" s="172" t="s">
        <v>1621</v>
      </c>
      <c r="B973" s="176">
        <v>46059</v>
      </c>
      <c r="C973" s="172" t="s">
        <v>104</v>
      </c>
      <c r="D973" s="172" t="s">
        <v>105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2150</v>
      </c>
      <c r="J973" s="176">
        <v>46055</v>
      </c>
      <c r="K973" s="172" t="s">
        <v>93</v>
      </c>
      <c r="L973" s="172" t="s">
        <v>94</v>
      </c>
      <c r="M973" s="179">
        <v>0.43</v>
      </c>
      <c r="N973" s="177"/>
      <c r="O973" s="177"/>
      <c r="P973" s="180">
        <v>-924.5</v>
      </c>
    </row>
    <row r="974" spans="1:16" ht="19.5" customHeight="1">
      <c r="A974" s="172" t="s">
        <v>1622</v>
      </c>
      <c r="B974" s="176">
        <v>46059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-131.37</v>
      </c>
    </row>
    <row r="975" spans="1:16" ht="19.5" customHeight="1">
      <c r="A975" s="172" t="s">
        <v>1622</v>
      </c>
      <c r="B975" s="176">
        <v>46059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608.37</v>
      </c>
    </row>
    <row r="976" spans="1:16" ht="19.5" customHeight="1">
      <c r="A976" s="172" t="s">
        <v>1622</v>
      </c>
      <c r="B976" s="176">
        <v>46059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6.08</v>
      </c>
    </row>
    <row r="977" spans="1:16" ht="19.5" customHeight="1">
      <c r="A977" s="172" t="s">
        <v>1622</v>
      </c>
      <c r="B977" s="176">
        <v>46059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1135.55</v>
      </c>
    </row>
    <row r="978" spans="1:16" ht="19.5" customHeight="1">
      <c r="A978" s="172" t="s">
        <v>1622</v>
      </c>
      <c r="B978" s="176">
        <v>46059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-752.5</v>
      </c>
    </row>
    <row r="979" spans="1:16" ht="19.5" customHeight="1">
      <c r="A979" s="172" t="s">
        <v>1622</v>
      </c>
      <c r="B979" s="176">
        <v>46059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1750</v>
      </c>
      <c r="J979" s="176">
        <v>46053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-12.83</v>
      </c>
    </row>
    <row r="980" spans="1:16" ht="19.5" customHeight="1">
      <c r="A980" s="172" t="s">
        <v>1623</v>
      </c>
      <c r="B980" s="176">
        <v>46059</v>
      </c>
      <c r="C980" s="172" t="s">
        <v>92</v>
      </c>
      <c r="D980" s="172" t="s">
        <v>24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0.43</v>
      </c>
      <c r="N980" s="177"/>
      <c r="O980" s="177">
        <v>41</v>
      </c>
      <c r="P980" s="180">
        <v>-119.28</v>
      </c>
    </row>
    <row r="981" spans="1:16" ht="19.5" customHeight="1">
      <c r="A981" s="172" t="s">
        <v>1623</v>
      </c>
      <c r="B981" s="176">
        <v>46059</v>
      </c>
      <c r="C981" s="172" t="s">
        <v>100</v>
      </c>
      <c r="D981" s="172" t="s">
        <v>101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945.77</v>
      </c>
    </row>
    <row r="982" spans="1:16" ht="19.5" customHeight="1">
      <c r="A982" s="172" t="s">
        <v>1623</v>
      </c>
      <c r="B982" s="176">
        <v>46059</v>
      </c>
      <c r="C982" s="172" t="s">
        <v>100</v>
      </c>
      <c r="D982" s="172" t="s">
        <v>102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9.4600000000000009</v>
      </c>
    </row>
    <row r="983" spans="1:16" ht="19.5" customHeight="1">
      <c r="A983" s="172" t="s">
        <v>1623</v>
      </c>
      <c r="B983" s="176">
        <v>46059</v>
      </c>
      <c r="C983" s="172" t="s">
        <v>100</v>
      </c>
      <c r="D983" s="172" t="s">
        <v>103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794.77</v>
      </c>
    </row>
    <row r="984" spans="1:16" ht="19.5" customHeight="1">
      <c r="A984" s="172" t="s">
        <v>1623</v>
      </c>
      <c r="B984" s="176">
        <v>46059</v>
      </c>
      <c r="C984" s="172" t="s">
        <v>104</v>
      </c>
      <c r="D984" s="172" t="s">
        <v>105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-752.5</v>
      </c>
    </row>
    <row r="985" spans="1:16" ht="19.5" customHeight="1">
      <c r="A985" s="172" t="s">
        <v>1623</v>
      </c>
      <c r="B985" s="176">
        <v>46059</v>
      </c>
      <c r="C985" s="172" t="s">
        <v>81</v>
      </c>
      <c r="D985" s="172" t="s">
        <v>95</v>
      </c>
      <c r="E985" s="172" t="s">
        <v>40</v>
      </c>
      <c r="F985" s="172" t="s">
        <v>197</v>
      </c>
      <c r="G985" s="172" t="s">
        <v>84</v>
      </c>
      <c r="H985" s="177">
        <v>1</v>
      </c>
      <c r="I985" s="178">
        <v>1750</v>
      </c>
      <c r="J985" s="176">
        <v>46055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-21.51</v>
      </c>
    </row>
    <row r="986" spans="1:16" ht="19.5" customHeight="1">
      <c r="A986" s="172" t="s">
        <v>1624</v>
      </c>
      <c r="B986" s="176">
        <v>46059</v>
      </c>
      <c r="C986" s="172" t="s">
        <v>81</v>
      </c>
      <c r="D986" s="172" t="s">
        <v>82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0</v>
      </c>
      <c r="J986" s="176">
        <v>46059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-14.22</v>
      </c>
    </row>
    <row r="987" spans="1:16" ht="19.5" customHeight="1">
      <c r="A987" s="172" t="s">
        <v>1622</v>
      </c>
      <c r="B987" s="176">
        <v>46059</v>
      </c>
      <c r="C987" s="172" t="s">
        <v>81</v>
      </c>
      <c r="D987" s="172" t="s">
        <v>82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0</v>
      </c>
      <c r="J987" s="176">
        <v>46053</v>
      </c>
      <c r="K987" s="172" t="s">
        <v>85</v>
      </c>
      <c r="L987" s="172" t="s">
        <v>85</v>
      </c>
      <c r="M987" s="179">
        <v>0</v>
      </c>
      <c r="N987" s="177"/>
      <c r="O987" s="177"/>
      <c r="P987" s="180">
        <v>-11.56</v>
      </c>
    </row>
    <row r="988" spans="1:16" ht="19.5" customHeight="1">
      <c r="A988" s="172" t="s">
        <v>1323</v>
      </c>
      <c r="B988" s="176">
        <v>46059</v>
      </c>
      <c r="C988" s="172" t="s">
        <v>92</v>
      </c>
      <c r="D988" s="172" t="s">
        <v>272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customHeight="1">
      <c r="A989" s="172" t="s">
        <v>1323</v>
      </c>
      <c r="B989" s="176">
        <v>46059</v>
      </c>
      <c r="C989" s="172" t="s">
        <v>92</v>
      </c>
      <c r="D989" s="172" t="s">
        <v>97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-99.64</v>
      </c>
    </row>
    <row r="990" spans="1:16" ht="19.5" customHeight="1">
      <c r="A990" s="172" t="s">
        <v>1323</v>
      </c>
      <c r="B990" s="176">
        <v>46059</v>
      </c>
      <c r="C990" s="172" t="s">
        <v>81</v>
      </c>
      <c r="D990" s="172" t="s">
        <v>98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0</v>
      </c>
      <c r="J990" s="176">
        <v>46048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-15</v>
      </c>
    </row>
    <row r="991" spans="1:16" ht="19.5" customHeight="1">
      <c r="A991" s="172" t="s">
        <v>1625</v>
      </c>
      <c r="B991" s="176">
        <v>46059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0.43</v>
      </c>
      <c r="N991" s="177"/>
      <c r="O991" s="177">
        <v>43</v>
      </c>
      <c r="P991" s="180">
        <v>-124.33</v>
      </c>
    </row>
    <row r="992" spans="1:16" ht="19.5" customHeight="1">
      <c r="A992" s="172" t="s">
        <v>1625</v>
      </c>
      <c r="B992" s="176">
        <v>46059</v>
      </c>
      <c r="C992" s="172" t="s">
        <v>100</v>
      </c>
      <c r="D992" s="172" t="s">
        <v>101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932</v>
      </c>
    </row>
    <row r="993" spans="1:16" ht="19.5" customHeight="1">
      <c r="A993" s="172" t="s">
        <v>1625</v>
      </c>
      <c r="B993" s="176">
        <v>46059</v>
      </c>
      <c r="C993" s="172" t="s">
        <v>100</v>
      </c>
      <c r="D993" s="172" t="s">
        <v>102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0</v>
      </c>
    </row>
    <row r="994" spans="1:16" ht="19.5" customHeight="1">
      <c r="A994" s="172" t="s">
        <v>1625</v>
      </c>
      <c r="B994" s="176">
        <v>46059</v>
      </c>
      <c r="C994" s="172" t="s">
        <v>100</v>
      </c>
      <c r="D994" s="172" t="s">
        <v>103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718</v>
      </c>
    </row>
    <row r="995" spans="1:16" ht="19.5" customHeight="1">
      <c r="A995" s="172" t="s">
        <v>1625</v>
      </c>
      <c r="B995" s="176">
        <v>46059</v>
      </c>
      <c r="C995" s="172" t="s">
        <v>104</v>
      </c>
      <c r="D995" s="172" t="s">
        <v>105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46029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-709.5</v>
      </c>
    </row>
    <row r="996" spans="1:16" ht="19.5" customHeight="1">
      <c r="A996" s="172" t="s">
        <v>1626</v>
      </c>
      <c r="B996" s="176">
        <v>46059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0.43</v>
      </c>
      <c r="N996" s="177"/>
      <c r="O996" s="177">
        <v>39</v>
      </c>
      <c r="P996" s="180">
        <v>-135.87</v>
      </c>
    </row>
    <row r="997" spans="1:16" ht="19.5" customHeight="1">
      <c r="A997" s="172" t="s">
        <v>1626</v>
      </c>
      <c r="B997" s="176">
        <v>46059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908.75</v>
      </c>
    </row>
    <row r="998" spans="1:16" ht="19.5" customHeight="1">
      <c r="A998" s="172" t="s">
        <v>1626</v>
      </c>
      <c r="B998" s="176">
        <v>46059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9.09</v>
      </c>
    </row>
    <row r="999" spans="1:16" ht="19.5" customHeight="1">
      <c r="A999" s="172" t="s">
        <v>1626</v>
      </c>
      <c r="B999" s="176">
        <v>46059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1232.1600000000001</v>
      </c>
    </row>
    <row r="1000" spans="1:16" ht="19.5" customHeight="1">
      <c r="A1000" s="172" t="s">
        <v>1626</v>
      </c>
      <c r="B1000" s="176">
        <v>46059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-924.5</v>
      </c>
    </row>
    <row r="1001" spans="1:16" ht="19.5" customHeight="1">
      <c r="A1001" s="172" t="s">
        <v>1626</v>
      </c>
      <c r="B1001" s="176">
        <v>46059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2150</v>
      </c>
      <c r="J1001" s="176">
        <v>46058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-12.13</v>
      </c>
    </row>
    <row r="1002" spans="1:16" ht="19.5" customHeight="1">
      <c r="A1002" s="172" t="s">
        <v>1626</v>
      </c>
      <c r="B1002" s="176">
        <v>46059</v>
      </c>
      <c r="C1002" s="172" t="s">
        <v>81</v>
      </c>
      <c r="D1002" s="172" t="s">
        <v>82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0</v>
      </c>
      <c r="J1002" s="176">
        <v>46058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-17.27</v>
      </c>
    </row>
    <row r="1003" spans="1:16" ht="19.5" customHeight="1">
      <c r="A1003" s="172" t="s">
        <v>1627</v>
      </c>
      <c r="B1003" s="176">
        <v>46059</v>
      </c>
      <c r="C1003" s="172" t="s">
        <v>92</v>
      </c>
      <c r="D1003" s="172" t="s">
        <v>24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0.43</v>
      </c>
      <c r="N1003" s="177"/>
      <c r="O1003" s="177">
        <v>44</v>
      </c>
      <c r="P1003" s="180">
        <v>-147.97999999999999</v>
      </c>
    </row>
    <row r="1004" spans="1:16" ht="19.5" customHeight="1">
      <c r="A1004" s="172" t="s">
        <v>1627</v>
      </c>
      <c r="B1004" s="176">
        <v>46059</v>
      </c>
      <c r="C1004" s="172" t="s">
        <v>100</v>
      </c>
      <c r="D1004" s="172" t="s">
        <v>101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627.62</v>
      </c>
    </row>
    <row r="1005" spans="1:16" ht="19.5" customHeight="1">
      <c r="A1005" s="172" t="s">
        <v>1627</v>
      </c>
      <c r="B1005" s="176">
        <v>46059</v>
      </c>
      <c r="C1005" s="172" t="s">
        <v>100</v>
      </c>
      <c r="D1005" s="172" t="s">
        <v>102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6.28</v>
      </c>
    </row>
    <row r="1006" spans="1:16" ht="19.5" customHeight="1">
      <c r="A1006" s="172" t="s">
        <v>1627</v>
      </c>
      <c r="B1006" s="176">
        <v>46059</v>
      </c>
      <c r="C1006" s="172" t="s">
        <v>100</v>
      </c>
      <c r="D1006" s="172" t="s">
        <v>103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1166.0999999999999</v>
      </c>
    </row>
    <row r="1007" spans="1:16" ht="19.5" customHeight="1">
      <c r="A1007" s="172" t="s">
        <v>1627</v>
      </c>
      <c r="B1007" s="176">
        <v>46059</v>
      </c>
      <c r="C1007" s="172" t="s">
        <v>104</v>
      </c>
      <c r="D1007" s="172" t="s">
        <v>105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-774</v>
      </c>
    </row>
    <row r="1008" spans="1:16" ht="19.5" customHeight="1">
      <c r="A1008" s="172" t="s">
        <v>1627</v>
      </c>
      <c r="B1008" s="176">
        <v>46059</v>
      </c>
      <c r="C1008" s="172" t="s">
        <v>81</v>
      </c>
      <c r="D1008" s="172" t="s">
        <v>95</v>
      </c>
      <c r="E1008" s="172" t="s">
        <v>52</v>
      </c>
      <c r="F1008" s="172" t="s">
        <v>90</v>
      </c>
      <c r="G1008" s="172" t="s">
        <v>84</v>
      </c>
      <c r="H1008" s="177">
        <v>1</v>
      </c>
      <c r="I1008" s="178">
        <v>1800</v>
      </c>
      <c r="J1008" s="176">
        <v>46053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-24.98</v>
      </c>
    </row>
    <row r="1009" spans="1:16" ht="19.5" customHeight="1">
      <c r="A1009" s="172" t="s">
        <v>1628</v>
      </c>
      <c r="B1009" s="176">
        <v>46059</v>
      </c>
      <c r="C1009" s="172" t="s">
        <v>92</v>
      </c>
      <c r="D1009" s="172" t="s">
        <v>24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0.43</v>
      </c>
      <c r="N1009" s="177"/>
      <c r="O1009" s="177">
        <v>43</v>
      </c>
      <c r="P1009" s="180">
        <v>-145.46</v>
      </c>
    </row>
    <row r="1010" spans="1:16" ht="19.5" customHeight="1">
      <c r="A1010" s="172" t="s">
        <v>1628</v>
      </c>
      <c r="B1010" s="176">
        <v>46059</v>
      </c>
      <c r="C1010" s="172" t="s">
        <v>100</v>
      </c>
      <c r="D1010" s="172" t="s">
        <v>101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690.48</v>
      </c>
    </row>
    <row r="1011" spans="1:16" ht="19.5" customHeight="1">
      <c r="A1011" s="172" t="s">
        <v>1628</v>
      </c>
      <c r="B1011" s="176">
        <v>46059</v>
      </c>
      <c r="C1011" s="172" t="s">
        <v>100</v>
      </c>
      <c r="D1011" s="172" t="s">
        <v>102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0</v>
      </c>
    </row>
    <row r="1012" spans="1:16" ht="19.5" customHeight="1">
      <c r="A1012" s="172" t="s">
        <v>1628</v>
      </c>
      <c r="B1012" s="176">
        <v>46059</v>
      </c>
      <c r="C1012" s="172" t="s">
        <v>100</v>
      </c>
      <c r="D1012" s="172" t="s">
        <v>103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1121.52</v>
      </c>
    </row>
    <row r="1013" spans="1:16" ht="19.5" customHeight="1">
      <c r="A1013" s="172" t="s">
        <v>1628</v>
      </c>
      <c r="B1013" s="176">
        <v>46059</v>
      </c>
      <c r="C1013" s="172" t="s">
        <v>104</v>
      </c>
      <c r="D1013" s="172" t="s">
        <v>105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-779.16</v>
      </c>
    </row>
    <row r="1014" spans="1:16" ht="19.5" customHeight="1">
      <c r="A1014" s="172" t="s">
        <v>1628</v>
      </c>
      <c r="B1014" s="176">
        <v>46059</v>
      </c>
      <c r="C1014" s="172" t="s">
        <v>81</v>
      </c>
      <c r="D1014" s="172" t="s">
        <v>95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1812</v>
      </c>
      <c r="J1014" s="176">
        <v>46054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-9.76</v>
      </c>
    </row>
    <row r="1015" spans="1:16" ht="19.5" customHeight="1">
      <c r="A1015" s="172" t="s">
        <v>1629</v>
      </c>
      <c r="B1015" s="176">
        <v>46059</v>
      </c>
      <c r="C1015" s="172" t="s">
        <v>92</v>
      </c>
      <c r="D1015" s="172" t="s">
        <v>24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0.43</v>
      </c>
      <c r="N1015" s="177"/>
      <c r="O1015" s="177">
        <v>44</v>
      </c>
      <c r="P1015" s="180">
        <v>-131.37</v>
      </c>
    </row>
    <row r="1016" spans="1:16" ht="19.5" customHeight="1">
      <c r="A1016" s="172" t="s">
        <v>1629</v>
      </c>
      <c r="B1016" s="176">
        <v>46059</v>
      </c>
      <c r="C1016" s="172" t="s">
        <v>100</v>
      </c>
      <c r="D1016" s="172" t="s">
        <v>101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809.89</v>
      </c>
    </row>
    <row r="1017" spans="1:16" ht="19.5" customHeight="1">
      <c r="A1017" s="172" t="s">
        <v>1629</v>
      </c>
      <c r="B1017" s="176">
        <v>46059</v>
      </c>
      <c r="C1017" s="172" t="s">
        <v>100</v>
      </c>
      <c r="D1017" s="172" t="s">
        <v>102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0</v>
      </c>
    </row>
    <row r="1018" spans="1:16" ht="19.5" customHeight="1">
      <c r="A1018" s="172" t="s">
        <v>1629</v>
      </c>
      <c r="B1018" s="176">
        <v>46059</v>
      </c>
      <c r="C1018" s="172" t="s">
        <v>100</v>
      </c>
      <c r="D1018" s="172" t="s">
        <v>103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940.11</v>
      </c>
    </row>
    <row r="1019" spans="1:16" ht="19.5" customHeight="1">
      <c r="A1019" s="172" t="s">
        <v>1629</v>
      </c>
      <c r="B1019" s="176">
        <v>46059</v>
      </c>
      <c r="C1019" s="172" t="s">
        <v>104</v>
      </c>
      <c r="D1019" s="172" t="s">
        <v>105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-752.5</v>
      </c>
    </row>
    <row r="1020" spans="1:16" ht="19.5" customHeight="1">
      <c r="A1020" s="172" t="s">
        <v>1629</v>
      </c>
      <c r="B1020" s="176">
        <v>46059</v>
      </c>
      <c r="C1020" s="172" t="s">
        <v>81</v>
      </c>
      <c r="D1020" s="172" t="s">
        <v>95</v>
      </c>
      <c r="E1020" s="172" t="s">
        <v>41</v>
      </c>
      <c r="F1020" s="172" t="s">
        <v>83</v>
      </c>
      <c r="G1020" s="172" t="s">
        <v>84</v>
      </c>
      <c r="H1020" s="177">
        <v>1</v>
      </c>
      <c r="I1020" s="178">
        <v>1750</v>
      </c>
      <c r="J1020" s="176">
        <v>46052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-11.23</v>
      </c>
    </row>
    <row r="1021" spans="1:16" ht="19.5" customHeight="1">
      <c r="A1021" s="172" t="s">
        <v>1630</v>
      </c>
      <c r="B1021" s="176">
        <v>46059</v>
      </c>
      <c r="C1021" s="172" t="s">
        <v>92</v>
      </c>
      <c r="D1021" s="172" t="s">
        <v>24</v>
      </c>
      <c r="E1021" s="172" t="s">
        <v>57</v>
      </c>
      <c r="F1021" s="172" t="s">
        <v>1265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>
        <v>44</v>
      </c>
      <c r="P1021" s="180">
        <v>-56.94</v>
      </c>
    </row>
    <row r="1022" spans="1:16" ht="19.5" customHeight="1">
      <c r="A1022" s="172" t="s">
        <v>1630</v>
      </c>
      <c r="B1022" s="176">
        <v>46059</v>
      </c>
      <c r="C1022" s="172" t="s">
        <v>81</v>
      </c>
      <c r="D1022" s="172" t="s">
        <v>95</v>
      </c>
      <c r="E1022" s="172" t="s">
        <v>57</v>
      </c>
      <c r="F1022" s="172" t="s">
        <v>1265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-11.46</v>
      </c>
    </row>
    <row r="1023" spans="1:16" ht="19.5" customHeight="1">
      <c r="A1023" s="172" t="s">
        <v>1630</v>
      </c>
      <c r="B1023" s="176">
        <v>46059</v>
      </c>
      <c r="C1023" s="172" t="s">
        <v>92</v>
      </c>
      <c r="D1023" s="172" t="s">
        <v>96</v>
      </c>
      <c r="E1023" s="172" t="s">
        <v>57</v>
      </c>
      <c r="F1023" s="172" t="s">
        <v>1265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0</v>
      </c>
    </row>
    <row r="1024" spans="1:16" ht="19.5" customHeight="1">
      <c r="A1024" s="172" t="s">
        <v>1630</v>
      </c>
      <c r="B1024" s="176">
        <v>46059</v>
      </c>
      <c r="C1024" s="172" t="s">
        <v>92</v>
      </c>
      <c r="D1024" s="172" t="s">
        <v>97</v>
      </c>
      <c r="E1024" s="172" t="s">
        <v>57</v>
      </c>
      <c r="F1024" s="172" t="s">
        <v>1265</v>
      </c>
      <c r="G1024" s="172" t="s">
        <v>84</v>
      </c>
      <c r="H1024" s="177">
        <v>1</v>
      </c>
      <c r="I1024" s="178">
        <v>0</v>
      </c>
      <c r="J1024" s="176">
        <v>46053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-56.94</v>
      </c>
    </row>
    <row r="1025" spans="1:16" ht="19.5" customHeight="1">
      <c r="A1025" s="172" t="s">
        <v>1631</v>
      </c>
      <c r="B1025" s="176">
        <v>46059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0.43</v>
      </c>
      <c r="N1025" s="177"/>
      <c r="O1025" s="177">
        <v>41</v>
      </c>
      <c r="P1025" s="180">
        <v>-145.74</v>
      </c>
    </row>
    <row r="1026" spans="1:16" ht="19.5" customHeight="1">
      <c r="A1026" s="172" t="s">
        <v>1631</v>
      </c>
      <c r="B1026" s="176">
        <v>46059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910.48</v>
      </c>
    </row>
    <row r="1027" spans="1:16" ht="19.5" customHeight="1">
      <c r="A1027" s="172" t="s">
        <v>1631</v>
      </c>
      <c r="B1027" s="176">
        <v>46059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9.1</v>
      </c>
    </row>
    <row r="1028" spans="1:16" ht="19.5" customHeight="1">
      <c r="A1028" s="172" t="s">
        <v>1631</v>
      </c>
      <c r="B1028" s="176">
        <v>46059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1230.42</v>
      </c>
    </row>
    <row r="1029" spans="1:16" ht="19.5" customHeight="1">
      <c r="A1029" s="172" t="s">
        <v>1631</v>
      </c>
      <c r="B1029" s="176">
        <v>46059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-924.5</v>
      </c>
    </row>
    <row r="1030" spans="1:16" ht="19.5" customHeight="1">
      <c r="A1030" s="172" t="s">
        <v>1631</v>
      </c>
      <c r="B1030" s="176">
        <v>46059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2150</v>
      </c>
      <c r="J1030" s="176">
        <v>46056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-12.6</v>
      </c>
    </row>
    <row r="1031" spans="1:16" ht="19.5" customHeight="1">
      <c r="A1031" s="172" t="s">
        <v>1611</v>
      </c>
      <c r="B1031" s="176">
        <v>46059</v>
      </c>
      <c r="C1031" s="172" t="s">
        <v>166</v>
      </c>
      <c r="D1031" s="172" t="s">
        <v>167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-909.61</v>
      </c>
    </row>
    <row r="1032" spans="1:16" ht="19.5" customHeight="1">
      <c r="A1032" s="172" t="s">
        <v>1611</v>
      </c>
      <c r="B1032" s="176">
        <v>46059</v>
      </c>
      <c r="C1032" s="172" t="s">
        <v>166</v>
      </c>
      <c r="D1032" s="172" t="s">
        <v>102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-9.1</v>
      </c>
    </row>
    <row r="1033" spans="1:16" ht="19.5" customHeight="1">
      <c r="A1033" s="172" t="s">
        <v>1611</v>
      </c>
      <c r="B1033" s="176">
        <v>46059</v>
      </c>
      <c r="C1033" s="172" t="s">
        <v>166</v>
      </c>
      <c r="D1033" s="172" t="s">
        <v>103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-1231.29</v>
      </c>
    </row>
    <row r="1034" spans="1:16" ht="19.5" customHeight="1">
      <c r="A1034" s="172" t="s">
        <v>1611</v>
      </c>
      <c r="B1034" s="176">
        <v>46059</v>
      </c>
      <c r="C1034" s="172" t="s">
        <v>104</v>
      </c>
      <c r="D1034" s="172" t="s">
        <v>168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-2150</v>
      </c>
      <c r="J1034" s="176">
        <v>46057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924.5</v>
      </c>
    </row>
    <row r="1035" spans="1:16" ht="19.5" customHeight="1">
      <c r="A1035" s="172" t="s">
        <v>1632</v>
      </c>
      <c r="B1035" s="176">
        <v>46059</v>
      </c>
      <c r="C1035" s="172" t="s">
        <v>92</v>
      </c>
      <c r="D1035" s="172" t="s">
        <v>24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0.43</v>
      </c>
      <c r="N1035" s="177"/>
      <c r="O1035" s="177">
        <v>41</v>
      </c>
      <c r="P1035" s="180">
        <v>-136.29</v>
      </c>
    </row>
    <row r="1036" spans="1:16" ht="19.5" customHeight="1">
      <c r="A1036" s="172" t="s">
        <v>1632</v>
      </c>
      <c r="B1036" s="176">
        <v>46059</v>
      </c>
      <c r="C1036" s="172" t="s">
        <v>100</v>
      </c>
      <c r="D1036" s="172" t="s">
        <v>101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623.46</v>
      </c>
    </row>
    <row r="1037" spans="1:16" ht="19.5" customHeight="1">
      <c r="A1037" s="172" t="s">
        <v>1632</v>
      </c>
      <c r="B1037" s="176">
        <v>46059</v>
      </c>
      <c r="C1037" s="172" t="s">
        <v>100</v>
      </c>
      <c r="D1037" s="172" t="s">
        <v>102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6.23</v>
      </c>
    </row>
    <row r="1038" spans="1:16" ht="19.5" customHeight="1">
      <c r="A1038" s="172" t="s">
        <v>1632</v>
      </c>
      <c r="B1038" s="176">
        <v>46059</v>
      </c>
      <c r="C1038" s="172" t="s">
        <v>100</v>
      </c>
      <c r="D1038" s="172" t="s">
        <v>103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1170.31</v>
      </c>
    </row>
    <row r="1039" spans="1:16" ht="19.5" customHeight="1">
      <c r="A1039" s="172" t="s">
        <v>1632</v>
      </c>
      <c r="B1039" s="176">
        <v>46059</v>
      </c>
      <c r="C1039" s="172" t="s">
        <v>104</v>
      </c>
      <c r="D1039" s="172" t="s">
        <v>105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-774</v>
      </c>
    </row>
    <row r="1040" spans="1:16" ht="19.5" customHeight="1">
      <c r="A1040" s="172" t="s">
        <v>1632</v>
      </c>
      <c r="B1040" s="176">
        <v>46059</v>
      </c>
      <c r="C1040" s="172" t="s">
        <v>81</v>
      </c>
      <c r="D1040" s="172" t="s">
        <v>95</v>
      </c>
      <c r="E1040" s="172" t="s">
        <v>52</v>
      </c>
      <c r="F1040" s="172" t="s">
        <v>90</v>
      </c>
      <c r="G1040" s="172" t="s">
        <v>84</v>
      </c>
      <c r="H1040" s="177">
        <v>1</v>
      </c>
      <c r="I1040" s="178">
        <v>1800</v>
      </c>
      <c r="J1040" s="176">
        <v>46055</v>
      </c>
      <c r="K1040" s="172" t="s">
        <v>93</v>
      </c>
      <c r="L1040" s="172" t="s">
        <v>94</v>
      </c>
      <c r="M1040" s="179">
        <v>0.43</v>
      </c>
      <c r="N1040" s="177"/>
      <c r="O1040" s="177"/>
      <c r="P1040" s="180">
        <v>-11.01</v>
      </c>
    </row>
    <row r="1041" spans="1:16" ht="19.5" customHeight="1">
      <c r="A1041" s="172" t="s">
        <v>1631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46056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-17.3</v>
      </c>
    </row>
    <row r="1042" spans="1:16" ht="19.5" customHeight="1">
      <c r="A1042" s="172" t="s">
        <v>1611</v>
      </c>
      <c r="B1042" s="176">
        <v>46059</v>
      </c>
      <c r="C1042" s="172" t="s">
        <v>81</v>
      </c>
      <c r="D1042" s="172" t="s">
        <v>82</v>
      </c>
      <c r="E1042" s="172" t="s">
        <v>53</v>
      </c>
      <c r="F1042" s="172" t="s">
        <v>120</v>
      </c>
      <c r="G1042" s="172" t="s">
        <v>84</v>
      </c>
      <c r="H1042" s="177">
        <v>1</v>
      </c>
      <c r="I1042" s="178">
        <v>0</v>
      </c>
      <c r="J1042" s="176">
        <v>46057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17.28</v>
      </c>
    </row>
    <row r="1043" spans="1:16" ht="19.5" customHeight="1">
      <c r="A1043" s="172" t="s">
        <v>1632</v>
      </c>
      <c r="B1043" s="176">
        <v>46059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46055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-11.85</v>
      </c>
    </row>
    <row r="1044" spans="1:16" ht="19.5" customHeight="1">
      <c r="A1044" s="172" t="s">
        <v>1633</v>
      </c>
      <c r="B1044" s="176">
        <v>46059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-133.33000000000001</v>
      </c>
    </row>
    <row r="1045" spans="1:16" ht="19.5" customHeight="1">
      <c r="A1045" s="172" t="s">
        <v>1633</v>
      </c>
      <c r="B1045" s="176">
        <v>46059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735.24</v>
      </c>
    </row>
    <row r="1046" spans="1:16" ht="19.5" customHeight="1">
      <c r="A1046" s="172" t="s">
        <v>1633</v>
      </c>
      <c r="B1046" s="176">
        <v>46059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7.35</v>
      </c>
    </row>
    <row r="1047" spans="1:16" ht="19.5" customHeight="1">
      <c r="A1047" s="172" t="s">
        <v>1633</v>
      </c>
      <c r="B1047" s="176">
        <v>46059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1301.4100000000001</v>
      </c>
    </row>
    <row r="1048" spans="1:16" ht="19.5" customHeight="1">
      <c r="A1048" s="172" t="s">
        <v>1633</v>
      </c>
      <c r="B1048" s="176">
        <v>46059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-878.92</v>
      </c>
    </row>
    <row r="1049" spans="1:16" ht="19.5" customHeight="1">
      <c r="A1049" s="172" t="s">
        <v>1633</v>
      </c>
      <c r="B1049" s="176">
        <v>46059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2044</v>
      </c>
      <c r="J1049" s="176">
        <v>46058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-14.59</v>
      </c>
    </row>
    <row r="1050" spans="1:16" ht="19.5" customHeight="1">
      <c r="A1050" s="172" t="s">
        <v>1634</v>
      </c>
      <c r="B1050" s="176">
        <v>46059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0.43</v>
      </c>
      <c r="N1050" s="177"/>
      <c r="O1050" s="177">
        <v>40</v>
      </c>
      <c r="P1050" s="180">
        <v>-125.45</v>
      </c>
    </row>
    <row r="1051" spans="1:16" ht="19.5" customHeight="1">
      <c r="A1051" s="172" t="s">
        <v>1634</v>
      </c>
      <c r="B1051" s="176">
        <v>46059</v>
      </c>
      <c r="C1051" s="172" t="s">
        <v>100</v>
      </c>
      <c r="D1051" s="172" t="s">
        <v>101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818.44</v>
      </c>
    </row>
    <row r="1052" spans="1:16" ht="19.5" customHeight="1">
      <c r="A1052" s="172" t="s">
        <v>1634</v>
      </c>
      <c r="B1052" s="176">
        <v>46059</v>
      </c>
      <c r="C1052" s="172" t="s">
        <v>100</v>
      </c>
      <c r="D1052" s="172" t="s">
        <v>102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8.18</v>
      </c>
    </row>
    <row r="1053" spans="1:16" ht="19.5" customHeight="1">
      <c r="A1053" s="172" t="s">
        <v>1634</v>
      </c>
      <c r="B1053" s="176">
        <v>46059</v>
      </c>
      <c r="C1053" s="172" t="s">
        <v>100</v>
      </c>
      <c r="D1053" s="172" t="s">
        <v>103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1323.38</v>
      </c>
    </row>
    <row r="1054" spans="1:16" ht="19.5" customHeight="1">
      <c r="A1054" s="172" t="s">
        <v>1634</v>
      </c>
      <c r="B1054" s="176">
        <v>46059</v>
      </c>
      <c r="C1054" s="172" t="s">
        <v>104</v>
      </c>
      <c r="D1054" s="172" t="s">
        <v>105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-924.5</v>
      </c>
    </row>
    <row r="1055" spans="1:16" ht="19.5" customHeight="1">
      <c r="A1055" s="172" t="s">
        <v>1634</v>
      </c>
      <c r="B1055" s="176">
        <v>46059</v>
      </c>
      <c r="C1055" s="172" t="s">
        <v>81</v>
      </c>
      <c r="D1055" s="172" t="s">
        <v>95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2150</v>
      </c>
      <c r="J1055" s="176">
        <v>46057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-10.68</v>
      </c>
    </row>
    <row r="1056" spans="1:16" ht="19.5" customHeight="1">
      <c r="A1056" s="172" t="s">
        <v>1635</v>
      </c>
      <c r="B1056" s="176">
        <v>46059</v>
      </c>
      <c r="C1056" s="172" t="s">
        <v>92</v>
      </c>
      <c r="D1056" s="172" t="s">
        <v>24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0.43</v>
      </c>
      <c r="N1056" s="177"/>
      <c r="O1056" s="177">
        <v>44</v>
      </c>
      <c r="P1056" s="180">
        <v>-149.51</v>
      </c>
    </row>
    <row r="1057" spans="1:16" ht="19.5" customHeight="1">
      <c r="A1057" s="172" t="s">
        <v>1635</v>
      </c>
      <c r="B1057" s="176">
        <v>46059</v>
      </c>
      <c r="C1057" s="172" t="s">
        <v>100</v>
      </c>
      <c r="D1057" s="172" t="s">
        <v>101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635.24</v>
      </c>
    </row>
    <row r="1058" spans="1:16" ht="19.5" customHeight="1">
      <c r="A1058" s="172" t="s">
        <v>1635</v>
      </c>
      <c r="B1058" s="176">
        <v>46059</v>
      </c>
      <c r="C1058" s="172" t="s">
        <v>100</v>
      </c>
      <c r="D1058" s="172" t="s">
        <v>102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6.35</v>
      </c>
    </row>
    <row r="1059" spans="1:16" ht="19.5" customHeight="1">
      <c r="A1059" s="172" t="s">
        <v>1635</v>
      </c>
      <c r="B1059" s="176">
        <v>46059</v>
      </c>
      <c r="C1059" s="172" t="s">
        <v>100</v>
      </c>
      <c r="D1059" s="172" t="s">
        <v>103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1158.4100000000001</v>
      </c>
    </row>
    <row r="1060" spans="1:16" ht="19.5" customHeight="1">
      <c r="A1060" s="172" t="s">
        <v>1635</v>
      </c>
      <c r="B1060" s="176">
        <v>46059</v>
      </c>
      <c r="C1060" s="172" t="s">
        <v>104</v>
      </c>
      <c r="D1060" s="172" t="s">
        <v>105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-774</v>
      </c>
    </row>
    <row r="1061" spans="1:16" ht="19.5" customHeight="1">
      <c r="A1061" s="172" t="s">
        <v>1635</v>
      </c>
      <c r="B1061" s="176">
        <v>46059</v>
      </c>
      <c r="C1061" s="172" t="s">
        <v>81</v>
      </c>
      <c r="D1061" s="172" t="s">
        <v>95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1800</v>
      </c>
      <c r="J1061" s="176">
        <v>46051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-10.41</v>
      </c>
    </row>
    <row r="1062" spans="1:16" ht="19.5" customHeight="1">
      <c r="A1062" s="172" t="s">
        <v>1583</v>
      </c>
      <c r="B1062" s="176">
        <v>46059</v>
      </c>
      <c r="C1062" s="172" t="s">
        <v>166</v>
      </c>
      <c r="D1062" s="172" t="s">
        <v>167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-846.74</v>
      </c>
    </row>
    <row r="1063" spans="1:16" ht="19.5" customHeight="1">
      <c r="A1063" s="172" t="s">
        <v>1583</v>
      </c>
      <c r="B1063" s="176">
        <v>46059</v>
      </c>
      <c r="C1063" s="172" t="s">
        <v>166</v>
      </c>
      <c r="D1063" s="172" t="s">
        <v>102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1583</v>
      </c>
      <c r="B1064" s="176">
        <v>46059</v>
      </c>
      <c r="C1064" s="172" t="s">
        <v>166</v>
      </c>
      <c r="D1064" s="172" t="s">
        <v>103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-1294.79</v>
      </c>
    </row>
    <row r="1065" spans="1:16" ht="19.5" customHeight="1">
      <c r="A1065" s="172" t="s">
        <v>1583</v>
      </c>
      <c r="B1065" s="176">
        <v>46059</v>
      </c>
      <c r="C1065" s="172" t="s">
        <v>104</v>
      </c>
      <c r="D1065" s="172" t="s">
        <v>168</v>
      </c>
      <c r="E1065" s="172" t="s">
        <v>42</v>
      </c>
      <c r="F1065" s="172" t="s">
        <v>89</v>
      </c>
      <c r="G1065" s="172" t="s">
        <v>84</v>
      </c>
      <c r="H1065" s="177">
        <v>1</v>
      </c>
      <c r="I1065" s="178">
        <v>-2150</v>
      </c>
      <c r="J1065" s="176">
        <v>46057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924.5</v>
      </c>
    </row>
    <row r="1066" spans="1:16" ht="19.5" customHeight="1">
      <c r="A1066" s="172" t="s">
        <v>1636</v>
      </c>
      <c r="B1066" s="176">
        <v>46059</v>
      </c>
      <c r="C1066" s="172" t="s">
        <v>81</v>
      </c>
      <c r="D1066" s="172" t="s">
        <v>82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46059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-5.16</v>
      </c>
    </row>
    <row r="1067" spans="1:16" ht="19.5" customHeight="1">
      <c r="A1067" s="172" t="s">
        <v>1531</v>
      </c>
      <c r="B1067" s="176">
        <v>46059</v>
      </c>
      <c r="C1067" s="172" t="s">
        <v>81</v>
      </c>
      <c r="D1067" s="172" t="s">
        <v>82</v>
      </c>
      <c r="E1067" s="172" t="s">
        <v>42</v>
      </c>
      <c r="F1067" s="172" t="s">
        <v>89</v>
      </c>
      <c r="G1067" s="172" t="s">
        <v>84</v>
      </c>
      <c r="H1067" s="177">
        <v>1</v>
      </c>
      <c r="I1067" s="178">
        <v>0</v>
      </c>
      <c r="J1067" s="176">
        <v>46057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16.09</v>
      </c>
    </row>
    <row r="1068" spans="1:16" ht="19.5" customHeight="1">
      <c r="A1068" s="172" t="s">
        <v>1635</v>
      </c>
      <c r="B1068" s="176">
        <v>46059</v>
      </c>
      <c r="C1068" s="172" t="s">
        <v>81</v>
      </c>
      <c r="D1068" s="172" t="s">
        <v>82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0</v>
      </c>
      <c r="J1068" s="176">
        <v>46051</v>
      </c>
      <c r="K1068" s="172" t="s">
        <v>85</v>
      </c>
      <c r="L1068" s="172" t="s">
        <v>85</v>
      </c>
      <c r="M1068" s="179">
        <v>0</v>
      </c>
      <c r="N1068" s="177"/>
      <c r="O1068" s="177"/>
      <c r="P1068" s="180">
        <v>-12.07</v>
      </c>
    </row>
    <row r="1069" spans="1:16" ht="19.5" customHeight="1">
      <c r="A1069" s="172" t="s">
        <v>1637</v>
      </c>
      <c r="B1069" s="176">
        <v>46059</v>
      </c>
      <c r="C1069" s="172" t="s">
        <v>92</v>
      </c>
      <c r="D1069" s="172" t="s">
        <v>24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0.43</v>
      </c>
      <c r="N1069" s="177"/>
      <c r="O1069" s="177">
        <v>40</v>
      </c>
      <c r="P1069" s="180">
        <v>-122.67</v>
      </c>
    </row>
    <row r="1070" spans="1:16" ht="19.5" customHeight="1">
      <c r="A1070" s="172" t="s">
        <v>1637</v>
      </c>
      <c r="B1070" s="176">
        <v>46059</v>
      </c>
      <c r="C1070" s="172" t="s">
        <v>100</v>
      </c>
      <c r="D1070" s="172" t="s">
        <v>101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757.14</v>
      </c>
    </row>
    <row r="1071" spans="1:16" ht="19.5" customHeight="1">
      <c r="A1071" s="172" t="s">
        <v>1637</v>
      </c>
      <c r="B1071" s="176">
        <v>46059</v>
      </c>
      <c r="C1071" s="172" t="s">
        <v>100</v>
      </c>
      <c r="D1071" s="172" t="s">
        <v>102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7.57</v>
      </c>
    </row>
    <row r="1072" spans="1:16" ht="19.5" customHeight="1">
      <c r="A1072" s="172" t="s">
        <v>1637</v>
      </c>
      <c r="B1072" s="176">
        <v>46059</v>
      </c>
      <c r="C1072" s="172" t="s">
        <v>100</v>
      </c>
      <c r="D1072" s="172" t="s">
        <v>103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1276.29</v>
      </c>
    </row>
    <row r="1073" spans="1:16" ht="19.5" customHeight="1">
      <c r="A1073" s="172" t="s">
        <v>1637</v>
      </c>
      <c r="B1073" s="176">
        <v>46059</v>
      </c>
      <c r="C1073" s="172" t="s">
        <v>104</v>
      </c>
      <c r="D1073" s="172" t="s">
        <v>105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-877.63</v>
      </c>
    </row>
    <row r="1074" spans="1:16" ht="19.5" customHeight="1">
      <c r="A1074" s="172" t="s">
        <v>1637</v>
      </c>
      <c r="B1074" s="176">
        <v>46059</v>
      </c>
      <c r="C1074" s="172" t="s">
        <v>81</v>
      </c>
      <c r="D1074" s="172" t="s">
        <v>95</v>
      </c>
      <c r="E1074" s="172" t="s">
        <v>42</v>
      </c>
      <c r="F1074" s="172" t="s">
        <v>89</v>
      </c>
      <c r="G1074" s="172" t="s">
        <v>84</v>
      </c>
      <c r="H1074" s="177">
        <v>1</v>
      </c>
      <c r="I1074" s="178">
        <v>2041</v>
      </c>
      <c r="J1074" s="176">
        <v>46057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-12.59</v>
      </c>
    </row>
    <row r="1075" spans="1:16" ht="19.5" customHeight="1">
      <c r="A1075" s="172" t="s">
        <v>1638</v>
      </c>
      <c r="B1075" s="176">
        <v>46059</v>
      </c>
      <c r="C1075" s="172" t="s">
        <v>92</v>
      </c>
      <c r="D1075" s="172" t="s">
        <v>24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0.43</v>
      </c>
      <c r="N1075" s="177"/>
      <c r="O1075" s="177">
        <v>41</v>
      </c>
      <c r="P1075" s="180">
        <v>-136.61000000000001</v>
      </c>
    </row>
    <row r="1076" spans="1:16" ht="19.5" customHeight="1">
      <c r="A1076" s="172" t="s">
        <v>1638</v>
      </c>
      <c r="B1076" s="176">
        <v>46059</v>
      </c>
      <c r="C1076" s="172" t="s">
        <v>100</v>
      </c>
      <c r="D1076" s="172" t="s">
        <v>101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631.42999999999995</v>
      </c>
    </row>
    <row r="1077" spans="1:16" ht="19.5" customHeight="1">
      <c r="A1077" s="172" t="s">
        <v>1638</v>
      </c>
      <c r="B1077" s="176">
        <v>46059</v>
      </c>
      <c r="C1077" s="172" t="s">
        <v>100</v>
      </c>
      <c r="D1077" s="172" t="s">
        <v>102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6.31</v>
      </c>
    </row>
    <row r="1078" spans="1:16" ht="19.5" customHeight="1">
      <c r="A1078" s="172" t="s">
        <v>1638</v>
      </c>
      <c r="B1078" s="176">
        <v>46059</v>
      </c>
      <c r="C1078" s="172" t="s">
        <v>100</v>
      </c>
      <c r="D1078" s="172" t="s">
        <v>103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1174.26</v>
      </c>
    </row>
    <row r="1079" spans="1:16" ht="19.5" customHeight="1">
      <c r="A1079" s="172" t="s">
        <v>1638</v>
      </c>
      <c r="B1079" s="176">
        <v>46059</v>
      </c>
      <c r="C1079" s="172" t="s">
        <v>104</v>
      </c>
      <c r="D1079" s="172" t="s">
        <v>105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-779.16</v>
      </c>
    </row>
    <row r="1080" spans="1:16" ht="19.5" customHeight="1">
      <c r="A1080" s="172" t="s">
        <v>1638</v>
      </c>
      <c r="B1080" s="176">
        <v>46059</v>
      </c>
      <c r="C1080" s="172" t="s">
        <v>81</v>
      </c>
      <c r="D1080" s="172" t="s">
        <v>95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1812</v>
      </c>
      <c r="J1080" s="176">
        <v>46055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-11.55</v>
      </c>
    </row>
    <row r="1081" spans="1:16" ht="19.5" customHeight="1">
      <c r="A1081" s="172" t="s">
        <v>1637</v>
      </c>
      <c r="B1081" s="176">
        <v>46059</v>
      </c>
      <c r="C1081" s="172" t="s">
        <v>81</v>
      </c>
      <c r="D1081" s="172" t="s">
        <v>82</v>
      </c>
      <c r="E1081" s="172" t="s">
        <v>42</v>
      </c>
      <c r="F1081" s="172" t="s">
        <v>89</v>
      </c>
      <c r="G1081" s="172" t="s">
        <v>84</v>
      </c>
      <c r="H1081" s="177">
        <v>1</v>
      </c>
      <c r="I1081" s="178">
        <v>0</v>
      </c>
      <c r="J1081" s="176">
        <v>46057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-14.39</v>
      </c>
    </row>
    <row r="1082" spans="1:16" ht="19.5" customHeight="1">
      <c r="A1082" s="172" t="s">
        <v>1639</v>
      </c>
      <c r="B1082" s="176">
        <v>46059</v>
      </c>
      <c r="C1082" s="172" t="s">
        <v>92</v>
      </c>
      <c r="D1082" s="172" t="s">
        <v>24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-145.74</v>
      </c>
    </row>
    <row r="1083" spans="1:16" ht="19.5" customHeight="1">
      <c r="A1083" s="172" t="s">
        <v>1639</v>
      </c>
      <c r="B1083" s="176">
        <v>46059</v>
      </c>
      <c r="C1083" s="172" t="s">
        <v>100</v>
      </c>
      <c r="D1083" s="172" t="s">
        <v>101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748.57</v>
      </c>
    </row>
    <row r="1084" spans="1:16" ht="19.5" customHeight="1">
      <c r="A1084" s="172" t="s">
        <v>1639</v>
      </c>
      <c r="B1084" s="176">
        <v>46059</v>
      </c>
      <c r="C1084" s="172" t="s">
        <v>100</v>
      </c>
      <c r="D1084" s="172" t="s">
        <v>102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7.49</v>
      </c>
    </row>
    <row r="1085" spans="1:16" ht="19.5" customHeight="1">
      <c r="A1085" s="172" t="s">
        <v>1639</v>
      </c>
      <c r="B1085" s="176">
        <v>46059</v>
      </c>
      <c r="C1085" s="172" t="s">
        <v>100</v>
      </c>
      <c r="D1085" s="172" t="s">
        <v>103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1393.94</v>
      </c>
    </row>
    <row r="1086" spans="1:16" ht="19.5" customHeight="1">
      <c r="A1086" s="172" t="s">
        <v>1639</v>
      </c>
      <c r="B1086" s="176">
        <v>46059</v>
      </c>
      <c r="C1086" s="172" t="s">
        <v>104</v>
      </c>
      <c r="D1086" s="172" t="s">
        <v>105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-924.5</v>
      </c>
    </row>
    <row r="1087" spans="1:16" ht="19.5" customHeight="1">
      <c r="A1087" s="172" t="s">
        <v>1639</v>
      </c>
      <c r="B1087" s="176">
        <v>46059</v>
      </c>
      <c r="C1087" s="172" t="s">
        <v>81</v>
      </c>
      <c r="D1087" s="172" t="s">
        <v>95</v>
      </c>
      <c r="E1087" s="172" t="s">
        <v>52</v>
      </c>
      <c r="F1087" s="172" t="s">
        <v>90</v>
      </c>
      <c r="G1087" s="172" t="s">
        <v>84</v>
      </c>
      <c r="H1087" s="177">
        <v>1</v>
      </c>
      <c r="I1087" s="178">
        <v>2150</v>
      </c>
      <c r="J1087" s="176">
        <v>46056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-18.989999999999998</v>
      </c>
    </row>
    <row r="1088" spans="1:16" ht="19.5" customHeight="1">
      <c r="A1088" s="172" t="s">
        <v>1638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46055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-12</v>
      </c>
    </row>
    <row r="1089" spans="1:16" ht="19.5" customHeight="1">
      <c r="A1089" s="172" t="s">
        <v>1640</v>
      </c>
      <c r="B1089" s="176">
        <v>46059</v>
      </c>
      <c r="C1089" s="172" t="s">
        <v>81</v>
      </c>
      <c r="D1089" s="172" t="s">
        <v>82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46059</v>
      </c>
      <c r="K1089" s="172" t="s">
        <v>85</v>
      </c>
      <c r="L1089" s="172" t="s">
        <v>85</v>
      </c>
      <c r="M1089" s="179">
        <v>0</v>
      </c>
      <c r="N1089" s="177"/>
      <c r="O1089" s="177"/>
      <c r="P1089" s="180">
        <v>-15.55</v>
      </c>
    </row>
    <row r="1090" spans="1:16" ht="19.5" customHeight="1">
      <c r="A1090" s="172" t="s">
        <v>1641</v>
      </c>
      <c r="B1090" s="176">
        <v>46059</v>
      </c>
      <c r="C1090" s="172" t="s">
        <v>92</v>
      </c>
      <c r="D1090" s="172" t="s">
        <v>24</v>
      </c>
      <c r="E1090" s="172" t="s">
        <v>55</v>
      </c>
      <c r="F1090" s="172" t="s">
        <v>1274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0.43</v>
      </c>
      <c r="N1090" s="177"/>
      <c r="O1090" s="177">
        <v>39</v>
      </c>
      <c r="P1090" s="180">
        <v>-132.27000000000001</v>
      </c>
    </row>
    <row r="1091" spans="1:16" ht="19.5" customHeight="1">
      <c r="A1091" s="172" t="s">
        <v>1641</v>
      </c>
      <c r="B1091" s="176">
        <v>46059</v>
      </c>
      <c r="C1091" s="172" t="s">
        <v>100</v>
      </c>
      <c r="D1091" s="172" t="s">
        <v>101</v>
      </c>
      <c r="E1091" s="172" t="s">
        <v>55</v>
      </c>
      <c r="F1091" s="172" t="s">
        <v>1274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918.1</v>
      </c>
    </row>
    <row r="1092" spans="1:16" ht="19.5" customHeight="1">
      <c r="A1092" s="172" t="s">
        <v>1641</v>
      </c>
      <c r="B1092" s="176">
        <v>46059</v>
      </c>
      <c r="C1092" s="172" t="s">
        <v>100</v>
      </c>
      <c r="D1092" s="172" t="s">
        <v>102</v>
      </c>
      <c r="E1092" s="172" t="s">
        <v>55</v>
      </c>
      <c r="F1092" s="172" t="s">
        <v>1274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9.18</v>
      </c>
    </row>
    <row r="1093" spans="1:16" ht="19.5" customHeight="1">
      <c r="A1093" s="172" t="s">
        <v>1641</v>
      </c>
      <c r="B1093" s="176">
        <v>46059</v>
      </c>
      <c r="C1093" s="172" t="s">
        <v>100</v>
      </c>
      <c r="D1093" s="172" t="s">
        <v>103</v>
      </c>
      <c r="E1093" s="172" t="s">
        <v>55</v>
      </c>
      <c r="F1093" s="172" t="s">
        <v>1274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1072.72</v>
      </c>
    </row>
    <row r="1094" spans="1:16" ht="19.5" customHeight="1">
      <c r="A1094" s="172" t="s">
        <v>1641</v>
      </c>
      <c r="B1094" s="176">
        <v>46059</v>
      </c>
      <c r="C1094" s="172" t="s">
        <v>104</v>
      </c>
      <c r="D1094" s="172" t="s">
        <v>105</v>
      </c>
      <c r="E1094" s="172" t="s">
        <v>55</v>
      </c>
      <c r="F1094" s="172" t="s">
        <v>1274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-860</v>
      </c>
    </row>
    <row r="1095" spans="1:16" ht="19.5" customHeight="1">
      <c r="A1095" s="172" t="s">
        <v>1641</v>
      </c>
      <c r="B1095" s="176">
        <v>46059</v>
      </c>
      <c r="C1095" s="172" t="s">
        <v>81</v>
      </c>
      <c r="D1095" s="172" t="s">
        <v>95</v>
      </c>
      <c r="E1095" s="172" t="s">
        <v>55</v>
      </c>
      <c r="F1095" s="172" t="s">
        <v>1274</v>
      </c>
      <c r="G1095" s="172" t="s">
        <v>84</v>
      </c>
      <c r="H1095" s="177">
        <v>1</v>
      </c>
      <c r="I1095" s="178">
        <v>2000</v>
      </c>
      <c r="J1095" s="176">
        <v>46058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-12.35</v>
      </c>
    </row>
    <row r="1096" spans="1:16" ht="19.5" customHeight="1">
      <c r="A1096" s="172" t="s">
        <v>1242</v>
      </c>
      <c r="B1096" s="176">
        <v>46059</v>
      </c>
      <c r="C1096" s="172" t="s">
        <v>166</v>
      </c>
      <c r="D1096" s="172" t="s">
        <v>167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-706.27</v>
      </c>
    </row>
    <row r="1097" spans="1:16" ht="19.5" customHeight="1">
      <c r="A1097" s="172" t="s">
        <v>1242</v>
      </c>
      <c r="B1097" s="176">
        <v>46059</v>
      </c>
      <c r="C1097" s="172" t="s">
        <v>166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-7.06</v>
      </c>
    </row>
    <row r="1098" spans="1:16" ht="19.5" customHeight="1">
      <c r="A1098" s="172" t="s">
        <v>1242</v>
      </c>
      <c r="B1098" s="176">
        <v>46059</v>
      </c>
      <c r="C1098" s="172" t="s">
        <v>166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-1098.67</v>
      </c>
    </row>
    <row r="1099" spans="1:16" ht="19.5" customHeight="1">
      <c r="A1099" s="172" t="s">
        <v>1242</v>
      </c>
      <c r="B1099" s="176">
        <v>46059</v>
      </c>
      <c r="C1099" s="172" t="s">
        <v>104</v>
      </c>
      <c r="D1099" s="172" t="s">
        <v>168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-1812</v>
      </c>
      <c r="J1099" s="176">
        <v>46048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779.16</v>
      </c>
    </row>
    <row r="1100" spans="1:16" ht="19.5" customHeight="1">
      <c r="A1100" s="172" t="s">
        <v>1642</v>
      </c>
      <c r="B1100" s="176">
        <v>46059</v>
      </c>
      <c r="C1100" s="172" t="s">
        <v>92</v>
      </c>
      <c r="D1100" s="172" t="s">
        <v>24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0.43</v>
      </c>
      <c r="N1100" s="177"/>
      <c r="O1100" s="177">
        <v>41</v>
      </c>
      <c r="P1100" s="180">
        <v>-145.74</v>
      </c>
    </row>
    <row r="1101" spans="1:16" ht="19.5" customHeight="1">
      <c r="A1101" s="172" t="s">
        <v>1642</v>
      </c>
      <c r="B1101" s="176">
        <v>46059</v>
      </c>
      <c r="C1101" s="172" t="s">
        <v>100</v>
      </c>
      <c r="D1101" s="172" t="s">
        <v>101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844.91</v>
      </c>
    </row>
    <row r="1102" spans="1:16" ht="19.5" customHeight="1">
      <c r="A1102" s="172" t="s">
        <v>1642</v>
      </c>
      <c r="B1102" s="176">
        <v>46059</v>
      </c>
      <c r="C1102" s="172" t="s">
        <v>100</v>
      </c>
      <c r="D1102" s="172" t="s">
        <v>102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8.4499999999999993</v>
      </c>
    </row>
    <row r="1103" spans="1:16" ht="19.5" customHeight="1">
      <c r="A1103" s="172" t="s">
        <v>1642</v>
      </c>
      <c r="B1103" s="176">
        <v>46059</v>
      </c>
      <c r="C1103" s="172" t="s">
        <v>100</v>
      </c>
      <c r="D1103" s="172" t="s">
        <v>103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1296.6400000000001</v>
      </c>
    </row>
    <row r="1104" spans="1:16" ht="19.5" customHeight="1">
      <c r="A1104" s="172" t="s">
        <v>1642</v>
      </c>
      <c r="B1104" s="176">
        <v>46059</v>
      </c>
      <c r="C1104" s="172" t="s">
        <v>104</v>
      </c>
      <c r="D1104" s="172" t="s">
        <v>105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-924.5</v>
      </c>
    </row>
    <row r="1105" spans="1:16" ht="19.5" customHeight="1">
      <c r="A1105" s="172" t="s">
        <v>1642</v>
      </c>
      <c r="B1105" s="176">
        <v>46059</v>
      </c>
      <c r="C1105" s="172" t="s">
        <v>81</v>
      </c>
      <c r="D1105" s="172" t="s">
        <v>95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2150</v>
      </c>
      <c r="J1105" s="176">
        <v>46056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-13.34</v>
      </c>
    </row>
    <row r="1106" spans="1:16" ht="19.5" customHeight="1">
      <c r="A1106" s="172" t="s">
        <v>1242</v>
      </c>
      <c r="B1106" s="176">
        <v>46059</v>
      </c>
      <c r="C1106" s="172" t="s">
        <v>81</v>
      </c>
      <c r="D1106" s="172" t="s">
        <v>82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0</v>
      </c>
      <c r="J1106" s="176">
        <v>46048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13.42</v>
      </c>
    </row>
    <row r="1107" spans="1:16" ht="19.5" customHeight="1">
      <c r="A1107" s="172" t="s">
        <v>1641</v>
      </c>
      <c r="B1107" s="176">
        <v>46059</v>
      </c>
      <c r="C1107" s="172" t="s">
        <v>81</v>
      </c>
      <c r="D1107" s="172" t="s">
        <v>82</v>
      </c>
      <c r="E1107" s="172" t="s">
        <v>55</v>
      </c>
      <c r="F1107" s="172" t="s">
        <v>1274</v>
      </c>
      <c r="G1107" s="172" t="s">
        <v>84</v>
      </c>
      <c r="H1107" s="177">
        <v>1</v>
      </c>
      <c r="I1107" s="178">
        <v>0</v>
      </c>
      <c r="J1107" s="176">
        <v>46058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-17.440000000000001</v>
      </c>
    </row>
    <row r="1108" spans="1:16" ht="19.5" customHeight="1">
      <c r="A1108" s="172" t="s">
        <v>1643</v>
      </c>
      <c r="B1108" s="176">
        <v>46059</v>
      </c>
      <c r="C1108" s="172" t="s">
        <v>81</v>
      </c>
      <c r="D1108" s="172" t="s">
        <v>82</v>
      </c>
      <c r="E1108" s="172" t="s">
        <v>53</v>
      </c>
      <c r="F1108" s="172" t="s">
        <v>120</v>
      </c>
      <c r="G1108" s="172" t="s">
        <v>84</v>
      </c>
      <c r="H1108" s="177">
        <v>1</v>
      </c>
      <c r="I1108" s="178">
        <v>0</v>
      </c>
      <c r="J1108" s="176">
        <v>46059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-7.81</v>
      </c>
    </row>
    <row r="1109" spans="1:16" ht="19.5" customHeight="1">
      <c r="A1109" s="172" t="s">
        <v>1644</v>
      </c>
      <c r="B1109" s="176">
        <v>46059</v>
      </c>
      <c r="C1109" s="172" t="s">
        <v>92</v>
      </c>
      <c r="D1109" s="172" t="s">
        <v>24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0.43</v>
      </c>
      <c r="N1109" s="177"/>
      <c r="O1109" s="177">
        <v>40</v>
      </c>
      <c r="P1109" s="180">
        <v>-125.45</v>
      </c>
    </row>
    <row r="1110" spans="1:16" ht="19.5" customHeight="1">
      <c r="A1110" s="172" t="s">
        <v>1644</v>
      </c>
      <c r="B1110" s="176">
        <v>46059</v>
      </c>
      <c r="C1110" s="172" t="s">
        <v>100</v>
      </c>
      <c r="D1110" s="172" t="s">
        <v>101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866.67</v>
      </c>
    </row>
    <row r="1111" spans="1:16" ht="19.5" customHeight="1">
      <c r="A1111" s="172" t="s">
        <v>1644</v>
      </c>
      <c r="B1111" s="176">
        <v>46059</v>
      </c>
      <c r="C1111" s="172" t="s">
        <v>100</v>
      </c>
      <c r="D1111" s="172" t="s">
        <v>102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8.67</v>
      </c>
    </row>
    <row r="1112" spans="1:16" ht="19.5" customHeight="1">
      <c r="A1112" s="172" t="s">
        <v>1644</v>
      </c>
      <c r="B1112" s="176">
        <v>46059</v>
      </c>
      <c r="C1112" s="172" t="s">
        <v>100</v>
      </c>
      <c r="D1112" s="172" t="s">
        <v>103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1274.6600000000001</v>
      </c>
    </row>
    <row r="1113" spans="1:16" ht="19.5" customHeight="1">
      <c r="A1113" s="172" t="s">
        <v>1644</v>
      </c>
      <c r="B1113" s="176">
        <v>46059</v>
      </c>
      <c r="C1113" s="172" t="s">
        <v>104</v>
      </c>
      <c r="D1113" s="172" t="s">
        <v>105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-924.5</v>
      </c>
    </row>
    <row r="1114" spans="1:16" ht="19.5" customHeight="1">
      <c r="A1114" s="172" t="s">
        <v>1644</v>
      </c>
      <c r="B1114" s="176">
        <v>46059</v>
      </c>
      <c r="C1114" s="172" t="s">
        <v>81</v>
      </c>
      <c r="D1114" s="172" t="s">
        <v>95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2150</v>
      </c>
      <c r="J1114" s="176">
        <v>46057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-14.11</v>
      </c>
    </row>
    <row r="1115" spans="1:16" ht="19.5" customHeight="1">
      <c r="A1115" s="172" t="s">
        <v>1645</v>
      </c>
      <c r="B1115" s="176">
        <v>46059</v>
      </c>
      <c r="C1115" s="172" t="s">
        <v>92</v>
      </c>
      <c r="D1115" s="172" t="s">
        <v>24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0.43</v>
      </c>
      <c r="N1115" s="177"/>
      <c r="O1115" s="177">
        <v>43</v>
      </c>
      <c r="P1115" s="180">
        <v>-127.33</v>
      </c>
    </row>
    <row r="1116" spans="1:16" ht="19.5" customHeight="1">
      <c r="A1116" s="172" t="s">
        <v>1645</v>
      </c>
      <c r="B1116" s="176">
        <v>46059</v>
      </c>
      <c r="C1116" s="172" t="s">
        <v>100</v>
      </c>
      <c r="D1116" s="172" t="s">
        <v>101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608.94000000000005</v>
      </c>
    </row>
    <row r="1117" spans="1:16" ht="19.5" customHeight="1">
      <c r="A1117" s="172" t="s">
        <v>1645</v>
      </c>
      <c r="B1117" s="176">
        <v>46059</v>
      </c>
      <c r="C1117" s="172" t="s">
        <v>100</v>
      </c>
      <c r="D1117" s="172" t="s">
        <v>102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6.09</v>
      </c>
    </row>
    <row r="1118" spans="1:16" ht="19.5" customHeight="1">
      <c r="A1118" s="172" t="s">
        <v>1645</v>
      </c>
      <c r="B1118" s="176">
        <v>46059</v>
      </c>
      <c r="C1118" s="172" t="s">
        <v>100</v>
      </c>
      <c r="D1118" s="172" t="s">
        <v>103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1134.97</v>
      </c>
    </row>
    <row r="1119" spans="1:16" ht="19.5" customHeight="1">
      <c r="A1119" s="172" t="s">
        <v>1645</v>
      </c>
      <c r="B1119" s="176">
        <v>46059</v>
      </c>
      <c r="C1119" s="172" t="s">
        <v>104</v>
      </c>
      <c r="D1119" s="172" t="s">
        <v>105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-752.5</v>
      </c>
    </row>
    <row r="1120" spans="1:16" ht="19.5" customHeight="1">
      <c r="A1120" s="172" t="s">
        <v>1645</v>
      </c>
      <c r="B1120" s="176">
        <v>46059</v>
      </c>
      <c r="C1120" s="172" t="s">
        <v>81</v>
      </c>
      <c r="D1120" s="172" t="s">
        <v>95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1750</v>
      </c>
      <c r="J1120" s="176">
        <v>46054</v>
      </c>
      <c r="K1120" s="172" t="s">
        <v>93</v>
      </c>
      <c r="L1120" s="172" t="s">
        <v>94</v>
      </c>
      <c r="M1120" s="179">
        <v>0.43</v>
      </c>
      <c r="N1120" s="177"/>
      <c r="O1120" s="177"/>
      <c r="P1120" s="180">
        <v>-10.7</v>
      </c>
    </row>
    <row r="1121" spans="1:16" ht="19.5" customHeight="1">
      <c r="A1121" s="172" t="s">
        <v>1646</v>
      </c>
      <c r="B1121" s="176">
        <v>46059</v>
      </c>
      <c r="C1121" s="172" t="s">
        <v>92</v>
      </c>
      <c r="D1121" s="172" t="s">
        <v>24</v>
      </c>
      <c r="E1121" s="172" t="s">
        <v>58</v>
      </c>
      <c r="F1121" s="172" t="s">
        <v>1302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>
        <v>43</v>
      </c>
      <c r="P1121" s="180">
        <v>-56.94</v>
      </c>
    </row>
    <row r="1122" spans="1:16" ht="19.5" customHeight="1">
      <c r="A1122" s="172" t="s">
        <v>1646</v>
      </c>
      <c r="B1122" s="176">
        <v>46059</v>
      </c>
      <c r="C1122" s="172" t="s">
        <v>92</v>
      </c>
      <c r="D1122" s="172" t="s">
        <v>96</v>
      </c>
      <c r="E1122" s="172" t="s">
        <v>58</v>
      </c>
      <c r="F1122" s="172" t="s">
        <v>1302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customHeight="1">
      <c r="A1123" s="172" t="s">
        <v>1646</v>
      </c>
      <c r="B1123" s="176">
        <v>46059</v>
      </c>
      <c r="C1123" s="172" t="s">
        <v>92</v>
      </c>
      <c r="D1123" s="172" t="s">
        <v>97</v>
      </c>
      <c r="E1123" s="172" t="s">
        <v>58</v>
      </c>
      <c r="F1123" s="172" t="s">
        <v>1302</v>
      </c>
      <c r="G1123" s="172" t="s">
        <v>84</v>
      </c>
      <c r="H1123" s="177">
        <v>1</v>
      </c>
      <c r="I1123" s="178">
        <v>0</v>
      </c>
      <c r="J1123" s="176">
        <v>46054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customHeight="1">
      <c r="A1124" s="172" t="s">
        <v>1647</v>
      </c>
      <c r="B1124" s="176">
        <v>46059</v>
      </c>
      <c r="C1124" s="172" t="s">
        <v>92</v>
      </c>
      <c r="D1124" s="172" t="s">
        <v>24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>
        <v>44</v>
      </c>
      <c r="P1124" s="180">
        <v>-46.77</v>
      </c>
    </row>
    <row r="1125" spans="1:16" ht="19.5" customHeight="1">
      <c r="A1125" s="172" t="s">
        <v>1647</v>
      </c>
      <c r="B1125" s="176">
        <v>46059</v>
      </c>
      <c r="C1125" s="172" t="s">
        <v>81</v>
      </c>
      <c r="D1125" s="172" t="s">
        <v>95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-11.88</v>
      </c>
    </row>
    <row r="1126" spans="1:16" ht="19.5" customHeight="1">
      <c r="A1126" s="172" t="s">
        <v>1647</v>
      </c>
      <c r="B1126" s="176">
        <v>46059</v>
      </c>
      <c r="C1126" s="172" t="s">
        <v>92</v>
      </c>
      <c r="D1126" s="172" t="s">
        <v>96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customHeight="1">
      <c r="A1127" s="172" t="s">
        <v>1647</v>
      </c>
      <c r="B1127" s="176">
        <v>46059</v>
      </c>
      <c r="C1127" s="172" t="s">
        <v>92</v>
      </c>
      <c r="D1127" s="172" t="s">
        <v>97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-46.77</v>
      </c>
    </row>
    <row r="1128" spans="1:16" ht="19.5" customHeight="1">
      <c r="A1128" s="172" t="s">
        <v>1647</v>
      </c>
      <c r="B1128" s="176">
        <v>46059</v>
      </c>
      <c r="C1128" s="172" t="s">
        <v>81</v>
      </c>
      <c r="D1128" s="172" t="s">
        <v>98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46051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customHeight="1">
      <c r="A1129" s="172" t="s">
        <v>1645</v>
      </c>
      <c r="B1129" s="176">
        <v>46059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46054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-11.57</v>
      </c>
    </row>
    <row r="1130" spans="1:16" ht="19.5" customHeight="1">
      <c r="A1130" s="172" t="s">
        <v>1648</v>
      </c>
      <c r="B1130" s="176">
        <v>46059</v>
      </c>
      <c r="C1130" s="172" t="s">
        <v>92</v>
      </c>
      <c r="D1130" s="172" t="s">
        <v>24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0.43</v>
      </c>
      <c r="N1130" s="177"/>
      <c r="O1130" s="177">
        <v>39</v>
      </c>
      <c r="P1130" s="180">
        <v>-120.82</v>
      </c>
    </row>
    <row r="1131" spans="1:16" ht="19.5" customHeight="1">
      <c r="A1131" s="172" t="s">
        <v>1648</v>
      </c>
      <c r="B1131" s="176">
        <v>46059</v>
      </c>
      <c r="C1131" s="172" t="s">
        <v>100</v>
      </c>
      <c r="D1131" s="172" t="s">
        <v>101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927.96</v>
      </c>
    </row>
    <row r="1132" spans="1:16" ht="19.5" customHeight="1">
      <c r="A1132" s="172" t="s">
        <v>1648</v>
      </c>
      <c r="B1132" s="176">
        <v>46059</v>
      </c>
      <c r="C1132" s="172" t="s">
        <v>100</v>
      </c>
      <c r="D1132" s="172" t="s">
        <v>102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0</v>
      </c>
    </row>
    <row r="1133" spans="1:16" ht="19.5" customHeight="1">
      <c r="A1133" s="172" t="s">
        <v>1648</v>
      </c>
      <c r="B1133" s="176">
        <v>46059</v>
      </c>
      <c r="C1133" s="172" t="s">
        <v>100</v>
      </c>
      <c r="D1133" s="172" t="s">
        <v>103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1222.04</v>
      </c>
    </row>
    <row r="1134" spans="1:16" ht="19.5" customHeight="1">
      <c r="A1134" s="172" t="s">
        <v>1648</v>
      </c>
      <c r="B1134" s="176">
        <v>46059</v>
      </c>
      <c r="C1134" s="172" t="s">
        <v>104</v>
      </c>
      <c r="D1134" s="172" t="s">
        <v>105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-924.5</v>
      </c>
    </row>
    <row r="1135" spans="1:16" ht="19.5" customHeight="1">
      <c r="A1135" s="172" t="s">
        <v>1648</v>
      </c>
      <c r="B1135" s="176">
        <v>46059</v>
      </c>
      <c r="C1135" s="172" t="s">
        <v>81</v>
      </c>
      <c r="D1135" s="172" t="s">
        <v>95</v>
      </c>
      <c r="E1135" s="172" t="s">
        <v>43</v>
      </c>
      <c r="F1135" s="172" t="s">
        <v>125</v>
      </c>
      <c r="G1135" s="172" t="s">
        <v>84</v>
      </c>
      <c r="H1135" s="177">
        <v>1</v>
      </c>
      <c r="I1135" s="178">
        <v>2150</v>
      </c>
      <c r="J1135" s="176">
        <v>46058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-11.54</v>
      </c>
    </row>
    <row r="1136" spans="1:16" ht="19.5" customHeight="1">
      <c r="A1136" s="172" t="s">
        <v>1649</v>
      </c>
      <c r="B1136" s="176">
        <v>46059</v>
      </c>
      <c r="C1136" s="172" t="s">
        <v>92</v>
      </c>
      <c r="D1136" s="172" t="s">
        <v>24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0.43</v>
      </c>
      <c r="N1136" s="177"/>
      <c r="O1136" s="177">
        <v>40</v>
      </c>
      <c r="P1136" s="180">
        <v>-140.81</v>
      </c>
    </row>
    <row r="1137" spans="1:16" ht="19.5" customHeight="1">
      <c r="A1137" s="172" t="s">
        <v>1649</v>
      </c>
      <c r="B1137" s="176">
        <v>46059</v>
      </c>
      <c r="C1137" s="172" t="s">
        <v>100</v>
      </c>
      <c r="D1137" s="172" t="s">
        <v>101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875.48</v>
      </c>
    </row>
    <row r="1138" spans="1:16" ht="19.5" customHeight="1">
      <c r="A1138" s="172" t="s">
        <v>1649</v>
      </c>
      <c r="B1138" s="176">
        <v>46059</v>
      </c>
      <c r="C1138" s="172" t="s">
        <v>100</v>
      </c>
      <c r="D1138" s="172" t="s">
        <v>102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8.75</v>
      </c>
    </row>
    <row r="1139" spans="1:16" ht="19.5" customHeight="1">
      <c r="A1139" s="172" t="s">
        <v>1649</v>
      </c>
      <c r="B1139" s="176">
        <v>46059</v>
      </c>
      <c r="C1139" s="172" t="s">
        <v>100</v>
      </c>
      <c r="D1139" s="172" t="s">
        <v>103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1265.77</v>
      </c>
    </row>
    <row r="1140" spans="1:16" ht="19.5" customHeight="1">
      <c r="A1140" s="172" t="s">
        <v>1649</v>
      </c>
      <c r="B1140" s="176">
        <v>46059</v>
      </c>
      <c r="C1140" s="172" t="s">
        <v>104</v>
      </c>
      <c r="D1140" s="172" t="s">
        <v>105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-924.5</v>
      </c>
    </row>
    <row r="1141" spans="1:16" ht="19.5" customHeight="1">
      <c r="A1141" s="172" t="s">
        <v>1649</v>
      </c>
      <c r="B1141" s="176">
        <v>46059</v>
      </c>
      <c r="C1141" s="172" t="s">
        <v>81</v>
      </c>
      <c r="D1141" s="172" t="s">
        <v>95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2150</v>
      </c>
      <c r="J1141" s="176">
        <v>46057</v>
      </c>
      <c r="K1141" s="172" t="s">
        <v>93</v>
      </c>
      <c r="L1141" s="172" t="s">
        <v>94</v>
      </c>
      <c r="M1141" s="179">
        <v>0.43</v>
      </c>
      <c r="N1141" s="177"/>
      <c r="O1141" s="177"/>
      <c r="P1141" s="180">
        <v>-8.9700000000000006</v>
      </c>
    </row>
    <row r="1142" spans="1:16" ht="19.5" customHeight="1">
      <c r="A1142" s="172" t="s">
        <v>1527</v>
      </c>
      <c r="B1142" s="176">
        <v>46059</v>
      </c>
      <c r="C1142" s="172" t="s">
        <v>166</v>
      </c>
      <c r="D1142" s="172" t="s">
        <v>167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-844.11</v>
      </c>
    </row>
    <row r="1143" spans="1:16" ht="19.5" customHeight="1">
      <c r="A1143" s="172" t="s">
        <v>1527</v>
      </c>
      <c r="B1143" s="176">
        <v>46059</v>
      </c>
      <c r="C1143" s="172" t="s">
        <v>166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-8.44</v>
      </c>
    </row>
    <row r="1144" spans="1:16" ht="19.5" customHeight="1">
      <c r="A1144" s="172" t="s">
        <v>1527</v>
      </c>
      <c r="B1144" s="176">
        <v>46059</v>
      </c>
      <c r="C1144" s="172" t="s">
        <v>166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-1297.45</v>
      </c>
    </row>
    <row r="1145" spans="1:16" ht="19.5" customHeight="1">
      <c r="A1145" s="172" t="s">
        <v>1527</v>
      </c>
      <c r="B1145" s="176">
        <v>46059</v>
      </c>
      <c r="C1145" s="172" t="s">
        <v>104</v>
      </c>
      <c r="D1145" s="172" t="s">
        <v>168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customHeight="1">
      <c r="A1146" s="172" t="s">
        <v>1650</v>
      </c>
      <c r="B1146" s="176">
        <v>46059</v>
      </c>
      <c r="C1146" s="172" t="s">
        <v>92</v>
      </c>
      <c r="D1146" s="172" t="s">
        <v>24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0.43</v>
      </c>
      <c r="N1146" s="177"/>
      <c r="O1146" s="177">
        <v>41</v>
      </c>
      <c r="P1146" s="180">
        <v>-136.29</v>
      </c>
    </row>
    <row r="1147" spans="1:16" ht="19.5" customHeight="1">
      <c r="A1147" s="172" t="s">
        <v>1650</v>
      </c>
      <c r="B1147" s="176">
        <v>46059</v>
      </c>
      <c r="C1147" s="172" t="s">
        <v>100</v>
      </c>
      <c r="D1147" s="172" t="s">
        <v>101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327.62</v>
      </c>
    </row>
    <row r="1148" spans="1:16" ht="19.5" customHeight="1">
      <c r="A1148" s="172" t="s">
        <v>1650</v>
      </c>
      <c r="B1148" s="176">
        <v>46059</v>
      </c>
      <c r="C1148" s="172" t="s">
        <v>100</v>
      </c>
      <c r="D1148" s="172" t="s">
        <v>102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3.28</v>
      </c>
    </row>
    <row r="1149" spans="1:16" ht="19.5" customHeight="1">
      <c r="A1149" s="172" t="s">
        <v>1650</v>
      </c>
      <c r="B1149" s="176">
        <v>46059</v>
      </c>
      <c r="C1149" s="172" t="s">
        <v>100</v>
      </c>
      <c r="D1149" s="172" t="s">
        <v>103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1469.1</v>
      </c>
    </row>
    <row r="1150" spans="1:16" ht="19.5" customHeight="1">
      <c r="A1150" s="172" t="s">
        <v>1650</v>
      </c>
      <c r="B1150" s="176">
        <v>46059</v>
      </c>
      <c r="C1150" s="172" t="s">
        <v>104</v>
      </c>
      <c r="D1150" s="172" t="s">
        <v>105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-774</v>
      </c>
    </row>
    <row r="1151" spans="1:16" ht="19.5" customHeight="1">
      <c r="A1151" s="172" t="s">
        <v>1650</v>
      </c>
      <c r="B1151" s="176">
        <v>46059</v>
      </c>
      <c r="C1151" s="172" t="s">
        <v>81</v>
      </c>
      <c r="D1151" s="172" t="s">
        <v>95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1800</v>
      </c>
      <c r="J1151" s="176">
        <v>46055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-10.96</v>
      </c>
    </row>
    <row r="1152" spans="1:16" ht="19.5" customHeight="1">
      <c r="A1152" s="172" t="s">
        <v>1527</v>
      </c>
      <c r="B1152" s="176">
        <v>46059</v>
      </c>
      <c r="C1152" s="172" t="s">
        <v>81</v>
      </c>
      <c r="D1152" s="172" t="s">
        <v>82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0</v>
      </c>
      <c r="J1152" s="176">
        <v>46056</v>
      </c>
      <c r="K1152" s="172" t="s">
        <v>85</v>
      </c>
      <c r="L1152" s="172" t="s">
        <v>85</v>
      </c>
      <c r="M1152" s="179">
        <v>0</v>
      </c>
      <c r="N1152" s="177"/>
      <c r="O1152" s="177"/>
      <c r="P1152" s="180">
        <v>16.04</v>
      </c>
    </row>
    <row r="1153" spans="1:16" ht="19.5" customHeight="1">
      <c r="A1153" s="172" t="s">
        <v>1651</v>
      </c>
      <c r="B1153" s="176">
        <v>46059</v>
      </c>
      <c r="C1153" s="172" t="s">
        <v>92</v>
      </c>
      <c r="D1153" s="172" t="s">
        <v>96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customHeight="1">
      <c r="A1154" s="172" t="s">
        <v>1651</v>
      </c>
      <c r="B1154" s="176">
        <v>46059</v>
      </c>
      <c r="C1154" s="172" t="s">
        <v>92</v>
      </c>
      <c r="D1154" s="172" t="s">
        <v>97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-56.94</v>
      </c>
    </row>
    <row r="1155" spans="1:16" ht="19.5" customHeight="1">
      <c r="A1155" s="172" t="s">
        <v>1651</v>
      </c>
      <c r="B1155" s="176">
        <v>46059</v>
      </c>
      <c r="C1155" s="172" t="s">
        <v>81</v>
      </c>
      <c r="D1155" s="172" t="s">
        <v>98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customHeight="1">
      <c r="A1156" s="172" t="s">
        <v>1651</v>
      </c>
      <c r="B1156" s="176">
        <v>46059</v>
      </c>
      <c r="C1156" s="172" t="s">
        <v>92</v>
      </c>
      <c r="D1156" s="172" t="s">
        <v>24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>
        <v>43</v>
      </c>
      <c r="P1156" s="180">
        <v>-56.94</v>
      </c>
    </row>
    <row r="1157" spans="1:16" ht="19.5" customHeight="1">
      <c r="A1157" s="172" t="s">
        <v>1651</v>
      </c>
      <c r="B1157" s="176">
        <v>46059</v>
      </c>
      <c r="C1157" s="172" t="s">
        <v>81</v>
      </c>
      <c r="D1157" s="172" t="s">
        <v>95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-25</v>
      </c>
    </row>
    <row r="1158" spans="1:16" ht="19.5" customHeight="1">
      <c r="A1158" s="172" t="s">
        <v>1652</v>
      </c>
      <c r="B1158" s="176">
        <v>46059</v>
      </c>
      <c r="C1158" s="172" t="s">
        <v>92</v>
      </c>
      <c r="D1158" s="172" t="s">
        <v>24</v>
      </c>
      <c r="E1158" s="172" t="s">
        <v>55</v>
      </c>
      <c r="F1158" s="172" t="s">
        <v>1274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>
        <v>43</v>
      </c>
      <c r="P1158" s="180">
        <v>-56.94</v>
      </c>
    </row>
    <row r="1159" spans="1:16" ht="19.5" customHeight="1">
      <c r="A1159" s="172" t="s">
        <v>1652</v>
      </c>
      <c r="B1159" s="176">
        <v>46059</v>
      </c>
      <c r="C1159" s="172" t="s">
        <v>81</v>
      </c>
      <c r="D1159" s="172" t="s">
        <v>95</v>
      </c>
      <c r="E1159" s="172" t="s">
        <v>55</v>
      </c>
      <c r="F1159" s="172" t="s">
        <v>1274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-25</v>
      </c>
    </row>
    <row r="1160" spans="1:16" ht="19.5" customHeight="1">
      <c r="A1160" s="172" t="s">
        <v>1653</v>
      </c>
      <c r="B1160" s="176">
        <v>46059</v>
      </c>
      <c r="C1160" s="172" t="s">
        <v>92</v>
      </c>
      <c r="D1160" s="172" t="s">
        <v>24</v>
      </c>
      <c r="E1160" s="172" t="s">
        <v>58</v>
      </c>
      <c r="F1160" s="172" t="s">
        <v>1302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>
        <v>43</v>
      </c>
      <c r="P1160" s="180">
        <v>-56.94</v>
      </c>
    </row>
    <row r="1161" spans="1:16" ht="19.5" customHeight="1">
      <c r="A1161" s="172" t="s">
        <v>1653</v>
      </c>
      <c r="B1161" s="176">
        <v>46059</v>
      </c>
      <c r="C1161" s="172" t="s">
        <v>81</v>
      </c>
      <c r="D1161" s="172" t="s">
        <v>95</v>
      </c>
      <c r="E1161" s="172" t="s">
        <v>58</v>
      </c>
      <c r="F1161" s="172" t="s">
        <v>1302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-25</v>
      </c>
    </row>
    <row r="1162" spans="1:16" ht="19.5" customHeight="1">
      <c r="A1162" s="172" t="s">
        <v>1654</v>
      </c>
      <c r="B1162" s="176">
        <v>46059</v>
      </c>
      <c r="C1162" s="172" t="s">
        <v>92</v>
      </c>
      <c r="D1162" s="172" t="s">
        <v>24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>
        <v>43</v>
      </c>
      <c r="P1162" s="180">
        <v>-56.94</v>
      </c>
    </row>
    <row r="1163" spans="1:16" ht="19.5" customHeight="1">
      <c r="A1163" s="172" t="s">
        <v>1654</v>
      </c>
      <c r="B1163" s="176">
        <v>46059</v>
      </c>
      <c r="C1163" s="172" t="s">
        <v>81</v>
      </c>
      <c r="D1163" s="172" t="s">
        <v>95</v>
      </c>
      <c r="E1163" s="172" t="s">
        <v>53</v>
      </c>
      <c r="F1163" s="172" t="s">
        <v>120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-25</v>
      </c>
    </row>
    <row r="1164" spans="1:16" ht="19.5" customHeight="1">
      <c r="A1164" s="172" t="s">
        <v>1652</v>
      </c>
      <c r="B1164" s="176">
        <v>46059</v>
      </c>
      <c r="C1164" s="172" t="s">
        <v>92</v>
      </c>
      <c r="D1164" s="172" t="s">
        <v>96</v>
      </c>
      <c r="E1164" s="172" t="s">
        <v>55</v>
      </c>
      <c r="F1164" s="172" t="s">
        <v>1274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0</v>
      </c>
    </row>
    <row r="1165" spans="1:16" ht="19.5" customHeight="1">
      <c r="A1165" s="172" t="s">
        <v>1652</v>
      </c>
      <c r="B1165" s="176">
        <v>46059</v>
      </c>
      <c r="C1165" s="172" t="s">
        <v>92</v>
      </c>
      <c r="D1165" s="172" t="s">
        <v>97</v>
      </c>
      <c r="E1165" s="172" t="s">
        <v>55</v>
      </c>
      <c r="F1165" s="172" t="s">
        <v>1274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-56.94</v>
      </c>
    </row>
    <row r="1166" spans="1:16" ht="19.5" customHeight="1">
      <c r="A1166" s="172" t="s">
        <v>1652</v>
      </c>
      <c r="B1166" s="176">
        <v>46059</v>
      </c>
      <c r="C1166" s="172" t="s">
        <v>81</v>
      </c>
      <c r="D1166" s="172" t="s">
        <v>98</v>
      </c>
      <c r="E1166" s="172" t="s">
        <v>55</v>
      </c>
      <c r="F1166" s="172" t="s">
        <v>1274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-15</v>
      </c>
    </row>
    <row r="1167" spans="1:16" ht="19.5" customHeight="1">
      <c r="A1167" s="172" t="s">
        <v>1653</v>
      </c>
      <c r="B1167" s="176">
        <v>46059</v>
      </c>
      <c r="C1167" s="172" t="s">
        <v>92</v>
      </c>
      <c r="D1167" s="172" t="s">
        <v>96</v>
      </c>
      <c r="E1167" s="172" t="s">
        <v>58</v>
      </c>
      <c r="F1167" s="172" t="s">
        <v>1302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0</v>
      </c>
    </row>
    <row r="1168" spans="1:16" ht="19.5" customHeight="1">
      <c r="A1168" s="172" t="s">
        <v>1653</v>
      </c>
      <c r="B1168" s="176">
        <v>46059</v>
      </c>
      <c r="C1168" s="172" t="s">
        <v>92</v>
      </c>
      <c r="D1168" s="172" t="s">
        <v>97</v>
      </c>
      <c r="E1168" s="172" t="s">
        <v>58</v>
      </c>
      <c r="F1168" s="172" t="s">
        <v>1302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-56.94</v>
      </c>
    </row>
    <row r="1169" spans="1:16" ht="19.5" customHeight="1">
      <c r="A1169" s="172" t="s">
        <v>1653</v>
      </c>
      <c r="B1169" s="176">
        <v>46059</v>
      </c>
      <c r="C1169" s="172" t="s">
        <v>81</v>
      </c>
      <c r="D1169" s="172" t="s">
        <v>98</v>
      </c>
      <c r="E1169" s="172" t="s">
        <v>58</v>
      </c>
      <c r="F1169" s="172" t="s">
        <v>1302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-15</v>
      </c>
    </row>
    <row r="1170" spans="1:16" ht="19.5" customHeight="1">
      <c r="A1170" s="172" t="s">
        <v>1654</v>
      </c>
      <c r="B1170" s="176">
        <v>46059</v>
      </c>
      <c r="C1170" s="172" t="s">
        <v>92</v>
      </c>
      <c r="D1170" s="172" t="s">
        <v>96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customHeight="1">
      <c r="A1171" s="172" t="s">
        <v>1654</v>
      </c>
      <c r="B1171" s="176">
        <v>46059</v>
      </c>
      <c r="C1171" s="172" t="s">
        <v>92</v>
      </c>
      <c r="D1171" s="172" t="s">
        <v>97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-56.94</v>
      </c>
    </row>
    <row r="1172" spans="1:16" ht="19.5" customHeight="1">
      <c r="A1172" s="172" t="s">
        <v>1654</v>
      </c>
      <c r="B1172" s="176">
        <v>46059</v>
      </c>
      <c r="C1172" s="172" t="s">
        <v>81</v>
      </c>
      <c r="D1172" s="172" t="s">
        <v>98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0</v>
      </c>
      <c r="J1172" s="176">
        <v>46054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customHeight="1">
      <c r="A1173" s="172" t="s">
        <v>1655</v>
      </c>
      <c r="B1173" s="176">
        <v>46059</v>
      </c>
      <c r="C1173" s="172" t="s">
        <v>92</v>
      </c>
      <c r="D1173" s="172" t="s">
        <v>24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0.43</v>
      </c>
      <c r="N1173" s="177"/>
      <c r="O1173" s="177">
        <v>41</v>
      </c>
      <c r="P1173" s="180">
        <v>-130.08000000000001</v>
      </c>
    </row>
    <row r="1174" spans="1:16" ht="19.5" customHeight="1">
      <c r="A1174" s="172" t="s">
        <v>1655</v>
      </c>
      <c r="B1174" s="176">
        <v>46059</v>
      </c>
      <c r="C1174" s="172" t="s">
        <v>100</v>
      </c>
      <c r="D1174" s="172" t="s">
        <v>101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913.33</v>
      </c>
    </row>
    <row r="1175" spans="1:16" ht="19.5" customHeight="1">
      <c r="A1175" s="172" t="s">
        <v>1655</v>
      </c>
      <c r="B1175" s="176">
        <v>46059</v>
      </c>
      <c r="C1175" s="172" t="s">
        <v>100</v>
      </c>
      <c r="D1175" s="172" t="s">
        <v>102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9.1300000000000008</v>
      </c>
    </row>
    <row r="1176" spans="1:16" ht="19.5" customHeight="1">
      <c r="A1176" s="172" t="s">
        <v>1655</v>
      </c>
      <c r="B1176" s="176">
        <v>46059</v>
      </c>
      <c r="C1176" s="172" t="s">
        <v>100</v>
      </c>
      <c r="D1176" s="172" t="s">
        <v>103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1227.54</v>
      </c>
    </row>
    <row r="1177" spans="1:16" ht="19.5" customHeight="1">
      <c r="A1177" s="172" t="s">
        <v>1655</v>
      </c>
      <c r="B1177" s="176">
        <v>46059</v>
      </c>
      <c r="C1177" s="172" t="s">
        <v>104</v>
      </c>
      <c r="D1177" s="172" t="s">
        <v>105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-924.5</v>
      </c>
    </row>
    <row r="1178" spans="1:16" ht="19.5" customHeight="1">
      <c r="A1178" s="172" t="s">
        <v>1655</v>
      </c>
      <c r="B1178" s="176">
        <v>46059</v>
      </c>
      <c r="C1178" s="172" t="s">
        <v>81</v>
      </c>
      <c r="D1178" s="172" t="s">
        <v>95</v>
      </c>
      <c r="E1178" s="172" t="s">
        <v>43</v>
      </c>
      <c r="F1178" s="172" t="s">
        <v>125</v>
      </c>
      <c r="G1178" s="172" t="s">
        <v>84</v>
      </c>
      <c r="H1178" s="177">
        <v>1</v>
      </c>
      <c r="I1178" s="178">
        <v>2150</v>
      </c>
      <c r="J1178" s="176">
        <v>46056</v>
      </c>
      <c r="K1178" s="172" t="s">
        <v>93</v>
      </c>
      <c r="L1178" s="172" t="s">
        <v>94</v>
      </c>
      <c r="M1178" s="179">
        <v>0.43</v>
      </c>
      <c r="N1178" s="177"/>
      <c r="O1178" s="177"/>
      <c r="P1178" s="180">
        <v>-22.13</v>
      </c>
    </row>
    <row r="1179" spans="1:16" ht="19.5" customHeight="1">
      <c r="A1179" s="172" t="s">
        <v>1569</v>
      </c>
      <c r="B1179" s="176">
        <v>46059</v>
      </c>
      <c r="C1179" s="172" t="s">
        <v>81</v>
      </c>
      <c r="D1179" s="172" t="s">
        <v>82</v>
      </c>
      <c r="E1179" s="172" t="s">
        <v>40</v>
      </c>
      <c r="F1179" s="172" t="s">
        <v>197</v>
      </c>
      <c r="G1179" s="172" t="s">
        <v>84</v>
      </c>
      <c r="H1179" s="177">
        <v>1</v>
      </c>
      <c r="I1179" s="178">
        <v>0</v>
      </c>
      <c r="J1179" s="176">
        <v>46058</v>
      </c>
      <c r="K1179" s="172" t="s">
        <v>85</v>
      </c>
      <c r="L1179" s="172" t="s">
        <v>85</v>
      </c>
      <c r="M1179" s="179">
        <v>0</v>
      </c>
      <c r="N1179" s="177"/>
      <c r="O1179" s="177"/>
      <c r="P1179" s="180">
        <v>7.91</v>
      </c>
    </row>
    <row r="1180" spans="1:16" ht="19.5" customHeight="1">
      <c r="A1180" s="172" t="s">
        <v>1656</v>
      </c>
      <c r="B1180" s="176">
        <v>46059</v>
      </c>
      <c r="C1180" s="172" t="s">
        <v>92</v>
      </c>
      <c r="D1180" s="172" t="s">
        <v>24</v>
      </c>
      <c r="E1180" s="172" t="s">
        <v>56</v>
      </c>
      <c r="F1180" s="172" t="s">
        <v>1215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>
        <v>41</v>
      </c>
      <c r="P1180" s="180">
        <v>-56.94</v>
      </c>
    </row>
    <row r="1181" spans="1:16" ht="19.5" customHeight="1">
      <c r="A1181" s="172" t="s">
        <v>1656</v>
      </c>
      <c r="B1181" s="176">
        <v>46059</v>
      </c>
      <c r="C1181" s="172" t="s">
        <v>81</v>
      </c>
      <c r="D1181" s="172" t="s">
        <v>95</v>
      </c>
      <c r="E1181" s="172" t="s">
        <v>56</v>
      </c>
      <c r="F1181" s="172" t="s">
        <v>1215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-10.029999999999999</v>
      </c>
    </row>
    <row r="1182" spans="1:16" ht="19.5" customHeight="1">
      <c r="A1182" s="172" t="s">
        <v>1656</v>
      </c>
      <c r="B1182" s="176">
        <v>46059</v>
      </c>
      <c r="C1182" s="172" t="s">
        <v>92</v>
      </c>
      <c r="D1182" s="172" t="s">
        <v>96</v>
      </c>
      <c r="E1182" s="172" t="s">
        <v>56</v>
      </c>
      <c r="F1182" s="172" t="s">
        <v>1215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customHeight="1">
      <c r="A1183" s="172" t="s">
        <v>1656</v>
      </c>
      <c r="B1183" s="176">
        <v>46059</v>
      </c>
      <c r="C1183" s="172" t="s">
        <v>92</v>
      </c>
      <c r="D1183" s="172" t="s">
        <v>97</v>
      </c>
      <c r="E1183" s="172" t="s">
        <v>56</v>
      </c>
      <c r="F1183" s="172" t="s">
        <v>1215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customHeight="1">
      <c r="A1184" s="172" t="s">
        <v>1656</v>
      </c>
      <c r="B1184" s="176">
        <v>46059</v>
      </c>
      <c r="C1184" s="172" t="s">
        <v>81</v>
      </c>
      <c r="D1184" s="172" t="s">
        <v>98</v>
      </c>
      <c r="E1184" s="172" t="s">
        <v>56</v>
      </c>
      <c r="F1184" s="172" t="s">
        <v>1215</v>
      </c>
      <c r="G1184" s="172" t="s">
        <v>84</v>
      </c>
      <c r="H1184" s="177">
        <v>1</v>
      </c>
      <c r="I1184" s="178">
        <v>0</v>
      </c>
      <c r="J1184" s="176">
        <v>46056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customHeight="1">
      <c r="A1185" s="172" t="s">
        <v>1598</v>
      </c>
      <c r="B1185" s="176">
        <v>46059</v>
      </c>
      <c r="C1185" s="172" t="s">
        <v>166</v>
      </c>
      <c r="D1185" s="172" t="s">
        <v>167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-909.61</v>
      </c>
    </row>
    <row r="1186" spans="1:16" ht="19.5" customHeight="1">
      <c r="A1186" s="172" t="s">
        <v>1598</v>
      </c>
      <c r="B1186" s="176">
        <v>46059</v>
      </c>
      <c r="C1186" s="172" t="s">
        <v>166</v>
      </c>
      <c r="D1186" s="172" t="s">
        <v>102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-9.1</v>
      </c>
    </row>
    <row r="1187" spans="1:16" ht="19.5" customHeight="1">
      <c r="A1187" s="172" t="s">
        <v>1598</v>
      </c>
      <c r="B1187" s="176">
        <v>46059</v>
      </c>
      <c r="C1187" s="172" t="s">
        <v>166</v>
      </c>
      <c r="D1187" s="172" t="s">
        <v>103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-1231.29</v>
      </c>
    </row>
    <row r="1188" spans="1:16" ht="19.5" customHeight="1">
      <c r="A1188" s="172" t="s">
        <v>1598</v>
      </c>
      <c r="B1188" s="176">
        <v>46059</v>
      </c>
      <c r="C1188" s="172" t="s">
        <v>104</v>
      </c>
      <c r="D1188" s="172" t="s">
        <v>168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-2150</v>
      </c>
      <c r="J1188" s="176">
        <v>46057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924.5</v>
      </c>
    </row>
    <row r="1189" spans="1:16" ht="19.5" customHeight="1">
      <c r="A1189" s="172" t="s">
        <v>1523</v>
      </c>
      <c r="B1189" s="176">
        <v>46059</v>
      </c>
      <c r="C1189" s="172" t="s">
        <v>81</v>
      </c>
      <c r="D1189" s="172" t="s">
        <v>82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0</v>
      </c>
      <c r="J1189" s="176">
        <v>46057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17.28</v>
      </c>
    </row>
    <row r="1190" spans="1:16" ht="19.5" customHeight="1">
      <c r="A1190" s="172" t="s">
        <v>1657</v>
      </c>
      <c r="B1190" s="176">
        <v>46059</v>
      </c>
      <c r="C1190" s="172" t="s">
        <v>81</v>
      </c>
      <c r="D1190" s="172" t="s">
        <v>82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0</v>
      </c>
      <c r="J1190" s="176">
        <v>46059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-6.18</v>
      </c>
    </row>
    <row r="1191" spans="1:16" ht="19.5" customHeight="1">
      <c r="A1191" s="172" t="s">
        <v>1641</v>
      </c>
      <c r="B1191" s="176">
        <v>46059</v>
      </c>
      <c r="C1191" s="172" t="s">
        <v>166</v>
      </c>
      <c r="D1191" s="172" t="s">
        <v>167</v>
      </c>
      <c r="E1191" s="172" t="s">
        <v>55</v>
      </c>
      <c r="F1191" s="172" t="s">
        <v>1274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-918.1</v>
      </c>
    </row>
    <row r="1192" spans="1:16" ht="19.5" customHeight="1">
      <c r="A1192" s="172" t="s">
        <v>1641</v>
      </c>
      <c r="B1192" s="176">
        <v>46059</v>
      </c>
      <c r="C1192" s="172" t="s">
        <v>166</v>
      </c>
      <c r="D1192" s="172" t="s">
        <v>102</v>
      </c>
      <c r="E1192" s="172" t="s">
        <v>55</v>
      </c>
      <c r="F1192" s="172" t="s">
        <v>1274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-9.18</v>
      </c>
    </row>
    <row r="1193" spans="1:16" ht="19.5" customHeight="1">
      <c r="A1193" s="172" t="s">
        <v>1641</v>
      </c>
      <c r="B1193" s="176">
        <v>46059</v>
      </c>
      <c r="C1193" s="172" t="s">
        <v>166</v>
      </c>
      <c r="D1193" s="172" t="s">
        <v>103</v>
      </c>
      <c r="E1193" s="172" t="s">
        <v>55</v>
      </c>
      <c r="F1193" s="172" t="s">
        <v>1274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-1072.72</v>
      </c>
    </row>
    <row r="1194" spans="1:16" ht="19.5" customHeight="1">
      <c r="A1194" s="172" t="s">
        <v>1641</v>
      </c>
      <c r="B1194" s="176">
        <v>46059</v>
      </c>
      <c r="C1194" s="172" t="s">
        <v>104</v>
      </c>
      <c r="D1194" s="172" t="s">
        <v>168</v>
      </c>
      <c r="E1194" s="172" t="s">
        <v>55</v>
      </c>
      <c r="F1194" s="172" t="s">
        <v>1274</v>
      </c>
      <c r="G1194" s="172" t="s">
        <v>84</v>
      </c>
      <c r="H1194" s="177">
        <v>1</v>
      </c>
      <c r="I1194" s="178">
        <v>-2000</v>
      </c>
      <c r="J1194" s="176">
        <v>46058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860</v>
      </c>
    </row>
    <row r="1195" spans="1:16" ht="19.5" customHeight="1">
      <c r="A1195" s="172" t="s">
        <v>1641</v>
      </c>
      <c r="B1195" s="176">
        <v>46059</v>
      </c>
      <c r="C1195" s="172" t="s">
        <v>81</v>
      </c>
      <c r="D1195" s="172" t="s">
        <v>82</v>
      </c>
      <c r="E1195" s="172" t="s">
        <v>55</v>
      </c>
      <c r="F1195" s="172" t="s">
        <v>1274</v>
      </c>
      <c r="G1195" s="172" t="s">
        <v>84</v>
      </c>
      <c r="H1195" s="177">
        <v>1</v>
      </c>
      <c r="I1195" s="178">
        <v>0</v>
      </c>
      <c r="J1195" s="176">
        <v>46058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17.440000000000001</v>
      </c>
    </row>
    <row r="1196" spans="1:16" ht="19.5" customHeight="1">
      <c r="A1196" s="172" t="s">
        <v>1658</v>
      </c>
      <c r="B1196" s="176">
        <v>46059</v>
      </c>
      <c r="C1196" s="172" t="s">
        <v>81</v>
      </c>
      <c r="D1196" s="172" t="s">
        <v>82</v>
      </c>
      <c r="E1196" s="172" t="s">
        <v>53</v>
      </c>
      <c r="F1196" s="172" t="s">
        <v>120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-15.18</v>
      </c>
    </row>
    <row r="1197" spans="1:16" ht="19.5" customHeight="1">
      <c r="A1197" s="172" t="s">
        <v>1659</v>
      </c>
      <c r="B1197" s="176">
        <v>46059</v>
      </c>
      <c r="C1197" s="172" t="s">
        <v>81</v>
      </c>
      <c r="D1197" s="172" t="s">
        <v>82</v>
      </c>
      <c r="E1197" s="172" t="s">
        <v>42</v>
      </c>
      <c r="F1197" s="172" t="s">
        <v>89</v>
      </c>
      <c r="G1197" s="172" t="s">
        <v>84</v>
      </c>
      <c r="H1197" s="177">
        <v>1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-18.04</v>
      </c>
    </row>
    <row r="1198" spans="1:16" ht="19.5" customHeight="1">
      <c r="A1198" s="172" t="s">
        <v>1556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-292.02</v>
      </c>
    </row>
    <row r="1199" spans="1:16" ht="19.5" customHeight="1">
      <c r="A1199" s="172" t="s">
        <v>1557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-296.55</v>
      </c>
    </row>
    <row r="1200" spans="1:16" ht="19.5" customHeight="1">
      <c r="A1200" s="172" t="s">
        <v>141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-427.22</v>
      </c>
    </row>
    <row r="1201" spans="1:16" ht="19.5" customHeight="1">
      <c r="A1201" s="172" t="s">
        <v>145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-999.74</v>
      </c>
    </row>
    <row r="1202" spans="1:16" ht="19.5" customHeight="1">
      <c r="A1202" s="172" t="s">
        <v>138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-1143.96</v>
      </c>
    </row>
    <row r="1203" spans="1:16" ht="19.5" customHeight="1">
      <c r="A1203" s="172" t="s">
        <v>144</v>
      </c>
      <c r="B1203" s="176">
        <v>46059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-721.25</v>
      </c>
    </row>
    <row r="1204" spans="1:16" ht="19.5" customHeight="1">
      <c r="A1204" s="172" t="s">
        <v>142</v>
      </c>
      <c r="B1204" s="176">
        <v>46059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46059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-4144.1000000000004</v>
      </c>
    </row>
    <row r="1205" spans="1:16" ht="19.5" customHeight="1">
      <c r="A1205" s="172" t="s">
        <v>1660</v>
      </c>
      <c r="B1205" s="176">
        <v>46060</v>
      </c>
      <c r="C1205" s="172" t="s">
        <v>92</v>
      </c>
      <c r="D1205" s="172" t="s">
        <v>24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>
        <v>44</v>
      </c>
      <c r="P1205" s="180">
        <v>-46.77</v>
      </c>
    </row>
    <row r="1206" spans="1:16" ht="19.5" customHeight="1">
      <c r="A1206" s="172" t="s">
        <v>1660</v>
      </c>
      <c r="B1206" s="176">
        <v>46060</v>
      </c>
      <c r="C1206" s="172" t="s">
        <v>81</v>
      </c>
      <c r="D1206" s="172" t="s">
        <v>95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-9.49</v>
      </c>
    </row>
    <row r="1207" spans="1:16" ht="19.5" customHeight="1">
      <c r="A1207" s="172" t="s">
        <v>1660</v>
      </c>
      <c r="B1207" s="176">
        <v>46060</v>
      </c>
      <c r="C1207" s="172" t="s">
        <v>92</v>
      </c>
      <c r="D1207" s="172" t="s">
        <v>96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customHeight="1">
      <c r="A1208" s="172" t="s">
        <v>1660</v>
      </c>
      <c r="B1208" s="176">
        <v>46060</v>
      </c>
      <c r="C1208" s="172" t="s">
        <v>92</v>
      </c>
      <c r="D1208" s="172" t="s">
        <v>97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-46.77</v>
      </c>
    </row>
    <row r="1209" spans="1:16" ht="19.5" customHeight="1">
      <c r="A1209" s="172" t="s">
        <v>1660</v>
      </c>
      <c r="B1209" s="176">
        <v>46060</v>
      </c>
      <c r="C1209" s="172" t="s">
        <v>81</v>
      </c>
      <c r="D1209" s="172" t="s">
        <v>98</v>
      </c>
      <c r="E1209" s="172" t="s">
        <v>43</v>
      </c>
      <c r="F1209" s="172" t="s">
        <v>125</v>
      </c>
      <c r="G1209" s="172" t="s">
        <v>84</v>
      </c>
      <c r="H1209" s="177">
        <v>1</v>
      </c>
      <c r="I1209" s="178">
        <v>0</v>
      </c>
      <c r="J1209" s="176">
        <v>46053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customHeight="1">
      <c r="A1210" s="172" t="s">
        <v>1661</v>
      </c>
      <c r="B1210" s="176">
        <v>46060</v>
      </c>
      <c r="C1210" s="172" t="s">
        <v>92</v>
      </c>
      <c r="D1210" s="172" t="s">
        <v>24</v>
      </c>
      <c r="E1210" s="172" t="s">
        <v>59</v>
      </c>
      <c r="F1210" s="172" t="s">
        <v>1389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0.43</v>
      </c>
      <c r="N1210" s="177"/>
      <c r="O1210" s="177">
        <v>39</v>
      </c>
      <c r="P1210" s="180">
        <v>-132.27000000000001</v>
      </c>
    </row>
    <row r="1211" spans="1:16" ht="19.5" customHeight="1">
      <c r="A1211" s="172" t="s">
        <v>1661</v>
      </c>
      <c r="B1211" s="176">
        <v>46060</v>
      </c>
      <c r="C1211" s="172" t="s">
        <v>100</v>
      </c>
      <c r="D1211" s="172" t="s">
        <v>101</v>
      </c>
      <c r="E1211" s="172" t="s">
        <v>59</v>
      </c>
      <c r="F1211" s="172" t="s">
        <v>1389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780.4</v>
      </c>
    </row>
    <row r="1212" spans="1:16" ht="19.5" customHeight="1">
      <c r="A1212" s="172" t="s">
        <v>1661</v>
      </c>
      <c r="B1212" s="176">
        <v>46060</v>
      </c>
      <c r="C1212" s="172" t="s">
        <v>100</v>
      </c>
      <c r="D1212" s="172" t="s">
        <v>102</v>
      </c>
      <c r="E1212" s="172" t="s">
        <v>59</v>
      </c>
      <c r="F1212" s="172" t="s">
        <v>1389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1661</v>
      </c>
      <c r="B1213" s="176">
        <v>46060</v>
      </c>
      <c r="C1213" s="172" t="s">
        <v>100</v>
      </c>
      <c r="D1213" s="172" t="s">
        <v>103</v>
      </c>
      <c r="E1213" s="172" t="s">
        <v>59</v>
      </c>
      <c r="F1213" s="172" t="s">
        <v>1389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1219.5999999999999</v>
      </c>
    </row>
    <row r="1214" spans="1:16" ht="19.5" customHeight="1">
      <c r="A1214" s="172" t="s">
        <v>1661</v>
      </c>
      <c r="B1214" s="176">
        <v>46060</v>
      </c>
      <c r="C1214" s="172" t="s">
        <v>104</v>
      </c>
      <c r="D1214" s="172" t="s">
        <v>105</v>
      </c>
      <c r="E1214" s="172" t="s">
        <v>59</v>
      </c>
      <c r="F1214" s="172" t="s">
        <v>1389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-860</v>
      </c>
    </row>
    <row r="1215" spans="1:16" ht="19.5" customHeight="1">
      <c r="A1215" s="172" t="s">
        <v>1661</v>
      </c>
      <c r="B1215" s="176">
        <v>46060</v>
      </c>
      <c r="C1215" s="172" t="s">
        <v>81</v>
      </c>
      <c r="D1215" s="172" t="s">
        <v>95</v>
      </c>
      <c r="E1215" s="172" t="s">
        <v>59</v>
      </c>
      <c r="F1215" s="172" t="s">
        <v>1389</v>
      </c>
      <c r="G1215" s="172" t="s">
        <v>84</v>
      </c>
      <c r="H1215" s="177">
        <v>1</v>
      </c>
      <c r="I1215" s="178">
        <v>2000</v>
      </c>
      <c r="J1215" s="176">
        <v>46058</v>
      </c>
      <c r="K1215" s="172" t="s">
        <v>93</v>
      </c>
      <c r="L1215" s="172" t="s">
        <v>94</v>
      </c>
      <c r="M1215" s="179">
        <v>0.43</v>
      </c>
      <c r="N1215" s="177"/>
      <c r="O1215" s="177"/>
      <c r="P1215" s="180">
        <v>-10.62</v>
      </c>
    </row>
    <row r="1216" spans="1:16" ht="19.5" customHeight="1">
      <c r="A1216" s="172" t="s">
        <v>1662</v>
      </c>
      <c r="B1216" s="176">
        <v>46060</v>
      </c>
      <c r="C1216" s="172" t="s">
        <v>92</v>
      </c>
      <c r="D1216" s="172" t="s">
        <v>24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>
        <v>41</v>
      </c>
      <c r="P1216" s="180">
        <v>-46.77</v>
      </c>
    </row>
    <row r="1217" spans="1:16" ht="19.5" customHeight="1">
      <c r="A1217" s="172" t="s">
        <v>1662</v>
      </c>
      <c r="B1217" s="176">
        <v>46060</v>
      </c>
      <c r="C1217" s="172" t="s">
        <v>81</v>
      </c>
      <c r="D1217" s="172" t="s">
        <v>95</v>
      </c>
      <c r="E1217" s="172" t="s">
        <v>38</v>
      </c>
      <c r="F1217" s="172" t="s">
        <v>87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-14.46</v>
      </c>
    </row>
    <row r="1218" spans="1:16" ht="19.5" customHeight="1">
      <c r="A1218" s="172" t="s">
        <v>1663</v>
      </c>
      <c r="B1218" s="176">
        <v>46060</v>
      </c>
      <c r="C1218" s="172" t="s">
        <v>92</v>
      </c>
      <c r="D1218" s="172" t="s">
        <v>24</v>
      </c>
      <c r="E1218" s="172" t="s">
        <v>56</v>
      </c>
      <c r="F1218" s="172" t="s">
        <v>1215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>
        <v>41</v>
      </c>
      <c r="P1218" s="180">
        <v>-56.94</v>
      </c>
    </row>
    <row r="1219" spans="1:16" ht="19.5" customHeight="1">
      <c r="A1219" s="172" t="s">
        <v>1663</v>
      </c>
      <c r="B1219" s="176">
        <v>46060</v>
      </c>
      <c r="C1219" s="172" t="s">
        <v>81</v>
      </c>
      <c r="D1219" s="172" t="s">
        <v>95</v>
      </c>
      <c r="E1219" s="172" t="s">
        <v>56</v>
      </c>
      <c r="F1219" s="172" t="s">
        <v>1215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-15.66</v>
      </c>
    </row>
    <row r="1220" spans="1:16" ht="19.5" customHeight="1">
      <c r="A1220" s="172" t="s">
        <v>1662</v>
      </c>
      <c r="B1220" s="176">
        <v>46060</v>
      </c>
      <c r="C1220" s="172" t="s">
        <v>92</v>
      </c>
      <c r="D1220" s="172" t="s">
        <v>96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customHeight="1">
      <c r="A1221" s="172" t="s">
        <v>1662</v>
      </c>
      <c r="B1221" s="176">
        <v>46060</v>
      </c>
      <c r="C1221" s="172" t="s">
        <v>92</v>
      </c>
      <c r="D1221" s="172" t="s">
        <v>97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-46.77</v>
      </c>
    </row>
    <row r="1222" spans="1:16" ht="19.5" customHeight="1">
      <c r="A1222" s="172" t="s">
        <v>1662</v>
      </c>
      <c r="B1222" s="176">
        <v>46060</v>
      </c>
      <c r="C1222" s="172" t="s">
        <v>81</v>
      </c>
      <c r="D1222" s="172" t="s">
        <v>98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customHeight="1">
      <c r="A1223" s="172" t="s">
        <v>1663</v>
      </c>
      <c r="B1223" s="176">
        <v>46060</v>
      </c>
      <c r="C1223" s="172" t="s">
        <v>92</v>
      </c>
      <c r="D1223" s="172" t="s">
        <v>96</v>
      </c>
      <c r="E1223" s="172" t="s">
        <v>56</v>
      </c>
      <c r="F1223" s="172" t="s">
        <v>1215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0</v>
      </c>
    </row>
    <row r="1224" spans="1:16" ht="19.5" customHeight="1">
      <c r="A1224" s="172" t="s">
        <v>1663</v>
      </c>
      <c r="B1224" s="176">
        <v>46060</v>
      </c>
      <c r="C1224" s="172" t="s">
        <v>92</v>
      </c>
      <c r="D1224" s="172" t="s">
        <v>97</v>
      </c>
      <c r="E1224" s="172" t="s">
        <v>56</v>
      </c>
      <c r="F1224" s="172" t="s">
        <v>1215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-56.94</v>
      </c>
    </row>
    <row r="1225" spans="1:16" ht="19.5" customHeight="1">
      <c r="A1225" s="172" t="s">
        <v>1663</v>
      </c>
      <c r="B1225" s="176">
        <v>46060</v>
      </c>
      <c r="C1225" s="172" t="s">
        <v>81</v>
      </c>
      <c r="D1225" s="172" t="s">
        <v>98</v>
      </c>
      <c r="E1225" s="172" t="s">
        <v>56</v>
      </c>
      <c r="F1225" s="172" t="s">
        <v>1215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-15</v>
      </c>
    </row>
    <row r="1226" spans="1:16" ht="19.5" customHeight="1">
      <c r="A1226" s="172" t="s">
        <v>1664</v>
      </c>
      <c r="B1226" s="176">
        <v>46060</v>
      </c>
      <c r="C1226" s="172" t="s">
        <v>92</v>
      </c>
      <c r="D1226" s="172" t="s">
        <v>24</v>
      </c>
      <c r="E1226" s="172" t="s">
        <v>55</v>
      </c>
      <c r="F1226" s="172" t="s">
        <v>1274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>
        <v>41</v>
      </c>
      <c r="P1226" s="180">
        <v>-56.94</v>
      </c>
    </row>
    <row r="1227" spans="1:16" ht="19.5" customHeight="1">
      <c r="A1227" s="172" t="s">
        <v>1664</v>
      </c>
      <c r="B1227" s="176">
        <v>46060</v>
      </c>
      <c r="C1227" s="172" t="s">
        <v>81</v>
      </c>
      <c r="D1227" s="172" t="s">
        <v>95</v>
      </c>
      <c r="E1227" s="172" t="s">
        <v>55</v>
      </c>
      <c r="F1227" s="172" t="s">
        <v>1274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-15.66</v>
      </c>
    </row>
    <row r="1228" spans="1:16" ht="19.5" customHeight="1">
      <c r="A1228" s="172" t="s">
        <v>1664</v>
      </c>
      <c r="B1228" s="176">
        <v>46060</v>
      </c>
      <c r="C1228" s="172" t="s">
        <v>92</v>
      </c>
      <c r="D1228" s="172" t="s">
        <v>96</v>
      </c>
      <c r="E1228" s="172" t="s">
        <v>55</v>
      </c>
      <c r="F1228" s="172" t="s">
        <v>1274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0</v>
      </c>
    </row>
    <row r="1229" spans="1:16" ht="19.5" customHeight="1">
      <c r="A1229" s="172" t="s">
        <v>1664</v>
      </c>
      <c r="B1229" s="176">
        <v>46060</v>
      </c>
      <c r="C1229" s="172" t="s">
        <v>92</v>
      </c>
      <c r="D1229" s="172" t="s">
        <v>97</v>
      </c>
      <c r="E1229" s="172" t="s">
        <v>55</v>
      </c>
      <c r="F1229" s="172" t="s">
        <v>1274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-56.94</v>
      </c>
    </row>
    <row r="1230" spans="1:16" ht="19.5" customHeight="1">
      <c r="A1230" s="172" t="s">
        <v>1664</v>
      </c>
      <c r="B1230" s="176">
        <v>46060</v>
      </c>
      <c r="C1230" s="172" t="s">
        <v>81</v>
      </c>
      <c r="D1230" s="172" t="s">
        <v>98</v>
      </c>
      <c r="E1230" s="172" t="s">
        <v>55</v>
      </c>
      <c r="F1230" s="172" t="s">
        <v>1274</v>
      </c>
      <c r="G1230" s="172" t="s">
        <v>84</v>
      </c>
      <c r="H1230" s="177">
        <v>1</v>
      </c>
      <c r="I1230" s="178">
        <v>0</v>
      </c>
      <c r="J1230" s="176">
        <v>46055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-15</v>
      </c>
    </row>
    <row r="1231" spans="1:16" ht="19.5" customHeight="1">
      <c r="A1231" s="172" t="s">
        <v>85</v>
      </c>
      <c r="B1231" s="176">
        <v>46060</v>
      </c>
      <c r="C1231" s="172" t="s">
        <v>109</v>
      </c>
      <c r="D1231" s="172" t="s">
        <v>110</v>
      </c>
      <c r="E1231" s="172" t="s">
        <v>85</v>
      </c>
      <c r="F1231" s="172" t="s">
        <v>85</v>
      </c>
      <c r="G1231" s="172" t="s">
        <v>1665</v>
      </c>
      <c r="H1231" s="177">
        <v>0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-150</v>
      </c>
    </row>
    <row r="1232" spans="1:16" ht="19.5" customHeight="1">
      <c r="A1232" s="172" t="s">
        <v>1666</v>
      </c>
      <c r="B1232" s="176">
        <v>46060</v>
      </c>
      <c r="C1232" s="172" t="s">
        <v>81</v>
      </c>
      <c r="D1232" s="172" t="s">
        <v>82</v>
      </c>
      <c r="E1232" s="172" t="s">
        <v>56</v>
      </c>
      <c r="F1232" s="172" t="s">
        <v>1215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-16.899999999999999</v>
      </c>
    </row>
    <row r="1233" spans="1:16" ht="19.5" customHeight="1">
      <c r="A1233" s="172" t="s">
        <v>1667</v>
      </c>
      <c r="B1233" s="176">
        <v>46060</v>
      </c>
      <c r="C1233" s="172" t="s">
        <v>81</v>
      </c>
      <c r="D1233" s="172" t="s">
        <v>82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0</v>
      </c>
      <c r="J1233" s="176">
        <v>46060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-16.07</v>
      </c>
    </row>
    <row r="1234" spans="1:16" ht="19.5" customHeight="1">
      <c r="A1234" s="172" t="s">
        <v>1668</v>
      </c>
      <c r="B1234" s="176">
        <v>46060</v>
      </c>
      <c r="C1234" s="172" t="s">
        <v>92</v>
      </c>
      <c r="D1234" s="172" t="s">
        <v>24</v>
      </c>
      <c r="E1234" s="172" t="s">
        <v>60</v>
      </c>
      <c r="F1234" s="172" t="s">
        <v>1430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0.43</v>
      </c>
      <c r="N1234" s="177"/>
      <c r="O1234" s="177">
        <v>41</v>
      </c>
      <c r="P1234" s="180">
        <v>-141.69</v>
      </c>
    </row>
    <row r="1235" spans="1:16" ht="19.5" customHeight="1">
      <c r="A1235" s="172" t="s">
        <v>1668</v>
      </c>
      <c r="B1235" s="176">
        <v>46060</v>
      </c>
      <c r="C1235" s="172" t="s">
        <v>100</v>
      </c>
      <c r="D1235" s="172" t="s">
        <v>101</v>
      </c>
      <c r="E1235" s="172" t="s">
        <v>60</v>
      </c>
      <c r="F1235" s="172" t="s">
        <v>1430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828.57</v>
      </c>
    </row>
    <row r="1236" spans="1:16" ht="19.5" customHeight="1">
      <c r="A1236" s="172" t="s">
        <v>1668</v>
      </c>
      <c r="B1236" s="176">
        <v>46060</v>
      </c>
      <c r="C1236" s="172" t="s">
        <v>100</v>
      </c>
      <c r="D1236" s="172" t="s">
        <v>102</v>
      </c>
      <c r="E1236" s="172" t="s">
        <v>60</v>
      </c>
      <c r="F1236" s="172" t="s">
        <v>1430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8.2899999999999991</v>
      </c>
    </row>
    <row r="1237" spans="1:16" ht="19.5" customHeight="1">
      <c r="A1237" s="172" t="s">
        <v>1668</v>
      </c>
      <c r="B1237" s="176">
        <v>46060</v>
      </c>
      <c r="C1237" s="172" t="s">
        <v>100</v>
      </c>
      <c r="D1237" s="172" t="s">
        <v>103</v>
      </c>
      <c r="E1237" s="172" t="s">
        <v>60</v>
      </c>
      <c r="F1237" s="172" t="s">
        <v>1430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1163.1400000000001</v>
      </c>
    </row>
    <row r="1238" spans="1:16" ht="19.5" customHeight="1">
      <c r="A1238" s="172" t="s">
        <v>1668</v>
      </c>
      <c r="B1238" s="176">
        <v>46060</v>
      </c>
      <c r="C1238" s="172" t="s">
        <v>104</v>
      </c>
      <c r="D1238" s="172" t="s">
        <v>105</v>
      </c>
      <c r="E1238" s="172" t="s">
        <v>60</v>
      </c>
      <c r="F1238" s="172" t="s">
        <v>1430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-860</v>
      </c>
    </row>
    <row r="1239" spans="1:16" ht="19.5" customHeight="1">
      <c r="A1239" s="172" t="s">
        <v>1668</v>
      </c>
      <c r="B1239" s="176">
        <v>46060</v>
      </c>
      <c r="C1239" s="172" t="s">
        <v>81</v>
      </c>
      <c r="D1239" s="172" t="s">
        <v>95</v>
      </c>
      <c r="E1239" s="172" t="s">
        <v>60</v>
      </c>
      <c r="F1239" s="172" t="s">
        <v>1430</v>
      </c>
      <c r="G1239" s="172" t="s">
        <v>84</v>
      </c>
      <c r="H1239" s="177">
        <v>1</v>
      </c>
      <c r="I1239" s="178">
        <v>2000</v>
      </c>
      <c r="J1239" s="176">
        <v>46056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-15.08</v>
      </c>
    </row>
    <row r="1240" spans="1:16" ht="19.5" customHeight="1">
      <c r="A1240" s="172" t="s">
        <v>1669</v>
      </c>
      <c r="B1240" s="176">
        <v>46060</v>
      </c>
      <c r="C1240" s="172" t="s">
        <v>92</v>
      </c>
      <c r="D1240" s="172" t="s">
        <v>24</v>
      </c>
      <c r="E1240" s="172" t="s">
        <v>59</v>
      </c>
      <c r="F1240" s="172" t="s">
        <v>1389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0.43</v>
      </c>
      <c r="N1240" s="177"/>
      <c r="O1240" s="177">
        <v>39</v>
      </c>
      <c r="P1240" s="180">
        <v>-132.27000000000001</v>
      </c>
    </row>
    <row r="1241" spans="1:16" ht="19.5" customHeight="1">
      <c r="A1241" s="172" t="s">
        <v>1669</v>
      </c>
      <c r="B1241" s="176">
        <v>46060</v>
      </c>
      <c r="C1241" s="172" t="s">
        <v>100</v>
      </c>
      <c r="D1241" s="172" t="s">
        <v>101</v>
      </c>
      <c r="E1241" s="172" t="s">
        <v>59</v>
      </c>
      <c r="F1241" s="172" t="s">
        <v>1389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829.85</v>
      </c>
    </row>
    <row r="1242" spans="1:16" ht="19.5" customHeight="1">
      <c r="A1242" s="172" t="s">
        <v>1669</v>
      </c>
      <c r="B1242" s="176">
        <v>46060</v>
      </c>
      <c r="C1242" s="172" t="s">
        <v>100</v>
      </c>
      <c r="D1242" s="172" t="s">
        <v>102</v>
      </c>
      <c r="E1242" s="172" t="s">
        <v>59</v>
      </c>
      <c r="F1242" s="172" t="s">
        <v>1389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8.3000000000000007</v>
      </c>
    </row>
    <row r="1243" spans="1:16" ht="19.5" customHeight="1">
      <c r="A1243" s="172" t="s">
        <v>1669</v>
      </c>
      <c r="B1243" s="176">
        <v>46060</v>
      </c>
      <c r="C1243" s="172" t="s">
        <v>100</v>
      </c>
      <c r="D1243" s="172" t="s">
        <v>103</v>
      </c>
      <c r="E1243" s="172" t="s">
        <v>59</v>
      </c>
      <c r="F1243" s="172" t="s">
        <v>1389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1161.8499999999999</v>
      </c>
    </row>
    <row r="1244" spans="1:16" ht="19.5" customHeight="1">
      <c r="A1244" s="172" t="s">
        <v>1669</v>
      </c>
      <c r="B1244" s="176">
        <v>46060</v>
      </c>
      <c r="C1244" s="172" t="s">
        <v>104</v>
      </c>
      <c r="D1244" s="172" t="s">
        <v>105</v>
      </c>
      <c r="E1244" s="172" t="s">
        <v>59</v>
      </c>
      <c r="F1244" s="172" t="s">
        <v>1389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-860</v>
      </c>
    </row>
    <row r="1245" spans="1:16" ht="19.5" customHeight="1">
      <c r="A1245" s="172" t="s">
        <v>1669</v>
      </c>
      <c r="B1245" s="176">
        <v>46060</v>
      </c>
      <c r="C1245" s="172" t="s">
        <v>81</v>
      </c>
      <c r="D1245" s="172" t="s">
        <v>95</v>
      </c>
      <c r="E1245" s="172" t="s">
        <v>59</v>
      </c>
      <c r="F1245" s="172" t="s">
        <v>1389</v>
      </c>
      <c r="G1245" s="172" t="s">
        <v>84</v>
      </c>
      <c r="H1245" s="177">
        <v>1</v>
      </c>
      <c r="I1245" s="178">
        <v>2000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-8.7799999999999994</v>
      </c>
    </row>
    <row r="1246" spans="1:16" ht="19.5" customHeight="1">
      <c r="A1246" s="172" t="s">
        <v>1670</v>
      </c>
      <c r="B1246" s="176">
        <v>46060</v>
      </c>
      <c r="C1246" s="172" t="s">
        <v>92</v>
      </c>
      <c r="D1246" s="172" t="s">
        <v>24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0.43</v>
      </c>
      <c r="N1246" s="177"/>
      <c r="O1246" s="177">
        <v>39</v>
      </c>
      <c r="P1246" s="180">
        <v>-120.82</v>
      </c>
    </row>
    <row r="1247" spans="1:16" ht="19.5" customHeight="1">
      <c r="A1247" s="172" t="s">
        <v>1670</v>
      </c>
      <c r="B1247" s="176">
        <v>46060</v>
      </c>
      <c r="C1247" s="172" t="s">
        <v>100</v>
      </c>
      <c r="D1247" s="172" t="s">
        <v>101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838.1</v>
      </c>
    </row>
    <row r="1248" spans="1:16" ht="19.5" customHeight="1">
      <c r="A1248" s="172" t="s">
        <v>1670</v>
      </c>
      <c r="B1248" s="176">
        <v>46060</v>
      </c>
      <c r="C1248" s="172" t="s">
        <v>100</v>
      </c>
      <c r="D1248" s="172" t="s">
        <v>102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8.3800000000000008</v>
      </c>
    </row>
    <row r="1249" spans="1:16" ht="19.5" customHeight="1">
      <c r="A1249" s="172" t="s">
        <v>1670</v>
      </c>
      <c r="B1249" s="176">
        <v>46060</v>
      </c>
      <c r="C1249" s="172" t="s">
        <v>100</v>
      </c>
      <c r="D1249" s="172" t="s">
        <v>103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1303.52</v>
      </c>
    </row>
    <row r="1250" spans="1:16" ht="19.5" customHeight="1">
      <c r="A1250" s="172" t="s">
        <v>1670</v>
      </c>
      <c r="B1250" s="176">
        <v>46060</v>
      </c>
      <c r="C1250" s="172" t="s">
        <v>104</v>
      </c>
      <c r="D1250" s="172" t="s">
        <v>105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-924.5</v>
      </c>
    </row>
    <row r="1251" spans="1:16" ht="19.5" customHeight="1">
      <c r="A1251" s="172" t="s">
        <v>1670</v>
      </c>
      <c r="B1251" s="176">
        <v>46060</v>
      </c>
      <c r="C1251" s="172" t="s">
        <v>81</v>
      </c>
      <c r="D1251" s="172" t="s">
        <v>95</v>
      </c>
      <c r="E1251" s="172" t="s">
        <v>42</v>
      </c>
      <c r="F1251" s="172" t="s">
        <v>89</v>
      </c>
      <c r="G1251" s="172" t="s">
        <v>84</v>
      </c>
      <c r="H1251" s="177">
        <v>1</v>
      </c>
      <c r="I1251" s="178">
        <v>2150</v>
      </c>
      <c r="J1251" s="176">
        <v>46058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-13.87</v>
      </c>
    </row>
    <row r="1252" spans="1:16" ht="19.5" customHeight="1">
      <c r="A1252" s="172" t="s">
        <v>1669</v>
      </c>
      <c r="B1252" s="176">
        <v>46060</v>
      </c>
      <c r="C1252" s="172" t="s">
        <v>81</v>
      </c>
      <c r="D1252" s="172" t="s">
        <v>82</v>
      </c>
      <c r="E1252" s="172" t="s">
        <v>59</v>
      </c>
      <c r="F1252" s="172" t="s">
        <v>1389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-15.77</v>
      </c>
    </row>
    <row r="1253" spans="1:16" ht="19.5" customHeight="1">
      <c r="A1253" s="172" t="s">
        <v>1670</v>
      </c>
      <c r="B1253" s="176">
        <v>46060</v>
      </c>
      <c r="C1253" s="172" t="s">
        <v>81</v>
      </c>
      <c r="D1253" s="172" t="s">
        <v>82</v>
      </c>
      <c r="E1253" s="172" t="s">
        <v>42</v>
      </c>
      <c r="F1253" s="172" t="s">
        <v>89</v>
      </c>
      <c r="G1253" s="172" t="s">
        <v>84</v>
      </c>
      <c r="H1253" s="177">
        <v>1</v>
      </c>
      <c r="I1253" s="178">
        <v>0</v>
      </c>
      <c r="J1253" s="176">
        <v>46058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-15.92</v>
      </c>
    </row>
    <row r="1254" spans="1:16" ht="19.5" customHeight="1">
      <c r="A1254" s="172" t="s">
        <v>1671</v>
      </c>
      <c r="B1254" s="176">
        <v>46060</v>
      </c>
      <c r="C1254" s="172" t="s">
        <v>92</v>
      </c>
      <c r="D1254" s="172" t="s">
        <v>24</v>
      </c>
      <c r="E1254" s="172" t="s">
        <v>56</v>
      </c>
      <c r="F1254" s="172" t="s">
        <v>1215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0.43</v>
      </c>
      <c r="N1254" s="177"/>
      <c r="O1254" s="177">
        <v>40</v>
      </c>
      <c r="P1254" s="180">
        <v>-136.97999999999999</v>
      </c>
    </row>
    <row r="1255" spans="1:16" ht="19.5" customHeight="1">
      <c r="A1255" s="172" t="s">
        <v>1671</v>
      </c>
      <c r="B1255" s="176">
        <v>46060</v>
      </c>
      <c r="C1255" s="172" t="s">
        <v>100</v>
      </c>
      <c r="D1255" s="172" t="s">
        <v>101</v>
      </c>
      <c r="E1255" s="172" t="s">
        <v>56</v>
      </c>
      <c r="F1255" s="172" t="s">
        <v>1215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912.8</v>
      </c>
    </row>
    <row r="1256" spans="1:16" ht="19.5" customHeight="1">
      <c r="A1256" s="172" t="s">
        <v>1671</v>
      </c>
      <c r="B1256" s="176">
        <v>46060</v>
      </c>
      <c r="C1256" s="172" t="s">
        <v>100</v>
      </c>
      <c r="D1256" s="172" t="s">
        <v>102</v>
      </c>
      <c r="E1256" s="172" t="s">
        <v>56</v>
      </c>
      <c r="F1256" s="172" t="s">
        <v>1215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9.1300000000000008</v>
      </c>
    </row>
    <row r="1257" spans="1:16" ht="19.5" customHeight="1">
      <c r="A1257" s="172" t="s">
        <v>1671</v>
      </c>
      <c r="B1257" s="176">
        <v>46060</v>
      </c>
      <c r="C1257" s="172" t="s">
        <v>100</v>
      </c>
      <c r="D1257" s="172" t="s">
        <v>103</v>
      </c>
      <c r="E1257" s="172" t="s">
        <v>56</v>
      </c>
      <c r="F1257" s="172" t="s">
        <v>1215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1078.07</v>
      </c>
    </row>
    <row r="1258" spans="1:16" ht="19.5" customHeight="1">
      <c r="A1258" s="172" t="s">
        <v>1671</v>
      </c>
      <c r="B1258" s="176">
        <v>46060</v>
      </c>
      <c r="C1258" s="172" t="s">
        <v>104</v>
      </c>
      <c r="D1258" s="172" t="s">
        <v>105</v>
      </c>
      <c r="E1258" s="172" t="s">
        <v>56</v>
      </c>
      <c r="F1258" s="172" t="s">
        <v>1215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-860</v>
      </c>
    </row>
    <row r="1259" spans="1:16" ht="19.5" customHeight="1">
      <c r="A1259" s="172" t="s">
        <v>1671</v>
      </c>
      <c r="B1259" s="176">
        <v>46060</v>
      </c>
      <c r="C1259" s="172" t="s">
        <v>81</v>
      </c>
      <c r="D1259" s="172" t="s">
        <v>95</v>
      </c>
      <c r="E1259" s="172" t="s">
        <v>56</v>
      </c>
      <c r="F1259" s="172" t="s">
        <v>1215</v>
      </c>
      <c r="G1259" s="172" t="s">
        <v>84</v>
      </c>
      <c r="H1259" s="177">
        <v>1</v>
      </c>
      <c r="I1259" s="178">
        <v>2000</v>
      </c>
      <c r="J1259" s="176">
        <v>46057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-13.54</v>
      </c>
    </row>
    <row r="1260" spans="1:16" ht="19.5" customHeight="1">
      <c r="A1260" s="172" t="s">
        <v>1672</v>
      </c>
      <c r="B1260" s="176">
        <v>46060</v>
      </c>
      <c r="C1260" s="172" t="s">
        <v>92</v>
      </c>
      <c r="D1260" s="172" t="s">
        <v>24</v>
      </c>
      <c r="E1260" s="172" t="s">
        <v>59</v>
      </c>
      <c r="F1260" s="172" t="s">
        <v>1389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0.43</v>
      </c>
      <c r="N1260" s="177"/>
      <c r="O1260" s="177">
        <v>39</v>
      </c>
      <c r="P1260" s="180">
        <v>-132.27000000000001</v>
      </c>
    </row>
    <row r="1261" spans="1:16" ht="19.5" customHeight="1">
      <c r="A1261" s="172" t="s">
        <v>1672</v>
      </c>
      <c r="B1261" s="176">
        <v>46060</v>
      </c>
      <c r="C1261" s="172" t="s">
        <v>100</v>
      </c>
      <c r="D1261" s="172" t="s">
        <v>101</v>
      </c>
      <c r="E1261" s="172" t="s">
        <v>59</v>
      </c>
      <c r="F1261" s="172" t="s">
        <v>1389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960</v>
      </c>
    </row>
    <row r="1262" spans="1:16" ht="19.5" customHeight="1">
      <c r="A1262" s="172" t="s">
        <v>1672</v>
      </c>
      <c r="B1262" s="176">
        <v>46060</v>
      </c>
      <c r="C1262" s="172" t="s">
        <v>100</v>
      </c>
      <c r="D1262" s="172" t="s">
        <v>102</v>
      </c>
      <c r="E1262" s="172" t="s">
        <v>59</v>
      </c>
      <c r="F1262" s="172" t="s">
        <v>1389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9.6</v>
      </c>
    </row>
    <row r="1263" spans="1:16" ht="19.5" customHeight="1">
      <c r="A1263" s="172" t="s">
        <v>1672</v>
      </c>
      <c r="B1263" s="176">
        <v>46060</v>
      </c>
      <c r="C1263" s="172" t="s">
        <v>100</v>
      </c>
      <c r="D1263" s="172" t="s">
        <v>103</v>
      </c>
      <c r="E1263" s="172" t="s">
        <v>59</v>
      </c>
      <c r="F1263" s="172" t="s">
        <v>1389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1030.4000000000001</v>
      </c>
    </row>
    <row r="1264" spans="1:16" ht="19.5" customHeight="1">
      <c r="A1264" s="172" t="s">
        <v>1672</v>
      </c>
      <c r="B1264" s="176">
        <v>46060</v>
      </c>
      <c r="C1264" s="172" t="s">
        <v>104</v>
      </c>
      <c r="D1264" s="172" t="s">
        <v>105</v>
      </c>
      <c r="E1264" s="172" t="s">
        <v>59</v>
      </c>
      <c r="F1264" s="172" t="s">
        <v>1389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-860</v>
      </c>
    </row>
    <row r="1265" spans="1:16" ht="19.5" customHeight="1">
      <c r="A1265" s="172" t="s">
        <v>1672</v>
      </c>
      <c r="B1265" s="176">
        <v>46060</v>
      </c>
      <c r="C1265" s="172" t="s">
        <v>81</v>
      </c>
      <c r="D1265" s="172" t="s">
        <v>95</v>
      </c>
      <c r="E1265" s="172" t="s">
        <v>59</v>
      </c>
      <c r="F1265" s="172" t="s">
        <v>1389</v>
      </c>
      <c r="G1265" s="172" t="s">
        <v>84</v>
      </c>
      <c r="H1265" s="177">
        <v>1</v>
      </c>
      <c r="I1265" s="178">
        <v>2000</v>
      </c>
      <c r="J1265" s="176">
        <v>46058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-9.7899999999999991</v>
      </c>
    </row>
    <row r="1266" spans="1:16" ht="19.5" customHeight="1">
      <c r="A1266" s="172" t="s">
        <v>1673</v>
      </c>
      <c r="B1266" s="176">
        <v>46060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0.43</v>
      </c>
      <c r="N1266" s="177"/>
      <c r="O1266" s="177">
        <v>44</v>
      </c>
      <c r="P1266" s="180">
        <v>-145.15</v>
      </c>
    </row>
    <row r="1267" spans="1:16" ht="19.5" customHeight="1">
      <c r="A1267" s="172" t="s">
        <v>1673</v>
      </c>
      <c r="B1267" s="176">
        <v>46060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596.19000000000005</v>
      </c>
    </row>
    <row r="1268" spans="1:16" ht="19.5" customHeight="1">
      <c r="A1268" s="172" t="s">
        <v>1673</v>
      </c>
      <c r="B1268" s="176">
        <v>46060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5.96</v>
      </c>
    </row>
    <row r="1269" spans="1:16" ht="19.5" customHeight="1">
      <c r="A1269" s="172" t="s">
        <v>1673</v>
      </c>
      <c r="B1269" s="176">
        <v>46060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1107.8499999999999</v>
      </c>
    </row>
    <row r="1270" spans="1:16" ht="19.5" customHeight="1">
      <c r="A1270" s="172" t="s">
        <v>1673</v>
      </c>
      <c r="B1270" s="176">
        <v>46060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-735.3</v>
      </c>
    </row>
    <row r="1271" spans="1:16" ht="19.5" customHeight="1">
      <c r="A1271" s="172" t="s">
        <v>1673</v>
      </c>
      <c r="B1271" s="176">
        <v>46060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1710</v>
      </c>
      <c r="J1271" s="176">
        <v>46048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-21.58</v>
      </c>
    </row>
    <row r="1272" spans="1:16" ht="19.5" customHeight="1">
      <c r="A1272" s="172" t="s">
        <v>1674</v>
      </c>
      <c r="B1272" s="176">
        <v>46060</v>
      </c>
      <c r="C1272" s="172" t="s">
        <v>92</v>
      </c>
      <c r="D1272" s="172" t="s">
        <v>24</v>
      </c>
      <c r="E1272" s="172" t="s">
        <v>59</v>
      </c>
      <c r="F1272" s="172" t="s">
        <v>1389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0.43</v>
      </c>
      <c r="N1272" s="177"/>
      <c r="O1272" s="177">
        <v>39</v>
      </c>
      <c r="P1272" s="180">
        <v>-132.27000000000001</v>
      </c>
    </row>
    <row r="1273" spans="1:16" ht="19.5" customHeight="1">
      <c r="A1273" s="172" t="s">
        <v>1674</v>
      </c>
      <c r="B1273" s="176">
        <v>46060</v>
      </c>
      <c r="C1273" s="172" t="s">
        <v>100</v>
      </c>
      <c r="D1273" s="172" t="s">
        <v>101</v>
      </c>
      <c r="E1273" s="172" t="s">
        <v>59</v>
      </c>
      <c r="F1273" s="172" t="s">
        <v>1389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996.21</v>
      </c>
    </row>
    <row r="1274" spans="1:16" ht="19.5" customHeight="1">
      <c r="A1274" s="172" t="s">
        <v>1674</v>
      </c>
      <c r="B1274" s="176">
        <v>46060</v>
      </c>
      <c r="C1274" s="172" t="s">
        <v>100</v>
      </c>
      <c r="D1274" s="172" t="s">
        <v>102</v>
      </c>
      <c r="E1274" s="172" t="s">
        <v>59</v>
      </c>
      <c r="F1274" s="172" t="s">
        <v>1389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0</v>
      </c>
    </row>
    <row r="1275" spans="1:16" ht="19.5" customHeight="1">
      <c r="A1275" s="172" t="s">
        <v>1674</v>
      </c>
      <c r="B1275" s="176">
        <v>46060</v>
      </c>
      <c r="C1275" s="172" t="s">
        <v>100</v>
      </c>
      <c r="D1275" s="172" t="s">
        <v>103</v>
      </c>
      <c r="E1275" s="172" t="s">
        <v>59</v>
      </c>
      <c r="F1275" s="172" t="s">
        <v>1389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1003.79</v>
      </c>
    </row>
    <row r="1276" spans="1:16" ht="19.5" customHeight="1">
      <c r="A1276" s="172" t="s">
        <v>1674</v>
      </c>
      <c r="B1276" s="176">
        <v>46060</v>
      </c>
      <c r="C1276" s="172" t="s">
        <v>104</v>
      </c>
      <c r="D1276" s="172" t="s">
        <v>105</v>
      </c>
      <c r="E1276" s="172" t="s">
        <v>59</v>
      </c>
      <c r="F1276" s="172" t="s">
        <v>1389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-860</v>
      </c>
    </row>
    <row r="1277" spans="1:16" ht="19.5" customHeight="1">
      <c r="A1277" s="172" t="s">
        <v>1674</v>
      </c>
      <c r="B1277" s="176">
        <v>46060</v>
      </c>
      <c r="C1277" s="172" t="s">
        <v>81</v>
      </c>
      <c r="D1277" s="172" t="s">
        <v>95</v>
      </c>
      <c r="E1277" s="172" t="s">
        <v>59</v>
      </c>
      <c r="F1277" s="172" t="s">
        <v>1389</v>
      </c>
      <c r="G1277" s="172" t="s">
        <v>84</v>
      </c>
      <c r="H1277" s="177">
        <v>1</v>
      </c>
      <c r="I1277" s="178">
        <v>2000</v>
      </c>
      <c r="J1277" s="176">
        <v>46058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-11.22</v>
      </c>
    </row>
    <row r="1278" spans="1:16" ht="19.5" customHeight="1">
      <c r="A1278" s="172" t="s">
        <v>1675</v>
      </c>
      <c r="B1278" s="176">
        <v>46060</v>
      </c>
      <c r="C1278" s="172" t="s">
        <v>81</v>
      </c>
      <c r="D1278" s="172" t="s">
        <v>82</v>
      </c>
      <c r="E1278" s="172" t="s">
        <v>56</v>
      </c>
      <c r="F1278" s="172" t="s">
        <v>1215</v>
      </c>
      <c r="G1278" s="172" t="s">
        <v>84</v>
      </c>
      <c r="H1278" s="177">
        <v>1</v>
      </c>
      <c r="I1278" s="178">
        <v>0</v>
      </c>
      <c r="J1278" s="176">
        <v>46060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-15.73</v>
      </c>
    </row>
    <row r="1279" spans="1:16" ht="19.5" customHeight="1">
      <c r="A1279" s="172" t="s">
        <v>1674</v>
      </c>
      <c r="B1279" s="176">
        <v>46060</v>
      </c>
      <c r="C1279" s="172" t="s">
        <v>81</v>
      </c>
      <c r="D1279" s="172" t="s">
        <v>82</v>
      </c>
      <c r="E1279" s="172" t="s">
        <v>59</v>
      </c>
      <c r="F1279" s="172" t="s">
        <v>1389</v>
      </c>
      <c r="G1279" s="172" t="s">
        <v>84</v>
      </c>
      <c r="H1279" s="177">
        <v>1</v>
      </c>
      <c r="I1279" s="178">
        <v>0</v>
      </c>
      <c r="J1279" s="176">
        <v>46058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-9.36</v>
      </c>
    </row>
    <row r="1280" spans="1:16" ht="19.5" customHeight="1">
      <c r="A1280" s="172" t="s">
        <v>1676</v>
      </c>
      <c r="B1280" s="176">
        <v>46060</v>
      </c>
      <c r="C1280" s="172" t="s">
        <v>92</v>
      </c>
      <c r="D1280" s="172" t="s">
        <v>24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0.43</v>
      </c>
      <c r="N1280" s="177"/>
      <c r="O1280" s="177">
        <v>41</v>
      </c>
      <c r="P1280" s="180">
        <v>-145.74</v>
      </c>
    </row>
    <row r="1281" spans="1:16" ht="19.5" customHeight="1">
      <c r="A1281" s="172" t="s">
        <v>1676</v>
      </c>
      <c r="B1281" s="176">
        <v>46060</v>
      </c>
      <c r="C1281" s="172" t="s">
        <v>100</v>
      </c>
      <c r="D1281" s="172" t="s">
        <v>101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834.29</v>
      </c>
    </row>
    <row r="1282" spans="1:16" ht="19.5" customHeight="1">
      <c r="A1282" s="172" t="s">
        <v>1676</v>
      </c>
      <c r="B1282" s="176">
        <v>46060</v>
      </c>
      <c r="C1282" s="172" t="s">
        <v>100</v>
      </c>
      <c r="D1282" s="172" t="s">
        <v>102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8.34</v>
      </c>
    </row>
    <row r="1283" spans="1:16" ht="19.5" customHeight="1">
      <c r="A1283" s="172" t="s">
        <v>1676</v>
      </c>
      <c r="B1283" s="176">
        <v>46060</v>
      </c>
      <c r="C1283" s="172" t="s">
        <v>100</v>
      </c>
      <c r="D1283" s="172" t="s">
        <v>103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1307.3699999999999</v>
      </c>
    </row>
    <row r="1284" spans="1:16" ht="19.5" customHeight="1">
      <c r="A1284" s="172" t="s">
        <v>1676</v>
      </c>
      <c r="B1284" s="176">
        <v>46060</v>
      </c>
      <c r="C1284" s="172" t="s">
        <v>104</v>
      </c>
      <c r="D1284" s="172" t="s">
        <v>105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-924.5</v>
      </c>
    </row>
    <row r="1285" spans="1:16" ht="19.5" customHeight="1">
      <c r="A1285" s="172" t="s">
        <v>1676</v>
      </c>
      <c r="B1285" s="176">
        <v>46060</v>
      </c>
      <c r="C1285" s="172" t="s">
        <v>81</v>
      </c>
      <c r="D1285" s="172" t="s">
        <v>95</v>
      </c>
      <c r="E1285" s="172" t="s">
        <v>52</v>
      </c>
      <c r="F1285" s="172" t="s">
        <v>90</v>
      </c>
      <c r="G1285" s="172" t="s">
        <v>84</v>
      </c>
      <c r="H1285" s="177">
        <v>1</v>
      </c>
      <c r="I1285" s="178">
        <v>2150</v>
      </c>
      <c r="J1285" s="176">
        <v>46056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-11.59</v>
      </c>
    </row>
    <row r="1286" spans="1:16" ht="19.5" customHeight="1">
      <c r="A1286" s="172" t="s">
        <v>1677</v>
      </c>
      <c r="B1286" s="176">
        <v>46060</v>
      </c>
      <c r="C1286" s="172" t="s">
        <v>92</v>
      </c>
      <c r="D1286" s="172" t="s">
        <v>24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>
        <v>41</v>
      </c>
      <c r="P1286" s="180">
        <v>-46.77</v>
      </c>
    </row>
    <row r="1287" spans="1:16" ht="19.5" customHeight="1">
      <c r="A1287" s="172" t="s">
        <v>1677</v>
      </c>
      <c r="B1287" s="176">
        <v>46060</v>
      </c>
      <c r="C1287" s="172" t="s">
        <v>81</v>
      </c>
      <c r="D1287" s="172" t="s">
        <v>95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-12.17</v>
      </c>
    </row>
    <row r="1288" spans="1:16" ht="19.5" customHeight="1">
      <c r="A1288" s="172" t="s">
        <v>1677</v>
      </c>
      <c r="B1288" s="176">
        <v>46060</v>
      </c>
      <c r="C1288" s="172" t="s">
        <v>92</v>
      </c>
      <c r="D1288" s="172" t="s">
        <v>96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0</v>
      </c>
    </row>
    <row r="1289" spans="1:16" ht="19.5" customHeight="1">
      <c r="A1289" s="172" t="s">
        <v>1677</v>
      </c>
      <c r="B1289" s="176">
        <v>46060</v>
      </c>
      <c r="C1289" s="172" t="s">
        <v>92</v>
      </c>
      <c r="D1289" s="172" t="s">
        <v>97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-46.77</v>
      </c>
    </row>
    <row r="1290" spans="1:16" ht="19.5" customHeight="1">
      <c r="A1290" s="172" t="s">
        <v>1677</v>
      </c>
      <c r="B1290" s="176">
        <v>46060</v>
      </c>
      <c r="C1290" s="172" t="s">
        <v>81</v>
      </c>
      <c r="D1290" s="172" t="s">
        <v>98</v>
      </c>
      <c r="E1290" s="172" t="s">
        <v>39</v>
      </c>
      <c r="F1290" s="172" t="s">
        <v>117</v>
      </c>
      <c r="G1290" s="172" t="s">
        <v>84</v>
      </c>
      <c r="H1290" s="177">
        <v>1</v>
      </c>
      <c r="I1290" s="178">
        <v>0</v>
      </c>
      <c r="J1290" s="176">
        <v>46055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-15</v>
      </c>
    </row>
    <row r="1291" spans="1:16" ht="19.5" customHeight="1">
      <c r="A1291" s="172" t="s">
        <v>1676</v>
      </c>
      <c r="B1291" s="176">
        <v>46060</v>
      </c>
      <c r="C1291" s="172" t="s">
        <v>81</v>
      </c>
      <c r="D1291" s="172" t="s">
        <v>82</v>
      </c>
      <c r="E1291" s="172" t="s">
        <v>52</v>
      </c>
      <c r="F1291" s="172" t="s">
        <v>90</v>
      </c>
      <c r="G1291" s="172" t="s">
        <v>84</v>
      </c>
      <c r="H1291" s="177">
        <v>1</v>
      </c>
      <c r="I1291" s="178">
        <v>0</v>
      </c>
      <c r="J1291" s="176">
        <v>46056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-15.85</v>
      </c>
    </row>
    <row r="1292" spans="1:16" ht="19.5" customHeight="1">
      <c r="A1292" s="172" t="s">
        <v>1678</v>
      </c>
      <c r="B1292" s="176">
        <v>46060</v>
      </c>
      <c r="C1292" s="172" t="s">
        <v>92</v>
      </c>
      <c r="D1292" s="172" t="s">
        <v>24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0.43</v>
      </c>
      <c r="N1292" s="177"/>
      <c r="O1292" s="177">
        <v>39</v>
      </c>
      <c r="P1292" s="180">
        <v>-120.82</v>
      </c>
    </row>
    <row r="1293" spans="1:16" ht="19.5" customHeight="1">
      <c r="A1293" s="172" t="s">
        <v>1678</v>
      </c>
      <c r="B1293" s="176">
        <v>46060</v>
      </c>
      <c r="C1293" s="172" t="s">
        <v>100</v>
      </c>
      <c r="D1293" s="172" t="s">
        <v>101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845.71</v>
      </c>
    </row>
    <row r="1294" spans="1:16" ht="19.5" customHeight="1">
      <c r="A1294" s="172" t="s">
        <v>1678</v>
      </c>
      <c r="B1294" s="176">
        <v>46060</v>
      </c>
      <c r="C1294" s="172" t="s">
        <v>100</v>
      </c>
      <c r="D1294" s="172" t="s">
        <v>102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8.4600000000000009</v>
      </c>
    </row>
    <row r="1295" spans="1:16" ht="19.5" customHeight="1">
      <c r="A1295" s="172" t="s">
        <v>1678</v>
      </c>
      <c r="B1295" s="176">
        <v>46060</v>
      </c>
      <c r="C1295" s="172" t="s">
        <v>100</v>
      </c>
      <c r="D1295" s="172" t="s">
        <v>103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1295.83</v>
      </c>
    </row>
    <row r="1296" spans="1:16" ht="19.5" customHeight="1">
      <c r="A1296" s="172" t="s">
        <v>1678</v>
      </c>
      <c r="B1296" s="176">
        <v>46060</v>
      </c>
      <c r="C1296" s="172" t="s">
        <v>104</v>
      </c>
      <c r="D1296" s="172" t="s">
        <v>105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-924.5</v>
      </c>
    </row>
    <row r="1297" spans="1:16" ht="19.5" customHeight="1">
      <c r="A1297" s="172" t="s">
        <v>1678</v>
      </c>
      <c r="B1297" s="176">
        <v>46060</v>
      </c>
      <c r="C1297" s="172" t="s">
        <v>81</v>
      </c>
      <c r="D1297" s="172" t="s">
        <v>95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2150</v>
      </c>
      <c r="J1297" s="176">
        <v>46059</v>
      </c>
      <c r="K1297" s="172" t="s">
        <v>93</v>
      </c>
      <c r="L1297" s="172" t="s">
        <v>94</v>
      </c>
      <c r="M1297" s="179">
        <v>0.43</v>
      </c>
      <c r="N1297" s="177"/>
      <c r="O1297" s="177"/>
      <c r="P1297" s="180">
        <v>-9.9700000000000006</v>
      </c>
    </row>
    <row r="1298" spans="1:16" ht="19.5" customHeight="1">
      <c r="A1298" s="172" t="s">
        <v>1678</v>
      </c>
      <c r="B1298" s="176">
        <v>46060</v>
      </c>
      <c r="C1298" s="172" t="s">
        <v>81</v>
      </c>
      <c r="D1298" s="172" t="s">
        <v>82</v>
      </c>
      <c r="E1298" s="172" t="s">
        <v>43</v>
      </c>
      <c r="F1298" s="172" t="s">
        <v>125</v>
      </c>
      <c r="G1298" s="172" t="s">
        <v>84</v>
      </c>
      <c r="H1298" s="177">
        <v>1</v>
      </c>
      <c r="I1298" s="178">
        <v>0</v>
      </c>
      <c r="J1298" s="176">
        <v>46059</v>
      </c>
      <c r="K1298" s="172" t="s">
        <v>85</v>
      </c>
      <c r="L1298" s="172" t="s">
        <v>85</v>
      </c>
      <c r="M1298" s="179">
        <v>0</v>
      </c>
      <c r="N1298" s="177"/>
      <c r="O1298" s="177"/>
      <c r="P1298" s="180">
        <v>-16.07</v>
      </c>
    </row>
    <row r="1299" spans="1:16" ht="19.5" customHeight="1">
      <c r="A1299" s="172" t="s">
        <v>1533</v>
      </c>
      <c r="B1299" s="176">
        <v>46060</v>
      </c>
      <c r="C1299" s="172" t="s">
        <v>92</v>
      </c>
      <c r="D1299" s="172" t="s">
        <v>272</v>
      </c>
      <c r="E1299" s="172" t="s">
        <v>59</v>
      </c>
      <c r="F1299" s="172" t="s">
        <v>1389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0</v>
      </c>
    </row>
    <row r="1300" spans="1:16" ht="19.5" customHeight="1">
      <c r="A1300" s="172" t="s">
        <v>1533</v>
      </c>
      <c r="B1300" s="176">
        <v>46060</v>
      </c>
      <c r="C1300" s="172" t="s">
        <v>92</v>
      </c>
      <c r="D1300" s="172" t="s">
        <v>97</v>
      </c>
      <c r="E1300" s="172" t="s">
        <v>59</v>
      </c>
      <c r="F1300" s="172" t="s">
        <v>1389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-56.94</v>
      </c>
    </row>
    <row r="1301" spans="1:16" ht="19.5" customHeight="1">
      <c r="A1301" s="172" t="s">
        <v>1533</v>
      </c>
      <c r="B1301" s="176">
        <v>46060</v>
      </c>
      <c r="C1301" s="172" t="s">
        <v>81</v>
      </c>
      <c r="D1301" s="172" t="s">
        <v>98</v>
      </c>
      <c r="E1301" s="172" t="s">
        <v>59</v>
      </c>
      <c r="F1301" s="172" t="s">
        <v>1389</v>
      </c>
      <c r="G1301" s="172" t="s">
        <v>84</v>
      </c>
      <c r="H1301" s="177">
        <v>1</v>
      </c>
      <c r="I1301" s="178">
        <v>0</v>
      </c>
      <c r="J1301" s="176">
        <v>46056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-15</v>
      </c>
    </row>
    <row r="1302" spans="1:16" ht="19.5" customHeight="1">
      <c r="A1302" s="172" t="s">
        <v>1679</v>
      </c>
      <c r="B1302" s="176">
        <v>46060</v>
      </c>
      <c r="C1302" s="172" t="s">
        <v>81</v>
      </c>
      <c r="D1302" s="172" t="s">
        <v>82</v>
      </c>
      <c r="E1302" s="172" t="s">
        <v>40</v>
      </c>
      <c r="F1302" s="172" t="s">
        <v>197</v>
      </c>
      <c r="G1302" s="172" t="s">
        <v>84</v>
      </c>
      <c r="H1302" s="177">
        <v>1</v>
      </c>
      <c r="I1302" s="178">
        <v>0</v>
      </c>
      <c r="J1302" s="176">
        <v>46060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-18.75</v>
      </c>
    </row>
    <row r="1303" spans="1:16" ht="19.5" customHeight="1">
      <c r="A1303" s="172" t="s">
        <v>1680</v>
      </c>
      <c r="B1303" s="176">
        <v>46060</v>
      </c>
      <c r="C1303" s="172" t="s">
        <v>92</v>
      </c>
      <c r="D1303" s="172" t="s">
        <v>24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-135.87</v>
      </c>
    </row>
    <row r="1304" spans="1:16" ht="19.5" customHeight="1">
      <c r="A1304" s="172" t="s">
        <v>1680</v>
      </c>
      <c r="B1304" s="176">
        <v>46060</v>
      </c>
      <c r="C1304" s="172" t="s">
        <v>100</v>
      </c>
      <c r="D1304" s="172" t="s">
        <v>101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748.57</v>
      </c>
    </row>
    <row r="1305" spans="1:16" ht="19.5" customHeight="1">
      <c r="A1305" s="172" t="s">
        <v>1680</v>
      </c>
      <c r="B1305" s="176">
        <v>46060</v>
      </c>
      <c r="C1305" s="172" t="s">
        <v>100</v>
      </c>
      <c r="D1305" s="172" t="s">
        <v>102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7.49</v>
      </c>
    </row>
    <row r="1306" spans="1:16" ht="19.5" customHeight="1">
      <c r="A1306" s="172" t="s">
        <v>1680</v>
      </c>
      <c r="B1306" s="176">
        <v>46060</v>
      </c>
      <c r="C1306" s="172" t="s">
        <v>100</v>
      </c>
      <c r="D1306" s="172" t="s">
        <v>103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1393.94</v>
      </c>
    </row>
    <row r="1307" spans="1:16" ht="19.5" customHeight="1">
      <c r="A1307" s="172" t="s">
        <v>1680</v>
      </c>
      <c r="B1307" s="176">
        <v>46060</v>
      </c>
      <c r="C1307" s="172" t="s">
        <v>104</v>
      </c>
      <c r="D1307" s="172" t="s">
        <v>105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-924.5</v>
      </c>
    </row>
    <row r="1308" spans="1:16" ht="19.5" customHeight="1">
      <c r="A1308" s="172" t="s">
        <v>1680</v>
      </c>
      <c r="B1308" s="176">
        <v>46060</v>
      </c>
      <c r="C1308" s="172" t="s">
        <v>81</v>
      </c>
      <c r="D1308" s="172" t="s">
        <v>95</v>
      </c>
      <c r="E1308" s="172" t="s">
        <v>53</v>
      </c>
      <c r="F1308" s="172" t="s">
        <v>120</v>
      </c>
      <c r="G1308" s="172" t="s">
        <v>84</v>
      </c>
      <c r="H1308" s="177">
        <v>1</v>
      </c>
      <c r="I1308" s="178">
        <v>2150</v>
      </c>
      <c r="J1308" s="176">
        <v>46059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-13.56</v>
      </c>
    </row>
    <row r="1309" spans="1:16" ht="19.5" customHeight="1">
      <c r="A1309" s="172" t="s">
        <v>1512</v>
      </c>
      <c r="B1309" s="176">
        <v>46060</v>
      </c>
      <c r="C1309" s="172" t="s">
        <v>81</v>
      </c>
      <c r="D1309" s="172" t="s">
        <v>82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16.2</v>
      </c>
    </row>
    <row r="1310" spans="1:16" ht="19.5" customHeight="1">
      <c r="A1310" s="172" t="s">
        <v>1583</v>
      </c>
      <c r="B1310" s="176">
        <v>46060</v>
      </c>
      <c r="C1310" s="172" t="s">
        <v>92</v>
      </c>
      <c r="D1310" s="172" t="s">
        <v>272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0</v>
      </c>
    </row>
    <row r="1311" spans="1:16" ht="19.5" customHeight="1">
      <c r="A1311" s="172" t="s">
        <v>1583</v>
      </c>
      <c r="B1311" s="176">
        <v>46060</v>
      </c>
      <c r="C1311" s="172" t="s">
        <v>92</v>
      </c>
      <c r="D1311" s="172" t="s">
        <v>97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-46.77</v>
      </c>
    </row>
    <row r="1312" spans="1:16" ht="19.5" customHeight="1">
      <c r="A1312" s="172" t="s">
        <v>1583</v>
      </c>
      <c r="B1312" s="176">
        <v>46060</v>
      </c>
      <c r="C1312" s="172" t="s">
        <v>81</v>
      </c>
      <c r="D1312" s="172" t="s">
        <v>98</v>
      </c>
      <c r="E1312" s="172" t="s">
        <v>42</v>
      </c>
      <c r="F1312" s="172" t="s">
        <v>89</v>
      </c>
      <c r="G1312" s="172" t="s">
        <v>84</v>
      </c>
      <c r="H1312" s="177">
        <v>1</v>
      </c>
      <c r="I1312" s="178">
        <v>0</v>
      </c>
      <c r="J1312" s="176">
        <v>46057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-15</v>
      </c>
    </row>
    <row r="1313" spans="1:16" ht="19.5" customHeight="1">
      <c r="A1313" s="172" t="s">
        <v>1681</v>
      </c>
      <c r="B1313" s="176">
        <v>46060</v>
      </c>
      <c r="C1313" s="172" t="s">
        <v>92</v>
      </c>
      <c r="D1313" s="172" t="s">
        <v>24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>
        <v>41</v>
      </c>
      <c r="P1313" s="180">
        <v>-56.94</v>
      </c>
    </row>
    <row r="1314" spans="1:16" ht="19.5" customHeight="1">
      <c r="A1314" s="172" t="s">
        <v>1681</v>
      </c>
      <c r="B1314" s="176">
        <v>46060</v>
      </c>
      <c r="C1314" s="172" t="s">
        <v>81</v>
      </c>
      <c r="D1314" s="172" t="s">
        <v>95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-18.670000000000002</v>
      </c>
    </row>
    <row r="1315" spans="1:16" ht="19.5" customHeight="1">
      <c r="A1315" s="172" t="s">
        <v>1681</v>
      </c>
      <c r="B1315" s="176">
        <v>46060</v>
      </c>
      <c r="C1315" s="172" t="s">
        <v>92</v>
      </c>
      <c r="D1315" s="172" t="s">
        <v>96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0</v>
      </c>
    </row>
    <row r="1316" spans="1:16" ht="19.5" customHeight="1">
      <c r="A1316" s="172" t="s">
        <v>1681</v>
      </c>
      <c r="B1316" s="176">
        <v>46060</v>
      </c>
      <c r="C1316" s="172" t="s">
        <v>92</v>
      </c>
      <c r="D1316" s="172" t="s">
        <v>97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-56.94</v>
      </c>
    </row>
    <row r="1317" spans="1:16" ht="19.5" customHeight="1">
      <c r="A1317" s="172" t="s">
        <v>1681</v>
      </c>
      <c r="B1317" s="176">
        <v>46060</v>
      </c>
      <c r="C1317" s="172" t="s">
        <v>81</v>
      </c>
      <c r="D1317" s="172" t="s">
        <v>98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0</v>
      </c>
      <c r="J1317" s="176">
        <v>46056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-15</v>
      </c>
    </row>
    <row r="1318" spans="1:16" ht="19.5" customHeight="1">
      <c r="A1318" s="172" t="s">
        <v>1682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-15.99</v>
      </c>
    </row>
    <row r="1319" spans="1:16" ht="19.5" customHeight="1">
      <c r="A1319" s="172" t="s">
        <v>1682</v>
      </c>
      <c r="B1319" s="176">
        <v>46060</v>
      </c>
      <c r="C1319" s="172" t="s">
        <v>81</v>
      </c>
      <c r="D1319" s="172" t="s">
        <v>82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15.99</v>
      </c>
    </row>
    <row r="1320" spans="1:16" ht="19.5" customHeight="1">
      <c r="A1320" s="172" t="s">
        <v>1683</v>
      </c>
      <c r="B1320" s="176">
        <v>46060</v>
      </c>
      <c r="C1320" s="172" t="s">
        <v>81</v>
      </c>
      <c r="D1320" s="172" t="s">
        <v>82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0</v>
      </c>
      <c r="J1320" s="176">
        <v>46060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-15.37</v>
      </c>
    </row>
    <row r="1321" spans="1:16" ht="19.5" customHeight="1">
      <c r="A1321" s="172" t="s">
        <v>1684</v>
      </c>
      <c r="B1321" s="176">
        <v>46060</v>
      </c>
      <c r="C1321" s="172" t="s">
        <v>92</v>
      </c>
      <c r="D1321" s="172" t="s">
        <v>24</v>
      </c>
      <c r="E1321" s="172" t="s">
        <v>57</v>
      </c>
      <c r="F1321" s="172" t="s">
        <v>1265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0.43</v>
      </c>
      <c r="N1321" s="177"/>
      <c r="O1321" s="177">
        <v>39</v>
      </c>
      <c r="P1321" s="180">
        <v>-132.27000000000001</v>
      </c>
    </row>
    <row r="1322" spans="1:16" ht="19.5" customHeight="1">
      <c r="A1322" s="172" t="s">
        <v>1684</v>
      </c>
      <c r="B1322" s="176">
        <v>46060</v>
      </c>
      <c r="C1322" s="172" t="s">
        <v>100</v>
      </c>
      <c r="D1322" s="172" t="s">
        <v>101</v>
      </c>
      <c r="E1322" s="172" t="s">
        <v>57</v>
      </c>
      <c r="F1322" s="172" t="s">
        <v>1265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876.19</v>
      </c>
    </row>
    <row r="1323" spans="1:16" ht="19.5" customHeight="1">
      <c r="A1323" s="172" t="s">
        <v>1684</v>
      </c>
      <c r="B1323" s="176">
        <v>46060</v>
      </c>
      <c r="C1323" s="172" t="s">
        <v>100</v>
      </c>
      <c r="D1323" s="172" t="s">
        <v>102</v>
      </c>
      <c r="E1323" s="172" t="s">
        <v>57</v>
      </c>
      <c r="F1323" s="172" t="s">
        <v>1265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8.76</v>
      </c>
    </row>
    <row r="1324" spans="1:16" ht="19.5" customHeight="1">
      <c r="A1324" s="172" t="s">
        <v>1684</v>
      </c>
      <c r="B1324" s="176">
        <v>46060</v>
      </c>
      <c r="C1324" s="172" t="s">
        <v>100</v>
      </c>
      <c r="D1324" s="172" t="s">
        <v>103</v>
      </c>
      <c r="E1324" s="172" t="s">
        <v>57</v>
      </c>
      <c r="F1324" s="172" t="s">
        <v>1265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1115.05</v>
      </c>
    </row>
    <row r="1325" spans="1:16" ht="19.5" customHeight="1">
      <c r="A1325" s="172" t="s">
        <v>1684</v>
      </c>
      <c r="B1325" s="176">
        <v>46060</v>
      </c>
      <c r="C1325" s="172" t="s">
        <v>104</v>
      </c>
      <c r="D1325" s="172" t="s">
        <v>105</v>
      </c>
      <c r="E1325" s="172" t="s">
        <v>57</v>
      </c>
      <c r="F1325" s="172" t="s">
        <v>1265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-860</v>
      </c>
    </row>
    <row r="1326" spans="1:16" ht="19.5" customHeight="1">
      <c r="A1326" s="172" t="s">
        <v>1684</v>
      </c>
      <c r="B1326" s="176">
        <v>46060</v>
      </c>
      <c r="C1326" s="172" t="s">
        <v>81</v>
      </c>
      <c r="D1326" s="172" t="s">
        <v>95</v>
      </c>
      <c r="E1326" s="172" t="s">
        <v>57</v>
      </c>
      <c r="F1326" s="172" t="s">
        <v>1265</v>
      </c>
      <c r="G1326" s="172" t="s">
        <v>84</v>
      </c>
      <c r="H1326" s="177">
        <v>1</v>
      </c>
      <c r="I1326" s="178">
        <v>2000</v>
      </c>
      <c r="J1326" s="176">
        <v>46058</v>
      </c>
      <c r="K1326" s="172" t="s">
        <v>93</v>
      </c>
      <c r="L1326" s="172" t="s">
        <v>94</v>
      </c>
      <c r="M1326" s="179">
        <v>0.43</v>
      </c>
      <c r="N1326" s="177"/>
      <c r="O1326" s="177"/>
      <c r="P1326" s="180">
        <v>-13.18</v>
      </c>
    </row>
    <row r="1327" spans="1:16" ht="19.5" customHeight="1">
      <c r="A1327" s="172" t="s">
        <v>1684</v>
      </c>
      <c r="B1327" s="176">
        <v>46060</v>
      </c>
      <c r="C1327" s="172" t="s">
        <v>81</v>
      </c>
      <c r="D1327" s="172" t="s">
        <v>82</v>
      </c>
      <c r="E1327" s="172" t="s">
        <v>57</v>
      </c>
      <c r="F1327" s="172" t="s">
        <v>1265</v>
      </c>
      <c r="G1327" s="172" t="s">
        <v>84</v>
      </c>
      <c r="H1327" s="177">
        <v>1</v>
      </c>
      <c r="I1327" s="178">
        <v>0</v>
      </c>
      <c r="J1327" s="176">
        <v>46058</v>
      </c>
      <c r="K1327" s="172" t="s">
        <v>85</v>
      </c>
      <c r="L1327" s="172" t="s">
        <v>85</v>
      </c>
      <c r="M1327" s="179">
        <v>0</v>
      </c>
      <c r="N1327" s="177"/>
      <c r="O1327" s="177"/>
      <c r="P1327" s="180">
        <v>-16.649999999999999</v>
      </c>
    </row>
    <row r="1328" spans="1:16" ht="19.5" customHeight="1">
      <c r="A1328" s="172" t="s">
        <v>1685</v>
      </c>
      <c r="B1328" s="176">
        <v>46060</v>
      </c>
      <c r="C1328" s="172" t="s">
        <v>92</v>
      </c>
      <c r="D1328" s="172" t="s">
        <v>24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0.43</v>
      </c>
      <c r="N1328" s="177"/>
      <c r="O1328" s="177">
        <v>39</v>
      </c>
      <c r="P1328" s="180">
        <v>-135.87</v>
      </c>
    </row>
    <row r="1329" spans="1:16" ht="19.5" customHeight="1">
      <c r="A1329" s="172" t="s">
        <v>1685</v>
      </c>
      <c r="B1329" s="176">
        <v>46060</v>
      </c>
      <c r="C1329" s="172" t="s">
        <v>100</v>
      </c>
      <c r="D1329" s="172" t="s">
        <v>101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780</v>
      </c>
    </row>
    <row r="1330" spans="1:16" ht="19.5" customHeight="1">
      <c r="A1330" s="172" t="s">
        <v>1685</v>
      </c>
      <c r="B1330" s="176">
        <v>46060</v>
      </c>
      <c r="C1330" s="172" t="s">
        <v>100</v>
      </c>
      <c r="D1330" s="172" t="s">
        <v>102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7.8</v>
      </c>
    </row>
    <row r="1331" spans="1:16" ht="19.5" customHeight="1">
      <c r="A1331" s="172" t="s">
        <v>1685</v>
      </c>
      <c r="B1331" s="176">
        <v>46060</v>
      </c>
      <c r="C1331" s="172" t="s">
        <v>100</v>
      </c>
      <c r="D1331" s="172" t="s">
        <v>103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1362.2</v>
      </c>
    </row>
    <row r="1332" spans="1:16" ht="19.5" customHeight="1">
      <c r="A1332" s="172" t="s">
        <v>1685</v>
      </c>
      <c r="B1332" s="176">
        <v>46060</v>
      </c>
      <c r="C1332" s="172" t="s">
        <v>104</v>
      </c>
      <c r="D1332" s="172" t="s">
        <v>105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2150</v>
      </c>
      <c r="J1332" s="176">
        <v>46059</v>
      </c>
      <c r="K1332" s="172" t="s">
        <v>93</v>
      </c>
      <c r="L1332" s="172" t="s">
        <v>94</v>
      </c>
      <c r="M1332" s="179">
        <v>0.43</v>
      </c>
      <c r="N1332" s="177"/>
      <c r="O1332" s="177"/>
      <c r="P1332" s="180">
        <v>-924.5</v>
      </c>
    </row>
    <row r="1333" spans="1:16" ht="19.5" customHeight="1">
      <c r="A1333" s="172" t="s">
        <v>1686</v>
      </c>
      <c r="B1333" s="176">
        <v>46060</v>
      </c>
      <c r="C1333" s="172" t="s">
        <v>92</v>
      </c>
      <c r="D1333" s="172" t="s">
        <v>24</v>
      </c>
      <c r="E1333" s="172" t="s">
        <v>59</v>
      </c>
      <c r="F1333" s="172" t="s">
        <v>1389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0.43</v>
      </c>
      <c r="N1333" s="177"/>
      <c r="O1333" s="177">
        <v>40</v>
      </c>
      <c r="P1333" s="180">
        <v>-136.97999999999999</v>
      </c>
    </row>
    <row r="1334" spans="1:16" ht="19.5" customHeight="1">
      <c r="A1334" s="172" t="s">
        <v>1686</v>
      </c>
      <c r="B1334" s="176">
        <v>46060</v>
      </c>
      <c r="C1334" s="172" t="s">
        <v>100</v>
      </c>
      <c r="D1334" s="172" t="s">
        <v>101</v>
      </c>
      <c r="E1334" s="172" t="s">
        <v>59</v>
      </c>
      <c r="F1334" s="172" t="s">
        <v>1389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910.98</v>
      </c>
    </row>
    <row r="1335" spans="1:16" ht="19.5" customHeight="1">
      <c r="A1335" s="172" t="s">
        <v>1686</v>
      </c>
      <c r="B1335" s="176">
        <v>46060</v>
      </c>
      <c r="C1335" s="172" t="s">
        <v>100</v>
      </c>
      <c r="D1335" s="172" t="s">
        <v>102</v>
      </c>
      <c r="E1335" s="172" t="s">
        <v>59</v>
      </c>
      <c r="F1335" s="172" t="s">
        <v>1389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9.11</v>
      </c>
    </row>
    <row r="1336" spans="1:16" ht="19.5" customHeight="1">
      <c r="A1336" s="172" t="s">
        <v>1686</v>
      </c>
      <c r="B1336" s="176">
        <v>46060</v>
      </c>
      <c r="C1336" s="172" t="s">
        <v>100</v>
      </c>
      <c r="D1336" s="172" t="s">
        <v>103</v>
      </c>
      <c r="E1336" s="172" t="s">
        <v>59</v>
      </c>
      <c r="F1336" s="172" t="s">
        <v>1389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1079.9100000000001</v>
      </c>
    </row>
    <row r="1337" spans="1:16" ht="19.5" customHeight="1">
      <c r="A1337" s="172" t="s">
        <v>1686</v>
      </c>
      <c r="B1337" s="176">
        <v>46060</v>
      </c>
      <c r="C1337" s="172" t="s">
        <v>104</v>
      </c>
      <c r="D1337" s="172" t="s">
        <v>105</v>
      </c>
      <c r="E1337" s="172" t="s">
        <v>59</v>
      </c>
      <c r="F1337" s="172" t="s">
        <v>1389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-860</v>
      </c>
    </row>
    <row r="1338" spans="1:16" ht="19.5" customHeight="1">
      <c r="A1338" s="172" t="s">
        <v>1686</v>
      </c>
      <c r="B1338" s="176">
        <v>46060</v>
      </c>
      <c r="C1338" s="172" t="s">
        <v>81</v>
      </c>
      <c r="D1338" s="172" t="s">
        <v>95</v>
      </c>
      <c r="E1338" s="172" t="s">
        <v>59</v>
      </c>
      <c r="F1338" s="172" t="s">
        <v>1389</v>
      </c>
      <c r="G1338" s="172" t="s">
        <v>84</v>
      </c>
      <c r="H1338" s="177">
        <v>1</v>
      </c>
      <c r="I1338" s="178">
        <v>2000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-12.57</v>
      </c>
    </row>
    <row r="1339" spans="1:16" ht="19.5" customHeight="1">
      <c r="A1339" s="172" t="s">
        <v>1687</v>
      </c>
      <c r="B1339" s="176">
        <v>46060</v>
      </c>
      <c r="C1339" s="172" t="s">
        <v>92</v>
      </c>
      <c r="D1339" s="172" t="s">
        <v>24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0.43</v>
      </c>
      <c r="N1339" s="177"/>
      <c r="O1339" s="177">
        <v>40</v>
      </c>
      <c r="P1339" s="180">
        <v>-125.45</v>
      </c>
    </row>
    <row r="1340" spans="1:16" ht="19.5" customHeight="1">
      <c r="A1340" s="172" t="s">
        <v>1687</v>
      </c>
      <c r="B1340" s="176">
        <v>46060</v>
      </c>
      <c r="C1340" s="172" t="s">
        <v>100</v>
      </c>
      <c r="D1340" s="172" t="s">
        <v>101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1095.06</v>
      </c>
    </row>
    <row r="1341" spans="1:16" ht="19.5" customHeight="1">
      <c r="A1341" s="172" t="s">
        <v>1687</v>
      </c>
      <c r="B1341" s="176">
        <v>46060</v>
      </c>
      <c r="C1341" s="172" t="s">
        <v>100</v>
      </c>
      <c r="D1341" s="172" t="s">
        <v>102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customHeight="1">
      <c r="A1342" s="172" t="s">
        <v>1687</v>
      </c>
      <c r="B1342" s="176">
        <v>46060</v>
      </c>
      <c r="C1342" s="172" t="s">
        <v>100</v>
      </c>
      <c r="D1342" s="172" t="s">
        <v>103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1054.94</v>
      </c>
    </row>
    <row r="1343" spans="1:16" ht="19.5" customHeight="1">
      <c r="A1343" s="172" t="s">
        <v>1687</v>
      </c>
      <c r="B1343" s="176">
        <v>46060</v>
      </c>
      <c r="C1343" s="172" t="s">
        <v>104</v>
      </c>
      <c r="D1343" s="172" t="s">
        <v>105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-924.5</v>
      </c>
    </row>
    <row r="1344" spans="1:16" ht="19.5" customHeight="1">
      <c r="A1344" s="172" t="s">
        <v>1687</v>
      </c>
      <c r="B1344" s="176">
        <v>46060</v>
      </c>
      <c r="C1344" s="172" t="s">
        <v>81</v>
      </c>
      <c r="D1344" s="172" t="s">
        <v>95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2150</v>
      </c>
      <c r="J1344" s="176">
        <v>46057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-18.86</v>
      </c>
    </row>
    <row r="1345" spans="1:16" ht="19.5" customHeight="1">
      <c r="A1345" s="172" t="s">
        <v>1687</v>
      </c>
      <c r="B1345" s="176">
        <v>46060</v>
      </c>
      <c r="C1345" s="172" t="s">
        <v>81</v>
      </c>
      <c r="D1345" s="172" t="s">
        <v>82</v>
      </c>
      <c r="E1345" s="172" t="s">
        <v>41</v>
      </c>
      <c r="F1345" s="172" t="s">
        <v>83</v>
      </c>
      <c r="G1345" s="172" t="s">
        <v>84</v>
      </c>
      <c r="H1345" s="177">
        <v>1</v>
      </c>
      <c r="I1345" s="178">
        <v>0</v>
      </c>
      <c r="J1345" s="176">
        <v>46057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-6.13</v>
      </c>
    </row>
    <row r="1346" spans="1:16" ht="19.5" customHeight="1">
      <c r="A1346" s="172" t="s">
        <v>1688</v>
      </c>
      <c r="B1346" s="176">
        <v>46060</v>
      </c>
      <c r="C1346" s="172" t="s">
        <v>92</v>
      </c>
      <c r="D1346" s="172" t="s">
        <v>24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0.43</v>
      </c>
      <c r="N1346" s="177"/>
      <c r="O1346" s="177">
        <v>39</v>
      </c>
      <c r="P1346" s="180">
        <v>-125.62</v>
      </c>
    </row>
    <row r="1347" spans="1:16" ht="19.5" customHeight="1">
      <c r="A1347" s="172" t="s">
        <v>1688</v>
      </c>
      <c r="B1347" s="176">
        <v>46060</v>
      </c>
      <c r="C1347" s="172" t="s">
        <v>100</v>
      </c>
      <c r="D1347" s="172" t="s">
        <v>101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1397.14</v>
      </c>
    </row>
    <row r="1348" spans="1:16" ht="19.5" customHeight="1">
      <c r="A1348" s="172" t="s">
        <v>1688</v>
      </c>
      <c r="B1348" s="176">
        <v>46060</v>
      </c>
      <c r="C1348" s="172" t="s">
        <v>100</v>
      </c>
      <c r="D1348" s="172" t="s">
        <v>102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13.97</v>
      </c>
    </row>
    <row r="1349" spans="1:16" ht="19.5" customHeight="1">
      <c r="A1349" s="172" t="s">
        <v>1688</v>
      </c>
      <c r="B1349" s="176">
        <v>46060</v>
      </c>
      <c r="C1349" s="172" t="s">
        <v>100</v>
      </c>
      <c r="D1349" s="172" t="s">
        <v>103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938.89</v>
      </c>
    </row>
    <row r="1350" spans="1:16" ht="19.5" customHeight="1">
      <c r="A1350" s="172" t="s">
        <v>1688</v>
      </c>
      <c r="B1350" s="176">
        <v>46060</v>
      </c>
      <c r="C1350" s="172" t="s">
        <v>104</v>
      </c>
      <c r="D1350" s="172" t="s">
        <v>105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-1010.5</v>
      </c>
    </row>
    <row r="1351" spans="1:16" ht="19.5" customHeight="1">
      <c r="A1351" s="172" t="s">
        <v>1688</v>
      </c>
      <c r="B1351" s="176">
        <v>46060</v>
      </c>
      <c r="C1351" s="172" t="s">
        <v>81</v>
      </c>
      <c r="D1351" s="172" t="s">
        <v>95</v>
      </c>
      <c r="E1351" s="172" t="s">
        <v>39</v>
      </c>
      <c r="F1351" s="172" t="s">
        <v>117</v>
      </c>
      <c r="G1351" s="172" t="s">
        <v>84</v>
      </c>
      <c r="H1351" s="177">
        <v>1</v>
      </c>
      <c r="I1351" s="178">
        <v>2350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-25</v>
      </c>
    </row>
    <row r="1352" spans="1:16" ht="19.5" customHeight="1">
      <c r="A1352" s="172" t="s">
        <v>1689</v>
      </c>
      <c r="B1352" s="176">
        <v>46060</v>
      </c>
      <c r="C1352" s="172" t="s">
        <v>92</v>
      </c>
      <c r="D1352" s="172" t="s">
        <v>24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0.43</v>
      </c>
      <c r="N1352" s="177"/>
      <c r="O1352" s="177">
        <v>39</v>
      </c>
      <c r="P1352" s="180">
        <v>-135.87</v>
      </c>
    </row>
    <row r="1353" spans="1:16" ht="19.5" customHeight="1">
      <c r="A1353" s="172" t="s">
        <v>1689</v>
      </c>
      <c r="B1353" s="176">
        <v>46060</v>
      </c>
      <c r="C1353" s="172" t="s">
        <v>100</v>
      </c>
      <c r="D1353" s="172" t="s">
        <v>101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819.05</v>
      </c>
    </row>
    <row r="1354" spans="1:16" ht="19.5" customHeight="1">
      <c r="A1354" s="172" t="s">
        <v>1689</v>
      </c>
      <c r="B1354" s="176">
        <v>46060</v>
      </c>
      <c r="C1354" s="172" t="s">
        <v>100</v>
      </c>
      <c r="D1354" s="172" t="s">
        <v>102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0</v>
      </c>
    </row>
    <row r="1355" spans="1:16" ht="19.5" customHeight="1">
      <c r="A1355" s="172" t="s">
        <v>1689</v>
      </c>
      <c r="B1355" s="176">
        <v>46060</v>
      </c>
      <c r="C1355" s="172" t="s">
        <v>100</v>
      </c>
      <c r="D1355" s="172" t="s">
        <v>103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1330.95</v>
      </c>
    </row>
    <row r="1356" spans="1:16" ht="19.5" customHeight="1">
      <c r="A1356" s="172" t="s">
        <v>1689</v>
      </c>
      <c r="B1356" s="176">
        <v>46060</v>
      </c>
      <c r="C1356" s="172" t="s">
        <v>104</v>
      </c>
      <c r="D1356" s="172" t="s">
        <v>105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-924.5</v>
      </c>
    </row>
    <row r="1357" spans="1:16" ht="19.5" customHeight="1">
      <c r="A1357" s="172" t="s">
        <v>1689</v>
      </c>
      <c r="B1357" s="176">
        <v>46060</v>
      </c>
      <c r="C1357" s="172" t="s">
        <v>81</v>
      </c>
      <c r="D1357" s="172" t="s">
        <v>95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2150</v>
      </c>
      <c r="J1357" s="176">
        <v>46059</v>
      </c>
      <c r="K1357" s="172" t="s">
        <v>93</v>
      </c>
      <c r="L1357" s="172" t="s">
        <v>94</v>
      </c>
      <c r="M1357" s="179">
        <v>0.43</v>
      </c>
      <c r="N1357" s="177"/>
      <c r="O1357" s="177"/>
      <c r="P1357" s="180">
        <v>-9.68</v>
      </c>
    </row>
    <row r="1358" spans="1:16" ht="19.5" customHeight="1">
      <c r="A1358" s="172" t="s">
        <v>1688</v>
      </c>
      <c r="B1358" s="176">
        <v>46060</v>
      </c>
      <c r="C1358" s="172" t="s">
        <v>81</v>
      </c>
      <c r="D1358" s="172" t="s">
        <v>82</v>
      </c>
      <c r="E1358" s="172" t="s">
        <v>39</v>
      </c>
      <c r="F1358" s="172" t="s">
        <v>117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-26.55</v>
      </c>
    </row>
    <row r="1359" spans="1:16" ht="19.5" customHeight="1">
      <c r="A1359" s="172" t="s">
        <v>1689</v>
      </c>
      <c r="B1359" s="176">
        <v>46060</v>
      </c>
      <c r="C1359" s="172" t="s">
        <v>81</v>
      </c>
      <c r="D1359" s="172" t="s">
        <v>82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46059</v>
      </c>
      <c r="K1359" s="172" t="s">
        <v>85</v>
      </c>
      <c r="L1359" s="172" t="s">
        <v>85</v>
      </c>
      <c r="M1359" s="179">
        <v>0</v>
      </c>
      <c r="N1359" s="177"/>
      <c r="O1359" s="177"/>
      <c r="P1359" s="180">
        <v>-4.59</v>
      </c>
    </row>
    <row r="1360" spans="1:16" ht="19.5" customHeight="1">
      <c r="A1360" s="172" t="s">
        <v>1690</v>
      </c>
      <c r="B1360" s="176">
        <v>46060</v>
      </c>
      <c r="C1360" s="172" t="s">
        <v>92</v>
      </c>
      <c r="D1360" s="172" t="s">
        <v>24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>
        <v>44</v>
      </c>
      <c r="P1360" s="180">
        <v>-56.94</v>
      </c>
    </row>
    <row r="1361" spans="1:16" ht="19.5" customHeight="1">
      <c r="A1361" s="172" t="s">
        <v>1690</v>
      </c>
      <c r="B1361" s="176">
        <v>46060</v>
      </c>
      <c r="C1361" s="172" t="s">
        <v>81</v>
      </c>
      <c r="D1361" s="172" t="s">
        <v>95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-12.58</v>
      </c>
    </row>
    <row r="1362" spans="1:16" ht="19.5" customHeight="1">
      <c r="A1362" s="172" t="s">
        <v>1690</v>
      </c>
      <c r="B1362" s="176">
        <v>46060</v>
      </c>
      <c r="C1362" s="172" t="s">
        <v>92</v>
      </c>
      <c r="D1362" s="172" t="s">
        <v>96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customHeight="1">
      <c r="A1363" s="172" t="s">
        <v>1690</v>
      </c>
      <c r="B1363" s="176">
        <v>46060</v>
      </c>
      <c r="C1363" s="172" t="s">
        <v>92</v>
      </c>
      <c r="D1363" s="172" t="s">
        <v>97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customHeight="1">
      <c r="A1364" s="172" t="s">
        <v>1690</v>
      </c>
      <c r="B1364" s="176">
        <v>46060</v>
      </c>
      <c r="C1364" s="172" t="s">
        <v>81</v>
      </c>
      <c r="D1364" s="172" t="s">
        <v>98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0</v>
      </c>
      <c r="J1364" s="176">
        <v>46053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customHeight="1">
      <c r="A1365" s="172" t="s">
        <v>1691</v>
      </c>
      <c r="B1365" s="176">
        <v>46060</v>
      </c>
      <c r="C1365" s="172" t="s">
        <v>92</v>
      </c>
      <c r="D1365" s="172" t="s">
        <v>24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0.43</v>
      </c>
      <c r="N1365" s="177"/>
      <c r="O1365" s="177">
        <v>39</v>
      </c>
      <c r="P1365" s="180">
        <v>-135.87</v>
      </c>
    </row>
    <row r="1366" spans="1:16" ht="19.5" customHeight="1">
      <c r="A1366" s="172" t="s">
        <v>1691</v>
      </c>
      <c r="B1366" s="176">
        <v>46060</v>
      </c>
      <c r="C1366" s="172" t="s">
        <v>100</v>
      </c>
      <c r="D1366" s="172" t="s">
        <v>101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747.15</v>
      </c>
    </row>
    <row r="1367" spans="1:16" ht="19.5" customHeight="1">
      <c r="A1367" s="172" t="s">
        <v>1691</v>
      </c>
      <c r="B1367" s="176">
        <v>46060</v>
      </c>
      <c r="C1367" s="172" t="s">
        <v>100</v>
      </c>
      <c r="D1367" s="172" t="s">
        <v>102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7.47</v>
      </c>
    </row>
    <row r="1368" spans="1:16" ht="19.5" customHeight="1">
      <c r="A1368" s="172" t="s">
        <v>1691</v>
      </c>
      <c r="B1368" s="176">
        <v>46060</v>
      </c>
      <c r="C1368" s="172" t="s">
        <v>100</v>
      </c>
      <c r="D1368" s="172" t="s">
        <v>103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1395.38</v>
      </c>
    </row>
    <row r="1369" spans="1:16" ht="19.5" customHeight="1">
      <c r="A1369" s="172" t="s">
        <v>1691</v>
      </c>
      <c r="B1369" s="176">
        <v>46060</v>
      </c>
      <c r="C1369" s="172" t="s">
        <v>104</v>
      </c>
      <c r="D1369" s="172" t="s">
        <v>105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-924.5</v>
      </c>
    </row>
    <row r="1370" spans="1:16" ht="19.5" customHeight="1">
      <c r="A1370" s="172" t="s">
        <v>1691</v>
      </c>
      <c r="B1370" s="176">
        <v>46060</v>
      </c>
      <c r="C1370" s="172" t="s">
        <v>81</v>
      </c>
      <c r="D1370" s="172" t="s">
        <v>95</v>
      </c>
      <c r="E1370" s="172" t="s">
        <v>52</v>
      </c>
      <c r="F1370" s="172" t="s">
        <v>90</v>
      </c>
      <c r="G1370" s="172" t="s">
        <v>84</v>
      </c>
      <c r="H1370" s="177">
        <v>1</v>
      </c>
      <c r="I1370" s="178">
        <v>2150</v>
      </c>
      <c r="J1370" s="176">
        <v>46058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-15.56</v>
      </c>
    </row>
    <row r="1371" spans="1:16" ht="19.5" customHeight="1">
      <c r="A1371" s="172" t="s">
        <v>1687</v>
      </c>
      <c r="B1371" s="176">
        <v>46060</v>
      </c>
      <c r="C1371" s="172" t="s">
        <v>166</v>
      </c>
      <c r="D1371" s="172" t="s">
        <v>167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-1095.06</v>
      </c>
    </row>
    <row r="1372" spans="1:16" ht="19.5" customHeight="1">
      <c r="A1372" s="172" t="s">
        <v>1687</v>
      </c>
      <c r="B1372" s="176">
        <v>46060</v>
      </c>
      <c r="C1372" s="172" t="s">
        <v>166</v>
      </c>
      <c r="D1372" s="172" t="s">
        <v>102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0</v>
      </c>
    </row>
    <row r="1373" spans="1:16" ht="19.5" customHeight="1">
      <c r="A1373" s="172" t="s">
        <v>1687</v>
      </c>
      <c r="B1373" s="176">
        <v>46060</v>
      </c>
      <c r="C1373" s="172" t="s">
        <v>166</v>
      </c>
      <c r="D1373" s="172" t="s">
        <v>103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</v>
      </c>
      <c r="N1373" s="177"/>
      <c r="O1373" s="177"/>
      <c r="P1373" s="180">
        <v>-1054.94</v>
      </c>
    </row>
    <row r="1374" spans="1:16" ht="19.5" customHeight="1">
      <c r="A1374" s="172" t="s">
        <v>1687</v>
      </c>
      <c r="B1374" s="176">
        <v>46060</v>
      </c>
      <c r="C1374" s="172" t="s">
        <v>104</v>
      </c>
      <c r="D1374" s="172" t="s">
        <v>168</v>
      </c>
      <c r="E1374" s="172" t="s">
        <v>41</v>
      </c>
      <c r="F1374" s="172" t="s">
        <v>83</v>
      </c>
      <c r="G1374" s="172" t="s">
        <v>84</v>
      </c>
      <c r="H1374" s="177">
        <v>1</v>
      </c>
      <c r="I1374" s="178">
        <v>-2150</v>
      </c>
      <c r="J1374" s="176">
        <v>46057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924.5</v>
      </c>
    </row>
    <row r="1375" spans="1:16" ht="19.5" customHeight="1">
      <c r="A1375" s="172" t="s">
        <v>1691</v>
      </c>
      <c r="B1375" s="176">
        <v>46060</v>
      </c>
      <c r="C1375" s="172" t="s">
        <v>81</v>
      </c>
      <c r="D1375" s="172" t="s">
        <v>82</v>
      </c>
      <c r="E1375" s="172" t="s">
        <v>52</v>
      </c>
      <c r="F1375" s="172" t="s">
        <v>90</v>
      </c>
      <c r="G1375" s="172" t="s">
        <v>84</v>
      </c>
      <c r="H1375" s="177">
        <v>1</v>
      </c>
      <c r="I1375" s="178">
        <v>0</v>
      </c>
      <c r="J1375" s="176">
        <v>46058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-14.2</v>
      </c>
    </row>
    <row r="1376" spans="1:16" ht="19.5" customHeight="1">
      <c r="A1376" s="172" t="s">
        <v>1687</v>
      </c>
      <c r="B1376" s="176">
        <v>46060</v>
      </c>
      <c r="C1376" s="172" t="s">
        <v>81</v>
      </c>
      <c r="D1376" s="172" t="s">
        <v>82</v>
      </c>
      <c r="E1376" s="172" t="s">
        <v>41</v>
      </c>
      <c r="F1376" s="172" t="s">
        <v>83</v>
      </c>
      <c r="G1376" s="172" t="s">
        <v>84</v>
      </c>
      <c r="H1376" s="177">
        <v>1</v>
      </c>
      <c r="I1376" s="178">
        <v>0</v>
      </c>
      <c r="J1376" s="176">
        <v>46057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6.13</v>
      </c>
    </row>
    <row r="1377" spans="1:16" ht="19.5" customHeight="1">
      <c r="A1377" s="172" t="s">
        <v>1692</v>
      </c>
      <c r="B1377" s="176">
        <v>46060</v>
      </c>
      <c r="C1377" s="172" t="s">
        <v>81</v>
      </c>
      <c r="D1377" s="172" t="s">
        <v>82</v>
      </c>
      <c r="E1377" s="172" t="s">
        <v>60</v>
      </c>
      <c r="F1377" s="172" t="s">
        <v>1430</v>
      </c>
      <c r="G1377" s="172" t="s">
        <v>84</v>
      </c>
      <c r="H1377" s="177">
        <v>1</v>
      </c>
      <c r="I1377" s="178">
        <v>0</v>
      </c>
      <c r="J1377" s="176">
        <v>46060</v>
      </c>
      <c r="K1377" s="172" t="s">
        <v>85</v>
      </c>
      <c r="L1377" s="172" t="s">
        <v>85</v>
      </c>
      <c r="M1377" s="179">
        <v>0</v>
      </c>
      <c r="N1377" s="177"/>
      <c r="O1377" s="177"/>
      <c r="P1377" s="180">
        <v>-13.95</v>
      </c>
    </row>
    <row r="1378" spans="1:16" ht="19.5" customHeight="1">
      <c r="A1378" s="172" t="s">
        <v>1693</v>
      </c>
      <c r="B1378" s="176">
        <v>46060</v>
      </c>
      <c r="C1378" s="172" t="s">
        <v>92</v>
      </c>
      <c r="D1378" s="172" t="s">
        <v>24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0.43</v>
      </c>
      <c r="N1378" s="177"/>
      <c r="O1378" s="177">
        <v>39</v>
      </c>
      <c r="P1378" s="180">
        <v>-135.87</v>
      </c>
    </row>
    <row r="1379" spans="1:16" ht="19.5" customHeight="1">
      <c r="A1379" s="172" t="s">
        <v>1693</v>
      </c>
      <c r="B1379" s="176">
        <v>46060</v>
      </c>
      <c r="C1379" s="172" t="s">
        <v>100</v>
      </c>
      <c r="D1379" s="172" t="s">
        <v>101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819.05</v>
      </c>
    </row>
    <row r="1380" spans="1:16" ht="19.5" customHeight="1">
      <c r="A1380" s="172" t="s">
        <v>1693</v>
      </c>
      <c r="B1380" s="176">
        <v>46060</v>
      </c>
      <c r="C1380" s="172" t="s">
        <v>100</v>
      </c>
      <c r="D1380" s="172" t="s">
        <v>102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0</v>
      </c>
    </row>
    <row r="1381" spans="1:16" ht="19.5" customHeight="1">
      <c r="A1381" s="172" t="s">
        <v>1693</v>
      </c>
      <c r="B1381" s="176">
        <v>46060</v>
      </c>
      <c r="C1381" s="172" t="s">
        <v>100</v>
      </c>
      <c r="D1381" s="172" t="s">
        <v>103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1330.95</v>
      </c>
    </row>
    <row r="1382" spans="1:16" ht="19.5" customHeight="1">
      <c r="A1382" s="172" t="s">
        <v>1693</v>
      </c>
      <c r="B1382" s="176">
        <v>46060</v>
      </c>
      <c r="C1382" s="172" t="s">
        <v>104</v>
      </c>
      <c r="D1382" s="172" t="s">
        <v>105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-924.5</v>
      </c>
    </row>
    <row r="1383" spans="1:16" ht="19.5" customHeight="1">
      <c r="A1383" s="172" t="s">
        <v>1693</v>
      </c>
      <c r="B1383" s="176">
        <v>46060</v>
      </c>
      <c r="C1383" s="172" t="s">
        <v>81</v>
      </c>
      <c r="D1383" s="172" t="s">
        <v>95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46058</v>
      </c>
      <c r="K1383" s="172" t="s">
        <v>93</v>
      </c>
      <c r="L1383" s="172" t="s">
        <v>94</v>
      </c>
      <c r="M1383" s="179">
        <v>0.43</v>
      </c>
      <c r="N1383" s="177"/>
      <c r="O1383" s="177"/>
      <c r="P1383" s="180">
        <v>-16.010000000000002</v>
      </c>
    </row>
    <row r="1384" spans="1:16" ht="19.5" customHeight="1">
      <c r="A1384" s="172" t="s">
        <v>1694</v>
      </c>
      <c r="B1384" s="176">
        <v>46060</v>
      </c>
      <c r="C1384" s="172" t="s">
        <v>92</v>
      </c>
      <c r="D1384" s="172" t="s">
        <v>24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0.43</v>
      </c>
      <c r="N1384" s="177"/>
      <c r="O1384" s="177">
        <v>39</v>
      </c>
      <c r="P1384" s="180">
        <v>-135.87</v>
      </c>
    </row>
    <row r="1385" spans="1:16" ht="19.5" customHeight="1">
      <c r="A1385" s="172" t="s">
        <v>1694</v>
      </c>
      <c r="B1385" s="176">
        <v>46060</v>
      </c>
      <c r="C1385" s="172" t="s">
        <v>100</v>
      </c>
      <c r="D1385" s="172" t="s">
        <v>101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819.05</v>
      </c>
    </row>
    <row r="1386" spans="1:16" ht="19.5" customHeight="1">
      <c r="A1386" s="172" t="s">
        <v>1694</v>
      </c>
      <c r="B1386" s="176">
        <v>46060</v>
      </c>
      <c r="C1386" s="172" t="s">
        <v>100</v>
      </c>
      <c r="D1386" s="172" t="s">
        <v>102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customHeight="1">
      <c r="A1387" s="172" t="s">
        <v>1694</v>
      </c>
      <c r="B1387" s="176">
        <v>46060</v>
      </c>
      <c r="C1387" s="172" t="s">
        <v>100</v>
      </c>
      <c r="D1387" s="172" t="s">
        <v>103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1330.95</v>
      </c>
    </row>
    <row r="1388" spans="1:16" ht="19.5" customHeight="1">
      <c r="A1388" s="172" t="s">
        <v>1694</v>
      </c>
      <c r="B1388" s="176">
        <v>46060</v>
      </c>
      <c r="C1388" s="172" t="s">
        <v>104</v>
      </c>
      <c r="D1388" s="172" t="s">
        <v>105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-924.5</v>
      </c>
    </row>
    <row r="1389" spans="1:16" ht="19.5" customHeight="1">
      <c r="A1389" s="172" t="s">
        <v>1694</v>
      </c>
      <c r="B1389" s="176">
        <v>46060</v>
      </c>
      <c r="C1389" s="172" t="s">
        <v>81</v>
      </c>
      <c r="D1389" s="172" t="s">
        <v>95</v>
      </c>
      <c r="E1389" s="172" t="s">
        <v>52</v>
      </c>
      <c r="F1389" s="172" t="s">
        <v>90</v>
      </c>
      <c r="G1389" s="172" t="s">
        <v>84</v>
      </c>
      <c r="H1389" s="177">
        <v>1</v>
      </c>
      <c r="I1389" s="178">
        <v>2150</v>
      </c>
      <c r="J1389" s="176">
        <v>46059</v>
      </c>
      <c r="K1389" s="172" t="s">
        <v>93</v>
      </c>
      <c r="L1389" s="172" t="s">
        <v>94</v>
      </c>
      <c r="M1389" s="179">
        <v>0.43</v>
      </c>
      <c r="N1389" s="177"/>
      <c r="O1389" s="177"/>
      <c r="P1389" s="180">
        <v>-11.91</v>
      </c>
    </row>
    <row r="1390" spans="1:16" ht="19.5" customHeight="1">
      <c r="A1390" s="172" t="s">
        <v>1606</v>
      </c>
      <c r="B1390" s="176">
        <v>46060</v>
      </c>
      <c r="C1390" s="172" t="s">
        <v>81</v>
      </c>
      <c r="D1390" s="172" t="s">
        <v>82</v>
      </c>
      <c r="E1390" s="172" t="s">
        <v>38</v>
      </c>
      <c r="F1390" s="172" t="s">
        <v>87</v>
      </c>
      <c r="G1390" s="172" t="s">
        <v>84</v>
      </c>
      <c r="H1390" s="177">
        <v>1</v>
      </c>
      <c r="I1390" s="178">
        <v>0</v>
      </c>
      <c r="J1390" s="176">
        <v>46058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24.28</v>
      </c>
    </row>
    <row r="1391" spans="1:16" ht="19.5" customHeight="1">
      <c r="A1391" s="172" t="s">
        <v>1695</v>
      </c>
      <c r="B1391" s="176">
        <v>46060</v>
      </c>
      <c r="C1391" s="172" t="s">
        <v>81</v>
      </c>
      <c r="D1391" s="172" t="s">
        <v>82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46060</v>
      </c>
      <c r="K1391" s="172" t="s">
        <v>85</v>
      </c>
      <c r="L1391" s="172" t="s">
        <v>85</v>
      </c>
      <c r="M1391" s="179">
        <v>0</v>
      </c>
      <c r="N1391" s="177"/>
      <c r="O1391" s="177"/>
      <c r="P1391" s="180">
        <v>-7.02</v>
      </c>
    </row>
    <row r="1392" spans="1:16" ht="19.5" customHeight="1">
      <c r="A1392" s="172" t="s">
        <v>1696</v>
      </c>
      <c r="B1392" s="176">
        <v>46060</v>
      </c>
      <c r="C1392" s="172" t="s">
        <v>92</v>
      </c>
      <c r="D1392" s="172" t="s">
        <v>96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0</v>
      </c>
    </row>
    <row r="1393" spans="1:16" ht="19.5" customHeight="1">
      <c r="A1393" s="172" t="s">
        <v>1696</v>
      </c>
      <c r="B1393" s="176">
        <v>46060</v>
      </c>
      <c r="C1393" s="172" t="s">
        <v>92</v>
      </c>
      <c r="D1393" s="172" t="s">
        <v>97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-56.94</v>
      </c>
    </row>
    <row r="1394" spans="1:16" ht="19.5" customHeight="1">
      <c r="A1394" s="172" t="s">
        <v>1696</v>
      </c>
      <c r="B1394" s="176">
        <v>46060</v>
      </c>
      <c r="C1394" s="172" t="s">
        <v>81</v>
      </c>
      <c r="D1394" s="172" t="s">
        <v>98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-15</v>
      </c>
    </row>
    <row r="1395" spans="1:16" ht="19.5" customHeight="1">
      <c r="A1395" s="172" t="s">
        <v>1696</v>
      </c>
      <c r="B1395" s="176">
        <v>46060</v>
      </c>
      <c r="C1395" s="172" t="s">
        <v>92</v>
      </c>
      <c r="D1395" s="172" t="s">
        <v>24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>
        <v>44</v>
      </c>
      <c r="P1395" s="180">
        <v>-56.94</v>
      </c>
    </row>
    <row r="1396" spans="1:16" ht="19.5" customHeight="1">
      <c r="A1396" s="172" t="s">
        <v>1696</v>
      </c>
      <c r="B1396" s="176">
        <v>46060</v>
      </c>
      <c r="C1396" s="172" t="s">
        <v>81</v>
      </c>
      <c r="D1396" s="172" t="s">
        <v>95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0</v>
      </c>
      <c r="J1396" s="176">
        <v>46051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-11.39</v>
      </c>
    </row>
    <row r="1397" spans="1:16" ht="19.5" customHeight="1">
      <c r="A1397" s="172" t="s">
        <v>1556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-299.07</v>
      </c>
    </row>
    <row r="1398" spans="1:16" ht="19.5" customHeight="1">
      <c r="A1398" s="172" t="s">
        <v>1557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-293.02</v>
      </c>
    </row>
    <row r="1399" spans="1:16" ht="19.5" customHeight="1">
      <c r="A1399" s="172" t="s">
        <v>141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-411.78</v>
      </c>
    </row>
    <row r="1400" spans="1:16" ht="19.5" customHeight="1">
      <c r="A1400" s="172" t="s">
        <v>145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-999.49</v>
      </c>
    </row>
    <row r="1401" spans="1:16" ht="19.5" customHeight="1">
      <c r="A1401" s="172" t="s">
        <v>138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-1153.69</v>
      </c>
    </row>
    <row r="1402" spans="1:16" ht="19.5" customHeight="1">
      <c r="A1402" s="172" t="s">
        <v>144</v>
      </c>
      <c r="B1402" s="176">
        <v>46060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-711.8</v>
      </c>
    </row>
    <row r="1403" spans="1:16" ht="19.5" customHeight="1">
      <c r="A1403" s="172" t="s">
        <v>142</v>
      </c>
      <c r="B1403" s="176">
        <v>46060</v>
      </c>
      <c r="C1403" s="172" t="s">
        <v>109</v>
      </c>
      <c r="D1403" s="172" t="s">
        <v>143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-4815</v>
      </c>
    </row>
    <row r="1404" spans="1:16" ht="19.5" customHeight="1">
      <c r="A1404" s="172" t="s">
        <v>1697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1389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-20.63</v>
      </c>
    </row>
    <row r="1405" spans="1:16" ht="19.5" customHeight="1">
      <c r="A1405" s="172" t="s">
        <v>1698</v>
      </c>
      <c r="B1405" s="176">
        <v>46061</v>
      </c>
      <c r="C1405" s="172" t="s">
        <v>81</v>
      </c>
      <c r="D1405" s="172" t="s">
        <v>82</v>
      </c>
      <c r="E1405" s="172" t="s">
        <v>59</v>
      </c>
      <c r="F1405" s="172" t="s">
        <v>1389</v>
      </c>
      <c r="G1405" s="172" t="s">
        <v>84</v>
      </c>
      <c r="H1405" s="177">
        <v>1</v>
      </c>
      <c r="I1405" s="178">
        <v>0</v>
      </c>
      <c r="J1405" s="176">
        <v>46060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-7.95</v>
      </c>
    </row>
    <row r="1406" spans="1:16" ht="19.5" customHeight="1">
      <c r="A1406" s="172" t="s">
        <v>1699</v>
      </c>
      <c r="B1406" s="176">
        <v>46061</v>
      </c>
      <c r="C1406" s="172" t="s">
        <v>92</v>
      </c>
      <c r="D1406" s="172" t="s">
        <v>24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>
        <v>43</v>
      </c>
      <c r="P1406" s="180">
        <v>-46</v>
      </c>
    </row>
    <row r="1407" spans="1:16" ht="19.5" customHeight="1">
      <c r="A1407" s="172" t="s">
        <v>1699</v>
      </c>
      <c r="B1407" s="176">
        <v>46061</v>
      </c>
      <c r="C1407" s="172" t="s">
        <v>81</v>
      </c>
      <c r="D1407" s="172" t="s">
        <v>95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-25</v>
      </c>
    </row>
    <row r="1408" spans="1:16" ht="19.5" customHeight="1">
      <c r="A1408" s="172" t="s">
        <v>1699</v>
      </c>
      <c r="B1408" s="176">
        <v>46061</v>
      </c>
      <c r="C1408" s="172" t="s">
        <v>92</v>
      </c>
      <c r="D1408" s="172" t="s">
        <v>96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0</v>
      </c>
    </row>
    <row r="1409" spans="1:16" ht="19.5" customHeight="1">
      <c r="A1409" s="172" t="s">
        <v>1699</v>
      </c>
      <c r="B1409" s="176">
        <v>46061</v>
      </c>
      <c r="C1409" s="172" t="s">
        <v>92</v>
      </c>
      <c r="D1409" s="172" t="s">
        <v>97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-46</v>
      </c>
    </row>
    <row r="1410" spans="1:16" ht="19.5" customHeight="1">
      <c r="A1410" s="172" t="s">
        <v>1699</v>
      </c>
      <c r="B1410" s="176">
        <v>46061</v>
      </c>
      <c r="C1410" s="172" t="s">
        <v>81</v>
      </c>
      <c r="D1410" s="172" t="s">
        <v>98</v>
      </c>
      <c r="E1410" s="172" t="s">
        <v>41</v>
      </c>
      <c r="F1410" s="172" t="s">
        <v>83</v>
      </c>
      <c r="G1410" s="172" t="s">
        <v>84</v>
      </c>
      <c r="H1410" s="177">
        <v>1</v>
      </c>
      <c r="I1410" s="178">
        <v>0</v>
      </c>
      <c r="J1410" s="176">
        <v>46054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-15</v>
      </c>
    </row>
    <row r="1411" spans="1:16" ht="19.5" customHeight="1">
      <c r="A1411" s="172" t="s">
        <v>1700</v>
      </c>
      <c r="B1411" s="176">
        <v>46061</v>
      </c>
      <c r="C1411" s="172" t="s">
        <v>92</v>
      </c>
      <c r="D1411" s="172" t="s">
        <v>24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>
        <v>44</v>
      </c>
      <c r="P1411" s="180">
        <v>-46.77</v>
      </c>
    </row>
    <row r="1412" spans="1:16" ht="19.5" customHeight="1">
      <c r="A1412" s="172" t="s">
        <v>1700</v>
      </c>
      <c r="B1412" s="176">
        <v>46061</v>
      </c>
      <c r="C1412" s="172" t="s">
        <v>81</v>
      </c>
      <c r="D1412" s="172" t="s">
        <v>95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-9.17</v>
      </c>
    </row>
    <row r="1413" spans="1:16" ht="19.5" customHeight="1">
      <c r="A1413" s="172" t="s">
        <v>1700</v>
      </c>
      <c r="B1413" s="176">
        <v>46061</v>
      </c>
      <c r="C1413" s="172" t="s">
        <v>92</v>
      </c>
      <c r="D1413" s="172" t="s">
        <v>96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customHeight="1">
      <c r="A1414" s="172" t="s">
        <v>1700</v>
      </c>
      <c r="B1414" s="176">
        <v>46061</v>
      </c>
      <c r="C1414" s="172" t="s">
        <v>92</v>
      </c>
      <c r="D1414" s="172" t="s">
        <v>97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-46.77</v>
      </c>
    </row>
    <row r="1415" spans="1:16" ht="19.5" customHeight="1">
      <c r="A1415" s="172" t="s">
        <v>1700</v>
      </c>
      <c r="B1415" s="176">
        <v>46061</v>
      </c>
      <c r="C1415" s="172" t="s">
        <v>81</v>
      </c>
      <c r="D1415" s="172" t="s">
        <v>98</v>
      </c>
      <c r="E1415" s="172" t="s">
        <v>43</v>
      </c>
      <c r="F1415" s="172" t="s">
        <v>125</v>
      </c>
      <c r="G1415" s="172" t="s">
        <v>84</v>
      </c>
      <c r="H1415" s="177">
        <v>1</v>
      </c>
      <c r="I1415" s="178">
        <v>0</v>
      </c>
      <c r="J1415" s="176">
        <v>46053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customHeight="1">
      <c r="A1416" s="172" t="s">
        <v>1701</v>
      </c>
      <c r="B1416" s="176">
        <v>46061</v>
      </c>
      <c r="C1416" s="172" t="s">
        <v>92</v>
      </c>
      <c r="D1416" s="172" t="s">
        <v>24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0.43</v>
      </c>
      <c r="N1416" s="177"/>
      <c r="O1416" s="177">
        <v>40</v>
      </c>
      <c r="P1416" s="180">
        <v>-113.03</v>
      </c>
    </row>
    <row r="1417" spans="1:16" ht="19.5" customHeight="1">
      <c r="A1417" s="172" t="s">
        <v>1701</v>
      </c>
      <c r="B1417" s="176">
        <v>46061</v>
      </c>
      <c r="C1417" s="172" t="s">
        <v>100</v>
      </c>
      <c r="D1417" s="172" t="s">
        <v>101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580.95000000000005</v>
      </c>
    </row>
    <row r="1418" spans="1:16" ht="19.5" customHeight="1">
      <c r="A1418" s="172" t="s">
        <v>1701</v>
      </c>
      <c r="B1418" s="176">
        <v>46061</v>
      </c>
      <c r="C1418" s="172" t="s">
        <v>100</v>
      </c>
      <c r="D1418" s="172" t="s">
        <v>102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5.81</v>
      </c>
    </row>
    <row r="1419" spans="1:16" ht="19.5" customHeight="1">
      <c r="A1419" s="172" t="s">
        <v>1701</v>
      </c>
      <c r="B1419" s="176">
        <v>46061</v>
      </c>
      <c r="C1419" s="172" t="s">
        <v>100</v>
      </c>
      <c r="D1419" s="172" t="s">
        <v>103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1076.24</v>
      </c>
    </row>
    <row r="1420" spans="1:16" ht="19.5" customHeight="1">
      <c r="A1420" s="172" t="s">
        <v>1701</v>
      </c>
      <c r="B1420" s="176">
        <v>46061</v>
      </c>
      <c r="C1420" s="172" t="s">
        <v>104</v>
      </c>
      <c r="D1420" s="172" t="s">
        <v>105</v>
      </c>
      <c r="E1420" s="172" t="s">
        <v>42</v>
      </c>
      <c r="F1420" s="172" t="s">
        <v>89</v>
      </c>
      <c r="G1420" s="172" t="s">
        <v>84</v>
      </c>
      <c r="H1420" s="177">
        <v>1</v>
      </c>
      <c r="I1420" s="178">
        <v>1663</v>
      </c>
      <c r="J1420" s="176">
        <v>46045</v>
      </c>
      <c r="K1420" s="172" t="s">
        <v>93</v>
      </c>
      <c r="L1420" s="172" t="s">
        <v>94</v>
      </c>
      <c r="M1420" s="179">
        <v>0.43</v>
      </c>
      <c r="N1420" s="177"/>
      <c r="O1420" s="177"/>
      <c r="P1420" s="180">
        <v>-715.09</v>
      </c>
    </row>
    <row r="1421" spans="1:16" ht="19.5" customHeight="1">
      <c r="A1421" s="172" t="s">
        <v>1527</v>
      </c>
      <c r="B1421" s="176">
        <v>46061</v>
      </c>
      <c r="C1421" s="172" t="s">
        <v>92</v>
      </c>
      <c r="D1421" s="172" t="s">
        <v>272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0</v>
      </c>
    </row>
    <row r="1422" spans="1:16" ht="19.5" customHeight="1">
      <c r="A1422" s="172" t="s">
        <v>1527</v>
      </c>
      <c r="B1422" s="176">
        <v>46061</v>
      </c>
      <c r="C1422" s="172" t="s">
        <v>92</v>
      </c>
      <c r="D1422" s="172" t="s">
        <v>97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-56.94</v>
      </c>
    </row>
    <row r="1423" spans="1:16" ht="19.5" customHeight="1">
      <c r="A1423" s="172" t="s">
        <v>1527</v>
      </c>
      <c r="B1423" s="176">
        <v>46061</v>
      </c>
      <c r="C1423" s="172" t="s">
        <v>81</v>
      </c>
      <c r="D1423" s="172" t="s">
        <v>98</v>
      </c>
      <c r="E1423" s="172" t="s">
        <v>53</v>
      </c>
      <c r="F1423" s="172" t="s">
        <v>120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/>
      <c r="P1423" s="180">
        <v>-15</v>
      </c>
    </row>
    <row r="1424" spans="1:16" ht="19.5" customHeight="1">
      <c r="A1424" s="172" t="s">
        <v>1702</v>
      </c>
      <c r="B1424" s="176">
        <v>46061</v>
      </c>
      <c r="C1424" s="172" t="s">
        <v>92</v>
      </c>
      <c r="D1424" s="172" t="s">
        <v>24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>
        <v>41</v>
      </c>
      <c r="P1424" s="180">
        <v>-56.94</v>
      </c>
    </row>
    <row r="1425" spans="1:16" ht="19.5" customHeight="1">
      <c r="A1425" s="172" t="s">
        <v>1702</v>
      </c>
      <c r="B1425" s="176">
        <v>46061</v>
      </c>
      <c r="C1425" s="172" t="s">
        <v>81</v>
      </c>
      <c r="D1425" s="172" t="s">
        <v>95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-12.5</v>
      </c>
    </row>
    <row r="1426" spans="1:16" ht="19.5" customHeight="1">
      <c r="A1426" s="172" t="s">
        <v>1702</v>
      </c>
      <c r="B1426" s="176">
        <v>46061</v>
      </c>
      <c r="C1426" s="172" t="s">
        <v>92</v>
      </c>
      <c r="D1426" s="172" t="s">
        <v>96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0</v>
      </c>
    </row>
    <row r="1427" spans="1:16" ht="19.5" customHeight="1">
      <c r="A1427" s="172" t="s">
        <v>1702</v>
      </c>
      <c r="B1427" s="176">
        <v>46061</v>
      </c>
      <c r="C1427" s="172" t="s">
        <v>92</v>
      </c>
      <c r="D1427" s="172" t="s">
        <v>97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-56.94</v>
      </c>
    </row>
    <row r="1428" spans="1:16" ht="19.5" customHeight="1">
      <c r="A1428" s="172" t="s">
        <v>1702</v>
      </c>
      <c r="B1428" s="176">
        <v>46061</v>
      </c>
      <c r="C1428" s="172" t="s">
        <v>81</v>
      </c>
      <c r="D1428" s="172" t="s">
        <v>98</v>
      </c>
      <c r="E1428" s="172" t="s">
        <v>52</v>
      </c>
      <c r="F1428" s="172" t="s">
        <v>90</v>
      </c>
      <c r="G1428" s="172" t="s">
        <v>84</v>
      </c>
      <c r="H1428" s="177">
        <v>1</v>
      </c>
      <c r="I1428" s="178">
        <v>0</v>
      </c>
      <c r="J1428" s="176">
        <v>46056</v>
      </c>
      <c r="K1428" s="172" t="s">
        <v>93</v>
      </c>
      <c r="L1428" s="172" t="s">
        <v>94</v>
      </c>
      <c r="M1428" s="179">
        <v>0</v>
      </c>
      <c r="N1428" s="177"/>
      <c r="O1428" s="177"/>
      <c r="P1428" s="180">
        <v>-15</v>
      </c>
    </row>
    <row r="1429" spans="1:16" ht="19.5" customHeight="1">
      <c r="A1429" s="172" t="s">
        <v>1703</v>
      </c>
      <c r="B1429" s="176">
        <v>46061</v>
      </c>
      <c r="C1429" s="172" t="s">
        <v>92</v>
      </c>
      <c r="D1429" s="172" t="s">
        <v>24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>
        <v>44</v>
      </c>
      <c r="P1429" s="180">
        <v>-46.77</v>
      </c>
    </row>
    <row r="1430" spans="1:16" ht="19.5" customHeight="1">
      <c r="A1430" s="172" t="s">
        <v>1703</v>
      </c>
      <c r="B1430" s="176">
        <v>46061</v>
      </c>
      <c r="C1430" s="172" t="s">
        <v>81</v>
      </c>
      <c r="D1430" s="172" t="s">
        <v>95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-25</v>
      </c>
    </row>
    <row r="1431" spans="1:16" ht="19.5" customHeight="1">
      <c r="A1431" s="172" t="s">
        <v>1703</v>
      </c>
      <c r="B1431" s="176">
        <v>46061</v>
      </c>
      <c r="C1431" s="172" t="s">
        <v>92</v>
      </c>
      <c r="D1431" s="172" t="s">
        <v>96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0</v>
      </c>
    </row>
    <row r="1432" spans="1:16" ht="19.5" customHeight="1">
      <c r="A1432" s="172" t="s">
        <v>1703</v>
      </c>
      <c r="B1432" s="176">
        <v>46061</v>
      </c>
      <c r="C1432" s="172" t="s">
        <v>92</v>
      </c>
      <c r="D1432" s="172" t="s">
        <v>97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-46.77</v>
      </c>
    </row>
    <row r="1433" spans="1:16" ht="19.5" customHeight="1">
      <c r="A1433" s="172" t="s">
        <v>1703</v>
      </c>
      <c r="B1433" s="176">
        <v>46061</v>
      </c>
      <c r="C1433" s="172" t="s">
        <v>81</v>
      </c>
      <c r="D1433" s="172" t="s">
        <v>98</v>
      </c>
      <c r="E1433" s="172" t="s">
        <v>42</v>
      </c>
      <c r="F1433" s="172" t="s">
        <v>89</v>
      </c>
      <c r="G1433" s="172" t="s">
        <v>84</v>
      </c>
      <c r="H1433" s="177">
        <v>1</v>
      </c>
      <c r="I1433" s="178">
        <v>0</v>
      </c>
      <c r="J1433" s="176">
        <v>46051</v>
      </c>
      <c r="K1433" s="172" t="s">
        <v>93</v>
      </c>
      <c r="L1433" s="172" t="s">
        <v>94</v>
      </c>
      <c r="M1433" s="179">
        <v>0</v>
      </c>
      <c r="N1433" s="177"/>
      <c r="O1433" s="177"/>
      <c r="P1433" s="180">
        <v>-15</v>
      </c>
    </row>
    <row r="1434" spans="1:16" ht="19.5" customHeight="1">
      <c r="A1434" s="172" t="s">
        <v>1704</v>
      </c>
      <c r="B1434" s="176">
        <v>46061</v>
      </c>
      <c r="C1434" s="172" t="s">
        <v>81</v>
      </c>
      <c r="D1434" s="172" t="s">
        <v>82</v>
      </c>
      <c r="E1434" s="172" t="s">
        <v>52</v>
      </c>
      <c r="F1434" s="172" t="s">
        <v>90</v>
      </c>
      <c r="G1434" s="172" t="s">
        <v>84</v>
      </c>
      <c r="H1434" s="177">
        <v>1</v>
      </c>
      <c r="I1434" s="178">
        <v>0</v>
      </c>
      <c r="J1434" s="176">
        <v>46061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-15.37</v>
      </c>
    </row>
    <row r="1435" spans="1:16" ht="19.5" customHeight="1">
      <c r="A1435" s="172" t="s">
        <v>1705</v>
      </c>
      <c r="B1435" s="176">
        <v>46061</v>
      </c>
      <c r="C1435" s="172" t="s">
        <v>92</v>
      </c>
      <c r="D1435" s="172" t="s">
        <v>96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0</v>
      </c>
    </row>
    <row r="1436" spans="1:16" ht="19.5" customHeight="1">
      <c r="A1436" s="172" t="s">
        <v>1705</v>
      </c>
      <c r="B1436" s="176">
        <v>46061</v>
      </c>
      <c r="C1436" s="172" t="s">
        <v>92</v>
      </c>
      <c r="D1436" s="172" t="s">
        <v>97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-46.77</v>
      </c>
    </row>
    <row r="1437" spans="1:16" ht="19.5" customHeight="1">
      <c r="A1437" s="172" t="s">
        <v>1705</v>
      </c>
      <c r="B1437" s="176">
        <v>46061</v>
      </c>
      <c r="C1437" s="172" t="s">
        <v>81</v>
      </c>
      <c r="D1437" s="172" t="s">
        <v>98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/>
      <c r="P1437" s="180">
        <v>-15</v>
      </c>
    </row>
    <row r="1438" spans="1:16" ht="19.5" customHeight="1">
      <c r="A1438" s="172" t="s">
        <v>1705</v>
      </c>
      <c r="B1438" s="176">
        <v>46061</v>
      </c>
      <c r="C1438" s="172" t="s">
        <v>92</v>
      </c>
      <c r="D1438" s="172" t="s">
        <v>24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>
        <v>41</v>
      </c>
      <c r="P1438" s="180">
        <v>-46.77</v>
      </c>
    </row>
    <row r="1439" spans="1:16" ht="19.5" customHeight="1">
      <c r="A1439" s="172" t="s">
        <v>1705</v>
      </c>
      <c r="B1439" s="176">
        <v>46061</v>
      </c>
      <c r="C1439" s="172" t="s">
        <v>81</v>
      </c>
      <c r="D1439" s="172" t="s">
        <v>95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0</v>
      </c>
      <c r="J1439" s="176">
        <v>46055</v>
      </c>
      <c r="K1439" s="172" t="s">
        <v>93</v>
      </c>
      <c r="L1439" s="172" t="s">
        <v>94</v>
      </c>
      <c r="M1439" s="179">
        <v>0</v>
      </c>
      <c r="N1439" s="177"/>
      <c r="O1439" s="177"/>
      <c r="P1439" s="180">
        <v>-12.74</v>
      </c>
    </row>
    <row r="1440" spans="1:16" ht="19.5" customHeight="1">
      <c r="A1440" s="172" t="s">
        <v>1706</v>
      </c>
      <c r="B1440" s="176">
        <v>46061</v>
      </c>
      <c r="C1440" s="172" t="s">
        <v>92</v>
      </c>
      <c r="D1440" s="172" t="s">
        <v>24</v>
      </c>
      <c r="E1440" s="172" t="s">
        <v>56</v>
      </c>
      <c r="F1440" s="172" t="s">
        <v>1215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0.43</v>
      </c>
      <c r="N1440" s="177"/>
      <c r="O1440" s="177">
        <v>44</v>
      </c>
      <c r="P1440" s="180">
        <v>-155.81</v>
      </c>
    </row>
    <row r="1441" spans="1:16" ht="19.5" customHeight="1">
      <c r="A1441" s="172" t="s">
        <v>1706</v>
      </c>
      <c r="B1441" s="176">
        <v>46061</v>
      </c>
      <c r="C1441" s="172" t="s">
        <v>100</v>
      </c>
      <c r="D1441" s="172" t="s">
        <v>101</v>
      </c>
      <c r="E1441" s="172" t="s">
        <v>56</v>
      </c>
      <c r="F1441" s="172" t="s">
        <v>1215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1101.81</v>
      </c>
    </row>
    <row r="1442" spans="1:16" ht="19.5" customHeight="1">
      <c r="A1442" s="172" t="s">
        <v>1706</v>
      </c>
      <c r="B1442" s="176">
        <v>46061</v>
      </c>
      <c r="C1442" s="172" t="s">
        <v>100</v>
      </c>
      <c r="D1442" s="172" t="s">
        <v>102</v>
      </c>
      <c r="E1442" s="172" t="s">
        <v>56</v>
      </c>
      <c r="F1442" s="172" t="s">
        <v>1215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11.02</v>
      </c>
    </row>
    <row r="1443" spans="1:16" ht="19.5" customHeight="1">
      <c r="A1443" s="172" t="s">
        <v>1706</v>
      </c>
      <c r="B1443" s="176">
        <v>46061</v>
      </c>
      <c r="C1443" s="172" t="s">
        <v>100</v>
      </c>
      <c r="D1443" s="172" t="s">
        <v>103</v>
      </c>
      <c r="E1443" s="172" t="s">
        <v>56</v>
      </c>
      <c r="F1443" s="172" t="s">
        <v>1215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887.17</v>
      </c>
    </row>
    <row r="1444" spans="1:16" ht="19.5" customHeight="1">
      <c r="A1444" s="172" t="s">
        <v>1706</v>
      </c>
      <c r="B1444" s="176">
        <v>46061</v>
      </c>
      <c r="C1444" s="172" t="s">
        <v>104</v>
      </c>
      <c r="D1444" s="172" t="s">
        <v>105</v>
      </c>
      <c r="E1444" s="172" t="s">
        <v>56</v>
      </c>
      <c r="F1444" s="172" t="s">
        <v>1215</v>
      </c>
      <c r="G1444" s="172" t="s">
        <v>84</v>
      </c>
      <c r="H1444" s="177">
        <v>1</v>
      </c>
      <c r="I1444" s="178">
        <v>2000</v>
      </c>
      <c r="J1444" s="176">
        <v>46051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-860</v>
      </c>
    </row>
    <row r="1445" spans="1:16" ht="19.5" customHeight="1">
      <c r="A1445" s="172" t="s">
        <v>1707</v>
      </c>
      <c r="B1445" s="176">
        <v>46061</v>
      </c>
      <c r="C1445" s="172" t="s">
        <v>92</v>
      </c>
      <c r="D1445" s="172" t="s">
        <v>24</v>
      </c>
      <c r="E1445" s="172" t="s">
        <v>57</v>
      </c>
      <c r="F1445" s="172" t="s">
        <v>1265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0.43</v>
      </c>
      <c r="N1445" s="177"/>
      <c r="O1445" s="177">
        <v>39</v>
      </c>
      <c r="P1445" s="180">
        <v>-132.27000000000001</v>
      </c>
    </row>
    <row r="1446" spans="1:16" ht="19.5" customHeight="1">
      <c r="A1446" s="172" t="s">
        <v>1707</v>
      </c>
      <c r="B1446" s="176">
        <v>46061</v>
      </c>
      <c r="C1446" s="172" t="s">
        <v>100</v>
      </c>
      <c r="D1446" s="172" t="s">
        <v>101</v>
      </c>
      <c r="E1446" s="172" t="s">
        <v>57</v>
      </c>
      <c r="F1446" s="172" t="s">
        <v>1265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833.33</v>
      </c>
    </row>
    <row r="1447" spans="1:16" ht="19.5" customHeight="1">
      <c r="A1447" s="172" t="s">
        <v>1707</v>
      </c>
      <c r="B1447" s="176">
        <v>46061</v>
      </c>
      <c r="C1447" s="172" t="s">
        <v>100</v>
      </c>
      <c r="D1447" s="172" t="s">
        <v>102</v>
      </c>
      <c r="E1447" s="172" t="s">
        <v>57</v>
      </c>
      <c r="F1447" s="172" t="s">
        <v>1265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8.33</v>
      </c>
    </row>
    <row r="1448" spans="1:16" ht="19.5" customHeight="1">
      <c r="A1448" s="172" t="s">
        <v>1707</v>
      </c>
      <c r="B1448" s="176">
        <v>46061</v>
      </c>
      <c r="C1448" s="172" t="s">
        <v>100</v>
      </c>
      <c r="D1448" s="172" t="s">
        <v>103</v>
      </c>
      <c r="E1448" s="172" t="s">
        <v>57</v>
      </c>
      <c r="F1448" s="172" t="s">
        <v>1265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1158.3399999999999</v>
      </c>
    </row>
    <row r="1449" spans="1:16" ht="19.5" customHeight="1">
      <c r="A1449" s="172" t="s">
        <v>1707</v>
      </c>
      <c r="B1449" s="176">
        <v>46061</v>
      </c>
      <c r="C1449" s="172" t="s">
        <v>104</v>
      </c>
      <c r="D1449" s="172" t="s">
        <v>105</v>
      </c>
      <c r="E1449" s="172" t="s">
        <v>57</v>
      </c>
      <c r="F1449" s="172" t="s">
        <v>1265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-860</v>
      </c>
    </row>
    <row r="1450" spans="1:16" ht="19.5" customHeight="1">
      <c r="A1450" s="172" t="s">
        <v>1707</v>
      </c>
      <c r="B1450" s="176">
        <v>46061</v>
      </c>
      <c r="C1450" s="172" t="s">
        <v>81</v>
      </c>
      <c r="D1450" s="172" t="s">
        <v>95</v>
      </c>
      <c r="E1450" s="172" t="s">
        <v>57</v>
      </c>
      <c r="F1450" s="172" t="s">
        <v>1265</v>
      </c>
      <c r="G1450" s="172" t="s">
        <v>84</v>
      </c>
      <c r="H1450" s="177">
        <v>1</v>
      </c>
      <c r="I1450" s="178">
        <v>2000</v>
      </c>
      <c r="J1450" s="176">
        <v>46058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-19.98</v>
      </c>
    </row>
    <row r="1451" spans="1:16" ht="19.5" customHeight="1">
      <c r="A1451" s="172" t="s">
        <v>1708</v>
      </c>
      <c r="B1451" s="176">
        <v>46061</v>
      </c>
      <c r="C1451" s="172" t="s">
        <v>92</v>
      </c>
      <c r="D1451" s="172" t="s">
        <v>24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0.43</v>
      </c>
      <c r="N1451" s="177"/>
      <c r="O1451" s="177">
        <v>41</v>
      </c>
      <c r="P1451" s="180">
        <v>-145.74</v>
      </c>
    </row>
    <row r="1452" spans="1:16" ht="19.5" customHeight="1">
      <c r="A1452" s="172" t="s">
        <v>1708</v>
      </c>
      <c r="B1452" s="176">
        <v>46061</v>
      </c>
      <c r="C1452" s="172" t="s">
        <v>100</v>
      </c>
      <c r="D1452" s="172" t="s">
        <v>101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752.38</v>
      </c>
    </row>
    <row r="1453" spans="1:16" ht="19.5" customHeight="1">
      <c r="A1453" s="172" t="s">
        <v>1708</v>
      </c>
      <c r="B1453" s="176">
        <v>46061</v>
      </c>
      <c r="C1453" s="172" t="s">
        <v>100</v>
      </c>
      <c r="D1453" s="172" t="s">
        <v>102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7.52</v>
      </c>
    </row>
    <row r="1454" spans="1:16" ht="19.5" customHeight="1">
      <c r="A1454" s="172" t="s">
        <v>1708</v>
      </c>
      <c r="B1454" s="176">
        <v>46061</v>
      </c>
      <c r="C1454" s="172" t="s">
        <v>100</v>
      </c>
      <c r="D1454" s="172" t="s">
        <v>103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1390.1</v>
      </c>
    </row>
    <row r="1455" spans="1:16" ht="19.5" customHeight="1">
      <c r="A1455" s="172" t="s">
        <v>1708</v>
      </c>
      <c r="B1455" s="176">
        <v>46061</v>
      </c>
      <c r="C1455" s="172" t="s">
        <v>104</v>
      </c>
      <c r="D1455" s="172" t="s">
        <v>105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-924.5</v>
      </c>
    </row>
    <row r="1456" spans="1:16" ht="19.5" customHeight="1">
      <c r="A1456" s="172" t="s">
        <v>1708</v>
      </c>
      <c r="B1456" s="176">
        <v>46061</v>
      </c>
      <c r="C1456" s="172" t="s">
        <v>81</v>
      </c>
      <c r="D1456" s="172" t="s">
        <v>95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2150</v>
      </c>
      <c r="J1456" s="176">
        <v>46056</v>
      </c>
      <c r="K1456" s="172" t="s">
        <v>93</v>
      </c>
      <c r="L1456" s="172" t="s">
        <v>94</v>
      </c>
      <c r="M1456" s="179">
        <v>0.43</v>
      </c>
      <c r="N1456" s="177"/>
      <c r="O1456" s="177"/>
      <c r="P1456" s="180">
        <v>-11.51</v>
      </c>
    </row>
    <row r="1457" spans="1:16" ht="19.5" customHeight="1">
      <c r="A1457" s="172" t="s">
        <v>1708</v>
      </c>
      <c r="B1457" s="176">
        <v>46061</v>
      </c>
      <c r="C1457" s="172" t="s">
        <v>81</v>
      </c>
      <c r="D1457" s="172" t="s">
        <v>82</v>
      </c>
      <c r="E1457" s="172" t="s">
        <v>52</v>
      </c>
      <c r="F1457" s="172" t="s">
        <v>90</v>
      </c>
      <c r="G1457" s="172" t="s">
        <v>84</v>
      </c>
      <c r="H1457" s="177">
        <v>1</v>
      </c>
      <c r="I1457" s="178">
        <v>0</v>
      </c>
      <c r="J1457" s="176">
        <v>46056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-14.3</v>
      </c>
    </row>
    <row r="1458" spans="1:16" ht="19.5" customHeight="1">
      <c r="A1458" s="172" t="s">
        <v>85</v>
      </c>
      <c r="B1458" s="176">
        <v>46061</v>
      </c>
      <c r="C1458" s="172" t="s">
        <v>109</v>
      </c>
      <c r="D1458" s="172" t="s">
        <v>110</v>
      </c>
      <c r="E1458" s="172" t="s">
        <v>85</v>
      </c>
      <c r="F1458" s="172" t="s">
        <v>85</v>
      </c>
      <c r="G1458" s="172" t="s">
        <v>1709</v>
      </c>
      <c r="H1458" s="177">
        <v>0</v>
      </c>
      <c r="I1458" s="178">
        <v>0</v>
      </c>
      <c r="J1458" s="176">
        <v>46061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-150</v>
      </c>
    </row>
    <row r="1459" spans="1:16" ht="19.5" customHeight="1">
      <c r="A1459" s="172" t="s">
        <v>1710</v>
      </c>
      <c r="B1459" s="176">
        <v>46061</v>
      </c>
      <c r="C1459" s="172" t="s">
        <v>92</v>
      </c>
      <c r="D1459" s="172" t="s">
        <v>24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0.43</v>
      </c>
      <c r="N1459" s="177"/>
      <c r="O1459" s="177">
        <v>44</v>
      </c>
      <c r="P1459" s="180">
        <v>-149.88999999999999</v>
      </c>
    </row>
    <row r="1460" spans="1:16" ht="19.5" customHeight="1">
      <c r="A1460" s="172" t="s">
        <v>1710</v>
      </c>
      <c r="B1460" s="176">
        <v>46061</v>
      </c>
      <c r="C1460" s="172" t="s">
        <v>100</v>
      </c>
      <c r="D1460" s="172" t="s">
        <v>101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631.42999999999995</v>
      </c>
    </row>
    <row r="1461" spans="1:16" ht="19.5" customHeight="1">
      <c r="A1461" s="172" t="s">
        <v>1710</v>
      </c>
      <c r="B1461" s="176">
        <v>46061</v>
      </c>
      <c r="C1461" s="172" t="s">
        <v>100</v>
      </c>
      <c r="D1461" s="172" t="s">
        <v>102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6.31</v>
      </c>
    </row>
    <row r="1462" spans="1:16" ht="19.5" customHeight="1">
      <c r="A1462" s="172" t="s">
        <v>1710</v>
      </c>
      <c r="B1462" s="176">
        <v>46061</v>
      </c>
      <c r="C1462" s="172" t="s">
        <v>100</v>
      </c>
      <c r="D1462" s="172" t="s">
        <v>103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1174.26</v>
      </c>
    </row>
    <row r="1463" spans="1:16" ht="19.5" customHeight="1">
      <c r="A1463" s="172" t="s">
        <v>1710</v>
      </c>
      <c r="B1463" s="176">
        <v>46061</v>
      </c>
      <c r="C1463" s="172" t="s">
        <v>104</v>
      </c>
      <c r="D1463" s="172" t="s">
        <v>105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-779.16</v>
      </c>
    </row>
    <row r="1464" spans="1:16" ht="19.5" customHeight="1">
      <c r="A1464" s="172" t="s">
        <v>1710</v>
      </c>
      <c r="B1464" s="176">
        <v>46061</v>
      </c>
      <c r="C1464" s="172" t="s">
        <v>81</v>
      </c>
      <c r="D1464" s="172" t="s">
        <v>95</v>
      </c>
      <c r="E1464" s="172" t="s">
        <v>53</v>
      </c>
      <c r="F1464" s="172" t="s">
        <v>120</v>
      </c>
      <c r="G1464" s="172" t="s">
        <v>84</v>
      </c>
      <c r="H1464" s="177">
        <v>1</v>
      </c>
      <c r="I1464" s="178">
        <v>1812</v>
      </c>
      <c r="J1464" s="176">
        <v>46050</v>
      </c>
      <c r="K1464" s="172" t="s">
        <v>93</v>
      </c>
      <c r="L1464" s="172" t="s">
        <v>94</v>
      </c>
      <c r="M1464" s="179">
        <v>0.43</v>
      </c>
      <c r="N1464" s="177"/>
      <c r="O1464" s="177"/>
      <c r="P1464" s="180">
        <v>-10.85</v>
      </c>
    </row>
    <row r="1465" spans="1:16" ht="19.5" customHeight="1">
      <c r="A1465" s="172" t="s">
        <v>1711</v>
      </c>
      <c r="B1465" s="176">
        <v>46061</v>
      </c>
      <c r="C1465" s="172" t="s">
        <v>92</v>
      </c>
      <c r="D1465" s="172" t="s">
        <v>24</v>
      </c>
      <c r="E1465" s="172" t="s">
        <v>58</v>
      </c>
      <c r="F1465" s="172" t="s">
        <v>1302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0.43</v>
      </c>
      <c r="N1465" s="177"/>
      <c r="O1465" s="177">
        <v>39</v>
      </c>
      <c r="P1465" s="180">
        <v>-132.27000000000001</v>
      </c>
    </row>
    <row r="1466" spans="1:16" ht="19.5" customHeight="1">
      <c r="A1466" s="172" t="s">
        <v>1711</v>
      </c>
      <c r="B1466" s="176">
        <v>46061</v>
      </c>
      <c r="C1466" s="172" t="s">
        <v>100</v>
      </c>
      <c r="D1466" s="172" t="s">
        <v>101</v>
      </c>
      <c r="E1466" s="172" t="s">
        <v>58</v>
      </c>
      <c r="F1466" s="172" t="s">
        <v>1302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786.67</v>
      </c>
    </row>
    <row r="1467" spans="1:16" ht="19.5" customHeight="1">
      <c r="A1467" s="172" t="s">
        <v>1711</v>
      </c>
      <c r="B1467" s="176">
        <v>46061</v>
      </c>
      <c r="C1467" s="172" t="s">
        <v>100</v>
      </c>
      <c r="D1467" s="172" t="s">
        <v>102</v>
      </c>
      <c r="E1467" s="172" t="s">
        <v>58</v>
      </c>
      <c r="F1467" s="172" t="s">
        <v>1302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7.87</v>
      </c>
    </row>
    <row r="1468" spans="1:16" ht="19.5" customHeight="1">
      <c r="A1468" s="172" t="s">
        <v>1711</v>
      </c>
      <c r="B1468" s="176">
        <v>46061</v>
      </c>
      <c r="C1468" s="172" t="s">
        <v>100</v>
      </c>
      <c r="D1468" s="172" t="s">
        <v>103</v>
      </c>
      <c r="E1468" s="172" t="s">
        <v>58</v>
      </c>
      <c r="F1468" s="172" t="s">
        <v>1302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1205.46</v>
      </c>
    </row>
    <row r="1469" spans="1:16" ht="19.5" customHeight="1">
      <c r="A1469" s="172" t="s">
        <v>1711</v>
      </c>
      <c r="B1469" s="176">
        <v>46061</v>
      </c>
      <c r="C1469" s="172" t="s">
        <v>104</v>
      </c>
      <c r="D1469" s="172" t="s">
        <v>105</v>
      </c>
      <c r="E1469" s="172" t="s">
        <v>58</v>
      </c>
      <c r="F1469" s="172" t="s">
        <v>1302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-860</v>
      </c>
    </row>
    <row r="1470" spans="1:16" ht="19.5" customHeight="1">
      <c r="A1470" s="172" t="s">
        <v>1711</v>
      </c>
      <c r="B1470" s="176">
        <v>46061</v>
      </c>
      <c r="C1470" s="172" t="s">
        <v>81</v>
      </c>
      <c r="D1470" s="172" t="s">
        <v>95</v>
      </c>
      <c r="E1470" s="172" t="s">
        <v>58</v>
      </c>
      <c r="F1470" s="172" t="s">
        <v>1302</v>
      </c>
      <c r="G1470" s="172" t="s">
        <v>84</v>
      </c>
      <c r="H1470" s="177">
        <v>1</v>
      </c>
      <c r="I1470" s="178">
        <v>2000</v>
      </c>
      <c r="J1470" s="176">
        <v>46058</v>
      </c>
      <c r="K1470" s="172" t="s">
        <v>93</v>
      </c>
      <c r="L1470" s="172" t="s">
        <v>94</v>
      </c>
      <c r="M1470" s="179">
        <v>0.43</v>
      </c>
      <c r="N1470" s="177"/>
      <c r="O1470" s="177"/>
      <c r="P1470" s="180">
        <v>-16.12</v>
      </c>
    </row>
    <row r="1471" spans="1:16" ht="19.5" customHeight="1">
      <c r="A1471" s="172" t="s">
        <v>1710</v>
      </c>
      <c r="B1471" s="176">
        <v>46061</v>
      </c>
      <c r="C1471" s="172" t="s">
        <v>81</v>
      </c>
      <c r="D1471" s="172" t="s">
        <v>82</v>
      </c>
      <c r="E1471" s="172" t="s">
        <v>53</v>
      </c>
      <c r="F1471" s="172" t="s">
        <v>120</v>
      </c>
      <c r="G1471" s="172" t="s">
        <v>84</v>
      </c>
      <c r="H1471" s="177">
        <v>1</v>
      </c>
      <c r="I1471" s="178">
        <v>0</v>
      </c>
      <c r="J1471" s="176">
        <v>46050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-12</v>
      </c>
    </row>
    <row r="1472" spans="1:16" ht="19.5" customHeight="1">
      <c r="A1472" s="172" t="s">
        <v>1711</v>
      </c>
      <c r="B1472" s="176">
        <v>46061</v>
      </c>
      <c r="C1472" s="172" t="s">
        <v>81</v>
      </c>
      <c r="D1472" s="172" t="s">
        <v>82</v>
      </c>
      <c r="E1472" s="172" t="s">
        <v>58</v>
      </c>
      <c r="F1472" s="172" t="s">
        <v>1302</v>
      </c>
      <c r="G1472" s="172" t="s">
        <v>84</v>
      </c>
      <c r="H1472" s="177">
        <v>1</v>
      </c>
      <c r="I1472" s="178">
        <v>0</v>
      </c>
      <c r="J1472" s="176">
        <v>46058</v>
      </c>
      <c r="K1472" s="172" t="s">
        <v>85</v>
      </c>
      <c r="L1472" s="172" t="s">
        <v>85</v>
      </c>
      <c r="M1472" s="179">
        <v>0</v>
      </c>
      <c r="N1472" s="177"/>
      <c r="O1472" s="177"/>
      <c r="P1472" s="180">
        <v>-14.95</v>
      </c>
    </row>
    <row r="1473" spans="1:16" ht="19.5" customHeight="1">
      <c r="A1473" s="172" t="s">
        <v>1712</v>
      </c>
      <c r="B1473" s="176">
        <v>46061</v>
      </c>
      <c r="C1473" s="172" t="s">
        <v>92</v>
      </c>
      <c r="D1473" s="172" t="s">
        <v>24</v>
      </c>
      <c r="E1473" s="172" t="s">
        <v>60</v>
      </c>
      <c r="F1473" s="172" t="s">
        <v>1430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0.43</v>
      </c>
      <c r="N1473" s="177"/>
      <c r="O1473" s="177">
        <v>41</v>
      </c>
      <c r="P1473" s="180">
        <v>-141.69</v>
      </c>
    </row>
    <row r="1474" spans="1:16" ht="19.5" customHeight="1">
      <c r="A1474" s="172" t="s">
        <v>1712</v>
      </c>
      <c r="B1474" s="176">
        <v>46061</v>
      </c>
      <c r="C1474" s="172" t="s">
        <v>100</v>
      </c>
      <c r="D1474" s="172" t="s">
        <v>101</v>
      </c>
      <c r="E1474" s="172" t="s">
        <v>60</v>
      </c>
      <c r="F1474" s="172" t="s">
        <v>1430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701.99</v>
      </c>
    </row>
    <row r="1475" spans="1:16" ht="19.5" customHeight="1">
      <c r="A1475" s="172" t="s">
        <v>1712</v>
      </c>
      <c r="B1475" s="176">
        <v>46061</v>
      </c>
      <c r="C1475" s="172" t="s">
        <v>100</v>
      </c>
      <c r="D1475" s="172" t="s">
        <v>102</v>
      </c>
      <c r="E1475" s="172" t="s">
        <v>60</v>
      </c>
      <c r="F1475" s="172" t="s">
        <v>1430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7.02</v>
      </c>
    </row>
    <row r="1476" spans="1:16" ht="19.5" customHeight="1">
      <c r="A1476" s="172" t="s">
        <v>1712</v>
      </c>
      <c r="B1476" s="176">
        <v>46061</v>
      </c>
      <c r="C1476" s="172" t="s">
        <v>100</v>
      </c>
      <c r="D1476" s="172" t="s">
        <v>103</v>
      </c>
      <c r="E1476" s="172" t="s">
        <v>60</v>
      </c>
      <c r="F1476" s="172" t="s">
        <v>1430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1290.99</v>
      </c>
    </row>
    <row r="1477" spans="1:16" ht="19.5" customHeight="1">
      <c r="A1477" s="172" t="s">
        <v>1712</v>
      </c>
      <c r="B1477" s="176">
        <v>46061</v>
      </c>
      <c r="C1477" s="172" t="s">
        <v>104</v>
      </c>
      <c r="D1477" s="172" t="s">
        <v>105</v>
      </c>
      <c r="E1477" s="172" t="s">
        <v>60</v>
      </c>
      <c r="F1477" s="172" t="s">
        <v>1430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-860</v>
      </c>
    </row>
    <row r="1478" spans="1:16" ht="19.5" customHeight="1">
      <c r="A1478" s="172" t="s">
        <v>1712</v>
      </c>
      <c r="B1478" s="176">
        <v>46061</v>
      </c>
      <c r="C1478" s="172" t="s">
        <v>81</v>
      </c>
      <c r="D1478" s="172" t="s">
        <v>95</v>
      </c>
      <c r="E1478" s="172" t="s">
        <v>60</v>
      </c>
      <c r="F1478" s="172" t="s">
        <v>1430</v>
      </c>
      <c r="G1478" s="172" t="s">
        <v>84</v>
      </c>
      <c r="H1478" s="177">
        <v>1</v>
      </c>
      <c r="I1478" s="178">
        <v>2000</v>
      </c>
      <c r="J1478" s="176">
        <v>46055</v>
      </c>
      <c r="K1478" s="172" t="s">
        <v>93</v>
      </c>
      <c r="L1478" s="172" t="s">
        <v>94</v>
      </c>
      <c r="M1478" s="179">
        <v>0.43</v>
      </c>
      <c r="N1478" s="177"/>
      <c r="O1478" s="177"/>
      <c r="P1478" s="180">
        <v>-10.62</v>
      </c>
    </row>
    <row r="1479" spans="1:16" ht="19.5" customHeight="1">
      <c r="A1479" s="172" t="s">
        <v>1713</v>
      </c>
      <c r="B1479" s="176">
        <v>46061</v>
      </c>
      <c r="C1479" s="172" t="s">
        <v>81</v>
      </c>
      <c r="D1479" s="172" t="s">
        <v>82</v>
      </c>
      <c r="E1479" s="172" t="s">
        <v>42</v>
      </c>
      <c r="F1479" s="172" t="s">
        <v>89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-16.98</v>
      </c>
    </row>
    <row r="1480" spans="1:16" ht="19.5" customHeight="1">
      <c r="A1480" s="172" t="s">
        <v>1714</v>
      </c>
      <c r="B1480" s="176">
        <v>46061</v>
      </c>
      <c r="C1480" s="172" t="s">
        <v>81</v>
      </c>
      <c r="D1480" s="172" t="s">
        <v>82</v>
      </c>
      <c r="E1480" s="172" t="s">
        <v>52</v>
      </c>
      <c r="F1480" s="172" t="s">
        <v>90</v>
      </c>
      <c r="G1480" s="172" t="s">
        <v>84</v>
      </c>
      <c r="H1480" s="177">
        <v>1</v>
      </c>
      <c r="I1480" s="178">
        <v>0</v>
      </c>
      <c r="J1480" s="176">
        <v>46061</v>
      </c>
      <c r="K1480" s="172" t="s">
        <v>85</v>
      </c>
      <c r="L1480" s="172" t="s">
        <v>85</v>
      </c>
      <c r="M1480" s="179">
        <v>0</v>
      </c>
      <c r="N1480" s="177"/>
      <c r="O1480" s="177"/>
      <c r="P1480" s="180">
        <v>-15.82</v>
      </c>
    </row>
    <row r="1481" spans="1:16" ht="19.5" customHeight="1">
      <c r="A1481" s="172" t="s">
        <v>1715</v>
      </c>
      <c r="B1481" s="176">
        <v>46061</v>
      </c>
      <c r="C1481" s="172" t="s">
        <v>92</v>
      </c>
      <c r="D1481" s="172" t="s">
        <v>24</v>
      </c>
      <c r="E1481" s="172" t="s">
        <v>58</v>
      </c>
      <c r="F1481" s="172" t="s">
        <v>1302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>
        <v>40</v>
      </c>
      <c r="P1481" s="180">
        <v>-56.94</v>
      </c>
    </row>
    <row r="1482" spans="1:16" ht="19.5" customHeight="1">
      <c r="A1482" s="172" t="s">
        <v>1715</v>
      </c>
      <c r="B1482" s="176">
        <v>46061</v>
      </c>
      <c r="C1482" s="172" t="s">
        <v>81</v>
      </c>
      <c r="D1482" s="172" t="s">
        <v>95</v>
      </c>
      <c r="E1482" s="172" t="s">
        <v>58</v>
      </c>
      <c r="F1482" s="172" t="s">
        <v>1302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-25</v>
      </c>
    </row>
    <row r="1483" spans="1:16" ht="19.5" customHeight="1">
      <c r="A1483" s="172" t="s">
        <v>1715</v>
      </c>
      <c r="B1483" s="176">
        <v>46061</v>
      </c>
      <c r="C1483" s="172" t="s">
        <v>92</v>
      </c>
      <c r="D1483" s="172" t="s">
        <v>96</v>
      </c>
      <c r="E1483" s="172" t="s">
        <v>58</v>
      </c>
      <c r="F1483" s="172" t="s">
        <v>1302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0</v>
      </c>
    </row>
    <row r="1484" spans="1:16" ht="19.5" customHeight="1">
      <c r="A1484" s="172" t="s">
        <v>1715</v>
      </c>
      <c r="B1484" s="176">
        <v>46061</v>
      </c>
      <c r="C1484" s="172" t="s">
        <v>92</v>
      </c>
      <c r="D1484" s="172" t="s">
        <v>97</v>
      </c>
      <c r="E1484" s="172" t="s">
        <v>58</v>
      </c>
      <c r="F1484" s="172" t="s">
        <v>1302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-56.94</v>
      </c>
    </row>
    <row r="1485" spans="1:16" ht="19.5" customHeight="1">
      <c r="A1485" s="172" t="s">
        <v>1715</v>
      </c>
      <c r="B1485" s="176">
        <v>46061</v>
      </c>
      <c r="C1485" s="172" t="s">
        <v>81</v>
      </c>
      <c r="D1485" s="172" t="s">
        <v>98</v>
      </c>
      <c r="E1485" s="172" t="s">
        <v>58</v>
      </c>
      <c r="F1485" s="172" t="s">
        <v>1302</v>
      </c>
      <c r="G1485" s="172" t="s">
        <v>84</v>
      </c>
      <c r="H1485" s="177">
        <v>1</v>
      </c>
      <c r="I1485" s="178">
        <v>0</v>
      </c>
      <c r="J1485" s="176">
        <v>46057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-15</v>
      </c>
    </row>
    <row r="1486" spans="1:16" ht="19.5" customHeight="1">
      <c r="A1486" s="172" t="s">
        <v>1716</v>
      </c>
      <c r="B1486" s="176">
        <v>46061</v>
      </c>
      <c r="C1486" s="172" t="s">
        <v>92</v>
      </c>
      <c r="D1486" s="172" t="s">
        <v>24</v>
      </c>
      <c r="E1486" s="172" t="s">
        <v>56</v>
      </c>
      <c r="F1486" s="172" t="s">
        <v>1215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0.43</v>
      </c>
      <c r="N1486" s="177"/>
      <c r="O1486" s="177">
        <v>44</v>
      </c>
      <c r="P1486" s="180">
        <v>-155.81</v>
      </c>
    </row>
    <row r="1487" spans="1:16" ht="19.5" customHeight="1">
      <c r="A1487" s="172" t="s">
        <v>1716</v>
      </c>
      <c r="B1487" s="176">
        <v>46061</v>
      </c>
      <c r="C1487" s="172" t="s">
        <v>100</v>
      </c>
      <c r="D1487" s="172" t="s">
        <v>101</v>
      </c>
      <c r="E1487" s="172" t="s">
        <v>56</v>
      </c>
      <c r="F1487" s="172" t="s">
        <v>1215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1196.77</v>
      </c>
    </row>
    <row r="1488" spans="1:16" ht="19.5" customHeight="1">
      <c r="A1488" s="172" t="s">
        <v>1716</v>
      </c>
      <c r="B1488" s="176">
        <v>46061</v>
      </c>
      <c r="C1488" s="172" t="s">
        <v>100</v>
      </c>
      <c r="D1488" s="172" t="s">
        <v>102</v>
      </c>
      <c r="E1488" s="172" t="s">
        <v>56</v>
      </c>
      <c r="F1488" s="172" t="s">
        <v>1215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0</v>
      </c>
    </row>
    <row r="1489" spans="1:16" ht="19.5" customHeight="1">
      <c r="A1489" s="172" t="s">
        <v>1716</v>
      </c>
      <c r="B1489" s="176">
        <v>46061</v>
      </c>
      <c r="C1489" s="172" t="s">
        <v>100</v>
      </c>
      <c r="D1489" s="172" t="s">
        <v>103</v>
      </c>
      <c r="E1489" s="172" t="s">
        <v>56</v>
      </c>
      <c r="F1489" s="172" t="s">
        <v>1215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</v>
      </c>
      <c r="N1489" s="177"/>
      <c r="O1489" s="177"/>
      <c r="P1489" s="180">
        <v>803.23</v>
      </c>
    </row>
    <row r="1490" spans="1:16" ht="19.5" customHeight="1">
      <c r="A1490" s="172" t="s">
        <v>1716</v>
      </c>
      <c r="B1490" s="176">
        <v>46061</v>
      </c>
      <c r="C1490" s="172" t="s">
        <v>104</v>
      </c>
      <c r="D1490" s="172" t="s">
        <v>105</v>
      </c>
      <c r="E1490" s="172" t="s">
        <v>56</v>
      </c>
      <c r="F1490" s="172" t="s">
        <v>1215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-860</v>
      </c>
    </row>
    <row r="1491" spans="1:16" ht="19.5" customHeight="1">
      <c r="A1491" s="172" t="s">
        <v>1716</v>
      </c>
      <c r="B1491" s="176">
        <v>46061</v>
      </c>
      <c r="C1491" s="172" t="s">
        <v>81</v>
      </c>
      <c r="D1491" s="172" t="s">
        <v>95</v>
      </c>
      <c r="E1491" s="172" t="s">
        <v>56</v>
      </c>
      <c r="F1491" s="172" t="s">
        <v>1215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/>
      <c r="P1491" s="180">
        <v>-9.7899999999999991</v>
      </c>
    </row>
    <row r="1492" spans="1:16" ht="19.5" customHeight="1">
      <c r="A1492" s="172" t="s">
        <v>1717</v>
      </c>
      <c r="B1492" s="176">
        <v>46061</v>
      </c>
      <c r="C1492" s="172" t="s">
        <v>92</v>
      </c>
      <c r="D1492" s="172" t="s">
        <v>24</v>
      </c>
      <c r="E1492" s="172" t="s">
        <v>56</v>
      </c>
      <c r="F1492" s="172" t="s">
        <v>1215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0.43</v>
      </c>
      <c r="N1492" s="177"/>
      <c r="O1492" s="177">
        <v>44</v>
      </c>
      <c r="P1492" s="180">
        <v>-155.81</v>
      </c>
    </row>
    <row r="1493" spans="1:16" ht="19.5" customHeight="1">
      <c r="A1493" s="172" t="s">
        <v>1717</v>
      </c>
      <c r="B1493" s="176">
        <v>46061</v>
      </c>
      <c r="C1493" s="172" t="s">
        <v>100</v>
      </c>
      <c r="D1493" s="172" t="s">
        <v>101</v>
      </c>
      <c r="E1493" s="172" t="s">
        <v>56</v>
      </c>
      <c r="F1493" s="172" t="s">
        <v>1215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1097.1400000000001</v>
      </c>
    </row>
    <row r="1494" spans="1:16" ht="19.5" customHeight="1">
      <c r="A1494" s="172" t="s">
        <v>1717</v>
      </c>
      <c r="B1494" s="176">
        <v>46061</v>
      </c>
      <c r="C1494" s="172" t="s">
        <v>100</v>
      </c>
      <c r="D1494" s="172" t="s">
        <v>102</v>
      </c>
      <c r="E1494" s="172" t="s">
        <v>56</v>
      </c>
      <c r="F1494" s="172" t="s">
        <v>1215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10.97</v>
      </c>
    </row>
    <row r="1495" spans="1:16" ht="19.5" customHeight="1">
      <c r="A1495" s="172" t="s">
        <v>1717</v>
      </c>
      <c r="B1495" s="176">
        <v>46061</v>
      </c>
      <c r="C1495" s="172" t="s">
        <v>100</v>
      </c>
      <c r="D1495" s="172" t="s">
        <v>103</v>
      </c>
      <c r="E1495" s="172" t="s">
        <v>56</v>
      </c>
      <c r="F1495" s="172" t="s">
        <v>1215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</v>
      </c>
      <c r="N1495" s="177"/>
      <c r="O1495" s="177"/>
      <c r="P1495" s="180">
        <v>891.89</v>
      </c>
    </row>
    <row r="1496" spans="1:16" ht="19.5" customHeight="1">
      <c r="A1496" s="172" t="s">
        <v>1717</v>
      </c>
      <c r="B1496" s="176">
        <v>46061</v>
      </c>
      <c r="C1496" s="172" t="s">
        <v>104</v>
      </c>
      <c r="D1496" s="172" t="s">
        <v>105</v>
      </c>
      <c r="E1496" s="172" t="s">
        <v>56</v>
      </c>
      <c r="F1496" s="172" t="s">
        <v>1215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-860</v>
      </c>
    </row>
    <row r="1497" spans="1:16" ht="19.5" customHeight="1">
      <c r="A1497" s="172" t="s">
        <v>1717</v>
      </c>
      <c r="B1497" s="176">
        <v>46061</v>
      </c>
      <c r="C1497" s="172" t="s">
        <v>81</v>
      </c>
      <c r="D1497" s="172" t="s">
        <v>95</v>
      </c>
      <c r="E1497" s="172" t="s">
        <v>56</v>
      </c>
      <c r="F1497" s="172" t="s">
        <v>1215</v>
      </c>
      <c r="G1497" s="172" t="s">
        <v>84</v>
      </c>
      <c r="H1497" s="177">
        <v>1</v>
      </c>
      <c r="I1497" s="178">
        <v>2000</v>
      </c>
      <c r="J1497" s="176">
        <v>46052</v>
      </c>
      <c r="K1497" s="172" t="s">
        <v>93</v>
      </c>
      <c r="L1497" s="172" t="s">
        <v>94</v>
      </c>
      <c r="M1497" s="179">
        <v>0.43</v>
      </c>
      <c r="N1497" s="177"/>
      <c r="O1497" s="177"/>
      <c r="P1497" s="180">
        <v>-11.98</v>
      </c>
    </row>
    <row r="1498" spans="1:16" ht="19.5" customHeight="1">
      <c r="A1498" s="172" t="s">
        <v>1716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1215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-9.1</v>
      </c>
    </row>
    <row r="1499" spans="1:16" ht="19.5" customHeight="1">
      <c r="A1499" s="172" t="s">
        <v>1717</v>
      </c>
      <c r="B1499" s="176">
        <v>46061</v>
      </c>
      <c r="C1499" s="172" t="s">
        <v>81</v>
      </c>
      <c r="D1499" s="172" t="s">
        <v>82</v>
      </c>
      <c r="E1499" s="172" t="s">
        <v>56</v>
      </c>
      <c r="F1499" s="172" t="s">
        <v>1215</v>
      </c>
      <c r="G1499" s="172" t="s">
        <v>84</v>
      </c>
      <c r="H1499" s="177">
        <v>1</v>
      </c>
      <c r="I1499" s="178">
        <v>0</v>
      </c>
      <c r="J1499" s="176">
        <v>46052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-20.85</v>
      </c>
    </row>
    <row r="1500" spans="1:16" ht="19.5" customHeight="1">
      <c r="A1500" s="172" t="s">
        <v>1718</v>
      </c>
      <c r="B1500" s="176">
        <v>46061</v>
      </c>
      <c r="C1500" s="172" t="s">
        <v>81</v>
      </c>
      <c r="D1500" s="172" t="s">
        <v>82</v>
      </c>
      <c r="E1500" s="172" t="s">
        <v>52</v>
      </c>
      <c r="F1500" s="172" t="s">
        <v>90</v>
      </c>
      <c r="G1500" s="172" t="s">
        <v>84</v>
      </c>
      <c r="H1500" s="177">
        <v>1</v>
      </c>
      <c r="I1500" s="178">
        <v>0</v>
      </c>
      <c r="J1500" s="176">
        <v>46061</v>
      </c>
      <c r="K1500" s="172" t="s">
        <v>85</v>
      </c>
      <c r="L1500" s="172" t="s">
        <v>85</v>
      </c>
      <c r="M1500" s="179">
        <v>0</v>
      </c>
      <c r="N1500" s="177"/>
      <c r="O1500" s="177"/>
      <c r="P1500" s="180">
        <v>-16.829999999999998</v>
      </c>
    </row>
    <row r="1501" spans="1:16" ht="19.5" customHeight="1">
      <c r="A1501" s="172" t="s">
        <v>1719</v>
      </c>
      <c r="B1501" s="176">
        <v>46061</v>
      </c>
      <c r="C1501" s="172" t="s">
        <v>92</v>
      </c>
      <c r="D1501" s="172" t="s">
        <v>24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0.43</v>
      </c>
      <c r="N1501" s="177"/>
      <c r="O1501" s="177">
        <v>41</v>
      </c>
      <c r="P1501" s="180">
        <v>-119.28</v>
      </c>
    </row>
    <row r="1502" spans="1:16" ht="19.5" customHeight="1">
      <c r="A1502" s="172" t="s">
        <v>1719</v>
      </c>
      <c r="B1502" s="176">
        <v>46061</v>
      </c>
      <c r="C1502" s="172" t="s">
        <v>100</v>
      </c>
      <c r="D1502" s="172" t="s">
        <v>101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666.67</v>
      </c>
    </row>
    <row r="1503" spans="1:16" ht="19.5" customHeight="1">
      <c r="A1503" s="172" t="s">
        <v>1719</v>
      </c>
      <c r="B1503" s="176">
        <v>46061</v>
      </c>
      <c r="C1503" s="172" t="s">
        <v>100</v>
      </c>
      <c r="D1503" s="172" t="s">
        <v>102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0</v>
      </c>
    </row>
    <row r="1504" spans="1:16" ht="19.5" customHeight="1">
      <c r="A1504" s="172" t="s">
        <v>1719</v>
      </c>
      <c r="B1504" s="176">
        <v>46061</v>
      </c>
      <c r="C1504" s="172" t="s">
        <v>100</v>
      </c>
      <c r="D1504" s="172" t="s">
        <v>103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1083.33</v>
      </c>
    </row>
    <row r="1505" spans="1:16" ht="19.5" customHeight="1">
      <c r="A1505" s="172" t="s">
        <v>1719</v>
      </c>
      <c r="B1505" s="176">
        <v>46061</v>
      </c>
      <c r="C1505" s="172" t="s">
        <v>104</v>
      </c>
      <c r="D1505" s="172" t="s">
        <v>105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-752.5</v>
      </c>
    </row>
    <row r="1506" spans="1:16" ht="19.5" customHeight="1">
      <c r="A1506" s="172" t="s">
        <v>1719</v>
      </c>
      <c r="B1506" s="176">
        <v>46061</v>
      </c>
      <c r="C1506" s="172" t="s">
        <v>81</v>
      </c>
      <c r="D1506" s="172" t="s">
        <v>95</v>
      </c>
      <c r="E1506" s="172" t="s">
        <v>43</v>
      </c>
      <c r="F1506" s="172" t="s">
        <v>125</v>
      </c>
      <c r="G1506" s="172" t="s">
        <v>84</v>
      </c>
      <c r="H1506" s="177">
        <v>1</v>
      </c>
      <c r="I1506" s="178">
        <v>1750</v>
      </c>
      <c r="J1506" s="176">
        <v>46055</v>
      </c>
      <c r="K1506" s="172" t="s">
        <v>93</v>
      </c>
      <c r="L1506" s="172" t="s">
        <v>94</v>
      </c>
      <c r="M1506" s="179">
        <v>0.43</v>
      </c>
      <c r="N1506" s="177"/>
      <c r="O1506" s="177"/>
      <c r="P1506" s="180">
        <v>-12.83</v>
      </c>
    </row>
    <row r="1507" spans="1:16" ht="19.5" customHeight="1">
      <c r="A1507" s="172" t="s">
        <v>1611</v>
      </c>
      <c r="B1507" s="176">
        <v>46061</v>
      </c>
      <c r="C1507" s="172" t="s">
        <v>92</v>
      </c>
      <c r="D1507" s="172" t="s">
        <v>272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0</v>
      </c>
    </row>
    <row r="1508" spans="1:16" ht="19.5" customHeight="1">
      <c r="A1508" s="172" t="s">
        <v>1611</v>
      </c>
      <c r="B1508" s="176">
        <v>46061</v>
      </c>
      <c r="C1508" s="172" t="s">
        <v>92</v>
      </c>
      <c r="D1508" s="172" t="s">
        <v>97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-56.94</v>
      </c>
    </row>
    <row r="1509" spans="1:16" ht="19.5" customHeight="1">
      <c r="A1509" s="172" t="s">
        <v>1611</v>
      </c>
      <c r="B1509" s="176">
        <v>46061</v>
      </c>
      <c r="C1509" s="172" t="s">
        <v>81</v>
      </c>
      <c r="D1509" s="172" t="s">
        <v>98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0</v>
      </c>
      <c r="J1509" s="176">
        <v>46057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-15</v>
      </c>
    </row>
    <row r="1510" spans="1:16" ht="19.5" customHeight="1">
      <c r="A1510" s="172" t="s">
        <v>1720</v>
      </c>
      <c r="B1510" s="176">
        <v>46061</v>
      </c>
      <c r="C1510" s="172" t="s">
        <v>92</v>
      </c>
      <c r="D1510" s="172" t="s">
        <v>24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0.43</v>
      </c>
      <c r="N1510" s="177"/>
      <c r="O1510" s="177">
        <v>44</v>
      </c>
      <c r="P1510" s="180">
        <v>-148.36000000000001</v>
      </c>
    </row>
    <row r="1511" spans="1:16" ht="19.5" customHeight="1">
      <c r="A1511" s="172" t="s">
        <v>1720</v>
      </c>
      <c r="B1511" s="176">
        <v>46061</v>
      </c>
      <c r="C1511" s="172" t="s">
        <v>100</v>
      </c>
      <c r="D1511" s="172" t="s">
        <v>101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723.81</v>
      </c>
    </row>
    <row r="1512" spans="1:16" ht="19.5" customHeight="1">
      <c r="A1512" s="172" t="s">
        <v>1720</v>
      </c>
      <c r="B1512" s="176">
        <v>46061</v>
      </c>
      <c r="C1512" s="172" t="s">
        <v>100</v>
      </c>
      <c r="D1512" s="172" t="s">
        <v>102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customHeight="1">
      <c r="A1513" s="172" t="s">
        <v>1720</v>
      </c>
      <c r="B1513" s="176">
        <v>46061</v>
      </c>
      <c r="C1513" s="172" t="s">
        <v>100</v>
      </c>
      <c r="D1513" s="172" t="s">
        <v>103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1088.19</v>
      </c>
    </row>
    <row r="1514" spans="1:16" ht="19.5" customHeight="1">
      <c r="A1514" s="172" t="s">
        <v>1720</v>
      </c>
      <c r="B1514" s="176">
        <v>46061</v>
      </c>
      <c r="C1514" s="172" t="s">
        <v>104</v>
      </c>
      <c r="D1514" s="172" t="s">
        <v>105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-779.16</v>
      </c>
    </row>
    <row r="1515" spans="1:16" ht="19.5" customHeight="1">
      <c r="A1515" s="172" t="s">
        <v>1720</v>
      </c>
      <c r="B1515" s="176">
        <v>46061</v>
      </c>
      <c r="C1515" s="172" t="s">
        <v>81</v>
      </c>
      <c r="D1515" s="172" t="s">
        <v>95</v>
      </c>
      <c r="E1515" s="172" t="s">
        <v>53</v>
      </c>
      <c r="F1515" s="172" t="s">
        <v>120</v>
      </c>
      <c r="G1515" s="172" t="s">
        <v>84</v>
      </c>
      <c r="H1515" s="177">
        <v>1</v>
      </c>
      <c r="I1515" s="178">
        <v>1812</v>
      </c>
      <c r="J1515" s="176">
        <v>46052</v>
      </c>
      <c r="K1515" s="172" t="s">
        <v>93</v>
      </c>
      <c r="L1515" s="172" t="s">
        <v>94</v>
      </c>
      <c r="M1515" s="179">
        <v>0.43</v>
      </c>
      <c r="N1515" s="177"/>
      <c r="O1515" s="177"/>
      <c r="P1515" s="180">
        <v>-17.29</v>
      </c>
    </row>
    <row r="1516" spans="1:16" ht="19.5" customHeight="1">
      <c r="A1516" s="172" t="s">
        <v>1721</v>
      </c>
      <c r="B1516" s="176">
        <v>46061</v>
      </c>
      <c r="C1516" s="172" t="s">
        <v>92</v>
      </c>
      <c r="D1516" s="172" t="s">
        <v>24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>
        <v>39</v>
      </c>
      <c r="P1516" s="180">
        <v>-46.77</v>
      </c>
    </row>
    <row r="1517" spans="1:16" ht="19.5" customHeight="1">
      <c r="A1517" s="172" t="s">
        <v>1721</v>
      </c>
      <c r="B1517" s="176">
        <v>46061</v>
      </c>
      <c r="C1517" s="172" t="s">
        <v>81</v>
      </c>
      <c r="D1517" s="172" t="s">
        <v>95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-13.68</v>
      </c>
    </row>
    <row r="1518" spans="1:16" ht="19.5" customHeight="1">
      <c r="A1518" s="172" t="s">
        <v>1721</v>
      </c>
      <c r="B1518" s="176">
        <v>46061</v>
      </c>
      <c r="C1518" s="172" t="s">
        <v>92</v>
      </c>
      <c r="D1518" s="172" t="s">
        <v>96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0</v>
      </c>
    </row>
    <row r="1519" spans="1:16" ht="19.5" customHeight="1">
      <c r="A1519" s="172" t="s">
        <v>1721</v>
      </c>
      <c r="B1519" s="176">
        <v>46061</v>
      </c>
      <c r="C1519" s="172" t="s">
        <v>92</v>
      </c>
      <c r="D1519" s="172" t="s">
        <v>97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-46.77</v>
      </c>
    </row>
    <row r="1520" spans="1:16" ht="19.5" customHeight="1">
      <c r="A1520" s="172" t="s">
        <v>1721</v>
      </c>
      <c r="B1520" s="176">
        <v>46061</v>
      </c>
      <c r="C1520" s="172" t="s">
        <v>81</v>
      </c>
      <c r="D1520" s="172" t="s">
        <v>98</v>
      </c>
      <c r="E1520" s="172" t="s">
        <v>40</v>
      </c>
      <c r="F1520" s="172" t="s">
        <v>197</v>
      </c>
      <c r="G1520" s="172" t="s">
        <v>84</v>
      </c>
      <c r="H1520" s="177">
        <v>1</v>
      </c>
      <c r="I1520" s="178">
        <v>0</v>
      </c>
      <c r="J1520" s="176">
        <v>46058</v>
      </c>
      <c r="K1520" s="172" t="s">
        <v>93</v>
      </c>
      <c r="L1520" s="172" t="s">
        <v>94</v>
      </c>
      <c r="M1520" s="179">
        <v>0</v>
      </c>
      <c r="N1520" s="177"/>
      <c r="O1520" s="177"/>
      <c r="P1520" s="180">
        <v>-15</v>
      </c>
    </row>
    <row r="1521" spans="1:16" ht="19.5" customHeight="1">
      <c r="A1521" s="172" t="s">
        <v>1722</v>
      </c>
      <c r="B1521" s="176">
        <v>46061</v>
      </c>
      <c r="C1521" s="172" t="s">
        <v>92</v>
      </c>
      <c r="D1521" s="172" t="s">
        <v>24</v>
      </c>
      <c r="E1521" s="172" t="s">
        <v>57</v>
      </c>
      <c r="F1521" s="172" t="s">
        <v>1265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0.43</v>
      </c>
      <c r="N1521" s="177"/>
      <c r="O1521" s="177">
        <v>41</v>
      </c>
      <c r="P1521" s="180">
        <v>-141.69</v>
      </c>
    </row>
    <row r="1522" spans="1:16" ht="19.5" customHeight="1">
      <c r="A1522" s="172" t="s">
        <v>1722</v>
      </c>
      <c r="B1522" s="176">
        <v>46061</v>
      </c>
      <c r="C1522" s="172" t="s">
        <v>100</v>
      </c>
      <c r="D1522" s="172" t="s">
        <v>101</v>
      </c>
      <c r="E1522" s="172" t="s">
        <v>57</v>
      </c>
      <c r="F1522" s="172" t="s">
        <v>1265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873.33</v>
      </c>
    </row>
    <row r="1523" spans="1:16" ht="19.5" customHeight="1">
      <c r="A1523" s="172" t="s">
        <v>1722</v>
      </c>
      <c r="B1523" s="176">
        <v>46061</v>
      </c>
      <c r="C1523" s="172" t="s">
        <v>100</v>
      </c>
      <c r="D1523" s="172" t="s">
        <v>102</v>
      </c>
      <c r="E1523" s="172" t="s">
        <v>57</v>
      </c>
      <c r="F1523" s="172" t="s">
        <v>1265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8.73</v>
      </c>
    </row>
    <row r="1524" spans="1:16" ht="19.5" customHeight="1">
      <c r="A1524" s="172" t="s">
        <v>1722</v>
      </c>
      <c r="B1524" s="176">
        <v>46061</v>
      </c>
      <c r="C1524" s="172" t="s">
        <v>100</v>
      </c>
      <c r="D1524" s="172" t="s">
        <v>103</v>
      </c>
      <c r="E1524" s="172" t="s">
        <v>57</v>
      </c>
      <c r="F1524" s="172" t="s">
        <v>1265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1117.94</v>
      </c>
    </row>
    <row r="1525" spans="1:16" ht="19.5" customHeight="1">
      <c r="A1525" s="172" t="s">
        <v>1722</v>
      </c>
      <c r="B1525" s="176">
        <v>46061</v>
      </c>
      <c r="C1525" s="172" t="s">
        <v>104</v>
      </c>
      <c r="D1525" s="172" t="s">
        <v>105</v>
      </c>
      <c r="E1525" s="172" t="s">
        <v>57</v>
      </c>
      <c r="F1525" s="172" t="s">
        <v>1265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-860</v>
      </c>
    </row>
    <row r="1526" spans="1:16" ht="19.5" customHeight="1">
      <c r="A1526" s="172" t="s">
        <v>1722</v>
      </c>
      <c r="B1526" s="176">
        <v>46061</v>
      </c>
      <c r="C1526" s="172" t="s">
        <v>81</v>
      </c>
      <c r="D1526" s="172" t="s">
        <v>95</v>
      </c>
      <c r="E1526" s="172" t="s">
        <v>57</v>
      </c>
      <c r="F1526" s="172" t="s">
        <v>1265</v>
      </c>
      <c r="G1526" s="172" t="s">
        <v>84</v>
      </c>
      <c r="H1526" s="177">
        <v>1</v>
      </c>
      <c r="I1526" s="178">
        <v>2000</v>
      </c>
      <c r="J1526" s="176">
        <v>46056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-12.83</v>
      </c>
    </row>
    <row r="1527" spans="1:16" ht="19.5" customHeight="1">
      <c r="A1527" s="172" t="s">
        <v>1242</v>
      </c>
      <c r="B1527" s="176">
        <v>46061</v>
      </c>
      <c r="C1527" s="172" t="s">
        <v>92</v>
      </c>
      <c r="D1527" s="172" t="s">
        <v>272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0</v>
      </c>
    </row>
    <row r="1528" spans="1:16" ht="19.5" customHeight="1">
      <c r="A1528" s="172" t="s">
        <v>1242</v>
      </c>
      <c r="B1528" s="176">
        <v>46061</v>
      </c>
      <c r="C1528" s="172" t="s">
        <v>92</v>
      </c>
      <c r="D1528" s="172" t="s">
        <v>97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-56</v>
      </c>
    </row>
    <row r="1529" spans="1:16" ht="19.5" customHeight="1">
      <c r="A1529" s="172" t="s">
        <v>1242</v>
      </c>
      <c r="B1529" s="176">
        <v>46061</v>
      </c>
      <c r="C1529" s="172" t="s">
        <v>81</v>
      </c>
      <c r="D1529" s="172" t="s">
        <v>98</v>
      </c>
      <c r="E1529" s="172" t="s">
        <v>53</v>
      </c>
      <c r="F1529" s="172" t="s">
        <v>120</v>
      </c>
      <c r="G1529" s="172" t="s">
        <v>84</v>
      </c>
      <c r="H1529" s="177">
        <v>1</v>
      </c>
      <c r="I1529" s="178">
        <v>0</v>
      </c>
      <c r="J1529" s="176">
        <v>46048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-15</v>
      </c>
    </row>
    <row r="1530" spans="1:16" ht="19.5" customHeight="1">
      <c r="A1530" s="172" t="s">
        <v>1723</v>
      </c>
      <c r="B1530" s="176">
        <v>46061</v>
      </c>
      <c r="C1530" s="172" t="s">
        <v>92</v>
      </c>
      <c r="D1530" s="172" t="s">
        <v>24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0.43</v>
      </c>
      <c r="N1530" s="177"/>
      <c r="O1530" s="177">
        <v>41</v>
      </c>
      <c r="P1530" s="180">
        <v>-119.28</v>
      </c>
    </row>
    <row r="1531" spans="1:16" ht="19.5" customHeight="1">
      <c r="A1531" s="172" t="s">
        <v>1723</v>
      </c>
      <c r="B1531" s="176">
        <v>46061</v>
      </c>
      <c r="C1531" s="172" t="s">
        <v>100</v>
      </c>
      <c r="D1531" s="172" t="s">
        <v>101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743.81</v>
      </c>
    </row>
    <row r="1532" spans="1:16" ht="19.5" customHeight="1">
      <c r="A1532" s="172" t="s">
        <v>1723</v>
      </c>
      <c r="B1532" s="176">
        <v>46061</v>
      </c>
      <c r="C1532" s="172" t="s">
        <v>100</v>
      </c>
      <c r="D1532" s="172" t="s">
        <v>102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0</v>
      </c>
    </row>
    <row r="1533" spans="1:16" ht="19.5" customHeight="1">
      <c r="A1533" s="172" t="s">
        <v>1723</v>
      </c>
      <c r="B1533" s="176">
        <v>46061</v>
      </c>
      <c r="C1533" s="172" t="s">
        <v>100</v>
      </c>
      <c r="D1533" s="172" t="s">
        <v>103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</v>
      </c>
      <c r="N1533" s="177"/>
      <c r="O1533" s="177"/>
      <c r="P1533" s="180">
        <v>1006.19</v>
      </c>
    </row>
    <row r="1534" spans="1:16" ht="19.5" customHeight="1">
      <c r="A1534" s="172" t="s">
        <v>1723</v>
      </c>
      <c r="B1534" s="176">
        <v>46061</v>
      </c>
      <c r="C1534" s="172" t="s">
        <v>104</v>
      </c>
      <c r="D1534" s="172" t="s">
        <v>105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-752.5</v>
      </c>
    </row>
    <row r="1535" spans="1:16" ht="19.5" customHeight="1">
      <c r="A1535" s="172" t="s">
        <v>1723</v>
      </c>
      <c r="B1535" s="176">
        <v>46061</v>
      </c>
      <c r="C1535" s="172" t="s">
        <v>81</v>
      </c>
      <c r="D1535" s="172" t="s">
        <v>95</v>
      </c>
      <c r="E1535" s="172" t="s">
        <v>41</v>
      </c>
      <c r="F1535" s="172" t="s">
        <v>83</v>
      </c>
      <c r="G1535" s="172" t="s">
        <v>84</v>
      </c>
      <c r="H1535" s="177">
        <v>1</v>
      </c>
      <c r="I1535" s="178">
        <v>1750</v>
      </c>
      <c r="J1535" s="176">
        <v>46055</v>
      </c>
      <c r="K1535" s="172" t="s">
        <v>93</v>
      </c>
      <c r="L1535" s="172" t="s">
        <v>94</v>
      </c>
      <c r="M1535" s="179">
        <v>0.43</v>
      </c>
      <c r="N1535" s="177"/>
      <c r="O1535" s="177"/>
      <c r="P1535" s="180">
        <v>-18.23</v>
      </c>
    </row>
    <row r="1536" spans="1:16" ht="19.5" customHeight="1">
      <c r="A1536" s="172" t="s">
        <v>1724</v>
      </c>
      <c r="B1536" s="176">
        <v>46061</v>
      </c>
      <c r="C1536" s="172" t="s">
        <v>81</v>
      </c>
      <c r="D1536" s="172" t="s">
        <v>82</v>
      </c>
      <c r="E1536" s="172" t="s">
        <v>53</v>
      </c>
      <c r="F1536" s="172" t="s">
        <v>120</v>
      </c>
      <c r="G1536" s="172" t="s">
        <v>84</v>
      </c>
      <c r="H1536" s="177">
        <v>1</v>
      </c>
      <c r="I1536" s="178">
        <v>0</v>
      </c>
      <c r="J1536" s="176">
        <v>46061</v>
      </c>
      <c r="K1536" s="172" t="s">
        <v>85</v>
      </c>
      <c r="L1536" s="172" t="s">
        <v>85</v>
      </c>
      <c r="M1536" s="179">
        <v>0</v>
      </c>
      <c r="N1536" s="177"/>
      <c r="O1536" s="177"/>
      <c r="P1536" s="180">
        <v>-18.46</v>
      </c>
    </row>
    <row r="1537" spans="1:16" ht="19.5" customHeight="1">
      <c r="A1537" s="172" t="s">
        <v>1725</v>
      </c>
      <c r="B1537" s="176">
        <v>46061</v>
      </c>
      <c r="C1537" s="172" t="s">
        <v>92</v>
      </c>
      <c r="D1537" s="172" t="s">
        <v>24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0.43</v>
      </c>
      <c r="N1537" s="177"/>
      <c r="O1537" s="177">
        <v>40</v>
      </c>
      <c r="P1537" s="180">
        <v>-138.05000000000001</v>
      </c>
    </row>
    <row r="1538" spans="1:16" ht="19.5" customHeight="1">
      <c r="A1538" s="172" t="s">
        <v>1725</v>
      </c>
      <c r="B1538" s="176">
        <v>46061</v>
      </c>
      <c r="C1538" s="172" t="s">
        <v>100</v>
      </c>
      <c r="D1538" s="172" t="s">
        <v>101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787.07</v>
      </c>
    </row>
    <row r="1539" spans="1:16" ht="19.5" customHeight="1">
      <c r="A1539" s="172" t="s">
        <v>1725</v>
      </c>
      <c r="B1539" s="176">
        <v>46061</v>
      </c>
      <c r="C1539" s="172" t="s">
        <v>100</v>
      </c>
      <c r="D1539" s="172" t="s">
        <v>102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7.87</v>
      </c>
    </row>
    <row r="1540" spans="1:16" ht="19.5" customHeight="1">
      <c r="A1540" s="172" t="s">
        <v>1725</v>
      </c>
      <c r="B1540" s="176">
        <v>46061</v>
      </c>
      <c r="C1540" s="172" t="s">
        <v>100</v>
      </c>
      <c r="D1540" s="172" t="s">
        <v>103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</v>
      </c>
      <c r="N1540" s="177"/>
      <c r="O1540" s="177"/>
      <c r="P1540" s="180">
        <v>1247.06</v>
      </c>
    </row>
    <row r="1541" spans="1:16" ht="19.5" customHeight="1">
      <c r="A1541" s="172" t="s">
        <v>1725</v>
      </c>
      <c r="B1541" s="176">
        <v>46061</v>
      </c>
      <c r="C1541" s="172" t="s">
        <v>104</v>
      </c>
      <c r="D1541" s="172" t="s">
        <v>105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-878.06</v>
      </c>
    </row>
    <row r="1542" spans="1:16" ht="19.5" customHeight="1">
      <c r="A1542" s="172" t="s">
        <v>1725</v>
      </c>
      <c r="B1542" s="176">
        <v>46061</v>
      </c>
      <c r="C1542" s="172" t="s">
        <v>81</v>
      </c>
      <c r="D1542" s="172" t="s">
        <v>95</v>
      </c>
      <c r="E1542" s="172" t="s">
        <v>52</v>
      </c>
      <c r="F1542" s="172" t="s">
        <v>90</v>
      </c>
      <c r="G1542" s="172" t="s">
        <v>84</v>
      </c>
      <c r="H1542" s="177">
        <v>1</v>
      </c>
      <c r="I1542" s="178">
        <v>2042</v>
      </c>
      <c r="J1542" s="176">
        <v>46057</v>
      </c>
      <c r="K1542" s="172" t="s">
        <v>93</v>
      </c>
      <c r="L1542" s="172" t="s">
        <v>94</v>
      </c>
      <c r="M1542" s="179">
        <v>0.43</v>
      </c>
      <c r="N1542" s="177"/>
      <c r="O1542" s="177"/>
      <c r="P1542" s="180">
        <v>-9.49</v>
      </c>
    </row>
    <row r="1543" spans="1:16" ht="19.5" customHeight="1">
      <c r="A1543" s="172" t="s">
        <v>1726</v>
      </c>
      <c r="B1543" s="176">
        <v>46061</v>
      </c>
      <c r="C1543" s="172" t="s">
        <v>92</v>
      </c>
      <c r="D1543" s="172" t="s">
        <v>24</v>
      </c>
      <c r="E1543" s="172" t="s">
        <v>59</v>
      </c>
      <c r="F1543" s="172" t="s">
        <v>1389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0.43</v>
      </c>
      <c r="N1543" s="177"/>
      <c r="O1543" s="177">
        <v>39</v>
      </c>
      <c r="P1543" s="180">
        <v>-132.27000000000001</v>
      </c>
    </row>
    <row r="1544" spans="1:16" ht="19.5" customHeight="1">
      <c r="A1544" s="172" t="s">
        <v>1726</v>
      </c>
      <c r="B1544" s="176">
        <v>46061</v>
      </c>
      <c r="C1544" s="172" t="s">
        <v>100</v>
      </c>
      <c r="D1544" s="172" t="s">
        <v>101</v>
      </c>
      <c r="E1544" s="172" t="s">
        <v>59</v>
      </c>
      <c r="F1544" s="172" t="s">
        <v>1389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995.27</v>
      </c>
    </row>
    <row r="1545" spans="1:16" ht="19.5" customHeight="1">
      <c r="A1545" s="172" t="s">
        <v>1726</v>
      </c>
      <c r="B1545" s="176">
        <v>46061</v>
      </c>
      <c r="C1545" s="172" t="s">
        <v>100</v>
      </c>
      <c r="D1545" s="172" t="s">
        <v>102</v>
      </c>
      <c r="E1545" s="172" t="s">
        <v>59</v>
      </c>
      <c r="F1545" s="172" t="s">
        <v>1389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0</v>
      </c>
    </row>
    <row r="1546" spans="1:16" ht="19.5" customHeight="1">
      <c r="A1546" s="172" t="s">
        <v>1726</v>
      </c>
      <c r="B1546" s="176">
        <v>46061</v>
      </c>
      <c r="C1546" s="172" t="s">
        <v>100</v>
      </c>
      <c r="D1546" s="172" t="s">
        <v>103</v>
      </c>
      <c r="E1546" s="172" t="s">
        <v>59</v>
      </c>
      <c r="F1546" s="172" t="s">
        <v>1389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</v>
      </c>
      <c r="N1546" s="177"/>
      <c r="O1546" s="177"/>
      <c r="P1546" s="180">
        <v>1004.73</v>
      </c>
    </row>
    <row r="1547" spans="1:16" ht="19.5" customHeight="1">
      <c r="A1547" s="172" t="s">
        <v>1726</v>
      </c>
      <c r="B1547" s="176">
        <v>46061</v>
      </c>
      <c r="C1547" s="172" t="s">
        <v>104</v>
      </c>
      <c r="D1547" s="172" t="s">
        <v>105</v>
      </c>
      <c r="E1547" s="172" t="s">
        <v>59</v>
      </c>
      <c r="F1547" s="172" t="s">
        <v>1389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-860</v>
      </c>
    </row>
    <row r="1548" spans="1:16" ht="19.5" customHeight="1">
      <c r="A1548" s="172" t="s">
        <v>1726</v>
      </c>
      <c r="B1548" s="176">
        <v>46061</v>
      </c>
      <c r="C1548" s="172" t="s">
        <v>81</v>
      </c>
      <c r="D1548" s="172" t="s">
        <v>95</v>
      </c>
      <c r="E1548" s="172" t="s">
        <v>59</v>
      </c>
      <c r="F1548" s="172" t="s">
        <v>1389</v>
      </c>
      <c r="G1548" s="172" t="s">
        <v>84</v>
      </c>
      <c r="H1548" s="177">
        <v>1</v>
      </c>
      <c r="I1548" s="178">
        <v>2000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/>
      <c r="P1548" s="180">
        <v>-11.71</v>
      </c>
    </row>
    <row r="1549" spans="1:16" ht="19.5" customHeight="1">
      <c r="A1549" s="172" t="s">
        <v>1727</v>
      </c>
      <c r="B1549" s="176">
        <v>46061</v>
      </c>
      <c r="C1549" s="172" t="s">
        <v>92</v>
      </c>
      <c r="D1549" s="172" t="s">
        <v>24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0.43</v>
      </c>
      <c r="N1549" s="177"/>
      <c r="O1549" s="177">
        <v>39</v>
      </c>
      <c r="P1549" s="180">
        <v>-135.87</v>
      </c>
    </row>
    <row r="1550" spans="1:16" ht="19.5" customHeight="1">
      <c r="A1550" s="172" t="s">
        <v>1727</v>
      </c>
      <c r="B1550" s="176">
        <v>46061</v>
      </c>
      <c r="C1550" s="172" t="s">
        <v>100</v>
      </c>
      <c r="D1550" s="172" t="s">
        <v>101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820</v>
      </c>
    </row>
    <row r="1551" spans="1:16" ht="19.5" customHeight="1">
      <c r="A1551" s="172" t="s">
        <v>1727</v>
      </c>
      <c r="B1551" s="176">
        <v>46061</v>
      </c>
      <c r="C1551" s="172" t="s">
        <v>100</v>
      </c>
      <c r="D1551" s="172" t="s">
        <v>102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8.1999999999999993</v>
      </c>
    </row>
    <row r="1552" spans="1:16" ht="19.5" customHeight="1">
      <c r="A1552" s="172" t="s">
        <v>1727</v>
      </c>
      <c r="B1552" s="176">
        <v>46061</v>
      </c>
      <c r="C1552" s="172" t="s">
        <v>100</v>
      </c>
      <c r="D1552" s="172" t="s">
        <v>103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</v>
      </c>
      <c r="N1552" s="177"/>
      <c r="O1552" s="177"/>
      <c r="P1552" s="180">
        <v>1321.8</v>
      </c>
    </row>
    <row r="1553" spans="1:16" ht="19.5" customHeight="1">
      <c r="A1553" s="172" t="s">
        <v>1727</v>
      </c>
      <c r="B1553" s="176">
        <v>46061</v>
      </c>
      <c r="C1553" s="172" t="s">
        <v>104</v>
      </c>
      <c r="D1553" s="172" t="s">
        <v>105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-924.5</v>
      </c>
    </row>
    <row r="1554" spans="1:16" ht="19.5" customHeight="1">
      <c r="A1554" s="172" t="s">
        <v>1727</v>
      </c>
      <c r="B1554" s="176">
        <v>46061</v>
      </c>
      <c r="C1554" s="172" t="s">
        <v>81</v>
      </c>
      <c r="D1554" s="172" t="s">
        <v>95</v>
      </c>
      <c r="E1554" s="172" t="s">
        <v>53</v>
      </c>
      <c r="F1554" s="172" t="s">
        <v>120</v>
      </c>
      <c r="G1554" s="172" t="s">
        <v>84</v>
      </c>
      <c r="H1554" s="177">
        <v>1</v>
      </c>
      <c r="I1554" s="178">
        <v>2150</v>
      </c>
      <c r="J1554" s="176">
        <v>46058</v>
      </c>
      <c r="K1554" s="172" t="s">
        <v>93</v>
      </c>
      <c r="L1554" s="172" t="s">
        <v>94</v>
      </c>
      <c r="M1554" s="179">
        <v>0.43</v>
      </c>
      <c r="N1554" s="177"/>
      <c r="O1554" s="177"/>
      <c r="P1554" s="180">
        <v>-10.82</v>
      </c>
    </row>
    <row r="1555" spans="1:16" ht="19.5" customHeight="1">
      <c r="A1555" s="172" t="s">
        <v>1728</v>
      </c>
      <c r="B1555" s="176">
        <v>46061</v>
      </c>
      <c r="C1555" s="172" t="s">
        <v>92</v>
      </c>
      <c r="D1555" s="172" t="s">
        <v>24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0.43</v>
      </c>
      <c r="N1555" s="177"/>
      <c r="O1555" s="177">
        <v>39</v>
      </c>
      <c r="P1555" s="180">
        <v>-125.62</v>
      </c>
    </row>
    <row r="1556" spans="1:16" ht="19.5" customHeight="1">
      <c r="A1556" s="172" t="s">
        <v>1728</v>
      </c>
      <c r="B1556" s="176">
        <v>46061</v>
      </c>
      <c r="C1556" s="172" t="s">
        <v>100</v>
      </c>
      <c r="D1556" s="172" t="s">
        <v>101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949.52</v>
      </c>
    </row>
    <row r="1557" spans="1:16" ht="19.5" customHeight="1">
      <c r="A1557" s="172" t="s">
        <v>1728</v>
      </c>
      <c r="B1557" s="176">
        <v>46061</v>
      </c>
      <c r="C1557" s="172" t="s">
        <v>100</v>
      </c>
      <c r="D1557" s="172" t="s">
        <v>102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9.5</v>
      </c>
    </row>
    <row r="1558" spans="1:16" ht="19.5" customHeight="1">
      <c r="A1558" s="172" t="s">
        <v>1728</v>
      </c>
      <c r="B1558" s="176">
        <v>46061</v>
      </c>
      <c r="C1558" s="172" t="s">
        <v>100</v>
      </c>
      <c r="D1558" s="172" t="s">
        <v>103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</v>
      </c>
      <c r="N1558" s="177"/>
      <c r="O1558" s="177"/>
      <c r="P1558" s="180">
        <v>1390.98</v>
      </c>
    </row>
    <row r="1559" spans="1:16" ht="19.5" customHeight="1">
      <c r="A1559" s="172" t="s">
        <v>1728</v>
      </c>
      <c r="B1559" s="176">
        <v>46061</v>
      </c>
      <c r="C1559" s="172" t="s">
        <v>104</v>
      </c>
      <c r="D1559" s="172" t="s">
        <v>105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-1010.5</v>
      </c>
    </row>
    <row r="1560" spans="1:16" ht="19.5" customHeight="1">
      <c r="A1560" s="172" t="s">
        <v>1728</v>
      </c>
      <c r="B1560" s="176">
        <v>46061</v>
      </c>
      <c r="C1560" s="172" t="s">
        <v>81</v>
      </c>
      <c r="D1560" s="172" t="s">
        <v>95</v>
      </c>
      <c r="E1560" s="172" t="s">
        <v>42</v>
      </c>
      <c r="F1560" s="172" t="s">
        <v>89</v>
      </c>
      <c r="G1560" s="172" t="s">
        <v>84</v>
      </c>
      <c r="H1560" s="177">
        <v>1</v>
      </c>
      <c r="I1560" s="178">
        <v>2350</v>
      </c>
      <c r="J1560" s="176">
        <v>46059</v>
      </c>
      <c r="K1560" s="172" t="s">
        <v>93</v>
      </c>
      <c r="L1560" s="172" t="s">
        <v>94</v>
      </c>
      <c r="M1560" s="179">
        <v>0.43</v>
      </c>
      <c r="N1560" s="177"/>
      <c r="O1560" s="177"/>
      <c r="P1560" s="180">
        <v>-21.05</v>
      </c>
    </row>
    <row r="1561" spans="1:16" ht="19.5" customHeight="1">
      <c r="A1561" s="172" t="s">
        <v>1727</v>
      </c>
      <c r="B1561" s="176">
        <v>46061</v>
      </c>
      <c r="C1561" s="172" t="s">
        <v>81</v>
      </c>
      <c r="D1561" s="172" t="s">
        <v>82</v>
      </c>
      <c r="E1561" s="172" t="s">
        <v>53</v>
      </c>
      <c r="F1561" s="172" t="s">
        <v>120</v>
      </c>
      <c r="G1561" s="172" t="s">
        <v>84</v>
      </c>
      <c r="H1561" s="177">
        <v>1</v>
      </c>
      <c r="I1561" s="178">
        <v>0</v>
      </c>
      <c r="J1561" s="176">
        <v>46058</v>
      </c>
      <c r="K1561" s="172" t="s">
        <v>85</v>
      </c>
      <c r="L1561" s="172" t="s">
        <v>85</v>
      </c>
      <c r="M1561" s="179">
        <v>0</v>
      </c>
      <c r="N1561" s="177"/>
      <c r="O1561" s="177"/>
      <c r="P1561" s="180">
        <v>-15.58</v>
      </c>
    </row>
    <row r="1562" spans="1:16" ht="19.5" customHeight="1">
      <c r="A1562" s="172" t="s">
        <v>1729</v>
      </c>
      <c r="B1562" s="176">
        <v>46061</v>
      </c>
      <c r="C1562" s="172" t="s">
        <v>92</v>
      </c>
      <c r="D1562" s="172" t="s">
        <v>24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0.43</v>
      </c>
      <c r="N1562" s="177"/>
      <c r="O1562" s="177">
        <v>39</v>
      </c>
      <c r="P1562" s="180">
        <v>-135.87</v>
      </c>
    </row>
    <row r="1563" spans="1:16" ht="19.5" customHeight="1">
      <c r="A1563" s="172" t="s">
        <v>1729</v>
      </c>
      <c r="B1563" s="176">
        <v>46061</v>
      </c>
      <c r="C1563" s="172" t="s">
        <v>100</v>
      </c>
      <c r="D1563" s="172" t="s">
        <v>101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748.57</v>
      </c>
    </row>
    <row r="1564" spans="1:16" ht="19.5" customHeight="1">
      <c r="A1564" s="172" t="s">
        <v>1729</v>
      </c>
      <c r="B1564" s="176">
        <v>46061</v>
      </c>
      <c r="C1564" s="172" t="s">
        <v>100</v>
      </c>
      <c r="D1564" s="172" t="s">
        <v>102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7.49</v>
      </c>
    </row>
    <row r="1565" spans="1:16" ht="19.5" customHeight="1">
      <c r="A1565" s="172" t="s">
        <v>1729</v>
      </c>
      <c r="B1565" s="176">
        <v>46061</v>
      </c>
      <c r="C1565" s="172" t="s">
        <v>100</v>
      </c>
      <c r="D1565" s="172" t="s">
        <v>103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</v>
      </c>
      <c r="N1565" s="177"/>
      <c r="O1565" s="177"/>
      <c r="P1565" s="180">
        <v>1393.94</v>
      </c>
    </row>
    <row r="1566" spans="1:16" ht="19.5" customHeight="1">
      <c r="A1566" s="172" t="s">
        <v>1729</v>
      </c>
      <c r="B1566" s="176">
        <v>46061</v>
      </c>
      <c r="C1566" s="172" t="s">
        <v>104</v>
      </c>
      <c r="D1566" s="172" t="s">
        <v>105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-924.5</v>
      </c>
    </row>
    <row r="1567" spans="1:16" ht="19.5" customHeight="1">
      <c r="A1567" s="172" t="s">
        <v>1729</v>
      </c>
      <c r="B1567" s="176">
        <v>46061</v>
      </c>
      <c r="C1567" s="172" t="s">
        <v>81</v>
      </c>
      <c r="D1567" s="172" t="s">
        <v>95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2150</v>
      </c>
      <c r="J1567" s="176">
        <v>46059</v>
      </c>
      <c r="K1567" s="172" t="s">
        <v>93</v>
      </c>
      <c r="L1567" s="172" t="s">
        <v>94</v>
      </c>
      <c r="M1567" s="179">
        <v>0.43</v>
      </c>
      <c r="N1567" s="177"/>
      <c r="O1567" s="177"/>
      <c r="P1567" s="180">
        <v>-25</v>
      </c>
    </row>
    <row r="1568" spans="1:16" ht="19.5" customHeight="1">
      <c r="A1568" s="172" t="s">
        <v>1729</v>
      </c>
      <c r="B1568" s="176">
        <v>46061</v>
      </c>
      <c r="C1568" s="172" t="s">
        <v>81</v>
      </c>
      <c r="D1568" s="172" t="s">
        <v>82</v>
      </c>
      <c r="E1568" s="172" t="s">
        <v>52</v>
      </c>
      <c r="F1568" s="172" t="s">
        <v>90</v>
      </c>
      <c r="G1568" s="172" t="s">
        <v>84</v>
      </c>
      <c r="H1568" s="177">
        <v>1</v>
      </c>
      <c r="I1568" s="178">
        <v>0</v>
      </c>
      <c r="J1568" s="176">
        <v>46059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-14.22</v>
      </c>
    </row>
    <row r="1569" spans="1:16" ht="19.5" customHeight="1">
      <c r="A1569" s="172" t="s">
        <v>1730</v>
      </c>
      <c r="B1569" s="176">
        <v>46061</v>
      </c>
      <c r="C1569" s="172" t="s">
        <v>92</v>
      </c>
      <c r="D1569" s="172" t="s">
        <v>24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0.43</v>
      </c>
      <c r="N1569" s="177"/>
      <c r="O1569" s="177">
        <v>39</v>
      </c>
      <c r="P1569" s="180">
        <v>-135.87</v>
      </c>
    </row>
    <row r="1570" spans="1:16" ht="19.5" customHeight="1">
      <c r="A1570" s="172" t="s">
        <v>1730</v>
      </c>
      <c r="B1570" s="176">
        <v>46061</v>
      </c>
      <c r="C1570" s="172" t="s">
        <v>100</v>
      </c>
      <c r="D1570" s="172" t="s">
        <v>101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840.11</v>
      </c>
    </row>
    <row r="1571" spans="1:16" ht="19.5" customHeight="1">
      <c r="A1571" s="172" t="s">
        <v>1730</v>
      </c>
      <c r="B1571" s="176">
        <v>46061</v>
      </c>
      <c r="C1571" s="172" t="s">
        <v>100</v>
      </c>
      <c r="D1571" s="172" t="s">
        <v>102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0</v>
      </c>
    </row>
    <row r="1572" spans="1:16" ht="19.5" customHeight="1">
      <c r="A1572" s="172" t="s">
        <v>1730</v>
      </c>
      <c r="B1572" s="176">
        <v>46061</v>
      </c>
      <c r="C1572" s="172" t="s">
        <v>100</v>
      </c>
      <c r="D1572" s="172" t="s">
        <v>103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</v>
      </c>
      <c r="N1572" s="177"/>
      <c r="O1572" s="177"/>
      <c r="P1572" s="180">
        <v>1309.8900000000001</v>
      </c>
    </row>
    <row r="1573" spans="1:16" ht="19.5" customHeight="1">
      <c r="A1573" s="172" t="s">
        <v>1730</v>
      </c>
      <c r="B1573" s="176">
        <v>46061</v>
      </c>
      <c r="C1573" s="172" t="s">
        <v>104</v>
      </c>
      <c r="D1573" s="172" t="s">
        <v>105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-924.5</v>
      </c>
    </row>
    <row r="1574" spans="1:16" ht="19.5" customHeight="1">
      <c r="A1574" s="172" t="s">
        <v>1730</v>
      </c>
      <c r="B1574" s="176">
        <v>46061</v>
      </c>
      <c r="C1574" s="172" t="s">
        <v>81</v>
      </c>
      <c r="D1574" s="172" t="s">
        <v>95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46059</v>
      </c>
      <c r="K1574" s="172" t="s">
        <v>93</v>
      </c>
      <c r="L1574" s="172" t="s">
        <v>94</v>
      </c>
      <c r="M1574" s="179">
        <v>0.43</v>
      </c>
      <c r="N1574" s="177"/>
      <c r="O1574" s="177"/>
      <c r="P1574" s="180">
        <v>-14.79</v>
      </c>
    </row>
    <row r="1575" spans="1:16" ht="19.5" customHeight="1">
      <c r="A1575" s="172" t="s">
        <v>1731</v>
      </c>
      <c r="B1575" s="176">
        <v>46061</v>
      </c>
      <c r="C1575" s="172" t="s">
        <v>92</v>
      </c>
      <c r="D1575" s="172" t="s">
        <v>24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0.43</v>
      </c>
      <c r="N1575" s="177"/>
      <c r="O1575" s="177">
        <v>39</v>
      </c>
      <c r="P1575" s="180">
        <v>-135.87</v>
      </c>
    </row>
    <row r="1576" spans="1:16" ht="19.5" customHeight="1">
      <c r="A1576" s="172" t="s">
        <v>1731</v>
      </c>
      <c r="B1576" s="176">
        <v>46061</v>
      </c>
      <c r="C1576" s="172" t="s">
        <v>100</v>
      </c>
      <c r="D1576" s="172" t="s">
        <v>101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845.71</v>
      </c>
    </row>
    <row r="1577" spans="1:16" ht="19.5" customHeight="1">
      <c r="A1577" s="172" t="s">
        <v>1731</v>
      </c>
      <c r="B1577" s="176">
        <v>46061</v>
      </c>
      <c r="C1577" s="172" t="s">
        <v>100</v>
      </c>
      <c r="D1577" s="172" t="s">
        <v>102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8.4600000000000009</v>
      </c>
    </row>
    <row r="1578" spans="1:16" ht="19.5" customHeight="1">
      <c r="A1578" s="172" t="s">
        <v>1731</v>
      </c>
      <c r="B1578" s="176">
        <v>46061</v>
      </c>
      <c r="C1578" s="172" t="s">
        <v>100</v>
      </c>
      <c r="D1578" s="172" t="s">
        <v>103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</v>
      </c>
      <c r="N1578" s="177"/>
      <c r="O1578" s="177"/>
      <c r="P1578" s="180">
        <v>1295.83</v>
      </c>
    </row>
    <row r="1579" spans="1:16" ht="19.5" customHeight="1">
      <c r="A1579" s="172" t="s">
        <v>1731</v>
      </c>
      <c r="B1579" s="176">
        <v>46061</v>
      </c>
      <c r="C1579" s="172" t="s">
        <v>104</v>
      </c>
      <c r="D1579" s="172" t="s">
        <v>105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-924.5</v>
      </c>
    </row>
    <row r="1580" spans="1:16" ht="19.5" customHeight="1">
      <c r="A1580" s="172" t="s">
        <v>1731</v>
      </c>
      <c r="B1580" s="176">
        <v>46061</v>
      </c>
      <c r="C1580" s="172" t="s">
        <v>81</v>
      </c>
      <c r="D1580" s="172" t="s">
        <v>95</v>
      </c>
      <c r="E1580" s="172" t="s">
        <v>53</v>
      </c>
      <c r="F1580" s="172" t="s">
        <v>120</v>
      </c>
      <c r="G1580" s="172" t="s">
        <v>84</v>
      </c>
      <c r="H1580" s="177">
        <v>1</v>
      </c>
      <c r="I1580" s="178">
        <v>2150</v>
      </c>
      <c r="J1580" s="176">
        <v>46060</v>
      </c>
      <c r="K1580" s="172" t="s">
        <v>93</v>
      </c>
      <c r="L1580" s="172" t="s">
        <v>94</v>
      </c>
      <c r="M1580" s="179">
        <v>0.43</v>
      </c>
      <c r="N1580" s="177"/>
      <c r="O1580" s="177"/>
      <c r="P1580" s="180">
        <v>-9.77</v>
      </c>
    </row>
    <row r="1581" spans="1:16" ht="19.5" customHeight="1">
      <c r="A1581" s="172" t="s">
        <v>1732</v>
      </c>
      <c r="B1581" s="176">
        <v>46061</v>
      </c>
      <c r="C1581" s="172" t="s">
        <v>92</v>
      </c>
      <c r="D1581" s="172" t="s">
        <v>24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>
        <v>41</v>
      </c>
      <c r="P1581" s="180">
        <v>-56.94</v>
      </c>
    </row>
    <row r="1582" spans="1:16" ht="19.5" customHeight="1">
      <c r="A1582" s="172" t="s">
        <v>1732</v>
      </c>
      <c r="B1582" s="176">
        <v>46061</v>
      </c>
      <c r="C1582" s="172" t="s">
        <v>81</v>
      </c>
      <c r="D1582" s="172" t="s">
        <v>95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-8.73</v>
      </c>
    </row>
    <row r="1583" spans="1:16" ht="19.5" customHeight="1">
      <c r="A1583" s="172" t="s">
        <v>1732</v>
      </c>
      <c r="B1583" s="176">
        <v>46061</v>
      </c>
      <c r="C1583" s="172" t="s">
        <v>92</v>
      </c>
      <c r="D1583" s="172" t="s">
        <v>96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customHeight="1">
      <c r="A1584" s="172" t="s">
        <v>1732</v>
      </c>
      <c r="B1584" s="176">
        <v>46061</v>
      </c>
      <c r="C1584" s="172" t="s">
        <v>92</v>
      </c>
      <c r="D1584" s="172" t="s">
        <v>97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-56.94</v>
      </c>
    </row>
    <row r="1585" spans="1:16" ht="19.5" customHeight="1">
      <c r="A1585" s="172" t="s">
        <v>1732</v>
      </c>
      <c r="B1585" s="176">
        <v>46061</v>
      </c>
      <c r="C1585" s="172" t="s">
        <v>81</v>
      </c>
      <c r="D1585" s="172" t="s">
        <v>98</v>
      </c>
      <c r="E1585" s="172" t="s">
        <v>52</v>
      </c>
      <c r="F1585" s="172" t="s">
        <v>90</v>
      </c>
      <c r="G1585" s="172" t="s">
        <v>84</v>
      </c>
      <c r="H1585" s="177">
        <v>1</v>
      </c>
      <c r="I1585" s="178">
        <v>0</v>
      </c>
      <c r="J1585" s="176">
        <v>46056</v>
      </c>
      <c r="K1585" s="172" t="s">
        <v>93</v>
      </c>
      <c r="L1585" s="172" t="s">
        <v>94</v>
      </c>
      <c r="M1585" s="179">
        <v>0</v>
      </c>
      <c r="N1585" s="177"/>
      <c r="O1585" s="177"/>
      <c r="P1585" s="180">
        <v>-15</v>
      </c>
    </row>
    <row r="1586" spans="1:16" ht="19.5" customHeight="1">
      <c r="A1586" s="172" t="s">
        <v>1733</v>
      </c>
      <c r="B1586" s="176">
        <v>46061</v>
      </c>
      <c r="C1586" s="172" t="s">
        <v>92</v>
      </c>
      <c r="D1586" s="172" t="s">
        <v>24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0.43</v>
      </c>
      <c r="N1586" s="177"/>
      <c r="O1586" s="177">
        <v>41</v>
      </c>
      <c r="P1586" s="180">
        <v>-115.28</v>
      </c>
    </row>
    <row r="1587" spans="1:16" ht="19.5" customHeight="1">
      <c r="A1587" s="172" t="s">
        <v>1733</v>
      </c>
      <c r="B1587" s="176">
        <v>46061</v>
      </c>
      <c r="C1587" s="172" t="s">
        <v>100</v>
      </c>
      <c r="D1587" s="172" t="s">
        <v>101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862.86</v>
      </c>
    </row>
    <row r="1588" spans="1:16" ht="19.5" customHeight="1">
      <c r="A1588" s="172" t="s">
        <v>1733</v>
      </c>
      <c r="B1588" s="176">
        <v>46061</v>
      </c>
      <c r="C1588" s="172" t="s">
        <v>100</v>
      </c>
      <c r="D1588" s="172" t="s">
        <v>102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8.6300000000000008</v>
      </c>
    </row>
    <row r="1589" spans="1:16" ht="19.5" customHeight="1">
      <c r="A1589" s="172" t="s">
        <v>1733</v>
      </c>
      <c r="B1589" s="176">
        <v>46061</v>
      </c>
      <c r="C1589" s="172" t="s">
        <v>100</v>
      </c>
      <c r="D1589" s="172" t="s">
        <v>103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</v>
      </c>
      <c r="N1589" s="177"/>
      <c r="O1589" s="177"/>
      <c r="P1589" s="180">
        <v>730.51</v>
      </c>
    </row>
    <row r="1590" spans="1:16" ht="19.5" customHeight="1">
      <c r="A1590" s="172" t="s">
        <v>1733</v>
      </c>
      <c r="B1590" s="176">
        <v>46061</v>
      </c>
      <c r="C1590" s="172" t="s">
        <v>104</v>
      </c>
      <c r="D1590" s="172" t="s">
        <v>105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-688.86</v>
      </c>
    </row>
    <row r="1591" spans="1:16" ht="19.5" customHeight="1">
      <c r="A1591" s="172" t="s">
        <v>1733</v>
      </c>
      <c r="B1591" s="176">
        <v>46061</v>
      </c>
      <c r="C1591" s="172" t="s">
        <v>81</v>
      </c>
      <c r="D1591" s="172" t="s">
        <v>95</v>
      </c>
      <c r="E1591" s="172" t="s">
        <v>39</v>
      </c>
      <c r="F1591" s="172" t="s">
        <v>117</v>
      </c>
      <c r="G1591" s="172" t="s">
        <v>84</v>
      </c>
      <c r="H1591" s="177">
        <v>1</v>
      </c>
      <c r="I1591" s="178">
        <v>1602</v>
      </c>
      <c r="J1591" s="176">
        <v>46055</v>
      </c>
      <c r="K1591" s="172" t="s">
        <v>93</v>
      </c>
      <c r="L1591" s="172" t="s">
        <v>94</v>
      </c>
      <c r="M1591" s="179">
        <v>0.43</v>
      </c>
      <c r="N1591" s="177"/>
      <c r="O1591" s="177"/>
      <c r="P1591" s="180">
        <v>-9.27</v>
      </c>
    </row>
    <row r="1592" spans="1:16" ht="19.5" customHeight="1">
      <c r="A1592" s="172" t="s">
        <v>1734</v>
      </c>
      <c r="B1592" s="176">
        <v>46061</v>
      </c>
      <c r="C1592" s="172" t="s">
        <v>92</v>
      </c>
      <c r="D1592" s="172" t="s">
        <v>24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0.43</v>
      </c>
      <c r="N1592" s="177"/>
      <c r="O1592" s="177">
        <v>39</v>
      </c>
      <c r="P1592" s="180">
        <v>-135.87</v>
      </c>
    </row>
    <row r="1593" spans="1:16" ht="19.5" customHeight="1">
      <c r="A1593" s="172" t="s">
        <v>1734</v>
      </c>
      <c r="B1593" s="176">
        <v>46061</v>
      </c>
      <c r="C1593" s="172" t="s">
        <v>100</v>
      </c>
      <c r="D1593" s="172" t="s">
        <v>101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818.44</v>
      </c>
    </row>
    <row r="1594" spans="1:16" ht="19.5" customHeight="1">
      <c r="A1594" s="172" t="s">
        <v>1734</v>
      </c>
      <c r="B1594" s="176">
        <v>46061</v>
      </c>
      <c r="C1594" s="172" t="s">
        <v>100</v>
      </c>
      <c r="D1594" s="172" t="s">
        <v>102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8.18</v>
      </c>
    </row>
    <row r="1595" spans="1:16" ht="19.5" customHeight="1">
      <c r="A1595" s="172" t="s">
        <v>1734</v>
      </c>
      <c r="B1595" s="176">
        <v>46061</v>
      </c>
      <c r="C1595" s="172" t="s">
        <v>100</v>
      </c>
      <c r="D1595" s="172" t="s">
        <v>103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</v>
      </c>
      <c r="N1595" s="177"/>
      <c r="O1595" s="177"/>
      <c r="P1595" s="180">
        <v>1323.38</v>
      </c>
    </row>
    <row r="1596" spans="1:16" ht="19.5" customHeight="1">
      <c r="A1596" s="172" t="s">
        <v>1734</v>
      </c>
      <c r="B1596" s="176">
        <v>46061</v>
      </c>
      <c r="C1596" s="172" t="s">
        <v>104</v>
      </c>
      <c r="D1596" s="172" t="s">
        <v>105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-924.5</v>
      </c>
    </row>
    <row r="1597" spans="1:16" ht="19.5" customHeight="1">
      <c r="A1597" s="172" t="s">
        <v>1734</v>
      </c>
      <c r="B1597" s="176">
        <v>46061</v>
      </c>
      <c r="C1597" s="172" t="s">
        <v>81</v>
      </c>
      <c r="D1597" s="172" t="s">
        <v>95</v>
      </c>
      <c r="E1597" s="172" t="s">
        <v>53</v>
      </c>
      <c r="F1597" s="172" t="s">
        <v>120</v>
      </c>
      <c r="G1597" s="172" t="s">
        <v>84</v>
      </c>
      <c r="H1597" s="177">
        <v>1</v>
      </c>
      <c r="I1597" s="178">
        <v>2150</v>
      </c>
      <c r="J1597" s="176">
        <v>46059</v>
      </c>
      <c r="K1597" s="172" t="s">
        <v>93</v>
      </c>
      <c r="L1597" s="172" t="s">
        <v>94</v>
      </c>
      <c r="M1597" s="179">
        <v>0.43</v>
      </c>
      <c r="N1597" s="177"/>
      <c r="O1597" s="177"/>
      <c r="P1597" s="180">
        <v>-11.9</v>
      </c>
    </row>
    <row r="1598" spans="1:16" ht="19.5" customHeight="1">
      <c r="A1598" s="172" t="s">
        <v>1728</v>
      </c>
      <c r="B1598" s="176">
        <v>46061</v>
      </c>
      <c r="C1598" s="172" t="s">
        <v>166</v>
      </c>
      <c r="D1598" s="172" t="s">
        <v>167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-949.52</v>
      </c>
    </row>
    <row r="1599" spans="1:16" ht="19.5" customHeight="1">
      <c r="A1599" s="172" t="s">
        <v>1728</v>
      </c>
      <c r="B1599" s="176">
        <v>46061</v>
      </c>
      <c r="C1599" s="172" t="s">
        <v>166</v>
      </c>
      <c r="D1599" s="172" t="s">
        <v>102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-9.5</v>
      </c>
    </row>
    <row r="1600" spans="1:16" ht="19.5" customHeight="1">
      <c r="A1600" s="172" t="s">
        <v>1728</v>
      </c>
      <c r="B1600" s="176">
        <v>46061</v>
      </c>
      <c r="C1600" s="172" t="s">
        <v>166</v>
      </c>
      <c r="D1600" s="172" t="s">
        <v>103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</v>
      </c>
      <c r="N1600" s="177"/>
      <c r="O1600" s="177"/>
      <c r="P1600" s="180">
        <v>-1390.98</v>
      </c>
    </row>
    <row r="1601" spans="1:16" ht="19.5" customHeight="1">
      <c r="A1601" s="172" t="s">
        <v>1728</v>
      </c>
      <c r="B1601" s="176">
        <v>46061</v>
      </c>
      <c r="C1601" s="172" t="s">
        <v>104</v>
      </c>
      <c r="D1601" s="172" t="s">
        <v>168</v>
      </c>
      <c r="E1601" s="172" t="s">
        <v>42</v>
      </c>
      <c r="F1601" s="172" t="s">
        <v>89</v>
      </c>
      <c r="G1601" s="172" t="s">
        <v>84</v>
      </c>
      <c r="H1601" s="177">
        <v>1</v>
      </c>
      <c r="I1601" s="178">
        <v>-2350</v>
      </c>
      <c r="J1601" s="176">
        <v>46059</v>
      </c>
      <c r="K1601" s="172" t="s">
        <v>93</v>
      </c>
      <c r="L1601" s="172" t="s">
        <v>94</v>
      </c>
      <c r="M1601" s="179">
        <v>0.43</v>
      </c>
      <c r="N1601" s="177"/>
      <c r="O1601" s="177"/>
      <c r="P1601" s="180">
        <v>1010.5</v>
      </c>
    </row>
    <row r="1602" spans="1:16" ht="19.5" customHeight="1">
      <c r="A1602" s="172" t="s">
        <v>1733</v>
      </c>
      <c r="B1602" s="176">
        <v>46061</v>
      </c>
      <c r="C1602" s="172" t="s">
        <v>81</v>
      </c>
      <c r="D1602" s="172" t="s">
        <v>82</v>
      </c>
      <c r="E1602" s="172" t="s">
        <v>39</v>
      </c>
      <c r="F1602" s="172" t="s">
        <v>117</v>
      </c>
      <c r="G1602" s="172" t="s">
        <v>84</v>
      </c>
      <c r="H1602" s="177">
        <v>1</v>
      </c>
      <c r="I1602" s="178">
        <v>0</v>
      </c>
      <c r="J1602" s="176">
        <v>46055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-16.39</v>
      </c>
    </row>
    <row r="1603" spans="1:16" ht="19.5" customHeight="1">
      <c r="A1603" s="172" t="s">
        <v>1659</v>
      </c>
      <c r="B1603" s="176">
        <v>46061</v>
      </c>
      <c r="C1603" s="172" t="s">
        <v>81</v>
      </c>
      <c r="D1603" s="172" t="s">
        <v>82</v>
      </c>
      <c r="E1603" s="172" t="s">
        <v>42</v>
      </c>
      <c r="F1603" s="172" t="s">
        <v>89</v>
      </c>
      <c r="G1603" s="172" t="s">
        <v>84</v>
      </c>
      <c r="H1603" s="177">
        <v>1</v>
      </c>
      <c r="I1603" s="178">
        <v>0</v>
      </c>
      <c r="J1603" s="176">
        <v>46059</v>
      </c>
      <c r="K1603" s="172" t="s">
        <v>85</v>
      </c>
      <c r="L1603" s="172" t="s">
        <v>85</v>
      </c>
      <c r="M1603" s="179">
        <v>0</v>
      </c>
      <c r="N1603" s="177"/>
      <c r="O1603" s="177"/>
      <c r="P1603" s="180">
        <v>18.04</v>
      </c>
    </row>
    <row r="1604" spans="1:16" ht="19.5" customHeight="1">
      <c r="A1604" s="172" t="s">
        <v>1735</v>
      </c>
      <c r="B1604" s="176">
        <v>46061</v>
      </c>
      <c r="C1604" s="172" t="s">
        <v>92</v>
      </c>
      <c r="D1604" s="172" t="s">
        <v>24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>
        <v>39</v>
      </c>
      <c r="P1604" s="180">
        <v>-56.94</v>
      </c>
    </row>
    <row r="1605" spans="1:16" ht="19.5" customHeight="1">
      <c r="A1605" s="172" t="s">
        <v>1735</v>
      </c>
      <c r="B1605" s="176">
        <v>46061</v>
      </c>
      <c r="C1605" s="172" t="s">
        <v>92</v>
      </c>
      <c r="D1605" s="172" t="s">
        <v>96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0</v>
      </c>
    </row>
    <row r="1606" spans="1:16" ht="19.5" customHeight="1">
      <c r="A1606" s="172" t="s">
        <v>1735</v>
      </c>
      <c r="B1606" s="176">
        <v>46061</v>
      </c>
      <c r="C1606" s="172" t="s">
        <v>92</v>
      </c>
      <c r="D1606" s="172" t="s">
        <v>97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0</v>
      </c>
      <c r="J1606" s="176">
        <v>46060</v>
      </c>
      <c r="K1606" s="172" t="s">
        <v>93</v>
      </c>
      <c r="L1606" s="172" t="s">
        <v>94</v>
      </c>
      <c r="M1606" s="179">
        <v>0</v>
      </c>
      <c r="N1606" s="177"/>
      <c r="O1606" s="177"/>
      <c r="P1606" s="180">
        <v>-56.94</v>
      </c>
    </row>
    <row r="1607" spans="1:16" ht="19.5" customHeight="1">
      <c r="A1607" s="172" t="s">
        <v>1736</v>
      </c>
      <c r="B1607" s="176">
        <v>46061</v>
      </c>
      <c r="C1607" s="172" t="s">
        <v>81</v>
      </c>
      <c r="D1607" s="172" t="s">
        <v>82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0</v>
      </c>
      <c r="J1607" s="176">
        <v>46061</v>
      </c>
      <c r="K1607" s="172" t="s">
        <v>85</v>
      </c>
      <c r="L1607" s="172" t="s">
        <v>85</v>
      </c>
      <c r="M1607" s="179">
        <v>0</v>
      </c>
      <c r="N1607" s="177"/>
      <c r="O1607" s="177"/>
      <c r="P1607" s="180">
        <v>-22.69</v>
      </c>
    </row>
    <row r="1608" spans="1:16" ht="19.5" customHeight="1">
      <c r="A1608" s="172" t="s">
        <v>1737</v>
      </c>
      <c r="B1608" s="176">
        <v>46061</v>
      </c>
      <c r="C1608" s="172" t="s">
        <v>92</v>
      </c>
      <c r="D1608" s="172" t="s">
        <v>96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0</v>
      </c>
    </row>
    <row r="1609" spans="1:16" ht="19.5" customHeight="1">
      <c r="A1609" s="172" t="s">
        <v>1737</v>
      </c>
      <c r="B1609" s="176">
        <v>46061</v>
      </c>
      <c r="C1609" s="172" t="s">
        <v>92</v>
      </c>
      <c r="D1609" s="172" t="s">
        <v>97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-56.94</v>
      </c>
    </row>
    <row r="1610" spans="1:16" ht="19.5" customHeight="1">
      <c r="A1610" s="172" t="s">
        <v>1737</v>
      </c>
      <c r="B1610" s="176">
        <v>46061</v>
      </c>
      <c r="C1610" s="172" t="s">
        <v>81</v>
      </c>
      <c r="D1610" s="172" t="s">
        <v>98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-15</v>
      </c>
    </row>
    <row r="1611" spans="1:16" ht="19.5" customHeight="1">
      <c r="A1611" s="172" t="s">
        <v>1737</v>
      </c>
      <c r="B1611" s="176">
        <v>46061</v>
      </c>
      <c r="C1611" s="172" t="s">
        <v>92</v>
      </c>
      <c r="D1611" s="172" t="s">
        <v>24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>
        <v>44</v>
      </c>
      <c r="P1611" s="180">
        <v>-56.94</v>
      </c>
    </row>
    <row r="1612" spans="1:16" ht="19.5" customHeight="1">
      <c r="A1612" s="172" t="s">
        <v>1737</v>
      </c>
      <c r="B1612" s="176">
        <v>46061</v>
      </c>
      <c r="C1612" s="172" t="s">
        <v>81</v>
      </c>
      <c r="D1612" s="172" t="s">
        <v>95</v>
      </c>
      <c r="E1612" s="172" t="s">
        <v>53</v>
      </c>
      <c r="F1612" s="172" t="s">
        <v>120</v>
      </c>
      <c r="G1612" s="172" t="s">
        <v>84</v>
      </c>
      <c r="H1612" s="177">
        <v>1</v>
      </c>
      <c r="I1612" s="178">
        <v>0</v>
      </c>
      <c r="J1612" s="176">
        <v>46052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-12.34</v>
      </c>
    </row>
    <row r="1613" spans="1:16" ht="19.5" customHeight="1">
      <c r="A1613" s="172" t="s">
        <v>1738</v>
      </c>
      <c r="B1613" s="176">
        <v>46061</v>
      </c>
      <c r="C1613" s="172" t="s">
        <v>92</v>
      </c>
      <c r="D1613" s="172" t="s">
        <v>96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0</v>
      </c>
    </row>
    <row r="1614" spans="1:16" ht="19.5" customHeight="1">
      <c r="A1614" s="172" t="s">
        <v>1738</v>
      </c>
      <c r="B1614" s="176">
        <v>46061</v>
      </c>
      <c r="C1614" s="172" t="s">
        <v>92</v>
      </c>
      <c r="D1614" s="172" t="s">
        <v>97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-46.77</v>
      </c>
    </row>
    <row r="1615" spans="1:16" ht="19.5" customHeight="1">
      <c r="A1615" s="172" t="s">
        <v>1738</v>
      </c>
      <c r="B1615" s="176">
        <v>46061</v>
      </c>
      <c r="C1615" s="172" t="s">
        <v>81</v>
      </c>
      <c r="D1615" s="172" t="s">
        <v>98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-15</v>
      </c>
    </row>
    <row r="1616" spans="1:16" ht="19.5" customHeight="1">
      <c r="A1616" s="172" t="s">
        <v>1738</v>
      </c>
      <c r="B1616" s="176">
        <v>46061</v>
      </c>
      <c r="C1616" s="172" t="s">
        <v>92</v>
      </c>
      <c r="D1616" s="172" t="s">
        <v>24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>
        <v>44</v>
      </c>
      <c r="P1616" s="180">
        <v>-46.77</v>
      </c>
    </row>
    <row r="1617" spans="1:16" ht="19.5" customHeight="1">
      <c r="A1617" s="172" t="s">
        <v>1738</v>
      </c>
      <c r="B1617" s="176">
        <v>46061</v>
      </c>
      <c r="C1617" s="172" t="s">
        <v>81</v>
      </c>
      <c r="D1617" s="172" t="s">
        <v>95</v>
      </c>
      <c r="E1617" s="172" t="s">
        <v>42</v>
      </c>
      <c r="F1617" s="172" t="s">
        <v>89</v>
      </c>
      <c r="G1617" s="172" t="s">
        <v>84</v>
      </c>
      <c r="H1617" s="177">
        <v>1</v>
      </c>
      <c r="I1617" s="178">
        <v>0</v>
      </c>
      <c r="J1617" s="176">
        <v>46053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-9.44</v>
      </c>
    </row>
    <row r="1618" spans="1:16" ht="19.5" customHeight="1">
      <c r="A1618" s="172" t="s">
        <v>1376</v>
      </c>
      <c r="B1618" s="176">
        <v>46061</v>
      </c>
      <c r="C1618" s="172" t="s">
        <v>92</v>
      </c>
      <c r="D1618" s="172" t="s">
        <v>272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0</v>
      </c>
    </row>
    <row r="1619" spans="1:16" ht="19.5" customHeight="1">
      <c r="A1619" s="172" t="s">
        <v>1376</v>
      </c>
      <c r="B1619" s="176">
        <v>46061</v>
      </c>
      <c r="C1619" s="172" t="s">
        <v>92</v>
      </c>
      <c r="D1619" s="172" t="s">
        <v>97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-56.94</v>
      </c>
    </row>
    <row r="1620" spans="1:16" ht="19.5" customHeight="1">
      <c r="A1620" s="172" t="s">
        <v>1376</v>
      </c>
      <c r="B1620" s="176">
        <v>46061</v>
      </c>
      <c r="C1620" s="172" t="s">
        <v>81</v>
      </c>
      <c r="D1620" s="172" t="s">
        <v>98</v>
      </c>
      <c r="E1620" s="172" t="s">
        <v>52</v>
      </c>
      <c r="F1620" s="172" t="s">
        <v>90</v>
      </c>
      <c r="G1620" s="172" t="s">
        <v>84</v>
      </c>
      <c r="H1620" s="177">
        <v>1</v>
      </c>
      <c r="I1620" s="178">
        <v>0</v>
      </c>
      <c r="J1620" s="176">
        <v>46045</v>
      </c>
      <c r="K1620" s="172" t="s">
        <v>93</v>
      </c>
      <c r="L1620" s="172" t="s">
        <v>94</v>
      </c>
      <c r="M1620" s="179">
        <v>0</v>
      </c>
      <c r="N1620" s="177"/>
      <c r="O1620" s="177"/>
      <c r="P1620" s="180">
        <v>-15</v>
      </c>
    </row>
    <row r="1621" spans="1:16" ht="19.5" customHeight="1">
      <c r="A1621" s="172" t="s">
        <v>1557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-64.7</v>
      </c>
    </row>
    <row r="1622" spans="1:16" ht="19.5" customHeight="1">
      <c r="A1622" s="172" t="s">
        <v>1556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-289.31</v>
      </c>
    </row>
    <row r="1623" spans="1:16" ht="19.5" customHeight="1">
      <c r="A1623" s="172" t="s">
        <v>141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-426.21</v>
      </c>
    </row>
    <row r="1624" spans="1:16" ht="19.5" customHeight="1">
      <c r="A1624" s="172" t="s">
        <v>145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-998.56</v>
      </c>
    </row>
    <row r="1625" spans="1:16" ht="19.5" customHeight="1">
      <c r="A1625" s="172" t="s">
        <v>138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-1154.31</v>
      </c>
    </row>
    <row r="1626" spans="1:16" ht="19.5" customHeight="1">
      <c r="A1626" s="172" t="s">
        <v>144</v>
      </c>
      <c r="B1626" s="176">
        <v>46061</v>
      </c>
      <c r="C1626" s="172" t="s">
        <v>109</v>
      </c>
      <c r="D1626" s="172" t="s">
        <v>139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-711.47</v>
      </c>
    </row>
    <row r="1627" spans="1:16" ht="19.5" customHeight="1">
      <c r="A1627" s="172" t="s">
        <v>142</v>
      </c>
      <c r="B1627" s="176">
        <v>46061</v>
      </c>
      <c r="C1627" s="172" t="s">
        <v>109</v>
      </c>
      <c r="D1627" s="172" t="s">
        <v>143</v>
      </c>
      <c r="E1627" s="172" t="s">
        <v>85</v>
      </c>
      <c r="F1627" s="172" t="s">
        <v>85</v>
      </c>
      <c r="G1627" s="172" t="s">
        <v>85</v>
      </c>
      <c r="H1627" s="177">
        <v>0</v>
      </c>
      <c r="I1627" s="178">
        <v>0</v>
      </c>
      <c r="J1627" s="176">
        <v>46061</v>
      </c>
      <c r="K1627" s="172" t="s">
        <v>85</v>
      </c>
      <c r="L1627" s="172" t="s">
        <v>85</v>
      </c>
      <c r="M1627" s="179">
        <v>0</v>
      </c>
      <c r="N1627" s="177"/>
      <c r="O1627" s="177"/>
      <c r="P1627" s="180">
        <v>-4507.8999999999996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dimension ref="A1:P167"/>
  <sheetViews>
    <sheetView workbookViewId="0">
      <selection activeCell="D7" sqref="D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1355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85</v>
      </c>
      <c r="B3" s="176">
        <v>46054</v>
      </c>
      <c r="C3" s="172" t="s">
        <v>109</v>
      </c>
      <c r="D3" s="172" t="s">
        <v>110</v>
      </c>
      <c r="E3" s="172" t="s">
        <v>85</v>
      </c>
      <c r="F3" s="172" t="s">
        <v>85</v>
      </c>
      <c r="G3" s="172" t="s">
        <v>1356</v>
      </c>
      <c r="H3" s="177">
        <v>0</v>
      </c>
      <c r="I3" s="178">
        <v>0</v>
      </c>
      <c r="J3" s="176">
        <v>46054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-150</v>
      </c>
    </row>
    <row r="4" spans="1:16" ht="19.5" customHeight="1">
      <c r="A4" s="172" t="s">
        <v>1357</v>
      </c>
      <c r="B4" s="176">
        <v>46054</v>
      </c>
      <c r="C4" s="172" t="s">
        <v>92</v>
      </c>
      <c r="D4" s="172" t="s">
        <v>24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0.43</v>
      </c>
      <c r="N4" s="177"/>
      <c r="O4" s="177">
        <v>45</v>
      </c>
      <c r="P4" s="180">
        <v>-154.32</v>
      </c>
    </row>
    <row r="5" spans="1:16" ht="19.5" customHeight="1">
      <c r="A5" s="172" t="s">
        <v>1357</v>
      </c>
      <c r="B5" s="176">
        <v>46054</v>
      </c>
      <c r="C5" s="172" t="s">
        <v>100</v>
      </c>
      <c r="D5" s="172" t="s">
        <v>101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631.42999999999995</v>
      </c>
    </row>
    <row r="6" spans="1:16" ht="19.5" customHeight="1">
      <c r="A6" s="172" t="s">
        <v>1357</v>
      </c>
      <c r="B6" s="176">
        <v>46054</v>
      </c>
      <c r="C6" s="172" t="s">
        <v>100</v>
      </c>
      <c r="D6" s="172" t="s">
        <v>102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6.31</v>
      </c>
    </row>
    <row r="7" spans="1:16" ht="19.5" customHeight="1">
      <c r="A7" s="172" t="s">
        <v>1357</v>
      </c>
      <c r="B7" s="176">
        <v>46054</v>
      </c>
      <c r="C7" s="172" t="s">
        <v>100</v>
      </c>
      <c r="D7" s="172" t="s">
        <v>103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</v>
      </c>
      <c r="N7" s="177"/>
      <c r="O7" s="177"/>
      <c r="P7" s="180">
        <v>1174.26</v>
      </c>
    </row>
    <row r="8" spans="1:16" ht="19.5" customHeight="1">
      <c r="A8" s="172" t="s">
        <v>1357</v>
      </c>
      <c r="B8" s="176">
        <v>46054</v>
      </c>
      <c r="C8" s="172" t="s">
        <v>104</v>
      </c>
      <c r="D8" s="172" t="s">
        <v>105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-779.16</v>
      </c>
    </row>
    <row r="9" spans="1:16" ht="19.5" customHeight="1">
      <c r="A9" s="172" t="s">
        <v>1357</v>
      </c>
      <c r="B9" s="176">
        <v>46054</v>
      </c>
      <c r="C9" s="172" t="s">
        <v>81</v>
      </c>
      <c r="D9" s="172" t="s">
        <v>95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1812</v>
      </c>
      <c r="J9" s="176">
        <v>46049</v>
      </c>
      <c r="K9" s="172" t="s">
        <v>93</v>
      </c>
      <c r="L9" s="172" t="s">
        <v>94</v>
      </c>
      <c r="M9" s="179">
        <v>0.43</v>
      </c>
      <c r="N9" s="177"/>
      <c r="O9" s="177"/>
      <c r="P9" s="180">
        <v>-25</v>
      </c>
    </row>
    <row r="10" spans="1:16" ht="19.5" customHeight="1">
      <c r="A10" s="172" t="s">
        <v>1357</v>
      </c>
      <c r="B10" s="176">
        <v>46054</v>
      </c>
      <c r="C10" s="172" t="s">
        <v>81</v>
      </c>
      <c r="D10" s="172" t="s">
        <v>82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46049</v>
      </c>
      <c r="K10" s="172" t="s">
        <v>85</v>
      </c>
      <c r="L10" s="172" t="s">
        <v>85</v>
      </c>
      <c r="M10" s="179">
        <v>0</v>
      </c>
      <c r="N10" s="177"/>
      <c r="O10" s="177"/>
      <c r="P10" s="180">
        <v>-12</v>
      </c>
    </row>
    <row r="11" spans="1:16" ht="19.5" customHeight="1">
      <c r="A11" s="172" t="s">
        <v>1358</v>
      </c>
      <c r="B11" s="176">
        <v>46054</v>
      </c>
      <c r="C11" s="172" t="s">
        <v>92</v>
      </c>
      <c r="D11" s="172" t="s">
        <v>24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0.43</v>
      </c>
      <c r="N11" s="177"/>
      <c r="O11" s="177">
        <v>40</v>
      </c>
      <c r="P11" s="180">
        <v>-131.88</v>
      </c>
    </row>
    <row r="12" spans="1:16" ht="19.5" customHeight="1">
      <c r="A12" s="172" t="s">
        <v>1358</v>
      </c>
      <c r="B12" s="176">
        <v>46054</v>
      </c>
      <c r="C12" s="172" t="s">
        <v>100</v>
      </c>
      <c r="D12" s="172" t="s">
        <v>101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690.77</v>
      </c>
    </row>
    <row r="13" spans="1:16" ht="19.5" customHeight="1">
      <c r="A13" s="172" t="s">
        <v>1358</v>
      </c>
      <c r="B13" s="176">
        <v>46054</v>
      </c>
      <c r="C13" s="172" t="s">
        <v>100</v>
      </c>
      <c r="D13" s="172" t="s">
        <v>102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6.91</v>
      </c>
    </row>
    <row r="14" spans="1:16" ht="19.5" customHeight="1">
      <c r="A14" s="172" t="s">
        <v>1358</v>
      </c>
      <c r="B14" s="176">
        <v>46054</v>
      </c>
      <c r="C14" s="172" t="s">
        <v>100</v>
      </c>
      <c r="D14" s="172" t="s">
        <v>103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1102.32</v>
      </c>
    </row>
    <row r="15" spans="1:16" ht="19.5" customHeight="1">
      <c r="A15" s="172" t="s">
        <v>1358</v>
      </c>
      <c r="B15" s="176">
        <v>46054</v>
      </c>
      <c r="C15" s="172" t="s">
        <v>104</v>
      </c>
      <c r="D15" s="172" t="s">
        <v>105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-774</v>
      </c>
    </row>
    <row r="16" spans="1:16" ht="19.5" customHeight="1">
      <c r="A16" s="172" t="s">
        <v>1358</v>
      </c>
      <c r="B16" s="176">
        <v>46054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1800</v>
      </c>
      <c r="J16" s="176">
        <v>46046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-9.48</v>
      </c>
    </row>
    <row r="17" spans="1:16" ht="19.5" customHeight="1">
      <c r="A17" s="172" t="s">
        <v>1359</v>
      </c>
      <c r="B17" s="176">
        <v>46054</v>
      </c>
      <c r="C17" s="172" t="s">
        <v>81</v>
      </c>
      <c r="D17" s="172" t="s">
        <v>82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46054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-4.63</v>
      </c>
    </row>
    <row r="18" spans="1:16" ht="19.5" customHeight="1">
      <c r="A18" s="172" t="s">
        <v>1338</v>
      </c>
      <c r="B18" s="176">
        <v>46054</v>
      </c>
      <c r="C18" s="172" t="s">
        <v>166</v>
      </c>
      <c r="D18" s="172" t="s">
        <v>167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-623.80999999999995</v>
      </c>
    </row>
    <row r="19" spans="1:16" ht="19.5" customHeight="1">
      <c r="A19" s="172" t="s">
        <v>1338</v>
      </c>
      <c r="B19" s="176">
        <v>46054</v>
      </c>
      <c r="C19" s="172" t="s">
        <v>166</v>
      </c>
      <c r="D19" s="172" t="s">
        <v>102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-6.24</v>
      </c>
    </row>
    <row r="20" spans="1:16" ht="19.5" customHeight="1">
      <c r="A20" s="172" t="s">
        <v>1338</v>
      </c>
      <c r="B20" s="176">
        <v>46054</v>
      </c>
      <c r="C20" s="172" t="s">
        <v>166</v>
      </c>
      <c r="D20" s="172" t="s">
        <v>103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-1119.95</v>
      </c>
    </row>
    <row r="21" spans="1:16" ht="19.5" customHeight="1">
      <c r="A21" s="172" t="s">
        <v>1338</v>
      </c>
      <c r="B21" s="176">
        <v>46054</v>
      </c>
      <c r="C21" s="172" t="s">
        <v>104</v>
      </c>
      <c r="D21" s="172" t="s">
        <v>168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-1750</v>
      </c>
      <c r="J21" s="176">
        <v>46052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752.5</v>
      </c>
    </row>
    <row r="22" spans="1:16" ht="19.5" customHeight="1">
      <c r="A22" s="172" t="s">
        <v>1338</v>
      </c>
      <c r="B22" s="176">
        <v>46054</v>
      </c>
      <c r="C22" s="172" t="s">
        <v>81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46052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11.85</v>
      </c>
    </row>
    <row r="23" spans="1:16" ht="19.5" customHeight="1">
      <c r="A23" s="172" t="s">
        <v>1360</v>
      </c>
      <c r="B23" s="176">
        <v>46054</v>
      </c>
      <c r="C23" s="172" t="s">
        <v>92</v>
      </c>
      <c r="D23" s="172" t="s">
        <v>24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0.43</v>
      </c>
      <c r="N23" s="177"/>
      <c r="O23" s="177">
        <v>44</v>
      </c>
      <c r="P23" s="180">
        <v>-149.88999999999999</v>
      </c>
    </row>
    <row r="24" spans="1:16" ht="19.5" customHeight="1">
      <c r="A24" s="172" t="s">
        <v>1360</v>
      </c>
      <c r="B24" s="176">
        <v>46054</v>
      </c>
      <c r="C24" s="172" t="s">
        <v>100</v>
      </c>
      <c r="D24" s="172" t="s">
        <v>101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628.44000000000005</v>
      </c>
    </row>
    <row r="25" spans="1:16" ht="19.5" customHeight="1">
      <c r="A25" s="172" t="s">
        <v>1360</v>
      </c>
      <c r="B25" s="176">
        <v>46054</v>
      </c>
      <c r="C25" s="172" t="s">
        <v>100</v>
      </c>
      <c r="D25" s="172" t="s">
        <v>102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6.28</v>
      </c>
    </row>
    <row r="26" spans="1:16" ht="19.5" customHeight="1">
      <c r="A26" s="172" t="s">
        <v>1360</v>
      </c>
      <c r="B26" s="176">
        <v>46054</v>
      </c>
      <c r="C26" s="172" t="s">
        <v>100</v>
      </c>
      <c r="D26" s="172" t="s">
        <v>103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1177.28</v>
      </c>
    </row>
    <row r="27" spans="1:16" ht="19.5" customHeight="1">
      <c r="A27" s="172" t="s">
        <v>1360</v>
      </c>
      <c r="B27" s="176">
        <v>46054</v>
      </c>
      <c r="C27" s="172" t="s">
        <v>104</v>
      </c>
      <c r="D27" s="172" t="s">
        <v>105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-779.16</v>
      </c>
    </row>
    <row r="28" spans="1:16" ht="19.5" customHeight="1">
      <c r="A28" s="172" t="s">
        <v>1360</v>
      </c>
      <c r="B28" s="176">
        <v>46054</v>
      </c>
      <c r="C28" s="172" t="s">
        <v>81</v>
      </c>
      <c r="D28" s="172" t="s">
        <v>95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1812</v>
      </c>
      <c r="J28" s="176">
        <v>46052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-11.61</v>
      </c>
    </row>
    <row r="29" spans="1:16" ht="19.5" customHeight="1">
      <c r="A29" s="172" t="s">
        <v>1361</v>
      </c>
      <c r="B29" s="176">
        <v>46054</v>
      </c>
      <c r="C29" s="172" t="s">
        <v>92</v>
      </c>
      <c r="D29" s="172" t="s">
        <v>24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0.43</v>
      </c>
      <c r="N29" s="177"/>
      <c r="O29" s="177">
        <v>44</v>
      </c>
      <c r="P29" s="180">
        <v>-131.37</v>
      </c>
    </row>
    <row r="30" spans="1:16" ht="19.5" customHeight="1">
      <c r="A30" s="172" t="s">
        <v>1361</v>
      </c>
      <c r="B30" s="176">
        <v>46054</v>
      </c>
      <c r="C30" s="172" t="s">
        <v>100</v>
      </c>
      <c r="D30" s="172" t="s">
        <v>101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609.52</v>
      </c>
    </row>
    <row r="31" spans="1:16" ht="19.5" customHeight="1">
      <c r="A31" s="172" t="s">
        <v>1361</v>
      </c>
      <c r="B31" s="176">
        <v>46054</v>
      </c>
      <c r="C31" s="172" t="s">
        <v>100</v>
      </c>
      <c r="D31" s="172" t="s">
        <v>102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6.1</v>
      </c>
    </row>
    <row r="32" spans="1:16" ht="19.5" customHeight="1">
      <c r="A32" s="172" t="s">
        <v>1361</v>
      </c>
      <c r="B32" s="176">
        <v>46054</v>
      </c>
      <c r="C32" s="172" t="s">
        <v>100</v>
      </c>
      <c r="D32" s="172" t="s">
        <v>103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1134.3800000000001</v>
      </c>
    </row>
    <row r="33" spans="1:16" ht="19.5" customHeight="1">
      <c r="A33" s="172" t="s">
        <v>1361</v>
      </c>
      <c r="B33" s="176">
        <v>46054</v>
      </c>
      <c r="C33" s="172" t="s">
        <v>104</v>
      </c>
      <c r="D33" s="172" t="s">
        <v>105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-752.5</v>
      </c>
    </row>
    <row r="34" spans="1:16" ht="19.5" customHeight="1">
      <c r="A34" s="172" t="s">
        <v>1361</v>
      </c>
      <c r="B34" s="176">
        <v>46054</v>
      </c>
      <c r="C34" s="172" t="s">
        <v>81</v>
      </c>
      <c r="D34" s="172" t="s">
        <v>95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46051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-23.21</v>
      </c>
    </row>
    <row r="35" spans="1:16" ht="19.5" customHeight="1">
      <c r="A35" s="172" t="s">
        <v>1362</v>
      </c>
      <c r="B35" s="176">
        <v>46054</v>
      </c>
      <c r="C35" s="172" t="s">
        <v>92</v>
      </c>
      <c r="D35" s="172" t="s">
        <v>24</v>
      </c>
      <c r="E35" s="172" t="s">
        <v>57</v>
      </c>
      <c r="F35" s="172" t="s">
        <v>1265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0.43</v>
      </c>
      <c r="N35" s="177"/>
      <c r="O35" s="177">
        <v>44</v>
      </c>
      <c r="P35" s="180">
        <v>-155.81</v>
      </c>
    </row>
    <row r="36" spans="1:16" ht="19.5" customHeight="1">
      <c r="A36" s="172" t="s">
        <v>1362</v>
      </c>
      <c r="B36" s="176">
        <v>46054</v>
      </c>
      <c r="C36" s="172" t="s">
        <v>100</v>
      </c>
      <c r="D36" s="172" t="s">
        <v>101</v>
      </c>
      <c r="E36" s="172" t="s">
        <v>57</v>
      </c>
      <c r="F36" s="172" t="s">
        <v>1265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1169.52</v>
      </c>
    </row>
    <row r="37" spans="1:16" ht="19.5" customHeight="1">
      <c r="A37" s="172" t="s">
        <v>1362</v>
      </c>
      <c r="B37" s="176">
        <v>46054</v>
      </c>
      <c r="C37" s="172" t="s">
        <v>100</v>
      </c>
      <c r="D37" s="172" t="s">
        <v>102</v>
      </c>
      <c r="E37" s="172" t="s">
        <v>57</v>
      </c>
      <c r="F37" s="172" t="s">
        <v>1265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11.7</v>
      </c>
    </row>
    <row r="38" spans="1:16" ht="19.5" customHeight="1">
      <c r="A38" s="172" t="s">
        <v>1362</v>
      </c>
      <c r="B38" s="176">
        <v>46054</v>
      </c>
      <c r="C38" s="172" t="s">
        <v>100</v>
      </c>
      <c r="D38" s="172" t="s">
        <v>103</v>
      </c>
      <c r="E38" s="172" t="s">
        <v>57</v>
      </c>
      <c r="F38" s="172" t="s">
        <v>1265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818.78</v>
      </c>
    </row>
    <row r="39" spans="1:16" ht="19.5" customHeight="1">
      <c r="A39" s="172" t="s">
        <v>1362</v>
      </c>
      <c r="B39" s="176">
        <v>46054</v>
      </c>
      <c r="C39" s="172" t="s">
        <v>104</v>
      </c>
      <c r="D39" s="172" t="s">
        <v>105</v>
      </c>
      <c r="E39" s="172" t="s">
        <v>57</v>
      </c>
      <c r="F39" s="172" t="s">
        <v>1265</v>
      </c>
      <c r="G39" s="172" t="s">
        <v>84</v>
      </c>
      <c r="H39" s="177">
        <v>1</v>
      </c>
      <c r="I39" s="178">
        <v>2000</v>
      </c>
      <c r="J39" s="176">
        <v>46052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-860</v>
      </c>
    </row>
    <row r="40" spans="1:16" ht="19.5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46052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-11.94</v>
      </c>
    </row>
    <row r="41" spans="1:16" ht="19.5" customHeight="1">
      <c r="A41" s="172" t="s">
        <v>1363</v>
      </c>
      <c r="B41" s="176">
        <v>46054</v>
      </c>
      <c r="C41" s="172" t="s">
        <v>81</v>
      </c>
      <c r="D41" s="172" t="s">
        <v>82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0</v>
      </c>
      <c r="J41" s="176">
        <v>46054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-11.64</v>
      </c>
    </row>
    <row r="42" spans="1:16" ht="19.5" customHeight="1">
      <c r="A42" s="172" t="s">
        <v>1364</v>
      </c>
      <c r="B42" s="176">
        <v>46054</v>
      </c>
      <c r="C42" s="172" t="s">
        <v>92</v>
      </c>
      <c r="D42" s="172" t="s">
        <v>24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0.43</v>
      </c>
      <c r="N42" s="177"/>
      <c r="O42" s="177">
        <v>41</v>
      </c>
      <c r="P42" s="180">
        <v>-119.28</v>
      </c>
    </row>
    <row r="43" spans="1:16" ht="19.5" customHeight="1">
      <c r="A43" s="172" t="s">
        <v>1364</v>
      </c>
      <c r="B43" s="176">
        <v>46054</v>
      </c>
      <c r="C43" s="172" t="s">
        <v>100</v>
      </c>
      <c r="D43" s="172" t="s">
        <v>101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684.76</v>
      </c>
    </row>
    <row r="44" spans="1:16" ht="19.5" customHeight="1">
      <c r="A44" s="172" t="s">
        <v>1364</v>
      </c>
      <c r="B44" s="176">
        <v>46054</v>
      </c>
      <c r="C44" s="172" t="s">
        <v>100</v>
      </c>
      <c r="D44" s="172" t="s">
        <v>102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6.85</v>
      </c>
    </row>
    <row r="45" spans="1:16" ht="19.5" customHeight="1">
      <c r="A45" s="172" t="s">
        <v>1364</v>
      </c>
      <c r="B45" s="176">
        <v>46054</v>
      </c>
      <c r="C45" s="172" t="s">
        <v>100</v>
      </c>
      <c r="D45" s="172" t="s">
        <v>103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1058.3900000000001</v>
      </c>
    </row>
    <row r="46" spans="1:16" ht="19.5" customHeight="1">
      <c r="A46" s="172" t="s">
        <v>1364</v>
      </c>
      <c r="B46" s="176">
        <v>46054</v>
      </c>
      <c r="C46" s="172" t="s">
        <v>104</v>
      </c>
      <c r="D46" s="172" t="s">
        <v>105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-752.5</v>
      </c>
    </row>
    <row r="47" spans="1:16" ht="19.5" customHeight="1">
      <c r="A47" s="172" t="s">
        <v>1364</v>
      </c>
      <c r="B47" s="176">
        <v>46054</v>
      </c>
      <c r="C47" s="172" t="s">
        <v>81</v>
      </c>
      <c r="D47" s="172" t="s">
        <v>95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1750</v>
      </c>
      <c r="J47" s="176">
        <v>46047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-11.92</v>
      </c>
    </row>
    <row r="48" spans="1:16" ht="19.5" customHeight="1">
      <c r="A48" s="172" t="s">
        <v>1365</v>
      </c>
      <c r="B48" s="176">
        <v>46054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>
        <v>45</v>
      </c>
      <c r="P48" s="180">
        <v>-56</v>
      </c>
    </row>
    <row r="49" spans="1:16" ht="19.5" customHeight="1">
      <c r="A49" s="172" t="s">
        <v>1365</v>
      </c>
      <c r="B49" s="176">
        <v>46054</v>
      </c>
      <c r="C49" s="172" t="s">
        <v>81</v>
      </c>
      <c r="D49" s="172" t="s">
        <v>95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-10.23</v>
      </c>
    </row>
    <row r="50" spans="1:16" ht="19.5" customHeight="1">
      <c r="A50" s="172" t="s">
        <v>1365</v>
      </c>
      <c r="B50" s="176">
        <v>46054</v>
      </c>
      <c r="C50" s="172" t="s">
        <v>92</v>
      </c>
      <c r="D50" s="172" t="s">
        <v>96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customHeight="1">
      <c r="A51" s="172" t="s">
        <v>1365</v>
      </c>
      <c r="B51" s="176">
        <v>46054</v>
      </c>
      <c r="C51" s="172" t="s">
        <v>92</v>
      </c>
      <c r="D51" s="172" t="s">
        <v>97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-56</v>
      </c>
    </row>
    <row r="52" spans="1:16" ht="19.5" customHeight="1">
      <c r="A52" s="172" t="s">
        <v>1365</v>
      </c>
      <c r="B52" s="176">
        <v>46054</v>
      </c>
      <c r="C52" s="172" t="s">
        <v>81</v>
      </c>
      <c r="D52" s="172" t="s">
        <v>98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46035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customHeight="1">
      <c r="A53" s="172" t="s">
        <v>1366</v>
      </c>
      <c r="B53" s="176">
        <v>46054</v>
      </c>
      <c r="C53" s="172" t="s">
        <v>92</v>
      </c>
      <c r="D53" s="172" t="s">
        <v>24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0.43</v>
      </c>
      <c r="N53" s="177"/>
      <c r="O53" s="177">
        <v>44</v>
      </c>
      <c r="P53" s="180">
        <v>-147.97999999999999</v>
      </c>
    </row>
    <row r="54" spans="1:16" ht="19.5" customHeight="1">
      <c r="A54" s="172" t="s">
        <v>1366</v>
      </c>
      <c r="B54" s="176">
        <v>46054</v>
      </c>
      <c r="C54" s="172" t="s">
        <v>100</v>
      </c>
      <c r="D54" s="172" t="s">
        <v>101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742.86</v>
      </c>
    </row>
    <row r="55" spans="1:16" ht="19.5" customHeight="1">
      <c r="A55" s="172" t="s">
        <v>1366</v>
      </c>
      <c r="B55" s="176">
        <v>46054</v>
      </c>
      <c r="C55" s="172" t="s">
        <v>100</v>
      </c>
      <c r="D55" s="172" t="s">
        <v>102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customHeight="1">
      <c r="A56" s="172" t="s">
        <v>1366</v>
      </c>
      <c r="B56" s="176">
        <v>46054</v>
      </c>
      <c r="C56" s="172" t="s">
        <v>100</v>
      </c>
      <c r="D56" s="172" t="s">
        <v>103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1057.1400000000001</v>
      </c>
    </row>
    <row r="57" spans="1:16" ht="19.5" customHeight="1">
      <c r="A57" s="172" t="s">
        <v>1366</v>
      </c>
      <c r="B57" s="176">
        <v>46054</v>
      </c>
      <c r="C57" s="172" t="s">
        <v>104</v>
      </c>
      <c r="D57" s="172" t="s">
        <v>105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-774</v>
      </c>
    </row>
    <row r="58" spans="1:16" ht="19.5" customHeight="1">
      <c r="A58" s="172" t="s">
        <v>1366</v>
      </c>
      <c r="B58" s="176">
        <v>46054</v>
      </c>
      <c r="C58" s="172" t="s">
        <v>81</v>
      </c>
      <c r="D58" s="172" t="s">
        <v>95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1800</v>
      </c>
      <c r="J58" s="176">
        <v>46048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-11.2</v>
      </c>
    </row>
    <row r="59" spans="1:16" ht="19.5" customHeight="1">
      <c r="A59" s="172" t="s">
        <v>1364</v>
      </c>
      <c r="B59" s="176">
        <v>46054</v>
      </c>
      <c r="C59" s="172" t="s">
        <v>81</v>
      </c>
      <c r="D59" s="172" t="s">
        <v>82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46047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-13.01</v>
      </c>
    </row>
    <row r="60" spans="1:16" ht="19.5" customHeight="1">
      <c r="A60" s="172" t="s">
        <v>1367</v>
      </c>
      <c r="B60" s="176">
        <v>46054</v>
      </c>
      <c r="C60" s="172" t="s">
        <v>92</v>
      </c>
      <c r="D60" s="172" t="s">
        <v>24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0.43</v>
      </c>
      <c r="N60" s="177"/>
      <c r="O60" s="177">
        <v>44</v>
      </c>
      <c r="P60" s="180">
        <v>-131.37</v>
      </c>
    </row>
    <row r="61" spans="1:16" ht="19.5" customHeight="1">
      <c r="A61" s="172" t="s">
        <v>1367</v>
      </c>
      <c r="B61" s="176">
        <v>46054</v>
      </c>
      <c r="C61" s="172" t="s">
        <v>100</v>
      </c>
      <c r="D61" s="172" t="s">
        <v>101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608.94000000000005</v>
      </c>
    </row>
    <row r="62" spans="1:16" ht="19.5" customHeight="1">
      <c r="A62" s="172" t="s">
        <v>1367</v>
      </c>
      <c r="B62" s="176">
        <v>46054</v>
      </c>
      <c r="C62" s="172" t="s">
        <v>100</v>
      </c>
      <c r="D62" s="172" t="s">
        <v>102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6.09</v>
      </c>
    </row>
    <row r="63" spans="1:16" ht="19.5" customHeight="1">
      <c r="A63" s="172" t="s">
        <v>1367</v>
      </c>
      <c r="B63" s="176">
        <v>46054</v>
      </c>
      <c r="C63" s="172" t="s">
        <v>100</v>
      </c>
      <c r="D63" s="172" t="s">
        <v>103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1134.97</v>
      </c>
    </row>
    <row r="64" spans="1:16" ht="19.5" customHeight="1">
      <c r="A64" s="172" t="s">
        <v>1367</v>
      </c>
      <c r="B64" s="176">
        <v>46054</v>
      </c>
      <c r="C64" s="172" t="s">
        <v>104</v>
      </c>
      <c r="D64" s="172" t="s">
        <v>105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-752.5</v>
      </c>
    </row>
    <row r="65" spans="1:16" ht="19.5" customHeight="1">
      <c r="A65" s="172" t="s">
        <v>1367</v>
      </c>
      <c r="B65" s="176">
        <v>46054</v>
      </c>
      <c r="C65" s="172" t="s">
        <v>81</v>
      </c>
      <c r="D65" s="172" t="s">
        <v>95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1750</v>
      </c>
      <c r="J65" s="176">
        <v>46051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-10.31</v>
      </c>
    </row>
    <row r="66" spans="1:16" ht="19.5" customHeight="1">
      <c r="A66" s="172" t="s">
        <v>1368</v>
      </c>
      <c r="B66" s="176">
        <v>46054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0.43</v>
      </c>
      <c r="N66" s="177"/>
      <c r="O66" s="177">
        <v>44</v>
      </c>
      <c r="P66" s="180">
        <v>-148.36000000000001</v>
      </c>
    </row>
    <row r="67" spans="1:16" ht="19.5" customHeight="1">
      <c r="A67" s="172" t="s">
        <v>1368</v>
      </c>
      <c r="B67" s="176">
        <v>46054</v>
      </c>
      <c r="C67" s="172" t="s">
        <v>100</v>
      </c>
      <c r="D67" s="172" t="s">
        <v>101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664.45</v>
      </c>
    </row>
    <row r="68" spans="1:16" ht="19.5" customHeight="1">
      <c r="A68" s="172" t="s">
        <v>1368</v>
      </c>
      <c r="B68" s="176">
        <v>46054</v>
      </c>
      <c r="C68" s="172" t="s">
        <v>100</v>
      </c>
      <c r="D68" s="172" t="s">
        <v>102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6.64</v>
      </c>
    </row>
    <row r="69" spans="1:16" ht="19.5" customHeight="1">
      <c r="A69" s="172" t="s">
        <v>1368</v>
      </c>
      <c r="B69" s="176">
        <v>46054</v>
      </c>
      <c r="C69" s="172" t="s">
        <v>100</v>
      </c>
      <c r="D69" s="172" t="s">
        <v>103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1140.9100000000001</v>
      </c>
    </row>
    <row r="70" spans="1:16" ht="19.5" customHeight="1">
      <c r="A70" s="172" t="s">
        <v>1368</v>
      </c>
      <c r="B70" s="176">
        <v>46054</v>
      </c>
      <c r="C70" s="172" t="s">
        <v>104</v>
      </c>
      <c r="D70" s="172" t="s">
        <v>105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-779.16</v>
      </c>
    </row>
    <row r="71" spans="1:16" ht="19.5" customHeight="1">
      <c r="A71" s="172" t="s">
        <v>1368</v>
      </c>
      <c r="B71" s="176">
        <v>46054</v>
      </c>
      <c r="C71" s="172" t="s">
        <v>81</v>
      </c>
      <c r="D71" s="172" t="s">
        <v>95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46048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-12.17</v>
      </c>
    </row>
    <row r="72" spans="1:16" ht="19.5" customHeight="1">
      <c r="A72" s="172" t="s">
        <v>1367</v>
      </c>
      <c r="B72" s="176">
        <v>46054</v>
      </c>
      <c r="C72" s="172" t="s">
        <v>81</v>
      </c>
      <c r="D72" s="172" t="s">
        <v>82</v>
      </c>
      <c r="E72" s="172" t="s">
        <v>43</v>
      </c>
      <c r="F72" s="172" t="s">
        <v>125</v>
      </c>
      <c r="G72" s="172" t="s">
        <v>84</v>
      </c>
      <c r="H72" s="177">
        <v>1</v>
      </c>
      <c r="I72" s="178">
        <v>0</v>
      </c>
      <c r="J72" s="176">
        <v>46051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-11.57</v>
      </c>
    </row>
    <row r="73" spans="1:16" ht="19.5" customHeight="1">
      <c r="A73" s="172" t="s">
        <v>1369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46054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</v>
      </c>
    </row>
    <row r="74" spans="1:16" ht="19.5" customHeight="1">
      <c r="A74" s="172" t="s">
        <v>1368</v>
      </c>
      <c r="B74" s="176">
        <v>46054</v>
      </c>
      <c r="C74" s="172" t="s">
        <v>81</v>
      </c>
      <c r="D74" s="172" t="s">
        <v>82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0</v>
      </c>
      <c r="J74" s="176">
        <v>46048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-12.62</v>
      </c>
    </row>
    <row r="75" spans="1:16" ht="19.5" customHeight="1">
      <c r="A75" s="172" t="s">
        <v>1370</v>
      </c>
      <c r="B75" s="176">
        <v>46054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>
        <v>44</v>
      </c>
      <c r="P75" s="180">
        <v>-148.36000000000001</v>
      </c>
    </row>
    <row r="76" spans="1:16" ht="19.5" customHeight="1">
      <c r="A76" s="172" t="s">
        <v>1370</v>
      </c>
      <c r="B76" s="176">
        <v>46054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631.42999999999995</v>
      </c>
    </row>
    <row r="77" spans="1:16" ht="19.5" customHeight="1">
      <c r="A77" s="172" t="s">
        <v>1370</v>
      </c>
      <c r="B77" s="176">
        <v>46054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6.31</v>
      </c>
    </row>
    <row r="78" spans="1:16" ht="19.5" customHeight="1">
      <c r="A78" s="172" t="s">
        <v>1370</v>
      </c>
      <c r="B78" s="176">
        <v>46054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1174.26</v>
      </c>
    </row>
    <row r="79" spans="1:16" ht="19.5" customHeight="1">
      <c r="A79" s="172" t="s">
        <v>1370</v>
      </c>
      <c r="B79" s="176">
        <v>46054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-779.16</v>
      </c>
    </row>
    <row r="80" spans="1:16" ht="19.5" customHeight="1">
      <c r="A80" s="172" t="s">
        <v>1370</v>
      </c>
      <c r="B80" s="176">
        <v>46054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1812</v>
      </c>
      <c r="J80" s="176">
        <v>46050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-22.16</v>
      </c>
    </row>
    <row r="81" spans="1:16" ht="19.5" customHeight="1">
      <c r="A81" s="172" t="s">
        <v>1371</v>
      </c>
      <c r="B81" s="176">
        <v>46054</v>
      </c>
      <c r="C81" s="172" t="s">
        <v>92</v>
      </c>
      <c r="D81" s="172" t="s">
        <v>24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0.43</v>
      </c>
      <c r="N81" s="177"/>
      <c r="O81" s="177">
        <v>44</v>
      </c>
      <c r="P81" s="180">
        <v>-147.97999999999999</v>
      </c>
    </row>
    <row r="82" spans="1:16" ht="19.5" customHeight="1">
      <c r="A82" s="172" t="s">
        <v>1371</v>
      </c>
      <c r="B82" s="176">
        <v>46054</v>
      </c>
      <c r="C82" s="172" t="s">
        <v>100</v>
      </c>
      <c r="D82" s="172" t="s">
        <v>101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627.62</v>
      </c>
    </row>
    <row r="83" spans="1:16" ht="19.5" customHeight="1">
      <c r="A83" s="172" t="s">
        <v>1371</v>
      </c>
      <c r="B83" s="176">
        <v>46054</v>
      </c>
      <c r="C83" s="172" t="s">
        <v>100</v>
      </c>
      <c r="D83" s="172" t="s">
        <v>102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6.28</v>
      </c>
    </row>
    <row r="84" spans="1:16" ht="19.5" customHeight="1">
      <c r="A84" s="172" t="s">
        <v>1371</v>
      </c>
      <c r="B84" s="176">
        <v>46054</v>
      </c>
      <c r="C84" s="172" t="s">
        <v>100</v>
      </c>
      <c r="D84" s="172" t="s">
        <v>103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1166.0999999999999</v>
      </c>
    </row>
    <row r="85" spans="1:16" ht="19.5" customHeight="1">
      <c r="A85" s="172" t="s">
        <v>1371</v>
      </c>
      <c r="B85" s="176">
        <v>46054</v>
      </c>
      <c r="C85" s="172" t="s">
        <v>104</v>
      </c>
      <c r="D85" s="172" t="s">
        <v>105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-774</v>
      </c>
    </row>
    <row r="86" spans="1:16" ht="19.5" customHeight="1">
      <c r="A86" s="172" t="s">
        <v>1371</v>
      </c>
      <c r="B86" s="176">
        <v>46054</v>
      </c>
      <c r="C86" s="172" t="s">
        <v>81</v>
      </c>
      <c r="D86" s="172" t="s">
        <v>95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1800</v>
      </c>
      <c r="J86" s="176">
        <v>46053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-9.4600000000000009</v>
      </c>
    </row>
    <row r="87" spans="1:16" ht="19.5" customHeight="1">
      <c r="A87" s="172" t="s">
        <v>1372</v>
      </c>
      <c r="B87" s="176">
        <v>46054</v>
      </c>
      <c r="C87" s="172" t="s">
        <v>81</v>
      </c>
      <c r="D87" s="172" t="s">
        <v>82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46054</v>
      </c>
      <c r="K87" s="172" t="s">
        <v>85</v>
      </c>
      <c r="L87" s="172" t="s">
        <v>85</v>
      </c>
      <c r="M87" s="179">
        <v>0</v>
      </c>
      <c r="N87" s="177"/>
      <c r="O87" s="177"/>
      <c r="P87" s="180">
        <v>-4.59</v>
      </c>
    </row>
    <row r="88" spans="1:16" ht="19.5" customHeight="1">
      <c r="A88" s="172" t="s">
        <v>1373</v>
      </c>
      <c r="B88" s="176">
        <v>46054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>
        <v>41</v>
      </c>
      <c r="P88" s="180">
        <v>-56</v>
      </c>
    </row>
    <row r="89" spans="1:16" ht="19.5" customHeight="1">
      <c r="A89" s="172" t="s">
        <v>1373</v>
      </c>
      <c r="B89" s="176">
        <v>46054</v>
      </c>
      <c r="C89" s="172" t="s">
        <v>81</v>
      </c>
      <c r="D89" s="172" t="s">
        <v>95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46047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-8.57</v>
      </c>
    </row>
    <row r="90" spans="1:16" ht="19.5" customHeight="1">
      <c r="A90" s="172" t="s">
        <v>1374</v>
      </c>
      <c r="B90" s="176">
        <v>46054</v>
      </c>
      <c r="C90" s="172" t="s">
        <v>92</v>
      </c>
      <c r="D90" s="172" t="s">
        <v>24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>
        <v>45</v>
      </c>
      <c r="P90" s="180">
        <v>-56.94</v>
      </c>
    </row>
    <row r="91" spans="1:16" ht="19.5" customHeight="1">
      <c r="A91" s="172" t="s">
        <v>1374</v>
      </c>
      <c r="B91" s="176">
        <v>46054</v>
      </c>
      <c r="C91" s="172" t="s">
        <v>81</v>
      </c>
      <c r="D91" s="172" t="s">
        <v>95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-15.72</v>
      </c>
    </row>
    <row r="92" spans="1:16" ht="19.5" customHeight="1">
      <c r="A92" s="172" t="s">
        <v>1373</v>
      </c>
      <c r="B92" s="176">
        <v>46054</v>
      </c>
      <c r="C92" s="172" t="s">
        <v>92</v>
      </c>
      <c r="D92" s="172" t="s">
        <v>96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customHeight="1">
      <c r="A93" s="172" t="s">
        <v>1373</v>
      </c>
      <c r="B93" s="176">
        <v>46054</v>
      </c>
      <c r="C93" s="172" t="s">
        <v>92</v>
      </c>
      <c r="D93" s="172" t="s">
        <v>97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</v>
      </c>
    </row>
    <row r="94" spans="1:16" ht="19.5" customHeight="1">
      <c r="A94" s="172" t="s">
        <v>1373</v>
      </c>
      <c r="B94" s="176">
        <v>46054</v>
      </c>
      <c r="C94" s="172" t="s">
        <v>81</v>
      </c>
      <c r="D94" s="172" t="s">
        <v>98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customHeight="1">
      <c r="A95" s="172" t="s">
        <v>1374</v>
      </c>
      <c r="B95" s="176">
        <v>46054</v>
      </c>
      <c r="C95" s="172" t="s">
        <v>92</v>
      </c>
      <c r="D95" s="172" t="s">
        <v>96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0</v>
      </c>
    </row>
    <row r="96" spans="1:16" ht="19.5" customHeight="1">
      <c r="A96" s="172" t="s">
        <v>1374</v>
      </c>
      <c r="B96" s="176">
        <v>46054</v>
      </c>
      <c r="C96" s="172" t="s">
        <v>92</v>
      </c>
      <c r="D96" s="172" t="s">
        <v>97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0</v>
      </c>
      <c r="J96" s="176">
        <v>46049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-56.94</v>
      </c>
    </row>
    <row r="97" spans="1:16" ht="19.5" customHeight="1">
      <c r="A97" s="172" t="s">
        <v>1375</v>
      </c>
      <c r="B97" s="176">
        <v>46054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0.43</v>
      </c>
      <c r="N97" s="177"/>
      <c r="O97" s="177">
        <v>44</v>
      </c>
      <c r="P97" s="180">
        <v>-146.74</v>
      </c>
    </row>
    <row r="98" spans="1:16" ht="19.5" customHeight="1">
      <c r="A98" s="172" t="s">
        <v>1375</v>
      </c>
      <c r="B98" s="176">
        <v>46054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595.62</v>
      </c>
    </row>
    <row r="99" spans="1:16" ht="19.5" customHeight="1">
      <c r="A99" s="172" t="s">
        <v>1375</v>
      </c>
      <c r="B99" s="176">
        <v>46054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5.96</v>
      </c>
    </row>
    <row r="100" spans="1:16" ht="19.5" customHeight="1">
      <c r="A100" s="172" t="s">
        <v>1375</v>
      </c>
      <c r="B100" s="176">
        <v>46054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1110.42</v>
      </c>
    </row>
    <row r="101" spans="1:16" ht="19.5" customHeight="1">
      <c r="A101" s="172" t="s">
        <v>1375</v>
      </c>
      <c r="B101" s="176">
        <v>46054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-736.16</v>
      </c>
    </row>
    <row r="102" spans="1:16" ht="19.5" customHeight="1">
      <c r="A102" s="172" t="s">
        <v>1375</v>
      </c>
      <c r="B102" s="176">
        <v>46054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1712</v>
      </c>
      <c r="J102" s="176">
        <v>46051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-12.13</v>
      </c>
    </row>
    <row r="103" spans="1:16" ht="19.5" customHeight="1">
      <c r="A103" s="172" t="s">
        <v>1376</v>
      </c>
      <c r="B103" s="176">
        <v>46054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0.43</v>
      </c>
      <c r="N103" s="177"/>
      <c r="O103" s="177">
        <v>40</v>
      </c>
      <c r="P103" s="180">
        <v>-131.88</v>
      </c>
    </row>
    <row r="104" spans="1:16" ht="19.5" customHeight="1">
      <c r="A104" s="172" t="s">
        <v>1376</v>
      </c>
      <c r="B104" s="176">
        <v>46054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628.57000000000005</v>
      </c>
    </row>
    <row r="105" spans="1:16" ht="19.5" customHeight="1">
      <c r="A105" s="172" t="s">
        <v>1376</v>
      </c>
      <c r="B105" s="176">
        <v>46054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6.29</v>
      </c>
    </row>
    <row r="106" spans="1:16" ht="19.5" customHeight="1">
      <c r="A106" s="172" t="s">
        <v>1376</v>
      </c>
      <c r="B106" s="176">
        <v>46054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1165.1400000000001</v>
      </c>
    </row>
    <row r="107" spans="1:16" ht="19.5" customHeight="1">
      <c r="A107" s="172" t="s">
        <v>1376</v>
      </c>
      <c r="B107" s="176">
        <v>46054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-774</v>
      </c>
    </row>
    <row r="108" spans="1:16" ht="19.5" customHeight="1">
      <c r="A108" s="172" t="s">
        <v>1376</v>
      </c>
      <c r="B108" s="176">
        <v>46054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1800</v>
      </c>
      <c r="J108" s="176">
        <v>46045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-7.33</v>
      </c>
    </row>
    <row r="109" spans="1:16" ht="19.5" customHeight="1">
      <c r="A109" s="172" t="s">
        <v>1376</v>
      </c>
      <c r="B109" s="176">
        <v>46054</v>
      </c>
      <c r="C109" s="172" t="s">
        <v>81</v>
      </c>
      <c r="D109" s="172" t="s">
        <v>82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46045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-11.94</v>
      </c>
    </row>
    <row r="110" spans="1:16" ht="19.5" customHeight="1">
      <c r="A110" s="172" t="s">
        <v>1377</v>
      </c>
      <c r="B110" s="176">
        <v>46054</v>
      </c>
      <c r="C110" s="172" t="s">
        <v>81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46054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-11.58</v>
      </c>
    </row>
    <row r="111" spans="1:16" ht="19.5" customHeight="1">
      <c r="A111" s="172" t="s">
        <v>1378</v>
      </c>
      <c r="B111" s="176">
        <v>46054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0.43</v>
      </c>
      <c r="N111" s="177"/>
      <c r="O111" s="177">
        <v>44</v>
      </c>
      <c r="P111" s="180">
        <v>-147.97999999999999</v>
      </c>
    </row>
    <row r="112" spans="1:16" ht="19.5" customHeight="1">
      <c r="A112" s="172" t="s">
        <v>1378</v>
      </c>
      <c r="B112" s="176">
        <v>46054</v>
      </c>
      <c r="C112" s="172" t="s">
        <v>100</v>
      </c>
      <c r="D112" s="172" t="s">
        <v>101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627.62</v>
      </c>
    </row>
    <row r="113" spans="1:16" ht="19.5" customHeight="1">
      <c r="A113" s="172" t="s">
        <v>1378</v>
      </c>
      <c r="B113" s="176">
        <v>46054</v>
      </c>
      <c r="C113" s="172" t="s">
        <v>100</v>
      </c>
      <c r="D113" s="172" t="s">
        <v>102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6.28</v>
      </c>
    </row>
    <row r="114" spans="1:16" ht="19.5" customHeight="1">
      <c r="A114" s="172" t="s">
        <v>1378</v>
      </c>
      <c r="B114" s="176">
        <v>46054</v>
      </c>
      <c r="C114" s="172" t="s">
        <v>100</v>
      </c>
      <c r="D114" s="172" t="s">
        <v>103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1166.0999999999999</v>
      </c>
    </row>
    <row r="115" spans="1:16" ht="19.5" customHeight="1">
      <c r="A115" s="172" t="s">
        <v>1378</v>
      </c>
      <c r="B115" s="176">
        <v>46054</v>
      </c>
      <c r="C115" s="172" t="s">
        <v>104</v>
      </c>
      <c r="D115" s="172" t="s">
        <v>105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-774</v>
      </c>
    </row>
    <row r="116" spans="1:16" ht="19.5" customHeight="1">
      <c r="A116" s="172" t="s">
        <v>1378</v>
      </c>
      <c r="B116" s="176">
        <v>46054</v>
      </c>
      <c r="C116" s="172" t="s">
        <v>81</v>
      </c>
      <c r="D116" s="172" t="s">
        <v>95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46052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-0.88</v>
      </c>
    </row>
    <row r="117" spans="1:16" ht="19.5" customHeight="1">
      <c r="A117" s="172" t="s">
        <v>1379</v>
      </c>
      <c r="B117" s="176">
        <v>46054</v>
      </c>
      <c r="C117" s="172" t="s">
        <v>92</v>
      </c>
      <c r="D117" s="172" t="s">
        <v>24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0.43</v>
      </c>
      <c r="N117" s="177"/>
      <c r="O117" s="177">
        <v>44</v>
      </c>
      <c r="P117" s="180">
        <v>-149.51</v>
      </c>
    </row>
    <row r="118" spans="1:16" ht="19.5" customHeight="1">
      <c r="A118" s="172" t="s">
        <v>1379</v>
      </c>
      <c r="B118" s="176">
        <v>46054</v>
      </c>
      <c r="C118" s="172" t="s">
        <v>100</v>
      </c>
      <c r="D118" s="172" t="s">
        <v>101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627.62</v>
      </c>
    </row>
    <row r="119" spans="1:16" ht="19.5" customHeight="1">
      <c r="A119" s="172" t="s">
        <v>1379</v>
      </c>
      <c r="B119" s="176">
        <v>46054</v>
      </c>
      <c r="C119" s="172" t="s">
        <v>100</v>
      </c>
      <c r="D119" s="172" t="s">
        <v>102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6.28</v>
      </c>
    </row>
    <row r="120" spans="1:16" ht="19.5" customHeight="1">
      <c r="A120" s="172" t="s">
        <v>1379</v>
      </c>
      <c r="B120" s="176">
        <v>46054</v>
      </c>
      <c r="C120" s="172" t="s">
        <v>100</v>
      </c>
      <c r="D120" s="172" t="s">
        <v>103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1166.0999999999999</v>
      </c>
    </row>
    <row r="121" spans="1:16" ht="19.5" customHeight="1">
      <c r="A121" s="172" t="s">
        <v>1379</v>
      </c>
      <c r="B121" s="176">
        <v>46054</v>
      </c>
      <c r="C121" s="172" t="s">
        <v>104</v>
      </c>
      <c r="D121" s="172" t="s">
        <v>105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-774</v>
      </c>
    </row>
    <row r="122" spans="1:16" ht="19.5" customHeight="1">
      <c r="A122" s="172" t="s">
        <v>1379</v>
      </c>
      <c r="B122" s="176">
        <v>46054</v>
      </c>
      <c r="C122" s="172" t="s">
        <v>81</v>
      </c>
      <c r="D122" s="172" t="s">
        <v>95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46053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-16.32</v>
      </c>
    </row>
    <row r="123" spans="1:16" ht="19.5" customHeight="1">
      <c r="A123" s="172" t="s">
        <v>1380</v>
      </c>
      <c r="B123" s="176">
        <v>46054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0.43</v>
      </c>
      <c r="N123" s="177"/>
      <c r="O123" s="177">
        <v>44</v>
      </c>
      <c r="P123" s="180">
        <v>-149.51</v>
      </c>
    </row>
    <row r="124" spans="1:16" ht="19.5" customHeight="1">
      <c r="A124" s="172" t="s">
        <v>1380</v>
      </c>
      <c r="B124" s="176">
        <v>46054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627.62</v>
      </c>
    </row>
    <row r="125" spans="1:16" ht="19.5" customHeight="1">
      <c r="A125" s="172" t="s">
        <v>1380</v>
      </c>
      <c r="B125" s="176">
        <v>46054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6.28</v>
      </c>
    </row>
    <row r="126" spans="1:16" ht="19.5" customHeight="1">
      <c r="A126" s="172" t="s">
        <v>1380</v>
      </c>
      <c r="B126" s="176">
        <v>46054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1166.0999999999999</v>
      </c>
    </row>
    <row r="127" spans="1:16" ht="19.5" customHeight="1">
      <c r="A127" s="172" t="s">
        <v>1380</v>
      </c>
      <c r="B127" s="176">
        <v>46054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-774</v>
      </c>
    </row>
    <row r="128" spans="1:16" ht="19.5" customHeight="1">
      <c r="A128" s="172" t="s">
        <v>1380</v>
      </c>
      <c r="B128" s="176">
        <v>46054</v>
      </c>
      <c r="C128" s="172" t="s">
        <v>81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1800</v>
      </c>
      <c r="J128" s="176">
        <v>46048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-11.28</v>
      </c>
    </row>
    <row r="129" spans="1:16" ht="19.5" customHeight="1">
      <c r="A129" s="172" t="s">
        <v>1381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46054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-5.2</v>
      </c>
    </row>
    <row r="130" spans="1:16" ht="19.5" customHeight="1">
      <c r="A130" s="172" t="s">
        <v>1380</v>
      </c>
      <c r="B130" s="176">
        <v>46054</v>
      </c>
      <c r="C130" s="172" t="s">
        <v>81</v>
      </c>
      <c r="D130" s="172" t="s">
        <v>82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46048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-11.92</v>
      </c>
    </row>
    <row r="131" spans="1:16" ht="19.5" customHeight="1">
      <c r="A131" s="172" t="s">
        <v>1382</v>
      </c>
      <c r="B131" s="176">
        <v>46054</v>
      </c>
      <c r="C131" s="172" t="s">
        <v>81</v>
      </c>
      <c r="D131" s="172" t="s">
        <v>82</v>
      </c>
      <c r="E131" s="172" t="s">
        <v>42</v>
      </c>
      <c r="F131" s="172" t="s">
        <v>89</v>
      </c>
      <c r="G131" s="172" t="s">
        <v>84</v>
      </c>
      <c r="H131" s="177">
        <v>1</v>
      </c>
      <c r="I131" s="178">
        <v>0</v>
      </c>
      <c r="J131" s="176">
        <v>46054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-11.58</v>
      </c>
    </row>
    <row r="132" spans="1:16" ht="19.5" customHeight="1">
      <c r="A132" s="172" t="s">
        <v>1383</v>
      </c>
      <c r="B132" s="176">
        <v>46054</v>
      </c>
      <c r="C132" s="172" t="s">
        <v>92</v>
      </c>
      <c r="D132" s="172" t="s">
        <v>24</v>
      </c>
      <c r="E132" s="172" t="s">
        <v>56</v>
      </c>
      <c r="F132" s="172" t="s">
        <v>1215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0.43</v>
      </c>
      <c r="N132" s="177"/>
      <c r="O132" s="177">
        <v>44</v>
      </c>
      <c r="P132" s="180">
        <v>-155.81</v>
      </c>
    </row>
    <row r="133" spans="1:16" ht="19.5" customHeight="1">
      <c r="A133" s="172" t="s">
        <v>1383</v>
      </c>
      <c r="B133" s="176">
        <v>46054</v>
      </c>
      <c r="C133" s="172" t="s">
        <v>100</v>
      </c>
      <c r="D133" s="172" t="s">
        <v>101</v>
      </c>
      <c r="E133" s="172" t="s">
        <v>56</v>
      </c>
      <c r="F133" s="172" t="s">
        <v>1215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749.52</v>
      </c>
    </row>
    <row r="134" spans="1:16" ht="19.5" customHeight="1">
      <c r="A134" s="172" t="s">
        <v>1383</v>
      </c>
      <c r="B134" s="176">
        <v>46054</v>
      </c>
      <c r="C134" s="172" t="s">
        <v>100</v>
      </c>
      <c r="D134" s="172" t="s">
        <v>102</v>
      </c>
      <c r="E134" s="172" t="s">
        <v>56</v>
      </c>
      <c r="F134" s="172" t="s">
        <v>1215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7.5</v>
      </c>
    </row>
    <row r="135" spans="1:16" ht="19.5" customHeight="1">
      <c r="A135" s="172" t="s">
        <v>1383</v>
      </c>
      <c r="B135" s="176">
        <v>46054</v>
      </c>
      <c r="C135" s="172" t="s">
        <v>100</v>
      </c>
      <c r="D135" s="172" t="s">
        <v>103</v>
      </c>
      <c r="E135" s="172" t="s">
        <v>56</v>
      </c>
      <c r="F135" s="172" t="s">
        <v>1215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1242.98</v>
      </c>
    </row>
    <row r="136" spans="1:16" ht="19.5" customHeight="1">
      <c r="A136" s="172" t="s">
        <v>1383</v>
      </c>
      <c r="B136" s="176">
        <v>46054</v>
      </c>
      <c r="C136" s="172" t="s">
        <v>104</v>
      </c>
      <c r="D136" s="172" t="s">
        <v>105</v>
      </c>
      <c r="E136" s="172" t="s">
        <v>56</v>
      </c>
      <c r="F136" s="172" t="s">
        <v>1215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-860</v>
      </c>
    </row>
    <row r="137" spans="1:16" ht="19.5" customHeight="1">
      <c r="A137" s="172" t="s">
        <v>1383</v>
      </c>
      <c r="B137" s="176">
        <v>46054</v>
      </c>
      <c r="C137" s="172" t="s">
        <v>81</v>
      </c>
      <c r="D137" s="172" t="s">
        <v>95</v>
      </c>
      <c r="E137" s="172" t="s">
        <v>56</v>
      </c>
      <c r="F137" s="172" t="s">
        <v>1215</v>
      </c>
      <c r="G137" s="172" t="s">
        <v>84</v>
      </c>
      <c r="H137" s="177">
        <v>1</v>
      </c>
      <c r="I137" s="178">
        <v>2000</v>
      </c>
      <c r="J137" s="176">
        <v>46052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-16.43</v>
      </c>
    </row>
    <row r="138" spans="1:16" ht="19.5" customHeight="1">
      <c r="A138" s="172" t="s">
        <v>1384</v>
      </c>
      <c r="B138" s="176">
        <v>46054</v>
      </c>
      <c r="C138" s="172" t="s">
        <v>92</v>
      </c>
      <c r="D138" s="172" t="s">
        <v>24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0.43</v>
      </c>
      <c r="N138" s="177"/>
      <c r="O138" s="177">
        <v>44</v>
      </c>
      <c r="P138" s="180">
        <v>-131.37</v>
      </c>
    </row>
    <row r="139" spans="1:16" ht="19.5" customHeight="1">
      <c r="A139" s="172" t="s">
        <v>1384</v>
      </c>
      <c r="B139" s="176">
        <v>46054</v>
      </c>
      <c r="C139" s="172" t="s">
        <v>100</v>
      </c>
      <c r="D139" s="172" t="s">
        <v>101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609.52</v>
      </c>
    </row>
    <row r="140" spans="1:16" ht="19.5" customHeight="1">
      <c r="A140" s="172" t="s">
        <v>1384</v>
      </c>
      <c r="B140" s="176">
        <v>46054</v>
      </c>
      <c r="C140" s="172" t="s">
        <v>100</v>
      </c>
      <c r="D140" s="172" t="s">
        <v>102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6.1</v>
      </c>
    </row>
    <row r="141" spans="1:16" ht="19.5" customHeight="1">
      <c r="A141" s="172" t="s">
        <v>1384</v>
      </c>
      <c r="B141" s="176">
        <v>46054</v>
      </c>
      <c r="C141" s="172" t="s">
        <v>100</v>
      </c>
      <c r="D141" s="172" t="s">
        <v>103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1134.3800000000001</v>
      </c>
    </row>
    <row r="142" spans="1:16" ht="19.5" customHeight="1">
      <c r="A142" s="172" t="s">
        <v>1384</v>
      </c>
      <c r="B142" s="176">
        <v>46054</v>
      </c>
      <c r="C142" s="172" t="s">
        <v>104</v>
      </c>
      <c r="D142" s="172" t="s">
        <v>105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-752.5</v>
      </c>
    </row>
    <row r="143" spans="1:16" ht="19.5" customHeight="1">
      <c r="A143" s="172" t="s">
        <v>1384</v>
      </c>
      <c r="B143" s="176">
        <v>46054</v>
      </c>
      <c r="C143" s="172" t="s">
        <v>81</v>
      </c>
      <c r="D143" s="172" t="s">
        <v>95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1750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-10.92</v>
      </c>
    </row>
    <row r="144" spans="1:16" ht="19.5" customHeight="1">
      <c r="A144" s="172" t="s">
        <v>1385</v>
      </c>
      <c r="B144" s="176">
        <v>46054</v>
      </c>
      <c r="C144" s="172" t="s">
        <v>92</v>
      </c>
      <c r="D144" s="172" t="s">
        <v>24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0.43</v>
      </c>
      <c r="N144" s="177"/>
      <c r="O144" s="177">
        <v>44</v>
      </c>
      <c r="P144" s="180">
        <v>-148.36000000000001</v>
      </c>
    </row>
    <row r="145" spans="1:16" ht="19.5" customHeight="1">
      <c r="A145" s="172" t="s">
        <v>1385</v>
      </c>
      <c r="B145" s="176">
        <v>46054</v>
      </c>
      <c r="C145" s="172" t="s">
        <v>100</v>
      </c>
      <c r="D145" s="172" t="s">
        <v>101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631.42999999999995</v>
      </c>
    </row>
    <row r="146" spans="1:16" ht="19.5" customHeight="1">
      <c r="A146" s="172" t="s">
        <v>1385</v>
      </c>
      <c r="B146" s="176">
        <v>46054</v>
      </c>
      <c r="C146" s="172" t="s">
        <v>100</v>
      </c>
      <c r="D146" s="172" t="s">
        <v>102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6.31</v>
      </c>
    </row>
    <row r="147" spans="1:16" ht="19.5" customHeight="1">
      <c r="A147" s="172" t="s">
        <v>1385</v>
      </c>
      <c r="B147" s="176">
        <v>46054</v>
      </c>
      <c r="C147" s="172" t="s">
        <v>100</v>
      </c>
      <c r="D147" s="172" t="s">
        <v>103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1174.26</v>
      </c>
    </row>
    <row r="148" spans="1:16" ht="19.5" customHeight="1">
      <c r="A148" s="172" t="s">
        <v>1385</v>
      </c>
      <c r="B148" s="176">
        <v>46054</v>
      </c>
      <c r="C148" s="172" t="s">
        <v>104</v>
      </c>
      <c r="D148" s="172" t="s">
        <v>105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-779.16</v>
      </c>
    </row>
    <row r="149" spans="1:16" ht="19.5" customHeight="1">
      <c r="A149" s="172" t="s">
        <v>1385</v>
      </c>
      <c r="B149" s="176">
        <v>46054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1812</v>
      </c>
      <c r="J149" s="176">
        <v>46052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-10.01</v>
      </c>
    </row>
    <row r="150" spans="1:16" ht="19.5" customHeight="1">
      <c r="A150" s="172" t="s">
        <v>1383</v>
      </c>
      <c r="B150" s="176">
        <v>46054</v>
      </c>
      <c r="C150" s="172" t="s">
        <v>81</v>
      </c>
      <c r="D150" s="172" t="s">
        <v>82</v>
      </c>
      <c r="E150" s="172" t="s">
        <v>56</v>
      </c>
      <c r="F150" s="172" t="s">
        <v>1215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-14.24</v>
      </c>
    </row>
    <row r="151" spans="1:16" ht="19.5" customHeight="1">
      <c r="A151" s="172" t="s">
        <v>1385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customHeight="1">
      <c r="A152" s="172" t="s">
        <v>1386</v>
      </c>
      <c r="B152" s="176">
        <v>46054</v>
      </c>
      <c r="C152" s="172" t="s">
        <v>81</v>
      </c>
      <c r="D152" s="172" t="s">
        <v>82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46054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-12</v>
      </c>
    </row>
    <row r="153" spans="1:16" ht="19.5" customHeight="1">
      <c r="A153" s="172" t="s">
        <v>1384</v>
      </c>
      <c r="B153" s="176">
        <v>46054</v>
      </c>
      <c r="C153" s="172" t="s">
        <v>81</v>
      </c>
      <c r="D153" s="172" t="s">
        <v>82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0</v>
      </c>
      <c r="J153" s="176">
        <v>46053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-11.58</v>
      </c>
    </row>
    <row r="154" spans="1:16" ht="19.5" customHeight="1">
      <c r="A154" s="172" t="s">
        <v>1387</v>
      </c>
      <c r="B154" s="176">
        <v>46054</v>
      </c>
      <c r="C154" s="172" t="s">
        <v>92</v>
      </c>
      <c r="D154" s="172" t="s">
        <v>24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>
        <v>44</v>
      </c>
      <c r="P154" s="180">
        <v>-56.94</v>
      </c>
    </row>
    <row r="155" spans="1:16" ht="19.5" customHeight="1">
      <c r="A155" s="172" t="s">
        <v>1387</v>
      </c>
      <c r="B155" s="176">
        <v>46054</v>
      </c>
      <c r="C155" s="172" t="s">
        <v>81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-10.23</v>
      </c>
    </row>
    <row r="156" spans="1:16" ht="19.5" customHeight="1">
      <c r="A156" s="172" t="s">
        <v>1387</v>
      </c>
      <c r="B156" s="176">
        <v>46054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customHeight="1">
      <c r="A157" s="172" t="s">
        <v>1387</v>
      </c>
      <c r="B157" s="176">
        <v>46054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customHeight="1">
      <c r="A158" s="172" t="s">
        <v>1387</v>
      </c>
      <c r="B158" s="176">
        <v>46054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46050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customHeight="1">
      <c r="A159" s="172" t="s">
        <v>1388</v>
      </c>
      <c r="B159" s="176">
        <v>46054</v>
      </c>
      <c r="C159" s="172" t="s">
        <v>81</v>
      </c>
      <c r="D159" s="172" t="s">
        <v>82</v>
      </c>
      <c r="E159" s="172" t="s">
        <v>59</v>
      </c>
      <c r="F159" s="172" t="s">
        <v>1389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-15.65</v>
      </c>
    </row>
    <row r="160" spans="1:16" ht="19.5" customHeight="1">
      <c r="A160" s="172" t="s">
        <v>1390</v>
      </c>
      <c r="B160" s="176">
        <v>46054</v>
      </c>
      <c r="C160" s="172" t="s">
        <v>81</v>
      </c>
      <c r="D160" s="172" t="s">
        <v>82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-11.92</v>
      </c>
    </row>
    <row r="161" spans="1:16" ht="19.5" customHeight="1">
      <c r="A161" s="172" t="s">
        <v>1208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-279.89</v>
      </c>
    </row>
    <row r="162" spans="1:16" ht="19.5" customHeight="1">
      <c r="A162" s="172" t="s">
        <v>1207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-287.43</v>
      </c>
    </row>
    <row r="163" spans="1:16" ht="19.5" customHeight="1">
      <c r="A163" s="172" t="s">
        <v>141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-437.07</v>
      </c>
    </row>
    <row r="164" spans="1:16" ht="19.5" customHeight="1">
      <c r="A164" s="172" t="s">
        <v>145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-1000.19</v>
      </c>
    </row>
    <row r="165" spans="1:16" ht="19.5" customHeight="1">
      <c r="A165" s="172" t="s">
        <v>144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-1175.6199999999999</v>
      </c>
    </row>
    <row r="166" spans="1:16" ht="19.5" customHeight="1">
      <c r="A166" s="172" t="s">
        <v>138</v>
      </c>
      <c r="B166" s="176">
        <v>46054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-1151.5</v>
      </c>
    </row>
    <row r="167" spans="1:16" ht="19.5" customHeight="1">
      <c r="A167" s="172" t="s">
        <v>142</v>
      </c>
      <c r="B167" s="176">
        <v>46054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46054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-3076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7" t="s">
        <v>1082</v>
      </c>
    </row>
    <row r="2" spans="1:16" ht="78.75" customHeight="1">
      <c r="A2" s="228" t="s">
        <v>64</v>
      </c>
      <c r="B2" s="228" t="s">
        <v>65</v>
      </c>
      <c r="C2" s="228" t="s">
        <v>66</v>
      </c>
      <c r="D2" s="228" t="s">
        <v>67</v>
      </c>
      <c r="E2" s="228" t="s">
        <v>68</v>
      </c>
      <c r="F2" s="228" t="s">
        <v>69</v>
      </c>
      <c r="G2" s="228" t="s">
        <v>70</v>
      </c>
      <c r="H2" s="228" t="s">
        <v>71</v>
      </c>
      <c r="I2" s="228" t="s">
        <v>72</v>
      </c>
      <c r="J2" s="228" t="s">
        <v>73</v>
      </c>
      <c r="K2" s="228" t="s">
        <v>74</v>
      </c>
      <c r="L2" s="228" t="s">
        <v>75</v>
      </c>
      <c r="M2" s="228" t="s">
        <v>76</v>
      </c>
      <c r="N2" s="228" t="s">
        <v>77</v>
      </c>
      <c r="O2" s="228" t="s">
        <v>78</v>
      </c>
      <c r="P2" s="229" t="s">
        <v>79</v>
      </c>
    </row>
    <row r="3" spans="1:16" ht="19.5" customHeight="1">
      <c r="A3" s="227" t="s">
        <v>1083</v>
      </c>
      <c r="B3" s="230">
        <v>46048</v>
      </c>
      <c r="C3" s="227" t="s">
        <v>81</v>
      </c>
      <c r="D3" s="227" t="s">
        <v>82</v>
      </c>
      <c r="E3" s="227" t="s">
        <v>52</v>
      </c>
      <c r="F3" s="227" t="s">
        <v>90</v>
      </c>
      <c r="G3" s="227" t="s">
        <v>84</v>
      </c>
      <c r="H3" s="231">
        <v>1</v>
      </c>
      <c r="I3" s="232">
        <v>0</v>
      </c>
      <c r="J3" s="230">
        <v>46048</v>
      </c>
      <c r="K3" s="227" t="s">
        <v>85</v>
      </c>
      <c r="L3" s="227" t="s">
        <v>85</v>
      </c>
      <c r="M3" s="233">
        <v>0</v>
      </c>
      <c r="N3" s="231"/>
      <c r="O3" s="231"/>
      <c r="P3" s="234">
        <v>-5.65</v>
      </c>
    </row>
    <row r="4" spans="1:16" ht="19.5" customHeight="1">
      <c r="A4" s="227" t="s">
        <v>247</v>
      </c>
      <c r="B4" s="230">
        <v>46048</v>
      </c>
      <c r="C4" s="227" t="s">
        <v>92</v>
      </c>
      <c r="D4" s="227" t="s">
        <v>272</v>
      </c>
      <c r="E4" s="227" t="s">
        <v>43</v>
      </c>
      <c r="F4" s="227" t="s">
        <v>125</v>
      </c>
      <c r="G4" s="227" t="s">
        <v>84</v>
      </c>
      <c r="H4" s="231">
        <v>1</v>
      </c>
      <c r="I4" s="232">
        <v>0</v>
      </c>
      <c r="J4" s="230">
        <v>46025</v>
      </c>
      <c r="K4" s="227" t="s">
        <v>93</v>
      </c>
      <c r="L4" s="227" t="s">
        <v>94</v>
      </c>
      <c r="M4" s="233">
        <v>0</v>
      </c>
      <c r="N4" s="231"/>
      <c r="O4" s="231"/>
      <c r="P4" s="234">
        <v>0</v>
      </c>
    </row>
    <row r="5" spans="1:16" ht="19.5" customHeight="1">
      <c r="A5" s="227" t="s">
        <v>247</v>
      </c>
      <c r="B5" s="230">
        <v>46048</v>
      </c>
      <c r="C5" s="227" t="s">
        <v>92</v>
      </c>
      <c r="D5" s="227" t="s">
        <v>97</v>
      </c>
      <c r="E5" s="227" t="s">
        <v>43</v>
      </c>
      <c r="F5" s="227" t="s">
        <v>125</v>
      </c>
      <c r="G5" s="227" t="s">
        <v>84</v>
      </c>
      <c r="H5" s="231">
        <v>1</v>
      </c>
      <c r="I5" s="232">
        <v>0</v>
      </c>
      <c r="J5" s="230">
        <v>46025</v>
      </c>
      <c r="K5" s="227" t="s">
        <v>93</v>
      </c>
      <c r="L5" s="227" t="s">
        <v>94</v>
      </c>
      <c r="M5" s="233">
        <v>0</v>
      </c>
      <c r="N5" s="231"/>
      <c r="O5" s="231"/>
      <c r="P5" s="234">
        <v>-46.77</v>
      </c>
    </row>
    <row r="6" spans="1:16" ht="19.5" customHeight="1">
      <c r="A6" s="227" t="s">
        <v>247</v>
      </c>
      <c r="B6" s="230">
        <v>46048</v>
      </c>
      <c r="C6" s="227" t="s">
        <v>81</v>
      </c>
      <c r="D6" s="227" t="s">
        <v>98</v>
      </c>
      <c r="E6" s="227" t="s">
        <v>43</v>
      </c>
      <c r="F6" s="227" t="s">
        <v>125</v>
      </c>
      <c r="G6" s="227" t="s">
        <v>84</v>
      </c>
      <c r="H6" s="231">
        <v>1</v>
      </c>
      <c r="I6" s="232">
        <v>0</v>
      </c>
      <c r="J6" s="230">
        <v>46025</v>
      </c>
      <c r="K6" s="227" t="s">
        <v>93</v>
      </c>
      <c r="L6" s="227" t="s">
        <v>94</v>
      </c>
      <c r="M6" s="233">
        <v>0</v>
      </c>
      <c r="N6" s="231"/>
      <c r="O6" s="231"/>
      <c r="P6" s="234">
        <v>-15</v>
      </c>
    </row>
    <row r="7" spans="1:16" ht="19.5" customHeight="1">
      <c r="A7" s="227" t="s">
        <v>1084</v>
      </c>
      <c r="B7" s="230">
        <v>46048</v>
      </c>
      <c r="C7" s="227" t="s">
        <v>92</v>
      </c>
      <c r="D7" s="227" t="s">
        <v>96</v>
      </c>
      <c r="E7" s="227" t="s">
        <v>52</v>
      </c>
      <c r="F7" s="227" t="s">
        <v>90</v>
      </c>
      <c r="G7" s="227" t="s">
        <v>84</v>
      </c>
      <c r="H7" s="231">
        <v>1</v>
      </c>
      <c r="I7" s="232">
        <v>0</v>
      </c>
      <c r="J7" s="230">
        <v>46041</v>
      </c>
      <c r="K7" s="227" t="s">
        <v>93</v>
      </c>
      <c r="L7" s="227" t="s">
        <v>94</v>
      </c>
      <c r="M7" s="233">
        <v>0</v>
      </c>
      <c r="N7" s="231"/>
      <c r="O7" s="231"/>
      <c r="P7" s="234">
        <v>0</v>
      </c>
    </row>
    <row r="8" spans="1:16" ht="19.5" customHeight="1">
      <c r="A8" s="227" t="s">
        <v>1084</v>
      </c>
      <c r="B8" s="230">
        <v>46048</v>
      </c>
      <c r="C8" s="227" t="s">
        <v>92</v>
      </c>
      <c r="D8" s="227" t="s">
        <v>97</v>
      </c>
      <c r="E8" s="227" t="s">
        <v>52</v>
      </c>
      <c r="F8" s="227" t="s">
        <v>90</v>
      </c>
      <c r="G8" s="227" t="s">
        <v>84</v>
      </c>
      <c r="H8" s="231">
        <v>1</v>
      </c>
      <c r="I8" s="232">
        <v>0</v>
      </c>
      <c r="J8" s="230">
        <v>46041</v>
      </c>
      <c r="K8" s="227" t="s">
        <v>93</v>
      </c>
      <c r="L8" s="227" t="s">
        <v>94</v>
      </c>
      <c r="M8" s="233">
        <v>0</v>
      </c>
      <c r="N8" s="231"/>
      <c r="O8" s="231"/>
      <c r="P8" s="234">
        <v>-56</v>
      </c>
    </row>
    <row r="9" spans="1:16" ht="19.5" customHeight="1">
      <c r="A9" s="227" t="s">
        <v>1084</v>
      </c>
      <c r="B9" s="230">
        <v>46048</v>
      </c>
      <c r="C9" s="227" t="s">
        <v>81</v>
      </c>
      <c r="D9" s="227" t="s">
        <v>98</v>
      </c>
      <c r="E9" s="227" t="s">
        <v>52</v>
      </c>
      <c r="F9" s="227" t="s">
        <v>90</v>
      </c>
      <c r="G9" s="227" t="s">
        <v>84</v>
      </c>
      <c r="H9" s="231">
        <v>1</v>
      </c>
      <c r="I9" s="232">
        <v>0</v>
      </c>
      <c r="J9" s="230">
        <v>46041</v>
      </c>
      <c r="K9" s="227" t="s">
        <v>93</v>
      </c>
      <c r="L9" s="227" t="s">
        <v>94</v>
      </c>
      <c r="M9" s="233">
        <v>0</v>
      </c>
      <c r="N9" s="231"/>
      <c r="O9" s="231"/>
      <c r="P9" s="234">
        <v>-15</v>
      </c>
    </row>
    <row r="10" spans="1:16" ht="19.5" customHeight="1">
      <c r="A10" s="227" t="s">
        <v>1084</v>
      </c>
      <c r="B10" s="230">
        <v>46048</v>
      </c>
      <c r="C10" s="227" t="s">
        <v>92</v>
      </c>
      <c r="D10" s="227" t="s">
        <v>24</v>
      </c>
      <c r="E10" s="227" t="s">
        <v>52</v>
      </c>
      <c r="F10" s="227" t="s">
        <v>90</v>
      </c>
      <c r="G10" s="227" t="s">
        <v>84</v>
      </c>
      <c r="H10" s="231">
        <v>1</v>
      </c>
      <c r="I10" s="232">
        <v>0</v>
      </c>
      <c r="J10" s="230">
        <v>46041</v>
      </c>
      <c r="K10" s="227" t="s">
        <v>93</v>
      </c>
      <c r="L10" s="227" t="s">
        <v>94</v>
      </c>
      <c r="M10" s="233">
        <v>0</v>
      </c>
      <c r="N10" s="231"/>
      <c r="O10" s="231">
        <v>44</v>
      </c>
      <c r="P10" s="234">
        <v>-56</v>
      </c>
    </row>
    <row r="11" spans="1:16" ht="19.5" customHeight="1">
      <c r="A11" s="227" t="s">
        <v>1084</v>
      </c>
      <c r="B11" s="230">
        <v>46048</v>
      </c>
      <c r="C11" s="227" t="s">
        <v>81</v>
      </c>
      <c r="D11" s="227" t="s">
        <v>95</v>
      </c>
      <c r="E11" s="227" t="s">
        <v>52</v>
      </c>
      <c r="F11" s="227" t="s">
        <v>90</v>
      </c>
      <c r="G11" s="227" t="s">
        <v>84</v>
      </c>
      <c r="H11" s="231">
        <v>1</v>
      </c>
      <c r="I11" s="232">
        <v>0</v>
      </c>
      <c r="J11" s="230">
        <v>46041</v>
      </c>
      <c r="K11" s="227" t="s">
        <v>93</v>
      </c>
      <c r="L11" s="227" t="s">
        <v>94</v>
      </c>
      <c r="M11" s="233">
        <v>0</v>
      </c>
      <c r="N11" s="231"/>
      <c r="O11" s="231"/>
      <c r="P11" s="234">
        <v>-9.6199999999999992</v>
      </c>
    </row>
    <row r="12" spans="1:16" ht="19.5" customHeight="1">
      <c r="A12" s="227" t="s">
        <v>1085</v>
      </c>
      <c r="B12" s="230">
        <v>46048</v>
      </c>
      <c r="C12" s="227" t="s">
        <v>92</v>
      </c>
      <c r="D12" s="227" t="s">
        <v>24</v>
      </c>
      <c r="E12" s="227" t="s">
        <v>38</v>
      </c>
      <c r="F12" s="227" t="s">
        <v>87</v>
      </c>
      <c r="G12" s="227" t="s">
        <v>84</v>
      </c>
      <c r="H12" s="231">
        <v>1</v>
      </c>
      <c r="I12" s="232">
        <v>0</v>
      </c>
      <c r="J12" s="230">
        <v>46044</v>
      </c>
      <c r="K12" s="227" t="s">
        <v>93</v>
      </c>
      <c r="L12" s="227" t="s">
        <v>94</v>
      </c>
      <c r="M12" s="233">
        <v>0</v>
      </c>
      <c r="N12" s="231"/>
      <c r="O12" s="231">
        <v>42</v>
      </c>
      <c r="P12" s="234">
        <v>-46.77</v>
      </c>
    </row>
    <row r="13" spans="1:16" ht="19.5" customHeight="1">
      <c r="A13" s="227" t="s">
        <v>1085</v>
      </c>
      <c r="B13" s="230">
        <v>46048</v>
      </c>
      <c r="C13" s="227" t="s">
        <v>81</v>
      </c>
      <c r="D13" s="227" t="s">
        <v>95</v>
      </c>
      <c r="E13" s="227" t="s">
        <v>38</v>
      </c>
      <c r="F13" s="227" t="s">
        <v>87</v>
      </c>
      <c r="G13" s="227" t="s">
        <v>84</v>
      </c>
      <c r="H13" s="231">
        <v>1</v>
      </c>
      <c r="I13" s="232">
        <v>0</v>
      </c>
      <c r="J13" s="230">
        <v>46044</v>
      </c>
      <c r="K13" s="227" t="s">
        <v>93</v>
      </c>
      <c r="L13" s="227" t="s">
        <v>94</v>
      </c>
      <c r="M13" s="233">
        <v>0</v>
      </c>
      <c r="N13" s="231"/>
      <c r="O13" s="231"/>
      <c r="P13" s="234">
        <v>-16.739999999999998</v>
      </c>
    </row>
    <row r="14" spans="1:16" ht="19.5" customHeight="1">
      <c r="A14" s="227" t="s">
        <v>1085</v>
      </c>
      <c r="B14" s="230">
        <v>46048</v>
      </c>
      <c r="C14" s="227" t="s">
        <v>92</v>
      </c>
      <c r="D14" s="227" t="s">
        <v>96</v>
      </c>
      <c r="E14" s="227" t="s">
        <v>38</v>
      </c>
      <c r="F14" s="227" t="s">
        <v>87</v>
      </c>
      <c r="G14" s="227" t="s">
        <v>84</v>
      </c>
      <c r="H14" s="231">
        <v>1</v>
      </c>
      <c r="I14" s="232">
        <v>0</v>
      </c>
      <c r="J14" s="230">
        <v>46044</v>
      </c>
      <c r="K14" s="227" t="s">
        <v>93</v>
      </c>
      <c r="L14" s="227" t="s">
        <v>94</v>
      </c>
      <c r="M14" s="233">
        <v>0</v>
      </c>
      <c r="N14" s="231"/>
      <c r="O14" s="231"/>
      <c r="P14" s="234">
        <v>0</v>
      </c>
    </row>
    <row r="15" spans="1:16" ht="19.5" customHeight="1">
      <c r="A15" s="227" t="s">
        <v>1085</v>
      </c>
      <c r="B15" s="230">
        <v>46048</v>
      </c>
      <c r="C15" s="227" t="s">
        <v>92</v>
      </c>
      <c r="D15" s="227" t="s">
        <v>97</v>
      </c>
      <c r="E15" s="227" t="s">
        <v>38</v>
      </c>
      <c r="F15" s="227" t="s">
        <v>87</v>
      </c>
      <c r="G15" s="227" t="s">
        <v>84</v>
      </c>
      <c r="H15" s="231">
        <v>1</v>
      </c>
      <c r="I15" s="232">
        <v>0</v>
      </c>
      <c r="J15" s="230">
        <v>46044</v>
      </c>
      <c r="K15" s="227" t="s">
        <v>93</v>
      </c>
      <c r="L15" s="227" t="s">
        <v>94</v>
      </c>
      <c r="M15" s="233">
        <v>0</v>
      </c>
      <c r="N15" s="231"/>
      <c r="O15" s="231"/>
      <c r="P15" s="234">
        <v>-46.77</v>
      </c>
    </row>
    <row r="16" spans="1:16" ht="19.5" customHeight="1">
      <c r="A16" s="227" t="s">
        <v>1085</v>
      </c>
      <c r="B16" s="230">
        <v>46048</v>
      </c>
      <c r="C16" s="227" t="s">
        <v>81</v>
      </c>
      <c r="D16" s="227" t="s">
        <v>98</v>
      </c>
      <c r="E16" s="227" t="s">
        <v>38</v>
      </c>
      <c r="F16" s="227" t="s">
        <v>87</v>
      </c>
      <c r="G16" s="227" t="s">
        <v>84</v>
      </c>
      <c r="H16" s="231">
        <v>1</v>
      </c>
      <c r="I16" s="232">
        <v>0</v>
      </c>
      <c r="J16" s="230">
        <v>46044</v>
      </c>
      <c r="K16" s="227" t="s">
        <v>93</v>
      </c>
      <c r="L16" s="227" t="s">
        <v>94</v>
      </c>
      <c r="M16" s="233">
        <v>0</v>
      </c>
      <c r="N16" s="231"/>
      <c r="O16" s="231"/>
      <c r="P16" s="234">
        <v>-15</v>
      </c>
    </row>
    <row r="17" spans="1:16" ht="19.5" customHeight="1">
      <c r="A17" s="227" t="s">
        <v>1086</v>
      </c>
      <c r="B17" s="230">
        <v>46048</v>
      </c>
      <c r="C17" s="227" t="s">
        <v>81</v>
      </c>
      <c r="D17" s="227" t="s">
        <v>82</v>
      </c>
      <c r="E17" s="227" t="s">
        <v>42</v>
      </c>
      <c r="F17" s="227" t="s">
        <v>89</v>
      </c>
      <c r="G17" s="227" t="s">
        <v>84</v>
      </c>
      <c r="H17" s="231">
        <v>1</v>
      </c>
      <c r="I17" s="232">
        <v>0</v>
      </c>
      <c r="J17" s="230">
        <v>46048</v>
      </c>
      <c r="K17" s="227" t="s">
        <v>85</v>
      </c>
      <c r="L17" s="227" t="s">
        <v>85</v>
      </c>
      <c r="M17" s="233">
        <v>0</v>
      </c>
      <c r="N17" s="231"/>
      <c r="O17" s="231"/>
      <c r="P17" s="234">
        <v>-6.53</v>
      </c>
    </row>
    <row r="18" spans="1:16" ht="19.5" customHeight="1">
      <c r="A18" s="227" t="s">
        <v>1087</v>
      </c>
      <c r="B18" s="230">
        <v>46048</v>
      </c>
      <c r="C18" s="227" t="s">
        <v>81</v>
      </c>
      <c r="D18" s="227" t="s">
        <v>82</v>
      </c>
      <c r="E18" s="227" t="s">
        <v>52</v>
      </c>
      <c r="F18" s="227" t="s">
        <v>90</v>
      </c>
      <c r="G18" s="227" t="s">
        <v>84</v>
      </c>
      <c r="H18" s="231">
        <v>2</v>
      </c>
      <c r="I18" s="232">
        <v>0</v>
      </c>
      <c r="J18" s="230">
        <v>46048</v>
      </c>
      <c r="K18" s="227" t="s">
        <v>85</v>
      </c>
      <c r="L18" s="227" t="s">
        <v>85</v>
      </c>
      <c r="M18" s="233">
        <v>0</v>
      </c>
      <c r="N18" s="231"/>
      <c r="O18" s="231"/>
      <c r="P18" s="234">
        <v>-25.82</v>
      </c>
    </row>
    <row r="19" spans="1:16" ht="19.5" customHeight="1">
      <c r="A19" s="227" t="s">
        <v>85</v>
      </c>
      <c r="B19" s="230">
        <v>46048</v>
      </c>
      <c r="C19" s="227" t="s">
        <v>109</v>
      </c>
      <c r="D19" s="227" t="s">
        <v>110</v>
      </c>
      <c r="E19" s="227" t="s">
        <v>85</v>
      </c>
      <c r="F19" s="227" t="s">
        <v>85</v>
      </c>
      <c r="G19" s="227" t="s">
        <v>1088</v>
      </c>
      <c r="H19" s="231">
        <v>0</v>
      </c>
      <c r="I19" s="232">
        <v>0</v>
      </c>
      <c r="J19" s="230">
        <v>46048</v>
      </c>
      <c r="K19" s="227" t="s">
        <v>85</v>
      </c>
      <c r="L19" s="227" t="s">
        <v>85</v>
      </c>
      <c r="M19" s="233">
        <v>0</v>
      </c>
      <c r="N19" s="231"/>
      <c r="O19" s="231"/>
      <c r="P19" s="234">
        <v>-150</v>
      </c>
    </row>
    <row r="20" spans="1:16" ht="19.5" customHeight="1">
      <c r="A20" s="227" t="s">
        <v>1089</v>
      </c>
      <c r="B20" s="230">
        <v>46048</v>
      </c>
      <c r="C20" s="227" t="s">
        <v>92</v>
      </c>
      <c r="D20" s="227" t="s">
        <v>24</v>
      </c>
      <c r="E20" s="227" t="s">
        <v>53</v>
      </c>
      <c r="F20" s="227" t="s">
        <v>120</v>
      </c>
      <c r="G20" s="227" t="s">
        <v>84</v>
      </c>
      <c r="H20" s="231">
        <v>1</v>
      </c>
      <c r="I20" s="232">
        <v>1845</v>
      </c>
      <c r="J20" s="230">
        <v>46040</v>
      </c>
      <c r="K20" s="227" t="s">
        <v>93</v>
      </c>
      <c r="L20" s="227" t="s">
        <v>94</v>
      </c>
      <c r="M20" s="233">
        <v>0.43</v>
      </c>
      <c r="N20" s="231"/>
      <c r="O20" s="231">
        <v>45</v>
      </c>
      <c r="P20" s="234">
        <v>-155.41</v>
      </c>
    </row>
    <row r="21" spans="1:16" ht="19.5" customHeight="1">
      <c r="A21" s="227" t="s">
        <v>1089</v>
      </c>
      <c r="B21" s="230">
        <v>46048</v>
      </c>
      <c r="C21" s="227" t="s">
        <v>100</v>
      </c>
      <c r="D21" s="227" t="s">
        <v>101</v>
      </c>
      <c r="E21" s="227" t="s">
        <v>53</v>
      </c>
      <c r="F21" s="227" t="s">
        <v>120</v>
      </c>
      <c r="G21" s="227" t="s">
        <v>84</v>
      </c>
      <c r="H21" s="231">
        <v>1</v>
      </c>
      <c r="I21" s="232">
        <v>1845</v>
      </c>
      <c r="J21" s="230">
        <v>46040</v>
      </c>
      <c r="K21" s="227" t="s">
        <v>93</v>
      </c>
      <c r="L21" s="227" t="s">
        <v>94</v>
      </c>
      <c r="M21" s="233">
        <v>0</v>
      </c>
      <c r="N21" s="231"/>
      <c r="O21" s="231"/>
      <c r="P21" s="234">
        <v>727.62</v>
      </c>
    </row>
    <row r="22" spans="1:16" ht="19.5" customHeight="1">
      <c r="A22" s="227" t="s">
        <v>1089</v>
      </c>
      <c r="B22" s="230">
        <v>46048</v>
      </c>
      <c r="C22" s="227" t="s">
        <v>100</v>
      </c>
      <c r="D22" s="227" t="s">
        <v>102</v>
      </c>
      <c r="E22" s="227" t="s">
        <v>53</v>
      </c>
      <c r="F22" s="227" t="s">
        <v>120</v>
      </c>
      <c r="G22" s="227" t="s">
        <v>84</v>
      </c>
      <c r="H22" s="231">
        <v>1</v>
      </c>
      <c r="I22" s="232">
        <v>1845</v>
      </c>
      <c r="J22" s="230">
        <v>46040</v>
      </c>
      <c r="K22" s="227" t="s">
        <v>93</v>
      </c>
      <c r="L22" s="227" t="s">
        <v>94</v>
      </c>
      <c r="M22" s="233">
        <v>0</v>
      </c>
      <c r="N22" s="231"/>
      <c r="O22" s="231"/>
      <c r="P22" s="234">
        <v>7.28</v>
      </c>
    </row>
    <row r="23" spans="1:16" ht="19.5" customHeight="1">
      <c r="A23" s="227" t="s">
        <v>1089</v>
      </c>
      <c r="B23" s="230">
        <v>46048</v>
      </c>
      <c r="C23" s="227" t="s">
        <v>100</v>
      </c>
      <c r="D23" s="227" t="s">
        <v>103</v>
      </c>
      <c r="E23" s="227" t="s">
        <v>53</v>
      </c>
      <c r="F23" s="227" t="s">
        <v>120</v>
      </c>
      <c r="G23" s="227" t="s">
        <v>84</v>
      </c>
      <c r="H23" s="231">
        <v>1</v>
      </c>
      <c r="I23" s="232">
        <v>1845</v>
      </c>
      <c r="J23" s="230">
        <v>46040</v>
      </c>
      <c r="K23" s="227" t="s">
        <v>93</v>
      </c>
      <c r="L23" s="227" t="s">
        <v>94</v>
      </c>
      <c r="M23" s="233">
        <v>0</v>
      </c>
      <c r="N23" s="231"/>
      <c r="O23" s="231"/>
      <c r="P23" s="234">
        <v>1110.0999999999999</v>
      </c>
    </row>
    <row r="24" spans="1:16" ht="19.5" customHeight="1">
      <c r="A24" s="227" t="s">
        <v>1089</v>
      </c>
      <c r="B24" s="230">
        <v>46048</v>
      </c>
      <c r="C24" s="227" t="s">
        <v>104</v>
      </c>
      <c r="D24" s="227" t="s">
        <v>105</v>
      </c>
      <c r="E24" s="227" t="s">
        <v>53</v>
      </c>
      <c r="F24" s="227" t="s">
        <v>120</v>
      </c>
      <c r="G24" s="227" t="s">
        <v>84</v>
      </c>
      <c r="H24" s="231">
        <v>1</v>
      </c>
      <c r="I24" s="232">
        <v>1845</v>
      </c>
      <c r="J24" s="230">
        <v>46040</v>
      </c>
      <c r="K24" s="227" t="s">
        <v>93</v>
      </c>
      <c r="L24" s="227" t="s">
        <v>94</v>
      </c>
      <c r="M24" s="233">
        <v>0.43</v>
      </c>
      <c r="N24" s="231"/>
      <c r="O24" s="231"/>
      <c r="P24" s="234">
        <v>-793.35</v>
      </c>
    </row>
    <row r="25" spans="1:16" ht="19.5" customHeight="1">
      <c r="A25" s="227" t="s">
        <v>1089</v>
      </c>
      <c r="B25" s="230">
        <v>46048</v>
      </c>
      <c r="C25" s="227" t="s">
        <v>81</v>
      </c>
      <c r="D25" s="227" t="s">
        <v>95</v>
      </c>
      <c r="E25" s="227" t="s">
        <v>53</v>
      </c>
      <c r="F25" s="227" t="s">
        <v>120</v>
      </c>
      <c r="G25" s="227" t="s">
        <v>84</v>
      </c>
      <c r="H25" s="231">
        <v>1</v>
      </c>
      <c r="I25" s="232">
        <v>1845</v>
      </c>
      <c r="J25" s="230">
        <v>46040</v>
      </c>
      <c r="K25" s="227" t="s">
        <v>93</v>
      </c>
      <c r="L25" s="227" t="s">
        <v>94</v>
      </c>
      <c r="M25" s="233">
        <v>0.43</v>
      </c>
      <c r="N25" s="231"/>
      <c r="O25" s="231"/>
      <c r="P25" s="234">
        <v>-25</v>
      </c>
    </row>
    <row r="26" spans="1:16" ht="19.5" customHeight="1">
      <c r="A26" s="227" t="s">
        <v>1089</v>
      </c>
      <c r="B26" s="230">
        <v>46048</v>
      </c>
      <c r="C26" s="227" t="s">
        <v>81</v>
      </c>
      <c r="D26" s="227" t="s">
        <v>82</v>
      </c>
      <c r="E26" s="227" t="s">
        <v>53</v>
      </c>
      <c r="F26" s="227" t="s">
        <v>120</v>
      </c>
      <c r="G26" s="227" t="s">
        <v>84</v>
      </c>
      <c r="H26" s="231">
        <v>1</v>
      </c>
      <c r="I26" s="232">
        <v>0</v>
      </c>
      <c r="J26" s="230">
        <v>46040</v>
      </c>
      <c r="K26" s="227" t="s">
        <v>85</v>
      </c>
      <c r="L26" s="227" t="s">
        <v>85</v>
      </c>
      <c r="M26" s="233">
        <v>0</v>
      </c>
      <c r="N26" s="231"/>
      <c r="O26" s="231"/>
      <c r="P26" s="234">
        <v>-13.82</v>
      </c>
    </row>
    <row r="27" spans="1:16" ht="19.5" customHeight="1">
      <c r="A27" s="227" t="s">
        <v>1090</v>
      </c>
      <c r="B27" s="230">
        <v>46048</v>
      </c>
      <c r="C27" s="227" t="s">
        <v>92</v>
      </c>
      <c r="D27" s="227" t="s">
        <v>24</v>
      </c>
      <c r="E27" s="227" t="s">
        <v>42</v>
      </c>
      <c r="F27" s="227" t="s">
        <v>89</v>
      </c>
      <c r="G27" s="227" t="s">
        <v>84</v>
      </c>
      <c r="H27" s="231">
        <v>1</v>
      </c>
      <c r="I27" s="232">
        <v>1750</v>
      </c>
      <c r="J27" s="230">
        <v>46046</v>
      </c>
      <c r="K27" s="227" t="s">
        <v>93</v>
      </c>
      <c r="L27" s="227" t="s">
        <v>94</v>
      </c>
      <c r="M27" s="233">
        <v>0.43</v>
      </c>
      <c r="N27" s="231"/>
      <c r="O27" s="231">
        <v>40</v>
      </c>
      <c r="P27" s="234">
        <v>-115.25</v>
      </c>
    </row>
    <row r="28" spans="1:16" ht="19.5" customHeight="1">
      <c r="A28" s="227" t="s">
        <v>1090</v>
      </c>
      <c r="B28" s="230">
        <v>46048</v>
      </c>
      <c r="C28" s="227" t="s">
        <v>100</v>
      </c>
      <c r="D28" s="227" t="s">
        <v>101</v>
      </c>
      <c r="E28" s="227" t="s">
        <v>42</v>
      </c>
      <c r="F28" s="227" t="s">
        <v>89</v>
      </c>
      <c r="G28" s="227" t="s">
        <v>84</v>
      </c>
      <c r="H28" s="231">
        <v>1</v>
      </c>
      <c r="I28" s="232">
        <v>1750</v>
      </c>
      <c r="J28" s="230">
        <v>46046</v>
      </c>
      <c r="K28" s="227" t="s">
        <v>93</v>
      </c>
      <c r="L28" s="227" t="s">
        <v>94</v>
      </c>
      <c r="M28" s="233">
        <v>0</v>
      </c>
      <c r="N28" s="231"/>
      <c r="O28" s="231"/>
      <c r="P28" s="234">
        <v>647.62</v>
      </c>
    </row>
    <row r="29" spans="1:16" ht="19.5" customHeight="1">
      <c r="A29" s="227" t="s">
        <v>1090</v>
      </c>
      <c r="B29" s="230">
        <v>46048</v>
      </c>
      <c r="C29" s="227" t="s">
        <v>100</v>
      </c>
      <c r="D29" s="227" t="s">
        <v>102</v>
      </c>
      <c r="E29" s="227" t="s">
        <v>42</v>
      </c>
      <c r="F29" s="227" t="s">
        <v>89</v>
      </c>
      <c r="G29" s="227" t="s">
        <v>84</v>
      </c>
      <c r="H29" s="231">
        <v>1</v>
      </c>
      <c r="I29" s="232">
        <v>1750</v>
      </c>
      <c r="J29" s="230">
        <v>46046</v>
      </c>
      <c r="K29" s="227" t="s">
        <v>93</v>
      </c>
      <c r="L29" s="227" t="s">
        <v>94</v>
      </c>
      <c r="M29" s="233">
        <v>0</v>
      </c>
      <c r="N29" s="231"/>
      <c r="O29" s="231"/>
      <c r="P29" s="234">
        <v>6.48</v>
      </c>
    </row>
    <row r="30" spans="1:16" ht="19.5" customHeight="1">
      <c r="A30" s="227" t="s">
        <v>1090</v>
      </c>
      <c r="B30" s="230">
        <v>46048</v>
      </c>
      <c r="C30" s="227" t="s">
        <v>100</v>
      </c>
      <c r="D30" s="227" t="s">
        <v>103</v>
      </c>
      <c r="E30" s="227" t="s">
        <v>42</v>
      </c>
      <c r="F30" s="227" t="s">
        <v>89</v>
      </c>
      <c r="G30" s="227" t="s">
        <v>84</v>
      </c>
      <c r="H30" s="231">
        <v>1</v>
      </c>
      <c r="I30" s="232">
        <v>1750</v>
      </c>
      <c r="J30" s="230">
        <v>46046</v>
      </c>
      <c r="K30" s="227" t="s">
        <v>93</v>
      </c>
      <c r="L30" s="227" t="s">
        <v>94</v>
      </c>
      <c r="M30" s="233">
        <v>0</v>
      </c>
      <c r="N30" s="231"/>
      <c r="O30" s="231"/>
      <c r="P30" s="234">
        <v>1095.9000000000001</v>
      </c>
    </row>
    <row r="31" spans="1:16" ht="19.5" customHeight="1">
      <c r="A31" s="227" t="s">
        <v>1090</v>
      </c>
      <c r="B31" s="230">
        <v>46048</v>
      </c>
      <c r="C31" s="227" t="s">
        <v>104</v>
      </c>
      <c r="D31" s="227" t="s">
        <v>105</v>
      </c>
      <c r="E31" s="227" t="s">
        <v>42</v>
      </c>
      <c r="F31" s="227" t="s">
        <v>89</v>
      </c>
      <c r="G31" s="227" t="s">
        <v>84</v>
      </c>
      <c r="H31" s="231">
        <v>1</v>
      </c>
      <c r="I31" s="232">
        <v>1750</v>
      </c>
      <c r="J31" s="230">
        <v>46046</v>
      </c>
      <c r="K31" s="227" t="s">
        <v>93</v>
      </c>
      <c r="L31" s="227" t="s">
        <v>94</v>
      </c>
      <c r="M31" s="233">
        <v>0.43</v>
      </c>
      <c r="N31" s="231"/>
      <c r="O31" s="231"/>
      <c r="P31" s="234">
        <v>-752.5</v>
      </c>
    </row>
    <row r="32" spans="1:16" ht="19.5" customHeight="1">
      <c r="A32" s="227" t="s">
        <v>1090</v>
      </c>
      <c r="B32" s="230">
        <v>46048</v>
      </c>
      <c r="C32" s="227" t="s">
        <v>81</v>
      </c>
      <c r="D32" s="227" t="s">
        <v>95</v>
      </c>
      <c r="E32" s="227" t="s">
        <v>42</v>
      </c>
      <c r="F32" s="227" t="s">
        <v>89</v>
      </c>
      <c r="G32" s="227" t="s">
        <v>84</v>
      </c>
      <c r="H32" s="231">
        <v>1</v>
      </c>
      <c r="I32" s="232">
        <v>1750</v>
      </c>
      <c r="J32" s="230">
        <v>46046</v>
      </c>
      <c r="K32" s="227" t="s">
        <v>93</v>
      </c>
      <c r="L32" s="227" t="s">
        <v>94</v>
      </c>
      <c r="M32" s="233">
        <v>0.43</v>
      </c>
      <c r="N32" s="231"/>
      <c r="O32" s="231"/>
      <c r="P32" s="234">
        <v>-13.63</v>
      </c>
    </row>
    <row r="33" spans="1:16" ht="19.5" customHeight="1">
      <c r="A33" s="227" t="s">
        <v>1090</v>
      </c>
      <c r="B33" s="230">
        <v>46048</v>
      </c>
      <c r="C33" s="227" t="s">
        <v>81</v>
      </c>
      <c r="D33" s="227" t="s">
        <v>82</v>
      </c>
      <c r="E33" s="227" t="s">
        <v>42</v>
      </c>
      <c r="F33" s="227" t="s">
        <v>89</v>
      </c>
      <c r="G33" s="227" t="s">
        <v>84</v>
      </c>
      <c r="H33" s="231">
        <v>1</v>
      </c>
      <c r="I33" s="232">
        <v>0</v>
      </c>
      <c r="J33" s="230">
        <v>46046</v>
      </c>
      <c r="K33" s="227" t="s">
        <v>85</v>
      </c>
      <c r="L33" s="227" t="s">
        <v>85</v>
      </c>
      <c r="M33" s="233">
        <v>0</v>
      </c>
      <c r="N33" s="231"/>
      <c r="O33" s="231"/>
      <c r="P33" s="234">
        <v>-12.3</v>
      </c>
    </row>
    <row r="34" spans="1:16" ht="19.5" customHeight="1">
      <c r="A34" s="227" t="s">
        <v>1091</v>
      </c>
      <c r="B34" s="230">
        <v>46048</v>
      </c>
      <c r="C34" s="227" t="s">
        <v>92</v>
      </c>
      <c r="D34" s="227" t="s">
        <v>24</v>
      </c>
      <c r="E34" s="227" t="s">
        <v>53</v>
      </c>
      <c r="F34" s="227" t="s">
        <v>120</v>
      </c>
      <c r="G34" s="227" t="s">
        <v>84</v>
      </c>
      <c r="H34" s="231">
        <v>1</v>
      </c>
      <c r="I34" s="232">
        <v>1812</v>
      </c>
      <c r="J34" s="230">
        <v>46045</v>
      </c>
      <c r="K34" s="227" t="s">
        <v>93</v>
      </c>
      <c r="L34" s="227" t="s">
        <v>94</v>
      </c>
      <c r="M34" s="233">
        <v>0.43</v>
      </c>
      <c r="N34" s="231"/>
      <c r="O34" s="231">
        <v>40</v>
      </c>
      <c r="P34" s="234">
        <v>-130.77000000000001</v>
      </c>
    </row>
    <row r="35" spans="1:16" ht="19.5" customHeight="1">
      <c r="A35" s="227" t="s">
        <v>1091</v>
      </c>
      <c r="B35" s="230">
        <v>46048</v>
      </c>
      <c r="C35" s="227" t="s">
        <v>100</v>
      </c>
      <c r="D35" s="227" t="s">
        <v>101</v>
      </c>
      <c r="E35" s="227" t="s">
        <v>53</v>
      </c>
      <c r="F35" s="227" t="s">
        <v>120</v>
      </c>
      <c r="G35" s="227" t="s">
        <v>84</v>
      </c>
      <c r="H35" s="231">
        <v>1</v>
      </c>
      <c r="I35" s="232">
        <v>1812</v>
      </c>
      <c r="J35" s="230">
        <v>46045</v>
      </c>
      <c r="K35" s="227" t="s">
        <v>93</v>
      </c>
      <c r="L35" s="227" t="s">
        <v>94</v>
      </c>
      <c r="M35" s="233">
        <v>0</v>
      </c>
      <c r="N35" s="231"/>
      <c r="O35" s="231"/>
      <c r="P35" s="234">
        <v>631.42999999999995</v>
      </c>
    </row>
    <row r="36" spans="1:16" ht="19.5" customHeight="1">
      <c r="A36" s="227" t="s">
        <v>1091</v>
      </c>
      <c r="B36" s="230">
        <v>46048</v>
      </c>
      <c r="C36" s="227" t="s">
        <v>100</v>
      </c>
      <c r="D36" s="227" t="s">
        <v>102</v>
      </c>
      <c r="E36" s="227" t="s">
        <v>53</v>
      </c>
      <c r="F36" s="227" t="s">
        <v>120</v>
      </c>
      <c r="G36" s="227" t="s">
        <v>84</v>
      </c>
      <c r="H36" s="231">
        <v>1</v>
      </c>
      <c r="I36" s="232">
        <v>1812</v>
      </c>
      <c r="J36" s="230">
        <v>46045</v>
      </c>
      <c r="K36" s="227" t="s">
        <v>93</v>
      </c>
      <c r="L36" s="227" t="s">
        <v>94</v>
      </c>
      <c r="M36" s="233">
        <v>0</v>
      </c>
      <c r="N36" s="231"/>
      <c r="O36" s="231"/>
      <c r="P36" s="234">
        <v>6.31</v>
      </c>
    </row>
    <row r="37" spans="1:16" ht="19.5" customHeight="1">
      <c r="A37" s="227" t="s">
        <v>1091</v>
      </c>
      <c r="B37" s="230">
        <v>46048</v>
      </c>
      <c r="C37" s="227" t="s">
        <v>100</v>
      </c>
      <c r="D37" s="227" t="s">
        <v>103</v>
      </c>
      <c r="E37" s="227" t="s">
        <v>53</v>
      </c>
      <c r="F37" s="227" t="s">
        <v>120</v>
      </c>
      <c r="G37" s="227" t="s">
        <v>84</v>
      </c>
      <c r="H37" s="231">
        <v>1</v>
      </c>
      <c r="I37" s="232">
        <v>1812</v>
      </c>
      <c r="J37" s="230">
        <v>46045</v>
      </c>
      <c r="K37" s="227" t="s">
        <v>93</v>
      </c>
      <c r="L37" s="227" t="s">
        <v>94</v>
      </c>
      <c r="M37" s="233">
        <v>0</v>
      </c>
      <c r="N37" s="231"/>
      <c r="O37" s="231"/>
      <c r="P37" s="234">
        <v>1174.26</v>
      </c>
    </row>
    <row r="38" spans="1:16" ht="19.5" customHeight="1">
      <c r="A38" s="227" t="s">
        <v>1091</v>
      </c>
      <c r="B38" s="230">
        <v>46048</v>
      </c>
      <c r="C38" s="227" t="s">
        <v>104</v>
      </c>
      <c r="D38" s="227" t="s">
        <v>105</v>
      </c>
      <c r="E38" s="227" t="s">
        <v>53</v>
      </c>
      <c r="F38" s="227" t="s">
        <v>120</v>
      </c>
      <c r="G38" s="227" t="s">
        <v>84</v>
      </c>
      <c r="H38" s="231">
        <v>1</v>
      </c>
      <c r="I38" s="232">
        <v>1812</v>
      </c>
      <c r="J38" s="230">
        <v>46045</v>
      </c>
      <c r="K38" s="227" t="s">
        <v>93</v>
      </c>
      <c r="L38" s="227" t="s">
        <v>94</v>
      </c>
      <c r="M38" s="233">
        <v>0.43</v>
      </c>
      <c r="N38" s="231"/>
      <c r="O38" s="231"/>
      <c r="P38" s="234">
        <v>-779.16</v>
      </c>
    </row>
    <row r="39" spans="1:16" ht="19.5" customHeight="1">
      <c r="A39" s="227" t="s">
        <v>1091</v>
      </c>
      <c r="B39" s="230">
        <v>46048</v>
      </c>
      <c r="C39" s="227" t="s">
        <v>81</v>
      </c>
      <c r="D39" s="227" t="s">
        <v>95</v>
      </c>
      <c r="E39" s="227" t="s">
        <v>53</v>
      </c>
      <c r="F39" s="227" t="s">
        <v>120</v>
      </c>
      <c r="G39" s="227" t="s">
        <v>84</v>
      </c>
      <c r="H39" s="231">
        <v>1</v>
      </c>
      <c r="I39" s="232">
        <v>1812</v>
      </c>
      <c r="J39" s="230">
        <v>46045</v>
      </c>
      <c r="K39" s="227" t="s">
        <v>93</v>
      </c>
      <c r="L39" s="227" t="s">
        <v>94</v>
      </c>
      <c r="M39" s="233">
        <v>0.43</v>
      </c>
      <c r="N39" s="231"/>
      <c r="O39" s="231"/>
      <c r="P39" s="234">
        <v>-9.07</v>
      </c>
    </row>
    <row r="40" spans="1:16" ht="19.5" customHeight="1">
      <c r="A40" s="227" t="s">
        <v>1092</v>
      </c>
      <c r="B40" s="230">
        <v>46048</v>
      </c>
      <c r="C40" s="227" t="s">
        <v>92</v>
      </c>
      <c r="D40" s="227" t="s">
        <v>24</v>
      </c>
      <c r="E40" s="227" t="s">
        <v>53</v>
      </c>
      <c r="F40" s="227" t="s">
        <v>120</v>
      </c>
      <c r="G40" s="227" t="s">
        <v>84</v>
      </c>
      <c r="H40" s="231">
        <v>1</v>
      </c>
      <c r="I40" s="232">
        <v>0</v>
      </c>
      <c r="J40" s="230">
        <v>46028</v>
      </c>
      <c r="K40" s="227" t="s">
        <v>93</v>
      </c>
      <c r="L40" s="227" t="s">
        <v>94</v>
      </c>
      <c r="M40" s="233">
        <v>0</v>
      </c>
      <c r="N40" s="231"/>
      <c r="O40" s="231">
        <v>44</v>
      </c>
      <c r="P40" s="234">
        <v>-56</v>
      </c>
    </row>
    <row r="41" spans="1:16" ht="19.5" customHeight="1">
      <c r="A41" s="227" t="s">
        <v>1092</v>
      </c>
      <c r="B41" s="230">
        <v>46048</v>
      </c>
      <c r="C41" s="227" t="s">
        <v>81</v>
      </c>
      <c r="D41" s="227" t="s">
        <v>95</v>
      </c>
      <c r="E41" s="227" t="s">
        <v>53</v>
      </c>
      <c r="F41" s="227" t="s">
        <v>120</v>
      </c>
      <c r="G41" s="227" t="s">
        <v>84</v>
      </c>
      <c r="H41" s="231">
        <v>1</v>
      </c>
      <c r="I41" s="232">
        <v>0</v>
      </c>
      <c r="J41" s="230">
        <v>46028</v>
      </c>
      <c r="K41" s="227" t="s">
        <v>93</v>
      </c>
      <c r="L41" s="227" t="s">
        <v>94</v>
      </c>
      <c r="M41" s="233">
        <v>0</v>
      </c>
      <c r="N41" s="231"/>
      <c r="O41" s="231"/>
      <c r="P41" s="234">
        <v>-18.190000000000001</v>
      </c>
    </row>
    <row r="42" spans="1:16" ht="19.5" customHeight="1">
      <c r="A42" s="227" t="s">
        <v>1092</v>
      </c>
      <c r="B42" s="230">
        <v>46048</v>
      </c>
      <c r="C42" s="227" t="s">
        <v>92</v>
      </c>
      <c r="D42" s="227" t="s">
        <v>96</v>
      </c>
      <c r="E42" s="227" t="s">
        <v>53</v>
      </c>
      <c r="F42" s="227" t="s">
        <v>120</v>
      </c>
      <c r="G42" s="227" t="s">
        <v>84</v>
      </c>
      <c r="H42" s="231">
        <v>1</v>
      </c>
      <c r="I42" s="232">
        <v>0</v>
      </c>
      <c r="J42" s="230">
        <v>46028</v>
      </c>
      <c r="K42" s="227" t="s">
        <v>93</v>
      </c>
      <c r="L42" s="227" t="s">
        <v>94</v>
      </c>
      <c r="M42" s="233">
        <v>0</v>
      </c>
      <c r="N42" s="231"/>
      <c r="O42" s="231"/>
      <c r="P42" s="234">
        <v>0</v>
      </c>
    </row>
    <row r="43" spans="1:16" ht="19.5" customHeight="1">
      <c r="A43" s="227" t="s">
        <v>1092</v>
      </c>
      <c r="B43" s="230">
        <v>46048</v>
      </c>
      <c r="C43" s="227" t="s">
        <v>92</v>
      </c>
      <c r="D43" s="227" t="s">
        <v>97</v>
      </c>
      <c r="E43" s="227" t="s">
        <v>53</v>
      </c>
      <c r="F43" s="227" t="s">
        <v>120</v>
      </c>
      <c r="G43" s="227" t="s">
        <v>84</v>
      </c>
      <c r="H43" s="231">
        <v>1</v>
      </c>
      <c r="I43" s="232">
        <v>0</v>
      </c>
      <c r="J43" s="230">
        <v>46028</v>
      </c>
      <c r="K43" s="227" t="s">
        <v>93</v>
      </c>
      <c r="L43" s="227" t="s">
        <v>94</v>
      </c>
      <c r="M43" s="233">
        <v>0</v>
      </c>
      <c r="N43" s="231"/>
      <c r="O43" s="231"/>
      <c r="P43" s="234">
        <v>-56</v>
      </c>
    </row>
    <row r="44" spans="1:16" ht="19.5" customHeight="1">
      <c r="A44" s="227" t="s">
        <v>1091</v>
      </c>
      <c r="B44" s="230">
        <v>46048</v>
      </c>
      <c r="C44" s="227" t="s">
        <v>81</v>
      </c>
      <c r="D44" s="227" t="s">
        <v>82</v>
      </c>
      <c r="E44" s="227" t="s">
        <v>53</v>
      </c>
      <c r="F44" s="227" t="s">
        <v>120</v>
      </c>
      <c r="G44" s="227" t="s">
        <v>84</v>
      </c>
      <c r="H44" s="231">
        <v>1</v>
      </c>
      <c r="I44" s="232">
        <v>0</v>
      </c>
      <c r="J44" s="230">
        <v>46045</v>
      </c>
      <c r="K44" s="227" t="s">
        <v>85</v>
      </c>
      <c r="L44" s="227" t="s">
        <v>85</v>
      </c>
      <c r="M44" s="233">
        <v>0</v>
      </c>
      <c r="N44" s="231"/>
      <c r="O44" s="231"/>
      <c r="P44" s="234">
        <v>-12</v>
      </c>
    </row>
    <row r="45" spans="1:16" ht="19.5" customHeight="1">
      <c r="A45" s="227" t="s">
        <v>1093</v>
      </c>
      <c r="B45" s="230">
        <v>46048</v>
      </c>
      <c r="C45" s="227" t="s">
        <v>81</v>
      </c>
      <c r="D45" s="227" t="s">
        <v>82</v>
      </c>
      <c r="E45" s="227" t="s">
        <v>52</v>
      </c>
      <c r="F45" s="227" t="s">
        <v>90</v>
      </c>
      <c r="G45" s="227" t="s">
        <v>84</v>
      </c>
      <c r="H45" s="231">
        <v>1</v>
      </c>
      <c r="I45" s="232">
        <v>0</v>
      </c>
      <c r="J45" s="230">
        <v>46048</v>
      </c>
      <c r="K45" s="227" t="s">
        <v>85</v>
      </c>
      <c r="L45" s="227" t="s">
        <v>85</v>
      </c>
      <c r="M45" s="233">
        <v>0</v>
      </c>
      <c r="N45" s="231"/>
      <c r="O45" s="231"/>
      <c r="P45" s="234">
        <v>-2.97</v>
      </c>
    </row>
    <row r="46" spans="1:16" ht="19.5" customHeight="1">
      <c r="A46" s="227" t="s">
        <v>1094</v>
      </c>
      <c r="B46" s="230">
        <v>46048</v>
      </c>
      <c r="C46" s="227" t="s">
        <v>81</v>
      </c>
      <c r="D46" s="227" t="s">
        <v>82</v>
      </c>
      <c r="E46" s="227" t="s">
        <v>53</v>
      </c>
      <c r="F46" s="227" t="s">
        <v>120</v>
      </c>
      <c r="G46" s="227" t="s">
        <v>84</v>
      </c>
      <c r="H46" s="231">
        <v>1</v>
      </c>
      <c r="I46" s="232">
        <v>0</v>
      </c>
      <c r="J46" s="230">
        <v>46048</v>
      </c>
      <c r="K46" s="227" t="s">
        <v>85</v>
      </c>
      <c r="L46" s="227" t="s">
        <v>85</v>
      </c>
      <c r="M46" s="233">
        <v>0</v>
      </c>
      <c r="N46" s="231"/>
      <c r="O46" s="231"/>
      <c r="P46" s="234">
        <v>-12.7</v>
      </c>
    </row>
    <row r="47" spans="1:16" ht="19.5" customHeight="1">
      <c r="A47" s="227" t="s">
        <v>1095</v>
      </c>
      <c r="B47" s="230">
        <v>46048</v>
      </c>
      <c r="C47" s="227" t="s">
        <v>92</v>
      </c>
      <c r="D47" s="227" t="s">
        <v>24</v>
      </c>
      <c r="E47" s="227" t="s">
        <v>43</v>
      </c>
      <c r="F47" s="227" t="s">
        <v>125</v>
      </c>
      <c r="G47" s="227" t="s">
        <v>84</v>
      </c>
      <c r="H47" s="231">
        <v>1</v>
      </c>
      <c r="I47" s="232">
        <v>1750</v>
      </c>
      <c r="J47" s="230">
        <v>46047</v>
      </c>
      <c r="K47" s="227" t="s">
        <v>93</v>
      </c>
      <c r="L47" s="227" t="s">
        <v>94</v>
      </c>
      <c r="M47" s="233">
        <v>0.43</v>
      </c>
      <c r="N47" s="231"/>
      <c r="O47" s="231">
        <v>41</v>
      </c>
      <c r="P47" s="234">
        <v>-119.28</v>
      </c>
    </row>
    <row r="48" spans="1:16" ht="19.5" customHeight="1">
      <c r="A48" s="227" t="s">
        <v>1095</v>
      </c>
      <c r="B48" s="230">
        <v>46048</v>
      </c>
      <c r="C48" s="227" t="s">
        <v>100</v>
      </c>
      <c r="D48" s="227" t="s">
        <v>101</v>
      </c>
      <c r="E48" s="227" t="s">
        <v>43</v>
      </c>
      <c r="F48" s="227" t="s">
        <v>125</v>
      </c>
      <c r="G48" s="227" t="s">
        <v>84</v>
      </c>
      <c r="H48" s="231">
        <v>1</v>
      </c>
      <c r="I48" s="232">
        <v>1750</v>
      </c>
      <c r="J48" s="230">
        <v>46047</v>
      </c>
      <c r="K48" s="227" t="s">
        <v>93</v>
      </c>
      <c r="L48" s="227" t="s">
        <v>94</v>
      </c>
      <c r="M48" s="233">
        <v>0</v>
      </c>
      <c r="N48" s="231"/>
      <c r="O48" s="231"/>
      <c r="P48" s="234">
        <v>657.14</v>
      </c>
    </row>
    <row r="49" spans="1:16" ht="19.5" customHeight="1">
      <c r="A49" s="227" t="s">
        <v>1095</v>
      </c>
      <c r="B49" s="230">
        <v>46048</v>
      </c>
      <c r="C49" s="227" t="s">
        <v>100</v>
      </c>
      <c r="D49" s="227" t="s">
        <v>102</v>
      </c>
      <c r="E49" s="227" t="s">
        <v>43</v>
      </c>
      <c r="F49" s="227" t="s">
        <v>125</v>
      </c>
      <c r="G49" s="227" t="s">
        <v>84</v>
      </c>
      <c r="H49" s="231">
        <v>1</v>
      </c>
      <c r="I49" s="232">
        <v>1750</v>
      </c>
      <c r="J49" s="230">
        <v>46047</v>
      </c>
      <c r="K49" s="227" t="s">
        <v>93</v>
      </c>
      <c r="L49" s="227" t="s">
        <v>94</v>
      </c>
      <c r="M49" s="233">
        <v>0</v>
      </c>
      <c r="N49" s="231"/>
      <c r="O49" s="231"/>
      <c r="P49" s="234">
        <v>6.57</v>
      </c>
    </row>
    <row r="50" spans="1:16" ht="19.5" customHeight="1">
      <c r="A50" s="227" t="s">
        <v>1095</v>
      </c>
      <c r="B50" s="230">
        <v>46048</v>
      </c>
      <c r="C50" s="227" t="s">
        <v>100</v>
      </c>
      <c r="D50" s="227" t="s">
        <v>103</v>
      </c>
      <c r="E50" s="227" t="s">
        <v>43</v>
      </c>
      <c r="F50" s="227" t="s">
        <v>125</v>
      </c>
      <c r="G50" s="227" t="s">
        <v>84</v>
      </c>
      <c r="H50" s="231">
        <v>1</v>
      </c>
      <c r="I50" s="232">
        <v>1750</v>
      </c>
      <c r="J50" s="230">
        <v>46047</v>
      </c>
      <c r="K50" s="227" t="s">
        <v>93</v>
      </c>
      <c r="L50" s="227" t="s">
        <v>94</v>
      </c>
      <c r="M50" s="233">
        <v>0</v>
      </c>
      <c r="N50" s="231"/>
      <c r="O50" s="231"/>
      <c r="P50" s="234">
        <v>1086.29</v>
      </c>
    </row>
    <row r="51" spans="1:16" ht="19.5" customHeight="1">
      <c r="A51" s="227" t="s">
        <v>1095</v>
      </c>
      <c r="B51" s="230">
        <v>46048</v>
      </c>
      <c r="C51" s="227" t="s">
        <v>104</v>
      </c>
      <c r="D51" s="227" t="s">
        <v>105</v>
      </c>
      <c r="E51" s="227" t="s">
        <v>43</v>
      </c>
      <c r="F51" s="227" t="s">
        <v>125</v>
      </c>
      <c r="G51" s="227" t="s">
        <v>84</v>
      </c>
      <c r="H51" s="231">
        <v>1</v>
      </c>
      <c r="I51" s="232">
        <v>1750</v>
      </c>
      <c r="J51" s="230">
        <v>46047</v>
      </c>
      <c r="K51" s="227" t="s">
        <v>93</v>
      </c>
      <c r="L51" s="227" t="s">
        <v>94</v>
      </c>
      <c r="M51" s="233">
        <v>0.43</v>
      </c>
      <c r="N51" s="231"/>
      <c r="O51" s="231"/>
      <c r="P51" s="234">
        <v>-752.5</v>
      </c>
    </row>
    <row r="52" spans="1:16" ht="19.5" customHeight="1">
      <c r="A52" s="227" t="s">
        <v>1095</v>
      </c>
      <c r="B52" s="230">
        <v>46048</v>
      </c>
      <c r="C52" s="227" t="s">
        <v>81</v>
      </c>
      <c r="D52" s="227" t="s">
        <v>95</v>
      </c>
      <c r="E52" s="227" t="s">
        <v>43</v>
      </c>
      <c r="F52" s="227" t="s">
        <v>125</v>
      </c>
      <c r="G52" s="227" t="s">
        <v>84</v>
      </c>
      <c r="H52" s="231">
        <v>1</v>
      </c>
      <c r="I52" s="232">
        <v>1750</v>
      </c>
      <c r="J52" s="230">
        <v>46047</v>
      </c>
      <c r="K52" s="227" t="s">
        <v>93</v>
      </c>
      <c r="L52" s="227" t="s">
        <v>94</v>
      </c>
      <c r="M52" s="233">
        <v>0.43</v>
      </c>
      <c r="N52" s="231"/>
      <c r="O52" s="231"/>
      <c r="P52" s="234">
        <v>-12.32</v>
      </c>
    </row>
    <row r="53" spans="1:16" ht="19.5" customHeight="1">
      <c r="A53" s="227" t="s">
        <v>1096</v>
      </c>
      <c r="B53" s="230">
        <v>46048</v>
      </c>
      <c r="C53" s="227" t="s">
        <v>81</v>
      </c>
      <c r="D53" s="227" t="s">
        <v>82</v>
      </c>
      <c r="E53" s="227" t="s">
        <v>52</v>
      </c>
      <c r="F53" s="227" t="s">
        <v>90</v>
      </c>
      <c r="G53" s="227" t="s">
        <v>84</v>
      </c>
      <c r="H53" s="231">
        <v>1</v>
      </c>
      <c r="I53" s="232">
        <v>0</v>
      </c>
      <c r="J53" s="230">
        <v>46048</v>
      </c>
      <c r="K53" s="227" t="s">
        <v>85</v>
      </c>
      <c r="L53" s="227" t="s">
        <v>85</v>
      </c>
      <c r="M53" s="233">
        <v>0</v>
      </c>
      <c r="N53" s="231"/>
      <c r="O53" s="231"/>
      <c r="P53" s="234">
        <v>-12.16</v>
      </c>
    </row>
    <row r="54" spans="1:16" ht="19.5" customHeight="1">
      <c r="A54" s="227" t="s">
        <v>1097</v>
      </c>
      <c r="B54" s="230">
        <v>46048</v>
      </c>
      <c r="C54" s="227" t="s">
        <v>92</v>
      </c>
      <c r="D54" s="227" t="s">
        <v>24</v>
      </c>
      <c r="E54" s="227" t="s">
        <v>52</v>
      </c>
      <c r="F54" s="227" t="s">
        <v>90</v>
      </c>
      <c r="G54" s="227" t="s">
        <v>84</v>
      </c>
      <c r="H54" s="231">
        <v>1</v>
      </c>
      <c r="I54" s="232">
        <v>1885</v>
      </c>
      <c r="J54" s="230">
        <v>46040</v>
      </c>
      <c r="K54" s="227" t="s">
        <v>93</v>
      </c>
      <c r="L54" s="227" t="s">
        <v>94</v>
      </c>
      <c r="M54" s="233">
        <v>0.43</v>
      </c>
      <c r="N54" s="231"/>
      <c r="O54" s="231">
        <v>45</v>
      </c>
      <c r="P54" s="234">
        <v>-155.16999999999999</v>
      </c>
    </row>
    <row r="55" spans="1:16" ht="19.5" customHeight="1">
      <c r="A55" s="227" t="s">
        <v>1097</v>
      </c>
      <c r="B55" s="230">
        <v>46048</v>
      </c>
      <c r="C55" s="227" t="s">
        <v>100</v>
      </c>
      <c r="D55" s="227" t="s">
        <v>101</v>
      </c>
      <c r="E55" s="227" t="s">
        <v>52</v>
      </c>
      <c r="F55" s="227" t="s">
        <v>90</v>
      </c>
      <c r="G55" s="227" t="s">
        <v>84</v>
      </c>
      <c r="H55" s="231">
        <v>1</v>
      </c>
      <c r="I55" s="232">
        <v>1885</v>
      </c>
      <c r="J55" s="230">
        <v>46040</v>
      </c>
      <c r="K55" s="227" t="s">
        <v>93</v>
      </c>
      <c r="L55" s="227" t="s">
        <v>94</v>
      </c>
      <c r="M55" s="233">
        <v>0</v>
      </c>
      <c r="N55" s="231"/>
      <c r="O55" s="231"/>
      <c r="P55" s="234">
        <v>784.02</v>
      </c>
    </row>
    <row r="56" spans="1:16" ht="19.5" customHeight="1">
      <c r="A56" s="227" t="s">
        <v>1097</v>
      </c>
      <c r="B56" s="230">
        <v>46048</v>
      </c>
      <c r="C56" s="227" t="s">
        <v>100</v>
      </c>
      <c r="D56" s="227" t="s">
        <v>102</v>
      </c>
      <c r="E56" s="227" t="s">
        <v>52</v>
      </c>
      <c r="F56" s="227" t="s">
        <v>90</v>
      </c>
      <c r="G56" s="227" t="s">
        <v>84</v>
      </c>
      <c r="H56" s="231">
        <v>1</v>
      </c>
      <c r="I56" s="232">
        <v>1885</v>
      </c>
      <c r="J56" s="230">
        <v>46040</v>
      </c>
      <c r="K56" s="227" t="s">
        <v>93</v>
      </c>
      <c r="L56" s="227" t="s">
        <v>94</v>
      </c>
      <c r="M56" s="233">
        <v>0</v>
      </c>
      <c r="N56" s="231"/>
      <c r="O56" s="231"/>
      <c r="P56" s="234">
        <v>7.84</v>
      </c>
    </row>
    <row r="57" spans="1:16" ht="19.5" customHeight="1">
      <c r="A57" s="227" t="s">
        <v>1097</v>
      </c>
      <c r="B57" s="230">
        <v>46048</v>
      </c>
      <c r="C57" s="227" t="s">
        <v>100</v>
      </c>
      <c r="D57" s="227" t="s">
        <v>103</v>
      </c>
      <c r="E57" s="227" t="s">
        <v>52</v>
      </c>
      <c r="F57" s="227" t="s">
        <v>90</v>
      </c>
      <c r="G57" s="227" t="s">
        <v>84</v>
      </c>
      <c r="H57" s="231">
        <v>1</v>
      </c>
      <c r="I57" s="232">
        <v>1885</v>
      </c>
      <c r="J57" s="230">
        <v>46040</v>
      </c>
      <c r="K57" s="227" t="s">
        <v>93</v>
      </c>
      <c r="L57" s="227" t="s">
        <v>94</v>
      </c>
      <c r="M57" s="233">
        <v>0</v>
      </c>
      <c r="N57" s="231"/>
      <c r="O57" s="231"/>
      <c r="P57" s="234">
        <v>1093.1400000000001</v>
      </c>
    </row>
    <row r="58" spans="1:16" ht="19.5" customHeight="1">
      <c r="A58" s="227" t="s">
        <v>1097</v>
      </c>
      <c r="B58" s="230">
        <v>46048</v>
      </c>
      <c r="C58" s="227" t="s">
        <v>104</v>
      </c>
      <c r="D58" s="227" t="s">
        <v>105</v>
      </c>
      <c r="E58" s="227" t="s">
        <v>52</v>
      </c>
      <c r="F58" s="227" t="s">
        <v>90</v>
      </c>
      <c r="G58" s="227" t="s">
        <v>84</v>
      </c>
      <c r="H58" s="231">
        <v>1</v>
      </c>
      <c r="I58" s="232">
        <v>1885</v>
      </c>
      <c r="J58" s="230">
        <v>46040</v>
      </c>
      <c r="K58" s="227" t="s">
        <v>93</v>
      </c>
      <c r="L58" s="227" t="s">
        <v>94</v>
      </c>
      <c r="M58" s="233">
        <v>0.43</v>
      </c>
      <c r="N58" s="231"/>
      <c r="O58" s="231"/>
      <c r="P58" s="234">
        <v>-810.55</v>
      </c>
    </row>
    <row r="59" spans="1:16" ht="19.5" customHeight="1">
      <c r="A59" s="227" t="s">
        <v>1097</v>
      </c>
      <c r="B59" s="230">
        <v>46048</v>
      </c>
      <c r="C59" s="227" t="s">
        <v>81</v>
      </c>
      <c r="D59" s="227" t="s">
        <v>95</v>
      </c>
      <c r="E59" s="227" t="s">
        <v>52</v>
      </c>
      <c r="F59" s="227" t="s">
        <v>90</v>
      </c>
      <c r="G59" s="227" t="s">
        <v>84</v>
      </c>
      <c r="H59" s="231">
        <v>1</v>
      </c>
      <c r="I59" s="232">
        <v>1885</v>
      </c>
      <c r="J59" s="230">
        <v>46040</v>
      </c>
      <c r="K59" s="227" t="s">
        <v>93</v>
      </c>
      <c r="L59" s="227" t="s">
        <v>94</v>
      </c>
      <c r="M59" s="233">
        <v>0.43</v>
      </c>
      <c r="N59" s="231"/>
      <c r="O59" s="231"/>
      <c r="P59" s="234">
        <v>-0.98</v>
      </c>
    </row>
    <row r="60" spans="1:16" ht="19.5" customHeight="1">
      <c r="A60" s="227" t="s">
        <v>277</v>
      </c>
      <c r="B60" s="230">
        <v>46048</v>
      </c>
      <c r="C60" s="227" t="s">
        <v>128</v>
      </c>
      <c r="D60" s="227" t="s">
        <v>926</v>
      </c>
      <c r="E60" s="227" t="s">
        <v>53</v>
      </c>
      <c r="F60" s="227" t="s">
        <v>120</v>
      </c>
      <c r="G60" s="227" t="s">
        <v>84</v>
      </c>
      <c r="H60" s="231">
        <v>1</v>
      </c>
      <c r="I60" s="232">
        <v>0</v>
      </c>
      <c r="J60" s="230">
        <v>46048</v>
      </c>
      <c r="K60" s="227" t="s">
        <v>85</v>
      </c>
      <c r="L60" s="227" t="s">
        <v>85</v>
      </c>
      <c r="M60" s="233">
        <v>0</v>
      </c>
      <c r="N60" s="231"/>
      <c r="O60" s="231"/>
      <c r="P60" s="234">
        <v>-75</v>
      </c>
    </row>
    <row r="61" spans="1:16" ht="19.5" customHeight="1">
      <c r="A61" s="227" t="s">
        <v>275</v>
      </c>
      <c r="B61" s="230">
        <v>46048</v>
      </c>
      <c r="C61" s="227" t="s">
        <v>128</v>
      </c>
      <c r="D61" s="227" t="s">
        <v>926</v>
      </c>
      <c r="E61" s="227" t="s">
        <v>41</v>
      </c>
      <c r="F61" s="227" t="s">
        <v>83</v>
      </c>
      <c r="G61" s="227" t="s">
        <v>84</v>
      </c>
      <c r="H61" s="231">
        <v>1</v>
      </c>
      <c r="I61" s="232">
        <v>0</v>
      </c>
      <c r="J61" s="230">
        <v>46048</v>
      </c>
      <c r="K61" s="227" t="s">
        <v>85</v>
      </c>
      <c r="L61" s="227" t="s">
        <v>85</v>
      </c>
      <c r="M61" s="233">
        <v>0</v>
      </c>
      <c r="N61" s="231"/>
      <c r="O61" s="231"/>
      <c r="P61" s="234">
        <v>-75</v>
      </c>
    </row>
    <row r="62" spans="1:16" ht="19.5" customHeight="1">
      <c r="A62" s="227" t="s">
        <v>1098</v>
      </c>
      <c r="B62" s="230">
        <v>46048</v>
      </c>
      <c r="C62" s="227" t="s">
        <v>81</v>
      </c>
      <c r="D62" s="227" t="s">
        <v>82</v>
      </c>
      <c r="E62" s="227" t="s">
        <v>52</v>
      </c>
      <c r="F62" s="227" t="s">
        <v>90</v>
      </c>
      <c r="G62" s="227" t="s">
        <v>84</v>
      </c>
      <c r="H62" s="231">
        <v>1</v>
      </c>
      <c r="I62" s="232">
        <v>0</v>
      </c>
      <c r="J62" s="230">
        <v>46048</v>
      </c>
      <c r="K62" s="227" t="s">
        <v>85</v>
      </c>
      <c r="L62" s="227" t="s">
        <v>85</v>
      </c>
      <c r="M62" s="233">
        <v>0</v>
      </c>
      <c r="N62" s="231"/>
      <c r="O62" s="231"/>
      <c r="P62" s="234">
        <v>-11.91</v>
      </c>
    </row>
    <row r="63" spans="1:16" ht="19.5" customHeight="1">
      <c r="A63" s="227" t="s">
        <v>1097</v>
      </c>
      <c r="B63" s="230">
        <v>46048</v>
      </c>
      <c r="C63" s="227" t="s">
        <v>81</v>
      </c>
      <c r="D63" s="227" t="s">
        <v>82</v>
      </c>
      <c r="E63" s="227" t="s">
        <v>52</v>
      </c>
      <c r="F63" s="227" t="s">
        <v>90</v>
      </c>
      <c r="G63" s="227" t="s">
        <v>84</v>
      </c>
      <c r="H63" s="231">
        <v>1</v>
      </c>
      <c r="I63" s="232">
        <v>0</v>
      </c>
      <c r="J63" s="230">
        <v>46040</v>
      </c>
      <c r="K63" s="227" t="s">
        <v>85</v>
      </c>
      <c r="L63" s="227" t="s">
        <v>85</v>
      </c>
      <c r="M63" s="233">
        <v>0</v>
      </c>
      <c r="N63" s="231"/>
      <c r="O63" s="231"/>
      <c r="P63" s="234">
        <v>-14.9</v>
      </c>
    </row>
    <row r="64" spans="1:16" ht="19.5" customHeight="1">
      <c r="A64" s="227" t="s">
        <v>1099</v>
      </c>
      <c r="B64" s="230">
        <v>46048</v>
      </c>
      <c r="C64" s="227" t="s">
        <v>81</v>
      </c>
      <c r="D64" s="227" t="s">
        <v>82</v>
      </c>
      <c r="E64" s="227" t="s">
        <v>52</v>
      </c>
      <c r="F64" s="227" t="s">
        <v>90</v>
      </c>
      <c r="G64" s="227" t="s">
        <v>84</v>
      </c>
      <c r="H64" s="231">
        <v>1</v>
      </c>
      <c r="I64" s="232">
        <v>0</v>
      </c>
      <c r="J64" s="230">
        <v>46048</v>
      </c>
      <c r="K64" s="227" t="s">
        <v>85</v>
      </c>
      <c r="L64" s="227" t="s">
        <v>85</v>
      </c>
      <c r="M64" s="233">
        <v>0</v>
      </c>
      <c r="N64" s="231"/>
      <c r="O64" s="231"/>
      <c r="P64" s="234">
        <v>-11.33</v>
      </c>
    </row>
    <row r="65" spans="1:16" ht="19.5" customHeight="1">
      <c r="A65" s="227" t="s">
        <v>1100</v>
      </c>
      <c r="B65" s="230">
        <v>46048</v>
      </c>
      <c r="C65" s="227" t="s">
        <v>81</v>
      </c>
      <c r="D65" s="227" t="s">
        <v>82</v>
      </c>
      <c r="E65" s="227" t="s">
        <v>43</v>
      </c>
      <c r="F65" s="227" t="s">
        <v>125</v>
      </c>
      <c r="G65" s="227" t="s">
        <v>84</v>
      </c>
      <c r="H65" s="231">
        <v>1</v>
      </c>
      <c r="I65" s="232">
        <v>0</v>
      </c>
      <c r="J65" s="230">
        <v>46048</v>
      </c>
      <c r="K65" s="227" t="s">
        <v>85</v>
      </c>
      <c r="L65" s="227" t="s">
        <v>85</v>
      </c>
      <c r="M65" s="233">
        <v>0</v>
      </c>
      <c r="N65" s="231"/>
      <c r="O65" s="231"/>
      <c r="P65" s="234">
        <v>-4.47</v>
      </c>
    </row>
    <row r="66" spans="1:16" ht="19.5" customHeight="1">
      <c r="A66" s="227" t="s">
        <v>1101</v>
      </c>
      <c r="B66" s="230">
        <v>46048</v>
      </c>
      <c r="C66" s="227" t="s">
        <v>92</v>
      </c>
      <c r="D66" s="227" t="s">
        <v>24</v>
      </c>
      <c r="E66" s="227" t="s">
        <v>52</v>
      </c>
      <c r="F66" s="227" t="s">
        <v>90</v>
      </c>
      <c r="G66" s="227" t="s">
        <v>84</v>
      </c>
      <c r="H66" s="231">
        <v>1</v>
      </c>
      <c r="I66" s="232">
        <v>1800</v>
      </c>
      <c r="J66" s="230">
        <v>46045</v>
      </c>
      <c r="K66" s="227" t="s">
        <v>93</v>
      </c>
      <c r="L66" s="227" t="s">
        <v>94</v>
      </c>
      <c r="M66" s="233">
        <v>0.43</v>
      </c>
      <c r="N66" s="231"/>
      <c r="O66" s="231">
        <v>40</v>
      </c>
      <c r="P66" s="234">
        <v>-130.46</v>
      </c>
    </row>
    <row r="67" spans="1:16" ht="19.5" customHeight="1">
      <c r="A67" s="227" t="s">
        <v>1101</v>
      </c>
      <c r="B67" s="230">
        <v>46048</v>
      </c>
      <c r="C67" s="227" t="s">
        <v>100</v>
      </c>
      <c r="D67" s="227" t="s">
        <v>101</v>
      </c>
      <c r="E67" s="227" t="s">
        <v>52</v>
      </c>
      <c r="F67" s="227" t="s">
        <v>90</v>
      </c>
      <c r="G67" s="227" t="s">
        <v>84</v>
      </c>
      <c r="H67" s="231">
        <v>1</v>
      </c>
      <c r="I67" s="232">
        <v>1800</v>
      </c>
      <c r="J67" s="230">
        <v>46045</v>
      </c>
      <c r="K67" s="227" t="s">
        <v>93</v>
      </c>
      <c r="L67" s="227" t="s">
        <v>94</v>
      </c>
      <c r="M67" s="233">
        <v>0</v>
      </c>
      <c r="N67" s="231"/>
      <c r="O67" s="231"/>
      <c r="P67" s="234">
        <v>688.57</v>
      </c>
    </row>
    <row r="68" spans="1:16" ht="19.5" customHeight="1">
      <c r="A68" s="227" t="s">
        <v>1101</v>
      </c>
      <c r="B68" s="230">
        <v>46048</v>
      </c>
      <c r="C68" s="227" t="s">
        <v>100</v>
      </c>
      <c r="D68" s="227" t="s">
        <v>102</v>
      </c>
      <c r="E68" s="227" t="s">
        <v>52</v>
      </c>
      <c r="F68" s="227" t="s">
        <v>90</v>
      </c>
      <c r="G68" s="227" t="s">
        <v>84</v>
      </c>
      <c r="H68" s="231">
        <v>1</v>
      </c>
      <c r="I68" s="232">
        <v>1800</v>
      </c>
      <c r="J68" s="230">
        <v>46045</v>
      </c>
      <c r="K68" s="227" t="s">
        <v>93</v>
      </c>
      <c r="L68" s="227" t="s">
        <v>94</v>
      </c>
      <c r="M68" s="233">
        <v>0</v>
      </c>
      <c r="N68" s="231"/>
      <c r="O68" s="231"/>
      <c r="P68" s="234">
        <v>0</v>
      </c>
    </row>
    <row r="69" spans="1:16" ht="19.5" customHeight="1">
      <c r="A69" s="227" t="s">
        <v>1101</v>
      </c>
      <c r="B69" s="230">
        <v>46048</v>
      </c>
      <c r="C69" s="227" t="s">
        <v>100</v>
      </c>
      <c r="D69" s="227" t="s">
        <v>103</v>
      </c>
      <c r="E69" s="227" t="s">
        <v>52</v>
      </c>
      <c r="F69" s="227" t="s">
        <v>90</v>
      </c>
      <c r="G69" s="227" t="s">
        <v>84</v>
      </c>
      <c r="H69" s="231">
        <v>1</v>
      </c>
      <c r="I69" s="232">
        <v>1800</v>
      </c>
      <c r="J69" s="230">
        <v>46045</v>
      </c>
      <c r="K69" s="227" t="s">
        <v>93</v>
      </c>
      <c r="L69" s="227" t="s">
        <v>94</v>
      </c>
      <c r="M69" s="233">
        <v>0</v>
      </c>
      <c r="N69" s="231"/>
      <c r="O69" s="231"/>
      <c r="P69" s="234">
        <v>1111.43</v>
      </c>
    </row>
    <row r="70" spans="1:16" ht="19.5" customHeight="1">
      <c r="A70" s="227" t="s">
        <v>1101</v>
      </c>
      <c r="B70" s="230">
        <v>46048</v>
      </c>
      <c r="C70" s="227" t="s">
        <v>104</v>
      </c>
      <c r="D70" s="227" t="s">
        <v>105</v>
      </c>
      <c r="E70" s="227" t="s">
        <v>52</v>
      </c>
      <c r="F70" s="227" t="s">
        <v>90</v>
      </c>
      <c r="G70" s="227" t="s">
        <v>84</v>
      </c>
      <c r="H70" s="231">
        <v>1</v>
      </c>
      <c r="I70" s="232">
        <v>1800</v>
      </c>
      <c r="J70" s="230">
        <v>46045</v>
      </c>
      <c r="K70" s="227" t="s">
        <v>93</v>
      </c>
      <c r="L70" s="227" t="s">
        <v>94</v>
      </c>
      <c r="M70" s="233">
        <v>0.43</v>
      </c>
      <c r="N70" s="231"/>
      <c r="O70" s="231"/>
      <c r="P70" s="234">
        <v>-774</v>
      </c>
    </row>
    <row r="71" spans="1:16" ht="19.5" customHeight="1">
      <c r="A71" s="227" t="s">
        <v>1101</v>
      </c>
      <c r="B71" s="230">
        <v>46048</v>
      </c>
      <c r="C71" s="227" t="s">
        <v>81</v>
      </c>
      <c r="D71" s="227" t="s">
        <v>95</v>
      </c>
      <c r="E71" s="227" t="s">
        <v>52</v>
      </c>
      <c r="F71" s="227" t="s">
        <v>90</v>
      </c>
      <c r="G71" s="227" t="s">
        <v>84</v>
      </c>
      <c r="H71" s="231">
        <v>1</v>
      </c>
      <c r="I71" s="232">
        <v>1800</v>
      </c>
      <c r="J71" s="230">
        <v>46045</v>
      </c>
      <c r="K71" s="227" t="s">
        <v>93</v>
      </c>
      <c r="L71" s="227" t="s">
        <v>94</v>
      </c>
      <c r="M71" s="233">
        <v>0.43</v>
      </c>
      <c r="N71" s="231"/>
      <c r="O71" s="231"/>
      <c r="P71" s="234">
        <v>-11.45</v>
      </c>
    </row>
    <row r="72" spans="1:16" ht="19.5" customHeight="1">
      <c r="A72" s="227" t="s">
        <v>1102</v>
      </c>
      <c r="B72" s="230">
        <v>46048</v>
      </c>
      <c r="C72" s="227" t="s">
        <v>92</v>
      </c>
      <c r="D72" s="227" t="s">
        <v>24</v>
      </c>
      <c r="E72" s="227" t="s">
        <v>52</v>
      </c>
      <c r="F72" s="227" t="s">
        <v>90</v>
      </c>
      <c r="G72" s="227" t="s">
        <v>84</v>
      </c>
      <c r="H72" s="231">
        <v>1</v>
      </c>
      <c r="I72" s="232">
        <v>0</v>
      </c>
      <c r="J72" s="230">
        <v>46033</v>
      </c>
      <c r="K72" s="227" t="s">
        <v>93</v>
      </c>
      <c r="L72" s="227" t="s">
        <v>94</v>
      </c>
      <c r="M72" s="233">
        <v>0</v>
      </c>
      <c r="N72" s="231"/>
      <c r="O72" s="231">
        <v>42</v>
      </c>
      <c r="P72" s="234">
        <v>-56</v>
      </c>
    </row>
    <row r="73" spans="1:16" ht="19.5" customHeight="1">
      <c r="A73" s="227" t="s">
        <v>1102</v>
      </c>
      <c r="B73" s="230">
        <v>46048</v>
      </c>
      <c r="C73" s="227" t="s">
        <v>81</v>
      </c>
      <c r="D73" s="227" t="s">
        <v>95</v>
      </c>
      <c r="E73" s="227" t="s">
        <v>52</v>
      </c>
      <c r="F73" s="227" t="s">
        <v>90</v>
      </c>
      <c r="G73" s="227" t="s">
        <v>84</v>
      </c>
      <c r="H73" s="231">
        <v>1</v>
      </c>
      <c r="I73" s="232">
        <v>0</v>
      </c>
      <c r="J73" s="230">
        <v>46033</v>
      </c>
      <c r="K73" s="227" t="s">
        <v>93</v>
      </c>
      <c r="L73" s="227" t="s">
        <v>94</v>
      </c>
      <c r="M73" s="233">
        <v>0</v>
      </c>
      <c r="N73" s="231"/>
      <c r="O73" s="231"/>
      <c r="P73" s="234">
        <v>-25</v>
      </c>
    </row>
    <row r="74" spans="1:16" ht="19.5" customHeight="1">
      <c r="A74" s="227" t="s">
        <v>1102</v>
      </c>
      <c r="B74" s="230">
        <v>46048</v>
      </c>
      <c r="C74" s="227" t="s">
        <v>92</v>
      </c>
      <c r="D74" s="227" t="s">
        <v>96</v>
      </c>
      <c r="E74" s="227" t="s">
        <v>52</v>
      </c>
      <c r="F74" s="227" t="s">
        <v>90</v>
      </c>
      <c r="G74" s="227" t="s">
        <v>84</v>
      </c>
      <c r="H74" s="231">
        <v>1</v>
      </c>
      <c r="I74" s="232">
        <v>0</v>
      </c>
      <c r="J74" s="230">
        <v>46033</v>
      </c>
      <c r="K74" s="227" t="s">
        <v>93</v>
      </c>
      <c r="L74" s="227" t="s">
        <v>94</v>
      </c>
      <c r="M74" s="233">
        <v>0</v>
      </c>
      <c r="N74" s="231"/>
      <c r="O74" s="231"/>
      <c r="P74" s="234">
        <v>0</v>
      </c>
    </row>
    <row r="75" spans="1:16" ht="19.5" customHeight="1">
      <c r="A75" s="227" t="s">
        <v>1102</v>
      </c>
      <c r="B75" s="230">
        <v>46048</v>
      </c>
      <c r="C75" s="227" t="s">
        <v>92</v>
      </c>
      <c r="D75" s="227" t="s">
        <v>97</v>
      </c>
      <c r="E75" s="227" t="s">
        <v>52</v>
      </c>
      <c r="F75" s="227" t="s">
        <v>90</v>
      </c>
      <c r="G75" s="227" t="s">
        <v>84</v>
      </c>
      <c r="H75" s="231">
        <v>1</v>
      </c>
      <c r="I75" s="232">
        <v>0</v>
      </c>
      <c r="J75" s="230">
        <v>46033</v>
      </c>
      <c r="K75" s="227" t="s">
        <v>93</v>
      </c>
      <c r="L75" s="227" t="s">
        <v>94</v>
      </c>
      <c r="M75" s="233">
        <v>0</v>
      </c>
      <c r="N75" s="231"/>
      <c r="O75" s="231"/>
      <c r="P75" s="234">
        <v>-56</v>
      </c>
    </row>
    <row r="76" spans="1:16" ht="19.5" customHeight="1">
      <c r="A76" s="227" t="s">
        <v>1102</v>
      </c>
      <c r="B76" s="230">
        <v>46048</v>
      </c>
      <c r="C76" s="227" t="s">
        <v>81</v>
      </c>
      <c r="D76" s="227" t="s">
        <v>98</v>
      </c>
      <c r="E76" s="227" t="s">
        <v>52</v>
      </c>
      <c r="F76" s="227" t="s">
        <v>90</v>
      </c>
      <c r="G76" s="227" t="s">
        <v>84</v>
      </c>
      <c r="H76" s="231">
        <v>1</v>
      </c>
      <c r="I76" s="232">
        <v>0</v>
      </c>
      <c r="J76" s="230">
        <v>46033</v>
      </c>
      <c r="K76" s="227" t="s">
        <v>93</v>
      </c>
      <c r="L76" s="227" t="s">
        <v>94</v>
      </c>
      <c r="M76" s="233">
        <v>0</v>
      </c>
      <c r="N76" s="231"/>
      <c r="O76" s="231"/>
      <c r="P76" s="234">
        <v>-15</v>
      </c>
    </row>
    <row r="77" spans="1:16" ht="19.5" customHeight="1">
      <c r="A77" s="227" t="s">
        <v>1103</v>
      </c>
      <c r="B77" s="230">
        <v>46048</v>
      </c>
      <c r="C77" s="227" t="s">
        <v>92</v>
      </c>
      <c r="D77" s="227" t="s">
        <v>24</v>
      </c>
      <c r="E77" s="227" t="s">
        <v>43</v>
      </c>
      <c r="F77" s="227" t="s">
        <v>125</v>
      </c>
      <c r="G77" s="227" t="s">
        <v>84</v>
      </c>
      <c r="H77" s="231">
        <v>1</v>
      </c>
      <c r="I77" s="232">
        <v>1750</v>
      </c>
      <c r="J77" s="230">
        <v>46046</v>
      </c>
      <c r="K77" s="227" t="s">
        <v>93</v>
      </c>
      <c r="L77" s="227" t="s">
        <v>94</v>
      </c>
      <c r="M77" s="233">
        <v>0.43</v>
      </c>
      <c r="N77" s="231"/>
      <c r="O77" s="231">
        <v>40</v>
      </c>
      <c r="P77" s="234">
        <v>-115.25</v>
      </c>
    </row>
    <row r="78" spans="1:16" ht="19.5" customHeight="1">
      <c r="A78" s="227" t="s">
        <v>1103</v>
      </c>
      <c r="B78" s="230">
        <v>46048</v>
      </c>
      <c r="C78" s="227" t="s">
        <v>100</v>
      </c>
      <c r="D78" s="227" t="s">
        <v>101</v>
      </c>
      <c r="E78" s="227" t="s">
        <v>43</v>
      </c>
      <c r="F78" s="227" t="s">
        <v>125</v>
      </c>
      <c r="G78" s="227" t="s">
        <v>84</v>
      </c>
      <c r="H78" s="231">
        <v>1</v>
      </c>
      <c r="I78" s="232">
        <v>1750</v>
      </c>
      <c r="J78" s="230">
        <v>46046</v>
      </c>
      <c r="K78" s="227" t="s">
        <v>93</v>
      </c>
      <c r="L78" s="227" t="s">
        <v>94</v>
      </c>
      <c r="M78" s="233">
        <v>0</v>
      </c>
      <c r="N78" s="231"/>
      <c r="O78" s="231"/>
      <c r="P78" s="234">
        <v>656.52</v>
      </c>
    </row>
    <row r="79" spans="1:16" ht="19.5" customHeight="1">
      <c r="A79" s="227" t="s">
        <v>1103</v>
      </c>
      <c r="B79" s="230">
        <v>46048</v>
      </c>
      <c r="C79" s="227" t="s">
        <v>100</v>
      </c>
      <c r="D79" s="227" t="s">
        <v>102</v>
      </c>
      <c r="E79" s="227" t="s">
        <v>43</v>
      </c>
      <c r="F79" s="227" t="s">
        <v>125</v>
      </c>
      <c r="G79" s="227" t="s">
        <v>84</v>
      </c>
      <c r="H79" s="231">
        <v>1</v>
      </c>
      <c r="I79" s="232">
        <v>1750</v>
      </c>
      <c r="J79" s="230">
        <v>46046</v>
      </c>
      <c r="K79" s="227" t="s">
        <v>93</v>
      </c>
      <c r="L79" s="227" t="s">
        <v>94</v>
      </c>
      <c r="M79" s="233">
        <v>0</v>
      </c>
      <c r="N79" s="231"/>
      <c r="O79" s="231"/>
      <c r="P79" s="234">
        <v>6.57</v>
      </c>
    </row>
    <row r="80" spans="1:16" ht="19.5" customHeight="1">
      <c r="A80" s="227" t="s">
        <v>1103</v>
      </c>
      <c r="B80" s="230">
        <v>46048</v>
      </c>
      <c r="C80" s="227" t="s">
        <v>100</v>
      </c>
      <c r="D80" s="227" t="s">
        <v>103</v>
      </c>
      <c r="E80" s="227" t="s">
        <v>43</v>
      </c>
      <c r="F80" s="227" t="s">
        <v>125</v>
      </c>
      <c r="G80" s="227" t="s">
        <v>84</v>
      </c>
      <c r="H80" s="231">
        <v>1</v>
      </c>
      <c r="I80" s="232">
        <v>1750</v>
      </c>
      <c r="J80" s="230">
        <v>46046</v>
      </c>
      <c r="K80" s="227" t="s">
        <v>93</v>
      </c>
      <c r="L80" s="227" t="s">
        <v>94</v>
      </c>
      <c r="M80" s="233">
        <v>0</v>
      </c>
      <c r="N80" s="231"/>
      <c r="O80" s="231"/>
      <c r="P80" s="234">
        <v>1086.9100000000001</v>
      </c>
    </row>
    <row r="81" spans="1:16" ht="19.5" customHeight="1">
      <c r="A81" s="227" t="s">
        <v>1103</v>
      </c>
      <c r="B81" s="230">
        <v>46048</v>
      </c>
      <c r="C81" s="227" t="s">
        <v>104</v>
      </c>
      <c r="D81" s="227" t="s">
        <v>105</v>
      </c>
      <c r="E81" s="227" t="s">
        <v>43</v>
      </c>
      <c r="F81" s="227" t="s">
        <v>125</v>
      </c>
      <c r="G81" s="227" t="s">
        <v>84</v>
      </c>
      <c r="H81" s="231">
        <v>1</v>
      </c>
      <c r="I81" s="232">
        <v>1750</v>
      </c>
      <c r="J81" s="230">
        <v>46046</v>
      </c>
      <c r="K81" s="227" t="s">
        <v>93</v>
      </c>
      <c r="L81" s="227" t="s">
        <v>94</v>
      </c>
      <c r="M81" s="233">
        <v>0.43</v>
      </c>
      <c r="N81" s="231"/>
      <c r="O81" s="231"/>
      <c r="P81" s="234">
        <v>-752.5</v>
      </c>
    </row>
    <row r="82" spans="1:16" ht="19.5" customHeight="1">
      <c r="A82" s="227" t="s">
        <v>1103</v>
      </c>
      <c r="B82" s="230">
        <v>46048</v>
      </c>
      <c r="C82" s="227" t="s">
        <v>81</v>
      </c>
      <c r="D82" s="227" t="s">
        <v>95</v>
      </c>
      <c r="E82" s="227" t="s">
        <v>43</v>
      </c>
      <c r="F82" s="227" t="s">
        <v>125</v>
      </c>
      <c r="G82" s="227" t="s">
        <v>84</v>
      </c>
      <c r="H82" s="231">
        <v>1</v>
      </c>
      <c r="I82" s="232">
        <v>1750</v>
      </c>
      <c r="J82" s="230">
        <v>46046</v>
      </c>
      <c r="K82" s="227" t="s">
        <v>93</v>
      </c>
      <c r="L82" s="227" t="s">
        <v>94</v>
      </c>
      <c r="M82" s="233">
        <v>0.43</v>
      </c>
      <c r="N82" s="231"/>
      <c r="O82" s="231"/>
      <c r="P82" s="234">
        <v>-9.59</v>
      </c>
    </row>
    <row r="83" spans="1:16" ht="19.5" customHeight="1">
      <c r="A83" s="227" t="s">
        <v>1104</v>
      </c>
      <c r="B83" s="230">
        <v>46048</v>
      </c>
      <c r="C83" s="227" t="s">
        <v>81</v>
      </c>
      <c r="D83" s="227" t="s">
        <v>82</v>
      </c>
      <c r="E83" s="227" t="s">
        <v>41</v>
      </c>
      <c r="F83" s="227" t="s">
        <v>83</v>
      </c>
      <c r="G83" s="227" t="s">
        <v>84</v>
      </c>
      <c r="H83" s="231">
        <v>1</v>
      </c>
      <c r="I83" s="232">
        <v>0</v>
      </c>
      <c r="J83" s="230">
        <v>46048</v>
      </c>
      <c r="K83" s="227" t="s">
        <v>85</v>
      </c>
      <c r="L83" s="227" t="s">
        <v>85</v>
      </c>
      <c r="M83" s="233">
        <v>0</v>
      </c>
      <c r="N83" s="231"/>
      <c r="O83" s="231"/>
      <c r="P83" s="234">
        <v>-6.87</v>
      </c>
    </row>
    <row r="84" spans="1:16" ht="19.5" customHeight="1">
      <c r="A84" s="227" t="s">
        <v>1105</v>
      </c>
      <c r="B84" s="230">
        <v>46048</v>
      </c>
      <c r="C84" s="227" t="s">
        <v>92</v>
      </c>
      <c r="D84" s="227" t="s">
        <v>24</v>
      </c>
      <c r="E84" s="227" t="s">
        <v>52</v>
      </c>
      <c r="F84" s="227" t="s">
        <v>90</v>
      </c>
      <c r="G84" s="227" t="s">
        <v>84</v>
      </c>
      <c r="H84" s="231">
        <v>1</v>
      </c>
      <c r="I84" s="232">
        <v>1885</v>
      </c>
      <c r="J84" s="230">
        <v>46040</v>
      </c>
      <c r="K84" s="227" t="s">
        <v>93</v>
      </c>
      <c r="L84" s="227" t="s">
        <v>94</v>
      </c>
      <c r="M84" s="233">
        <v>0.43</v>
      </c>
      <c r="N84" s="231"/>
      <c r="O84" s="231">
        <v>45</v>
      </c>
      <c r="P84" s="234">
        <v>-156.72999999999999</v>
      </c>
    </row>
    <row r="85" spans="1:16" ht="19.5" customHeight="1">
      <c r="A85" s="227" t="s">
        <v>1105</v>
      </c>
      <c r="B85" s="230">
        <v>46048</v>
      </c>
      <c r="C85" s="227" t="s">
        <v>100</v>
      </c>
      <c r="D85" s="227" t="s">
        <v>101</v>
      </c>
      <c r="E85" s="227" t="s">
        <v>52</v>
      </c>
      <c r="F85" s="227" t="s">
        <v>90</v>
      </c>
      <c r="G85" s="227" t="s">
        <v>84</v>
      </c>
      <c r="H85" s="231">
        <v>1</v>
      </c>
      <c r="I85" s="232">
        <v>1885</v>
      </c>
      <c r="J85" s="230">
        <v>46040</v>
      </c>
      <c r="K85" s="227" t="s">
        <v>93</v>
      </c>
      <c r="L85" s="227" t="s">
        <v>94</v>
      </c>
      <c r="M85" s="233">
        <v>0</v>
      </c>
      <c r="N85" s="231"/>
      <c r="O85" s="231"/>
      <c r="P85" s="234">
        <v>825.71</v>
      </c>
    </row>
    <row r="86" spans="1:16" ht="19.5" customHeight="1">
      <c r="A86" s="227" t="s">
        <v>1105</v>
      </c>
      <c r="B86" s="230">
        <v>46048</v>
      </c>
      <c r="C86" s="227" t="s">
        <v>100</v>
      </c>
      <c r="D86" s="227" t="s">
        <v>102</v>
      </c>
      <c r="E86" s="227" t="s">
        <v>52</v>
      </c>
      <c r="F86" s="227" t="s">
        <v>90</v>
      </c>
      <c r="G86" s="227" t="s">
        <v>84</v>
      </c>
      <c r="H86" s="231">
        <v>1</v>
      </c>
      <c r="I86" s="232">
        <v>1885</v>
      </c>
      <c r="J86" s="230">
        <v>46040</v>
      </c>
      <c r="K86" s="227" t="s">
        <v>93</v>
      </c>
      <c r="L86" s="227" t="s">
        <v>94</v>
      </c>
      <c r="M86" s="233">
        <v>0</v>
      </c>
      <c r="N86" s="231"/>
      <c r="O86" s="231"/>
      <c r="P86" s="234">
        <v>8.26</v>
      </c>
    </row>
    <row r="87" spans="1:16" ht="19.5" customHeight="1">
      <c r="A87" s="227" t="s">
        <v>1105</v>
      </c>
      <c r="B87" s="230">
        <v>46048</v>
      </c>
      <c r="C87" s="227" t="s">
        <v>100</v>
      </c>
      <c r="D87" s="227" t="s">
        <v>103</v>
      </c>
      <c r="E87" s="227" t="s">
        <v>52</v>
      </c>
      <c r="F87" s="227" t="s">
        <v>90</v>
      </c>
      <c r="G87" s="227" t="s">
        <v>84</v>
      </c>
      <c r="H87" s="231">
        <v>1</v>
      </c>
      <c r="I87" s="232">
        <v>1885</v>
      </c>
      <c r="J87" s="230">
        <v>46040</v>
      </c>
      <c r="K87" s="227" t="s">
        <v>93</v>
      </c>
      <c r="L87" s="227" t="s">
        <v>94</v>
      </c>
      <c r="M87" s="233">
        <v>0</v>
      </c>
      <c r="N87" s="231"/>
      <c r="O87" s="231"/>
      <c r="P87" s="234">
        <v>1051.03</v>
      </c>
    </row>
    <row r="88" spans="1:16" ht="19.5" customHeight="1">
      <c r="A88" s="227" t="s">
        <v>1105</v>
      </c>
      <c r="B88" s="230">
        <v>46048</v>
      </c>
      <c r="C88" s="227" t="s">
        <v>104</v>
      </c>
      <c r="D88" s="227" t="s">
        <v>105</v>
      </c>
      <c r="E88" s="227" t="s">
        <v>52</v>
      </c>
      <c r="F88" s="227" t="s">
        <v>90</v>
      </c>
      <c r="G88" s="227" t="s">
        <v>84</v>
      </c>
      <c r="H88" s="231">
        <v>1</v>
      </c>
      <c r="I88" s="232">
        <v>1885</v>
      </c>
      <c r="J88" s="230">
        <v>46040</v>
      </c>
      <c r="K88" s="227" t="s">
        <v>93</v>
      </c>
      <c r="L88" s="227" t="s">
        <v>94</v>
      </c>
      <c r="M88" s="233">
        <v>0.43</v>
      </c>
      <c r="N88" s="231"/>
      <c r="O88" s="231"/>
      <c r="P88" s="234">
        <v>-810.55</v>
      </c>
    </row>
    <row r="89" spans="1:16" ht="19.5" customHeight="1">
      <c r="A89" s="227" t="s">
        <v>1105</v>
      </c>
      <c r="B89" s="230">
        <v>46048</v>
      </c>
      <c r="C89" s="227" t="s">
        <v>81</v>
      </c>
      <c r="D89" s="227" t="s">
        <v>95</v>
      </c>
      <c r="E89" s="227" t="s">
        <v>52</v>
      </c>
      <c r="F89" s="227" t="s">
        <v>90</v>
      </c>
      <c r="G89" s="227" t="s">
        <v>84</v>
      </c>
      <c r="H89" s="231">
        <v>1</v>
      </c>
      <c r="I89" s="232">
        <v>1885</v>
      </c>
      <c r="J89" s="230">
        <v>46040</v>
      </c>
      <c r="K89" s="227" t="s">
        <v>93</v>
      </c>
      <c r="L89" s="227" t="s">
        <v>94</v>
      </c>
      <c r="M89" s="233">
        <v>0.43</v>
      </c>
      <c r="N89" s="231"/>
      <c r="O89" s="231"/>
      <c r="P89" s="234">
        <v>-14.79</v>
      </c>
    </row>
    <row r="90" spans="1:16" ht="19.5" customHeight="1">
      <c r="A90" s="227" t="s">
        <v>1105</v>
      </c>
      <c r="B90" s="230">
        <v>46048</v>
      </c>
      <c r="C90" s="227" t="s">
        <v>81</v>
      </c>
      <c r="D90" s="227" t="s">
        <v>82</v>
      </c>
      <c r="E90" s="227" t="s">
        <v>52</v>
      </c>
      <c r="F90" s="227" t="s">
        <v>90</v>
      </c>
      <c r="G90" s="227" t="s">
        <v>84</v>
      </c>
      <c r="H90" s="231">
        <v>1</v>
      </c>
      <c r="I90" s="232">
        <v>0</v>
      </c>
      <c r="J90" s="230">
        <v>46040</v>
      </c>
      <c r="K90" s="227" t="s">
        <v>85</v>
      </c>
      <c r="L90" s="227" t="s">
        <v>85</v>
      </c>
      <c r="M90" s="233">
        <v>0</v>
      </c>
      <c r="N90" s="231"/>
      <c r="O90" s="231"/>
      <c r="P90" s="234">
        <v>-15.69</v>
      </c>
    </row>
    <row r="91" spans="1:16" ht="19.5" customHeight="1">
      <c r="A91" s="227" t="s">
        <v>1106</v>
      </c>
      <c r="B91" s="230">
        <v>46048</v>
      </c>
      <c r="C91" s="227" t="s">
        <v>92</v>
      </c>
      <c r="D91" s="227" t="s">
        <v>24</v>
      </c>
      <c r="E91" s="227" t="s">
        <v>41</v>
      </c>
      <c r="F91" s="227" t="s">
        <v>83</v>
      </c>
      <c r="G91" s="227" t="s">
        <v>84</v>
      </c>
      <c r="H91" s="231">
        <v>1</v>
      </c>
      <c r="I91" s="232">
        <v>1750</v>
      </c>
      <c r="J91" s="230">
        <v>46047</v>
      </c>
      <c r="K91" s="227" t="s">
        <v>93</v>
      </c>
      <c r="L91" s="227" t="s">
        <v>94</v>
      </c>
      <c r="M91" s="233">
        <v>0.43</v>
      </c>
      <c r="N91" s="231"/>
      <c r="O91" s="231">
        <v>41</v>
      </c>
      <c r="P91" s="234">
        <v>-119.28</v>
      </c>
    </row>
    <row r="92" spans="1:16" ht="19.5" customHeight="1">
      <c r="A92" s="227" t="s">
        <v>1106</v>
      </c>
      <c r="B92" s="230">
        <v>46048</v>
      </c>
      <c r="C92" s="227" t="s">
        <v>100</v>
      </c>
      <c r="D92" s="227" t="s">
        <v>101</v>
      </c>
      <c r="E92" s="227" t="s">
        <v>41</v>
      </c>
      <c r="F92" s="227" t="s">
        <v>83</v>
      </c>
      <c r="G92" s="227" t="s">
        <v>84</v>
      </c>
      <c r="H92" s="231">
        <v>1</v>
      </c>
      <c r="I92" s="232">
        <v>1750</v>
      </c>
      <c r="J92" s="230">
        <v>46047</v>
      </c>
      <c r="K92" s="227" t="s">
        <v>93</v>
      </c>
      <c r="L92" s="227" t="s">
        <v>94</v>
      </c>
      <c r="M92" s="233">
        <v>0</v>
      </c>
      <c r="N92" s="231"/>
      <c r="O92" s="231"/>
      <c r="P92" s="234">
        <v>723.81</v>
      </c>
    </row>
    <row r="93" spans="1:16" ht="19.5" customHeight="1">
      <c r="A93" s="227" t="s">
        <v>1106</v>
      </c>
      <c r="B93" s="230">
        <v>46048</v>
      </c>
      <c r="C93" s="227" t="s">
        <v>100</v>
      </c>
      <c r="D93" s="227" t="s">
        <v>102</v>
      </c>
      <c r="E93" s="227" t="s">
        <v>41</v>
      </c>
      <c r="F93" s="227" t="s">
        <v>83</v>
      </c>
      <c r="G93" s="227" t="s">
        <v>84</v>
      </c>
      <c r="H93" s="231">
        <v>1</v>
      </c>
      <c r="I93" s="232">
        <v>1750</v>
      </c>
      <c r="J93" s="230">
        <v>46047</v>
      </c>
      <c r="K93" s="227" t="s">
        <v>93</v>
      </c>
      <c r="L93" s="227" t="s">
        <v>94</v>
      </c>
      <c r="M93" s="233">
        <v>0</v>
      </c>
      <c r="N93" s="231"/>
      <c r="O93" s="231"/>
      <c r="P93" s="234">
        <v>7.24</v>
      </c>
    </row>
    <row r="94" spans="1:16" ht="19.5" customHeight="1">
      <c r="A94" s="227" t="s">
        <v>1106</v>
      </c>
      <c r="B94" s="230">
        <v>46048</v>
      </c>
      <c r="C94" s="227" t="s">
        <v>100</v>
      </c>
      <c r="D94" s="227" t="s">
        <v>103</v>
      </c>
      <c r="E94" s="227" t="s">
        <v>41</v>
      </c>
      <c r="F94" s="227" t="s">
        <v>83</v>
      </c>
      <c r="G94" s="227" t="s">
        <v>84</v>
      </c>
      <c r="H94" s="231">
        <v>1</v>
      </c>
      <c r="I94" s="232">
        <v>1750</v>
      </c>
      <c r="J94" s="230">
        <v>46047</v>
      </c>
      <c r="K94" s="227" t="s">
        <v>93</v>
      </c>
      <c r="L94" s="227" t="s">
        <v>94</v>
      </c>
      <c r="M94" s="233">
        <v>0</v>
      </c>
      <c r="N94" s="231"/>
      <c r="O94" s="231"/>
      <c r="P94" s="234">
        <v>1018.95</v>
      </c>
    </row>
    <row r="95" spans="1:16" ht="19.5" customHeight="1">
      <c r="A95" s="227" t="s">
        <v>1106</v>
      </c>
      <c r="B95" s="230">
        <v>46048</v>
      </c>
      <c r="C95" s="227" t="s">
        <v>104</v>
      </c>
      <c r="D95" s="227" t="s">
        <v>105</v>
      </c>
      <c r="E95" s="227" t="s">
        <v>41</v>
      </c>
      <c r="F95" s="227" t="s">
        <v>83</v>
      </c>
      <c r="G95" s="227" t="s">
        <v>84</v>
      </c>
      <c r="H95" s="231">
        <v>1</v>
      </c>
      <c r="I95" s="232">
        <v>1750</v>
      </c>
      <c r="J95" s="230">
        <v>46047</v>
      </c>
      <c r="K95" s="227" t="s">
        <v>93</v>
      </c>
      <c r="L95" s="227" t="s">
        <v>94</v>
      </c>
      <c r="M95" s="233">
        <v>0.43</v>
      </c>
      <c r="N95" s="231"/>
      <c r="O95" s="231"/>
      <c r="P95" s="234">
        <v>-752.5</v>
      </c>
    </row>
    <row r="96" spans="1:16" ht="19.5" customHeight="1">
      <c r="A96" s="227" t="s">
        <v>1106</v>
      </c>
      <c r="B96" s="230">
        <v>46048</v>
      </c>
      <c r="C96" s="227" t="s">
        <v>81</v>
      </c>
      <c r="D96" s="227" t="s">
        <v>95</v>
      </c>
      <c r="E96" s="227" t="s">
        <v>41</v>
      </c>
      <c r="F96" s="227" t="s">
        <v>83</v>
      </c>
      <c r="G96" s="227" t="s">
        <v>84</v>
      </c>
      <c r="H96" s="231">
        <v>1</v>
      </c>
      <c r="I96" s="232">
        <v>1750</v>
      </c>
      <c r="J96" s="230">
        <v>46047</v>
      </c>
      <c r="K96" s="227" t="s">
        <v>93</v>
      </c>
      <c r="L96" s="227" t="s">
        <v>94</v>
      </c>
      <c r="M96" s="233">
        <v>0.43</v>
      </c>
      <c r="N96" s="231"/>
      <c r="O96" s="231"/>
      <c r="P96" s="234">
        <v>-13.37</v>
      </c>
    </row>
    <row r="97" spans="1:16" ht="19.5" customHeight="1">
      <c r="A97" s="227" t="s">
        <v>1107</v>
      </c>
      <c r="B97" s="230">
        <v>46048</v>
      </c>
      <c r="C97" s="227" t="s">
        <v>92</v>
      </c>
      <c r="D97" s="227" t="s">
        <v>24</v>
      </c>
      <c r="E97" s="227" t="s">
        <v>39</v>
      </c>
      <c r="F97" s="227" t="s">
        <v>117</v>
      </c>
      <c r="G97" s="227" t="s">
        <v>84</v>
      </c>
      <c r="H97" s="231">
        <v>1</v>
      </c>
      <c r="I97" s="232">
        <v>1750</v>
      </c>
      <c r="J97" s="230">
        <v>46046</v>
      </c>
      <c r="K97" s="227" t="s">
        <v>93</v>
      </c>
      <c r="L97" s="227" t="s">
        <v>94</v>
      </c>
      <c r="M97" s="233">
        <v>0.43</v>
      </c>
      <c r="N97" s="231"/>
      <c r="O97" s="231">
        <v>40</v>
      </c>
      <c r="P97" s="234">
        <v>-115.25</v>
      </c>
    </row>
    <row r="98" spans="1:16" ht="19.5" customHeight="1">
      <c r="A98" s="227" t="s">
        <v>1107</v>
      </c>
      <c r="B98" s="230">
        <v>46048</v>
      </c>
      <c r="C98" s="227" t="s">
        <v>100</v>
      </c>
      <c r="D98" s="227" t="s">
        <v>101</v>
      </c>
      <c r="E98" s="227" t="s">
        <v>39</v>
      </c>
      <c r="F98" s="227" t="s">
        <v>117</v>
      </c>
      <c r="G98" s="227" t="s">
        <v>84</v>
      </c>
      <c r="H98" s="231">
        <v>1</v>
      </c>
      <c r="I98" s="232">
        <v>1750</v>
      </c>
      <c r="J98" s="230">
        <v>46046</v>
      </c>
      <c r="K98" s="227" t="s">
        <v>93</v>
      </c>
      <c r="L98" s="227" t="s">
        <v>94</v>
      </c>
      <c r="M98" s="233">
        <v>0</v>
      </c>
      <c r="N98" s="231"/>
      <c r="O98" s="231"/>
      <c r="P98" s="234">
        <v>749.52</v>
      </c>
    </row>
    <row r="99" spans="1:16" ht="19.5" customHeight="1">
      <c r="A99" s="227" t="s">
        <v>1107</v>
      </c>
      <c r="B99" s="230">
        <v>46048</v>
      </c>
      <c r="C99" s="227" t="s">
        <v>100</v>
      </c>
      <c r="D99" s="227" t="s">
        <v>102</v>
      </c>
      <c r="E99" s="227" t="s">
        <v>39</v>
      </c>
      <c r="F99" s="227" t="s">
        <v>117</v>
      </c>
      <c r="G99" s="227" t="s">
        <v>84</v>
      </c>
      <c r="H99" s="231">
        <v>1</v>
      </c>
      <c r="I99" s="232">
        <v>1750</v>
      </c>
      <c r="J99" s="230">
        <v>46046</v>
      </c>
      <c r="K99" s="227" t="s">
        <v>93</v>
      </c>
      <c r="L99" s="227" t="s">
        <v>94</v>
      </c>
      <c r="M99" s="233">
        <v>0</v>
      </c>
      <c r="N99" s="231"/>
      <c r="O99" s="231"/>
      <c r="P99" s="234">
        <v>0</v>
      </c>
    </row>
    <row r="100" spans="1:16" ht="19.5" customHeight="1">
      <c r="A100" s="227" t="s">
        <v>1107</v>
      </c>
      <c r="B100" s="230">
        <v>46048</v>
      </c>
      <c r="C100" s="227" t="s">
        <v>100</v>
      </c>
      <c r="D100" s="227" t="s">
        <v>103</v>
      </c>
      <c r="E100" s="227" t="s">
        <v>39</v>
      </c>
      <c r="F100" s="227" t="s">
        <v>117</v>
      </c>
      <c r="G100" s="227" t="s">
        <v>84</v>
      </c>
      <c r="H100" s="231">
        <v>1</v>
      </c>
      <c r="I100" s="232">
        <v>1750</v>
      </c>
      <c r="J100" s="230">
        <v>46046</v>
      </c>
      <c r="K100" s="227" t="s">
        <v>93</v>
      </c>
      <c r="L100" s="227" t="s">
        <v>94</v>
      </c>
      <c r="M100" s="233">
        <v>0</v>
      </c>
      <c r="N100" s="231"/>
      <c r="O100" s="231"/>
      <c r="P100" s="234">
        <v>1000.48</v>
      </c>
    </row>
    <row r="101" spans="1:16" ht="19.5" customHeight="1">
      <c r="A101" s="227" t="s">
        <v>1107</v>
      </c>
      <c r="B101" s="230">
        <v>46048</v>
      </c>
      <c r="C101" s="227" t="s">
        <v>104</v>
      </c>
      <c r="D101" s="227" t="s">
        <v>105</v>
      </c>
      <c r="E101" s="227" t="s">
        <v>39</v>
      </c>
      <c r="F101" s="227" t="s">
        <v>117</v>
      </c>
      <c r="G101" s="227" t="s">
        <v>84</v>
      </c>
      <c r="H101" s="231">
        <v>1</v>
      </c>
      <c r="I101" s="232">
        <v>1750</v>
      </c>
      <c r="J101" s="230">
        <v>46046</v>
      </c>
      <c r="K101" s="227" t="s">
        <v>93</v>
      </c>
      <c r="L101" s="227" t="s">
        <v>94</v>
      </c>
      <c r="M101" s="233">
        <v>0.43</v>
      </c>
      <c r="N101" s="231"/>
      <c r="O101" s="231"/>
      <c r="P101" s="234">
        <v>-752.5</v>
      </c>
    </row>
    <row r="102" spans="1:16" ht="19.5" customHeight="1">
      <c r="A102" s="227" t="s">
        <v>1107</v>
      </c>
      <c r="B102" s="230">
        <v>46048</v>
      </c>
      <c r="C102" s="227" t="s">
        <v>81</v>
      </c>
      <c r="D102" s="227" t="s">
        <v>95</v>
      </c>
      <c r="E102" s="227" t="s">
        <v>39</v>
      </c>
      <c r="F102" s="227" t="s">
        <v>117</v>
      </c>
      <c r="G102" s="227" t="s">
        <v>84</v>
      </c>
      <c r="H102" s="231">
        <v>1</v>
      </c>
      <c r="I102" s="232">
        <v>1750</v>
      </c>
      <c r="J102" s="230">
        <v>46046</v>
      </c>
      <c r="K102" s="227" t="s">
        <v>93</v>
      </c>
      <c r="L102" s="227" t="s">
        <v>94</v>
      </c>
      <c r="M102" s="233">
        <v>0.43</v>
      </c>
      <c r="N102" s="231"/>
      <c r="O102" s="231"/>
      <c r="P102" s="234">
        <v>-9.24</v>
      </c>
    </row>
    <row r="103" spans="1:16" ht="19.5" customHeight="1">
      <c r="A103" s="227" t="s">
        <v>1108</v>
      </c>
      <c r="B103" s="230">
        <v>46048</v>
      </c>
      <c r="C103" s="227" t="s">
        <v>92</v>
      </c>
      <c r="D103" s="227" t="s">
        <v>24</v>
      </c>
      <c r="E103" s="227" t="s">
        <v>52</v>
      </c>
      <c r="F103" s="227" t="s">
        <v>90</v>
      </c>
      <c r="G103" s="227" t="s">
        <v>84</v>
      </c>
      <c r="H103" s="231">
        <v>1</v>
      </c>
      <c r="I103" s="232">
        <v>1800</v>
      </c>
      <c r="J103" s="230">
        <v>46046</v>
      </c>
      <c r="K103" s="227" t="s">
        <v>93</v>
      </c>
      <c r="L103" s="227" t="s">
        <v>94</v>
      </c>
      <c r="M103" s="233">
        <v>0.43</v>
      </c>
      <c r="N103" s="231"/>
      <c r="O103" s="231">
        <v>40</v>
      </c>
      <c r="P103" s="234">
        <v>-130.46</v>
      </c>
    </row>
    <row r="104" spans="1:16" ht="19.5" customHeight="1">
      <c r="A104" s="227" t="s">
        <v>1108</v>
      </c>
      <c r="B104" s="230">
        <v>46048</v>
      </c>
      <c r="C104" s="227" t="s">
        <v>100</v>
      </c>
      <c r="D104" s="227" t="s">
        <v>101</v>
      </c>
      <c r="E104" s="227" t="s">
        <v>52</v>
      </c>
      <c r="F104" s="227" t="s">
        <v>90</v>
      </c>
      <c r="G104" s="227" t="s">
        <v>84</v>
      </c>
      <c r="H104" s="231">
        <v>1</v>
      </c>
      <c r="I104" s="232">
        <v>1800</v>
      </c>
      <c r="J104" s="230">
        <v>46046</v>
      </c>
      <c r="K104" s="227" t="s">
        <v>93</v>
      </c>
      <c r="L104" s="227" t="s">
        <v>94</v>
      </c>
      <c r="M104" s="233">
        <v>0</v>
      </c>
      <c r="N104" s="231"/>
      <c r="O104" s="231"/>
      <c r="P104" s="234">
        <v>627.62</v>
      </c>
    </row>
    <row r="105" spans="1:16" ht="19.5" customHeight="1">
      <c r="A105" s="227" t="s">
        <v>1108</v>
      </c>
      <c r="B105" s="230">
        <v>46048</v>
      </c>
      <c r="C105" s="227" t="s">
        <v>100</v>
      </c>
      <c r="D105" s="227" t="s">
        <v>102</v>
      </c>
      <c r="E105" s="227" t="s">
        <v>52</v>
      </c>
      <c r="F105" s="227" t="s">
        <v>90</v>
      </c>
      <c r="G105" s="227" t="s">
        <v>84</v>
      </c>
      <c r="H105" s="231">
        <v>1</v>
      </c>
      <c r="I105" s="232">
        <v>1800</v>
      </c>
      <c r="J105" s="230">
        <v>46046</v>
      </c>
      <c r="K105" s="227" t="s">
        <v>93</v>
      </c>
      <c r="L105" s="227" t="s">
        <v>94</v>
      </c>
      <c r="M105" s="233">
        <v>0</v>
      </c>
      <c r="N105" s="231"/>
      <c r="O105" s="231"/>
      <c r="P105" s="234">
        <v>6.28</v>
      </c>
    </row>
    <row r="106" spans="1:16" ht="19.5" customHeight="1">
      <c r="A106" s="227" t="s">
        <v>1108</v>
      </c>
      <c r="B106" s="230">
        <v>46048</v>
      </c>
      <c r="C106" s="227" t="s">
        <v>100</v>
      </c>
      <c r="D106" s="227" t="s">
        <v>103</v>
      </c>
      <c r="E106" s="227" t="s">
        <v>52</v>
      </c>
      <c r="F106" s="227" t="s">
        <v>90</v>
      </c>
      <c r="G106" s="227" t="s">
        <v>84</v>
      </c>
      <c r="H106" s="231">
        <v>1</v>
      </c>
      <c r="I106" s="232">
        <v>1800</v>
      </c>
      <c r="J106" s="230">
        <v>46046</v>
      </c>
      <c r="K106" s="227" t="s">
        <v>93</v>
      </c>
      <c r="L106" s="227" t="s">
        <v>94</v>
      </c>
      <c r="M106" s="233">
        <v>0</v>
      </c>
      <c r="N106" s="231"/>
      <c r="O106" s="231"/>
      <c r="P106" s="234">
        <v>1166.0999999999999</v>
      </c>
    </row>
    <row r="107" spans="1:16" ht="19.5" customHeight="1">
      <c r="A107" s="227" t="s">
        <v>1108</v>
      </c>
      <c r="B107" s="230">
        <v>46048</v>
      </c>
      <c r="C107" s="227" t="s">
        <v>104</v>
      </c>
      <c r="D107" s="227" t="s">
        <v>105</v>
      </c>
      <c r="E107" s="227" t="s">
        <v>52</v>
      </c>
      <c r="F107" s="227" t="s">
        <v>90</v>
      </c>
      <c r="G107" s="227" t="s">
        <v>84</v>
      </c>
      <c r="H107" s="231">
        <v>1</v>
      </c>
      <c r="I107" s="232">
        <v>1800</v>
      </c>
      <c r="J107" s="230">
        <v>46046</v>
      </c>
      <c r="K107" s="227" t="s">
        <v>93</v>
      </c>
      <c r="L107" s="227" t="s">
        <v>94</v>
      </c>
      <c r="M107" s="233">
        <v>0.43</v>
      </c>
      <c r="N107" s="231"/>
      <c r="O107" s="231"/>
      <c r="P107" s="234">
        <v>-774</v>
      </c>
    </row>
    <row r="108" spans="1:16" ht="19.5" customHeight="1">
      <c r="A108" s="227" t="s">
        <v>1108</v>
      </c>
      <c r="B108" s="230">
        <v>46048</v>
      </c>
      <c r="C108" s="227" t="s">
        <v>81</v>
      </c>
      <c r="D108" s="227" t="s">
        <v>95</v>
      </c>
      <c r="E108" s="227" t="s">
        <v>52</v>
      </c>
      <c r="F108" s="227" t="s">
        <v>90</v>
      </c>
      <c r="G108" s="227" t="s">
        <v>84</v>
      </c>
      <c r="H108" s="231">
        <v>1</v>
      </c>
      <c r="I108" s="232">
        <v>1800</v>
      </c>
      <c r="J108" s="230">
        <v>46046</v>
      </c>
      <c r="K108" s="227" t="s">
        <v>93</v>
      </c>
      <c r="L108" s="227" t="s">
        <v>94</v>
      </c>
      <c r="M108" s="233">
        <v>0.43</v>
      </c>
      <c r="N108" s="231"/>
      <c r="O108" s="231"/>
      <c r="P108" s="234">
        <v>-10.45</v>
      </c>
    </row>
    <row r="109" spans="1:16" ht="19.5" customHeight="1">
      <c r="A109" s="227" t="s">
        <v>1109</v>
      </c>
      <c r="B109" s="230">
        <v>46048</v>
      </c>
      <c r="C109" s="227" t="s">
        <v>92</v>
      </c>
      <c r="D109" s="227" t="s">
        <v>24</v>
      </c>
      <c r="E109" s="227" t="s">
        <v>53</v>
      </c>
      <c r="F109" s="227" t="s">
        <v>120</v>
      </c>
      <c r="G109" s="227" t="s">
        <v>84</v>
      </c>
      <c r="H109" s="231">
        <v>1</v>
      </c>
      <c r="I109" s="232">
        <v>1812</v>
      </c>
      <c r="J109" s="230">
        <v>46046</v>
      </c>
      <c r="K109" s="227" t="s">
        <v>93</v>
      </c>
      <c r="L109" s="227" t="s">
        <v>94</v>
      </c>
      <c r="M109" s="233">
        <v>0.43</v>
      </c>
      <c r="N109" s="231"/>
      <c r="O109" s="231">
        <v>40</v>
      </c>
      <c r="P109" s="234">
        <v>-130.77000000000001</v>
      </c>
    </row>
    <row r="110" spans="1:16" ht="19.5" customHeight="1">
      <c r="A110" s="227" t="s">
        <v>1109</v>
      </c>
      <c r="B110" s="230">
        <v>46048</v>
      </c>
      <c r="C110" s="227" t="s">
        <v>100</v>
      </c>
      <c r="D110" s="227" t="s">
        <v>101</v>
      </c>
      <c r="E110" s="227" t="s">
        <v>53</v>
      </c>
      <c r="F110" s="227" t="s">
        <v>120</v>
      </c>
      <c r="G110" s="227" t="s">
        <v>84</v>
      </c>
      <c r="H110" s="231">
        <v>1</v>
      </c>
      <c r="I110" s="232">
        <v>1812</v>
      </c>
      <c r="J110" s="230">
        <v>46046</v>
      </c>
      <c r="K110" s="227" t="s">
        <v>93</v>
      </c>
      <c r="L110" s="227" t="s">
        <v>94</v>
      </c>
      <c r="M110" s="233">
        <v>0</v>
      </c>
      <c r="N110" s="231"/>
      <c r="O110" s="231"/>
      <c r="P110" s="234">
        <v>712.38</v>
      </c>
    </row>
    <row r="111" spans="1:16" ht="19.5" customHeight="1">
      <c r="A111" s="227" t="s">
        <v>1109</v>
      </c>
      <c r="B111" s="230">
        <v>46048</v>
      </c>
      <c r="C111" s="227" t="s">
        <v>100</v>
      </c>
      <c r="D111" s="227" t="s">
        <v>102</v>
      </c>
      <c r="E111" s="227" t="s">
        <v>53</v>
      </c>
      <c r="F111" s="227" t="s">
        <v>120</v>
      </c>
      <c r="G111" s="227" t="s">
        <v>84</v>
      </c>
      <c r="H111" s="231">
        <v>1</v>
      </c>
      <c r="I111" s="232">
        <v>1812</v>
      </c>
      <c r="J111" s="230">
        <v>46046</v>
      </c>
      <c r="K111" s="227" t="s">
        <v>93</v>
      </c>
      <c r="L111" s="227" t="s">
        <v>94</v>
      </c>
      <c r="M111" s="233">
        <v>0</v>
      </c>
      <c r="N111" s="231"/>
      <c r="O111" s="231"/>
      <c r="P111" s="234">
        <v>7.12</v>
      </c>
    </row>
    <row r="112" spans="1:16" ht="19.5" customHeight="1">
      <c r="A112" s="227" t="s">
        <v>1109</v>
      </c>
      <c r="B112" s="230">
        <v>46048</v>
      </c>
      <c r="C112" s="227" t="s">
        <v>100</v>
      </c>
      <c r="D112" s="227" t="s">
        <v>103</v>
      </c>
      <c r="E112" s="227" t="s">
        <v>53</v>
      </c>
      <c r="F112" s="227" t="s">
        <v>120</v>
      </c>
      <c r="G112" s="227" t="s">
        <v>84</v>
      </c>
      <c r="H112" s="231">
        <v>1</v>
      </c>
      <c r="I112" s="232">
        <v>1812</v>
      </c>
      <c r="J112" s="230">
        <v>46046</v>
      </c>
      <c r="K112" s="227" t="s">
        <v>93</v>
      </c>
      <c r="L112" s="227" t="s">
        <v>94</v>
      </c>
      <c r="M112" s="233">
        <v>0</v>
      </c>
      <c r="N112" s="231"/>
      <c r="O112" s="231"/>
      <c r="P112" s="234">
        <v>1092.5</v>
      </c>
    </row>
    <row r="113" spans="1:16" ht="19.5" customHeight="1">
      <c r="A113" s="227" t="s">
        <v>1109</v>
      </c>
      <c r="B113" s="230">
        <v>46048</v>
      </c>
      <c r="C113" s="227" t="s">
        <v>104</v>
      </c>
      <c r="D113" s="227" t="s">
        <v>105</v>
      </c>
      <c r="E113" s="227" t="s">
        <v>53</v>
      </c>
      <c r="F113" s="227" t="s">
        <v>120</v>
      </c>
      <c r="G113" s="227" t="s">
        <v>84</v>
      </c>
      <c r="H113" s="231">
        <v>1</v>
      </c>
      <c r="I113" s="232">
        <v>1812</v>
      </c>
      <c r="J113" s="230">
        <v>46046</v>
      </c>
      <c r="K113" s="227" t="s">
        <v>93</v>
      </c>
      <c r="L113" s="227" t="s">
        <v>94</v>
      </c>
      <c r="M113" s="233">
        <v>0.43</v>
      </c>
      <c r="N113" s="231"/>
      <c r="O113" s="231"/>
      <c r="P113" s="234">
        <v>-779.16</v>
      </c>
    </row>
    <row r="114" spans="1:16" ht="19.5" customHeight="1">
      <c r="A114" s="227" t="s">
        <v>1109</v>
      </c>
      <c r="B114" s="230">
        <v>46048</v>
      </c>
      <c r="C114" s="227" t="s">
        <v>81</v>
      </c>
      <c r="D114" s="227" t="s">
        <v>95</v>
      </c>
      <c r="E114" s="227" t="s">
        <v>53</v>
      </c>
      <c r="F114" s="227" t="s">
        <v>120</v>
      </c>
      <c r="G114" s="227" t="s">
        <v>84</v>
      </c>
      <c r="H114" s="231">
        <v>1</v>
      </c>
      <c r="I114" s="232">
        <v>1812</v>
      </c>
      <c r="J114" s="230">
        <v>46046</v>
      </c>
      <c r="K114" s="227" t="s">
        <v>93</v>
      </c>
      <c r="L114" s="227" t="s">
        <v>94</v>
      </c>
      <c r="M114" s="233">
        <v>0.43</v>
      </c>
      <c r="N114" s="231"/>
      <c r="O114" s="231"/>
      <c r="P114" s="234">
        <v>-12.89</v>
      </c>
    </row>
    <row r="115" spans="1:16" ht="19.5" customHeight="1">
      <c r="A115" s="227" t="s">
        <v>1110</v>
      </c>
      <c r="B115" s="230">
        <v>46048</v>
      </c>
      <c r="C115" s="227" t="s">
        <v>92</v>
      </c>
      <c r="D115" s="227" t="s">
        <v>24</v>
      </c>
      <c r="E115" s="227" t="s">
        <v>41</v>
      </c>
      <c r="F115" s="227" t="s">
        <v>83</v>
      </c>
      <c r="G115" s="227" t="s">
        <v>84</v>
      </c>
      <c r="H115" s="231">
        <v>1</v>
      </c>
      <c r="I115" s="232">
        <v>0</v>
      </c>
      <c r="J115" s="230">
        <v>46042</v>
      </c>
      <c r="K115" s="227" t="s">
        <v>93</v>
      </c>
      <c r="L115" s="227" t="s">
        <v>94</v>
      </c>
      <c r="M115" s="233">
        <v>0</v>
      </c>
      <c r="N115" s="231"/>
      <c r="O115" s="231">
        <v>43</v>
      </c>
      <c r="P115" s="234">
        <v>-46.77</v>
      </c>
    </row>
    <row r="116" spans="1:16" ht="19.5" customHeight="1">
      <c r="A116" s="227" t="s">
        <v>1110</v>
      </c>
      <c r="B116" s="230">
        <v>46048</v>
      </c>
      <c r="C116" s="227" t="s">
        <v>81</v>
      </c>
      <c r="D116" s="227" t="s">
        <v>95</v>
      </c>
      <c r="E116" s="227" t="s">
        <v>41</v>
      </c>
      <c r="F116" s="227" t="s">
        <v>83</v>
      </c>
      <c r="G116" s="227" t="s">
        <v>84</v>
      </c>
      <c r="H116" s="231">
        <v>1</v>
      </c>
      <c r="I116" s="232">
        <v>0</v>
      </c>
      <c r="J116" s="230">
        <v>46042</v>
      </c>
      <c r="K116" s="227" t="s">
        <v>93</v>
      </c>
      <c r="L116" s="227" t="s">
        <v>94</v>
      </c>
      <c r="M116" s="233">
        <v>0</v>
      </c>
      <c r="N116" s="231"/>
      <c r="O116" s="231"/>
      <c r="P116" s="234">
        <v>-10.78</v>
      </c>
    </row>
    <row r="117" spans="1:16" ht="19.5" customHeight="1">
      <c r="A117" s="227" t="s">
        <v>1108</v>
      </c>
      <c r="B117" s="230">
        <v>46048</v>
      </c>
      <c r="C117" s="227" t="s">
        <v>81</v>
      </c>
      <c r="D117" s="227" t="s">
        <v>82</v>
      </c>
      <c r="E117" s="227" t="s">
        <v>52</v>
      </c>
      <c r="F117" s="227" t="s">
        <v>90</v>
      </c>
      <c r="G117" s="227" t="s">
        <v>84</v>
      </c>
      <c r="H117" s="231">
        <v>1</v>
      </c>
      <c r="I117" s="232">
        <v>0</v>
      </c>
      <c r="J117" s="230">
        <v>46046</v>
      </c>
      <c r="K117" s="227" t="s">
        <v>85</v>
      </c>
      <c r="L117" s="227" t="s">
        <v>85</v>
      </c>
      <c r="M117" s="233">
        <v>0</v>
      </c>
      <c r="N117" s="231"/>
      <c r="O117" s="231"/>
      <c r="P117" s="234">
        <v>-11.92</v>
      </c>
    </row>
    <row r="118" spans="1:16" ht="19.5" customHeight="1">
      <c r="A118" s="227" t="s">
        <v>1110</v>
      </c>
      <c r="B118" s="230">
        <v>46048</v>
      </c>
      <c r="C118" s="227" t="s">
        <v>92</v>
      </c>
      <c r="D118" s="227" t="s">
        <v>96</v>
      </c>
      <c r="E118" s="227" t="s">
        <v>41</v>
      </c>
      <c r="F118" s="227" t="s">
        <v>83</v>
      </c>
      <c r="G118" s="227" t="s">
        <v>84</v>
      </c>
      <c r="H118" s="231">
        <v>1</v>
      </c>
      <c r="I118" s="232">
        <v>0</v>
      </c>
      <c r="J118" s="230">
        <v>46042</v>
      </c>
      <c r="K118" s="227" t="s">
        <v>93</v>
      </c>
      <c r="L118" s="227" t="s">
        <v>94</v>
      </c>
      <c r="M118" s="233">
        <v>0</v>
      </c>
      <c r="N118" s="231"/>
      <c r="O118" s="231"/>
      <c r="P118" s="234">
        <v>0</v>
      </c>
    </row>
    <row r="119" spans="1:16" ht="19.5" customHeight="1">
      <c r="A119" s="227" t="s">
        <v>1110</v>
      </c>
      <c r="B119" s="230">
        <v>46048</v>
      </c>
      <c r="C119" s="227" t="s">
        <v>92</v>
      </c>
      <c r="D119" s="227" t="s">
        <v>97</v>
      </c>
      <c r="E119" s="227" t="s">
        <v>41</v>
      </c>
      <c r="F119" s="227" t="s">
        <v>83</v>
      </c>
      <c r="G119" s="227" t="s">
        <v>84</v>
      </c>
      <c r="H119" s="231">
        <v>1</v>
      </c>
      <c r="I119" s="232">
        <v>0</v>
      </c>
      <c r="J119" s="230">
        <v>46042</v>
      </c>
      <c r="K119" s="227" t="s">
        <v>93</v>
      </c>
      <c r="L119" s="227" t="s">
        <v>94</v>
      </c>
      <c r="M119" s="233">
        <v>0</v>
      </c>
      <c r="N119" s="231"/>
      <c r="O119" s="231"/>
      <c r="P119" s="234">
        <v>-46.77</v>
      </c>
    </row>
    <row r="120" spans="1:16" ht="19.5" customHeight="1">
      <c r="A120" s="227" t="s">
        <v>1110</v>
      </c>
      <c r="B120" s="230">
        <v>46048</v>
      </c>
      <c r="C120" s="227" t="s">
        <v>81</v>
      </c>
      <c r="D120" s="227" t="s">
        <v>98</v>
      </c>
      <c r="E120" s="227" t="s">
        <v>41</v>
      </c>
      <c r="F120" s="227" t="s">
        <v>83</v>
      </c>
      <c r="G120" s="227" t="s">
        <v>84</v>
      </c>
      <c r="H120" s="231">
        <v>1</v>
      </c>
      <c r="I120" s="232">
        <v>0</v>
      </c>
      <c r="J120" s="230">
        <v>46042</v>
      </c>
      <c r="K120" s="227" t="s">
        <v>93</v>
      </c>
      <c r="L120" s="227" t="s">
        <v>94</v>
      </c>
      <c r="M120" s="233">
        <v>0</v>
      </c>
      <c r="N120" s="231"/>
      <c r="O120" s="231"/>
      <c r="P120" s="234">
        <v>-15</v>
      </c>
    </row>
    <row r="121" spans="1:16" ht="19.5" customHeight="1">
      <c r="A121" s="227" t="s">
        <v>1111</v>
      </c>
      <c r="B121" s="230">
        <v>46048</v>
      </c>
      <c r="C121" s="227" t="s">
        <v>92</v>
      </c>
      <c r="D121" s="227" t="s">
        <v>24</v>
      </c>
      <c r="E121" s="227" t="s">
        <v>53</v>
      </c>
      <c r="F121" s="227" t="s">
        <v>120</v>
      </c>
      <c r="G121" s="227" t="s">
        <v>84</v>
      </c>
      <c r="H121" s="231">
        <v>1</v>
      </c>
      <c r="I121" s="232">
        <v>1812</v>
      </c>
      <c r="J121" s="230">
        <v>46047</v>
      </c>
      <c r="K121" s="227" t="s">
        <v>93</v>
      </c>
      <c r="L121" s="227" t="s">
        <v>94</v>
      </c>
      <c r="M121" s="233">
        <v>0.43</v>
      </c>
      <c r="N121" s="231"/>
      <c r="O121" s="231">
        <v>41</v>
      </c>
      <c r="P121" s="234">
        <v>-135.16</v>
      </c>
    </row>
    <row r="122" spans="1:16" ht="19.5" customHeight="1">
      <c r="A122" s="227" t="s">
        <v>1111</v>
      </c>
      <c r="B122" s="230">
        <v>46048</v>
      </c>
      <c r="C122" s="227" t="s">
        <v>100</v>
      </c>
      <c r="D122" s="227" t="s">
        <v>101</v>
      </c>
      <c r="E122" s="227" t="s">
        <v>53</v>
      </c>
      <c r="F122" s="227" t="s">
        <v>120</v>
      </c>
      <c r="G122" s="227" t="s">
        <v>84</v>
      </c>
      <c r="H122" s="231">
        <v>1</v>
      </c>
      <c r="I122" s="232">
        <v>1812</v>
      </c>
      <c r="J122" s="230">
        <v>46047</v>
      </c>
      <c r="K122" s="227" t="s">
        <v>93</v>
      </c>
      <c r="L122" s="227" t="s">
        <v>94</v>
      </c>
      <c r="M122" s="233">
        <v>0</v>
      </c>
      <c r="N122" s="231"/>
      <c r="O122" s="231"/>
      <c r="P122" s="234">
        <v>672.38</v>
      </c>
    </row>
    <row r="123" spans="1:16" ht="19.5" customHeight="1">
      <c r="A123" s="227" t="s">
        <v>1111</v>
      </c>
      <c r="B123" s="230">
        <v>46048</v>
      </c>
      <c r="C123" s="227" t="s">
        <v>100</v>
      </c>
      <c r="D123" s="227" t="s">
        <v>102</v>
      </c>
      <c r="E123" s="227" t="s">
        <v>53</v>
      </c>
      <c r="F123" s="227" t="s">
        <v>120</v>
      </c>
      <c r="G123" s="227" t="s">
        <v>84</v>
      </c>
      <c r="H123" s="231">
        <v>1</v>
      </c>
      <c r="I123" s="232">
        <v>1812</v>
      </c>
      <c r="J123" s="230">
        <v>46047</v>
      </c>
      <c r="K123" s="227" t="s">
        <v>93</v>
      </c>
      <c r="L123" s="227" t="s">
        <v>94</v>
      </c>
      <c r="M123" s="233">
        <v>0</v>
      </c>
      <c r="N123" s="231"/>
      <c r="O123" s="231"/>
      <c r="P123" s="234">
        <v>6.72</v>
      </c>
    </row>
    <row r="124" spans="1:16" ht="19.5" customHeight="1">
      <c r="A124" s="227" t="s">
        <v>1111</v>
      </c>
      <c r="B124" s="230">
        <v>46048</v>
      </c>
      <c r="C124" s="227" t="s">
        <v>100</v>
      </c>
      <c r="D124" s="227" t="s">
        <v>103</v>
      </c>
      <c r="E124" s="227" t="s">
        <v>53</v>
      </c>
      <c r="F124" s="227" t="s">
        <v>120</v>
      </c>
      <c r="G124" s="227" t="s">
        <v>84</v>
      </c>
      <c r="H124" s="231">
        <v>1</v>
      </c>
      <c r="I124" s="232">
        <v>1812</v>
      </c>
      <c r="J124" s="230">
        <v>46047</v>
      </c>
      <c r="K124" s="227" t="s">
        <v>93</v>
      </c>
      <c r="L124" s="227" t="s">
        <v>94</v>
      </c>
      <c r="M124" s="233">
        <v>0</v>
      </c>
      <c r="N124" s="231"/>
      <c r="O124" s="231"/>
      <c r="P124" s="234">
        <v>1132.9000000000001</v>
      </c>
    </row>
    <row r="125" spans="1:16" ht="19.5" customHeight="1">
      <c r="A125" s="227" t="s">
        <v>1111</v>
      </c>
      <c r="B125" s="230">
        <v>46048</v>
      </c>
      <c r="C125" s="227" t="s">
        <v>104</v>
      </c>
      <c r="D125" s="227" t="s">
        <v>105</v>
      </c>
      <c r="E125" s="227" t="s">
        <v>53</v>
      </c>
      <c r="F125" s="227" t="s">
        <v>120</v>
      </c>
      <c r="G125" s="227" t="s">
        <v>84</v>
      </c>
      <c r="H125" s="231">
        <v>1</v>
      </c>
      <c r="I125" s="232">
        <v>1812</v>
      </c>
      <c r="J125" s="230">
        <v>46047</v>
      </c>
      <c r="K125" s="227" t="s">
        <v>93</v>
      </c>
      <c r="L125" s="227" t="s">
        <v>94</v>
      </c>
      <c r="M125" s="233">
        <v>0.43</v>
      </c>
      <c r="N125" s="231"/>
      <c r="O125" s="231"/>
      <c r="P125" s="234">
        <v>-779.16</v>
      </c>
    </row>
    <row r="126" spans="1:16" ht="19.5" customHeight="1">
      <c r="A126" s="227" t="s">
        <v>1111</v>
      </c>
      <c r="B126" s="230">
        <v>46048</v>
      </c>
      <c r="C126" s="227" t="s">
        <v>81</v>
      </c>
      <c r="D126" s="227" t="s">
        <v>95</v>
      </c>
      <c r="E126" s="227" t="s">
        <v>53</v>
      </c>
      <c r="F126" s="227" t="s">
        <v>120</v>
      </c>
      <c r="G126" s="227" t="s">
        <v>84</v>
      </c>
      <c r="H126" s="231">
        <v>1</v>
      </c>
      <c r="I126" s="232">
        <v>1812</v>
      </c>
      <c r="J126" s="230">
        <v>46047</v>
      </c>
      <c r="K126" s="227" t="s">
        <v>93</v>
      </c>
      <c r="L126" s="227" t="s">
        <v>94</v>
      </c>
      <c r="M126" s="233">
        <v>0.43</v>
      </c>
      <c r="N126" s="231"/>
      <c r="O126" s="231"/>
      <c r="P126" s="234">
        <v>-9.52</v>
      </c>
    </row>
    <row r="127" spans="1:16" ht="19.5" customHeight="1">
      <c r="A127" s="227" t="s">
        <v>1112</v>
      </c>
      <c r="B127" s="230">
        <v>46048</v>
      </c>
      <c r="C127" s="227" t="s">
        <v>92</v>
      </c>
      <c r="D127" s="227" t="s">
        <v>24</v>
      </c>
      <c r="E127" s="227" t="s">
        <v>52</v>
      </c>
      <c r="F127" s="227" t="s">
        <v>90</v>
      </c>
      <c r="G127" s="227" t="s">
        <v>84</v>
      </c>
      <c r="H127" s="231">
        <v>1</v>
      </c>
      <c r="I127" s="232">
        <v>1800</v>
      </c>
      <c r="J127" s="230">
        <v>46047</v>
      </c>
      <c r="K127" s="227" t="s">
        <v>93</v>
      </c>
      <c r="L127" s="227" t="s">
        <v>94</v>
      </c>
      <c r="M127" s="233">
        <v>0.43</v>
      </c>
      <c r="N127" s="231"/>
      <c r="O127" s="231">
        <v>41</v>
      </c>
      <c r="P127" s="234">
        <v>-134.84</v>
      </c>
    </row>
    <row r="128" spans="1:16" ht="19.5" customHeight="1">
      <c r="A128" s="227" t="s">
        <v>1112</v>
      </c>
      <c r="B128" s="230">
        <v>46048</v>
      </c>
      <c r="C128" s="227" t="s">
        <v>100</v>
      </c>
      <c r="D128" s="227" t="s">
        <v>101</v>
      </c>
      <c r="E128" s="227" t="s">
        <v>52</v>
      </c>
      <c r="F128" s="227" t="s">
        <v>90</v>
      </c>
      <c r="G128" s="227" t="s">
        <v>84</v>
      </c>
      <c r="H128" s="231">
        <v>1</v>
      </c>
      <c r="I128" s="232">
        <v>1800</v>
      </c>
      <c r="J128" s="230">
        <v>46047</v>
      </c>
      <c r="K128" s="227" t="s">
        <v>93</v>
      </c>
      <c r="L128" s="227" t="s">
        <v>94</v>
      </c>
      <c r="M128" s="233">
        <v>0</v>
      </c>
      <c r="N128" s="231"/>
      <c r="O128" s="231"/>
      <c r="P128" s="234">
        <v>651.76</v>
      </c>
    </row>
    <row r="129" spans="1:16" ht="19.5" customHeight="1">
      <c r="A129" s="227" t="s">
        <v>1112</v>
      </c>
      <c r="B129" s="230">
        <v>46048</v>
      </c>
      <c r="C129" s="227" t="s">
        <v>100</v>
      </c>
      <c r="D129" s="227" t="s">
        <v>102</v>
      </c>
      <c r="E129" s="227" t="s">
        <v>52</v>
      </c>
      <c r="F129" s="227" t="s">
        <v>90</v>
      </c>
      <c r="G129" s="227" t="s">
        <v>84</v>
      </c>
      <c r="H129" s="231">
        <v>1</v>
      </c>
      <c r="I129" s="232">
        <v>1800</v>
      </c>
      <c r="J129" s="230">
        <v>46047</v>
      </c>
      <c r="K129" s="227" t="s">
        <v>93</v>
      </c>
      <c r="L129" s="227" t="s">
        <v>94</v>
      </c>
      <c r="M129" s="233">
        <v>0</v>
      </c>
      <c r="N129" s="231"/>
      <c r="O129" s="231"/>
      <c r="P129" s="234">
        <v>6.52</v>
      </c>
    </row>
    <row r="130" spans="1:16" ht="19.5" customHeight="1">
      <c r="A130" s="227" t="s">
        <v>1112</v>
      </c>
      <c r="B130" s="230">
        <v>46048</v>
      </c>
      <c r="C130" s="227" t="s">
        <v>100</v>
      </c>
      <c r="D130" s="227" t="s">
        <v>103</v>
      </c>
      <c r="E130" s="227" t="s">
        <v>52</v>
      </c>
      <c r="F130" s="227" t="s">
        <v>90</v>
      </c>
      <c r="G130" s="227" t="s">
        <v>84</v>
      </c>
      <c r="H130" s="231">
        <v>1</v>
      </c>
      <c r="I130" s="232">
        <v>1800</v>
      </c>
      <c r="J130" s="230">
        <v>46047</v>
      </c>
      <c r="K130" s="227" t="s">
        <v>93</v>
      </c>
      <c r="L130" s="227" t="s">
        <v>94</v>
      </c>
      <c r="M130" s="233">
        <v>0</v>
      </c>
      <c r="N130" s="231"/>
      <c r="O130" s="231"/>
      <c r="P130" s="234">
        <v>1141.72</v>
      </c>
    </row>
    <row r="131" spans="1:16" ht="19.5" customHeight="1">
      <c r="A131" s="227" t="s">
        <v>1112</v>
      </c>
      <c r="B131" s="230">
        <v>46048</v>
      </c>
      <c r="C131" s="227" t="s">
        <v>104</v>
      </c>
      <c r="D131" s="227" t="s">
        <v>105</v>
      </c>
      <c r="E131" s="227" t="s">
        <v>52</v>
      </c>
      <c r="F131" s="227" t="s">
        <v>90</v>
      </c>
      <c r="G131" s="227" t="s">
        <v>84</v>
      </c>
      <c r="H131" s="231">
        <v>1</v>
      </c>
      <c r="I131" s="232">
        <v>1800</v>
      </c>
      <c r="J131" s="230">
        <v>46047</v>
      </c>
      <c r="K131" s="227" t="s">
        <v>93</v>
      </c>
      <c r="L131" s="227" t="s">
        <v>94</v>
      </c>
      <c r="M131" s="233">
        <v>0.43</v>
      </c>
      <c r="N131" s="231"/>
      <c r="O131" s="231"/>
      <c r="P131" s="234">
        <v>-774</v>
      </c>
    </row>
    <row r="132" spans="1:16" ht="19.5" customHeight="1">
      <c r="A132" s="227" t="s">
        <v>1112</v>
      </c>
      <c r="B132" s="230">
        <v>46048</v>
      </c>
      <c r="C132" s="227" t="s">
        <v>81</v>
      </c>
      <c r="D132" s="227" t="s">
        <v>95</v>
      </c>
      <c r="E132" s="227" t="s">
        <v>52</v>
      </c>
      <c r="F132" s="227" t="s">
        <v>90</v>
      </c>
      <c r="G132" s="227" t="s">
        <v>84</v>
      </c>
      <c r="H132" s="231">
        <v>1</v>
      </c>
      <c r="I132" s="232">
        <v>1800</v>
      </c>
      <c r="J132" s="230">
        <v>46047</v>
      </c>
      <c r="K132" s="227" t="s">
        <v>93</v>
      </c>
      <c r="L132" s="227" t="s">
        <v>94</v>
      </c>
      <c r="M132" s="233">
        <v>0.43</v>
      </c>
      <c r="N132" s="231"/>
      <c r="O132" s="231"/>
      <c r="P132" s="234">
        <v>-8.64</v>
      </c>
    </row>
    <row r="133" spans="1:16" ht="19.5" customHeight="1">
      <c r="A133" s="227" t="s">
        <v>1111</v>
      </c>
      <c r="B133" s="230">
        <v>46048</v>
      </c>
      <c r="C133" s="227" t="s">
        <v>81</v>
      </c>
      <c r="D133" s="227" t="s">
        <v>82</v>
      </c>
      <c r="E133" s="227" t="s">
        <v>53</v>
      </c>
      <c r="F133" s="227" t="s">
        <v>120</v>
      </c>
      <c r="G133" s="227" t="s">
        <v>84</v>
      </c>
      <c r="H133" s="231">
        <v>1</v>
      </c>
      <c r="I133" s="232">
        <v>0</v>
      </c>
      <c r="J133" s="230">
        <v>46047</v>
      </c>
      <c r="K133" s="227" t="s">
        <v>85</v>
      </c>
      <c r="L133" s="227" t="s">
        <v>85</v>
      </c>
      <c r="M133" s="233">
        <v>0</v>
      </c>
      <c r="N133" s="231"/>
      <c r="O133" s="231"/>
      <c r="P133" s="234">
        <v>-12.78</v>
      </c>
    </row>
    <row r="134" spans="1:16" ht="19.5" customHeight="1">
      <c r="A134" s="227" t="s">
        <v>1113</v>
      </c>
      <c r="B134" s="230">
        <v>46048</v>
      </c>
      <c r="C134" s="227" t="s">
        <v>92</v>
      </c>
      <c r="D134" s="227" t="s">
        <v>24</v>
      </c>
      <c r="E134" s="227" t="s">
        <v>42</v>
      </c>
      <c r="F134" s="227" t="s">
        <v>89</v>
      </c>
      <c r="G134" s="227" t="s">
        <v>84</v>
      </c>
      <c r="H134" s="231">
        <v>1</v>
      </c>
      <c r="I134" s="232">
        <v>1750</v>
      </c>
      <c r="J134" s="230">
        <v>46045</v>
      </c>
      <c r="K134" s="227" t="s">
        <v>93</v>
      </c>
      <c r="L134" s="227" t="s">
        <v>94</v>
      </c>
      <c r="M134" s="233">
        <v>0.43</v>
      </c>
      <c r="N134" s="231"/>
      <c r="O134" s="231">
        <v>40</v>
      </c>
      <c r="P134" s="234">
        <v>-115.25</v>
      </c>
    </row>
    <row r="135" spans="1:16" ht="19.5" customHeight="1">
      <c r="A135" s="227" t="s">
        <v>1113</v>
      </c>
      <c r="B135" s="230">
        <v>46048</v>
      </c>
      <c r="C135" s="227" t="s">
        <v>100</v>
      </c>
      <c r="D135" s="227" t="s">
        <v>101</v>
      </c>
      <c r="E135" s="227" t="s">
        <v>42</v>
      </c>
      <c r="F135" s="227" t="s">
        <v>89</v>
      </c>
      <c r="G135" s="227" t="s">
        <v>84</v>
      </c>
      <c r="H135" s="231">
        <v>1</v>
      </c>
      <c r="I135" s="232">
        <v>1750</v>
      </c>
      <c r="J135" s="230">
        <v>46045</v>
      </c>
      <c r="K135" s="227" t="s">
        <v>93</v>
      </c>
      <c r="L135" s="227" t="s">
        <v>94</v>
      </c>
      <c r="M135" s="233">
        <v>0</v>
      </c>
      <c r="N135" s="231"/>
      <c r="O135" s="231"/>
      <c r="P135" s="234">
        <v>606.64</v>
      </c>
    </row>
    <row r="136" spans="1:16" ht="19.5" customHeight="1">
      <c r="A136" s="227" t="s">
        <v>1113</v>
      </c>
      <c r="B136" s="230">
        <v>46048</v>
      </c>
      <c r="C136" s="227" t="s">
        <v>100</v>
      </c>
      <c r="D136" s="227" t="s">
        <v>102</v>
      </c>
      <c r="E136" s="227" t="s">
        <v>42</v>
      </c>
      <c r="F136" s="227" t="s">
        <v>89</v>
      </c>
      <c r="G136" s="227" t="s">
        <v>84</v>
      </c>
      <c r="H136" s="231">
        <v>1</v>
      </c>
      <c r="I136" s="232">
        <v>1750</v>
      </c>
      <c r="J136" s="230">
        <v>46045</v>
      </c>
      <c r="K136" s="227" t="s">
        <v>93</v>
      </c>
      <c r="L136" s="227" t="s">
        <v>94</v>
      </c>
      <c r="M136" s="233">
        <v>0</v>
      </c>
      <c r="N136" s="231"/>
      <c r="O136" s="231"/>
      <c r="P136" s="234">
        <v>6.07</v>
      </c>
    </row>
    <row r="137" spans="1:16" ht="19.5" customHeight="1">
      <c r="A137" s="227" t="s">
        <v>1113</v>
      </c>
      <c r="B137" s="230">
        <v>46048</v>
      </c>
      <c r="C137" s="227" t="s">
        <v>100</v>
      </c>
      <c r="D137" s="227" t="s">
        <v>103</v>
      </c>
      <c r="E137" s="227" t="s">
        <v>42</v>
      </c>
      <c r="F137" s="227" t="s">
        <v>89</v>
      </c>
      <c r="G137" s="227" t="s">
        <v>84</v>
      </c>
      <c r="H137" s="231">
        <v>1</v>
      </c>
      <c r="I137" s="232">
        <v>1750</v>
      </c>
      <c r="J137" s="230">
        <v>46045</v>
      </c>
      <c r="K137" s="227" t="s">
        <v>93</v>
      </c>
      <c r="L137" s="227" t="s">
        <v>94</v>
      </c>
      <c r="M137" s="233">
        <v>0</v>
      </c>
      <c r="N137" s="231"/>
      <c r="O137" s="231"/>
      <c r="P137" s="234">
        <v>1137.29</v>
      </c>
    </row>
    <row r="138" spans="1:16" ht="19.5" customHeight="1">
      <c r="A138" s="227" t="s">
        <v>1113</v>
      </c>
      <c r="B138" s="230">
        <v>46048</v>
      </c>
      <c r="C138" s="227" t="s">
        <v>104</v>
      </c>
      <c r="D138" s="227" t="s">
        <v>105</v>
      </c>
      <c r="E138" s="227" t="s">
        <v>42</v>
      </c>
      <c r="F138" s="227" t="s">
        <v>89</v>
      </c>
      <c r="G138" s="227" t="s">
        <v>84</v>
      </c>
      <c r="H138" s="231">
        <v>1</v>
      </c>
      <c r="I138" s="232">
        <v>1750</v>
      </c>
      <c r="J138" s="230">
        <v>46045</v>
      </c>
      <c r="K138" s="227" t="s">
        <v>93</v>
      </c>
      <c r="L138" s="227" t="s">
        <v>94</v>
      </c>
      <c r="M138" s="233">
        <v>0.43</v>
      </c>
      <c r="N138" s="231"/>
      <c r="O138" s="231"/>
      <c r="P138" s="234">
        <v>-752.5</v>
      </c>
    </row>
    <row r="139" spans="1:16" ht="19.5" customHeight="1">
      <c r="A139" s="227" t="s">
        <v>1113</v>
      </c>
      <c r="B139" s="230">
        <v>46048</v>
      </c>
      <c r="C139" s="227" t="s">
        <v>81</v>
      </c>
      <c r="D139" s="227" t="s">
        <v>95</v>
      </c>
      <c r="E139" s="227" t="s">
        <v>42</v>
      </c>
      <c r="F139" s="227" t="s">
        <v>89</v>
      </c>
      <c r="G139" s="227" t="s">
        <v>84</v>
      </c>
      <c r="H139" s="231">
        <v>1</v>
      </c>
      <c r="I139" s="232">
        <v>1750</v>
      </c>
      <c r="J139" s="230">
        <v>46045</v>
      </c>
      <c r="K139" s="227" t="s">
        <v>93</v>
      </c>
      <c r="L139" s="227" t="s">
        <v>94</v>
      </c>
      <c r="M139" s="233">
        <v>0.43</v>
      </c>
      <c r="N139" s="231"/>
      <c r="O139" s="231"/>
      <c r="P139" s="234">
        <v>-11.02</v>
      </c>
    </row>
    <row r="140" spans="1:16" ht="19.5" customHeight="1">
      <c r="A140" s="227" t="s">
        <v>1114</v>
      </c>
      <c r="B140" s="230">
        <v>46048</v>
      </c>
      <c r="C140" s="227" t="s">
        <v>81</v>
      </c>
      <c r="D140" s="227" t="s">
        <v>82</v>
      </c>
      <c r="E140" s="227" t="s">
        <v>52</v>
      </c>
      <c r="F140" s="227" t="s">
        <v>90</v>
      </c>
      <c r="G140" s="227" t="s">
        <v>84</v>
      </c>
      <c r="H140" s="231">
        <v>1</v>
      </c>
      <c r="I140" s="232">
        <v>0</v>
      </c>
      <c r="J140" s="230">
        <v>46048</v>
      </c>
      <c r="K140" s="227" t="s">
        <v>85</v>
      </c>
      <c r="L140" s="227" t="s">
        <v>85</v>
      </c>
      <c r="M140" s="233">
        <v>0</v>
      </c>
      <c r="N140" s="231"/>
      <c r="O140" s="231"/>
      <c r="P140" s="234">
        <v>-12.16</v>
      </c>
    </row>
    <row r="141" spans="1:16" ht="19.5" customHeight="1">
      <c r="A141" s="227" t="s">
        <v>1115</v>
      </c>
      <c r="B141" s="230">
        <v>46048</v>
      </c>
      <c r="C141" s="227" t="s">
        <v>81</v>
      </c>
      <c r="D141" s="227" t="s">
        <v>82</v>
      </c>
      <c r="E141" s="227" t="s">
        <v>53</v>
      </c>
      <c r="F141" s="227" t="s">
        <v>120</v>
      </c>
      <c r="G141" s="227" t="s">
        <v>84</v>
      </c>
      <c r="H141" s="231">
        <v>1</v>
      </c>
      <c r="I141" s="232">
        <v>0</v>
      </c>
      <c r="J141" s="230">
        <v>46048</v>
      </c>
      <c r="K141" s="227" t="s">
        <v>85</v>
      </c>
      <c r="L141" s="227" t="s">
        <v>85</v>
      </c>
      <c r="M141" s="233">
        <v>0</v>
      </c>
      <c r="N141" s="231"/>
      <c r="O141" s="231"/>
      <c r="P141" s="234">
        <v>-12</v>
      </c>
    </row>
    <row r="142" spans="1:16" ht="19.5" customHeight="1">
      <c r="A142" s="227" t="s">
        <v>1116</v>
      </c>
      <c r="B142" s="230">
        <v>46048</v>
      </c>
      <c r="C142" s="227" t="s">
        <v>92</v>
      </c>
      <c r="D142" s="227" t="s">
        <v>24</v>
      </c>
      <c r="E142" s="227" t="s">
        <v>42</v>
      </c>
      <c r="F142" s="227" t="s">
        <v>89</v>
      </c>
      <c r="G142" s="227" t="s">
        <v>84</v>
      </c>
      <c r="H142" s="231">
        <v>1</v>
      </c>
      <c r="I142" s="232">
        <v>1750</v>
      </c>
      <c r="J142" s="230">
        <v>46046</v>
      </c>
      <c r="K142" s="227" t="s">
        <v>93</v>
      </c>
      <c r="L142" s="227" t="s">
        <v>94</v>
      </c>
      <c r="M142" s="233">
        <v>0.43</v>
      </c>
      <c r="N142" s="231"/>
      <c r="O142" s="231">
        <v>40</v>
      </c>
      <c r="P142" s="234">
        <v>-115.25</v>
      </c>
    </row>
    <row r="143" spans="1:16" ht="19.5" customHeight="1">
      <c r="A143" s="227" t="s">
        <v>1116</v>
      </c>
      <c r="B143" s="230">
        <v>46048</v>
      </c>
      <c r="C143" s="227" t="s">
        <v>100</v>
      </c>
      <c r="D143" s="227" t="s">
        <v>101</v>
      </c>
      <c r="E143" s="227" t="s">
        <v>42</v>
      </c>
      <c r="F143" s="227" t="s">
        <v>89</v>
      </c>
      <c r="G143" s="227" t="s">
        <v>84</v>
      </c>
      <c r="H143" s="231">
        <v>1</v>
      </c>
      <c r="I143" s="232">
        <v>1750</v>
      </c>
      <c r="J143" s="230">
        <v>46046</v>
      </c>
      <c r="K143" s="227" t="s">
        <v>93</v>
      </c>
      <c r="L143" s="227" t="s">
        <v>94</v>
      </c>
      <c r="M143" s="233">
        <v>0</v>
      </c>
      <c r="N143" s="231"/>
      <c r="O143" s="231"/>
      <c r="P143" s="234">
        <v>663.51</v>
      </c>
    </row>
    <row r="144" spans="1:16" ht="19.5" customHeight="1">
      <c r="A144" s="227" t="s">
        <v>1116</v>
      </c>
      <c r="B144" s="230">
        <v>46048</v>
      </c>
      <c r="C144" s="227" t="s">
        <v>100</v>
      </c>
      <c r="D144" s="227" t="s">
        <v>102</v>
      </c>
      <c r="E144" s="227" t="s">
        <v>42</v>
      </c>
      <c r="F144" s="227" t="s">
        <v>89</v>
      </c>
      <c r="G144" s="227" t="s">
        <v>84</v>
      </c>
      <c r="H144" s="231">
        <v>1</v>
      </c>
      <c r="I144" s="232">
        <v>1750</v>
      </c>
      <c r="J144" s="230">
        <v>46046</v>
      </c>
      <c r="K144" s="227" t="s">
        <v>93</v>
      </c>
      <c r="L144" s="227" t="s">
        <v>94</v>
      </c>
      <c r="M144" s="233">
        <v>0</v>
      </c>
      <c r="N144" s="231"/>
      <c r="O144" s="231"/>
      <c r="P144" s="234">
        <v>0</v>
      </c>
    </row>
    <row r="145" spans="1:16" ht="19.5" customHeight="1">
      <c r="A145" s="227" t="s">
        <v>1116</v>
      </c>
      <c r="B145" s="230">
        <v>46048</v>
      </c>
      <c r="C145" s="227" t="s">
        <v>100</v>
      </c>
      <c r="D145" s="227" t="s">
        <v>103</v>
      </c>
      <c r="E145" s="227" t="s">
        <v>42</v>
      </c>
      <c r="F145" s="227" t="s">
        <v>89</v>
      </c>
      <c r="G145" s="227" t="s">
        <v>84</v>
      </c>
      <c r="H145" s="231">
        <v>1</v>
      </c>
      <c r="I145" s="232">
        <v>1750</v>
      </c>
      <c r="J145" s="230">
        <v>46046</v>
      </c>
      <c r="K145" s="227" t="s">
        <v>93</v>
      </c>
      <c r="L145" s="227" t="s">
        <v>94</v>
      </c>
      <c r="M145" s="233">
        <v>0</v>
      </c>
      <c r="N145" s="231"/>
      <c r="O145" s="231"/>
      <c r="P145" s="234">
        <v>1086.49</v>
      </c>
    </row>
    <row r="146" spans="1:16" ht="19.5" customHeight="1">
      <c r="A146" s="227" t="s">
        <v>1116</v>
      </c>
      <c r="B146" s="230">
        <v>46048</v>
      </c>
      <c r="C146" s="227" t="s">
        <v>104</v>
      </c>
      <c r="D146" s="227" t="s">
        <v>105</v>
      </c>
      <c r="E146" s="227" t="s">
        <v>42</v>
      </c>
      <c r="F146" s="227" t="s">
        <v>89</v>
      </c>
      <c r="G146" s="227" t="s">
        <v>84</v>
      </c>
      <c r="H146" s="231">
        <v>1</v>
      </c>
      <c r="I146" s="232">
        <v>1750</v>
      </c>
      <c r="J146" s="230">
        <v>46046</v>
      </c>
      <c r="K146" s="227" t="s">
        <v>93</v>
      </c>
      <c r="L146" s="227" t="s">
        <v>94</v>
      </c>
      <c r="M146" s="233">
        <v>0.43</v>
      </c>
      <c r="N146" s="231"/>
      <c r="O146" s="231"/>
      <c r="P146" s="234">
        <v>-752.5</v>
      </c>
    </row>
    <row r="147" spans="1:16" ht="19.5" customHeight="1">
      <c r="A147" s="227" t="s">
        <v>1116</v>
      </c>
      <c r="B147" s="230">
        <v>46048</v>
      </c>
      <c r="C147" s="227" t="s">
        <v>81</v>
      </c>
      <c r="D147" s="227" t="s">
        <v>95</v>
      </c>
      <c r="E147" s="227" t="s">
        <v>42</v>
      </c>
      <c r="F147" s="227" t="s">
        <v>89</v>
      </c>
      <c r="G147" s="227" t="s">
        <v>84</v>
      </c>
      <c r="H147" s="231">
        <v>1</v>
      </c>
      <c r="I147" s="232">
        <v>1750</v>
      </c>
      <c r="J147" s="230">
        <v>46046</v>
      </c>
      <c r="K147" s="227" t="s">
        <v>93</v>
      </c>
      <c r="L147" s="227" t="s">
        <v>94</v>
      </c>
      <c r="M147" s="233">
        <v>0.43</v>
      </c>
      <c r="N147" s="231"/>
      <c r="O147" s="231"/>
      <c r="P147" s="234">
        <v>-9.43</v>
      </c>
    </row>
    <row r="148" spans="1:16" ht="19.5" customHeight="1">
      <c r="A148" s="227" t="s">
        <v>1117</v>
      </c>
      <c r="B148" s="230">
        <v>46048</v>
      </c>
      <c r="C148" s="227" t="s">
        <v>81</v>
      </c>
      <c r="D148" s="227" t="s">
        <v>82</v>
      </c>
      <c r="E148" s="227" t="s">
        <v>41</v>
      </c>
      <c r="F148" s="227" t="s">
        <v>83</v>
      </c>
      <c r="G148" s="227" t="s">
        <v>84</v>
      </c>
      <c r="H148" s="231">
        <v>1</v>
      </c>
      <c r="I148" s="232">
        <v>0</v>
      </c>
      <c r="J148" s="230">
        <v>46048</v>
      </c>
      <c r="K148" s="227" t="s">
        <v>85</v>
      </c>
      <c r="L148" s="227" t="s">
        <v>85</v>
      </c>
      <c r="M148" s="233">
        <v>0</v>
      </c>
      <c r="N148" s="231"/>
      <c r="O148" s="231"/>
      <c r="P148" s="234">
        <v>-13.18</v>
      </c>
    </row>
    <row r="149" spans="1:16" ht="19.5" customHeight="1">
      <c r="A149" s="227" t="s">
        <v>1118</v>
      </c>
      <c r="B149" s="230">
        <v>46048</v>
      </c>
      <c r="C149" s="227" t="s">
        <v>92</v>
      </c>
      <c r="D149" s="227" t="s">
        <v>96</v>
      </c>
      <c r="E149" s="227" t="s">
        <v>53</v>
      </c>
      <c r="F149" s="227" t="s">
        <v>120</v>
      </c>
      <c r="G149" s="227" t="s">
        <v>84</v>
      </c>
      <c r="H149" s="231">
        <v>1</v>
      </c>
      <c r="I149" s="232">
        <v>0</v>
      </c>
      <c r="J149" s="230">
        <v>46044</v>
      </c>
      <c r="K149" s="227" t="s">
        <v>93</v>
      </c>
      <c r="L149" s="227" t="s">
        <v>94</v>
      </c>
      <c r="M149" s="233">
        <v>0</v>
      </c>
      <c r="N149" s="231"/>
      <c r="O149" s="231"/>
      <c r="P149" s="234">
        <v>0</v>
      </c>
    </row>
    <row r="150" spans="1:16" ht="19.5" customHeight="1">
      <c r="A150" s="227" t="s">
        <v>1118</v>
      </c>
      <c r="B150" s="230">
        <v>46048</v>
      </c>
      <c r="C150" s="227" t="s">
        <v>92</v>
      </c>
      <c r="D150" s="227" t="s">
        <v>97</v>
      </c>
      <c r="E150" s="227" t="s">
        <v>53</v>
      </c>
      <c r="F150" s="227" t="s">
        <v>120</v>
      </c>
      <c r="G150" s="227" t="s">
        <v>84</v>
      </c>
      <c r="H150" s="231">
        <v>1</v>
      </c>
      <c r="I150" s="232">
        <v>0</v>
      </c>
      <c r="J150" s="230">
        <v>46044</v>
      </c>
      <c r="K150" s="227" t="s">
        <v>93</v>
      </c>
      <c r="L150" s="227" t="s">
        <v>94</v>
      </c>
      <c r="M150" s="233">
        <v>0</v>
      </c>
      <c r="N150" s="231"/>
      <c r="O150" s="231"/>
      <c r="P150" s="234">
        <v>-56</v>
      </c>
    </row>
    <row r="151" spans="1:16" ht="19.5" customHeight="1">
      <c r="A151" s="227" t="s">
        <v>1118</v>
      </c>
      <c r="B151" s="230">
        <v>46048</v>
      </c>
      <c r="C151" s="227" t="s">
        <v>92</v>
      </c>
      <c r="D151" s="227" t="s">
        <v>24</v>
      </c>
      <c r="E151" s="227" t="s">
        <v>53</v>
      </c>
      <c r="F151" s="227" t="s">
        <v>120</v>
      </c>
      <c r="G151" s="227" t="s">
        <v>84</v>
      </c>
      <c r="H151" s="231">
        <v>1</v>
      </c>
      <c r="I151" s="232">
        <v>0</v>
      </c>
      <c r="J151" s="230">
        <v>46044</v>
      </c>
      <c r="K151" s="227" t="s">
        <v>93</v>
      </c>
      <c r="L151" s="227" t="s">
        <v>94</v>
      </c>
      <c r="M151" s="233">
        <v>0</v>
      </c>
      <c r="N151" s="231"/>
      <c r="O151" s="231">
        <v>42</v>
      </c>
      <c r="P151" s="234">
        <v>-56</v>
      </c>
    </row>
    <row r="152" spans="1:16" ht="19.5" customHeight="1">
      <c r="A152" s="227" t="s">
        <v>298</v>
      </c>
      <c r="B152" s="230">
        <v>46048</v>
      </c>
      <c r="C152" s="227" t="s">
        <v>81</v>
      </c>
      <c r="D152" s="227" t="s">
        <v>82</v>
      </c>
      <c r="E152" s="227" t="s">
        <v>53</v>
      </c>
      <c r="F152" s="227" t="s">
        <v>120</v>
      </c>
      <c r="G152" s="227" t="s">
        <v>84</v>
      </c>
      <c r="H152" s="231">
        <v>1</v>
      </c>
      <c r="I152" s="232">
        <v>0</v>
      </c>
      <c r="J152" s="230">
        <v>46046</v>
      </c>
      <c r="K152" s="227" t="s">
        <v>85</v>
      </c>
      <c r="L152" s="227" t="s">
        <v>85</v>
      </c>
      <c r="M152" s="233">
        <v>0</v>
      </c>
      <c r="N152" s="231"/>
      <c r="O152" s="231"/>
      <c r="P152" s="234">
        <v>5.22</v>
      </c>
    </row>
    <row r="153" spans="1:16" ht="19.5" customHeight="1">
      <c r="A153" s="227" t="s">
        <v>1119</v>
      </c>
      <c r="B153" s="230">
        <v>46048</v>
      </c>
      <c r="C153" s="227" t="s">
        <v>92</v>
      </c>
      <c r="D153" s="227" t="s">
        <v>24</v>
      </c>
      <c r="E153" s="227" t="s">
        <v>53</v>
      </c>
      <c r="F153" s="227" t="s">
        <v>120</v>
      </c>
      <c r="G153" s="227" t="s">
        <v>84</v>
      </c>
      <c r="H153" s="231">
        <v>1</v>
      </c>
      <c r="I153" s="232">
        <v>0</v>
      </c>
      <c r="J153" s="230">
        <v>46031</v>
      </c>
      <c r="K153" s="227" t="s">
        <v>93</v>
      </c>
      <c r="L153" s="227" t="s">
        <v>94</v>
      </c>
      <c r="M153" s="233">
        <v>0</v>
      </c>
      <c r="N153" s="231"/>
      <c r="O153" s="231">
        <v>42</v>
      </c>
      <c r="P153" s="234">
        <v>-56</v>
      </c>
    </row>
    <row r="154" spans="1:16" ht="19.5" customHeight="1">
      <c r="A154" s="227" t="s">
        <v>1119</v>
      </c>
      <c r="B154" s="230">
        <v>46048</v>
      </c>
      <c r="C154" s="227" t="s">
        <v>81</v>
      </c>
      <c r="D154" s="227" t="s">
        <v>95</v>
      </c>
      <c r="E154" s="227" t="s">
        <v>53</v>
      </c>
      <c r="F154" s="227" t="s">
        <v>120</v>
      </c>
      <c r="G154" s="227" t="s">
        <v>84</v>
      </c>
      <c r="H154" s="231">
        <v>1</v>
      </c>
      <c r="I154" s="232">
        <v>0</v>
      </c>
      <c r="J154" s="230">
        <v>46031</v>
      </c>
      <c r="K154" s="227" t="s">
        <v>93</v>
      </c>
      <c r="L154" s="227" t="s">
        <v>94</v>
      </c>
      <c r="M154" s="233">
        <v>0</v>
      </c>
      <c r="N154" s="231"/>
      <c r="O154" s="231"/>
      <c r="P154" s="234">
        <v>-16.39</v>
      </c>
    </row>
    <row r="155" spans="1:16" ht="19.5" customHeight="1">
      <c r="A155" s="227" t="s">
        <v>1119</v>
      </c>
      <c r="B155" s="230">
        <v>46048</v>
      </c>
      <c r="C155" s="227" t="s">
        <v>92</v>
      </c>
      <c r="D155" s="227" t="s">
        <v>96</v>
      </c>
      <c r="E155" s="227" t="s">
        <v>53</v>
      </c>
      <c r="F155" s="227" t="s">
        <v>120</v>
      </c>
      <c r="G155" s="227" t="s">
        <v>84</v>
      </c>
      <c r="H155" s="231">
        <v>1</v>
      </c>
      <c r="I155" s="232">
        <v>0</v>
      </c>
      <c r="J155" s="230">
        <v>46031</v>
      </c>
      <c r="K155" s="227" t="s">
        <v>93</v>
      </c>
      <c r="L155" s="227" t="s">
        <v>94</v>
      </c>
      <c r="M155" s="233">
        <v>0</v>
      </c>
      <c r="N155" s="231"/>
      <c r="O155" s="231"/>
      <c r="P155" s="234">
        <v>0</v>
      </c>
    </row>
    <row r="156" spans="1:16" ht="19.5" customHeight="1">
      <c r="A156" s="227" t="s">
        <v>1119</v>
      </c>
      <c r="B156" s="230">
        <v>46048</v>
      </c>
      <c r="C156" s="227" t="s">
        <v>92</v>
      </c>
      <c r="D156" s="227" t="s">
        <v>97</v>
      </c>
      <c r="E156" s="227" t="s">
        <v>53</v>
      </c>
      <c r="F156" s="227" t="s">
        <v>120</v>
      </c>
      <c r="G156" s="227" t="s">
        <v>84</v>
      </c>
      <c r="H156" s="231">
        <v>1</v>
      </c>
      <c r="I156" s="232">
        <v>0</v>
      </c>
      <c r="J156" s="230">
        <v>46031</v>
      </c>
      <c r="K156" s="227" t="s">
        <v>93</v>
      </c>
      <c r="L156" s="227" t="s">
        <v>94</v>
      </c>
      <c r="M156" s="233">
        <v>0</v>
      </c>
      <c r="N156" s="231"/>
      <c r="O156" s="231"/>
      <c r="P156" s="234">
        <v>-56</v>
      </c>
    </row>
    <row r="157" spans="1:16" ht="19.5" customHeight="1">
      <c r="A157" s="227" t="s">
        <v>1120</v>
      </c>
      <c r="B157" s="230">
        <v>46048</v>
      </c>
      <c r="C157" s="227" t="s">
        <v>81</v>
      </c>
      <c r="D157" s="227" t="s">
        <v>82</v>
      </c>
      <c r="E157" s="227" t="s">
        <v>52</v>
      </c>
      <c r="F157" s="227" t="s">
        <v>90</v>
      </c>
      <c r="G157" s="227" t="s">
        <v>84</v>
      </c>
      <c r="H157" s="231">
        <v>1</v>
      </c>
      <c r="I157" s="232">
        <v>0</v>
      </c>
      <c r="J157" s="230">
        <v>46048</v>
      </c>
      <c r="K157" s="227" t="s">
        <v>85</v>
      </c>
      <c r="L157" s="227" t="s">
        <v>85</v>
      </c>
      <c r="M157" s="233">
        <v>0</v>
      </c>
      <c r="N157" s="231"/>
      <c r="O157" s="231"/>
      <c r="P157" s="234">
        <v>-12.56</v>
      </c>
    </row>
    <row r="158" spans="1:16" ht="19.5" customHeight="1">
      <c r="A158" s="227" t="s">
        <v>1121</v>
      </c>
      <c r="B158" s="230">
        <v>46048</v>
      </c>
      <c r="C158" s="227" t="s">
        <v>354</v>
      </c>
      <c r="D158" s="227" t="s">
        <v>892</v>
      </c>
      <c r="E158" s="227" t="s">
        <v>85</v>
      </c>
      <c r="F158" s="227" t="s">
        <v>85</v>
      </c>
      <c r="G158" s="227" t="s">
        <v>85</v>
      </c>
      <c r="H158" s="231">
        <v>0</v>
      </c>
      <c r="I158" s="232">
        <v>0</v>
      </c>
      <c r="J158" s="230">
        <v>46041</v>
      </c>
      <c r="K158" s="227" t="s">
        <v>85</v>
      </c>
      <c r="L158" s="227" t="s">
        <v>85</v>
      </c>
      <c r="M158" s="233">
        <v>0</v>
      </c>
      <c r="N158" s="231"/>
      <c r="O158" s="231"/>
      <c r="P158" s="234">
        <v>-2283.6</v>
      </c>
    </row>
    <row r="159" spans="1:16" ht="19.5" customHeight="1">
      <c r="A159" s="227" t="s">
        <v>1121</v>
      </c>
      <c r="B159" s="230">
        <v>46048</v>
      </c>
      <c r="C159" s="227" t="s">
        <v>354</v>
      </c>
      <c r="D159" s="227" t="s">
        <v>892</v>
      </c>
      <c r="E159" s="227" t="s">
        <v>85</v>
      </c>
      <c r="F159" s="227" t="s">
        <v>85</v>
      </c>
      <c r="G159" s="227" t="s">
        <v>85</v>
      </c>
      <c r="H159" s="231">
        <v>0</v>
      </c>
      <c r="I159" s="232">
        <v>0</v>
      </c>
      <c r="J159" s="230">
        <v>46041</v>
      </c>
      <c r="K159" s="227" t="s">
        <v>85</v>
      </c>
      <c r="L159" s="227" t="s">
        <v>85</v>
      </c>
      <c r="M159" s="233">
        <v>0</v>
      </c>
      <c r="N159" s="231"/>
      <c r="O159" s="231"/>
      <c r="P159" s="234">
        <v>-2283.6</v>
      </c>
    </row>
    <row r="160" spans="1:16" ht="19.5" customHeight="1">
      <c r="A160" s="227" t="s">
        <v>1121</v>
      </c>
      <c r="B160" s="230">
        <v>46048</v>
      </c>
      <c r="C160" s="227" t="s">
        <v>354</v>
      </c>
      <c r="D160" s="227" t="s">
        <v>892</v>
      </c>
      <c r="E160" s="227" t="s">
        <v>85</v>
      </c>
      <c r="F160" s="227" t="s">
        <v>85</v>
      </c>
      <c r="G160" s="227" t="s">
        <v>85</v>
      </c>
      <c r="H160" s="231">
        <v>0</v>
      </c>
      <c r="I160" s="232">
        <v>0</v>
      </c>
      <c r="J160" s="230">
        <v>46041</v>
      </c>
      <c r="K160" s="227" t="s">
        <v>85</v>
      </c>
      <c r="L160" s="227" t="s">
        <v>85</v>
      </c>
      <c r="M160" s="233">
        <v>0</v>
      </c>
      <c r="N160" s="231"/>
      <c r="O160" s="231"/>
      <c r="P160" s="234">
        <v>-2283.6</v>
      </c>
    </row>
    <row r="161" spans="1:16" ht="19.5" customHeight="1">
      <c r="A161" s="227" t="s">
        <v>1121</v>
      </c>
      <c r="B161" s="230">
        <v>46048</v>
      </c>
      <c r="C161" s="227" t="s">
        <v>354</v>
      </c>
      <c r="D161" s="227" t="s">
        <v>892</v>
      </c>
      <c r="E161" s="227" t="s">
        <v>85</v>
      </c>
      <c r="F161" s="227" t="s">
        <v>85</v>
      </c>
      <c r="G161" s="227" t="s">
        <v>85</v>
      </c>
      <c r="H161" s="231">
        <v>0</v>
      </c>
      <c r="I161" s="232">
        <v>0</v>
      </c>
      <c r="J161" s="230">
        <v>46041</v>
      </c>
      <c r="K161" s="227" t="s">
        <v>85</v>
      </c>
      <c r="L161" s="227" t="s">
        <v>85</v>
      </c>
      <c r="M161" s="233">
        <v>0</v>
      </c>
      <c r="N161" s="231"/>
      <c r="O161" s="231"/>
      <c r="P161" s="234">
        <v>-2283.6</v>
      </c>
    </row>
    <row r="162" spans="1:16" ht="19.5" customHeight="1">
      <c r="A162" s="227" t="s">
        <v>1122</v>
      </c>
      <c r="B162" s="230">
        <v>46048</v>
      </c>
      <c r="C162" s="227" t="s">
        <v>81</v>
      </c>
      <c r="D162" s="227" t="s">
        <v>82</v>
      </c>
      <c r="E162" s="227" t="s">
        <v>52</v>
      </c>
      <c r="F162" s="227" t="s">
        <v>90</v>
      </c>
      <c r="G162" s="227" t="s">
        <v>84</v>
      </c>
      <c r="H162" s="231">
        <v>1</v>
      </c>
      <c r="I162" s="232">
        <v>0</v>
      </c>
      <c r="J162" s="230">
        <v>46048</v>
      </c>
      <c r="K162" s="227" t="s">
        <v>85</v>
      </c>
      <c r="L162" s="227" t="s">
        <v>85</v>
      </c>
      <c r="M162" s="233">
        <v>0</v>
      </c>
      <c r="N162" s="231"/>
      <c r="O162" s="231"/>
      <c r="P162" s="234">
        <v>-11.91</v>
      </c>
    </row>
    <row r="163" spans="1:16" ht="19.5" customHeight="1">
      <c r="A163" s="227" t="s">
        <v>226</v>
      </c>
      <c r="B163" s="230">
        <v>46048</v>
      </c>
      <c r="C163" s="227" t="s">
        <v>81</v>
      </c>
      <c r="D163" s="227" t="s">
        <v>82</v>
      </c>
      <c r="E163" s="227" t="s">
        <v>42</v>
      </c>
      <c r="F163" s="227" t="s">
        <v>89</v>
      </c>
      <c r="G163" s="227" t="s">
        <v>84</v>
      </c>
      <c r="H163" s="231">
        <v>1</v>
      </c>
      <c r="I163" s="232">
        <v>0</v>
      </c>
      <c r="J163" s="230">
        <v>46044</v>
      </c>
      <c r="K163" s="227" t="s">
        <v>85</v>
      </c>
      <c r="L163" s="227" t="s">
        <v>85</v>
      </c>
      <c r="M163" s="233">
        <v>0</v>
      </c>
      <c r="N163" s="231"/>
      <c r="O163" s="231"/>
      <c r="P163" s="234">
        <v>11.53</v>
      </c>
    </row>
    <row r="164" spans="1:16" ht="19.5" customHeight="1">
      <c r="A164" s="227" t="s">
        <v>1123</v>
      </c>
      <c r="B164" s="230">
        <v>46048</v>
      </c>
      <c r="C164" s="227" t="s">
        <v>81</v>
      </c>
      <c r="D164" s="227" t="s">
        <v>82</v>
      </c>
      <c r="E164" s="227" t="s">
        <v>53</v>
      </c>
      <c r="F164" s="227" t="s">
        <v>120</v>
      </c>
      <c r="G164" s="227" t="s">
        <v>84</v>
      </c>
      <c r="H164" s="231">
        <v>1</v>
      </c>
      <c r="I164" s="232">
        <v>0</v>
      </c>
      <c r="J164" s="230">
        <v>46048</v>
      </c>
      <c r="K164" s="227" t="s">
        <v>85</v>
      </c>
      <c r="L164" s="227" t="s">
        <v>85</v>
      </c>
      <c r="M164" s="233">
        <v>0</v>
      </c>
      <c r="N164" s="231"/>
      <c r="O164" s="231"/>
      <c r="P164" s="234">
        <v>-12.67</v>
      </c>
    </row>
    <row r="165" spans="1:16" ht="19.5" customHeight="1">
      <c r="A165" s="227" t="s">
        <v>1124</v>
      </c>
      <c r="B165" s="230">
        <v>46048</v>
      </c>
      <c r="C165" s="227" t="s">
        <v>81</v>
      </c>
      <c r="D165" s="227" t="s">
        <v>82</v>
      </c>
      <c r="E165" s="227" t="s">
        <v>42</v>
      </c>
      <c r="F165" s="227" t="s">
        <v>89</v>
      </c>
      <c r="G165" s="227" t="s">
        <v>84</v>
      </c>
      <c r="H165" s="231">
        <v>1</v>
      </c>
      <c r="I165" s="232">
        <v>0</v>
      </c>
      <c r="J165" s="230">
        <v>46048</v>
      </c>
      <c r="K165" s="227" t="s">
        <v>85</v>
      </c>
      <c r="L165" s="227" t="s">
        <v>85</v>
      </c>
      <c r="M165" s="233">
        <v>0</v>
      </c>
      <c r="N165" s="231"/>
      <c r="O165" s="231"/>
      <c r="P165" s="234">
        <v>-5.07</v>
      </c>
    </row>
    <row r="166" spans="1:16" ht="19.5" customHeight="1">
      <c r="A166" s="227" t="s">
        <v>141</v>
      </c>
      <c r="B166" s="230">
        <v>46048</v>
      </c>
      <c r="C166" s="227" t="s">
        <v>109</v>
      </c>
      <c r="D166" s="227" t="s">
        <v>139</v>
      </c>
      <c r="E166" s="227" t="s">
        <v>85</v>
      </c>
      <c r="F166" s="227" t="s">
        <v>85</v>
      </c>
      <c r="G166" s="227" t="s">
        <v>85</v>
      </c>
      <c r="H166" s="231">
        <v>0</v>
      </c>
      <c r="I166" s="232">
        <v>0</v>
      </c>
      <c r="J166" s="230">
        <v>46048</v>
      </c>
      <c r="K166" s="227" t="s">
        <v>85</v>
      </c>
      <c r="L166" s="227" t="s">
        <v>85</v>
      </c>
      <c r="M166" s="233">
        <v>0</v>
      </c>
      <c r="N166" s="231"/>
      <c r="O166" s="231"/>
      <c r="P166" s="234">
        <v>-414.96</v>
      </c>
    </row>
    <row r="167" spans="1:16" ht="19.5" customHeight="1">
      <c r="A167" s="227" t="s">
        <v>145</v>
      </c>
      <c r="B167" s="230">
        <v>46048</v>
      </c>
      <c r="C167" s="227" t="s">
        <v>109</v>
      </c>
      <c r="D167" s="227" t="s">
        <v>139</v>
      </c>
      <c r="E167" s="227" t="s">
        <v>85</v>
      </c>
      <c r="F167" s="227" t="s">
        <v>85</v>
      </c>
      <c r="G167" s="227" t="s">
        <v>85</v>
      </c>
      <c r="H167" s="231">
        <v>0</v>
      </c>
      <c r="I167" s="232">
        <v>0</v>
      </c>
      <c r="J167" s="230">
        <v>46048</v>
      </c>
      <c r="K167" s="227" t="s">
        <v>85</v>
      </c>
      <c r="L167" s="227" t="s">
        <v>85</v>
      </c>
      <c r="M167" s="233">
        <v>0</v>
      </c>
      <c r="N167" s="231"/>
      <c r="O167" s="231"/>
      <c r="P167" s="234">
        <v>-708.04</v>
      </c>
    </row>
    <row r="168" spans="1:16" ht="19.5" customHeight="1">
      <c r="A168" s="227" t="s">
        <v>138</v>
      </c>
      <c r="B168" s="230">
        <v>46048</v>
      </c>
      <c r="C168" s="227" t="s">
        <v>109</v>
      </c>
      <c r="D168" s="227" t="s">
        <v>139</v>
      </c>
      <c r="E168" s="227" t="s">
        <v>85</v>
      </c>
      <c r="F168" s="227" t="s">
        <v>85</v>
      </c>
      <c r="G168" s="227" t="s">
        <v>85</v>
      </c>
      <c r="H168" s="231">
        <v>0</v>
      </c>
      <c r="I168" s="232">
        <v>0</v>
      </c>
      <c r="J168" s="230">
        <v>46048</v>
      </c>
      <c r="K168" s="227" t="s">
        <v>85</v>
      </c>
      <c r="L168" s="227" t="s">
        <v>85</v>
      </c>
      <c r="M168" s="233">
        <v>0</v>
      </c>
      <c r="N168" s="231"/>
      <c r="O168" s="231"/>
      <c r="P168" s="234">
        <v>-1840.48</v>
      </c>
    </row>
    <row r="169" spans="1:16" ht="19.5" customHeight="1">
      <c r="A169" s="227" t="s">
        <v>144</v>
      </c>
      <c r="B169" s="230">
        <v>46048</v>
      </c>
      <c r="C169" s="227" t="s">
        <v>109</v>
      </c>
      <c r="D169" s="227" t="s">
        <v>139</v>
      </c>
      <c r="E169" s="227" t="s">
        <v>85</v>
      </c>
      <c r="F169" s="227" t="s">
        <v>85</v>
      </c>
      <c r="G169" s="227" t="s">
        <v>85</v>
      </c>
      <c r="H169" s="231">
        <v>0</v>
      </c>
      <c r="I169" s="232">
        <v>0</v>
      </c>
      <c r="J169" s="230">
        <v>46048</v>
      </c>
      <c r="K169" s="227" t="s">
        <v>85</v>
      </c>
      <c r="L169" s="227" t="s">
        <v>85</v>
      </c>
      <c r="M169" s="233">
        <v>0</v>
      </c>
      <c r="N169" s="231"/>
      <c r="O169" s="231"/>
      <c r="P169" s="234">
        <v>-1537.17</v>
      </c>
    </row>
    <row r="170" spans="1:16" ht="19.5" customHeight="1">
      <c r="A170" s="227" t="s">
        <v>142</v>
      </c>
      <c r="B170" s="230">
        <v>46048</v>
      </c>
      <c r="C170" s="227" t="s">
        <v>109</v>
      </c>
      <c r="D170" s="227" t="s">
        <v>143</v>
      </c>
      <c r="E170" s="227" t="s">
        <v>85</v>
      </c>
      <c r="F170" s="227" t="s">
        <v>85</v>
      </c>
      <c r="G170" s="227" t="s">
        <v>85</v>
      </c>
      <c r="H170" s="231">
        <v>0</v>
      </c>
      <c r="I170" s="232">
        <v>0</v>
      </c>
      <c r="J170" s="230">
        <v>46048</v>
      </c>
      <c r="K170" s="227" t="s">
        <v>85</v>
      </c>
      <c r="L170" s="227" t="s">
        <v>85</v>
      </c>
      <c r="M170" s="233">
        <v>0</v>
      </c>
      <c r="N170" s="231"/>
      <c r="O170" s="231"/>
      <c r="P170" s="234">
        <v>-4704.2</v>
      </c>
    </row>
    <row r="171" spans="1:16" ht="19.5" customHeight="1">
      <c r="A171" s="227" t="s">
        <v>1125</v>
      </c>
      <c r="B171" s="230">
        <v>46049</v>
      </c>
      <c r="C171" s="227" t="s">
        <v>92</v>
      </c>
      <c r="D171" s="227" t="s">
        <v>96</v>
      </c>
      <c r="E171" s="227" t="s">
        <v>42</v>
      </c>
      <c r="F171" s="227" t="s">
        <v>89</v>
      </c>
      <c r="G171" s="227" t="s">
        <v>84</v>
      </c>
      <c r="H171" s="231">
        <v>1</v>
      </c>
      <c r="I171" s="232">
        <v>0</v>
      </c>
      <c r="J171" s="230">
        <v>46043</v>
      </c>
      <c r="K171" s="227" t="s">
        <v>93</v>
      </c>
      <c r="L171" s="227" t="s">
        <v>94</v>
      </c>
      <c r="M171" s="233">
        <v>0</v>
      </c>
      <c r="N171" s="231"/>
      <c r="O171" s="231"/>
      <c r="P171" s="234">
        <v>0</v>
      </c>
    </row>
    <row r="172" spans="1:16" ht="19.5" customHeight="1">
      <c r="A172" s="227" t="s">
        <v>1125</v>
      </c>
      <c r="B172" s="230">
        <v>46049</v>
      </c>
      <c r="C172" s="227" t="s">
        <v>92</v>
      </c>
      <c r="D172" s="227" t="s">
        <v>97</v>
      </c>
      <c r="E172" s="227" t="s">
        <v>42</v>
      </c>
      <c r="F172" s="227" t="s">
        <v>89</v>
      </c>
      <c r="G172" s="227" t="s">
        <v>84</v>
      </c>
      <c r="H172" s="231">
        <v>1</v>
      </c>
      <c r="I172" s="232">
        <v>0</v>
      </c>
      <c r="J172" s="230">
        <v>46043</v>
      </c>
      <c r="K172" s="227" t="s">
        <v>93</v>
      </c>
      <c r="L172" s="227" t="s">
        <v>94</v>
      </c>
      <c r="M172" s="233">
        <v>0</v>
      </c>
      <c r="N172" s="231"/>
      <c r="O172" s="231"/>
      <c r="P172" s="234">
        <v>-46.77</v>
      </c>
    </row>
    <row r="173" spans="1:16" ht="19.5" customHeight="1">
      <c r="A173" s="227" t="s">
        <v>1125</v>
      </c>
      <c r="B173" s="230">
        <v>46049</v>
      </c>
      <c r="C173" s="227" t="s">
        <v>81</v>
      </c>
      <c r="D173" s="227" t="s">
        <v>98</v>
      </c>
      <c r="E173" s="227" t="s">
        <v>42</v>
      </c>
      <c r="F173" s="227" t="s">
        <v>89</v>
      </c>
      <c r="G173" s="227" t="s">
        <v>84</v>
      </c>
      <c r="H173" s="231">
        <v>1</v>
      </c>
      <c r="I173" s="232">
        <v>0</v>
      </c>
      <c r="J173" s="230">
        <v>46043</v>
      </c>
      <c r="K173" s="227" t="s">
        <v>93</v>
      </c>
      <c r="L173" s="227" t="s">
        <v>94</v>
      </c>
      <c r="M173" s="233">
        <v>0</v>
      </c>
      <c r="N173" s="231"/>
      <c r="O173" s="231"/>
      <c r="P173" s="234">
        <v>-15</v>
      </c>
    </row>
    <row r="174" spans="1:16" ht="19.5" customHeight="1">
      <c r="A174" s="227" t="s">
        <v>1125</v>
      </c>
      <c r="B174" s="230">
        <v>46049</v>
      </c>
      <c r="C174" s="227" t="s">
        <v>92</v>
      </c>
      <c r="D174" s="227" t="s">
        <v>24</v>
      </c>
      <c r="E174" s="227" t="s">
        <v>42</v>
      </c>
      <c r="F174" s="227" t="s">
        <v>89</v>
      </c>
      <c r="G174" s="227" t="s">
        <v>84</v>
      </c>
      <c r="H174" s="231">
        <v>1</v>
      </c>
      <c r="I174" s="232">
        <v>0</v>
      </c>
      <c r="J174" s="230">
        <v>46043</v>
      </c>
      <c r="K174" s="227" t="s">
        <v>93</v>
      </c>
      <c r="L174" s="227" t="s">
        <v>94</v>
      </c>
      <c r="M174" s="233">
        <v>0</v>
      </c>
      <c r="N174" s="231"/>
      <c r="O174" s="231">
        <v>43</v>
      </c>
      <c r="P174" s="234">
        <v>-46.77</v>
      </c>
    </row>
    <row r="175" spans="1:16" ht="19.5" customHeight="1">
      <c r="A175" s="227" t="s">
        <v>1125</v>
      </c>
      <c r="B175" s="230">
        <v>46049</v>
      </c>
      <c r="C175" s="227" t="s">
        <v>81</v>
      </c>
      <c r="D175" s="227" t="s">
        <v>95</v>
      </c>
      <c r="E175" s="227" t="s">
        <v>42</v>
      </c>
      <c r="F175" s="227" t="s">
        <v>89</v>
      </c>
      <c r="G175" s="227" t="s">
        <v>84</v>
      </c>
      <c r="H175" s="231">
        <v>1</v>
      </c>
      <c r="I175" s="232">
        <v>0</v>
      </c>
      <c r="J175" s="230">
        <v>46043</v>
      </c>
      <c r="K175" s="227" t="s">
        <v>93</v>
      </c>
      <c r="L175" s="227" t="s">
        <v>94</v>
      </c>
      <c r="M175" s="233">
        <v>0</v>
      </c>
      <c r="N175" s="231"/>
      <c r="O175" s="231"/>
      <c r="P175" s="234">
        <v>-10.23</v>
      </c>
    </row>
    <row r="176" spans="1:16" ht="19.5" customHeight="1">
      <c r="A176" s="227" t="s">
        <v>1126</v>
      </c>
      <c r="B176" s="230">
        <v>46049</v>
      </c>
      <c r="C176" s="227" t="s">
        <v>92</v>
      </c>
      <c r="D176" s="227" t="s">
        <v>24</v>
      </c>
      <c r="E176" s="227" t="s">
        <v>42</v>
      </c>
      <c r="F176" s="227" t="s">
        <v>89</v>
      </c>
      <c r="G176" s="227" t="s">
        <v>84</v>
      </c>
      <c r="H176" s="231">
        <v>1</v>
      </c>
      <c r="I176" s="232">
        <v>0</v>
      </c>
      <c r="J176" s="230">
        <v>46041</v>
      </c>
      <c r="K176" s="227" t="s">
        <v>93</v>
      </c>
      <c r="L176" s="227" t="s">
        <v>94</v>
      </c>
      <c r="M176" s="233">
        <v>0</v>
      </c>
      <c r="N176" s="231"/>
      <c r="O176" s="231">
        <v>44</v>
      </c>
      <c r="P176" s="234">
        <v>-46.77</v>
      </c>
    </row>
    <row r="177" spans="1:16" ht="19.5" customHeight="1">
      <c r="A177" s="227" t="s">
        <v>1126</v>
      </c>
      <c r="B177" s="230">
        <v>46049</v>
      </c>
      <c r="C177" s="227" t="s">
        <v>81</v>
      </c>
      <c r="D177" s="227" t="s">
        <v>95</v>
      </c>
      <c r="E177" s="227" t="s">
        <v>42</v>
      </c>
      <c r="F177" s="227" t="s">
        <v>89</v>
      </c>
      <c r="G177" s="227" t="s">
        <v>84</v>
      </c>
      <c r="H177" s="231">
        <v>1</v>
      </c>
      <c r="I177" s="232">
        <v>0</v>
      </c>
      <c r="J177" s="230">
        <v>46041</v>
      </c>
      <c r="K177" s="227" t="s">
        <v>93</v>
      </c>
      <c r="L177" s="227" t="s">
        <v>94</v>
      </c>
      <c r="M177" s="233">
        <v>0</v>
      </c>
      <c r="N177" s="231"/>
      <c r="O177" s="231"/>
      <c r="P177" s="234">
        <v>-11.57</v>
      </c>
    </row>
    <row r="178" spans="1:16" ht="19.5" customHeight="1">
      <c r="A178" s="227" t="s">
        <v>1126</v>
      </c>
      <c r="B178" s="230">
        <v>46049</v>
      </c>
      <c r="C178" s="227" t="s">
        <v>92</v>
      </c>
      <c r="D178" s="227" t="s">
        <v>96</v>
      </c>
      <c r="E178" s="227" t="s">
        <v>42</v>
      </c>
      <c r="F178" s="227" t="s">
        <v>89</v>
      </c>
      <c r="G178" s="227" t="s">
        <v>84</v>
      </c>
      <c r="H178" s="231">
        <v>1</v>
      </c>
      <c r="I178" s="232">
        <v>0</v>
      </c>
      <c r="J178" s="230">
        <v>46041</v>
      </c>
      <c r="K178" s="227" t="s">
        <v>93</v>
      </c>
      <c r="L178" s="227" t="s">
        <v>94</v>
      </c>
      <c r="M178" s="233">
        <v>0</v>
      </c>
      <c r="N178" s="231"/>
      <c r="O178" s="231"/>
      <c r="P178" s="234">
        <v>0</v>
      </c>
    </row>
    <row r="179" spans="1:16" ht="19.5" customHeight="1">
      <c r="A179" s="227" t="s">
        <v>1126</v>
      </c>
      <c r="B179" s="230">
        <v>46049</v>
      </c>
      <c r="C179" s="227" t="s">
        <v>92</v>
      </c>
      <c r="D179" s="227" t="s">
        <v>97</v>
      </c>
      <c r="E179" s="227" t="s">
        <v>42</v>
      </c>
      <c r="F179" s="227" t="s">
        <v>89</v>
      </c>
      <c r="G179" s="227" t="s">
        <v>84</v>
      </c>
      <c r="H179" s="231">
        <v>1</v>
      </c>
      <c r="I179" s="232">
        <v>0</v>
      </c>
      <c r="J179" s="230">
        <v>46041</v>
      </c>
      <c r="K179" s="227" t="s">
        <v>93</v>
      </c>
      <c r="L179" s="227" t="s">
        <v>94</v>
      </c>
      <c r="M179" s="233">
        <v>0</v>
      </c>
      <c r="N179" s="231"/>
      <c r="O179" s="231"/>
      <c r="P179" s="234">
        <v>-46.77</v>
      </c>
    </row>
    <row r="180" spans="1:16" ht="19.5" customHeight="1">
      <c r="A180" s="227" t="s">
        <v>1126</v>
      </c>
      <c r="B180" s="230">
        <v>46049</v>
      </c>
      <c r="C180" s="227" t="s">
        <v>81</v>
      </c>
      <c r="D180" s="227" t="s">
        <v>98</v>
      </c>
      <c r="E180" s="227" t="s">
        <v>42</v>
      </c>
      <c r="F180" s="227" t="s">
        <v>89</v>
      </c>
      <c r="G180" s="227" t="s">
        <v>84</v>
      </c>
      <c r="H180" s="231">
        <v>1</v>
      </c>
      <c r="I180" s="232">
        <v>0</v>
      </c>
      <c r="J180" s="230">
        <v>46041</v>
      </c>
      <c r="K180" s="227" t="s">
        <v>93</v>
      </c>
      <c r="L180" s="227" t="s">
        <v>94</v>
      </c>
      <c r="M180" s="233">
        <v>0</v>
      </c>
      <c r="N180" s="231"/>
      <c r="O180" s="231"/>
      <c r="P180" s="234">
        <v>-15</v>
      </c>
    </row>
    <row r="181" spans="1:16" ht="19.5" customHeight="1">
      <c r="A181" s="227" t="s">
        <v>1127</v>
      </c>
      <c r="B181" s="230">
        <v>46049</v>
      </c>
      <c r="C181" s="227" t="s">
        <v>92</v>
      </c>
      <c r="D181" s="227" t="s">
        <v>24</v>
      </c>
      <c r="E181" s="227" t="s">
        <v>42</v>
      </c>
      <c r="F181" s="227" t="s">
        <v>89</v>
      </c>
      <c r="G181" s="227" t="s">
        <v>84</v>
      </c>
      <c r="H181" s="231">
        <v>1</v>
      </c>
      <c r="I181" s="232">
        <v>0</v>
      </c>
      <c r="J181" s="230">
        <v>46041</v>
      </c>
      <c r="K181" s="227" t="s">
        <v>93</v>
      </c>
      <c r="L181" s="227" t="s">
        <v>94</v>
      </c>
      <c r="M181" s="233">
        <v>0</v>
      </c>
      <c r="N181" s="231"/>
      <c r="O181" s="231">
        <v>44</v>
      </c>
      <c r="P181" s="234">
        <v>-46.77</v>
      </c>
    </row>
    <row r="182" spans="1:16" ht="19.5" customHeight="1">
      <c r="A182" s="227" t="s">
        <v>1127</v>
      </c>
      <c r="B182" s="230">
        <v>46049</v>
      </c>
      <c r="C182" s="227" t="s">
        <v>81</v>
      </c>
      <c r="D182" s="227" t="s">
        <v>95</v>
      </c>
      <c r="E182" s="227" t="s">
        <v>42</v>
      </c>
      <c r="F182" s="227" t="s">
        <v>89</v>
      </c>
      <c r="G182" s="227" t="s">
        <v>84</v>
      </c>
      <c r="H182" s="231">
        <v>1</v>
      </c>
      <c r="I182" s="232">
        <v>0</v>
      </c>
      <c r="J182" s="230">
        <v>46041</v>
      </c>
      <c r="K182" s="227" t="s">
        <v>93</v>
      </c>
      <c r="L182" s="227" t="s">
        <v>94</v>
      </c>
      <c r="M182" s="233">
        <v>0</v>
      </c>
      <c r="N182" s="231"/>
      <c r="O182" s="231"/>
      <c r="P182" s="234">
        <v>-9.18</v>
      </c>
    </row>
    <row r="183" spans="1:16" ht="19.5" customHeight="1">
      <c r="A183" s="227" t="s">
        <v>1127</v>
      </c>
      <c r="B183" s="230">
        <v>46049</v>
      </c>
      <c r="C183" s="227" t="s">
        <v>92</v>
      </c>
      <c r="D183" s="227" t="s">
        <v>96</v>
      </c>
      <c r="E183" s="227" t="s">
        <v>42</v>
      </c>
      <c r="F183" s="227" t="s">
        <v>89</v>
      </c>
      <c r="G183" s="227" t="s">
        <v>84</v>
      </c>
      <c r="H183" s="231">
        <v>1</v>
      </c>
      <c r="I183" s="232">
        <v>0</v>
      </c>
      <c r="J183" s="230">
        <v>46041</v>
      </c>
      <c r="K183" s="227" t="s">
        <v>93</v>
      </c>
      <c r="L183" s="227" t="s">
        <v>94</v>
      </c>
      <c r="M183" s="233">
        <v>0</v>
      </c>
      <c r="N183" s="231"/>
      <c r="O183" s="231"/>
      <c r="P183" s="234">
        <v>0</v>
      </c>
    </row>
    <row r="184" spans="1:16" ht="19.5" customHeight="1">
      <c r="A184" s="227" t="s">
        <v>1127</v>
      </c>
      <c r="B184" s="230">
        <v>46049</v>
      </c>
      <c r="C184" s="227" t="s">
        <v>92</v>
      </c>
      <c r="D184" s="227" t="s">
        <v>97</v>
      </c>
      <c r="E184" s="227" t="s">
        <v>42</v>
      </c>
      <c r="F184" s="227" t="s">
        <v>89</v>
      </c>
      <c r="G184" s="227" t="s">
        <v>84</v>
      </c>
      <c r="H184" s="231">
        <v>1</v>
      </c>
      <c r="I184" s="232">
        <v>0</v>
      </c>
      <c r="J184" s="230">
        <v>46041</v>
      </c>
      <c r="K184" s="227" t="s">
        <v>93</v>
      </c>
      <c r="L184" s="227" t="s">
        <v>94</v>
      </c>
      <c r="M184" s="233">
        <v>0</v>
      </c>
      <c r="N184" s="231"/>
      <c r="O184" s="231"/>
      <c r="P184" s="234">
        <v>-46.77</v>
      </c>
    </row>
    <row r="185" spans="1:16" ht="19.5" customHeight="1">
      <c r="A185" s="227" t="s">
        <v>1127</v>
      </c>
      <c r="B185" s="230">
        <v>46049</v>
      </c>
      <c r="C185" s="227" t="s">
        <v>81</v>
      </c>
      <c r="D185" s="227" t="s">
        <v>98</v>
      </c>
      <c r="E185" s="227" t="s">
        <v>42</v>
      </c>
      <c r="F185" s="227" t="s">
        <v>89</v>
      </c>
      <c r="G185" s="227" t="s">
        <v>84</v>
      </c>
      <c r="H185" s="231">
        <v>1</v>
      </c>
      <c r="I185" s="232">
        <v>0</v>
      </c>
      <c r="J185" s="230">
        <v>46041</v>
      </c>
      <c r="K185" s="227" t="s">
        <v>93</v>
      </c>
      <c r="L185" s="227" t="s">
        <v>94</v>
      </c>
      <c r="M185" s="233">
        <v>0</v>
      </c>
      <c r="N185" s="231"/>
      <c r="O185" s="231"/>
      <c r="P185" s="234">
        <v>-15</v>
      </c>
    </row>
    <row r="186" spans="1:16" ht="19.5" customHeight="1">
      <c r="A186" s="227" t="s">
        <v>1128</v>
      </c>
      <c r="B186" s="230">
        <v>46049</v>
      </c>
      <c r="C186" s="227" t="s">
        <v>92</v>
      </c>
      <c r="D186" s="227" t="s">
        <v>24</v>
      </c>
      <c r="E186" s="227" t="s">
        <v>53</v>
      </c>
      <c r="F186" s="227" t="s">
        <v>120</v>
      </c>
      <c r="G186" s="227" t="s">
        <v>84</v>
      </c>
      <c r="H186" s="231">
        <v>1</v>
      </c>
      <c r="I186" s="232">
        <v>0</v>
      </c>
      <c r="J186" s="230">
        <v>46039</v>
      </c>
      <c r="K186" s="227" t="s">
        <v>93</v>
      </c>
      <c r="L186" s="227" t="s">
        <v>94</v>
      </c>
      <c r="M186" s="233">
        <v>0</v>
      </c>
      <c r="N186" s="231"/>
      <c r="O186" s="231">
        <v>47</v>
      </c>
      <c r="P186" s="234">
        <v>-56</v>
      </c>
    </row>
    <row r="187" spans="1:16" ht="19.5" customHeight="1">
      <c r="A187" s="227" t="s">
        <v>1128</v>
      </c>
      <c r="B187" s="230">
        <v>46049</v>
      </c>
      <c r="C187" s="227" t="s">
        <v>92</v>
      </c>
      <c r="D187" s="227" t="s">
        <v>96</v>
      </c>
      <c r="E187" s="227" t="s">
        <v>53</v>
      </c>
      <c r="F187" s="227" t="s">
        <v>120</v>
      </c>
      <c r="G187" s="227" t="s">
        <v>84</v>
      </c>
      <c r="H187" s="231">
        <v>1</v>
      </c>
      <c r="I187" s="232">
        <v>0</v>
      </c>
      <c r="J187" s="230">
        <v>46039</v>
      </c>
      <c r="K187" s="227" t="s">
        <v>93</v>
      </c>
      <c r="L187" s="227" t="s">
        <v>94</v>
      </c>
      <c r="M187" s="233">
        <v>0</v>
      </c>
      <c r="N187" s="231"/>
      <c r="O187" s="231"/>
      <c r="P187" s="234">
        <v>0</v>
      </c>
    </row>
    <row r="188" spans="1:16" ht="19.5" customHeight="1">
      <c r="A188" s="227" t="s">
        <v>1128</v>
      </c>
      <c r="B188" s="230">
        <v>46049</v>
      </c>
      <c r="C188" s="227" t="s">
        <v>92</v>
      </c>
      <c r="D188" s="227" t="s">
        <v>97</v>
      </c>
      <c r="E188" s="227" t="s">
        <v>53</v>
      </c>
      <c r="F188" s="227" t="s">
        <v>120</v>
      </c>
      <c r="G188" s="227" t="s">
        <v>84</v>
      </c>
      <c r="H188" s="231">
        <v>1</v>
      </c>
      <c r="I188" s="232">
        <v>0</v>
      </c>
      <c r="J188" s="230">
        <v>46039</v>
      </c>
      <c r="K188" s="227" t="s">
        <v>93</v>
      </c>
      <c r="L188" s="227" t="s">
        <v>94</v>
      </c>
      <c r="M188" s="233">
        <v>0</v>
      </c>
      <c r="N188" s="231"/>
      <c r="O188" s="231"/>
      <c r="P188" s="234">
        <v>-56</v>
      </c>
    </row>
    <row r="189" spans="1:16" ht="19.5" customHeight="1">
      <c r="A189" s="227" t="s">
        <v>1128</v>
      </c>
      <c r="B189" s="230">
        <v>46049</v>
      </c>
      <c r="C189" s="227" t="s">
        <v>81</v>
      </c>
      <c r="D189" s="227" t="s">
        <v>98</v>
      </c>
      <c r="E189" s="227" t="s">
        <v>53</v>
      </c>
      <c r="F189" s="227" t="s">
        <v>120</v>
      </c>
      <c r="G189" s="227" t="s">
        <v>84</v>
      </c>
      <c r="H189" s="231">
        <v>1</v>
      </c>
      <c r="I189" s="232">
        <v>0</v>
      </c>
      <c r="J189" s="230">
        <v>46039</v>
      </c>
      <c r="K189" s="227" t="s">
        <v>93</v>
      </c>
      <c r="L189" s="227" t="s">
        <v>94</v>
      </c>
      <c r="M189" s="233">
        <v>0</v>
      </c>
      <c r="N189" s="231"/>
      <c r="O189" s="231"/>
      <c r="P189" s="234">
        <v>-15</v>
      </c>
    </row>
    <row r="190" spans="1:16" ht="19.5" customHeight="1">
      <c r="A190" s="227" t="s">
        <v>85</v>
      </c>
      <c r="B190" s="230">
        <v>46049</v>
      </c>
      <c r="C190" s="227" t="s">
        <v>109</v>
      </c>
      <c r="D190" s="227" t="s">
        <v>110</v>
      </c>
      <c r="E190" s="227" t="s">
        <v>85</v>
      </c>
      <c r="F190" s="227" t="s">
        <v>85</v>
      </c>
      <c r="G190" s="227" t="s">
        <v>1129</v>
      </c>
      <c r="H190" s="231">
        <v>0</v>
      </c>
      <c r="I190" s="232">
        <v>0</v>
      </c>
      <c r="J190" s="230">
        <v>46049</v>
      </c>
      <c r="K190" s="227" t="s">
        <v>85</v>
      </c>
      <c r="L190" s="227" t="s">
        <v>85</v>
      </c>
      <c r="M190" s="233">
        <v>0</v>
      </c>
      <c r="N190" s="231"/>
      <c r="O190" s="231"/>
      <c r="P190" s="234">
        <v>-150</v>
      </c>
    </row>
    <row r="191" spans="1:16" ht="19.5" customHeight="1">
      <c r="A191" s="227" t="s">
        <v>1121</v>
      </c>
      <c r="B191" s="230">
        <v>46049</v>
      </c>
      <c r="C191" s="227" t="s">
        <v>354</v>
      </c>
      <c r="D191" s="227" t="s">
        <v>467</v>
      </c>
      <c r="E191" s="227" t="s">
        <v>85</v>
      </c>
      <c r="F191" s="227" t="s">
        <v>85</v>
      </c>
      <c r="G191" s="227" t="s">
        <v>85</v>
      </c>
      <c r="H191" s="231">
        <v>0</v>
      </c>
      <c r="I191" s="232">
        <v>0</v>
      </c>
      <c r="J191" s="230">
        <v>46049</v>
      </c>
      <c r="K191" s="227" t="s">
        <v>85</v>
      </c>
      <c r="L191" s="227" t="s">
        <v>85</v>
      </c>
      <c r="M191" s="233">
        <v>0</v>
      </c>
      <c r="N191" s="231"/>
      <c r="O191" s="231"/>
      <c r="P191" s="234">
        <v>-1920</v>
      </c>
    </row>
    <row r="192" spans="1:16" ht="19.5" customHeight="1">
      <c r="A192" s="227" t="s">
        <v>1130</v>
      </c>
      <c r="B192" s="230">
        <v>46049</v>
      </c>
      <c r="C192" s="227" t="s">
        <v>81</v>
      </c>
      <c r="D192" s="227" t="s">
        <v>82</v>
      </c>
      <c r="E192" s="227" t="s">
        <v>53</v>
      </c>
      <c r="F192" s="227" t="s">
        <v>120</v>
      </c>
      <c r="G192" s="227" t="s">
        <v>84</v>
      </c>
      <c r="H192" s="231">
        <v>1</v>
      </c>
      <c r="I192" s="232">
        <v>0</v>
      </c>
      <c r="J192" s="230">
        <v>46049</v>
      </c>
      <c r="K192" s="227" t="s">
        <v>85</v>
      </c>
      <c r="L192" s="227" t="s">
        <v>85</v>
      </c>
      <c r="M192" s="233">
        <v>0</v>
      </c>
      <c r="N192" s="231"/>
      <c r="O192" s="231"/>
      <c r="P192" s="234">
        <v>-12</v>
      </c>
    </row>
    <row r="193" spans="1:16" ht="19.5" customHeight="1">
      <c r="A193" s="227" t="s">
        <v>1131</v>
      </c>
      <c r="B193" s="230">
        <v>46049</v>
      </c>
      <c r="C193" s="227" t="s">
        <v>92</v>
      </c>
      <c r="D193" s="227" t="s">
        <v>24</v>
      </c>
      <c r="E193" s="227" t="s">
        <v>53</v>
      </c>
      <c r="F193" s="227" t="s">
        <v>120</v>
      </c>
      <c r="G193" s="227" t="s">
        <v>84</v>
      </c>
      <c r="H193" s="231">
        <v>1</v>
      </c>
      <c r="I193" s="232">
        <v>1812</v>
      </c>
      <c r="J193" s="230">
        <v>46045</v>
      </c>
      <c r="K193" s="227" t="s">
        <v>93</v>
      </c>
      <c r="L193" s="227" t="s">
        <v>94</v>
      </c>
      <c r="M193" s="233">
        <v>0.43</v>
      </c>
      <c r="N193" s="231"/>
      <c r="O193" s="231">
        <v>40</v>
      </c>
      <c r="P193" s="234">
        <v>-130.77000000000001</v>
      </c>
    </row>
    <row r="194" spans="1:16" ht="19.5" customHeight="1">
      <c r="A194" s="227" t="s">
        <v>1131</v>
      </c>
      <c r="B194" s="230">
        <v>46049</v>
      </c>
      <c r="C194" s="227" t="s">
        <v>100</v>
      </c>
      <c r="D194" s="227" t="s">
        <v>101</v>
      </c>
      <c r="E194" s="227" t="s">
        <v>53</v>
      </c>
      <c r="F194" s="227" t="s">
        <v>120</v>
      </c>
      <c r="G194" s="227" t="s">
        <v>84</v>
      </c>
      <c r="H194" s="231">
        <v>1</v>
      </c>
      <c r="I194" s="232">
        <v>1812</v>
      </c>
      <c r="J194" s="230">
        <v>46045</v>
      </c>
      <c r="K194" s="227" t="s">
        <v>93</v>
      </c>
      <c r="L194" s="227" t="s">
        <v>94</v>
      </c>
      <c r="M194" s="233">
        <v>0</v>
      </c>
      <c r="N194" s="231"/>
      <c r="O194" s="231"/>
      <c r="P194" s="234">
        <v>652.38</v>
      </c>
    </row>
    <row r="195" spans="1:16" ht="19.5" customHeight="1">
      <c r="A195" s="227" t="s">
        <v>1131</v>
      </c>
      <c r="B195" s="230">
        <v>46049</v>
      </c>
      <c r="C195" s="227" t="s">
        <v>100</v>
      </c>
      <c r="D195" s="227" t="s">
        <v>102</v>
      </c>
      <c r="E195" s="227" t="s">
        <v>53</v>
      </c>
      <c r="F195" s="227" t="s">
        <v>120</v>
      </c>
      <c r="G195" s="227" t="s">
        <v>84</v>
      </c>
      <c r="H195" s="231">
        <v>1</v>
      </c>
      <c r="I195" s="232">
        <v>1812</v>
      </c>
      <c r="J195" s="230">
        <v>46045</v>
      </c>
      <c r="K195" s="227" t="s">
        <v>93</v>
      </c>
      <c r="L195" s="227" t="s">
        <v>94</v>
      </c>
      <c r="M195" s="233">
        <v>0</v>
      </c>
      <c r="N195" s="231"/>
      <c r="O195" s="231"/>
      <c r="P195" s="234">
        <v>6.52</v>
      </c>
    </row>
    <row r="196" spans="1:16" ht="19.5" customHeight="1">
      <c r="A196" s="227" t="s">
        <v>1131</v>
      </c>
      <c r="B196" s="230">
        <v>46049</v>
      </c>
      <c r="C196" s="227" t="s">
        <v>100</v>
      </c>
      <c r="D196" s="227" t="s">
        <v>103</v>
      </c>
      <c r="E196" s="227" t="s">
        <v>53</v>
      </c>
      <c r="F196" s="227" t="s">
        <v>120</v>
      </c>
      <c r="G196" s="227" t="s">
        <v>84</v>
      </c>
      <c r="H196" s="231">
        <v>1</v>
      </c>
      <c r="I196" s="232">
        <v>1812</v>
      </c>
      <c r="J196" s="230">
        <v>46045</v>
      </c>
      <c r="K196" s="227" t="s">
        <v>93</v>
      </c>
      <c r="L196" s="227" t="s">
        <v>94</v>
      </c>
      <c r="M196" s="233">
        <v>0</v>
      </c>
      <c r="N196" s="231"/>
      <c r="O196" s="231"/>
      <c r="P196" s="234">
        <v>1153.0999999999999</v>
      </c>
    </row>
    <row r="197" spans="1:16" ht="19.5" customHeight="1">
      <c r="A197" s="227" t="s">
        <v>1131</v>
      </c>
      <c r="B197" s="230">
        <v>46049</v>
      </c>
      <c r="C197" s="227" t="s">
        <v>104</v>
      </c>
      <c r="D197" s="227" t="s">
        <v>105</v>
      </c>
      <c r="E197" s="227" t="s">
        <v>53</v>
      </c>
      <c r="F197" s="227" t="s">
        <v>120</v>
      </c>
      <c r="G197" s="227" t="s">
        <v>84</v>
      </c>
      <c r="H197" s="231">
        <v>1</v>
      </c>
      <c r="I197" s="232">
        <v>1812</v>
      </c>
      <c r="J197" s="230">
        <v>46045</v>
      </c>
      <c r="K197" s="227" t="s">
        <v>93</v>
      </c>
      <c r="L197" s="227" t="s">
        <v>94</v>
      </c>
      <c r="M197" s="233">
        <v>0.43</v>
      </c>
      <c r="N197" s="231"/>
      <c r="O197" s="231"/>
      <c r="P197" s="234">
        <v>-779.16</v>
      </c>
    </row>
    <row r="198" spans="1:16" ht="19.5" customHeight="1">
      <c r="A198" s="227" t="s">
        <v>1131</v>
      </c>
      <c r="B198" s="230">
        <v>46049</v>
      </c>
      <c r="C198" s="227" t="s">
        <v>81</v>
      </c>
      <c r="D198" s="227" t="s">
        <v>95</v>
      </c>
      <c r="E198" s="227" t="s">
        <v>53</v>
      </c>
      <c r="F198" s="227" t="s">
        <v>120</v>
      </c>
      <c r="G198" s="227" t="s">
        <v>84</v>
      </c>
      <c r="H198" s="231">
        <v>1</v>
      </c>
      <c r="I198" s="232">
        <v>1812</v>
      </c>
      <c r="J198" s="230">
        <v>46045</v>
      </c>
      <c r="K198" s="227" t="s">
        <v>93</v>
      </c>
      <c r="L198" s="227" t="s">
        <v>94</v>
      </c>
      <c r="M198" s="233">
        <v>0.43</v>
      </c>
      <c r="N198" s="231"/>
      <c r="O198" s="231"/>
      <c r="P198" s="234">
        <v>-12.45</v>
      </c>
    </row>
    <row r="199" spans="1:16" ht="19.5" customHeight="1">
      <c r="A199" s="227" t="s">
        <v>1132</v>
      </c>
      <c r="B199" s="230">
        <v>46049</v>
      </c>
      <c r="C199" s="227" t="s">
        <v>81</v>
      </c>
      <c r="D199" s="227" t="s">
        <v>82</v>
      </c>
      <c r="E199" s="227" t="s">
        <v>52</v>
      </c>
      <c r="F199" s="227" t="s">
        <v>90</v>
      </c>
      <c r="G199" s="227" t="s">
        <v>84</v>
      </c>
      <c r="H199" s="231">
        <v>1</v>
      </c>
      <c r="I199" s="232">
        <v>0</v>
      </c>
      <c r="J199" s="230">
        <v>46049</v>
      </c>
      <c r="K199" s="227" t="s">
        <v>85</v>
      </c>
      <c r="L199" s="227" t="s">
        <v>85</v>
      </c>
      <c r="M199" s="233">
        <v>0</v>
      </c>
      <c r="N199" s="231"/>
      <c r="O199" s="231"/>
      <c r="P199" s="234">
        <v>-12.56</v>
      </c>
    </row>
    <row r="200" spans="1:16" ht="19.5" customHeight="1">
      <c r="A200" s="227" t="s">
        <v>1133</v>
      </c>
      <c r="B200" s="230">
        <v>46049</v>
      </c>
      <c r="C200" s="227" t="s">
        <v>92</v>
      </c>
      <c r="D200" s="227" t="s">
        <v>24</v>
      </c>
      <c r="E200" s="227" t="s">
        <v>42</v>
      </c>
      <c r="F200" s="227" t="s">
        <v>89</v>
      </c>
      <c r="G200" s="227" t="s">
        <v>84</v>
      </c>
      <c r="H200" s="231">
        <v>1</v>
      </c>
      <c r="I200" s="232">
        <v>0</v>
      </c>
      <c r="J200" s="230">
        <v>46043</v>
      </c>
      <c r="K200" s="227" t="s">
        <v>93</v>
      </c>
      <c r="L200" s="227" t="s">
        <v>94</v>
      </c>
      <c r="M200" s="233">
        <v>0</v>
      </c>
      <c r="N200" s="231"/>
      <c r="O200" s="231">
        <v>43</v>
      </c>
      <c r="P200" s="234">
        <v>-46.77</v>
      </c>
    </row>
    <row r="201" spans="1:16" ht="19.5" customHeight="1">
      <c r="A201" s="227" t="s">
        <v>1133</v>
      </c>
      <c r="B201" s="230">
        <v>46049</v>
      </c>
      <c r="C201" s="227" t="s">
        <v>81</v>
      </c>
      <c r="D201" s="227" t="s">
        <v>95</v>
      </c>
      <c r="E201" s="227" t="s">
        <v>42</v>
      </c>
      <c r="F201" s="227" t="s">
        <v>89</v>
      </c>
      <c r="G201" s="227" t="s">
        <v>84</v>
      </c>
      <c r="H201" s="231">
        <v>1</v>
      </c>
      <c r="I201" s="232">
        <v>0</v>
      </c>
      <c r="J201" s="230">
        <v>46043</v>
      </c>
      <c r="K201" s="227" t="s">
        <v>93</v>
      </c>
      <c r="L201" s="227" t="s">
        <v>94</v>
      </c>
      <c r="M201" s="233">
        <v>0</v>
      </c>
      <c r="N201" s="231"/>
      <c r="O201" s="231"/>
      <c r="P201" s="234">
        <v>-8.52</v>
      </c>
    </row>
    <row r="202" spans="1:16" ht="19.5" customHeight="1">
      <c r="A202" s="227" t="s">
        <v>1133</v>
      </c>
      <c r="B202" s="230">
        <v>46049</v>
      </c>
      <c r="C202" s="227" t="s">
        <v>92</v>
      </c>
      <c r="D202" s="227" t="s">
        <v>96</v>
      </c>
      <c r="E202" s="227" t="s">
        <v>42</v>
      </c>
      <c r="F202" s="227" t="s">
        <v>89</v>
      </c>
      <c r="G202" s="227" t="s">
        <v>84</v>
      </c>
      <c r="H202" s="231">
        <v>1</v>
      </c>
      <c r="I202" s="232">
        <v>0</v>
      </c>
      <c r="J202" s="230">
        <v>46043</v>
      </c>
      <c r="K202" s="227" t="s">
        <v>93</v>
      </c>
      <c r="L202" s="227" t="s">
        <v>94</v>
      </c>
      <c r="M202" s="233">
        <v>0</v>
      </c>
      <c r="N202" s="231"/>
      <c r="O202" s="231"/>
      <c r="P202" s="234">
        <v>0</v>
      </c>
    </row>
    <row r="203" spans="1:16" ht="19.5" customHeight="1">
      <c r="A203" s="227" t="s">
        <v>1133</v>
      </c>
      <c r="B203" s="230">
        <v>46049</v>
      </c>
      <c r="C203" s="227" t="s">
        <v>92</v>
      </c>
      <c r="D203" s="227" t="s">
        <v>97</v>
      </c>
      <c r="E203" s="227" t="s">
        <v>42</v>
      </c>
      <c r="F203" s="227" t="s">
        <v>89</v>
      </c>
      <c r="G203" s="227" t="s">
        <v>84</v>
      </c>
      <c r="H203" s="231">
        <v>1</v>
      </c>
      <c r="I203" s="232">
        <v>0</v>
      </c>
      <c r="J203" s="230">
        <v>46043</v>
      </c>
      <c r="K203" s="227" t="s">
        <v>93</v>
      </c>
      <c r="L203" s="227" t="s">
        <v>94</v>
      </c>
      <c r="M203" s="233">
        <v>0</v>
      </c>
      <c r="N203" s="231"/>
      <c r="O203" s="231"/>
      <c r="P203" s="234">
        <v>-46.77</v>
      </c>
    </row>
    <row r="204" spans="1:16" ht="19.5" customHeight="1">
      <c r="A204" s="227" t="s">
        <v>1133</v>
      </c>
      <c r="B204" s="230">
        <v>46049</v>
      </c>
      <c r="C204" s="227" t="s">
        <v>81</v>
      </c>
      <c r="D204" s="227" t="s">
        <v>98</v>
      </c>
      <c r="E204" s="227" t="s">
        <v>42</v>
      </c>
      <c r="F204" s="227" t="s">
        <v>89</v>
      </c>
      <c r="G204" s="227" t="s">
        <v>84</v>
      </c>
      <c r="H204" s="231">
        <v>1</v>
      </c>
      <c r="I204" s="232">
        <v>0</v>
      </c>
      <c r="J204" s="230">
        <v>46043</v>
      </c>
      <c r="K204" s="227" t="s">
        <v>93</v>
      </c>
      <c r="L204" s="227" t="s">
        <v>94</v>
      </c>
      <c r="M204" s="233">
        <v>0</v>
      </c>
      <c r="N204" s="231"/>
      <c r="O204" s="231"/>
      <c r="P204" s="234">
        <v>-15</v>
      </c>
    </row>
    <row r="205" spans="1:16" ht="19.5" customHeight="1">
      <c r="A205" s="227" t="s">
        <v>1134</v>
      </c>
      <c r="B205" s="230">
        <v>46049</v>
      </c>
      <c r="C205" s="227" t="s">
        <v>92</v>
      </c>
      <c r="D205" s="227" t="s">
        <v>24</v>
      </c>
      <c r="E205" s="227" t="s">
        <v>43</v>
      </c>
      <c r="F205" s="227" t="s">
        <v>125</v>
      </c>
      <c r="G205" s="227" t="s">
        <v>84</v>
      </c>
      <c r="H205" s="231">
        <v>1</v>
      </c>
      <c r="I205" s="232">
        <v>0</v>
      </c>
      <c r="J205" s="230">
        <v>46047</v>
      </c>
      <c r="K205" s="227" t="s">
        <v>93</v>
      </c>
      <c r="L205" s="227" t="s">
        <v>94</v>
      </c>
      <c r="M205" s="233">
        <v>0</v>
      </c>
      <c r="N205" s="231"/>
      <c r="O205" s="231">
        <v>41</v>
      </c>
      <c r="P205" s="234">
        <v>-46.77</v>
      </c>
    </row>
    <row r="206" spans="1:16" ht="19.5" customHeight="1">
      <c r="A206" s="227" t="s">
        <v>1134</v>
      </c>
      <c r="B206" s="230">
        <v>46049</v>
      </c>
      <c r="C206" s="227" t="s">
        <v>81</v>
      </c>
      <c r="D206" s="227" t="s">
        <v>95</v>
      </c>
      <c r="E206" s="227" t="s">
        <v>43</v>
      </c>
      <c r="F206" s="227" t="s">
        <v>125</v>
      </c>
      <c r="G206" s="227" t="s">
        <v>84</v>
      </c>
      <c r="H206" s="231">
        <v>1</v>
      </c>
      <c r="I206" s="232">
        <v>0</v>
      </c>
      <c r="J206" s="230">
        <v>46047</v>
      </c>
      <c r="K206" s="227" t="s">
        <v>93</v>
      </c>
      <c r="L206" s="227" t="s">
        <v>94</v>
      </c>
      <c r="M206" s="233">
        <v>0</v>
      </c>
      <c r="N206" s="231"/>
      <c r="O206" s="231"/>
      <c r="P206" s="234">
        <v>-10.11</v>
      </c>
    </row>
    <row r="207" spans="1:16" ht="19.5" customHeight="1">
      <c r="A207" s="227" t="s">
        <v>1134</v>
      </c>
      <c r="B207" s="230">
        <v>46049</v>
      </c>
      <c r="C207" s="227" t="s">
        <v>92</v>
      </c>
      <c r="D207" s="227" t="s">
        <v>96</v>
      </c>
      <c r="E207" s="227" t="s">
        <v>43</v>
      </c>
      <c r="F207" s="227" t="s">
        <v>125</v>
      </c>
      <c r="G207" s="227" t="s">
        <v>84</v>
      </c>
      <c r="H207" s="231">
        <v>1</v>
      </c>
      <c r="I207" s="232">
        <v>0</v>
      </c>
      <c r="J207" s="230">
        <v>46047</v>
      </c>
      <c r="K207" s="227" t="s">
        <v>93</v>
      </c>
      <c r="L207" s="227" t="s">
        <v>94</v>
      </c>
      <c r="M207" s="233">
        <v>0</v>
      </c>
      <c r="N207" s="231"/>
      <c r="O207" s="231"/>
      <c r="P207" s="234">
        <v>0</v>
      </c>
    </row>
    <row r="208" spans="1:16" ht="19.5" customHeight="1">
      <c r="A208" s="227" t="s">
        <v>1134</v>
      </c>
      <c r="B208" s="230">
        <v>46049</v>
      </c>
      <c r="C208" s="227" t="s">
        <v>92</v>
      </c>
      <c r="D208" s="227" t="s">
        <v>97</v>
      </c>
      <c r="E208" s="227" t="s">
        <v>43</v>
      </c>
      <c r="F208" s="227" t="s">
        <v>125</v>
      </c>
      <c r="G208" s="227" t="s">
        <v>84</v>
      </c>
      <c r="H208" s="231">
        <v>1</v>
      </c>
      <c r="I208" s="232">
        <v>0</v>
      </c>
      <c r="J208" s="230">
        <v>46047</v>
      </c>
      <c r="K208" s="227" t="s">
        <v>93</v>
      </c>
      <c r="L208" s="227" t="s">
        <v>94</v>
      </c>
      <c r="M208" s="233">
        <v>0</v>
      </c>
      <c r="N208" s="231"/>
      <c r="O208" s="231"/>
      <c r="P208" s="234">
        <v>-46.77</v>
      </c>
    </row>
    <row r="209" spans="1:16" ht="19.5" customHeight="1">
      <c r="A209" s="227" t="s">
        <v>1134</v>
      </c>
      <c r="B209" s="230">
        <v>46049</v>
      </c>
      <c r="C209" s="227" t="s">
        <v>81</v>
      </c>
      <c r="D209" s="227" t="s">
        <v>98</v>
      </c>
      <c r="E209" s="227" t="s">
        <v>43</v>
      </c>
      <c r="F209" s="227" t="s">
        <v>125</v>
      </c>
      <c r="G209" s="227" t="s">
        <v>84</v>
      </c>
      <c r="H209" s="231">
        <v>1</v>
      </c>
      <c r="I209" s="232">
        <v>0</v>
      </c>
      <c r="J209" s="230">
        <v>46047</v>
      </c>
      <c r="K209" s="227" t="s">
        <v>93</v>
      </c>
      <c r="L209" s="227" t="s">
        <v>94</v>
      </c>
      <c r="M209" s="233">
        <v>0</v>
      </c>
      <c r="N209" s="231"/>
      <c r="O209" s="231"/>
      <c r="P209" s="234">
        <v>-15</v>
      </c>
    </row>
    <row r="210" spans="1:16" ht="19.5" customHeight="1">
      <c r="A210" s="227" t="s">
        <v>1135</v>
      </c>
      <c r="B210" s="230">
        <v>46049</v>
      </c>
      <c r="C210" s="227" t="s">
        <v>92</v>
      </c>
      <c r="D210" s="227" t="s">
        <v>24</v>
      </c>
      <c r="E210" s="227" t="s">
        <v>42</v>
      </c>
      <c r="F210" s="227" t="s">
        <v>89</v>
      </c>
      <c r="G210" s="227" t="s">
        <v>84</v>
      </c>
      <c r="H210" s="231">
        <v>1</v>
      </c>
      <c r="I210" s="232">
        <v>0</v>
      </c>
      <c r="J210" s="230">
        <v>46045</v>
      </c>
      <c r="K210" s="227" t="s">
        <v>93</v>
      </c>
      <c r="L210" s="227" t="s">
        <v>94</v>
      </c>
      <c r="M210" s="233">
        <v>0</v>
      </c>
      <c r="N210" s="231"/>
      <c r="O210" s="231">
        <v>40</v>
      </c>
      <c r="P210" s="234">
        <v>-115.25</v>
      </c>
    </row>
    <row r="211" spans="1:16" ht="19.5" customHeight="1">
      <c r="A211" s="227" t="s">
        <v>1136</v>
      </c>
      <c r="B211" s="230">
        <v>46049</v>
      </c>
      <c r="C211" s="227" t="s">
        <v>92</v>
      </c>
      <c r="D211" s="227" t="s">
        <v>24</v>
      </c>
      <c r="E211" s="227" t="s">
        <v>53</v>
      </c>
      <c r="F211" s="227" t="s">
        <v>120</v>
      </c>
      <c r="G211" s="227" t="s">
        <v>84</v>
      </c>
      <c r="H211" s="231">
        <v>1</v>
      </c>
      <c r="I211" s="232">
        <v>0</v>
      </c>
      <c r="J211" s="230">
        <v>46043</v>
      </c>
      <c r="K211" s="227" t="s">
        <v>93</v>
      </c>
      <c r="L211" s="227" t="s">
        <v>94</v>
      </c>
      <c r="M211" s="233">
        <v>0</v>
      </c>
      <c r="N211" s="231"/>
      <c r="O211" s="231">
        <v>43</v>
      </c>
      <c r="P211" s="234">
        <v>-146.44999999999999</v>
      </c>
    </row>
    <row r="212" spans="1:16" ht="19.5" customHeight="1">
      <c r="A212" s="227" t="s">
        <v>1137</v>
      </c>
      <c r="B212" s="230">
        <v>46049</v>
      </c>
      <c r="C212" s="227" t="s">
        <v>92</v>
      </c>
      <c r="D212" s="227" t="s">
        <v>24</v>
      </c>
      <c r="E212" s="227" t="s">
        <v>52</v>
      </c>
      <c r="F212" s="227" t="s">
        <v>90</v>
      </c>
      <c r="G212" s="227" t="s">
        <v>84</v>
      </c>
      <c r="H212" s="231">
        <v>1</v>
      </c>
      <c r="I212" s="232">
        <v>1800</v>
      </c>
      <c r="J212" s="230">
        <v>46046</v>
      </c>
      <c r="K212" s="227" t="s">
        <v>93</v>
      </c>
      <c r="L212" s="227" t="s">
        <v>94</v>
      </c>
      <c r="M212" s="233">
        <v>0.43</v>
      </c>
      <c r="N212" s="231"/>
      <c r="O212" s="231">
        <v>40</v>
      </c>
      <c r="P212" s="234">
        <v>-130.46</v>
      </c>
    </row>
    <row r="213" spans="1:16" ht="19.5" customHeight="1">
      <c r="A213" s="227" t="s">
        <v>1137</v>
      </c>
      <c r="B213" s="230">
        <v>46049</v>
      </c>
      <c r="C213" s="227" t="s">
        <v>100</v>
      </c>
      <c r="D213" s="227" t="s">
        <v>101</v>
      </c>
      <c r="E213" s="227" t="s">
        <v>52</v>
      </c>
      <c r="F213" s="227" t="s">
        <v>90</v>
      </c>
      <c r="G213" s="227" t="s">
        <v>84</v>
      </c>
      <c r="H213" s="231">
        <v>1</v>
      </c>
      <c r="I213" s="232">
        <v>1800</v>
      </c>
      <c r="J213" s="230">
        <v>46046</v>
      </c>
      <c r="K213" s="227" t="s">
        <v>93</v>
      </c>
      <c r="L213" s="227" t="s">
        <v>94</v>
      </c>
      <c r="M213" s="233">
        <v>0</v>
      </c>
      <c r="N213" s="231"/>
      <c r="O213" s="231"/>
      <c r="P213" s="234">
        <v>677.14</v>
      </c>
    </row>
    <row r="214" spans="1:16" ht="19.5" customHeight="1">
      <c r="A214" s="227" t="s">
        <v>1137</v>
      </c>
      <c r="B214" s="230">
        <v>46049</v>
      </c>
      <c r="C214" s="227" t="s">
        <v>100</v>
      </c>
      <c r="D214" s="227" t="s">
        <v>102</v>
      </c>
      <c r="E214" s="227" t="s">
        <v>52</v>
      </c>
      <c r="F214" s="227" t="s">
        <v>90</v>
      </c>
      <c r="G214" s="227" t="s">
        <v>84</v>
      </c>
      <c r="H214" s="231">
        <v>1</v>
      </c>
      <c r="I214" s="232">
        <v>1800</v>
      </c>
      <c r="J214" s="230">
        <v>46046</v>
      </c>
      <c r="K214" s="227" t="s">
        <v>93</v>
      </c>
      <c r="L214" s="227" t="s">
        <v>94</v>
      </c>
      <c r="M214" s="233">
        <v>0</v>
      </c>
      <c r="N214" s="231"/>
      <c r="O214" s="231"/>
      <c r="P214" s="234">
        <v>6.77</v>
      </c>
    </row>
    <row r="215" spans="1:16" ht="19.5" customHeight="1">
      <c r="A215" s="227" t="s">
        <v>1137</v>
      </c>
      <c r="B215" s="230">
        <v>46049</v>
      </c>
      <c r="C215" s="227" t="s">
        <v>100</v>
      </c>
      <c r="D215" s="227" t="s">
        <v>103</v>
      </c>
      <c r="E215" s="227" t="s">
        <v>52</v>
      </c>
      <c r="F215" s="227" t="s">
        <v>90</v>
      </c>
      <c r="G215" s="227" t="s">
        <v>84</v>
      </c>
      <c r="H215" s="231">
        <v>1</v>
      </c>
      <c r="I215" s="232">
        <v>1800</v>
      </c>
      <c r="J215" s="230">
        <v>46046</v>
      </c>
      <c r="K215" s="227" t="s">
        <v>93</v>
      </c>
      <c r="L215" s="227" t="s">
        <v>94</v>
      </c>
      <c r="M215" s="233">
        <v>0</v>
      </c>
      <c r="N215" s="231"/>
      <c r="O215" s="231"/>
      <c r="P215" s="234">
        <v>1116.0899999999999</v>
      </c>
    </row>
    <row r="216" spans="1:16" ht="19.5" customHeight="1">
      <c r="A216" s="227" t="s">
        <v>1137</v>
      </c>
      <c r="B216" s="230">
        <v>46049</v>
      </c>
      <c r="C216" s="227" t="s">
        <v>104</v>
      </c>
      <c r="D216" s="227" t="s">
        <v>105</v>
      </c>
      <c r="E216" s="227" t="s">
        <v>52</v>
      </c>
      <c r="F216" s="227" t="s">
        <v>90</v>
      </c>
      <c r="G216" s="227" t="s">
        <v>84</v>
      </c>
      <c r="H216" s="231">
        <v>1</v>
      </c>
      <c r="I216" s="232">
        <v>1800</v>
      </c>
      <c r="J216" s="230">
        <v>46046</v>
      </c>
      <c r="K216" s="227" t="s">
        <v>93</v>
      </c>
      <c r="L216" s="227" t="s">
        <v>94</v>
      </c>
      <c r="M216" s="233">
        <v>0.43</v>
      </c>
      <c r="N216" s="231"/>
      <c r="O216" s="231"/>
      <c r="P216" s="234">
        <v>-774</v>
      </c>
    </row>
    <row r="217" spans="1:16" ht="19.5" customHeight="1">
      <c r="A217" s="227" t="s">
        <v>1137</v>
      </c>
      <c r="B217" s="230">
        <v>46049</v>
      </c>
      <c r="C217" s="227" t="s">
        <v>81</v>
      </c>
      <c r="D217" s="227" t="s">
        <v>95</v>
      </c>
      <c r="E217" s="227" t="s">
        <v>52</v>
      </c>
      <c r="F217" s="227" t="s">
        <v>90</v>
      </c>
      <c r="G217" s="227" t="s">
        <v>84</v>
      </c>
      <c r="H217" s="231">
        <v>1</v>
      </c>
      <c r="I217" s="232">
        <v>1800</v>
      </c>
      <c r="J217" s="230">
        <v>46046</v>
      </c>
      <c r="K217" s="227" t="s">
        <v>93</v>
      </c>
      <c r="L217" s="227" t="s">
        <v>94</v>
      </c>
      <c r="M217" s="233">
        <v>0.43</v>
      </c>
      <c r="N217" s="231"/>
      <c r="O217" s="231"/>
      <c r="P217" s="234">
        <v>-8.07</v>
      </c>
    </row>
    <row r="218" spans="1:16" ht="19.5" customHeight="1">
      <c r="A218" s="227" t="s">
        <v>1137</v>
      </c>
      <c r="B218" s="230">
        <v>46049</v>
      </c>
      <c r="C218" s="227" t="s">
        <v>81</v>
      </c>
      <c r="D218" s="227" t="s">
        <v>82</v>
      </c>
      <c r="E218" s="227" t="s">
        <v>52</v>
      </c>
      <c r="F218" s="227" t="s">
        <v>90</v>
      </c>
      <c r="G218" s="227" t="s">
        <v>84</v>
      </c>
      <c r="H218" s="231">
        <v>1</v>
      </c>
      <c r="I218" s="232">
        <v>0</v>
      </c>
      <c r="J218" s="230">
        <v>46046</v>
      </c>
      <c r="K218" s="227" t="s">
        <v>85</v>
      </c>
      <c r="L218" s="227" t="s">
        <v>85</v>
      </c>
      <c r="M218" s="233">
        <v>0</v>
      </c>
      <c r="N218" s="231"/>
      <c r="O218" s="231"/>
      <c r="P218" s="234">
        <v>-12.87</v>
      </c>
    </row>
    <row r="219" spans="1:16" ht="19.5" customHeight="1">
      <c r="A219" s="227" t="s">
        <v>287</v>
      </c>
      <c r="B219" s="230">
        <v>46049</v>
      </c>
      <c r="C219" s="227" t="s">
        <v>166</v>
      </c>
      <c r="D219" s="227" t="s">
        <v>167</v>
      </c>
      <c r="E219" s="227" t="s">
        <v>53</v>
      </c>
      <c r="F219" s="227" t="s">
        <v>120</v>
      </c>
      <c r="G219" s="227" t="s">
        <v>84</v>
      </c>
      <c r="H219" s="231">
        <v>1</v>
      </c>
      <c r="I219" s="232">
        <v>-1845</v>
      </c>
      <c r="J219" s="230">
        <v>46044</v>
      </c>
      <c r="K219" s="227" t="s">
        <v>93</v>
      </c>
      <c r="L219" s="227" t="s">
        <v>94</v>
      </c>
      <c r="M219" s="233">
        <v>0</v>
      </c>
      <c r="N219" s="231"/>
      <c r="O219" s="231"/>
      <c r="P219" s="234">
        <v>-658.42</v>
      </c>
    </row>
    <row r="220" spans="1:16" ht="19.5" customHeight="1">
      <c r="A220" s="227" t="s">
        <v>287</v>
      </c>
      <c r="B220" s="230">
        <v>46049</v>
      </c>
      <c r="C220" s="227" t="s">
        <v>166</v>
      </c>
      <c r="D220" s="227" t="s">
        <v>102</v>
      </c>
      <c r="E220" s="227" t="s">
        <v>53</v>
      </c>
      <c r="F220" s="227" t="s">
        <v>120</v>
      </c>
      <c r="G220" s="227" t="s">
        <v>84</v>
      </c>
      <c r="H220" s="231">
        <v>1</v>
      </c>
      <c r="I220" s="232">
        <v>-1845</v>
      </c>
      <c r="J220" s="230">
        <v>46044</v>
      </c>
      <c r="K220" s="227" t="s">
        <v>93</v>
      </c>
      <c r="L220" s="227" t="s">
        <v>94</v>
      </c>
      <c r="M220" s="233">
        <v>0</v>
      </c>
      <c r="N220" s="231"/>
      <c r="O220" s="231"/>
      <c r="P220" s="234">
        <v>-6.58</v>
      </c>
    </row>
    <row r="221" spans="1:16" ht="19.5" customHeight="1">
      <c r="A221" s="227" t="s">
        <v>287</v>
      </c>
      <c r="B221" s="230">
        <v>46049</v>
      </c>
      <c r="C221" s="227" t="s">
        <v>166</v>
      </c>
      <c r="D221" s="227" t="s">
        <v>103</v>
      </c>
      <c r="E221" s="227" t="s">
        <v>53</v>
      </c>
      <c r="F221" s="227" t="s">
        <v>120</v>
      </c>
      <c r="G221" s="227" t="s">
        <v>84</v>
      </c>
      <c r="H221" s="231">
        <v>1</v>
      </c>
      <c r="I221" s="232">
        <v>-1845</v>
      </c>
      <c r="J221" s="230">
        <v>46044</v>
      </c>
      <c r="K221" s="227" t="s">
        <v>93</v>
      </c>
      <c r="L221" s="227" t="s">
        <v>94</v>
      </c>
      <c r="M221" s="233">
        <v>0</v>
      </c>
      <c r="N221" s="231"/>
      <c r="O221" s="231"/>
      <c r="P221" s="234">
        <v>-1180</v>
      </c>
    </row>
    <row r="222" spans="1:16" ht="19.5" customHeight="1">
      <c r="A222" s="227" t="s">
        <v>287</v>
      </c>
      <c r="B222" s="230">
        <v>46049</v>
      </c>
      <c r="C222" s="227" t="s">
        <v>104</v>
      </c>
      <c r="D222" s="227" t="s">
        <v>168</v>
      </c>
      <c r="E222" s="227" t="s">
        <v>53</v>
      </c>
      <c r="F222" s="227" t="s">
        <v>120</v>
      </c>
      <c r="G222" s="227" t="s">
        <v>84</v>
      </c>
      <c r="H222" s="231">
        <v>1</v>
      </c>
      <c r="I222" s="232">
        <v>-1845</v>
      </c>
      <c r="J222" s="230">
        <v>46044</v>
      </c>
      <c r="K222" s="227" t="s">
        <v>93</v>
      </c>
      <c r="L222" s="227" t="s">
        <v>94</v>
      </c>
      <c r="M222" s="233">
        <v>0.43</v>
      </c>
      <c r="N222" s="231"/>
      <c r="O222" s="231"/>
      <c r="P222" s="234">
        <v>793.35</v>
      </c>
    </row>
    <row r="223" spans="1:16" ht="19.5" customHeight="1">
      <c r="A223" s="227" t="s">
        <v>217</v>
      </c>
      <c r="B223" s="230">
        <v>46049</v>
      </c>
      <c r="C223" s="227" t="s">
        <v>81</v>
      </c>
      <c r="D223" s="227" t="s">
        <v>82</v>
      </c>
      <c r="E223" s="227" t="s">
        <v>53</v>
      </c>
      <c r="F223" s="227" t="s">
        <v>120</v>
      </c>
      <c r="G223" s="227" t="s">
        <v>84</v>
      </c>
      <c r="H223" s="231">
        <v>1</v>
      </c>
      <c r="I223" s="232">
        <v>0</v>
      </c>
      <c r="J223" s="230">
        <v>46044</v>
      </c>
      <c r="K223" s="227" t="s">
        <v>85</v>
      </c>
      <c r="L223" s="227" t="s">
        <v>85</v>
      </c>
      <c r="M223" s="233">
        <v>0</v>
      </c>
      <c r="N223" s="231"/>
      <c r="O223" s="231"/>
      <c r="P223" s="234">
        <v>12.51</v>
      </c>
    </row>
    <row r="224" spans="1:16" ht="19.5" customHeight="1">
      <c r="A224" s="227" t="s">
        <v>1138</v>
      </c>
      <c r="B224" s="230">
        <v>46049</v>
      </c>
      <c r="C224" s="227" t="s">
        <v>92</v>
      </c>
      <c r="D224" s="227" t="s">
        <v>24</v>
      </c>
      <c r="E224" s="227" t="s">
        <v>41</v>
      </c>
      <c r="F224" s="227" t="s">
        <v>83</v>
      </c>
      <c r="G224" s="227" t="s">
        <v>84</v>
      </c>
      <c r="H224" s="231">
        <v>1</v>
      </c>
      <c r="I224" s="232">
        <v>1750</v>
      </c>
      <c r="J224" s="230">
        <v>46048</v>
      </c>
      <c r="K224" s="227" t="s">
        <v>93</v>
      </c>
      <c r="L224" s="227" t="s">
        <v>94</v>
      </c>
      <c r="M224" s="233">
        <v>0.43</v>
      </c>
      <c r="N224" s="231"/>
      <c r="O224" s="231">
        <v>44</v>
      </c>
      <c r="P224" s="234">
        <v>-130.11000000000001</v>
      </c>
    </row>
    <row r="225" spans="1:16" ht="19.5" customHeight="1">
      <c r="A225" s="227" t="s">
        <v>1138</v>
      </c>
      <c r="B225" s="230">
        <v>46049</v>
      </c>
      <c r="C225" s="227" t="s">
        <v>100</v>
      </c>
      <c r="D225" s="227" t="s">
        <v>101</v>
      </c>
      <c r="E225" s="227" t="s">
        <v>41</v>
      </c>
      <c r="F225" s="227" t="s">
        <v>83</v>
      </c>
      <c r="G225" s="227" t="s">
        <v>84</v>
      </c>
      <c r="H225" s="231">
        <v>1</v>
      </c>
      <c r="I225" s="232">
        <v>1750</v>
      </c>
      <c r="J225" s="230">
        <v>46048</v>
      </c>
      <c r="K225" s="227" t="s">
        <v>93</v>
      </c>
      <c r="L225" s="227" t="s">
        <v>94</v>
      </c>
      <c r="M225" s="233">
        <v>0</v>
      </c>
      <c r="N225" s="231"/>
      <c r="O225" s="231"/>
      <c r="P225" s="234">
        <v>780.42</v>
      </c>
    </row>
    <row r="226" spans="1:16" ht="19.5" customHeight="1">
      <c r="A226" s="227" t="s">
        <v>1138</v>
      </c>
      <c r="B226" s="230">
        <v>46049</v>
      </c>
      <c r="C226" s="227" t="s">
        <v>100</v>
      </c>
      <c r="D226" s="227" t="s">
        <v>102</v>
      </c>
      <c r="E226" s="227" t="s">
        <v>41</v>
      </c>
      <c r="F226" s="227" t="s">
        <v>83</v>
      </c>
      <c r="G226" s="227" t="s">
        <v>84</v>
      </c>
      <c r="H226" s="231">
        <v>1</v>
      </c>
      <c r="I226" s="232">
        <v>1750</v>
      </c>
      <c r="J226" s="230">
        <v>46048</v>
      </c>
      <c r="K226" s="227" t="s">
        <v>93</v>
      </c>
      <c r="L226" s="227" t="s">
        <v>94</v>
      </c>
      <c r="M226" s="233">
        <v>0</v>
      </c>
      <c r="N226" s="231"/>
      <c r="O226" s="231"/>
      <c r="P226" s="234">
        <v>0</v>
      </c>
    </row>
    <row r="227" spans="1:16" ht="19.5" customHeight="1">
      <c r="A227" s="227" t="s">
        <v>1138</v>
      </c>
      <c r="B227" s="230">
        <v>46049</v>
      </c>
      <c r="C227" s="227" t="s">
        <v>100</v>
      </c>
      <c r="D227" s="227" t="s">
        <v>103</v>
      </c>
      <c r="E227" s="227" t="s">
        <v>41</v>
      </c>
      <c r="F227" s="227" t="s">
        <v>83</v>
      </c>
      <c r="G227" s="227" t="s">
        <v>84</v>
      </c>
      <c r="H227" s="231">
        <v>1</v>
      </c>
      <c r="I227" s="232">
        <v>1750</v>
      </c>
      <c r="J227" s="230">
        <v>46048</v>
      </c>
      <c r="K227" s="227" t="s">
        <v>93</v>
      </c>
      <c r="L227" s="227" t="s">
        <v>94</v>
      </c>
      <c r="M227" s="233">
        <v>0</v>
      </c>
      <c r="N227" s="231"/>
      <c r="O227" s="231"/>
      <c r="P227" s="234">
        <v>969.58</v>
      </c>
    </row>
    <row r="228" spans="1:16" ht="19.5" customHeight="1">
      <c r="A228" s="227" t="s">
        <v>1138</v>
      </c>
      <c r="B228" s="230">
        <v>46049</v>
      </c>
      <c r="C228" s="227" t="s">
        <v>104</v>
      </c>
      <c r="D228" s="227" t="s">
        <v>105</v>
      </c>
      <c r="E228" s="227" t="s">
        <v>41</v>
      </c>
      <c r="F228" s="227" t="s">
        <v>83</v>
      </c>
      <c r="G228" s="227" t="s">
        <v>84</v>
      </c>
      <c r="H228" s="231">
        <v>1</v>
      </c>
      <c r="I228" s="232">
        <v>1750</v>
      </c>
      <c r="J228" s="230">
        <v>46048</v>
      </c>
      <c r="K228" s="227" t="s">
        <v>93</v>
      </c>
      <c r="L228" s="227" t="s">
        <v>94</v>
      </c>
      <c r="M228" s="233">
        <v>0.43</v>
      </c>
      <c r="N228" s="231"/>
      <c r="O228" s="231"/>
      <c r="P228" s="234">
        <v>-752.5</v>
      </c>
    </row>
    <row r="229" spans="1:16" ht="19.5" customHeight="1">
      <c r="A229" s="227" t="s">
        <v>1138</v>
      </c>
      <c r="B229" s="230">
        <v>46049</v>
      </c>
      <c r="C229" s="227" t="s">
        <v>81</v>
      </c>
      <c r="D229" s="227" t="s">
        <v>95</v>
      </c>
      <c r="E229" s="227" t="s">
        <v>41</v>
      </c>
      <c r="F229" s="227" t="s">
        <v>83</v>
      </c>
      <c r="G229" s="227" t="s">
        <v>84</v>
      </c>
      <c r="H229" s="231">
        <v>1</v>
      </c>
      <c r="I229" s="232">
        <v>1750</v>
      </c>
      <c r="J229" s="230">
        <v>46048</v>
      </c>
      <c r="K229" s="227" t="s">
        <v>93</v>
      </c>
      <c r="L229" s="227" t="s">
        <v>94</v>
      </c>
      <c r="M229" s="233">
        <v>0.43</v>
      </c>
      <c r="N229" s="231"/>
      <c r="O229" s="231"/>
      <c r="P229" s="234">
        <v>-15.11</v>
      </c>
    </row>
    <row r="230" spans="1:16" ht="19.5" customHeight="1">
      <c r="A230" s="227" t="s">
        <v>1139</v>
      </c>
      <c r="B230" s="230">
        <v>46049</v>
      </c>
      <c r="C230" s="227" t="s">
        <v>92</v>
      </c>
      <c r="D230" s="227" t="s">
        <v>24</v>
      </c>
      <c r="E230" s="227" t="s">
        <v>42</v>
      </c>
      <c r="F230" s="227" t="s">
        <v>89</v>
      </c>
      <c r="G230" s="227" t="s">
        <v>84</v>
      </c>
      <c r="H230" s="231">
        <v>1</v>
      </c>
      <c r="I230" s="232">
        <v>1750</v>
      </c>
      <c r="J230" s="230">
        <v>46044</v>
      </c>
      <c r="K230" s="227" t="s">
        <v>93</v>
      </c>
      <c r="L230" s="227" t="s">
        <v>94</v>
      </c>
      <c r="M230" s="233">
        <v>0.43</v>
      </c>
      <c r="N230" s="231"/>
      <c r="O230" s="231">
        <v>42</v>
      </c>
      <c r="P230" s="234">
        <v>-123.31</v>
      </c>
    </row>
    <row r="231" spans="1:16" ht="19.5" customHeight="1">
      <c r="A231" s="227" t="s">
        <v>1139</v>
      </c>
      <c r="B231" s="230">
        <v>46049</v>
      </c>
      <c r="C231" s="227" t="s">
        <v>100</v>
      </c>
      <c r="D231" s="227" t="s">
        <v>101</v>
      </c>
      <c r="E231" s="227" t="s">
        <v>42</v>
      </c>
      <c r="F231" s="227" t="s">
        <v>89</v>
      </c>
      <c r="G231" s="227" t="s">
        <v>84</v>
      </c>
      <c r="H231" s="231">
        <v>1</v>
      </c>
      <c r="I231" s="232">
        <v>1750</v>
      </c>
      <c r="J231" s="230">
        <v>46044</v>
      </c>
      <c r="K231" s="227" t="s">
        <v>93</v>
      </c>
      <c r="L231" s="227" t="s">
        <v>94</v>
      </c>
      <c r="M231" s="233">
        <v>0</v>
      </c>
      <c r="N231" s="231"/>
      <c r="O231" s="231"/>
      <c r="P231" s="234">
        <v>609.52</v>
      </c>
    </row>
    <row r="232" spans="1:16" ht="19.5" customHeight="1">
      <c r="A232" s="227" t="s">
        <v>1139</v>
      </c>
      <c r="B232" s="230">
        <v>46049</v>
      </c>
      <c r="C232" s="227" t="s">
        <v>100</v>
      </c>
      <c r="D232" s="227" t="s">
        <v>102</v>
      </c>
      <c r="E232" s="227" t="s">
        <v>42</v>
      </c>
      <c r="F232" s="227" t="s">
        <v>89</v>
      </c>
      <c r="G232" s="227" t="s">
        <v>84</v>
      </c>
      <c r="H232" s="231">
        <v>1</v>
      </c>
      <c r="I232" s="232">
        <v>1750</v>
      </c>
      <c r="J232" s="230">
        <v>46044</v>
      </c>
      <c r="K232" s="227" t="s">
        <v>93</v>
      </c>
      <c r="L232" s="227" t="s">
        <v>94</v>
      </c>
      <c r="M232" s="233">
        <v>0</v>
      </c>
      <c r="N232" s="231"/>
      <c r="O232" s="231"/>
      <c r="P232" s="234">
        <v>6.1</v>
      </c>
    </row>
    <row r="233" spans="1:16" ht="19.5" customHeight="1">
      <c r="A233" s="227" t="s">
        <v>1139</v>
      </c>
      <c r="B233" s="230">
        <v>46049</v>
      </c>
      <c r="C233" s="227" t="s">
        <v>100</v>
      </c>
      <c r="D233" s="227" t="s">
        <v>103</v>
      </c>
      <c r="E233" s="227" t="s">
        <v>42</v>
      </c>
      <c r="F233" s="227" t="s">
        <v>89</v>
      </c>
      <c r="G233" s="227" t="s">
        <v>84</v>
      </c>
      <c r="H233" s="231">
        <v>1</v>
      </c>
      <c r="I233" s="232">
        <v>1750</v>
      </c>
      <c r="J233" s="230">
        <v>46044</v>
      </c>
      <c r="K233" s="227" t="s">
        <v>93</v>
      </c>
      <c r="L233" s="227" t="s">
        <v>94</v>
      </c>
      <c r="M233" s="233">
        <v>0</v>
      </c>
      <c r="N233" s="231"/>
      <c r="O233" s="231"/>
      <c r="P233" s="234">
        <v>1134.3800000000001</v>
      </c>
    </row>
    <row r="234" spans="1:16" ht="19.5" customHeight="1">
      <c r="A234" s="227" t="s">
        <v>1139</v>
      </c>
      <c r="B234" s="230">
        <v>46049</v>
      </c>
      <c r="C234" s="227" t="s">
        <v>104</v>
      </c>
      <c r="D234" s="227" t="s">
        <v>105</v>
      </c>
      <c r="E234" s="227" t="s">
        <v>42</v>
      </c>
      <c r="F234" s="227" t="s">
        <v>89</v>
      </c>
      <c r="G234" s="227" t="s">
        <v>84</v>
      </c>
      <c r="H234" s="231">
        <v>1</v>
      </c>
      <c r="I234" s="232">
        <v>1750</v>
      </c>
      <c r="J234" s="230">
        <v>46044</v>
      </c>
      <c r="K234" s="227" t="s">
        <v>93</v>
      </c>
      <c r="L234" s="227" t="s">
        <v>94</v>
      </c>
      <c r="M234" s="233">
        <v>0.43</v>
      </c>
      <c r="N234" s="231"/>
      <c r="O234" s="231"/>
      <c r="P234" s="234">
        <v>-752.5</v>
      </c>
    </row>
    <row r="235" spans="1:16" ht="19.5" customHeight="1">
      <c r="A235" s="227" t="s">
        <v>1139</v>
      </c>
      <c r="B235" s="230">
        <v>46049</v>
      </c>
      <c r="C235" s="227" t="s">
        <v>81</v>
      </c>
      <c r="D235" s="227" t="s">
        <v>95</v>
      </c>
      <c r="E235" s="227" t="s">
        <v>42</v>
      </c>
      <c r="F235" s="227" t="s">
        <v>89</v>
      </c>
      <c r="G235" s="227" t="s">
        <v>84</v>
      </c>
      <c r="H235" s="231">
        <v>1</v>
      </c>
      <c r="I235" s="232">
        <v>1750</v>
      </c>
      <c r="J235" s="230">
        <v>46044</v>
      </c>
      <c r="K235" s="227" t="s">
        <v>93</v>
      </c>
      <c r="L235" s="227" t="s">
        <v>94</v>
      </c>
      <c r="M235" s="233">
        <v>0.43</v>
      </c>
      <c r="N235" s="231"/>
      <c r="O235" s="231"/>
      <c r="P235" s="234">
        <v>-10.36</v>
      </c>
    </row>
    <row r="236" spans="1:16" ht="19.5" customHeight="1">
      <c r="A236" s="227" t="s">
        <v>1140</v>
      </c>
      <c r="B236" s="230">
        <v>46049</v>
      </c>
      <c r="C236" s="227" t="s">
        <v>92</v>
      </c>
      <c r="D236" s="227" t="s">
        <v>24</v>
      </c>
      <c r="E236" s="227" t="s">
        <v>53</v>
      </c>
      <c r="F236" s="227" t="s">
        <v>120</v>
      </c>
      <c r="G236" s="227" t="s">
        <v>84</v>
      </c>
      <c r="H236" s="231">
        <v>1</v>
      </c>
      <c r="I236" s="232">
        <v>1812</v>
      </c>
      <c r="J236" s="230">
        <v>46045</v>
      </c>
      <c r="K236" s="227" t="s">
        <v>93</v>
      </c>
      <c r="L236" s="227" t="s">
        <v>94</v>
      </c>
      <c r="M236" s="233">
        <v>0.43</v>
      </c>
      <c r="N236" s="231"/>
      <c r="O236" s="231">
        <v>40</v>
      </c>
      <c r="P236" s="234">
        <v>-130.77000000000001</v>
      </c>
    </row>
    <row r="237" spans="1:16" ht="19.5" customHeight="1">
      <c r="A237" s="227" t="s">
        <v>1140</v>
      </c>
      <c r="B237" s="230">
        <v>46049</v>
      </c>
      <c r="C237" s="227" t="s">
        <v>100</v>
      </c>
      <c r="D237" s="227" t="s">
        <v>101</v>
      </c>
      <c r="E237" s="227" t="s">
        <v>53</v>
      </c>
      <c r="F237" s="227" t="s">
        <v>120</v>
      </c>
      <c r="G237" s="227" t="s">
        <v>84</v>
      </c>
      <c r="H237" s="231">
        <v>1</v>
      </c>
      <c r="I237" s="232">
        <v>1812</v>
      </c>
      <c r="J237" s="230">
        <v>46045</v>
      </c>
      <c r="K237" s="227" t="s">
        <v>93</v>
      </c>
      <c r="L237" s="227" t="s">
        <v>94</v>
      </c>
      <c r="M237" s="233">
        <v>0</v>
      </c>
      <c r="N237" s="231"/>
      <c r="O237" s="231"/>
      <c r="P237" s="234">
        <v>692.97</v>
      </c>
    </row>
    <row r="238" spans="1:16" ht="19.5" customHeight="1">
      <c r="A238" s="227" t="s">
        <v>1140</v>
      </c>
      <c r="B238" s="230">
        <v>46049</v>
      </c>
      <c r="C238" s="227" t="s">
        <v>100</v>
      </c>
      <c r="D238" s="227" t="s">
        <v>102</v>
      </c>
      <c r="E238" s="227" t="s">
        <v>53</v>
      </c>
      <c r="F238" s="227" t="s">
        <v>120</v>
      </c>
      <c r="G238" s="227" t="s">
        <v>84</v>
      </c>
      <c r="H238" s="231">
        <v>1</v>
      </c>
      <c r="I238" s="232">
        <v>1812</v>
      </c>
      <c r="J238" s="230">
        <v>46045</v>
      </c>
      <c r="K238" s="227" t="s">
        <v>93</v>
      </c>
      <c r="L238" s="227" t="s">
        <v>94</v>
      </c>
      <c r="M238" s="233">
        <v>0</v>
      </c>
      <c r="N238" s="231"/>
      <c r="O238" s="231"/>
      <c r="P238" s="234">
        <v>6.93</v>
      </c>
    </row>
    <row r="239" spans="1:16" ht="19.5" customHeight="1">
      <c r="A239" s="227" t="s">
        <v>1140</v>
      </c>
      <c r="B239" s="230">
        <v>46049</v>
      </c>
      <c r="C239" s="227" t="s">
        <v>100</v>
      </c>
      <c r="D239" s="227" t="s">
        <v>103</v>
      </c>
      <c r="E239" s="227" t="s">
        <v>53</v>
      </c>
      <c r="F239" s="227" t="s">
        <v>120</v>
      </c>
      <c r="G239" s="227" t="s">
        <v>84</v>
      </c>
      <c r="H239" s="231">
        <v>1</v>
      </c>
      <c r="I239" s="232">
        <v>1812</v>
      </c>
      <c r="J239" s="230">
        <v>46045</v>
      </c>
      <c r="K239" s="227" t="s">
        <v>93</v>
      </c>
      <c r="L239" s="227" t="s">
        <v>94</v>
      </c>
      <c r="M239" s="233">
        <v>0</v>
      </c>
      <c r="N239" s="231"/>
      <c r="O239" s="231"/>
      <c r="P239" s="234">
        <v>1112.0999999999999</v>
      </c>
    </row>
    <row r="240" spans="1:16" ht="19.5" customHeight="1">
      <c r="A240" s="227" t="s">
        <v>1140</v>
      </c>
      <c r="B240" s="230">
        <v>46049</v>
      </c>
      <c r="C240" s="227" t="s">
        <v>104</v>
      </c>
      <c r="D240" s="227" t="s">
        <v>105</v>
      </c>
      <c r="E240" s="227" t="s">
        <v>53</v>
      </c>
      <c r="F240" s="227" t="s">
        <v>120</v>
      </c>
      <c r="G240" s="227" t="s">
        <v>84</v>
      </c>
      <c r="H240" s="231">
        <v>1</v>
      </c>
      <c r="I240" s="232">
        <v>1812</v>
      </c>
      <c r="J240" s="230">
        <v>46045</v>
      </c>
      <c r="K240" s="227" t="s">
        <v>93</v>
      </c>
      <c r="L240" s="227" t="s">
        <v>94</v>
      </c>
      <c r="M240" s="233">
        <v>0.43</v>
      </c>
      <c r="N240" s="231"/>
      <c r="O240" s="231"/>
      <c r="P240" s="234">
        <v>-779.16</v>
      </c>
    </row>
    <row r="241" spans="1:16" ht="19.5" customHeight="1">
      <c r="A241" s="227" t="s">
        <v>1140</v>
      </c>
      <c r="B241" s="230">
        <v>46049</v>
      </c>
      <c r="C241" s="227" t="s">
        <v>81</v>
      </c>
      <c r="D241" s="227" t="s">
        <v>95</v>
      </c>
      <c r="E241" s="227" t="s">
        <v>53</v>
      </c>
      <c r="F241" s="227" t="s">
        <v>120</v>
      </c>
      <c r="G241" s="227" t="s">
        <v>84</v>
      </c>
      <c r="H241" s="231">
        <v>1</v>
      </c>
      <c r="I241" s="232">
        <v>1812</v>
      </c>
      <c r="J241" s="230">
        <v>46045</v>
      </c>
      <c r="K241" s="227" t="s">
        <v>93</v>
      </c>
      <c r="L241" s="227" t="s">
        <v>94</v>
      </c>
      <c r="M241" s="233">
        <v>0.43</v>
      </c>
      <c r="N241" s="231"/>
      <c r="O241" s="231"/>
      <c r="P241" s="234">
        <v>-9.43</v>
      </c>
    </row>
    <row r="242" spans="1:16" ht="19.5" customHeight="1">
      <c r="A242" s="227" t="s">
        <v>1141</v>
      </c>
      <c r="B242" s="230">
        <v>46049</v>
      </c>
      <c r="C242" s="227" t="s">
        <v>92</v>
      </c>
      <c r="D242" s="227" t="s">
        <v>24</v>
      </c>
      <c r="E242" s="227" t="s">
        <v>43</v>
      </c>
      <c r="F242" s="227" t="s">
        <v>125</v>
      </c>
      <c r="G242" s="227" t="s">
        <v>84</v>
      </c>
      <c r="H242" s="231">
        <v>1</v>
      </c>
      <c r="I242" s="232">
        <v>1750</v>
      </c>
      <c r="J242" s="230">
        <v>46047</v>
      </c>
      <c r="K242" s="227" t="s">
        <v>93</v>
      </c>
      <c r="L242" s="227" t="s">
        <v>94</v>
      </c>
      <c r="M242" s="233">
        <v>0.43</v>
      </c>
      <c r="N242" s="231"/>
      <c r="O242" s="231">
        <v>41</v>
      </c>
      <c r="P242" s="234">
        <v>-119.28</v>
      </c>
    </row>
    <row r="243" spans="1:16" ht="19.5" customHeight="1">
      <c r="A243" s="227" t="s">
        <v>1141</v>
      </c>
      <c r="B243" s="230">
        <v>46049</v>
      </c>
      <c r="C243" s="227" t="s">
        <v>100</v>
      </c>
      <c r="D243" s="227" t="s">
        <v>101</v>
      </c>
      <c r="E243" s="227" t="s">
        <v>43</v>
      </c>
      <c r="F243" s="227" t="s">
        <v>125</v>
      </c>
      <c r="G243" s="227" t="s">
        <v>84</v>
      </c>
      <c r="H243" s="231">
        <v>1</v>
      </c>
      <c r="I243" s="232">
        <v>1750</v>
      </c>
      <c r="J243" s="230">
        <v>46047</v>
      </c>
      <c r="K243" s="227" t="s">
        <v>93</v>
      </c>
      <c r="L243" s="227" t="s">
        <v>94</v>
      </c>
      <c r="M243" s="233">
        <v>0</v>
      </c>
      <c r="N243" s="231"/>
      <c r="O243" s="231"/>
      <c r="P243" s="234">
        <v>609.52</v>
      </c>
    </row>
    <row r="244" spans="1:16" ht="19.5" customHeight="1">
      <c r="A244" s="227" t="s">
        <v>1141</v>
      </c>
      <c r="B244" s="230">
        <v>46049</v>
      </c>
      <c r="C244" s="227" t="s">
        <v>100</v>
      </c>
      <c r="D244" s="227" t="s">
        <v>102</v>
      </c>
      <c r="E244" s="227" t="s">
        <v>43</v>
      </c>
      <c r="F244" s="227" t="s">
        <v>125</v>
      </c>
      <c r="G244" s="227" t="s">
        <v>84</v>
      </c>
      <c r="H244" s="231">
        <v>1</v>
      </c>
      <c r="I244" s="232">
        <v>1750</v>
      </c>
      <c r="J244" s="230">
        <v>46047</v>
      </c>
      <c r="K244" s="227" t="s">
        <v>93</v>
      </c>
      <c r="L244" s="227" t="s">
        <v>94</v>
      </c>
      <c r="M244" s="233">
        <v>0</v>
      </c>
      <c r="N244" s="231"/>
      <c r="O244" s="231"/>
      <c r="P244" s="234">
        <v>6.1</v>
      </c>
    </row>
    <row r="245" spans="1:16" ht="19.5" customHeight="1">
      <c r="A245" s="227" t="s">
        <v>1141</v>
      </c>
      <c r="B245" s="230">
        <v>46049</v>
      </c>
      <c r="C245" s="227" t="s">
        <v>100</v>
      </c>
      <c r="D245" s="227" t="s">
        <v>103</v>
      </c>
      <c r="E245" s="227" t="s">
        <v>43</v>
      </c>
      <c r="F245" s="227" t="s">
        <v>125</v>
      </c>
      <c r="G245" s="227" t="s">
        <v>84</v>
      </c>
      <c r="H245" s="231">
        <v>1</v>
      </c>
      <c r="I245" s="232">
        <v>1750</v>
      </c>
      <c r="J245" s="230">
        <v>46047</v>
      </c>
      <c r="K245" s="227" t="s">
        <v>93</v>
      </c>
      <c r="L245" s="227" t="s">
        <v>94</v>
      </c>
      <c r="M245" s="233">
        <v>0</v>
      </c>
      <c r="N245" s="231"/>
      <c r="O245" s="231"/>
      <c r="P245" s="234">
        <v>1134.3800000000001</v>
      </c>
    </row>
    <row r="246" spans="1:16" ht="19.5" customHeight="1">
      <c r="A246" s="227" t="s">
        <v>1141</v>
      </c>
      <c r="B246" s="230">
        <v>46049</v>
      </c>
      <c r="C246" s="227" t="s">
        <v>104</v>
      </c>
      <c r="D246" s="227" t="s">
        <v>105</v>
      </c>
      <c r="E246" s="227" t="s">
        <v>43</v>
      </c>
      <c r="F246" s="227" t="s">
        <v>125</v>
      </c>
      <c r="G246" s="227" t="s">
        <v>84</v>
      </c>
      <c r="H246" s="231">
        <v>1</v>
      </c>
      <c r="I246" s="232">
        <v>1750</v>
      </c>
      <c r="J246" s="230">
        <v>46047</v>
      </c>
      <c r="K246" s="227" t="s">
        <v>93</v>
      </c>
      <c r="L246" s="227" t="s">
        <v>94</v>
      </c>
      <c r="M246" s="233">
        <v>0.43</v>
      </c>
      <c r="N246" s="231"/>
      <c r="O246" s="231"/>
      <c r="P246" s="234">
        <v>-752.5</v>
      </c>
    </row>
    <row r="247" spans="1:16" ht="19.5" customHeight="1">
      <c r="A247" s="227" t="s">
        <v>1141</v>
      </c>
      <c r="B247" s="230">
        <v>46049</v>
      </c>
      <c r="C247" s="227" t="s">
        <v>81</v>
      </c>
      <c r="D247" s="227" t="s">
        <v>95</v>
      </c>
      <c r="E247" s="227" t="s">
        <v>43</v>
      </c>
      <c r="F247" s="227" t="s">
        <v>125</v>
      </c>
      <c r="G247" s="227" t="s">
        <v>84</v>
      </c>
      <c r="H247" s="231">
        <v>1</v>
      </c>
      <c r="I247" s="232">
        <v>1750</v>
      </c>
      <c r="J247" s="230">
        <v>46047</v>
      </c>
      <c r="K247" s="227" t="s">
        <v>93</v>
      </c>
      <c r="L247" s="227" t="s">
        <v>94</v>
      </c>
      <c r="M247" s="233">
        <v>0.43</v>
      </c>
      <c r="N247" s="231"/>
      <c r="O247" s="231"/>
      <c r="P247" s="234">
        <v>-7.89</v>
      </c>
    </row>
    <row r="248" spans="1:16" ht="19.5" customHeight="1">
      <c r="A248" s="227" t="s">
        <v>1142</v>
      </c>
      <c r="B248" s="230">
        <v>46049</v>
      </c>
      <c r="C248" s="227" t="s">
        <v>92</v>
      </c>
      <c r="D248" s="227" t="s">
        <v>24</v>
      </c>
      <c r="E248" s="227" t="s">
        <v>52</v>
      </c>
      <c r="F248" s="227" t="s">
        <v>90</v>
      </c>
      <c r="G248" s="227" t="s">
        <v>84</v>
      </c>
      <c r="H248" s="231">
        <v>1</v>
      </c>
      <c r="I248" s="232">
        <v>1800</v>
      </c>
      <c r="J248" s="230">
        <v>46046</v>
      </c>
      <c r="K248" s="227" t="s">
        <v>93</v>
      </c>
      <c r="L248" s="227" t="s">
        <v>94</v>
      </c>
      <c r="M248" s="233">
        <v>0.43</v>
      </c>
      <c r="N248" s="231"/>
      <c r="O248" s="231">
        <v>40</v>
      </c>
      <c r="P248" s="234">
        <v>-131.88</v>
      </c>
    </row>
    <row r="249" spans="1:16" ht="19.5" customHeight="1">
      <c r="A249" s="227" t="s">
        <v>1142</v>
      </c>
      <c r="B249" s="230">
        <v>46049</v>
      </c>
      <c r="C249" s="227" t="s">
        <v>100</v>
      </c>
      <c r="D249" s="227" t="s">
        <v>101</v>
      </c>
      <c r="E249" s="227" t="s">
        <v>52</v>
      </c>
      <c r="F249" s="227" t="s">
        <v>90</v>
      </c>
      <c r="G249" s="227" t="s">
        <v>84</v>
      </c>
      <c r="H249" s="231">
        <v>1</v>
      </c>
      <c r="I249" s="232">
        <v>1800</v>
      </c>
      <c r="J249" s="230">
        <v>46046</v>
      </c>
      <c r="K249" s="227" t="s">
        <v>93</v>
      </c>
      <c r="L249" s="227" t="s">
        <v>94</v>
      </c>
      <c r="M249" s="233">
        <v>0</v>
      </c>
      <c r="N249" s="231"/>
      <c r="O249" s="231"/>
      <c r="P249" s="234">
        <v>638.1</v>
      </c>
    </row>
    <row r="250" spans="1:16" ht="19.5" customHeight="1">
      <c r="A250" s="227" t="s">
        <v>1142</v>
      </c>
      <c r="B250" s="230">
        <v>46049</v>
      </c>
      <c r="C250" s="227" t="s">
        <v>100</v>
      </c>
      <c r="D250" s="227" t="s">
        <v>102</v>
      </c>
      <c r="E250" s="227" t="s">
        <v>52</v>
      </c>
      <c r="F250" s="227" t="s">
        <v>90</v>
      </c>
      <c r="G250" s="227" t="s">
        <v>84</v>
      </c>
      <c r="H250" s="231">
        <v>1</v>
      </c>
      <c r="I250" s="232">
        <v>1800</v>
      </c>
      <c r="J250" s="230">
        <v>46046</v>
      </c>
      <c r="K250" s="227" t="s">
        <v>93</v>
      </c>
      <c r="L250" s="227" t="s">
        <v>94</v>
      </c>
      <c r="M250" s="233">
        <v>0</v>
      </c>
      <c r="N250" s="231"/>
      <c r="O250" s="231"/>
      <c r="P250" s="234">
        <v>6.38</v>
      </c>
    </row>
    <row r="251" spans="1:16" ht="19.5" customHeight="1">
      <c r="A251" s="227" t="s">
        <v>1142</v>
      </c>
      <c r="B251" s="230">
        <v>46049</v>
      </c>
      <c r="C251" s="227" t="s">
        <v>100</v>
      </c>
      <c r="D251" s="227" t="s">
        <v>103</v>
      </c>
      <c r="E251" s="227" t="s">
        <v>52</v>
      </c>
      <c r="F251" s="227" t="s">
        <v>90</v>
      </c>
      <c r="G251" s="227" t="s">
        <v>84</v>
      </c>
      <c r="H251" s="231">
        <v>1</v>
      </c>
      <c r="I251" s="232">
        <v>1800</v>
      </c>
      <c r="J251" s="230">
        <v>46046</v>
      </c>
      <c r="K251" s="227" t="s">
        <v>93</v>
      </c>
      <c r="L251" s="227" t="s">
        <v>94</v>
      </c>
      <c r="M251" s="233">
        <v>0</v>
      </c>
      <c r="N251" s="231"/>
      <c r="O251" s="231"/>
      <c r="P251" s="234">
        <v>1155.52</v>
      </c>
    </row>
    <row r="252" spans="1:16" ht="19.5" customHeight="1">
      <c r="A252" s="227" t="s">
        <v>1142</v>
      </c>
      <c r="B252" s="230">
        <v>46049</v>
      </c>
      <c r="C252" s="227" t="s">
        <v>104</v>
      </c>
      <c r="D252" s="227" t="s">
        <v>105</v>
      </c>
      <c r="E252" s="227" t="s">
        <v>52</v>
      </c>
      <c r="F252" s="227" t="s">
        <v>90</v>
      </c>
      <c r="G252" s="227" t="s">
        <v>84</v>
      </c>
      <c r="H252" s="231">
        <v>1</v>
      </c>
      <c r="I252" s="232">
        <v>1800</v>
      </c>
      <c r="J252" s="230">
        <v>46046</v>
      </c>
      <c r="K252" s="227" t="s">
        <v>93</v>
      </c>
      <c r="L252" s="227" t="s">
        <v>94</v>
      </c>
      <c r="M252" s="233">
        <v>0.43</v>
      </c>
      <c r="N252" s="231"/>
      <c r="O252" s="231"/>
      <c r="P252" s="234">
        <v>-774</v>
      </c>
    </row>
    <row r="253" spans="1:16" ht="19.5" customHeight="1">
      <c r="A253" s="227" t="s">
        <v>1142</v>
      </c>
      <c r="B253" s="230">
        <v>46049</v>
      </c>
      <c r="C253" s="227" t="s">
        <v>81</v>
      </c>
      <c r="D253" s="227" t="s">
        <v>95</v>
      </c>
      <c r="E253" s="227" t="s">
        <v>52</v>
      </c>
      <c r="F253" s="227" t="s">
        <v>90</v>
      </c>
      <c r="G253" s="227" t="s">
        <v>84</v>
      </c>
      <c r="H253" s="231">
        <v>1</v>
      </c>
      <c r="I253" s="232">
        <v>1800</v>
      </c>
      <c r="J253" s="230">
        <v>46046</v>
      </c>
      <c r="K253" s="227" t="s">
        <v>93</v>
      </c>
      <c r="L253" s="227" t="s">
        <v>94</v>
      </c>
      <c r="M253" s="233">
        <v>0.43</v>
      </c>
      <c r="N253" s="231"/>
      <c r="O253" s="231"/>
      <c r="P253" s="234">
        <v>-12.56</v>
      </c>
    </row>
    <row r="254" spans="1:16" ht="19.5" customHeight="1">
      <c r="A254" s="227" t="s">
        <v>1139</v>
      </c>
      <c r="B254" s="230">
        <v>46049</v>
      </c>
      <c r="C254" s="227" t="s">
        <v>81</v>
      </c>
      <c r="D254" s="227" t="s">
        <v>82</v>
      </c>
      <c r="E254" s="227" t="s">
        <v>42</v>
      </c>
      <c r="F254" s="227" t="s">
        <v>89</v>
      </c>
      <c r="G254" s="227" t="s">
        <v>84</v>
      </c>
      <c r="H254" s="231">
        <v>1</v>
      </c>
      <c r="I254" s="232">
        <v>0</v>
      </c>
      <c r="J254" s="230">
        <v>46044</v>
      </c>
      <c r="K254" s="227" t="s">
        <v>85</v>
      </c>
      <c r="L254" s="227" t="s">
        <v>85</v>
      </c>
      <c r="M254" s="233">
        <v>0</v>
      </c>
      <c r="N254" s="231"/>
      <c r="O254" s="231"/>
      <c r="P254" s="234">
        <v>-11.58</v>
      </c>
    </row>
    <row r="255" spans="1:16" ht="19.5" customHeight="1">
      <c r="A255" s="227" t="s">
        <v>1142</v>
      </c>
      <c r="B255" s="230">
        <v>46049</v>
      </c>
      <c r="C255" s="227" t="s">
        <v>81</v>
      </c>
      <c r="D255" s="227" t="s">
        <v>82</v>
      </c>
      <c r="E255" s="227" t="s">
        <v>52</v>
      </c>
      <c r="F255" s="227" t="s">
        <v>90</v>
      </c>
      <c r="G255" s="227" t="s">
        <v>84</v>
      </c>
      <c r="H255" s="231">
        <v>1</v>
      </c>
      <c r="I255" s="232">
        <v>0</v>
      </c>
      <c r="J255" s="230">
        <v>46046</v>
      </c>
      <c r="K255" s="227" t="s">
        <v>85</v>
      </c>
      <c r="L255" s="227" t="s">
        <v>85</v>
      </c>
      <c r="M255" s="233">
        <v>0</v>
      </c>
      <c r="N255" s="231"/>
      <c r="O255" s="231"/>
      <c r="P255" s="234">
        <v>-12.12</v>
      </c>
    </row>
    <row r="256" spans="1:16" ht="19.5" customHeight="1">
      <c r="A256" s="227" t="s">
        <v>1143</v>
      </c>
      <c r="B256" s="230">
        <v>46049</v>
      </c>
      <c r="C256" s="227" t="s">
        <v>92</v>
      </c>
      <c r="D256" s="227" t="s">
        <v>24</v>
      </c>
      <c r="E256" s="227" t="s">
        <v>52</v>
      </c>
      <c r="F256" s="227" t="s">
        <v>90</v>
      </c>
      <c r="G256" s="227" t="s">
        <v>84</v>
      </c>
      <c r="H256" s="231">
        <v>1</v>
      </c>
      <c r="I256" s="232">
        <v>0</v>
      </c>
      <c r="J256" s="230">
        <v>46044</v>
      </c>
      <c r="K256" s="227" t="s">
        <v>93</v>
      </c>
      <c r="L256" s="227" t="s">
        <v>94</v>
      </c>
      <c r="M256" s="233">
        <v>0</v>
      </c>
      <c r="N256" s="231"/>
      <c r="O256" s="231">
        <v>42</v>
      </c>
      <c r="P256" s="234">
        <v>-141.63999999999999</v>
      </c>
    </row>
    <row r="257" spans="1:16" ht="19.5" customHeight="1">
      <c r="A257" s="227" t="s">
        <v>1144</v>
      </c>
      <c r="B257" s="230">
        <v>46049</v>
      </c>
      <c r="C257" s="227" t="s">
        <v>92</v>
      </c>
      <c r="D257" s="227" t="s">
        <v>24</v>
      </c>
      <c r="E257" s="227" t="s">
        <v>53</v>
      </c>
      <c r="F257" s="227" t="s">
        <v>120</v>
      </c>
      <c r="G257" s="227" t="s">
        <v>84</v>
      </c>
      <c r="H257" s="231">
        <v>1</v>
      </c>
      <c r="I257" s="232">
        <v>1812</v>
      </c>
      <c r="J257" s="230">
        <v>46045</v>
      </c>
      <c r="K257" s="227" t="s">
        <v>93</v>
      </c>
      <c r="L257" s="227" t="s">
        <v>94</v>
      </c>
      <c r="M257" s="233">
        <v>0.43</v>
      </c>
      <c r="N257" s="231"/>
      <c r="O257" s="231">
        <v>40</v>
      </c>
      <c r="P257" s="234">
        <v>-130.77000000000001</v>
      </c>
    </row>
    <row r="258" spans="1:16" ht="19.5" customHeight="1">
      <c r="A258" s="227" t="s">
        <v>1144</v>
      </c>
      <c r="B258" s="230">
        <v>46049</v>
      </c>
      <c r="C258" s="227" t="s">
        <v>100</v>
      </c>
      <c r="D258" s="227" t="s">
        <v>101</v>
      </c>
      <c r="E258" s="227" t="s">
        <v>53</v>
      </c>
      <c r="F258" s="227" t="s">
        <v>120</v>
      </c>
      <c r="G258" s="227" t="s">
        <v>84</v>
      </c>
      <c r="H258" s="231">
        <v>1</v>
      </c>
      <c r="I258" s="232">
        <v>1812</v>
      </c>
      <c r="J258" s="230">
        <v>46045</v>
      </c>
      <c r="K258" s="227" t="s">
        <v>93</v>
      </c>
      <c r="L258" s="227" t="s">
        <v>94</v>
      </c>
      <c r="M258" s="233">
        <v>0</v>
      </c>
      <c r="N258" s="231"/>
      <c r="O258" s="231"/>
      <c r="P258" s="234">
        <v>631.42999999999995</v>
      </c>
    </row>
    <row r="259" spans="1:16" ht="19.5" customHeight="1">
      <c r="A259" s="227" t="s">
        <v>1144</v>
      </c>
      <c r="B259" s="230">
        <v>46049</v>
      </c>
      <c r="C259" s="227" t="s">
        <v>100</v>
      </c>
      <c r="D259" s="227" t="s">
        <v>102</v>
      </c>
      <c r="E259" s="227" t="s">
        <v>53</v>
      </c>
      <c r="F259" s="227" t="s">
        <v>120</v>
      </c>
      <c r="G259" s="227" t="s">
        <v>84</v>
      </c>
      <c r="H259" s="231">
        <v>1</v>
      </c>
      <c r="I259" s="232">
        <v>1812</v>
      </c>
      <c r="J259" s="230">
        <v>46045</v>
      </c>
      <c r="K259" s="227" t="s">
        <v>93</v>
      </c>
      <c r="L259" s="227" t="s">
        <v>94</v>
      </c>
      <c r="M259" s="233">
        <v>0</v>
      </c>
      <c r="N259" s="231"/>
      <c r="O259" s="231"/>
      <c r="P259" s="234">
        <v>6.31</v>
      </c>
    </row>
    <row r="260" spans="1:16" ht="19.5" customHeight="1">
      <c r="A260" s="227" t="s">
        <v>1144</v>
      </c>
      <c r="B260" s="230">
        <v>46049</v>
      </c>
      <c r="C260" s="227" t="s">
        <v>100</v>
      </c>
      <c r="D260" s="227" t="s">
        <v>103</v>
      </c>
      <c r="E260" s="227" t="s">
        <v>53</v>
      </c>
      <c r="F260" s="227" t="s">
        <v>120</v>
      </c>
      <c r="G260" s="227" t="s">
        <v>84</v>
      </c>
      <c r="H260" s="231">
        <v>1</v>
      </c>
      <c r="I260" s="232">
        <v>1812</v>
      </c>
      <c r="J260" s="230">
        <v>46045</v>
      </c>
      <c r="K260" s="227" t="s">
        <v>93</v>
      </c>
      <c r="L260" s="227" t="s">
        <v>94</v>
      </c>
      <c r="M260" s="233">
        <v>0</v>
      </c>
      <c r="N260" s="231"/>
      <c r="O260" s="231"/>
      <c r="P260" s="234">
        <v>1174.26</v>
      </c>
    </row>
    <row r="261" spans="1:16" ht="19.5" customHeight="1">
      <c r="A261" s="227" t="s">
        <v>1144</v>
      </c>
      <c r="B261" s="230">
        <v>46049</v>
      </c>
      <c r="C261" s="227" t="s">
        <v>104</v>
      </c>
      <c r="D261" s="227" t="s">
        <v>105</v>
      </c>
      <c r="E261" s="227" t="s">
        <v>53</v>
      </c>
      <c r="F261" s="227" t="s">
        <v>120</v>
      </c>
      <c r="G261" s="227" t="s">
        <v>84</v>
      </c>
      <c r="H261" s="231">
        <v>1</v>
      </c>
      <c r="I261" s="232">
        <v>1812</v>
      </c>
      <c r="J261" s="230">
        <v>46045</v>
      </c>
      <c r="K261" s="227" t="s">
        <v>93</v>
      </c>
      <c r="L261" s="227" t="s">
        <v>94</v>
      </c>
      <c r="M261" s="233">
        <v>0.43</v>
      </c>
      <c r="N261" s="231"/>
      <c r="O261" s="231"/>
      <c r="P261" s="234">
        <v>-779.16</v>
      </c>
    </row>
    <row r="262" spans="1:16" ht="19.5" customHeight="1">
      <c r="A262" s="227" t="s">
        <v>1145</v>
      </c>
      <c r="B262" s="230">
        <v>46049</v>
      </c>
      <c r="C262" s="227" t="s">
        <v>92</v>
      </c>
      <c r="D262" s="227" t="s">
        <v>24</v>
      </c>
      <c r="E262" s="227" t="s">
        <v>43</v>
      </c>
      <c r="F262" s="227" t="s">
        <v>125</v>
      </c>
      <c r="G262" s="227" t="s">
        <v>84</v>
      </c>
      <c r="H262" s="231">
        <v>1</v>
      </c>
      <c r="I262" s="232">
        <v>1750</v>
      </c>
      <c r="J262" s="230">
        <v>46047</v>
      </c>
      <c r="K262" s="227" t="s">
        <v>93</v>
      </c>
      <c r="L262" s="227" t="s">
        <v>94</v>
      </c>
      <c r="M262" s="233">
        <v>0.43</v>
      </c>
      <c r="N262" s="231"/>
      <c r="O262" s="231">
        <v>41</v>
      </c>
      <c r="P262" s="234">
        <v>-119.28</v>
      </c>
    </row>
    <row r="263" spans="1:16" ht="19.5" customHeight="1">
      <c r="A263" s="227" t="s">
        <v>1145</v>
      </c>
      <c r="B263" s="230">
        <v>46049</v>
      </c>
      <c r="C263" s="227" t="s">
        <v>100</v>
      </c>
      <c r="D263" s="227" t="s">
        <v>101</v>
      </c>
      <c r="E263" s="227" t="s">
        <v>43</v>
      </c>
      <c r="F263" s="227" t="s">
        <v>125</v>
      </c>
      <c r="G263" s="227" t="s">
        <v>84</v>
      </c>
      <c r="H263" s="231">
        <v>1</v>
      </c>
      <c r="I263" s="232">
        <v>1750</v>
      </c>
      <c r="J263" s="230">
        <v>46047</v>
      </c>
      <c r="K263" s="227" t="s">
        <v>93</v>
      </c>
      <c r="L263" s="227" t="s">
        <v>94</v>
      </c>
      <c r="M263" s="233">
        <v>0</v>
      </c>
      <c r="N263" s="231"/>
      <c r="O263" s="231"/>
      <c r="P263" s="234">
        <v>718.1</v>
      </c>
    </row>
    <row r="264" spans="1:16" ht="19.5" customHeight="1">
      <c r="A264" s="227" t="s">
        <v>1145</v>
      </c>
      <c r="B264" s="230">
        <v>46049</v>
      </c>
      <c r="C264" s="227" t="s">
        <v>100</v>
      </c>
      <c r="D264" s="227" t="s">
        <v>102</v>
      </c>
      <c r="E264" s="227" t="s">
        <v>43</v>
      </c>
      <c r="F264" s="227" t="s">
        <v>125</v>
      </c>
      <c r="G264" s="227" t="s">
        <v>84</v>
      </c>
      <c r="H264" s="231">
        <v>1</v>
      </c>
      <c r="I264" s="232">
        <v>1750</v>
      </c>
      <c r="J264" s="230">
        <v>46047</v>
      </c>
      <c r="K264" s="227" t="s">
        <v>93</v>
      </c>
      <c r="L264" s="227" t="s">
        <v>94</v>
      </c>
      <c r="M264" s="233">
        <v>0</v>
      </c>
      <c r="N264" s="231"/>
      <c r="O264" s="231"/>
      <c r="P264" s="234">
        <v>0</v>
      </c>
    </row>
    <row r="265" spans="1:16" ht="19.5" customHeight="1">
      <c r="A265" s="227" t="s">
        <v>1145</v>
      </c>
      <c r="B265" s="230">
        <v>46049</v>
      </c>
      <c r="C265" s="227" t="s">
        <v>100</v>
      </c>
      <c r="D265" s="227" t="s">
        <v>103</v>
      </c>
      <c r="E265" s="227" t="s">
        <v>43</v>
      </c>
      <c r="F265" s="227" t="s">
        <v>125</v>
      </c>
      <c r="G265" s="227" t="s">
        <v>84</v>
      </c>
      <c r="H265" s="231">
        <v>1</v>
      </c>
      <c r="I265" s="232">
        <v>1750</v>
      </c>
      <c r="J265" s="230">
        <v>46047</v>
      </c>
      <c r="K265" s="227" t="s">
        <v>93</v>
      </c>
      <c r="L265" s="227" t="s">
        <v>94</v>
      </c>
      <c r="M265" s="233">
        <v>0</v>
      </c>
      <c r="N265" s="231"/>
      <c r="O265" s="231"/>
      <c r="P265" s="234">
        <v>1031.9000000000001</v>
      </c>
    </row>
    <row r="266" spans="1:16" ht="19.5" customHeight="1">
      <c r="A266" s="227" t="s">
        <v>1145</v>
      </c>
      <c r="B266" s="230">
        <v>46049</v>
      </c>
      <c r="C266" s="227" t="s">
        <v>104</v>
      </c>
      <c r="D266" s="227" t="s">
        <v>105</v>
      </c>
      <c r="E266" s="227" t="s">
        <v>43</v>
      </c>
      <c r="F266" s="227" t="s">
        <v>125</v>
      </c>
      <c r="G266" s="227" t="s">
        <v>84</v>
      </c>
      <c r="H266" s="231">
        <v>1</v>
      </c>
      <c r="I266" s="232">
        <v>1750</v>
      </c>
      <c r="J266" s="230">
        <v>46047</v>
      </c>
      <c r="K266" s="227" t="s">
        <v>93</v>
      </c>
      <c r="L266" s="227" t="s">
        <v>94</v>
      </c>
      <c r="M266" s="233">
        <v>0.43</v>
      </c>
      <c r="N266" s="231"/>
      <c r="O266" s="231"/>
      <c r="P266" s="234">
        <v>-752.5</v>
      </c>
    </row>
    <row r="267" spans="1:16" ht="19.5" customHeight="1">
      <c r="A267" s="227" t="s">
        <v>1145</v>
      </c>
      <c r="B267" s="230">
        <v>46049</v>
      </c>
      <c r="C267" s="227" t="s">
        <v>81</v>
      </c>
      <c r="D267" s="227" t="s">
        <v>95</v>
      </c>
      <c r="E267" s="227" t="s">
        <v>43</v>
      </c>
      <c r="F267" s="227" t="s">
        <v>125</v>
      </c>
      <c r="G267" s="227" t="s">
        <v>84</v>
      </c>
      <c r="H267" s="231">
        <v>1</v>
      </c>
      <c r="I267" s="232">
        <v>1750</v>
      </c>
      <c r="J267" s="230">
        <v>46047</v>
      </c>
      <c r="K267" s="227" t="s">
        <v>93</v>
      </c>
      <c r="L267" s="227" t="s">
        <v>94</v>
      </c>
      <c r="M267" s="233">
        <v>0.43</v>
      </c>
      <c r="N267" s="231"/>
      <c r="O267" s="231"/>
      <c r="P267" s="234">
        <v>-25</v>
      </c>
    </row>
    <row r="268" spans="1:16" ht="19.5" customHeight="1">
      <c r="A268" s="227" t="s">
        <v>1130</v>
      </c>
      <c r="B268" s="230">
        <v>46049</v>
      </c>
      <c r="C268" s="227" t="s">
        <v>81</v>
      </c>
      <c r="D268" s="227" t="s">
        <v>82</v>
      </c>
      <c r="E268" s="227" t="s">
        <v>53</v>
      </c>
      <c r="F268" s="227" t="s">
        <v>120</v>
      </c>
      <c r="G268" s="227" t="s">
        <v>84</v>
      </c>
      <c r="H268" s="231">
        <v>1</v>
      </c>
      <c r="I268" s="232">
        <v>0</v>
      </c>
      <c r="J268" s="230">
        <v>46049</v>
      </c>
      <c r="K268" s="227" t="s">
        <v>85</v>
      </c>
      <c r="L268" s="227" t="s">
        <v>85</v>
      </c>
      <c r="M268" s="233">
        <v>0</v>
      </c>
      <c r="N268" s="231"/>
      <c r="O268" s="231"/>
      <c r="P268" s="234">
        <v>12</v>
      </c>
    </row>
    <row r="269" spans="1:16" ht="19.5" customHeight="1">
      <c r="A269" s="227" t="s">
        <v>1144</v>
      </c>
      <c r="B269" s="230">
        <v>46049</v>
      </c>
      <c r="C269" s="227" t="s">
        <v>81</v>
      </c>
      <c r="D269" s="227" t="s">
        <v>82</v>
      </c>
      <c r="E269" s="227" t="s">
        <v>53</v>
      </c>
      <c r="F269" s="227" t="s">
        <v>120</v>
      </c>
      <c r="G269" s="227" t="s">
        <v>84</v>
      </c>
      <c r="H269" s="231">
        <v>1</v>
      </c>
      <c r="I269" s="232">
        <v>0</v>
      </c>
      <c r="J269" s="230">
        <v>46045</v>
      </c>
      <c r="K269" s="227" t="s">
        <v>85</v>
      </c>
      <c r="L269" s="227" t="s">
        <v>85</v>
      </c>
      <c r="M269" s="233">
        <v>0</v>
      </c>
      <c r="N269" s="231"/>
      <c r="O269" s="231"/>
      <c r="P269" s="234">
        <v>-12</v>
      </c>
    </row>
    <row r="270" spans="1:16" ht="19.5" customHeight="1">
      <c r="A270" s="227" t="s">
        <v>1146</v>
      </c>
      <c r="B270" s="230">
        <v>46049</v>
      </c>
      <c r="C270" s="227" t="s">
        <v>92</v>
      </c>
      <c r="D270" s="227" t="s">
        <v>24</v>
      </c>
      <c r="E270" s="227" t="s">
        <v>53</v>
      </c>
      <c r="F270" s="227" t="s">
        <v>120</v>
      </c>
      <c r="G270" s="227" t="s">
        <v>84</v>
      </c>
      <c r="H270" s="231">
        <v>1</v>
      </c>
      <c r="I270" s="232">
        <v>1812</v>
      </c>
      <c r="J270" s="230">
        <v>46045</v>
      </c>
      <c r="K270" s="227" t="s">
        <v>93</v>
      </c>
      <c r="L270" s="227" t="s">
        <v>94</v>
      </c>
      <c r="M270" s="233">
        <v>0.43</v>
      </c>
      <c r="N270" s="231"/>
      <c r="O270" s="231">
        <v>40</v>
      </c>
      <c r="P270" s="234">
        <v>-130.77000000000001</v>
      </c>
    </row>
    <row r="271" spans="1:16" ht="19.5" customHeight="1">
      <c r="A271" s="227" t="s">
        <v>1146</v>
      </c>
      <c r="B271" s="230">
        <v>46049</v>
      </c>
      <c r="C271" s="227" t="s">
        <v>100</v>
      </c>
      <c r="D271" s="227" t="s">
        <v>101</v>
      </c>
      <c r="E271" s="227" t="s">
        <v>53</v>
      </c>
      <c r="F271" s="227" t="s">
        <v>120</v>
      </c>
      <c r="G271" s="227" t="s">
        <v>84</v>
      </c>
      <c r="H271" s="231">
        <v>1</v>
      </c>
      <c r="I271" s="232">
        <v>1812</v>
      </c>
      <c r="J271" s="230">
        <v>46045</v>
      </c>
      <c r="K271" s="227" t="s">
        <v>93</v>
      </c>
      <c r="L271" s="227" t="s">
        <v>94</v>
      </c>
      <c r="M271" s="233">
        <v>0</v>
      </c>
      <c r="N271" s="231"/>
      <c r="O271" s="231"/>
      <c r="P271" s="234">
        <v>750.48</v>
      </c>
    </row>
    <row r="272" spans="1:16" ht="19.5" customHeight="1">
      <c r="A272" s="227" t="s">
        <v>1146</v>
      </c>
      <c r="B272" s="230">
        <v>46049</v>
      </c>
      <c r="C272" s="227" t="s">
        <v>100</v>
      </c>
      <c r="D272" s="227" t="s">
        <v>102</v>
      </c>
      <c r="E272" s="227" t="s">
        <v>53</v>
      </c>
      <c r="F272" s="227" t="s">
        <v>120</v>
      </c>
      <c r="G272" s="227" t="s">
        <v>84</v>
      </c>
      <c r="H272" s="231">
        <v>1</v>
      </c>
      <c r="I272" s="232">
        <v>1812</v>
      </c>
      <c r="J272" s="230">
        <v>46045</v>
      </c>
      <c r="K272" s="227" t="s">
        <v>93</v>
      </c>
      <c r="L272" s="227" t="s">
        <v>94</v>
      </c>
      <c r="M272" s="233">
        <v>0</v>
      </c>
      <c r="N272" s="231"/>
      <c r="O272" s="231"/>
      <c r="P272" s="234">
        <v>0</v>
      </c>
    </row>
    <row r="273" spans="1:16" ht="19.5" customHeight="1">
      <c r="A273" s="227" t="s">
        <v>1146</v>
      </c>
      <c r="B273" s="230">
        <v>46049</v>
      </c>
      <c r="C273" s="227" t="s">
        <v>100</v>
      </c>
      <c r="D273" s="227" t="s">
        <v>103</v>
      </c>
      <c r="E273" s="227" t="s">
        <v>53</v>
      </c>
      <c r="F273" s="227" t="s">
        <v>120</v>
      </c>
      <c r="G273" s="227" t="s">
        <v>84</v>
      </c>
      <c r="H273" s="231">
        <v>1</v>
      </c>
      <c r="I273" s="232">
        <v>1812</v>
      </c>
      <c r="J273" s="230">
        <v>46045</v>
      </c>
      <c r="K273" s="227" t="s">
        <v>93</v>
      </c>
      <c r="L273" s="227" t="s">
        <v>94</v>
      </c>
      <c r="M273" s="233">
        <v>0</v>
      </c>
      <c r="N273" s="231"/>
      <c r="O273" s="231"/>
      <c r="P273" s="234">
        <v>1061.52</v>
      </c>
    </row>
    <row r="274" spans="1:16" ht="19.5" customHeight="1">
      <c r="A274" s="227" t="s">
        <v>1146</v>
      </c>
      <c r="B274" s="230">
        <v>46049</v>
      </c>
      <c r="C274" s="227" t="s">
        <v>104</v>
      </c>
      <c r="D274" s="227" t="s">
        <v>105</v>
      </c>
      <c r="E274" s="227" t="s">
        <v>53</v>
      </c>
      <c r="F274" s="227" t="s">
        <v>120</v>
      </c>
      <c r="G274" s="227" t="s">
        <v>84</v>
      </c>
      <c r="H274" s="231">
        <v>1</v>
      </c>
      <c r="I274" s="232">
        <v>1812</v>
      </c>
      <c r="J274" s="230">
        <v>46045</v>
      </c>
      <c r="K274" s="227" t="s">
        <v>93</v>
      </c>
      <c r="L274" s="227" t="s">
        <v>94</v>
      </c>
      <c r="M274" s="233">
        <v>0.43</v>
      </c>
      <c r="N274" s="231"/>
      <c r="O274" s="231"/>
      <c r="P274" s="234">
        <v>-779.16</v>
      </c>
    </row>
    <row r="275" spans="1:16" ht="19.5" customHeight="1">
      <c r="A275" s="227" t="s">
        <v>1146</v>
      </c>
      <c r="B275" s="230">
        <v>46049</v>
      </c>
      <c r="C275" s="227" t="s">
        <v>81</v>
      </c>
      <c r="D275" s="227" t="s">
        <v>95</v>
      </c>
      <c r="E275" s="227" t="s">
        <v>53</v>
      </c>
      <c r="F275" s="227" t="s">
        <v>120</v>
      </c>
      <c r="G275" s="227" t="s">
        <v>84</v>
      </c>
      <c r="H275" s="231">
        <v>1</v>
      </c>
      <c r="I275" s="232">
        <v>1812</v>
      </c>
      <c r="J275" s="230">
        <v>46045</v>
      </c>
      <c r="K275" s="227" t="s">
        <v>93</v>
      </c>
      <c r="L275" s="227" t="s">
        <v>94</v>
      </c>
      <c r="M275" s="233">
        <v>0.43</v>
      </c>
      <c r="N275" s="231"/>
      <c r="O275" s="231"/>
      <c r="P275" s="234">
        <v>-10.66</v>
      </c>
    </row>
    <row r="276" spans="1:16" ht="19.5" customHeight="1">
      <c r="A276" s="227" t="s">
        <v>1117</v>
      </c>
      <c r="B276" s="230">
        <v>46049</v>
      </c>
      <c r="C276" s="227" t="s">
        <v>81</v>
      </c>
      <c r="D276" s="227" t="s">
        <v>82</v>
      </c>
      <c r="E276" s="227" t="s">
        <v>41</v>
      </c>
      <c r="F276" s="227" t="s">
        <v>83</v>
      </c>
      <c r="G276" s="227" t="s">
        <v>84</v>
      </c>
      <c r="H276" s="231">
        <v>1</v>
      </c>
      <c r="I276" s="232">
        <v>0</v>
      </c>
      <c r="J276" s="230">
        <v>46048</v>
      </c>
      <c r="K276" s="227" t="s">
        <v>85</v>
      </c>
      <c r="L276" s="227" t="s">
        <v>85</v>
      </c>
      <c r="M276" s="233">
        <v>0</v>
      </c>
      <c r="N276" s="231"/>
      <c r="O276" s="231"/>
      <c r="P276" s="234">
        <v>13.18</v>
      </c>
    </row>
    <row r="277" spans="1:16" ht="19.5" customHeight="1">
      <c r="A277" s="227" t="s">
        <v>1147</v>
      </c>
      <c r="B277" s="230">
        <v>46049</v>
      </c>
      <c r="C277" s="227" t="s">
        <v>92</v>
      </c>
      <c r="D277" s="227" t="s">
        <v>24</v>
      </c>
      <c r="E277" s="227" t="s">
        <v>42</v>
      </c>
      <c r="F277" s="227" t="s">
        <v>89</v>
      </c>
      <c r="G277" s="227" t="s">
        <v>84</v>
      </c>
      <c r="H277" s="231">
        <v>1</v>
      </c>
      <c r="I277" s="232">
        <v>1750</v>
      </c>
      <c r="J277" s="230">
        <v>46047</v>
      </c>
      <c r="K277" s="227" t="s">
        <v>93</v>
      </c>
      <c r="L277" s="227" t="s">
        <v>94</v>
      </c>
      <c r="M277" s="233">
        <v>0.43</v>
      </c>
      <c r="N277" s="231"/>
      <c r="O277" s="231">
        <v>41</v>
      </c>
      <c r="P277" s="234">
        <v>-119.28</v>
      </c>
    </row>
    <row r="278" spans="1:16" ht="19.5" customHeight="1">
      <c r="A278" s="227" t="s">
        <v>1147</v>
      </c>
      <c r="B278" s="230">
        <v>46049</v>
      </c>
      <c r="C278" s="227" t="s">
        <v>100</v>
      </c>
      <c r="D278" s="227" t="s">
        <v>101</v>
      </c>
      <c r="E278" s="227" t="s">
        <v>42</v>
      </c>
      <c r="F278" s="227" t="s">
        <v>89</v>
      </c>
      <c r="G278" s="227" t="s">
        <v>84</v>
      </c>
      <c r="H278" s="231">
        <v>1</v>
      </c>
      <c r="I278" s="232">
        <v>1750</v>
      </c>
      <c r="J278" s="230">
        <v>46047</v>
      </c>
      <c r="K278" s="227" t="s">
        <v>93</v>
      </c>
      <c r="L278" s="227" t="s">
        <v>94</v>
      </c>
      <c r="M278" s="233">
        <v>0</v>
      </c>
      <c r="N278" s="231"/>
      <c r="O278" s="231"/>
      <c r="P278" s="234">
        <v>665.4</v>
      </c>
    </row>
    <row r="279" spans="1:16" ht="19.5" customHeight="1">
      <c r="A279" s="227" t="s">
        <v>1147</v>
      </c>
      <c r="B279" s="230">
        <v>46049</v>
      </c>
      <c r="C279" s="227" t="s">
        <v>100</v>
      </c>
      <c r="D279" s="227" t="s">
        <v>102</v>
      </c>
      <c r="E279" s="227" t="s">
        <v>42</v>
      </c>
      <c r="F279" s="227" t="s">
        <v>89</v>
      </c>
      <c r="G279" s="227" t="s">
        <v>84</v>
      </c>
      <c r="H279" s="231">
        <v>1</v>
      </c>
      <c r="I279" s="232">
        <v>1750</v>
      </c>
      <c r="J279" s="230">
        <v>46047</v>
      </c>
      <c r="K279" s="227" t="s">
        <v>93</v>
      </c>
      <c r="L279" s="227" t="s">
        <v>94</v>
      </c>
      <c r="M279" s="233">
        <v>0</v>
      </c>
      <c r="N279" s="231"/>
      <c r="O279" s="231"/>
      <c r="P279" s="234">
        <v>0</v>
      </c>
    </row>
    <row r="280" spans="1:16" ht="19.5" customHeight="1">
      <c r="A280" s="227" t="s">
        <v>1147</v>
      </c>
      <c r="B280" s="230">
        <v>46049</v>
      </c>
      <c r="C280" s="227" t="s">
        <v>100</v>
      </c>
      <c r="D280" s="227" t="s">
        <v>103</v>
      </c>
      <c r="E280" s="227" t="s">
        <v>42</v>
      </c>
      <c r="F280" s="227" t="s">
        <v>89</v>
      </c>
      <c r="G280" s="227" t="s">
        <v>84</v>
      </c>
      <c r="H280" s="231">
        <v>1</v>
      </c>
      <c r="I280" s="232">
        <v>1750</v>
      </c>
      <c r="J280" s="230">
        <v>46047</v>
      </c>
      <c r="K280" s="227" t="s">
        <v>93</v>
      </c>
      <c r="L280" s="227" t="s">
        <v>94</v>
      </c>
      <c r="M280" s="233">
        <v>0</v>
      </c>
      <c r="N280" s="231"/>
      <c r="O280" s="231"/>
      <c r="P280" s="234">
        <v>1084.5999999999999</v>
      </c>
    </row>
    <row r="281" spans="1:16" ht="19.5" customHeight="1">
      <c r="A281" s="227" t="s">
        <v>1147</v>
      </c>
      <c r="B281" s="230">
        <v>46049</v>
      </c>
      <c r="C281" s="227" t="s">
        <v>104</v>
      </c>
      <c r="D281" s="227" t="s">
        <v>105</v>
      </c>
      <c r="E281" s="227" t="s">
        <v>42</v>
      </c>
      <c r="F281" s="227" t="s">
        <v>89</v>
      </c>
      <c r="G281" s="227" t="s">
        <v>84</v>
      </c>
      <c r="H281" s="231">
        <v>1</v>
      </c>
      <c r="I281" s="232">
        <v>1750</v>
      </c>
      <c r="J281" s="230">
        <v>46047</v>
      </c>
      <c r="K281" s="227" t="s">
        <v>93</v>
      </c>
      <c r="L281" s="227" t="s">
        <v>94</v>
      </c>
      <c r="M281" s="233">
        <v>0.43</v>
      </c>
      <c r="N281" s="231"/>
      <c r="O281" s="231"/>
      <c r="P281" s="234">
        <v>-752.5</v>
      </c>
    </row>
    <row r="282" spans="1:16" ht="19.5" customHeight="1">
      <c r="A282" s="227" t="s">
        <v>1147</v>
      </c>
      <c r="B282" s="230">
        <v>46049</v>
      </c>
      <c r="C282" s="227" t="s">
        <v>81</v>
      </c>
      <c r="D282" s="227" t="s">
        <v>95</v>
      </c>
      <c r="E282" s="227" t="s">
        <v>42</v>
      </c>
      <c r="F282" s="227" t="s">
        <v>89</v>
      </c>
      <c r="G282" s="227" t="s">
        <v>84</v>
      </c>
      <c r="H282" s="231">
        <v>1</v>
      </c>
      <c r="I282" s="232">
        <v>1750</v>
      </c>
      <c r="J282" s="230">
        <v>46047</v>
      </c>
      <c r="K282" s="227" t="s">
        <v>93</v>
      </c>
      <c r="L282" s="227" t="s">
        <v>94</v>
      </c>
      <c r="M282" s="233">
        <v>0.43</v>
      </c>
      <c r="N282" s="231"/>
      <c r="O282" s="231"/>
      <c r="P282" s="234">
        <v>-13.63</v>
      </c>
    </row>
    <row r="283" spans="1:16" ht="19.5" customHeight="1">
      <c r="A283" s="227" t="s">
        <v>1148</v>
      </c>
      <c r="B283" s="230">
        <v>46049</v>
      </c>
      <c r="C283" s="227" t="s">
        <v>81</v>
      </c>
      <c r="D283" s="227" t="s">
        <v>82</v>
      </c>
      <c r="E283" s="227" t="s">
        <v>52</v>
      </c>
      <c r="F283" s="227" t="s">
        <v>90</v>
      </c>
      <c r="G283" s="227" t="s">
        <v>84</v>
      </c>
      <c r="H283" s="231">
        <v>1</v>
      </c>
      <c r="I283" s="232">
        <v>0</v>
      </c>
      <c r="J283" s="230">
        <v>46049</v>
      </c>
      <c r="K283" s="227" t="s">
        <v>85</v>
      </c>
      <c r="L283" s="227" t="s">
        <v>85</v>
      </c>
      <c r="M283" s="233">
        <v>0</v>
      </c>
      <c r="N283" s="231"/>
      <c r="O283" s="231"/>
      <c r="P283" s="234">
        <v>-11.92</v>
      </c>
    </row>
    <row r="284" spans="1:16" ht="19.5" customHeight="1">
      <c r="A284" s="227" t="s">
        <v>1149</v>
      </c>
      <c r="B284" s="230">
        <v>46049</v>
      </c>
      <c r="C284" s="227" t="s">
        <v>354</v>
      </c>
      <c r="D284" s="227" t="s">
        <v>892</v>
      </c>
      <c r="E284" s="227" t="s">
        <v>85</v>
      </c>
      <c r="F284" s="227" t="s">
        <v>85</v>
      </c>
      <c r="G284" s="227" t="s">
        <v>85</v>
      </c>
      <c r="H284" s="231">
        <v>0</v>
      </c>
      <c r="I284" s="232">
        <v>0</v>
      </c>
      <c r="J284" s="230">
        <v>46044</v>
      </c>
      <c r="K284" s="227" t="s">
        <v>85</v>
      </c>
      <c r="L284" s="227" t="s">
        <v>85</v>
      </c>
      <c r="M284" s="233">
        <v>0</v>
      </c>
      <c r="N284" s="231"/>
      <c r="O284" s="231"/>
      <c r="P284" s="234">
        <v>-1972.2</v>
      </c>
    </row>
    <row r="285" spans="1:16" ht="19.5" customHeight="1">
      <c r="A285" s="227" t="s">
        <v>1149</v>
      </c>
      <c r="B285" s="230">
        <v>46049</v>
      </c>
      <c r="C285" s="227" t="s">
        <v>354</v>
      </c>
      <c r="D285" s="227" t="s">
        <v>892</v>
      </c>
      <c r="E285" s="227" t="s">
        <v>85</v>
      </c>
      <c r="F285" s="227" t="s">
        <v>85</v>
      </c>
      <c r="G285" s="227" t="s">
        <v>85</v>
      </c>
      <c r="H285" s="231">
        <v>0</v>
      </c>
      <c r="I285" s="232">
        <v>0</v>
      </c>
      <c r="J285" s="230">
        <v>46044</v>
      </c>
      <c r="K285" s="227" t="s">
        <v>85</v>
      </c>
      <c r="L285" s="227" t="s">
        <v>85</v>
      </c>
      <c r="M285" s="233">
        <v>0</v>
      </c>
      <c r="N285" s="231"/>
      <c r="O285" s="231"/>
      <c r="P285" s="234">
        <v>-1972.2</v>
      </c>
    </row>
    <row r="286" spans="1:16" ht="19.5" customHeight="1">
      <c r="A286" s="227" t="s">
        <v>1150</v>
      </c>
      <c r="B286" s="230">
        <v>46049</v>
      </c>
      <c r="C286" s="227" t="s">
        <v>92</v>
      </c>
      <c r="D286" s="227" t="s">
        <v>24</v>
      </c>
      <c r="E286" s="227" t="s">
        <v>53</v>
      </c>
      <c r="F286" s="227" t="s">
        <v>120</v>
      </c>
      <c r="G286" s="227" t="s">
        <v>84</v>
      </c>
      <c r="H286" s="231">
        <v>1</v>
      </c>
      <c r="I286" s="232">
        <v>1845</v>
      </c>
      <c r="J286" s="230">
        <v>46044</v>
      </c>
      <c r="K286" s="227" t="s">
        <v>93</v>
      </c>
      <c r="L286" s="227" t="s">
        <v>94</v>
      </c>
      <c r="M286" s="233">
        <v>0.43</v>
      </c>
      <c r="N286" s="231"/>
      <c r="O286" s="231">
        <v>42</v>
      </c>
      <c r="P286" s="234">
        <v>-140.5</v>
      </c>
    </row>
    <row r="287" spans="1:16" ht="19.5" customHeight="1">
      <c r="A287" s="227" t="s">
        <v>1150</v>
      </c>
      <c r="B287" s="230">
        <v>46049</v>
      </c>
      <c r="C287" s="227" t="s">
        <v>100</v>
      </c>
      <c r="D287" s="227" t="s">
        <v>101</v>
      </c>
      <c r="E287" s="227" t="s">
        <v>53</v>
      </c>
      <c r="F287" s="227" t="s">
        <v>120</v>
      </c>
      <c r="G287" s="227" t="s">
        <v>84</v>
      </c>
      <c r="H287" s="231">
        <v>1</v>
      </c>
      <c r="I287" s="232">
        <v>1845</v>
      </c>
      <c r="J287" s="230">
        <v>46044</v>
      </c>
      <c r="K287" s="227" t="s">
        <v>93</v>
      </c>
      <c r="L287" s="227" t="s">
        <v>94</v>
      </c>
      <c r="M287" s="233">
        <v>0</v>
      </c>
      <c r="N287" s="231"/>
      <c r="O287" s="231"/>
      <c r="P287" s="234">
        <v>642.86</v>
      </c>
    </row>
    <row r="288" spans="1:16" ht="19.5" customHeight="1">
      <c r="A288" s="227" t="s">
        <v>1150</v>
      </c>
      <c r="B288" s="230">
        <v>46049</v>
      </c>
      <c r="C288" s="227" t="s">
        <v>100</v>
      </c>
      <c r="D288" s="227" t="s">
        <v>102</v>
      </c>
      <c r="E288" s="227" t="s">
        <v>53</v>
      </c>
      <c r="F288" s="227" t="s">
        <v>120</v>
      </c>
      <c r="G288" s="227" t="s">
        <v>84</v>
      </c>
      <c r="H288" s="231">
        <v>1</v>
      </c>
      <c r="I288" s="232">
        <v>1845</v>
      </c>
      <c r="J288" s="230">
        <v>46044</v>
      </c>
      <c r="K288" s="227" t="s">
        <v>93</v>
      </c>
      <c r="L288" s="227" t="s">
        <v>94</v>
      </c>
      <c r="M288" s="233">
        <v>0</v>
      </c>
      <c r="N288" s="231"/>
      <c r="O288" s="231"/>
      <c r="P288" s="234">
        <v>6.43</v>
      </c>
    </row>
    <row r="289" spans="1:16" ht="19.5" customHeight="1">
      <c r="A289" s="227" t="s">
        <v>1150</v>
      </c>
      <c r="B289" s="230">
        <v>46049</v>
      </c>
      <c r="C289" s="227" t="s">
        <v>100</v>
      </c>
      <c r="D289" s="227" t="s">
        <v>103</v>
      </c>
      <c r="E289" s="227" t="s">
        <v>53</v>
      </c>
      <c r="F289" s="227" t="s">
        <v>120</v>
      </c>
      <c r="G289" s="227" t="s">
        <v>84</v>
      </c>
      <c r="H289" s="231">
        <v>1</v>
      </c>
      <c r="I289" s="232">
        <v>1845</v>
      </c>
      <c r="J289" s="230">
        <v>46044</v>
      </c>
      <c r="K289" s="227" t="s">
        <v>93</v>
      </c>
      <c r="L289" s="227" t="s">
        <v>94</v>
      </c>
      <c r="M289" s="233">
        <v>0</v>
      </c>
      <c r="N289" s="231"/>
      <c r="O289" s="231"/>
      <c r="P289" s="234">
        <v>1195.71</v>
      </c>
    </row>
    <row r="290" spans="1:16" ht="19.5" customHeight="1">
      <c r="A290" s="227" t="s">
        <v>1150</v>
      </c>
      <c r="B290" s="230">
        <v>46049</v>
      </c>
      <c r="C290" s="227" t="s">
        <v>104</v>
      </c>
      <c r="D290" s="227" t="s">
        <v>105</v>
      </c>
      <c r="E290" s="227" t="s">
        <v>53</v>
      </c>
      <c r="F290" s="227" t="s">
        <v>120</v>
      </c>
      <c r="G290" s="227" t="s">
        <v>84</v>
      </c>
      <c r="H290" s="231">
        <v>1</v>
      </c>
      <c r="I290" s="232">
        <v>1845</v>
      </c>
      <c r="J290" s="230">
        <v>46044</v>
      </c>
      <c r="K290" s="227" t="s">
        <v>93</v>
      </c>
      <c r="L290" s="227" t="s">
        <v>94</v>
      </c>
      <c r="M290" s="233">
        <v>0.43</v>
      </c>
      <c r="N290" s="231"/>
      <c r="O290" s="231"/>
      <c r="P290" s="234">
        <v>-793.35</v>
      </c>
    </row>
    <row r="291" spans="1:16" ht="19.5" customHeight="1">
      <c r="A291" s="227" t="s">
        <v>1150</v>
      </c>
      <c r="B291" s="230">
        <v>46049</v>
      </c>
      <c r="C291" s="227" t="s">
        <v>81</v>
      </c>
      <c r="D291" s="227" t="s">
        <v>95</v>
      </c>
      <c r="E291" s="227" t="s">
        <v>53</v>
      </c>
      <c r="F291" s="227" t="s">
        <v>120</v>
      </c>
      <c r="G291" s="227" t="s">
        <v>84</v>
      </c>
      <c r="H291" s="231">
        <v>1</v>
      </c>
      <c r="I291" s="232">
        <v>1845</v>
      </c>
      <c r="J291" s="230">
        <v>46044</v>
      </c>
      <c r="K291" s="227" t="s">
        <v>93</v>
      </c>
      <c r="L291" s="227" t="s">
        <v>94</v>
      </c>
      <c r="M291" s="233">
        <v>0.43</v>
      </c>
      <c r="N291" s="231"/>
      <c r="O291" s="231"/>
      <c r="P291" s="234">
        <v>-17.57</v>
      </c>
    </row>
    <row r="292" spans="1:16" ht="19.5" customHeight="1">
      <c r="A292" s="227" t="s">
        <v>1151</v>
      </c>
      <c r="B292" s="230">
        <v>46049</v>
      </c>
      <c r="C292" s="227" t="s">
        <v>81</v>
      </c>
      <c r="D292" s="227" t="s">
        <v>82</v>
      </c>
      <c r="E292" s="227" t="s">
        <v>53</v>
      </c>
      <c r="F292" s="227" t="s">
        <v>120</v>
      </c>
      <c r="G292" s="227" t="s">
        <v>84</v>
      </c>
      <c r="H292" s="231">
        <v>1</v>
      </c>
      <c r="I292" s="232">
        <v>0</v>
      </c>
      <c r="J292" s="230">
        <v>46049</v>
      </c>
      <c r="K292" s="227" t="s">
        <v>85</v>
      </c>
      <c r="L292" s="227" t="s">
        <v>85</v>
      </c>
      <c r="M292" s="233">
        <v>0</v>
      </c>
      <c r="N292" s="231"/>
      <c r="O292" s="231"/>
      <c r="P292" s="234">
        <v>-11.94</v>
      </c>
    </row>
    <row r="293" spans="1:16" ht="19.5" customHeight="1">
      <c r="A293" s="227" t="s">
        <v>1152</v>
      </c>
      <c r="B293" s="230">
        <v>46049</v>
      </c>
      <c r="C293" s="227" t="s">
        <v>81</v>
      </c>
      <c r="D293" s="227" t="s">
        <v>82</v>
      </c>
      <c r="E293" s="227" t="s">
        <v>53</v>
      </c>
      <c r="F293" s="227" t="s">
        <v>120</v>
      </c>
      <c r="G293" s="227" t="s">
        <v>84</v>
      </c>
      <c r="H293" s="231">
        <v>1</v>
      </c>
      <c r="I293" s="232">
        <v>0</v>
      </c>
      <c r="J293" s="230">
        <v>46049</v>
      </c>
      <c r="K293" s="227" t="s">
        <v>85</v>
      </c>
      <c r="L293" s="227" t="s">
        <v>85</v>
      </c>
      <c r="M293" s="233">
        <v>0</v>
      </c>
      <c r="N293" s="231"/>
      <c r="O293" s="231"/>
      <c r="P293" s="234">
        <v>-4.5999999999999996</v>
      </c>
    </row>
    <row r="294" spans="1:16" ht="19.5" customHeight="1">
      <c r="A294" s="227" t="s">
        <v>1153</v>
      </c>
      <c r="B294" s="230">
        <v>46049</v>
      </c>
      <c r="C294" s="227" t="s">
        <v>81</v>
      </c>
      <c r="D294" s="227" t="s">
        <v>82</v>
      </c>
      <c r="E294" s="227" t="s">
        <v>52</v>
      </c>
      <c r="F294" s="227" t="s">
        <v>90</v>
      </c>
      <c r="G294" s="227" t="s">
        <v>84</v>
      </c>
      <c r="H294" s="231">
        <v>1</v>
      </c>
      <c r="I294" s="232">
        <v>0</v>
      </c>
      <c r="J294" s="230">
        <v>46049</v>
      </c>
      <c r="K294" s="227" t="s">
        <v>85</v>
      </c>
      <c r="L294" s="227" t="s">
        <v>85</v>
      </c>
      <c r="M294" s="233">
        <v>0</v>
      </c>
      <c r="N294" s="231"/>
      <c r="O294" s="231"/>
      <c r="P294" s="234">
        <v>-12.23</v>
      </c>
    </row>
    <row r="295" spans="1:16" ht="19.5" customHeight="1">
      <c r="A295" s="227" t="s">
        <v>1154</v>
      </c>
      <c r="B295" s="230">
        <v>46049</v>
      </c>
      <c r="C295" s="227" t="s">
        <v>92</v>
      </c>
      <c r="D295" s="227" t="s">
        <v>24</v>
      </c>
      <c r="E295" s="227" t="s">
        <v>38</v>
      </c>
      <c r="F295" s="227" t="s">
        <v>87</v>
      </c>
      <c r="G295" s="227" t="s">
        <v>84</v>
      </c>
      <c r="H295" s="231">
        <v>1</v>
      </c>
      <c r="I295" s="232">
        <v>1750</v>
      </c>
      <c r="J295" s="230">
        <v>46048</v>
      </c>
      <c r="K295" s="227" t="s">
        <v>93</v>
      </c>
      <c r="L295" s="227" t="s">
        <v>94</v>
      </c>
      <c r="M295" s="233">
        <v>0.43</v>
      </c>
      <c r="N295" s="231"/>
      <c r="O295" s="231">
        <v>44</v>
      </c>
      <c r="P295" s="234">
        <v>-131.37</v>
      </c>
    </row>
    <row r="296" spans="1:16" ht="19.5" customHeight="1">
      <c r="A296" s="227" t="s">
        <v>1154</v>
      </c>
      <c r="B296" s="230">
        <v>46049</v>
      </c>
      <c r="C296" s="227" t="s">
        <v>100</v>
      </c>
      <c r="D296" s="227" t="s">
        <v>101</v>
      </c>
      <c r="E296" s="227" t="s">
        <v>38</v>
      </c>
      <c r="F296" s="227" t="s">
        <v>87</v>
      </c>
      <c r="G296" s="227" t="s">
        <v>84</v>
      </c>
      <c r="H296" s="231">
        <v>1</v>
      </c>
      <c r="I296" s="232">
        <v>1750</v>
      </c>
      <c r="J296" s="230">
        <v>46048</v>
      </c>
      <c r="K296" s="227" t="s">
        <v>93</v>
      </c>
      <c r="L296" s="227" t="s">
        <v>94</v>
      </c>
      <c r="M296" s="233">
        <v>0</v>
      </c>
      <c r="N296" s="231"/>
      <c r="O296" s="231"/>
      <c r="P296" s="234">
        <v>1020</v>
      </c>
    </row>
    <row r="297" spans="1:16" ht="19.5" customHeight="1">
      <c r="A297" s="227" t="s">
        <v>1154</v>
      </c>
      <c r="B297" s="230">
        <v>46049</v>
      </c>
      <c r="C297" s="227" t="s">
        <v>100</v>
      </c>
      <c r="D297" s="227" t="s">
        <v>102</v>
      </c>
      <c r="E297" s="227" t="s">
        <v>38</v>
      </c>
      <c r="F297" s="227" t="s">
        <v>87</v>
      </c>
      <c r="G297" s="227" t="s">
        <v>84</v>
      </c>
      <c r="H297" s="231">
        <v>1</v>
      </c>
      <c r="I297" s="232">
        <v>1750</v>
      </c>
      <c r="J297" s="230">
        <v>46048</v>
      </c>
      <c r="K297" s="227" t="s">
        <v>93</v>
      </c>
      <c r="L297" s="227" t="s">
        <v>94</v>
      </c>
      <c r="M297" s="233">
        <v>0</v>
      </c>
      <c r="N297" s="231"/>
      <c r="O297" s="231"/>
      <c r="P297" s="234">
        <v>10.199999999999999</v>
      </c>
    </row>
    <row r="298" spans="1:16" ht="19.5" customHeight="1">
      <c r="A298" s="227" t="s">
        <v>1154</v>
      </c>
      <c r="B298" s="230">
        <v>46049</v>
      </c>
      <c r="C298" s="227" t="s">
        <v>100</v>
      </c>
      <c r="D298" s="227" t="s">
        <v>103</v>
      </c>
      <c r="E298" s="227" t="s">
        <v>38</v>
      </c>
      <c r="F298" s="227" t="s">
        <v>87</v>
      </c>
      <c r="G298" s="227" t="s">
        <v>84</v>
      </c>
      <c r="H298" s="231">
        <v>1</v>
      </c>
      <c r="I298" s="232">
        <v>1750</v>
      </c>
      <c r="J298" s="230">
        <v>46048</v>
      </c>
      <c r="K298" s="227" t="s">
        <v>93</v>
      </c>
      <c r="L298" s="227" t="s">
        <v>94</v>
      </c>
      <c r="M298" s="233">
        <v>0</v>
      </c>
      <c r="N298" s="231"/>
      <c r="O298" s="231"/>
      <c r="P298" s="234">
        <v>719.8</v>
      </c>
    </row>
    <row r="299" spans="1:16" ht="19.5" customHeight="1">
      <c r="A299" s="227" t="s">
        <v>1154</v>
      </c>
      <c r="B299" s="230">
        <v>46049</v>
      </c>
      <c r="C299" s="227" t="s">
        <v>104</v>
      </c>
      <c r="D299" s="227" t="s">
        <v>105</v>
      </c>
      <c r="E299" s="227" t="s">
        <v>38</v>
      </c>
      <c r="F299" s="227" t="s">
        <v>87</v>
      </c>
      <c r="G299" s="227" t="s">
        <v>84</v>
      </c>
      <c r="H299" s="231">
        <v>1</v>
      </c>
      <c r="I299" s="232">
        <v>1750</v>
      </c>
      <c r="J299" s="230">
        <v>46048</v>
      </c>
      <c r="K299" s="227" t="s">
        <v>93</v>
      </c>
      <c r="L299" s="227" t="s">
        <v>94</v>
      </c>
      <c r="M299" s="233">
        <v>0.43</v>
      </c>
      <c r="N299" s="231"/>
      <c r="O299" s="231"/>
      <c r="P299" s="234">
        <v>-752.5</v>
      </c>
    </row>
    <row r="300" spans="1:16" ht="19.5" customHeight="1">
      <c r="A300" s="227" t="s">
        <v>1154</v>
      </c>
      <c r="B300" s="230">
        <v>46049</v>
      </c>
      <c r="C300" s="227" t="s">
        <v>81</v>
      </c>
      <c r="D300" s="227" t="s">
        <v>95</v>
      </c>
      <c r="E300" s="227" t="s">
        <v>38</v>
      </c>
      <c r="F300" s="227" t="s">
        <v>87</v>
      </c>
      <c r="G300" s="227" t="s">
        <v>84</v>
      </c>
      <c r="H300" s="231">
        <v>1</v>
      </c>
      <c r="I300" s="232">
        <v>1750</v>
      </c>
      <c r="J300" s="230">
        <v>46048</v>
      </c>
      <c r="K300" s="227" t="s">
        <v>93</v>
      </c>
      <c r="L300" s="227" t="s">
        <v>94</v>
      </c>
      <c r="M300" s="233">
        <v>0.43</v>
      </c>
      <c r="N300" s="231"/>
      <c r="O300" s="231"/>
      <c r="P300" s="234">
        <v>-13.36</v>
      </c>
    </row>
    <row r="301" spans="1:16" ht="19.5" customHeight="1">
      <c r="A301" s="227" t="s">
        <v>1155</v>
      </c>
      <c r="B301" s="230">
        <v>46049</v>
      </c>
      <c r="C301" s="227" t="s">
        <v>92</v>
      </c>
      <c r="D301" s="227" t="s">
        <v>24</v>
      </c>
      <c r="E301" s="227" t="s">
        <v>52</v>
      </c>
      <c r="F301" s="227" t="s">
        <v>90</v>
      </c>
      <c r="G301" s="227" t="s">
        <v>84</v>
      </c>
      <c r="H301" s="231">
        <v>1</v>
      </c>
      <c r="I301" s="232">
        <v>1800</v>
      </c>
      <c r="J301" s="230">
        <v>46047</v>
      </c>
      <c r="K301" s="227" t="s">
        <v>93</v>
      </c>
      <c r="L301" s="227" t="s">
        <v>94</v>
      </c>
      <c r="M301" s="233">
        <v>0.43</v>
      </c>
      <c r="N301" s="231"/>
      <c r="O301" s="231">
        <v>41</v>
      </c>
      <c r="P301" s="234">
        <v>-134.84</v>
      </c>
    </row>
    <row r="302" spans="1:16" ht="19.5" customHeight="1">
      <c r="A302" s="227" t="s">
        <v>1155</v>
      </c>
      <c r="B302" s="230">
        <v>46049</v>
      </c>
      <c r="C302" s="227" t="s">
        <v>100</v>
      </c>
      <c r="D302" s="227" t="s">
        <v>101</v>
      </c>
      <c r="E302" s="227" t="s">
        <v>52</v>
      </c>
      <c r="F302" s="227" t="s">
        <v>90</v>
      </c>
      <c r="G302" s="227" t="s">
        <v>84</v>
      </c>
      <c r="H302" s="231">
        <v>1</v>
      </c>
      <c r="I302" s="232">
        <v>1800</v>
      </c>
      <c r="J302" s="230">
        <v>46047</v>
      </c>
      <c r="K302" s="227" t="s">
        <v>93</v>
      </c>
      <c r="L302" s="227" t="s">
        <v>94</v>
      </c>
      <c r="M302" s="233">
        <v>0</v>
      </c>
      <c r="N302" s="231"/>
      <c r="O302" s="231"/>
      <c r="P302" s="234">
        <v>651.14</v>
      </c>
    </row>
    <row r="303" spans="1:16" ht="19.5" customHeight="1">
      <c r="A303" s="227" t="s">
        <v>1155</v>
      </c>
      <c r="B303" s="230">
        <v>46049</v>
      </c>
      <c r="C303" s="227" t="s">
        <v>100</v>
      </c>
      <c r="D303" s="227" t="s">
        <v>102</v>
      </c>
      <c r="E303" s="227" t="s">
        <v>52</v>
      </c>
      <c r="F303" s="227" t="s">
        <v>90</v>
      </c>
      <c r="G303" s="227" t="s">
        <v>84</v>
      </c>
      <c r="H303" s="231">
        <v>1</v>
      </c>
      <c r="I303" s="232">
        <v>1800</v>
      </c>
      <c r="J303" s="230">
        <v>46047</v>
      </c>
      <c r="K303" s="227" t="s">
        <v>93</v>
      </c>
      <c r="L303" s="227" t="s">
        <v>94</v>
      </c>
      <c r="M303" s="233">
        <v>0</v>
      </c>
      <c r="N303" s="231"/>
      <c r="O303" s="231"/>
      <c r="P303" s="234">
        <v>6.51</v>
      </c>
    </row>
    <row r="304" spans="1:16" ht="19.5" customHeight="1">
      <c r="A304" s="227" t="s">
        <v>1155</v>
      </c>
      <c r="B304" s="230">
        <v>46049</v>
      </c>
      <c r="C304" s="227" t="s">
        <v>100</v>
      </c>
      <c r="D304" s="227" t="s">
        <v>103</v>
      </c>
      <c r="E304" s="227" t="s">
        <v>52</v>
      </c>
      <c r="F304" s="227" t="s">
        <v>90</v>
      </c>
      <c r="G304" s="227" t="s">
        <v>84</v>
      </c>
      <c r="H304" s="231">
        <v>1</v>
      </c>
      <c r="I304" s="232">
        <v>1800</v>
      </c>
      <c r="J304" s="230">
        <v>46047</v>
      </c>
      <c r="K304" s="227" t="s">
        <v>93</v>
      </c>
      <c r="L304" s="227" t="s">
        <v>94</v>
      </c>
      <c r="M304" s="233">
        <v>0</v>
      </c>
      <c r="N304" s="231"/>
      <c r="O304" s="231"/>
      <c r="P304" s="234">
        <v>1142.3499999999999</v>
      </c>
    </row>
    <row r="305" spans="1:16" ht="19.5" customHeight="1">
      <c r="A305" s="227" t="s">
        <v>1155</v>
      </c>
      <c r="B305" s="230">
        <v>46049</v>
      </c>
      <c r="C305" s="227" t="s">
        <v>104</v>
      </c>
      <c r="D305" s="227" t="s">
        <v>105</v>
      </c>
      <c r="E305" s="227" t="s">
        <v>52</v>
      </c>
      <c r="F305" s="227" t="s">
        <v>90</v>
      </c>
      <c r="G305" s="227" t="s">
        <v>84</v>
      </c>
      <c r="H305" s="231">
        <v>1</v>
      </c>
      <c r="I305" s="232">
        <v>1800</v>
      </c>
      <c r="J305" s="230">
        <v>46047</v>
      </c>
      <c r="K305" s="227" t="s">
        <v>93</v>
      </c>
      <c r="L305" s="227" t="s">
        <v>94</v>
      </c>
      <c r="M305" s="233">
        <v>0.43</v>
      </c>
      <c r="N305" s="231"/>
      <c r="O305" s="231"/>
      <c r="P305" s="234">
        <v>-774</v>
      </c>
    </row>
    <row r="306" spans="1:16" ht="19.5" customHeight="1">
      <c r="A306" s="227" t="s">
        <v>1155</v>
      </c>
      <c r="B306" s="230">
        <v>46049</v>
      </c>
      <c r="C306" s="227" t="s">
        <v>81</v>
      </c>
      <c r="D306" s="227" t="s">
        <v>95</v>
      </c>
      <c r="E306" s="227" t="s">
        <v>52</v>
      </c>
      <c r="F306" s="227" t="s">
        <v>90</v>
      </c>
      <c r="G306" s="227" t="s">
        <v>84</v>
      </c>
      <c r="H306" s="231">
        <v>1</v>
      </c>
      <c r="I306" s="232">
        <v>1800</v>
      </c>
      <c r="J306" s="230">
        <v>46047</v>
      </c>
      <c r="K306" s="227" t="s">
        <v>93</v>
      </c>
      <c r="L306" s="227" t="s">
        <v>94</v>
      </c>
      <c r="M306" s="233">
        <v>0.43</v>
      </c>
      <c r="N306" s="231"/>
      <c r="O306" s="231"/>
      <c r="P306" s="234">
        <v>-9.23</v>
      </c>
    </row>
    <row r="307" spans="1:16" ht="19.5" customHeight="1">
      <c r="A307" s="227" t="s">
        <v>1156</v>
      </c>
      <c r="B307" s="230">
        <v>46049</v>
      </c>
      <c r="C307" s="227" t="s">
        <v>92</v>
      </c>
      <c r="D307" s="227" t="s">
        <v>24</v>
      </c>
      <c r="E307" s="227" t="s">
        <v>39</v>
      </c>
      <c r="F307" s="227" t="s">
        <v>117</v>
      </c>
      <c r="G307" s="227" t="s">
        <v>84</v>
      </c>
      <c r="H307" s="231">
        <v>1</v>
      </c>
      <c r="I307" s="232">
        <v>1750</v>
      </c>
      <c r="J307" s="230">
        <v>46047</v>
      </c>
      <c r="K307" s="227" t="s">
        <v>93</v>
      </c>
      <c r="L307" s="227" t="s">
        <v>94</v>
      </c>
      <c r="M307" s="233">
        <v>0.43</v>
      </c>
      <c r="N307" s="231"/>
      <c r="O307" s="231">
        <v>41</v>
      </c>
      <c r="P307" s="234">
        <v>-119.28</v>
      </c>
    </row>
    <row r="308" spans="1:16" ht="19.5" customHeight="1">
      <c r="A308" s="227" t="s">
        <v>1156</v>
      </c>
      <c r="B308" s="230">
        <v>46049</v>
      </c>
      <c r="C308" s="227" t="s">
        <v>100</v>
      </c>
      <c r="D308" s="227" t="s">
        <v>101</v>
      </c>
      <c r="E308" s="227" t="s">
        <v>39</v>
      </c>
      <c r="F308" s="227" t="s">
        <v>117</v>
      </c>
      <c r="G308" s="227" t="s">
        <v>84</v>
      </c>
      <c r="H308" s="231">
        <v>1</v>
      </c>
      <c r="I308" s="232">
        <v>1750</v>
      </c>
      <c r="J308" s="230">
        <v>46047</v>
      </c>
      <c r="K308" s="227" t="s">
        <v>93</v>
      </c>
      <c r="L308" s="227" t="s">
        <v>94</v>
      </c>
      <c r="M308" s="233">
        <v>0</v>
      </c>
      <c r="N308" s="231"/>
      <c r="O308" s="231"/>
      <c r="P308" s="234">
        <v>785.24</v>
      </c>
    </row>
    <row r="309" spans="1:16" ht="19.5" customHeight="1">
      <c r="A309" s="227" t="s">
        <v>1156</v>
      </c>
      <c r="B309" s="230">
        <v>46049</v>
      </c>
      <c r="C309" s="227" t="s">
        <v>100</v>
      </c>
      <c r="D309" s="227" t="s">
        <v>102</v>
      </c>
      <c r="E309" s="227" t="s">
        <v>39</v>
      </c>
      <c r="F309" s="227" t="s">
        <v>117</v>
      </c>
      <c r="G309" s="227" t="s">
        <v>84</v>
      </c>
      <c r="H309" s="231">
        <v>1</v>
      </c>
      <c r="I309" s="232">
        <v>1750</v>
      </c>
      <c r="J309" s="230">
        <v>46047</v>
      </c>
      <c r="K309" s="227" t="s">
        <v>93</v>
      </c>
      <c r="L309" s="227" t="s">
        <v>94</v>
      </c>
      <c r="M309" s="233">
        <v>0</v>
      </c>
      <c r="N309" s="231"/>
      <c r="O309" s="231"/>
      <c r="P309" s="234">
        <v>0</v>
      </c>
    </row>
    <row r="310" spans="1:16" ht="19.5" customHeight="1">
      <c r="A310" s="227" t="s">
        <v>1156</v>
      </c>
      <c r="B310" s="230">
        <v>46049</v>
      </c>
      <c r="C310" s="227" t="s">
        <v>100</v>
      </c>
      <c r="D310" s="227" t="s">
        <v>103</v>
      </c>
      <c r="E310" s="227" t="s">
        <v>39</v>
      </c>
      <c r="F310" s="227" t="s">
        <v>117</v>
      </c>
      <c r="G310" s="227" t="s">
        <v>84</v>
      </c>
      <c r="H310" s="231">
        <v>1</v>
      </c>
      <c r="I310" s="232">
        <v>1750</v>
      </c>
      <c r="J310" s="230">
        <v>46047</v>
      </c>
      <c r="K310" s="227" t="s">
        <v>93</v>
      </c>
      <c r="L310" s="227" t="s">
        <v>94</v>
      </c>
      <c r="M310" s="233">
        <v>0</v>
      </c>
      <c r="N310" s="231"/>
      <c r="O310" s="231"/>
      <c r="P310" s="234">
        <v>964.76</v>
      </c>
    </row>
    <row r="311" spans="1:16" ht="19.5" customHeight="1">
      <c r="A311" s="227" t="s">
        <v>1156</v>
      </c>
      <c r="B311" s="230">
        <v>46049</v>
      </c>
      <c r="C311" s="227" t="s">
        <v>104</v>
      </c>
      <c r="D311" s="227" t="s">
        <v>105</v>
      </c>
      <c r="E311" s="227" t="s">
        <v>39</v>
      </c>
      <c r="F311" s="227" t="s">
        <v>117</v>
      </c>
      <c r="G311" s="227" t="s">
        <v>84</v>
      </c>
      <c r="H311" s="231">
        <v>1</v>
      </c>
      <c r="I311" s="232">
        <v>1750</v>
      </c>
      <c r="J311" s="230">
        <v>46047</v>
      </c>
      <c r="K311" s="227" t="s">
        <v>93</v>
      </c>
      <c r="L311" s="227" t="s">
        <v>94</v>
      </c>
      <c r="M311" s="233">
        <v>0.43</v>
      </c>
      <c r="N311" s="231"/>
      <c r="O311" s="231"/>
      <c r="P311" s="234">
        <v>-752.5</v>
      </c>
    </row>
    <row r="312" spans="1:16" ht="19.5" customHeight="1">
      <c r="A312" s="227" t="s">
        <v>1156</v>
      </c>
      <c r="B312" s="230">
        <v>46049</v>
      </c>
      <c r="C312" s="227" t="s">
        <v>81</v>
      </c>
      <c r="D312" s="227" t="s">
        <v>95</v>
      </c>
      <c r="E312" s="227" t="s">
        <v>39</v>
      </c>
      <c r="F312" s="227" t="s">
        <v>117</v>
      </c>
      <c r="G312" s="227" t="s">
        <v>84</v>
      </c>
      <c r="H312" s="231">
        <v>1</v>
      </c>
      <c r="I312" s="232">
        <v>1750</v>
      </c>
      <c r="J312" s="230">
        <v>46047</v>
      </c>
      <c r="K312" s="227" t="s">
        <v>93</v>
      </c>
      <c r="L312" s="227" t="s">
        <v>94</v>
      </c>
      <c r="M312" s="233">
        <v>0.43</v>
      </c>
      <c r="N312" s="231"/>
      <c r="O312" s="231"/>
      <c r="P312" s="234">
        <v>-10.01</v>
      </c>
    </row>
    <row r="313" spans="1:16" ht="19.5" customHeight="1">
      <c r="A313" s="227" t="s">
        <v>1154</v>
      </c>
      <c r="B313" s="230">
        <v>46049</v>
      </c>
      <c r="C313" s="227" t="s">
        <v>81</v>
      </c>
      <c r="D313" s="227" t="s">
        <v>82</v>
      </c>
      <c r="E313" s="227" t="s">
        <v>38</v>
      </c>
      <c r="F313" s="227" t="s">
        <v>87</v>
      </c>
      <c r="G313" s="227" t="s">
        <v>84</v>
      </c>
      <c r="H313" s="231">
        <v>1</v>
      </c>
      <c r="I313" s="232">
        <v>0</v>
      </c>
      <c r="J313" s="230">
        <v>46048</v>
      </c>
      <c r="K313" s="227" t="s">
        <v>85</v>
      </c>
      <c r="L313" s="227" t="s">
        <v>85</v>
      </c>
      <c r="M313" s="233">
        <v>0</v>
      </c>
      <c r="N313" s="231"/>
      <c r="O313" s="231"/>
      <c r="P313" s="234">
        <v>-19.38</v>
      </c>
    </row>
    <row r="314" spans="1:16" ht="19.5" customHeight="1">
      <c r="A314" s="227" t="s">
        <v>1155</v>
      </c>
      <c r="B314" s="230">
        <v>46049</v>
      </c>
      <c r="C314" s="227" t="s">
        <v>81</v>
      </c>
      <c r="D314" s="227" t="s">
        <v>82</v>
      </c>
      <c r="E314" s="227" t="s">
        <v>52</v>
      </c>
      <c r="F314" s="227" t="s">
        <v>90</v>
      </c>
      <c r="G314" s="227" t="s">
        <v>84</v>
      </c>
      <c r="H314" s="231">
        <v>1</v>
      </c>
      <c r="I314" s="232">
        <v>0</v>
      </c>
      <c r="J314" s="230">
        <v>46047</v>
      </c>
      <c r="K314" s="227" t="s">
        <v>85</v>
      </c>
      <c r="L314" s="227" t="s">
        <v>85</v>
      </c>
      <c r="M314" s="233">
        <v>0</v>
      </c>
      <c r="N314" s="231"/>
      <c r="O314" s="231"/>
      <c r="P314" s="234">
        <v>-12.37</v>
      </c>
    </row>
    <row r="315" spans="1:16" ht="19.5" customHeight="1">
      <c r="A315" s="227" t="s">
        <v>1157</v>
      </c>
      <c r="B315" s="230">
        <v>46049</v>
      </c>
      <c r="C315" s="227" t="s">
        <v>92</v>
      </c>
      <c r="D315" s="227" t="s">
        <v>24</v>
      </c>
      <c r="E315" s="227" t="s">
        <v>42</v>
      </c>
      <c r="F315" s="227" t="s">
        <v>89</v>
      </c>
      <c r="G315" s="227" t="s">
        <v>84</v>
      </c>
      <c r="H315" s="231">
        <v>1</v>
      </c>
      <c r="I315" s="232">
        <v>0</v>
      </c>
      <c r="J315" s="230">
        <v>46045</v>
      </c>
      <c r="K315" s="227" t="s">
        <v>93</v>
      </c>
      <c r="L315" s="227" t="s">
        <v>94</v>
      </c>
      <c r="M315" s="233">
        <v>0</v>
      </c>
      <c r="N315" s="231"/>
      <c r="O315" s="231">
        <v>40</v>
      </c>
      <c r="P315" s="234">
        <v>-46.77</v>
      </c>
    </row>
    <row r="316" spans="1:16" ht="19.5" customHeight="1">
      <c r="A316" s="227" t="s">
        <v>1157</v>
      </c>
      <c r="B316" s="230">
        <v>46049</v>
      </c>
      <c r="C316" s="227" t="s">
        <v>81</v>
      </c>
      <c r="D316" s="227" t="s">
        <v>95</v>
      </c>
      <c r="E316" s="227" t="s">
        <v>42</v>
      </c>
      <c r="F316" s="227" t="s">
        <v>89</v>
      </c>
      <c r="G316" s="227" t="s">
        <v>84</v>
      </c>
      <c r="H316" s="231">
        <v>1</v>
      </c>
      <c r="I316" s="232">
        <v>0</v>
      </c>
      <c r="J316" s="230">
        <v>46045</v>
      </c>
      <c r="K316" s="227" t="s">
        <v>93</v>
      </c>
      <c r="L316" s="227" t="s">
        <v>94</v>
      </c>
      <c r="M316" s="233">
        <v>0</v>
      </c>
      <c r="N316" s="231"/>
      <c r="O316" s="231"/>
      <c r="P316" s="234">
        <v>-8.5</v>
      </c>
    </row>
    <row r="317" spans="1:16" ht="19.5" customHeight="1">
      <c r="A317" s="227" t="s">
        <v>1157</v>
      </c>
      <c r="B317" s="230">
        <v>46049</v>
      </c>
      <c r="C317" s="227" t="s">
        <v>92</v>
      </c>
      <c r="D317" s="227" t="s">
        <v>96</v>
      </c>
      <c r="E317" s="227" t="s">
        <v>42</v>
      </c>
      <c r="F317" s="227" t="s">
        <v>89</v>
      </c>
      <c r="G317" s="227" t="s">
        <v>84</v>
      </c>
      <c r="H317" s="231">
        <v>1</v>
      </c>
      <c r="I317" s="232">
        <v>0</v>
      </c>
      <c r="J317" s="230">
        <v>46045</v>
      </c>
      <c r="K317" s="227" t="s">
        <v>93</v>
      </c>
      <c r="L317" s="227" t="s">
        <v>94</v>
      </c>
      <c r="M317" s="233">
        <v>0</v>
      </c>
      <c r="N317" s="231"/>
      <c r="O317" s="231"/>
      <c r="P317" s="234">
        <v>0</v>
      </c>
    </row>
    <row r="318" spans="1:16" ht="19.5" customHeight="1">
      <c r="A318" s="227" t="s">
        <v>1157</v>
      </c>
      <c r="B318" s="230">
        <v>46049</v>
      </c>
      <c r="C318" s="227" t="s">
        <v>92</v>
      </c>
      <c r="D318" s="227" t="s">
        <v>97</v>
      </c>
      <c r="E318" s="227" t="s">
        <v>42</v>
      </c>
      <c r="F318" s="227" t="s">
        <v>89</v>
      </c>
      <c r="G318" s="227" t="s">
        <v>84</v>
      </c>
      <c r="H318" s="231">
        <v>1</v>
      </c>
      <c r="I318" s="232">
        <v>0</v>
      </c>
      <c r="J318" s="230">
        <v>46045</v>
      </c>
      <c r="K318" s="227" t="s">
        <v>93</v>
      </c>
      <c r="L318" s="227" t="s">
        <v>94</v>
      </c>
      <c r="M318" s="233">
        <v>0</v>
      </c>
      <c r="N318" s="231"/>
      <c r="O318" s="231"/>
      <c r="P318" s="234">
        <v>-46.77</v>
      </c>
    </row>
    <row r="319" spans="1:16" ht="19.5" customHeight="1">
      <c r="A319" s="227" t="s">
        <v>1157</v>
      </c>
      <c r="B319" s="230">
        <v>46049</v>
      </c>
      <c r="C319" s="227" t="s">
        <v>81</v>
      </c>
      <c r="D319" s="227" t="s">
        <v>98</v>
      </c>
      <c r="E319" s="227" t="s">
        <v>42</v>
      </c>
      <c r="F319" s="227" t="s">
        <v>89</v>
      </c>
      <c r="G319" s="227" t="s">
        <v>84</v>
      </c>
      <c r="H319" s="231">
        <v>1</v>
      </c>
      <c r="I319" s="232">
        <v>0</v>
      </c>
      <c r="J319" s="230">
        <v>46045</v>
      </c>
      <c r="K319" s="227" t="s">
        <v>93</v>
      </c>
      <c r="L319" s="227" t="s">
        <v>94</v>
      </c>
      <c r="M319" s="233">
        <v>0</v>
      </c>
      <c r="N319" s="231"/>
      <c r="O319" s="231"/>
      <c r="P319" s="234">
        <v>-15</v>
      </c>
    </row>
    <row r="320" spans="1:16" ht="19.5" customHeight="1">
      <c r="A320" s="227" t="s">
        <v>1158</v>
      </c>
      <c r="B320" s="230">
        <v>46049</v>
      </c>
      <c r="C320" s="227" t="s">
        <v>92</v>
      </c>
      <c r="D320" s="227" t="s">
        <v>24</v>
      </c>
      <c r="E320" s="227" t="s">
        <v>41</v>
      </c>
      <c r="F320" s="227" t="s">
        <v>83</v>
      </c>
      <c r="G320" s="227" t="s">
        <v>84</v>
      </c>
      <c r="H320" s="231">
        <v>1</v>
      </c>
      <c r="I320" s="232">
        <v>1750</v>
      </c>
      <c r="J320" s="230">
        <v>46047</v>
      </c>
      <c r="K320" s="227" t="s">
        <v>93</v>
      </c>
      <c r="L320" s="227" t="s">
        <v>94</v>
      </c>
      <c r="M320" s="233">
        <v>0.43</v>
      </c>
      <c r="N320" s="231"/>
      <c r="O320" s="231">
        <v>41</v>
      </c>
      <c r="P320" s="234">
        <v>-119.28</v>
      </c>
    </row>
    <row r="321" spans="1:16" ht="19.5" customHeight="1">
      <c r="A321" s="227" t="s">
        <v>1158</v>
      </c>
      <c r="B321" s="230">
        <v>46049</v>
      </c>
      <c r="C321" s="227" t="s">
        <v>100</v>
      </c>
      <c r="D321" s="227" t="s">
        <v>101</v>
      </c>
      <c r="E321" s="227" t="s">
        <v>41</v>
      </c>
      <c r="F321" s="227" t="s">
        <v>83</v>
      </c>
      <c r="G321" s="227" t="s">
        <v>84</v>
      </c>
      <c r="H321" s="231">
        <v>1</v>
      </c>
      <c r="I321" s="232">
        <v>1750</v>
      </c>
      <c r="J321" s="230">
        <v>46047</v>
      </c>
      <c r="K321" s="227" t="s">
        <v>93</v>
      </c>
      <c r="L321" s="227" t="s">
        <v>94</v>
      </c>
      <c r="M321" s="233">
        <v>0</v>
      </c>
      <c r="N321" s="231"/>
      <c r="O321" s="231"/>
      <c r="P321" s="234">
        <v>633.87</v>
      </c>
    </row>
    <row r="322" spans="1:16" ht="19.5" customHeight="1">
      <c r="A322" s="227" t="s">
        <v>1158</v>
      </c>
      <c r="B322" s="230">
        <v>46049</v>
      </c>
      <c r="C322" s="227" t="s">
        <v>100</v>
      </c>
      <c r="D322" s="227" t="s">
        <v>102</v>
      </c>
      <c r="E322" s="227" t="s">
        <v>41</v>
      </c>
      <c r="F322" s="227" t="s">
        <v>83</v>
      </c>
      <c r="G322" s="227" t="s">
        <v>84</v>
      </c>
      <c r="H322" s="231">
        <v>1</v>
      </c>
      <c r="I322" s="232">
        <v>1750</v>
      </c>
      <c r="J322" s="230">
        <v>46047</v>
      </c>
      <c r="K322" s="227" t="s">
        <v>93</v>
      </c>
      <c r="L322" s="227" t="s">
        <v>94</v>
      </c>
      <c r="M322" s="233">
        <v>0</v>
      </c>
      <c r="N322" s="231"/>
      <c r="O322" s="231"/>
      <c r="P322" s="234">
        <v>6.34</v>
      </c>
    </row>
    <row r="323" spans="1:16" ht="19.5" customHeight="1">
      <c r="A323" s="227" t="s">
        <v>1158</v>
      </c>
      <c r="B323" s="230">
        <v>46049</v>
      </c>
      <c r="C323" s="227" t="s">
        <v>100</v>
      </c>
      <c r="D323" s="227" t="s">
        <v>103</v>
      </c>
      <c r="E323" s="227" t="s">
        <v>41</v>
      </c>
      <c r="F323" s="227" t="s">
        <v>83</v>
      </c>
      <c r="G323" s="227" t="s">
        <v>84</v>
      </c>
      <c r="H323" s="231">
        <v>1</v>
      </c>
      <c r="I323" s="232">
        <v>1750</v>
      </c>
      <c r="J323" s="230">
        <v>46047</v>
      </c>
      <c r="K323" s="227" t="s">
        <v>93</v>
      </c>
      <c r="L323" s="227" t="s">
        <v>94</v>
      </c>
      <c r="M323" s="233">
        <v>0</v>
      </c>
      <c r="N323" s="231"/>
      <c r="O323" s="231"/>
      <c r="P323" s="234">
        <v>1109.79</v>
      </c>
    </row>
    <row r="324" spans="1:16" ht="19.5" customHeight="1">
      <c r="A324" s="227" t="s">
        <v>1158</v>
      </c>
      <c r="B324" s="230">
        <v>46049</v>
      </c>
      <c r="C324" s="227" t="s">
        <v>104</v>
      </c>
      <c r="D324" s="227" t="s">
        <v>105</v>
      </c>
      <c r="E324" s="227" t="s">
        <v>41</v>
      </c>
      <c r="F324" s="227" t="s">
        <v>83</v>
      </c>
      <c r="G324" s="227" t="s">
        <v>84</v>
      </c>
      <c r="H324" s="231">
        <v>1</v>
      </c>
      <c r="I324" s="232">
        <v>1750</v>
      </c>
      <c r="J324" s="230">
        <v>46047</v>
      </c>
      <c r="K324" s="227" t="s">
        <v>93</v>
      </c>
      <c r="L324" s="227" t="s">
        <v>94</v>
      </c>
      <c r="M324" s="233">
        <v>0.43</v>
      </c>
      <c r="N324" s="231"/>
      <c r="O324" s="231"/>
      <c r="P324" s="234">
        <v>-752.5</v>
      </c>
    </row>
    <row r="325" spans="1:16" ht="19.5" customHeight="1">
      <c r="A325" s="227" t="s">
        <v>1158</v>
      </c>
      <c r="B325" s="230">
        <v>46049</v>
      </c>
      <c r="C325" s="227" t="s">
        <v>81</v>
      </c>
      <c r="D325" s="227" t="s">
        <v>95</v>
      </c>
      <c r="E325" s="227" t="s">
        <v>41</v>
      </c>
      <c r="F325" s="227" t="s">
        <v>83</v>
      </c>
      <c r="G325" s="227" t="s">
        <v>84</v>
      </c>
      <c r="H325" s="231">
        <v>1</v>
      </c>
      <c r="I325" s="232">
        <v>1750</v>
      </c>
      <c r="J325" s="230">
        <v>46047</v>
      </c>
      <c r="K325" s="227" t="s">
        <v>93</v>
      </c>
      <c r="L325" s="227" t="s">
        <v>94</v>
      </c>
      <c r="M325" s="233">
        <v>0.43</v>
      </c>
      <c r="N325" s="231"/>
      <c r="O325" s="231"/>
      <c r="P325" s="234">
        <v>-8.68</v>
      </c>
    </row>
    <row r="326" spans="1:16" ht="19.5" customHeight="1">
      <c r="A326" s="227" t="s">
        <v>1159</v>
      </c>
      <c r="B326" s="230">
        <v>46049</v>
      </c>
      <c r="C326" s="227" t="s">
        <v>92</v>
      </c>
      <c r="D326" s="227" t="s">
        <v>96</v>
      </c>
      <c r="E326" s="227" t="s">
        <v>53</v>
      </c>
      <c r="F326" s="227" t="s">
        <v>120</v>
      </c>
      <c r="G326" s="227" t="s">
        <v>84</v>
      </c>
      <c r="H326" s="231">
        <v>1</v>
      </c>
      <c r="I326" s="232">
        <v>0</v>
      </c>
      <c r="J326" s="230">
        <v>46040</v>
      </c>
      <c r="K326" s="227" t="s">
        <v>93</v>
      </c>
      <c r="L326" s="227" t="s">
        <v>94</v>
      </c>
      <c r="M326" s="233">
        <v>0</v>
      </c>
      <c r="N326" s="231"/>
      <c r="O326" s="231"/>
      <c r="P326" s="234">
        <v>0</v>
      </c>
    </row>
    <row r="327" spans="1:16" ht="19.5" customHeight="1">
      <c r="A327" s="227" t="s">
        <v>1159</v>
      </c>
      <c r="B327" s="230">
        <v>46049</v>
      </c>
      <c r="C327" s="227" t="s">
        <v>92</v>
      </c>
      <c r="D327" s="227" t="s">
        <v>97</v>
      </c>
      <c r="E327" s="227" t="s">
        <v>53</v>
      </c>
      <c r="F327" s="227" t="s">
        <v>120</v>
      </c>
      <c r="G327" s="227" t="s">
        <v>84</v>
      </c>
      <c r="H327" s="231">
        <v>1</v>
      </c>
      <c r="I327" s="232">
        <v>0</v>
      </c>
      <c r="J327" s="230">
        <v>46040</v>
      </c>
      <c r="K327" s="227" t="s">
        <v>93</v>
      </c>
      <c r="L327" s="227" t="s">
        <v>94</v>
      </c>
      <c r="M327" s="233">
        <v>0</v>
      </c>
      <c r="N327" s="231"/>
      <c r="O327" s="231"/>
      <c r="P327" s="234">
        <v>-56</v>
      </c>
    </row>
    <row r="328" spans="1:16" ht="19.5" customHeight="1">
      <c r="A328" s="227" t="s">
        <v>1159</v>
      </c>
      <c r="B328" s="230">
        <v>46049</v>
      </c>
      <c r="C328" s="227" t="s">
        <v>81</v>
      </c>
      <c r="D328" s="227" t="s">
        <v>98</v>
      </c>
      <c r="E328" s="227" t="s">
        <v>53</v>
      </c>
      <c r="F328" s="227" t="s">
        <v>120</v>
      </c>
      <c r="G328" s="227" t="s">
        <v>84</v>
      </c>
      <c r="H328" s="231">
        <v>1</v>
      </c>
      <c r="I328" s="232">
        <v>0</v>
      </c>
      <c r="J328" s="230">
        <v>46040</v>
      </c>
      <c r="K328" s="227" t="s">
        <v>93</v>
      </c>
      <c r="L328" s="227" t="s">
        <v>94</v>
      </c>
      <c r="M328" s="233">
        <v>0</v>
      </c>
      <c r="N328" s="231"/>
      <c r="O328" s="231"/>
      <c r="P328" s="234">
        <v>-15</v>
      </c>
    </row>
    <row r="329" spans="1:16" ht="19.5" customHeight="1">
      <c r="A329" s="227" t="s">
        <v>1159</v>
      </c>
      <c r="B329" s="230">
        <v>46049</v>
      </c>
      <c r="C329" s="227" t="s">
        <v>92</v>
      </c>
      <c r="D329" s="227" t="s">
        <v>24</v>
      </c>
      <c r="E329" s="227" t="s">
        <v>53</v>
      </c>
      <c r="F329" s="227" t="s">
        <v>120</v>
      </c>
      <c r="G329" s="227" t="s">
        <v>84</v>
      </c>
      <c r="H329" s="231">
        <v>1</v>
      </c>
      <c r="I329" s="232">
        <v>0</v>
      </c>
      <c r="J329" s="230">
        <v>46040</v>
      </c>
      <c r="K329" s="227" t="s">
        <v>93</v>
      </c>
      <c r="L329" s="227" t="s">
        <v>94</v>
      </c>
      <c r="M329" s="233">
        <v>0</v>
      </c>
      <c r="N329" s="231"/>
      <c r="O329" s="231">
        <v>45</v>
      </c>
      <c r="P329" s="234">
        <v>-56</v>
      </c>
    </row>
    <row r="330" spans="1:16" ht="19.5" customHeight="1">
      <c r="A330" s="227" t="s">
        <v>1159</v>
      </c>
      <c r="B330" s="230">
        <v>46049</v>
      </c>
      <c r="C330" s="227" t="s">
        <v>81</v>
      </c>
      <c r="D330" s="227" t="s">
        <v>95</v>
      </c>
      <c r="E330" s="227" t="s">
        <v>53</v>
      </c>
      <c r="F330" s="227" t="s">
        <v>120</v>
      </c>
      <c r="G330" s="227" t="s">
        <v>84</v>
      </c>
      <c r="H330" s="231">
        <v>1</v>
      </c>
      <c r="I330" s="232">
        <v>0</v>
      </c>
      <c r="J330" s="230">
        <v>46040</v>
      </c>
      <c r="K330" s="227" t="s">
        <v>93</v>
      </c>
      <c r="L330" s="227" t="s">
        <v>94</v>
      </c>
      <c r="M330" s="233">
        <v>0</v>
      </c>
      <c r="N330" s="231"/>
      <c r="O330" s="231"/>
      <c r="P330" s="234">
        <v>-17.88</v>
      </c>
    </row>
    <row r="331" spans="1:16" ht="19.5" customHeight="1">
      <c r="A331" s="227" t="s">
        <v>1158</v>
      </c>
      <c r="B331" s="230">
        <v>46049</v>
      </c>
      <c r="C331" s="227" t="s">
        <v>81</v>
      </c>
      <c r="D331" s="227" t="s">
        <v>82</v>
      </c>
      <c r="E331" s="227" t="s">
        <v>41</v>
      </c>
      <c r="F331" s="227" t="s">
        <v>83</v>
      </c>
      <c r="G331" s="227" t="s">
        <v>84</v>
      </c>
      <c r="H331" s="231">
        <v>1</v>
      </c>
      <c r="I331" s="232">
        <v>0</v>
      </c>
      <c r="J331" s="230">
        <v>46047</v>
      </c>
      <c r="K331" s="227" t="s">
        <v>85</v>
      </c>
      <c r="L331" s="227" t="s">
        <v>85</v>
      </c>
      <c r="M331" s="233">
        <v>0</v>
      </c>
      <c r="N331" s="231"/>
      <c r="O331" s="231"/>
      <c r="P331" s="234">
        <v>-12.04</v>
      </c>
    </row>
    <row r="332" spans="1:16" ht="19.5" customHeight="1">
      <c r="A332" s="227" t="s">
        <v>1160</v>
      </c>
      <c r="B332" s="230">
        <v>46049</v>
      </c>
      <c r="C332" s="227" t="s">
        <v>92</v>
      </c>
      <c r="D332" s="227" t="s">
        <v>96</v>
      </c>
      <c r="E332" s="227" t="s">
        <v>39</v>
      </c>
      <c r="F332" s="227" t="s">
        <v>117</v>
      </c>
      <c r="G332" s="227" t="s">
        <v>84</v>
      </c>
      <c r="H332" s="231">
        <v>1</v>
      </c>
      <c r="I332" s="232">
        <v>0</v>
      </c>
      <c r="J332" s="230">
        <v>46045</v>
      </c>
      <c r="K332" s="227" t="s">
        <v>93</v>
      </c>
      <c r="L332" s="227" t="s">
        <v>94</v>
      </c>
      <c r="M332" s="233">
        <v>0</v>
      </c>
      <c r="N332" s="231"/>
      <c r="O332" s="231"/>
      <c r="P332" s="234">
        <v>0</v>
      </c>
    </row>
    <row r="333" spans="1:16" ht="19.5" customHeight="1">
      <c r="A333" s="227" t="s">
        <v>1160</v>
      </c>
      <c r="B333" s="230">
        <v>46049</v>
      </c>
      <c r="C333" s="227" t="s">
        <v>92</v>
      </c>
      <c r="D333" s="227" t="s">
        <v>97</v>
      </c>
      <c r="E333" s="227" t="s">
        <v>39</v>
      </c>
      <c r="F333" s="227" t="s">
        <v>117</v>
      </c>
      <c r="G333" s="227" t="s">
        <v>84</v>
      </c>
      <c r="H333" s="231">
        <v>1</v>
      </c>
      <c r="I333" s="232">
        <v>0</v>
      </c>
      <c r="J333" s="230">
        <v>46045</v>
      </c>
      <c r="K333" s="227" t="s">
        <v>93</v>
      </c>
      <c r="L333" s="227" t="s">
        <v>94</v>
      </c>
      <c r="M333" s="233">
        <v>0</v>
      </c>
      <c r="N333" s="231"/>
      <c r="O333" s="231"/>
      <c r="P333" s="234">
        <v>-46.77</v>
      </c>
    </row>
    <row r="334" spans="1:16" ht="19.5" customHeight="1">
      <c r="A334" s="227" t="s">
        <v>1160</v>
      </c>
      <c r="B334" s="230">
        <v>46049</v>
      </c>
      <c r="C334" s="227" t="s">
        <v>81</v>
      </c>
      <c r="D334" s="227" t="s">
        <v>98</v>
      </c>
      <c r="E334" s="227" t="s">
        <v>39</v>
      </c>
      <c r="F334" s="227" t="s">
        <v>117</v>
      </c>
      <c r="G334" s="227" t="s">
        <v>84</v>
      </c>
      <c r="H334" s="231">
        <v>1</v>
      </c>
      <c r="I334" s="232">
        <v>0</v>
      </c>
      <c r="J334" s="230">
        <v>46045</v>
      </c>
      <c r="K334" s="227" t="s">
        <v>93</v>
      </c>
      <c r="L334" s="227" t="s">
        <v>94</v>
      </c>
      <c r="M334" s="233">
        <v>0</v>
      </c>
      <c r="N334" s="231"/>
      <c r="O334" s="231"/>
      <c r="P334" s="234">
        <v>-15</v>
      </c>
    </row>
    <row r="335" spans="1:16" ht="19.5" customHeight="1">
      <c r="A335" s="227" t="s">
        <v>1160</v>
      </c>
      <c r="B335" s="230">
        <v>46049</v>
      </c>
      <c r="C335" s="227" t="s">
        <v>92</v>
      </c>
      <c r="D335" s="227" t="s">
        <v>24</v>
      </c>
      <c r="E335" s="227" t="s">
        <v>39</v>
      </c>
      <c r="F335" s="227" t="s">
        <v>117</v>
      </c>
      <c r="G335" s="227" t="s">
        <v>84</v>
      </c>
      <c r="H335" s="231">
        <v>1</v>
      </c>
      <c r="I335" s="232">
        <v>0</v>
      </c>
      <c r="J335" s="230">
        <v>46045</v>
      </c>
      <c r="K335" s="227" t="s">
        <v>93</v>
      </c>
      <c r="L335" s="227" t="s">
        <v>94</v>
      </c>
      <c r="M335" s="233">
        <v>0</v>
      </c>
      <c r="N335" s="231"/>
      <c r="O335" s="231">
        <v>40</v>
      </c>
      <c r="P335" s="234">
        <v>-46.77</v>
      </c>
    </row>
    <row r="336" spans="1:16" ht="19.5" customHeight="1">
      <c r="A336" s="227" t="s">
        <v>1160</v>
      </c>
      <c r="B336" s="230">
        <v>46049</v>
      </c>
      <c r="C336" s="227" t="s">
        <v>81</v>
      </c>
      <c r="D336" s="227" t="s">
        <v>95</v>
      </c>
      <c r="E336" s="227" t="s">
        <v>39</v>
      </c>
      <c r="F336" s="227" t="s">
        <v>117</v>
      </c>
      <c r="G336" s="227" t="s">
        <v>84</v>
      </c>
      <c r="H336" s="231">
        <v>1</v>
      </c>
      <c r="I336" s="232">
        <v>0</v>
      </c>
      <c r="J336" s="230">
        <v>46045</v>
      </c>
      <c r="K336" s="227" t="s">
        <v>93</v>
      </c>
      <c r="L336" s="227" t="s">
        <v>94</v>
      </c>
      <c r="M336" s="233">
        <v>0</v>
      </c>
      <c r="N336" s="231"/>
      <c r="O336" s="231"/>
      <c r="P336" s="234">
        <v>-8.5</v>
      </c>
    </row>
    <row r="337" spans="1:16" ht="19.5" customHeight="1">
      <c r="A337" s="227" t="s">
        <v>1161</v>
      </c>
      <c r="B337" s="230">
        <v>46049</v>
      </c>
      <c r="C337" s="227" t="s">
        <v>81</v>
      </c>
      <c r="D337" s="227" t="s">
        <v>82</v>
      </c>
      <c r="E337" s="227" t="s">
        <v>53</v>
      </c>
      <c r="F337" s="227" t="s">
        <v>120</v>
      </c>
      <c r="G337" s="227" t="s">
        <v>84</v>
      </c>
      <c r="H337" s="231">
        <v>1</v>
      </c>
      <c r="I337" s="232">
        <v>0</v>
      </c>
      <c r="J337" s="230">
        <v>46049</v>
      </c>
      <c r="K337" s="227" t="s">
        <v>85</v>
      </c>
      <c r="L337" s="227" t="s">
        <v>85</v>
      </c>
      <c r="M337" s="233">
        <v>0</v>
      </c>
      <c r="N337" s="231"/>
      <c r="O337" s="231"/>
      <c r="P337" s="234">
        <v>-4.63</v>
      </c>
    </row>
    <row r="338" spans="1:16" ht="19.5" customHeight="1">
      <c r="A338" s="227" t="s">
        <v>1162</v>
      </c>
      <c r="B338" s="230">
        <v>46049</v>
      </c>
      <c r="C338" s="227" t="s">
        <v>81</v>
      </c>
      <c r="D338" s="227" t="s">
        <v>82</v>
      </c>
      <c r="E338" s="227" t="s">
        <v>42</v>
      </c>
      <c r="F338" s="227" t="s">
        <v>89</v>
      </c>
      <c r="G338" s="227" t="s">
        <v>84</v>
      </c>
      <c r="H338" s="231">
        <v>1</v>
      </c>
      <c r="I338" s="232">
        <v>0</v>
      </c>
      <c r="J338" s="230">
        <v>46049</v>
      </c>
      <c r="K338" s="227" t="s">
        <v>85</v>
      </c>
      <c r="L338" s="227" t="s">
        <v>85</v>
      </c>
      <c r="M338" s="233">
        <v>0</v>
      </c>
      <c r="N338" s="231"/>
      <c r="O338" s="231"/>
      <c r="P338" s="234">
        <v>-11.58</v>
      </c>
    </row>
    <row r="339" spans="1:16" ht="19.5" customHeight="1">
      <c r="A339" s="227" t="s">
        <v>1163</v>
      </c>
      <c r="B339" s="230">
        <v>46049</v>
      </c>
      <c r="C339" s="227" t="s">
        <v>81</v>
      </c>
      <c r="D339" s="227" t="s">
        <v>82</v>
      </c>
      <c r="E339" s="227" t="s">
        <v>52</v>
      </c>
      <c r="F339" s="227" t="s">
        <v>90</v>
      </c>
      <c r="G339" s="227" t="s">
        <v>84</v>
      </c>
      <c r="H339" s="231">
        <v>1</v>
      </c>
      <c r="I339" s="232">
        <v>0</v>
      </c>
      <c r="J339" s="230">
        <v>46049</v>
      </c>
      <c r="K339" s="227" t="s">
        <v>85</v>
      </c>
      <c r="L339" s="227" t="s">
        <v>85</v>
      </c>
      <c r="M339" s="233">
        <v>0</v>
      </c>
      <c r="N339" s="231"/>
      <c r="O339" s="231"/>
      <c r="P339" s="234">
        <v>-5.05</v>
      </c>
    </row>
    <row r="340" spans="1:16" ht="19.5" customHeight="1">
      <c r="A340" s="227" t="s">
        <v>141</v>
      </c>
      <c r="B340" s="230">
        <v>46049</v>
      </c>
      <c r="C340" s="227" t="s">
        <v>109</v>
      </c>
      <c r="D340" s="227" t="s">
        <v>139</v>
      </c>
      <c r="E340" s="227" t="s">
        <v>85</v>
      </c>
      <c r="F340" s="227" t="s">
        <v>85</v>
      </c>
      <c r="G340" s="227" t="s">
        <v>85</v>
      </c>
      <c r="H340" s="231">
        <v>0</v>
      </c>
      <c r="I340" s="232">
        <v>0</v>
      </c>
      <c r="J340" s="230">
        <v>46049</v>
      </c>
      <c r="K340" s="227" t="s">
        <v>85</v>
      </c>
      <c r="L340" s="227" t="s">
        <v>85</v>
      </c>
      <c r="M340" s="233">
        <v>0</v>
      </c>
      <c r="N340" s="231"/>
      <c r="O340" s="231"/>
      <c r="P340" s="234">
        <v>-423.42</v>
      </c>
    </row>
    <row r="341" spans="1:16" ht="19.5" customHeight="1">
      <c r="A341" s="227" t="s">
        <v>145</v>
      </c>
      <c r="B341" s="230">
        <v>46049</v>
      </c>
      <c r="C341" s="227" t="s">
        <v>109</v>
      </c>
      <c r="D341" s="227" t="s">
        <v>139</v>
      </c>
      <c r="E341" s="227" t="s">
        <v>85</v>
      </c>
      <c r="F341" s="227" t="s">
        <v>85</v>
      </c>
      <c r="G341" s="227" t="s">
        <v>85</v>
      </c>
      <c r="H341" s="231">
        <v>0</v>
      </c>
      <c r="I341" s="232">
        <v>0</v>
      </c>
      <c r="J341" s="230">
        <v>46049</v>
      </c>
      <c r="K341" s="227" t="s">
        <v>85</v>
      </c>
      <c r="L341" s="227" t="s">
        <v>85</v>
      </c>
      <c r="M341" s="233">
        <v>0</v>
      </c>
      <c r="N341" s="231"/>
      <c r="O341" s="231"/>
      <c r="P341" s="234">
        <v>-1200.68</v>
      </c>
    </row>
    <row r="342" spans="1:16" ht="19.5" customHeight="1">
      <c r="A342" s="227" t="s">
        <v>138</v>
      </c>
      <c r="B342" s="230">
        <v>46049</v>
      </c>
      <c r="C342" s="227" t="s">
        <v>109</v>
      </c>
      <c r="D342" s="227" t="s">
        <v>139</v>
      </c>
      <c r="E342" s="227" t="s">
        <v>85</v>
      </c>
      <c r="F342" s="227" t="s">
        <v>85</v>
      </c>
      <c r="G342" s="227" t="s">
        <v>85</v>
      </c>
      <c r="H342" s="231">
        <v>0</v>
      </c>
      <c r="I342" s="232">
        <v>0</v>
      </c>
      <c r="J342" s="230">
        <v>46049</v>
      </c>
      <c r="K342" s="227" t="s">
        <v>85</v>
      </c>
      <c r="L342" s="227" t="s">
        <v>85</v>
      </c>
      <c r="M342" s="233">
        <v>0</v>
      </c>
      <c r="N342" s="231"/>
      <c r="O342" s="231"/>
      <c r="P342" s="234">
        <v>-1112.96</v>
      </c>
    </row>
    <row r="343" spans="1:16" ht="19.5" customHeight="1">
      <c r="A343" s="227" t="s">
        <v>144</v>
      </c>
      <c r="B343" s="230">
        <v>46049</v>
      </c>
      <c r="C343" s="227" t="s">
        <v>109</v>
      </c>
      <c r="D343" s="227" t="s">
        <v>139</v>
      </c>
      <c r="E343" s="227" t="s">
        <v>85</v>
      </c>
      <c r="F343" s="227" t="s">
        <v>85</v>
      </c>
      <c r="G343" s="227" t="s">
        <v>85</v>
      </c>
      <c r="H343" s="231">
        <v>0</v>
      </c>
      <c r="I343" s="232">
        <v>0</v>
      </c>
      <c r="J343" s="230">
        <v>46049</v>
      </c>
      <c r="K343" s="227" t="s">
        <v>85</v>
      </c>
      <c r="L343" s="227" t="s">
        <v>85</v>
      </c>
      <c r="M343" s="233">
        <v>0</v>
      </c>
      <c r="N343" s="231"/>
      <c r="O343" s="231"/>
      <c r="P343" s="234">
        <v>-1092.71</v>
      </c>
    </row>
    <row r="344" spans="1:16" ht="19.5" customHeight="1">
      <c r="A344" s="227" t="s">
        <v>142</v>
      </c>
      <c r="B344" s="230">
        <v>46049</v>
      </c>
      <c r="C344" s="227" t="s">
        <v>109</v>
      </c>
      <c r="D344" s="227" t="s">
        <v>143</v>
      </c>
      <c r="E344" s="227" t="s">
        <v>85</v>
      </c>
      <c r="F344" s="227" t="s">
        <v>85</v>
      </c>
      <c r="G344" s="227" t="s">
        <v>85</v>
      </c>
      <c r="H344" s="231">
        <v>0</v>
      </c>
      <c r="I344" s="232">
        <v>0</v>
      </c>
      <c r="J344" s="230">
        <v>46049</v>
      </c>
      <c r="K344" s="227" t="s">
        <v>85</v>
      </c>
      <c r="L344" s="227" t="s">
        <v>85</v>
      </c>
      <c r="M344" s="233">
        <v>0</v>
      </c>
      <c r="N344" s="231"/>
      <c r="O344" s="231"/>
      <c r="P344" s="234">
        <v>-2915.8</v>
      </c>
    </row>
    <row r="345" spans="1:16" ht="19.5" customHeight="1">
      <c r="A345" s="227" t="s">
        <v>1164</v>
      </c>
      <c r="B345" s="230">
        <v>46050</v>
      </c>
      <c r="C345" s="227" t="s">
        <v>92</v>
      </c>
      <c r="D345" s="227" t="s">
        <v>24</v>
      </c>
      <c r="E345" s="227" t="s">
        <v>41</v>
      </c>
      <c r="F345" s="227" t="s">
        <v>83</v>
      </c>
      <c r="G345" s="227" t="s">
        <v>84</v>
      </c>
      <c r="H345" s="231">
        <v>1</v>
      </c>
      <c r="I345" s="232">
        <v>0</v>
      </c>
      <c r="J345" s="230">
        <v>46041</v>
      </c>
      <c r="K345" s="227" t="s">
        <v>93</v>
      </c>
      <c r="L345" s="227" t="s">
        <v>94</v>
      </c>
      <c r="M345" s="233">
        <v>0</v>
      </c>
      <c r="N345" s="231"/>
      <c r="O345" s="231">
        <v>44</v>
      </c>
      <c r="P345" s="234">
        <v>-46</v>
      </c>
    </row>
    <row r="346" spans="1:16" ht="19.5" customHeight="1">
      <c r="A346" s="227" t="s">
        <v>1164</v>
      </c>
      <c r="B346" s="230">
        <v>46050</v>
      </c>
      <c r="C346" s="227" t="s">
        <v>81</v>
      </c>
      <c r="D346" s="227" t="s">
        <v>95</v>
      </c>
      <c r="E346" s="227" t="s">
        <v>41</v>
      </c>
      <c r="F346" s="227" t="s">
        <v>83</v>
      </c>
      <c r="G346" s="227" t="s">
        <v>84</v>
      </c>
      <c r="H346" s="231">
        <v>1</v>
      </c>
      <c r="I346" s="232">
        <v>0</v>
      </c>
      <c r="J346" s="230">
        <v>46041</v>
      </c>
      <c r="K346" s="227" t="s">
        <v>93</v>
      </c>
      <c r="L346" s="227" t="s">
        <v>94</v>
      </c>
      <c r="M346" s="233">
        <v>0</v>
      </c>
      <c r="N346" s="231"/>
      <c r="O346" s="231"/>
      <c r="P346" s="234">
        <v>-14.75</v>
      </c>
    </row>
    <row r="347" spans="1:16" ht="19.5" customHeight="1">
      <c r="A347" s="227" t="s">
        <v>1164</v>
      </c>
      <c r="B347" s="230">
        <v>46050</v>
      </c>
      <c r="C347" s="227" t="s">
        <v>92</v>
      </c>
      <c r="D347" s="227" t="s">
        <v>96</v>
      </c>
      <c r="E347" s="227" t="s">
        <v>41</v>
      </c>
      <c r="F347" s="227" t="s">
        <v>83</v>
      </c>
      <c r="G347" s="227" t="s">
        <v>84</v>
      </c>
      <c r="H347" s="231">
        <v>1</v>
      </c>
      <c r="I347" s="232">
        <v>0</v>
      </c>
      <c r="J347" s="230">
        <v>46041</v>
      </c>
      <c r="K347" s="227" t="s">
        <v>93</v>
      </c>
      <c r="L347" s="227" t="s">
        <v>94</v>
      </c>
      <c r="M347" s="233">
        <v>0</v>
      </c>
      <c r="N347" s="231"/>
      <c r="O347" s="231"/>
      <c r="P347" s="234">
        <v>0</v>
      </c>
    </row>
    <row r="348" spans="1:16" ht="19.5" customHeight="1">
      <c r="A348" s="227" t="s">
        <v>1164</v>
      </c>
      <c r="B348" s="230">
        <v>46050</v>
      </c>
      <c r="C348" s="227" t="s">
        <v>92</v>
      </c>
      <c r="D348" s="227" t="s">
        <v>97</v>
      </c>
      <c r="E348" s="227" t="s">
        <v>41</v>
      </c>
      <c r="F348" s="227" t="s">
        <v>83</v>
      </c>
      <c r="G348" s="227" t="s">
        <v>84</v>
      </c>
      <c r="H348" s="231">
        <v>1</v>
      </c>
      <c r="I348" s="232">
        <v>0</v>
      </c>
      <c r="J348" s="230">
        <v>46041</v>
      </c>
      <c r="K348" s="227" t="s">
        <v>93</v>
      </c>
      <c r="L348" s="227" t="s">
        <v>94</v>
      </c>
      <c r="M348" s="233">
        <v>0</v>
      </c>
      <c r="N348" s="231"/>
      <c r="O348" s="231"/>
      <c r="P348" s="234">
        <v>-46</v>
      </c>
    </row>
    <row r="349" spans="1:16" ht="19.5" customHeight="1">
      <c r="A349" s="227" t="s">
        <v>1164</v>
      </c>
      <c r="B349" s="230">
        <v>46050</v>
      </c>
      <c r="C349" s="227" t="s">
        <v>81</v>
      </c>
      <c r="D349" s="227" t="s">
        <v>98</v>
      </c>
      <c r="E349" s="227" t="s">
        <v>41</v>
      </c>
      <c r="F349" s="227" t="s">
        <v>83</v>
      </c>
      <c r="G349" s="227" t="s">
        <v>84</v>
      </c>
      <c r="H349" s="231">
        <v>1</v>
      </c>
      <c r="I349" s="232">
        <v>0</v>
      </c>
      <c r="J349" s="230">
        <v>46041</v>
      </c>
      <c r="K349" s="227" t="s">
        <v>93</v>
      </c>
      <c r="L349" s="227" t="s">
        <v>94</v>
      </c>
      <c r="M349" s="233">
        <v>0</v>
      </c>
      <c r="N349" s="231"/>
      <c r="O349" s="231"/>
      <c r="P349" s="234">
        <v>-15</v>
      </c>
    </row>
    <row r="350" spans="1:16" ht="19.5" customHeight="1">
      <c r="A350" s="227" t="s">
        <v>1165</v>
      </c>
      <c r="B350" s="230">
        <v>46050</v>
      </c>
      <c r="C350" s="227" t="s">
        <v>92</v>
      </c>
      <c r="D350" s="227" t="s">
        <v>24</v>
      </c>
      <c r="E350" s="227" t="s">
        <v>53</v>
      </c>
      <c r="F350" s="227" t="s">
        <v>120</v>
      </c>
      <c r="G350" s="227" t="s">
        <v>84</v>
      </c>
      <c r="H350" s="231">
        <v>1</v>
      </c>
      <c r="I350" s="232">
        <v>0</v>
      </c>
      <c r="J350" s="230">
        <v>46045</v>
      </c>
      <c r="K350" s="227" t="s">
        <v>93</v>
      </c>
      <c r="L350" s="227" t="s">
        <v>94</v>
      </c>
      <c r="M350" s="233">
        <v>0</v>
      </c>
      <c r="N350" s="231"/>
      <c r="O350" s="231">
        <v>40</v>
      </c>
      <c r="P350" s="234">
        <v>-56</v>
      </c>
    </row>
    <row r="351" spans="1:16" ht="19.5" customHeight="1">
      <c r="A351" s="227" t="s">
        <v>1165</v>
      </c>
      <c r="B351" s="230">
        <v>46050</v>
      </c>
      <c r="C351" s="227" t="s">
        <v>81</v>
      </c>
      <c r="D351" s="227" t="s">
        <v>95</v>
      </c>
      <c r="E351" s="227" t="s">
        <v>53</v>
      </c>
      <c r="F351" s="227" t="s">
        <v>120</v>
      </c>
      <c r="G351" s="227" t="s">
        <v>84</v>
      </c>
      <c r="H351" s="231">
        <v>1</v>
      </c>
      <c r="I351" s="232">
        <v>0</v>
      </c>
      <c r="J351" s="230">
        <v>46045</v>
      </c>
      <c r="K351" s="227" t="s">
        <v>93</v>
      </c>
      <c r="L351" s="227" t="s">
        <v>94</v>
      </c>
      <c r="M351" s="233">
        <v>0</v>
      </c>
      <c r="N351" s="231"/>
      <c r="O351" s="231"/>
      <c r="P351" s="234">
        <v>-9.5500000000000007</v>
      </c>
    </row>
    <row r="352" spans="1:16" ht="19.5" customHeight="1">
      <c r="A352" s="227" t="s">
        <v>1165</v>
      </c>
      <c r="B352" s="230">
        <v>46050</v>
      </c>
      <c r="C352" s="227" t="s">
        <v>92</v>
      </c>
      <c r="D352" s="227" t="s">
        <v>96</v>
      </c>
      <c r="E352" s="227" t="s">
        <v>53</v>
      </c>
      <c r="F352" s="227" t="s">
        <v>120</v>
      </c>
      <c r="G352" s="227" t="s">
        <v>84</v>
      </c>
      <c r="H352" s="231">
        <v>1</v>
      </c>
      <c r="I352" s="232">
        <v>0</v>
      </c>
      <c r="J352" s="230">
        <v>46045</v>
      </c>
      <c r="K352" s="227" t="s">
        <v>93</v>
      </c>
      <c r="L352" s="227" t="s">
        <v>94</v>
      </c>
      <c r="M352" s="233">
        <v>0</v>
      </c>
      <c r="N352" s="231"/>
      <c r="O352" s="231"/>
      <c r="P352" s="234">
        <v>0</v>
      </c>
    </row>
    <row r="353" spans="1:16" ht="19.5" customHeight="1">
      <c r="A353" s="227" t="s">
        <v>1165</v>
      </c>
      <c r="B353" s="230">
        <v>46050</v>
      </c>
      <c r="C353" s="227" t="s">
        <v>92</v>
      </c>
      <c r="D353" s="227" t="s">
        <v>97</v>
      </c>
      <c r="E353" s="227" t="s">
        <v>53</v>
      </c>
      <c r="F353" s="227" t="s">
        <v>120</v>
      </c>
      <c r="G353" s="227" t="s">
        <v>84</v>
      </c>
      <c r="H353" s="231">
        <v>1</v>
      </c>
      <c r="I353" s="232">
        <v>0</v>
      </c>
      <c r="J353" s="230">
        <v>46045</v>
      </c>
      <c r="K353" s="227" t="s">
        <v>93</v>
      </c>
      <c r="L353" s="227" t="s">
        <v>94</v>
      </c>
      <c r="M353" s="233">
        <v>0</v>
      </c>
      <c r="N353" s="231"/>
      <c r="O353" s="231"/>
      <c r="P353" s="234">
        <v>-56</v>
      </c>
    </row>
    <row r="354" spans="1:16" ht="19.5" customHeight="1">
      <c r="A354" s="227" t="s">
        <v>1165</v>
      </c>
      <c r="B354" s="230">
        <v>46050</v>
      </c>
      <c r="C354" s="227" t="s">
        <v>81</v>
      </c>
      <c r="D354" s="227" t="s">
        <v>98</v>
      </c>
      <c r="E354" s="227" t="s">
        <v>53</v>
      </c>
      <c r="F354" s="227" t="s">
        <v>120</v>
      </c>
      <c r="G354" s="227" t="s">
        <v>84</v>
      </c>
      <c r="H354" s="231">
        <v>1</v>
      </c>
      <c r="I354" s="232">
        <v>0</v>
      </c>
      <c r="J354" s="230">
        <v>46045</v>
      </c>
      <c r="K354" s="227" t="s">
        <v>93</v>
      </c>
      <c r="L354" s="227" t="s">
        <v>94</v>
      </c>
      <c r="M354" s="233">
        <v>0</v>
      </c>
      <c r="N354" s="231"/>
      <c r="O354" s="231"/>
      <c r="P354" s="234">
        <v>-15</v>
      </c>
    </row>
    <row r="355" spans="1:16" ht="19.5" customHeight="1">
      <c r="A355" s="227" t="s">
        <v>1166</v>
      </c>
      <c r="B355" s="230">
        <v>46050</v>
      </c>
      <c r="C355" s="227" t="s">
        <v>92</v>
      </c>
      <c r="D355" s="227" t="s">
        <v>96</v>
      </c>
      <c r="E355" s="227" t="s">
        <v>52</v>
      </c>
      <c r="F355" s="227" t="s">
        <v>90</v>
      </c>
      <c r="G355" s="227" t="s">
        <v>84</v>
      </c>
      <c r="H355" s="231">
        <v>1</v>
      </c>
      <c r="I355" s="232">
        <v>0</v>
      </c>
      <c r="J355" s="230">
        <v>45995</v>
      </c>
      <c r="K355" s="227" t="s">
        <v>93</v>
      </c>
      <c r="L355" s="227" t="s">
        <v>94</v>
      </c>
      <c r="M355" s="233">
        <v>0</v>
      </c>
      <c r="N355" s="231"/>
      <c r="O355" s="231"/>
      <c r="P355" s="234">
        <v>0</v>
      </c>
    </row>
    <row r="356" spans="1:16" ht="19.5" customHeight="1">
      <c r="A356" s="227" t="s">
        <v>1166</v>
      </c>
      <c r="B356" s="230">
        <v>46050</v>
      </c>
      <c r="C356" s="227" t="s">
        <v>92</v>
      </c>
      <c r="D356" s="227" t="s">
        <v>97</v>
      </c>
      <c r="E356" s="227" t="s">
        <v>52</v>
      </c>
      <c r="F356" s="227" t="s">
        <v>90</v>
      </c>
      <c r="G356" s="227" t="s">
        <v>84</v>
      </c>
      <c r="H356" s="231">
        <v>1</v>
      </c>
      <c r="I356" s="232">
        <v>0</v>
      </c>
      <c r="J356" s="230">
        <v>45995</v>
      </c>
      <c r="K356" s="227" t="s">
        <v>93</v>
      </c>
      <c r="L356" s="227" t="s">
        <v>94</v>
      </c>
      <c r="M356" s="233">
        <v>0</v>
      </c>
      <c r="N356" s="231"/>
      <c r="O356" s="231"/>
      <c r="P356" s="234">
        <v>-56</v>
      </c>
    </row>
    <row r="357" spans="1:16" ht="19.5" customHeight="1">
      <c r="A357" s="227" t="s">
        <v>1166</v>
      </c>
      <c r="B357" s="230">
        <v>46050</v>
      </c>
      <c r="C357" s="227" t="s">
        <v>92</v>
      </c>
      <c r="D357" s="227" t="s">
        <v>24</v>
      </c>
      <c r="E357" s="227" t="s">
        <v>52</v>
      </c>
      <c r="F357" s="227" t="s">
        <v>90</v>
      </c>
      <c r="G357" s="227" t="s">
        <v>84</v>
      </c>
      <c r="H357" s="231">
        <v>1</v>
      </c>
      <c r="I357" s="232">
        <v>0</v>
      </c>
      <c r="J357" s="230">
        <v>45995</v>
      </c>
      <c r="K357" s="227" t="s">
        <v>93</v>
      </c>
      <c r="L357" s="227" t="s">
        <v>94</v>
      </c>
      <c r="M357" s="233">
        <v>0</v>
      </c>
      <c r="N357" s="231"/>
      <c r="O357" s="231"/>
      <c r="P357" s="234">
        <v>-56</v>
      </c>
    </row>
    <row r="358" spans="1:16" ht="19.5" customHeight="1">
      <c r="A358" s="227" t="s">
        <v>1167</v>
      </c>
      <c r="B358" s="230">
        <v>46050</v>
      </c>
      <c r="C358" s="227" t="s">
        <v>81</v>
      </c>
      <c r="D358" s="227" t="s">
        <v>82</v>
      </c>
      <c r="E358" s="227" t="s">
        <v>53</v>
      </c>
      <c r="F358" s="227" t="s">
        <v>120</v>
      </c>
      <c r="G358" s="227" t="s">
        <v>84</v>
      </c>
      <c r="H358" s="231">
        <v>1</v>
      </c>
      <c r="I358" s="232">
        <v>0</v>
      </c>
      <c r="J358" s="230">
        <v>46050</v>
      </c>
      <c r="K358" s="227" t="s">
        <v>85</v>
      </c>
      <c r="L358" s="227" t="s">
        <v>85</v>
      </c>
      <c r="M358" s="233">
        <v>0</v>
      </c>
      <c r="N358" s="231"/>
      <c r="O358" s="231"/>
      <c r="P358" s="234">
        <v>-12</v>
      </c>
    </row>
    <row r="359" spans="1:16" ht="19.5" customHeight="1">
      <c r="A359" s="227" t="s">
        <v>1168</v>
      </c>
      <c r="B359" s="230">
        <v>46050</v>
      </c>
      <c r="C359" s="227" t="s">
        <v>81</v>
      </c>
      <c r="D359" s="227" t="s">
        <v>82</v>
      </c>
      <c r="E359" s="227" t="s">
        <v>53</v>
      </c>
      <c r="F359" s="227" t="s">
        <v>120</v>
      </c>
      <c r="G359" s="227" t="s">
        <v>84</v>
      </c>
      <c r="H359" s="231">
        <v>1</v>
      </c>
      <c r="I359" s="232">
        <v>0</v>
      </c>
      <c r="J359" s="230">
        <v>46050</v>
      </c>
      <c r="K359" s="227" t="s">
        <v>85</v>
      </c>
      <c r="L359" s="227" t="s">
        <v>85</v>
      </c>
      <c r="M359" s="233">
        <v>0</v>
      </c>
      <c r="N359" s="231"/>
      <c r="O359" s="231"/>
      <c r="P359" s="234">
        <v>-12</v>
      </c>
    </row>
    <row r="360" spans="1:16" ht="19.5" customHeight="1">
      <c r="A360" s="227" t="s">
        <v>85</v>
      </c>
      <c r="B360" s="230">
        <v>46050</v>
      </c>
      <c r="C360" s="227" t="s">
        <v>109</v>
      </c>
      <c r="D360" s="227" t="s">
        <v>110</v>
      </c>
      <c r="E360" s="227" t="s">
        <v>85</v>
      </c>
      <c r="F360" s="227" t="s">
        <v>85</v>
      </c>
      <c r="G360" s="227" t="s">
        <v>1169</v>
      </c>
      <c r="H360" s="231">
        <v>0</v>
      </c>
      <c r="I360" s="232">
        <v>0</v>
      </c>
      <c r="J360" s="230">
        <v>46050</v>
      </c>
      <c r="K360" s="227" t="s">
        <v>85</v>
      </c>
      <c r="L360" s="227" t="s">
        <v>85</v>
      </c>
      <c r="M360" s="233">
        <v>0</v>
      </c>
      <c r="N360" s="231"/>
      <c r="O360" s="231"/>
      <c r="P360" s="234">
        <v>-150</v>
      </c>
    </row>
    <row r="361" spans="1:16" ht="19.5" customHeight="1">
      <c r="A361" s="227" t="s">
        <v>1170</v>
      </c>
      <c r="B361" s="230">
        <v>46050</v>
      </c>
      <c r="C361" s="227" t="s">
        <v>81</v>
      </c>
      <c r="D361" s="227" t="s">
        <v>82</v>
      </c>
      <c r="E361" s="227" t="s">
        <v>52</v>
      </c>
      <c r="F361" s="227" t="s">
        <v>90</v>
      </c>
      <c r="G361" s="227" t="s">
        <v>84</v>
      </c>
      <c r="H361" s="231">
        <v>1</v>
      </c>
      <c r="I361" s="232">
        <v>0</v>
      </c>
      <c r="J361" s="230">
        <v>46050</v>
      </c>
      <c r="K361" s="227" t="s">
        <v>85</v>
      </c>
      <c r="L361" s="227" t="s">
        <v>85</v>
      </c>
      <c r="M361" s="233">
        <v>0</v>
      </c>
      <c r="N361" s="231"/>
      <c r="O361" s="231"/>
      <c r="P361" s="234">
        <v>-4.75</v>
      </c>
    </row>
    <row r="362" spans="1:16" ht="19.5" customHeight="1">
      <c r="A362" s="227" t="s">
        <v>1171</v>
      </c>
      <c r="B362" s="230">
        <v>46050</v>
      </c>
      <c r="C362" s="227" t="s">
        <v>81</v>
      </c>
      <c r="D362" s="227" t="s">
        <v>82</v>
      </c>
      <c r="E362" s="227" t="s">
        <v>53</v>
      </c>
      <c r="F362" s="227" t="s">
        <v>120</v>
      </c>
      <c r="G362" s="227" t="s">
        <v>84</v>
      </c>
      <c r="H362" s="231">
        <v>1</v>
      </c>
      <c r="I362" s="232">
        <v>0</v>
      </c>
      <c r="J362" s="230">
        <v>46050</v>
      </c>
      <c r="K362" s="227" t="s">
        <v>85</v>
      </c>
      <c r="L362" s="227" t="s">
        <v>85</v>
      </c>
      <c r="M362" s="233">
        <v>0</v>
      </c>
      <c r="N362" s="231"/>
      <c r="O362" s="231"/>
      <c r="P362" s="234">
        <v>-12</v>
      </c>
    </row>
    <row r="363" spans="1:16" ht="19.5" customHeight="1">
      <c r="A363" s="227" t="s">
        <v>1171</v>
      </c>
      <c r="B363" s="230">
        <v>46050</v>
      </c>
      <c r="C363" s="227" t="s">
        <v>81</v>
      </c>
      <c r="D363" s="227" t="s">
        <v>82</v>
      </c>
      <c r="E363" s="227" t="s">
        <v>53</v>
      </c>
      <c r="F363" s="227" t="s">
        <v>120</v>
      </c>
      <c r="G363" s="227" t="s">
        <v>84</v>
      </c>
      <c r="H363" s="231">
        <v>1</v>
      </c>
      <c r="I363" s="232">
        <v>0</v>
      </c>
      <c r="J363" s="230">
        <v>46050</v>
      </c>
      <c r="K363" s="227" t="s">
        <v>85</v>
      </c>
      <c r="L363" s="227" t="s">
        <v>85</v>
      </c>
      <c r="M363" s="233">
        <v>0</v>
      </c>
      <c r="N363" s="231"/>
      <c r="O363" s="231"/>
      <c r="P363" s="234">
        <v>12</v>
      </c>
    </row>
    <row r="364" spans="1:16" ht="19.5" customHeight="1">
      <c r="A364" s="227" t="s">
        <v>1172</v>
      </c>
      <c r="B364" s="230">
        <v>46050</v>
      </c>
      <c r="C364" s="227" t="s">
        <v>92</v>
      </c>
      <c r="D364" s="227" t="s">
        <v>24</v>
      </c>
      <c r="E364" s="227" t="s">
        <v>52</v>
      </c>
      <c r="F364" s="227" t="s">
        <v>90</v>
      </c>
      <c r="G364" s="227" t="s">
        <v>84</v>
      </c>
      <c r="H364" s="231">
        <v>1</v>
      </c>
      <c r="I364" s="232">
        <v>1800</v>
      </c>
      <c r="J364" s="230">
        <v>46048</v>
      </c>
      <c r="K364" s="227" t="s">
        <v>93</v>
      </c>
      <c r="L364" s="227" t="s">
        <v>94</v>
      </c>
      <c r="M364" s="233">
        <v>0.43</v>
      </c>
      <c r="N364" s="231"/>
      <c r="O364" s="231">
        <v>44</v>
      </c>
      <c r="P364" s="234">
        <v>-147.97999999999999</v>
      </c>
    </row>
    <row r="365" spans="1:16" ht="19.5" customHeight="1">
      <c r="A365" s="227" t="s">
        <v>1172</v>
      </c>
      <c r="B365" s="230">
        <v>46050</v>
      </c>
      <c r="C365" s="227" t="s">
        <v>100</v>
      </c>
      <c r="D365" s="227" t="s">
        <v>101</v>
      </c>
      <c r="E365" s="227" t="s">
        <v>52</v>
      </c>
      <c r="F365" s="227" t="s">
        <v>90</v>
      </c>
      <c r="G365" s="227" t="s">
        <v>84</v>
      </c>
      <c r="H365" s="231">
        <v>1</v>
      </c>
      <c r="I365" s="232">
        <v>1800</v>
      </c>
      <c r="J365" s="230">
        <v>46048</v>
      </c>
      <c r="K365" s="227" t="s">
        <v>93</v>
      </c>
      <c r="L365" s="227" t="s">
        <v>94</v>
      </c>
      <c r="M365" s="233">
        <v>0</v>
      </c>
      <c r="N365" s="231"/>
      <c r="O365" s="231"/>
      <c r="P365" s="234">
        <v>742.86</v>
      </c>
    </row>
    <row r="366" spans="1:16" ht="19.5" customHeight="1">
      <c r="A366" s="227" t="s">
        <v>1172</v>
      </c>
      <c r="B366" s="230">
        <v>46050</v>
      </c>
      <c r="C366" s="227" t="s">
        <v>100</v>
      </c>
      <c r="D366" s="227" t="s">
        <v>102</v>
      </c>
      <c r="E366" s="227" t="s">
        <v>52</v>
      </c>
      <c r="F366" s="227" t="s">
        <v>90</v>
      </c>
      <c r="G366" s="227" t="s">
        <v>84</v>
      </c>
      <c r="H366" s="231">
        <v>1</v>
      </c>
      <c r="I366" s="232">
        <v>1800</v>
      </c>
      <c r="J366" s="230">
        <v>46048</v>
      </c>
      <c r="K366" s="227" t="s">
        <v>93</v>
      </c>
      <c r="L366" s="227" t="s">
        <v>94</v>
      </c>
      <c r="M366" s="233">
        <v>0</v>
      </c>
      <c r="N366" s="231"/>
      <c r="O366" s="231"/>
      <c r="P366" s="234">
        <v>0</v>
      </c>
    </row>
    <row r="367" spans="1:16" ht="19.5" customHeight="1">
      <c r="A367" s="227" t="s">
        <v>1172</v>
      </c>
      <c r="B367" s="230">
        <v>46050</v>
      </c>
      <c r="C367" s="227" t="s">
        <v>100</v>
      </c>
      <c r="D367" s="227" t="s">
        <v>103</v>
      </c>
      <c r="E367" s="227" t="s">
        <v>52</v>
      </c>
      <c r="F367" s="227" t="s">
        <v>90</v>
      </c>
      <c r="G367" s="227" t="s">
        <v>84</v>
      </c>
      <c r="H367" s="231">
        <v>1</v>
      </c>
      <c r="I367" s="232">
        <v>1800</v>
      </c>
      <c r="J367" s="230">
        <v>46048</v>
      </c>
      <c r="K367" s="227" t="s">
        <v>93</v>
      </c>
      <c r="L367" s="227" t="s">
        <v>94</v>
      </c>
      <c r="M367" s="233">
        <v>0</v>
      </c>
      <c r="N367" s="231"/>
      <c r="O367" s="231"/>
      <c r="P367" s="234">
        <v>1057.1400000000001</v>
      </c>
    </row>
    <row r="368" spans="1:16" ht="19.5" customHeight="1">
      <c r="A368" s="227" t="s">
        <v>1172</v>
      </c>
      <c r="B368" s="230">
        <v>46050</v>
      </c>
      <c r="C368" s="227" t="s">
        <v>104</v>
      </c>
      <c r="D368" s="227" t="s">
        <v>105</v>
      </c>
      <c r="E368" s="227" t="s">
        <v>52</v>
      </c>
      <c r="F368" s="227" t="s">
        <v>90</v>
      </c>
      <c r="G368" s="227" t="s">
        <v>84</v>
      </c>
      <c r="H368" s="231">
        <v>1</v>
      </c>
      <c r="I368" s="232">
        <v>1800</v>
      </c>
      <c r="J368" s="230">
        <v>46048</v>
      </c>
      <c r="K368" s="227" t="s">
        <v>93</v>
      </c>
      <c r="L368" s="227" t="s">
        <v>94</v>
      </c>
      <c r="M368" s="233">
        <v>0.43</v>
      </c>
      <c r="N368" s="231"/>
      <c r="O368" s="231"/>
      <c r="P368" s="234">
        <v>-774</v>
      </c>
    </row>
    <row r="369" spans="1:16" ht="19.5" customHeight="1">
      <c r="A369" s="227" t="s">
        <v>1172</v>
      </c>
      <c r="B369" s="230">
        <v>46050</v>
      </c>
      <c r="C369" s="227" t="s">
        <v>81</v>
      </c>
      <c r="D369" s="227" t="s">
        <v>95</v>
      </c>
      <c r="E369" s="227" t="s">
        <v>52</v>
      </c>
      <c r="F369" s="227" t="s">
        <v>90</v>
      </c>
      <c r="G369" s="227" t="s">
        <v>84</v>
      </c>
      <c r="H369" s="231">
        <v>1</v>
      </c>
      <c r="I369" s="232">
        <v>1800</v>
      </c>
      <c r="J369" s="230">
        <v>46048</v>
      </c>
      <c r="K369" s="227" t="s">
        <v>93</v>
      </c>
      <c r="L369" s="227" t="s">
        <v>94</v>
      </c>
      <c r="M369" s="233">
        <v>0.43</v>
      </c>
      <c r="N369" s="231"/>
      <c r="O369" s="231"/>
      <c r="P369" s="234">
        <v>-12.36</v>
      </c>
    </row>
    <row r="370" spans="1:16" ht="19.5" customHeight="1">
      <c r="A370" s="227" t="s">
        <v>1173</v>
      </c>
      <c r="B370" s="230">
        <v>46050</v>
      </c>
      <c r="C370" s="227" t="s">
        <v>92</v>
      </c>
      <c r="D370" s="227" t="s">
        <v>24</v>
      </c>
      <c r="E370" s="227" t="s">
        <v>43</v>
      </c>
      <c r="F370" s="227" t="s">
        <v>125</v>
      </c>
      <c r="G370" s="227" t="s">
        <v>84</v>
      </c>
      <c r="H370" s="231">
        <v>1</v>
      </c>
      <c r="I370" s="232">
        <v>1750</v>
      </c>
      <c r="J370" s="230">
        <v>46048</v>
      </c>
      <c r="K370" s="227" t="s">
        <v>93</v>
      </c>
      <c r="L370" s="227" t="s">
        <v>94</v>
      </c>
      <c r="M370" s="233">
        <v>0.43</v>
      </c>
      <c r="N370" s="231"/>
      <c r="O370" s="231">
        <v>44</v>
      </c>
      <c r="P370" s="234">
        <v>-131.37</v>
      </c>
    </row>
    <row r="371" spans="1:16" ht="19.5" customHeight="1">
      <c r="A371" s="227" t="s">
        <v>1173</v>
      </c>
      <c r="B371" s="230">
        <v>46050</v>
      </c>
      <c r="C371" s="227" t="s">
        <v>100</v>
      </c>
      <c r="D371" s="227" t="s">
        <v>101</v>
      </c>
      <c r="E371" s="227" t="s">
        <v>43</v>
      </c>
      <c r="F371" s="227" t="s">
        <v>125</v>
      </c>
      <c r="G371" s="227" t="s">
        <v>84</v>
      </c>
      <c r="H371" s="231">
        <v>1</v>
      </c>
      <c r="I371" s="232">
        <v>1750</v>
      </c>
      <c r="J371" s="230">
        <v>46048</v>
      </c>
      <c r="K371" s="227" t="s">
        <v>93</v>
      </c>
      <c r="L371" s="227" t="s">
        <v>94</v>
      </c>
      <c r="M371" s="233">
        <v>0</v>
      </c>
      <c r="N371" s="231"/>
      <c r="O371" s="231"/>
      <c r="P371" s="234">
        <v>666.67</v>
      </c>
    </row>
    <row r="372" spans="1:16" ht="19.5" customHeight="1">
      <c r="A372" s="227" t="s">
        <v>1173</v>
      </c>
      <c r="B372" s="230">
        <v>46050</v>
      </c>
      <c r="C372" s="227" t="s">
        <v>100</v>
      </c>
      <c r="D372" s="227" t="s">
        <v>102</v>
      </c>
      <c r="E372" s="227" t="s">
        <v>43</v>
      </c>
      <c r="F372" s="227" t="s">
        <v>125</v>
      </c>
      <c r="G372" s="227" t="s">
        <v>84</v>
      </c>
      <c r="H372" s="231">
        <v>1</v>
      </c>
      <c r="I372" s="232">
        <v>1750</v>
      </c>
      <c r="J372" s="230">
        <v>46048</v>
      </c>
      <c r="K372" s="227" t="s">
        <v>93</v>
      </c>
      <c r="L372" s="227" t="s">
        <v>94</v>
      </c>
      <c r="M372" s="233">
        <v>0</v>
      </c>
      <c r="N372" s="231"/>
      <c r="O372" s="231"/>
      <c r="P372" s="234">
        <v>0</v>
      </c>
    </row>
    <row r="373" spans="1:16" ht="19.5" customHeight="1">
      <c r="A373" s="227" t="s">
        <v>1173</v>
      </c>
      <c r="B373" s="230">
        <v>46050</v>
      </c>
      <c r="C373" s="227" t="s">
        <v>100</v>
      </c>
      <c r="D373" s="227" t="s">
        <v>103</v>
      </c>
      <c r="E373" s="227" t="s">
        <v>43</v>
      </c>
      <c r="F373" s="227" t="s">
        <v>125</v>
      </c>
      <c r="G373" s="227" t="s">
        <v>84</v>
      </c>
      <c r="H373" s="231">
        <v>1</v>
      </c>
      <c r="I373" s="232">
        <v>1750</v>
      </c>
      <c r="J373" s="230">
        <v>46048</v>
      </c>
      <c r="K373" s="227" t="s">
        <v>93</v>
      </c>
      <c r="L373" s="227" t="s">
        <v>94</v>
      </c>
      <c r="M373" s="233">
        <v>0</v>
      </c>
      <c r="N373" s="231"/>
      <c r="O373" s="231"/>
      <c r="P373" s="234">
        <v>1083.33</v>
      </c>
    </row>
    <row r="374" spans="1:16" ht="19.5" customHeight="1">
      <c r="A374" s="227" t="s">
        <v>1173</v>
      </c>
      <c r="B374" s="230">
        <v>46050</v>
      </c>
      <c r="C374" s="227" t="s">
        <v>104</v>
      </c>
      <c r="D374" s="227" t="s">
        <v>105</v>
      </c>
      <c r="E374" s="227" t="s">
        <v>43</v>
      </c>
      <c r="F374" s="227" t="s">
        <v>125</v>
      </c>
      <c r="G374" s="227" t="s">
        <v>84</v>
      </c>
      <c r="H374" s="231">
        <v>1</v>
      </c>
      <c r="I374" s="232">
        <v>1750</v>
      </c>
      <c r="J374" s="230">
        <v>46048</v>
      </c>
      <c r="K374" s="227" t="s">
        <v>93</v>
      </c>
      <c r="L374" s="227" t="s">
        <v>94</v>
      </c>
      <c r="M374" s="233">
        <v>0.43</v>
      </c>
      <c r="N374" s="231"/>
      <c r="O374" s="231"/>
      <c r="P374" s="234">
        <v>-752.5</v>
      </c>
    </row>
    <row r="375" spans="1:16" ht="19.5" customHeight="1">
      <c r="A375" s="227" t="s">
        <v>1173</v>
      </c>
      <c r="B375" s="230">
        <v>46050</v>
      </c>
      <c r="C375" s="227" t="s">
        <v>81</v>
      </c>
      <c r="D375" s="227" t="s">
        <v>95</v>
      </c>
      <c r="E375" s="227" t="s">
        <v>43</v>
      </c>
      <c r="F375" s="227" t="s">
        <v>125</v>
      </c>
      <c r="G375" s="227" t="s">
        <v>84</v>
      </c>
      <c r="H375" s="231">
        <v>1</v>
      </c>
      <c r="I375" s="232">
        <v>1750</v>
      </c>
      <c r="J375" s="230">
        <v>46048</v>
      </c>
      <c r="K375" s="227" t="s">
        <v>93</v>
      </c>
      <c r="L375" s="227" t="s">
        <v>94</v>
      </c>
      <c r="M375" s="233">
        <v>0.43</v>
      </c>
      <c r="N375" s="231"/>
      <c r="O375" s="231"/>
      <c r="P375" s="234">
        <v>-17.02</v>
      </c>
    </row>
    <row r="376" spans="1:16" ht="19.5" customHeight="1">
      <c r="A376" s="227" t="s">
        <v>1174</v>
      </c>
      <c r="B376" s="230">
        <v>46050</v>
      </c>
      <c r="C376" s="227" t="s">
        <v>81</v>
      </c>
      <c r="D376" s="227" t="s">
        <v>82</v>
      </c>
      <c r="E376" s="227" t="s">
        <v>52</v>
      </c>
      <c r="F376" s="227" t="s">
        <v>90</v>
      </c>
      <c r="G376" s="227" t="s">
        <v>84</v>
      </c>
      <c r="H376" s="231">
        <v>1</v>
      </c>
      <c r="I376" s="232">
        <v>0</v>
      </c>
      <c r="J376" s="230">
        <v>46050</v>
      </c>
      <c r="K376" s="227" t="s">
        <v>85</v>
      </c>
      <c r="L376" s="227" t="s">
        <v>85</v>
      </c>
      <c r="M376" s="233">
        <v>0</v>
      </c>
      <c r="N376" s="231"/>
      <c r="O376" s="231"/>
      <c r="P376" s="234">
        <v>-11.62</v>
      </c>
    </row>
    <row r="377" spans="1:16" ht="19.5" customHeight="1">
      <c r="A377" s="227" t="s">
        <v>1175</v>
      </c>
      <c r="B377" s="230">
        <v>46050</v>
      </c>
      <c r="C377" s="227" t="s">
        <v>81</v>
      </c>
      <c r="D377" s="227" t="s">
        <v>82</v>
      </c>
      <c r="E377" s="227" t="s">
        <v>53</v>
      </c>
      <c r="F377" s="227" t="s">
        <v>120</v>
      </c>
      <c r="G377" s="227" t="s">
        <v>84</v>
      </c>
      <c r="H377" s="231">
        <v>1</v>
      </c>
      <c r="I377" s="232">
        <v>0</v>
      </c>
      <c r="J377" s="230">
        <v>46050</v>
      </c>
      <c r="K377" s="227" t="s">
        <v>85</v>
      </c>
      <c r="L377" s="227" t="s">
        <v>85</v>
      </c>
      <c r="M377" s="233">
        <v>0</v>
      </c>
      <c r="N377" s="231"/>
      <c r="O377" s="231"/>
      <c r="P377" s="234">
        <v>-6.27</v>
      </c>
    </row>
    <row r="378" spans="1:16" ht="19.5" customHeight="1">
      <c r="A378" s="227" t="s">
        <v>1176</v>
      </c>
      <c r="B378" s="230">
        <v>46050</v>
      </c>
      <c r="C378" s="227" t="s">
        <v>92</v>
      </c>
      <c r="D378" s="227" t="s">
        <v>24</v>
      </c>
      <c r="E378" s="227" t="s">
        <v>53</v>
      </c>
      <c r="F378" s="227" t="s">
        <v>120</v>
      </c>
      <c r="G378" s="227" t="s">
        <v>84</v>
      </c>
      <c r="H378" s="231">
        <v>1</v>
      </c>
      <c r="I378" s="232">
        <v>1812</v>
      </c>
      <c r="J378" s="230">
        <v>46047</v>
      </c>
      <c r="K378" s="227" t="s">
        <v>93</v>
      </c>
      <c r="L378" s="227" t="s">
        <v>94</v>
      </c>
      <c r="M378" s="233">
        <v>0.43</v>
      </c>
      <c r="N378" s="231"/>
      <c r="O378" s="231">
        <v>41</v>
      </c>
      <c r="P378" s="234">
        <v>-135.16</v>
      </c>
    </row>
    <row r="379" spans="1:16" ht="19.5" customHeight="1">
      <c r="A379" s="227" t="s">
        <v>1176</v>
      </c>
      <c r="B379" s="230">
        <v>46050</v>
      </c>
      <c r="C379" s="227" t="s">
        <v>100</v>
      </c>
      <c r="D379" s="227" t="s">
        <v>101</v>
      </c>
      <c r="E379" s="227" t="s">
        <v>53</v>
      </c>
      <c r="F379" s="227" t="s">
        <v>120</v>
      </c>
      <c r="G379" s="227" t="s">
        <v>84</v>
      </c>
      <c r="H379" s="231">
        <v>1</v>
      </c>
      <c r="I379" s="232">
        <v>1812</v>
      </c>
      <c r="J379" s="230">
        <v>46047</v>
      </c>
      <c r="K379" s="227" t="s">
        <v>93</v>
      </c>
      <c r="L379" s="227" t="s">
        <v>94</v>
      </c>
      <c r="M379" s="233">
        <v>0</v>
      </c>
      <c r="N379" s="231"/>
      <c r="O379" s="231"/>
      <c r="P379" s="234">
        <v>631.42999999999995</v>
      </c>
    </row>
    <row r="380" spans="1:16" ht="19.5" customHeight="1">
      <c r="A380" s="227" t="s">
        <v>1176</v>
      </c>
      <c r="B380" s="230">
        <v>46050</v>
      </c>
      <c r="C380" s="227" t="s">
        <v>100</v>
      </c>
      <c r="D380" s="227" t="s">
        <v>102</v>
      </c>
      <c r="E380" s="227" t="s">
        <v>53</v>
      </c>
      <c r="F380" s="227" t="s">
        <v>120</v>
      </c>
      <c r="G380" s="227" t="s">
        <v>84</v>
      </c>
      <c r="H380" s="231">
        <v>1</v>
      </c>
      <c r="I380" s="232">
        <v>1812</v>
      </c>
      <c r="J380" s="230">
        <v>46047</v>
      </c>
      <c r="K380" s="227" t="s">
        <v>93</v>
      </c>
      <c r="L380" s="227" t="s">
        <v>94</v>
      </c>
      <c r="M380" s="233">
        <v>0</v>
      </c>
      <c r="N380" s="231"/>
      <c r="O380" s="231"/>
      <c r="P380" s="234">
        <v>6.31</v>
      </c>
    </row>
    <row r="381" spans="1:16" ht="19.5" customHeight="1">
      <c r="A381" s="227" t="s">
        <v>1176</v>
      </c>
      <c r="B381" s="230">
        <v>46050</v>
      </c>
      <c r="C381" s="227" t="s">
        <v>100</v>
      </c>
      <c r="D381" s="227" t="s">
        <v>103</v>
      </c>
      <c r="E381" s="227" t="s">
        <v>53</v>
      </c>
      <c r="F381" s="227" t="s">
        <v>120</v>
      </c>
      <c r="G381" s="227" t="s">
        <v>84</v>
      </c>
      <c r="H381" s="231">
        <v>1</v>
      </c>
      <c r="I381" s="232">
        <v>1812</v>
      </c>
      <c r="J381" s="230">
        <v>46047</v>
      </c>
      <c r="K381" s="227" t="s">
        <v>93</v>
      </c>
      <c r="L381" s="227" t="s">
        <v>94</v>
      </c>
      <c r="M381" s="233">
        <v>0</v>
      </c>
      <c r="N381" s="231"/>
      <c r="O381" s="231"/>
      <c r="P381" s="234">
        <v>1174.26</v>
      </c>
    </row>
    <row r="382" spans="1:16" ht="19.5" customHeight="1">
      <c r="A382" s="227" t="s">
        <v>1176</v>
      </c>
      <c r="B382" s="230">
        <v>46050</v>
      </c>
      <c r="C382" s="227" t="s">
        <v>104</v>
      </c>
      <c r="D382" s="227" t="s">
        <v>105</v>
      </c>
      <c r="E382" s="227" t="s">
        <v>53</v>
      </c>
      <c r="F382" s="227" t="s">
        <v>120</v>
      </c>
      <c r="G382" s="227" t="s">
        <v>84</v>
      </c>
      <c r="H382" s="231">
        <v>1</v>
      </c>
      <c r="I382" s="232">
        <v>1812</v>
      </c>
      <c r="J382" s="230">
        <v>46047</v>
      </c>
      <c r="K382" s="227" t="s">
        <v>93</v>
      </c>
      <c r="L382" s="227" t="s">
        <v>94</v>
      </c>
      <c r="M382" s="233">
        <v>0.43</v>
      </c>
      <c r="N382" s="231"/>
      <c r="O382" s="231"/>
      <c r="P382" s="234">
        <v>-779.16</v>
      </c>
    </row>
    <row r="383" spans="1:16" ht="19.5" customHeight="1">
      <c r="A383" s="227" t="s">
        <v>1176</v>
      </c>
      <c r="B383" s="230">
        <v>46050</v>
      </c>
      <c r="C383" s="227" t="s">
        <v>81</v>
      </c>
      <c r="D383" s="227" t="s">
        <v>95</v>
      </c>
      <c r="E383" s="227" t="s">
        <v>53</v>
      </c>
      <c r="F383" s="227" t="s">
        <v>120</v>
      </c>
      <c r="G383" s="227" t="s">
        <v>84</v>
      </c>
      <c r="H383" s="231">
        <v>1</v>
      </c>
      <c r="I383" s="232">
        <v>1812</v>
      </c>
      <c r="J383" s="230">
        <v>46047</v>
      </c>
      <c r="K383" s="227" t="s">
        <v>93</v>
      </c>
      <c r="L383" s="227" t="s">
        <v>94</v>
      </c>
      <c r="M383" s="233">
        <v>0.43</v>
      </c>
      <c r="N383" s="231"/>
      <c r="O383" s="231"/>
      <c r="P383" s="234">
        <v>-13.24</v>
      </c>
    </row>
    <row r="384" spans="1:16" ht="19.5" customHeight="1">
      <c r="A384" s="227" t="s">
        <v>1176</v>
      </c>
      <c r="B384" s="230">
        <v>46050</v>
      </c>
      <c r="C384" s="227" t="s">
        <v>81</v>
      </c>
      <c r="D384" s="227" t="s">
        <v>82</v>
      </c>
      <c r="E384" s="227" t="s">
        <v>53</v>
      </c>
      <c r="F384" s="227" t="s">
        <v>120</v>
      </c>
      <c r="G384" s="227" t="s">
        <v>84</v>
      </c>
      <c r="H384" s="231">
        <v>1</v>
      </c>
      <c r="I384" s="232">
        <v>0</v>
      </c>
      <c r="J384" s="230">
        <v>46047</v>
      </c>
      <c r="K384" s="227" t="s">
        <v>85</v>
      </c>
      <c r="L384" s="227" t="s">
        <v>85</v>
      </c>
      <c r="M384" s="233">
        <v>0</v>
      </c>
      <c r="N384" s="231"/>
      <c r="O384" s="231"/>
      <c r="P384" s="234">
        <v>-12</v>
      </c>
    </row>
    <row r="385" spans="1:16" ht="19.5" customHeight="1">
      <c r="A385" s="227" t="s">
        <v>1177</v>
      </c>
      <c r="B385" s="230">
        <v>46050</v>
      </c>
      <c r="C385" s="227" t="s">
        <v>92</v>
      </c>
      <c r="D385" s="227" t="s">
        <v>24</v>
      </c>
      <c r="E385" s="227" t="s">
        <v>53</v>
      </c>
      <c r="F385" s="227" t="s">
        <v>120</v>
      </c>
      <c r="G385" s="227" t="s">
        <v>84</v>
      </c>
      <c r="H385" s="231">
        <v>1</v>
      </c>
      <c r="I385" s="232">
        <v>1845</v>
      </c>
      <c r="J385" s="230">
        <v>46044</v>
      </c>
      <c r="K385" s="227" t="s">
        <v>93</v>
      </c>
      <c r="L385" s="227" t="s">
        <v>94</v>
      </c>
      <c r="M385" s="233">
        <v>0.43</v>
      </c>
      <c r="N385" s="231"/>
      <c r="O385" s="231">
        <v>42</v>
      </c>
      <c r="P385" s="234">
        <v>-140.5</v>
      </c>
    </row>
    <row r="386" spans="1:16" ht="19.5" customHeight="1">
      <c r="A386" s="227" t="s">
        <v>1177</v>
      </c>
      <c r="B386" s="230">
        <v>46050</v>
      </c>
      <c r="C386" s="227" t="s">
        <v>100</v>
      </c>
      <c r="D386" s="227" t="s">
        <v>101</v>
      </c>
      <c r="E386" s="227" t="s">
        <v>53</v>
      </c>
      <c r="F386" s="227" t="s">
        <v>120</v>
      </c>
      <c r="G386" s="227" t="s">
        <v>84</v>
      </c>
      <c r="H386" s="231">
        <v>1</v>
      </c>
      <c r="I386" s="232">
        <v>1845</v>
      </c>
      <c r="J386" s="230">
        <v>46044</v>
      </c>
      <c r="K386" s="227" t="s">
        <v>93</v>
      </c>
      <c r="L386" s="227" t="s">
        <v>94</v>
      </c>
      <c r="M386" s="233">
        <v>0</v>
      </c>
      <c r="N386" s="231"/>
      <c r="O386" s="231"/>
      <c r="P386" s="234">
        <v>642.86</v>
      </c>
    </row>
    <row r="387" spans="1:16" ht="19.5" customHeight="1">
      <c r="A387" s="227" t="s">
        <v>1177</v>
      </c>
      <c r="B387" s="230">
        <v>46050</v>
      </c>
      <c r="C387" s="227" t="s">
        <v>100</v>
      </c>
      <c r="D387" s="227" t="s">
        <v>102</v>
      </c>
      <c r="E387" s="227" t="s">
        <v>53</v>
      </c>
      <c r="F387" s="227" t="s">
        <v>120</v>
      </c>
      <c r="G387" s="227" t="s">
        <v>84</v>
      </c>
      <c r="H387" s="231">
        <v>1</v>
      </c>
      <c r="I387" s="232">
        <v>1845</v>
      </c>
      <c r="J387" s="230">
        <v>46044</v>
      </c>
      <c r="K387" s="227" t="s">
        <v>93</v>
      </c>
      <c r="L387" s="227" t="s">
        <v>94</v>
      </c>
      <c r="M387" s="233">
        <v>0</v>
      </c>
      <c r="N387" s="231"/>
      <c r="O387" s="231"/>
      <c r="P387" s="234">
        <v>6.43</v>
      </c>
    </row>
    <row r="388" spans="1:16" ht="19.5" customHeight="1">
      <c r="A388" s="227" t="s">
        <v>1177</v>
      </c>
      <c r="B388" s="230">
        <v>46050</v>
      </c>
      <c r="C388" s="227" t="s">
        <v>100</v>
      </c>
      <c r="D388" s="227" t="s">
        <v>103</v>
      </c>
      <c r="E388" s="227" t="s">
        <v>53</v>
      </c>
      <c r="F388" s="227" t="s">
        <v>120</v>
      </c>
      <c r="G388" s="227" t="s">
        <v>84</v>
      </c>
      <c r="H388" s="231">
        <v>1</v>
      </c>
      <c r="I388" s="232">
        <v>1845</v>
      </c>
      <c r="J388" s="230">
        <v>46044</v>
      </c>
      <c r="K388" s="227" t="s">
        <v>93</v>
      </c>
      <c r="L388" s="227" t="s">
        <v>94</v>
      </c>
      <c r="M388" s="233">
        <v>0</v>
      </c>
      <c r="N388" s="231"/>
      <c r="O388" s="231"/>
      <c r="P388" s="234">
        <v>1195.71</v>
      </c>
    </row>
    <row r="389" spans="1:16" ht="19.5" customHeight="1">
      <c r="A389" s="227" t="s">
        <v>1177</v>
      </c>
      <c r="B389" s="230">
        <v>46050</v>
      </c>
      <c r="C389" s="227" t="s">
        <v>104</v>
      </c>
      <c r="D389" s="227" t="s">
        <v>105</v>
      </c>
      <c r="E389" s="227" t="s">
        <v>53</v>
      </c>
      <c r="F389" s="227" t="s">
        <v>120</v>
      </c>
      <c r="G389" s="227" t="s">
        <v>84</v>
      </c>
      <c r="H389" s="231">
        <v>1</v>
      </c>
      <c r="I389" s="232">
        <v>1845</v>
      </c>
      <c r="J389" s="230">
        <v>46044</v>
      </c>
      <c r="K389" s="227" t="s">
        <v>93</v>
      </c>
      <c r="L389" s="227" t="s">
        <v>94</v>
      </c>
      <c r="M389" s="233">
        <v>0.43</v>
      </c>
      <c r="N389" s="231"/>
      <c r="O389" s="231"/>
      <c r="P389" s="234">
        <v>-793.35</v>
      </c>
    </row>
    <row r="390" spans="1:16" ht="19.5" customHeight="1">
      <c r="A390" s="227" t="s">
        <v>1178</v>
      </c>
      <c r="B390" s="230">
        <v>46050</v>
      </c>
      <c r="C390" s="227" t="s">
        <v>81</v>
      </c>
      <c r="D390" s="227" t="s">
        <v>82</v>
      </c>
      <c r="E390" s="227" t="s">
        <v>52</v>
      </c>
      <c r="F390" s="227" t="s">
        <v>90</v>
      </c>
      <c r="G390" s="227" t="s">
        <v>84</v>
      </c>
      <c r="H390" s="231">
        <v>1</v>
      </c>
      <c r="I390" s="232">
        <v>0</v>
      </c>
      <c r="J390" s="230">
        <v>46050</v>
      </c>
      <c r="K390" s="227" t="s">
        <v>85</v>
      </c>
      <c r="L390" s="227" t="s">
        <v>85</v>
      </c>
      <c r="M390" s="233">
        <v>0</v>
      </c>
      <c r="N390" s="231"/>
      <c r="O390" s="231"/>
      <c r="P390" s="234">
        <v>-12.23</v>
      </c>
    </row>
    <row r="391" spans="1:16" ht="19.5" customHeight="1">
      <c r="A391" s="227" t="s">
        <v>1179</v>
      </c>
      <c r="B391" s="230">
        <v>46050</v>
      </c>
      <c r="C391" s="227" t="s">
        <v>81</v>
      </c>
      <c r="D391" s="227" t="s">
        <v>82</v>
      </c>
      <c r="E391" s="227" t="s">
        <v>52</v>
      </c>
      <c r="F391" s="227" t="s">
        <v>90</v>
      </c>
      <c r="G391" s="227" t="s">
        <v>84</v>
      </c>
      <c r="H391" s="231">
        <v>1</v>
      </c>
      <c r="I391" s="232">
        <v>0</v>
      </c>
      <c r="J391" s="230">
        <v>46050</v>
      </c>
      <c r="K391" s="227" t="s">
        <v>85</v>
      </c>
      <c r="L391" s="227" t="s">
        <v>85</v>
      </c>
      <c r="M391" s="233">
        <v>0</v>
      </c>
      <c r="N391" s="231"/>
      <c r="O391" s="231"/>
      <c r="P391" s="234">
        <v>-4.71</v>
      </c>
    </row>
    <row r="392" spans="1:16" ht="19.5" customHeight="1">
      <c r="A392" s="227" t="s">
        <v>1180</v>
      </c>
      <c r="B392" s="230">
        <v>46050</v>
      </c>
      <c r="C392" s="227" t="s">
        <v>92</v>
      </c>
      <c r="D392" s="227" t="s">
        <v>24</v>
      </c>
      <c r="E392" s="227" t="s">
        <v>53</v>
      </c>
      <c r="F392" s="227" t="s">
        <v>120</v>
      </c>
      <c r="G392" s="227" t="s">
        <v>84</v>
      </c>
      <c r="H392" s="231">
        <v>1</v>
      </c>
      <c r="I392" s="232">
        <v>1812</v>
      </c>
      <c r="J392" s="230">
        <v>46048</v>
      </c>
      <c r="K392" s="227" t="s">
        <v>93</v>
      </c>
      <c r="L392" s="227" t="s">
        <v>94</v>
      </c>
      <c r="M392" s="233">
        <v>0.43</v>
      </c>
      <c r="N392" s="231"/>
      <c r="O392" s="231">
        <v>44</v>
      </c>
      <c r="P392" s="234">
        <v>-148.36000000000001</v>
      </c>
    </row>
    <row r="393" spans="1:16" ht="19.5" customHeight="1">
      <c r="A393" s="227" t="s">
        <v>1180</v>
      </c>
      <c r="B393" s="230">
        <v>46050</v>
      </c>
      <c r="C393" s="227" t="s">
        <v>100</v>
      </c>
      <c r="D393" s="227" t="s">
        <v>101</v>
      </c>
      <c r="E393" s="227" t="s">
        <v>53</v>
      </c>
      <c r="F393" s="227" t="s">
        <v>120</v>
      </c>
      <c r="G393" s="227" t="s">
        <v>84</v>
      </c>
      <c r="H393" s="231">
        <v>1</v>
      </c>
      <c r="I393" s="232">
        <v>1812</v>
      </c>
      <c r="J393" s="230">
        <v>46048</v>
      </c>
      <c r="K393" s="227" t="s">
        <v>93</v>
      </c>
      <c r="L393" s="227" t="s">
        <v>94</v>
      </c>
      <c r="M393" s="233">
        <v>0</v>
      </c>
      <c r="N393" s="231"/>
      <c r="O393" s="231"/>
      <c r="P393" s="234">
        <v>668.57</v>
      </c>
    </row>
    <row r="394" spans="1:16" ht="19.5" customHeight="1">
      <c r="A394" s="227" t="s">
        <v>1180</v>
      </c>
      <c r="B394" s="230">
        <v>46050</v>
      </c>
      <c r="C394" s="227" t="s">
        <v>100</v>
      </c>
      <c r="D394" s="227" t="s">
        <v>102</v>
      </c>
      <c r="E394" s="227" t="s">
        <v>53</v>
      </c>
      <c r="F394" s="227" t="s">
        <v>120</v>
      </c>
      <c r="G394" s="227" t="s">
        <v>84</v>
      </c>
      <c r="H394" s="231">
        <v>1</v>
      </c>
      <c r="I394" s="232">
        <v>1812</v>
      </c>
      <c r="J394" s="230">
        <v>46048</v>
      </c>
      <c r="K394" s="227" t="s">
        <v>93</v>
      </c>
      <c r="L394" s="227" t="s">
        <v>94</v>
      </c>
      <c r="M394" s="233">
        <v>0</v>
      </c>
      <c r="N394" s="231"/>
      <c r="O394" s="231"/>
      <c r="P394" s="234">
        <v>6.69</v>
      </c>
    </row>
    <row r="395" spans="1:16" ht="19.5" customHeight="1">
      <c r="A395" s="227" t="s">
        <v>1180</v>
      </c>
      <c r="B395" s="230">
        <v>46050</v>
      </c>
      <c r="C395" s="227" t="s">
        <v>100</v>
      </c>
      <c r="D395" s="227" t="s">
        <v>103</v>
      </c>
      <c r="E395" s="227" t="s">
        <v>53</v>
      </c>
      <c r="F395" s="227" t="s">
        <v>120</v>
      </c>
      <c r="G395" s="227" t="s">
        <v>84</v>
      </c>
      <c r="H395" s="231">
        <v>1</v>
      </c>
      <c r="I395" s="232">
        <v>1812</v>
      </c>
      <c r="J395" s="230">
        <v>46048</v>
      </c>
      <c r="K395" s="227" t="s">
        <v>93</v>
      </c>
      <c r="L395" s="227" t="s">
        <v>94</v>
      </c>
      <c r="M395" s="233">
        <v>0</v>
      </c>
      <c r="N395" s="231"/>
      <c r="O395" s="231"/>
      <c r="P395" s="234">
        <v>1136.74</v>
      </c>
    </row>
    <row r="396" spans="1:16" ht="19.5" customHeight="1">
      <c r="A396" s="227" t="s">
        <v>1180</v>
      </c>
      <c r="B396" s="230">
        <v>46050</v>
      </c>
      <c r="C396" s="227" t="s">
        <v>104</v>
      </c>
      <c r="D396" s="227" t="s">
        <v>105</v>
      </c>
      <c r="E396" s="227" t="s">
        <v>53</v>
      </c>
      <c r="F396" s="227" t="s">
        <v>120</v>
      </c>
      <c r="G396" s="227" t="s">
        <v>84</v>
      </c>
      <c r="H396" s="231">
        <v>1</v>
      </c>
      <c r="I396" s="232">
        <v>1812</v>
      </c>
      <c r="J396" s="230">
        <v>46048</v>
      </c>
      <c r="K396" s="227" t="s">
        <v>93</v>
      </c>
      <c r="L396" s="227" t="s">
        <v>94</v>
      </c>
      <c r="M396" s="233">
        <v>0.43</v>
      </c>
      <c r="N396" s="231"/>
      <c r="O396" s="231"/>
      <c r="P396" s="234">
        <v>-779.16</v>
      </c>
    </row>
    <row r="397" spans="1:16" ht="19.5" customHeight="1">
      <c r="A397" s="227" t="s">
        <v>1180</v>
      </c>
      <c r="B397" s="230">
        <v>46050</v>
      </c>
      <c r="C397" s="227" t="s">
        <v>81</v>
      </c>
      <c r="D397" s="227" t="s">
        <v>95</v>
      </c>
      <c r="E397" s="227" t="s">
        <v>53</v>
      </c>
      <c r="F397" s="227" t="s">
        <v>120</v>
      </c>
      <c r="G397" s="227" t="s">
        <v>84</v>
      </c>
      <c r="H397" s="231">
        <v>1</v>
      </c>
      <c r="I397" s="232">
        <v>1812</v>
      </c>
      <c r="J397" s="230">
        <v>46048</v>
      </c>
      <c r="K397" s="227" t="s">
        <v>93</v>
      </c>
      <c r="L397" s="227" t="s">
        <v>94</v>
      </c>
      <c r="M397" s="233">
        <v>0.43</v>
      </c>
      <c r="N397" s="231"/>
      <c r="O397" s="231"/>
      <c r="P397" s="234">
        <v>-9.4700000000000006</v>
      </c>
    </row>
    <row r="398" spans="1:16" ht="19.5" customHeight="1">
      <c r="A398" s="227" t="s">
        <v>1181</v>
      </c>
      <c r="B398" s="230">
        <v>46050</v>
      </c>
      <c r="C398" s="227" t="s">
        <v>81</v>
      </c>
      <c r="D398" s="227" t="s">
        <v>82</v>
      </c>
      <c r="E398" s="227" t="s">
        <v>53</v>
      </c>
      <c r="F398" s="227" t="s">
        <v>120</v>
      </c>
      <c r="G398" s="227" t="s">
        <v>84</v>
      </c>
      <c r="H398" s="231">
        <v>1</v>
      </c>
      <c r="I398" s="232">
        <v>0</v>
      </c>
      <c r="J398" s="230">
        <v>46050</v>
      </c>
      <c r="K398" s="227" t="s">
        <v>85</v>
      </c>
      <c r="L398" s="227" t="s">
        <v>85</v>
      </c>
      <c r="M398" s="233">
        <v>0</v>
      </c>
      <c r="N398" s="231"/>
      <c r="O398" s="231"/>
      <c r="P398" s="234">
        <v>-2.76</v>
      </c>
    </row>
    <row r="399" spans="1:16" ht="19.5" customHeight="1">
      <c r="A399" s="227" t="s">
        <v>1182</v>
      </c>
      <c r="B399" s="230">
        <v>46050</v>
      </c>
      <c r="C399" s="227" t="s">
        <v>92</v>
      </c>
      <c r="D399" s="227" t="s">
        <v>24</v>
      </c>
      <c r="E399" s="227" t="s">
        <v>52</v>
      </c>
      <c r="F399" s="227" t="s">
        <v>90</v>
      </c>
      <c r="G399" s="227" t="s">
        <v>84</v>
      </c>
      <c r="H399" s="231">
        <v>1</v>
      </c>
      <c r="I399" s="232">
        <v>1800</v>
      </c>
      <c r="J399" s="230">
        <v>46045</v>
      </c>
      <c r="K399" s="227" t="s">
        <v>93</v>
      </c>
      <c r="L399" s="227" t="s">
        <v>94</v>
      </c>
      <c r="M399" s="233">
        <v>0.43</v>
      </c>
      <c r="N399" s="231"/>
      <c r="O399" s="231">
        <v>40</v>
      </c>
      <c r="P399" s="234">
        <v>-130.46</v>
      </c>
    </row>
    <row r="400" spans="1:16" ht="19.5" customHeight="1">
      <c r="A400" s="227" t="s">
        <v>1182</v>
      </c>
      <c r="B400" s="230">
        <v>46050</v>
      </c>
      <c r="C400" s="227" t="s">
        <v>100</v>
      </c>
      <c r="D400" s="227" t="s">
        <v>101</v>
      </c>
      <c r="E400" s="227" t="s">
        <v>52</v>
      </c>
      <c r="F400" s="227" t="s">
        <v>90</v>
      </c>
      <c r="G400" s="227" t="s">
        <v>84</v>
      </c>
      <c r="H400" s="231">
        <v>1</v>
      </c>
      <c r="I400" s="232">
        <v>1800</v>
      </c>
      <c r="J400" s="230">
        <v>46045</v>
      </c>
      <c r="K400" s="227" t="s">
        <v>93</v>
      </c>
      <c r="L400" s="227" t="s">
        <v>94</v>
      </c>
      <c r="M400" s="233">
        <v>0</v>
      </c>
      <c r="N400" s="231"/>
      <c r="O400" s="231"/>
      <c r="P400" s="234">
        <v>685.71</v>
      </c>
    </row>
    <row r="401" spans="1:16" ht="19.5" customHeight="1">
      <c r="A401" s="227" t="s">
        <v>1182</v>
      </c>
      <c r="B401" s="230">
        <v>46050</v>
      </c>
      <c r="C401" s="227" t="s">
        <v>100</v>
      </c>
      <c r="D401" s="227" t="s">
        <v>102</v>
      </c>
      <c r="E401" s="227" t="s">
        <v>52</v>
      </c>
      <c r="F401" s="227" t="s">
        <v>90</v>
      </c>
      <c r="G401" s="227" t="s">
        <v>84</v>
      </c>
      <c r="H401" s="231">
        <v>1</v>
      </c>
      <c r="I401" s="232">
        <v>1800</v>
      </c>
      <c r="J401" s="230">
        <v>46045</v>
      </c>
      <c r="K401" s="227" t="s">
        <v>93</v>
      </c>
      <c r="L401" s="227" t="s">
        <v>94</v>
      </c>
      <c r="M401" s="233">
        <v>0</v>
      </c>
      <c r="N401" s="231"/>
      <c r="O401" s="231"/>
      <c r="P401" s="234">
        <v>0</v>
      </c>
    </row>
    <row r="402" spans="1:16" ht="19.5" customHeight="1">
      <c r="A402" s="227" t="s">
        <v>1182</v>
      </c>
      <c r="B402" s="230">
        <v>46050</v>
      </c>
      <c r="C402" s="227" t="s">
        <v>100</v>
      </c>
      <c r="D402" s="227" t="s">
        <v>103</v>
      </c>
      <c r="E402" s="227" t="s">
        <v>52</v>
      </c>
      <c r="F402" s="227" t="s">
        <v>90</v>
      </c>
      <c r="G402" s="227" t="s">
        <v>84</v>
      </c>
      <c r="H402" s="231">
        <v>1</v>
      </c>
      <c r="I402" s="232">
        <v>1800</v>
      </c>
      <c r="J402" s="230">
        <v>46045</v>
      </c>
      <c r="K402" s="227" t="s">
        <v>93</v>
      </c>
      <c r="L402" s="227" t="s">
        <v>94</v>
      </c>
      <c r="M402" s="233">
        <v>0</v>
      </c>
      <c r="N402" s="231"/>
      <c r="O402" s="231"/>
      <c r="P402" s="234">
        <v>1114.29</v>
      </c>
    </row>
    <row r="403" spans="1:16" ht="19.5" customHeight="1">
      <c r="A403" s="227" t="s">
        <v>1182</v>
      </c>
      <c r="B403" s="230">
        <v>46050</v>
      </c>
      <c r="C403" s="227" t="s">
        <v>104</v>
      </c>
      <c r="D403" s="227" t="s">
        <v>105</v>
      </c>
      <c r="E403" s="227" t="s">
        <v>52</v>
      </c>
      <c r="F403" s="227" t="s">
        <v>90</v>
      </c>
      <c r="G403" s="227" t="s">
        <v>84</v>
      </c>
      <c r="H403" s="231">
        <v>1</v>
      </c>
      <c r="I403" s="232">
        <v>1800</v>
      </c>
      <c r="J403" s="230">
        <v>46045</v>
      </c>
      <c r="K403" s="227" t="s">
        <v>93</v>
      </c>
      <c r="L403" s="227" t="s">
        <v>94</v>
      </c>
      <c r="M403" s="233">
        <v>0.43</v>
      </c>
      <c r="N403" s="231"/>
      <c r="O403" s="231"/>
      <c r="P403" s="234">
        <v>-774</v>
      </c>
    </row>
    <row r="404" spans="1:16" ht="19.5" customHeight="1">
      <c r="A404" s="227" t="s">
        <v>1182</v>
      </c>
      <c r="B404" s="230">
        <v>46050</v>
      </c>
      <c r="C404" s="227" t="s">
        <v>81</v>
      </c>
      <c r="D404" s="227" t="s">
        <v>95</v>
      </c>
      <c r="E404" s="227" t="s">
        <v>52</v>
      </c>
      <c r="F404" s="227" t="s">
        <v>90</v>
      </c>
      <c r="G404" s="227" t="s">
        <v>84</v>
      </c>
      <c r="H404" s="231">
        <v>1</v>
      </c>
      <c r="I404" s="232">
        <v>1800</v>
      </c>
      <c r="J404" s="230">
        <v>46045</v>
      </c>
      <c r="K404" s="227" t="s">
        <v>93</v>
      </c>
      <c r="L404" s="227" t="s">
        <v>94</v>
      </c>
      <c r="M404" s="233">
        <v>0.43</v>
      </c>
      <c r="N404" s="231"/>
      <c r="O404" s="231"/>
      <c r="P404" s="234">
        <v>-7.56</v>
      </c>
    </row>
    <row r="405" spans="1:16" ht="19.5" customHeight="1">
      <c r="A405" s="227" t="s">
        <v>1183</v>
      </c>
      <c r="B405" s="230">
        <v>46050</v>
      </c>
      <c r="C405" s="227" t="s">
        <v>81</v>
      </c>
      <c r="D405" s="227" t="s">
        <v>82</v>
      </c>
      <c r="E405" s="227" t="s">
        <v>52</v>
      </c>
      <c r="F405" s="227" t="s">
        <v>90</v>
      </c>
      <c r="G405" s="227" t="s">
        <v>84</v>
      </c>
      <c r="H405" s="231">
        <v>1</v>
      </c>
      <c r="I405" s="232">
        <v>0</v>
      </c>
      <c r="J405" s="230">
        <v>46050</v>
      </c>
      <c r="K405" s="227" t="s">
        <v>85</v>
      </c>
      <c r="L405" s="227" t="s">
        <v>85</v>
      </c>
      <c r="M405" s="233">
        <v>0</v>
      </c>
      <c r="N405" s="231"/>
      <c r="O405" s="231"/>
      <c r="P405" s="234">
        <v>-12.23</v>
      </c>
    </row>
    <row r="406" spans="1:16" ht="19.5" customHeight="1">
      <c r="A406" s="227" t="s">
        <v>1184</v>
      </c>
      <c r="B406" s="230">
        <v>46050</v>
      </c>
      <c r="C406" s="227" t="s">
        <v>92</v>
      </c>
      <c r="D406" s="227" t="s">
        <v>24</v>
      </c>
      <c r="E406" s="227" t="s">
        <v>42</v>
      </c>
      <c r="F406" s="227" t="s">
        <v>89</v>
      </c>
      <c r="G406" s="227" t="s">
        <v>84</v>
      </c>
      <c r="H406" s="231">
        <v>1</v>
      </c>
      <c r="I406" s="232">
        <v>1662</v>
      </c>
      <c r="J406" s="230">
        <v>46049</v>
      </c>
      <c r="K406" s="227" t="s">
        <v>93</v>
      </c>
      <c r="L406" s="227" t="s">
        <v>94</v>
      </c>
      <c r="M406" s="233">
        <v>0.43</v>
      </c>
      <c r="N406" s="231"/>
      <c r="O406" s="231">
        <v>45</v>
      </c>
      <c r="P406" s="234">
        <v>-132.49</v>
      </c>
    </row>
    <row r="407" spans="1:16" ht="19.5" customHeight="1">
      <c r="A407" s="227" t="s">
        <v>1184</v>
      </c>
      <c r="B407" s="230">
        <v>46050</v>
      </c>
      <c r="C407" s="227" t="s">
        <v>100</v>
      </c>
      <c r="D407" s="227" t="s">
        <v>101</v>
      </c>
      <c r="E407" s="227" t="s">
        <v>42</v>
      </c>
      <c r="F407" s="227" t="s">
        <v>89</v>
      </c>
      <c r="G407" s="227" t="s">
        <v>84</v>
      </c>
      <c r="H407" s="231">
        <v>1</v>
      </c>
      <c r="I407" s="232">
        <v>1662</v>
      </c>
      <c r="J407" s="230">
        <v>46049</v>
      </c>
      <c r="K407" s="227" t="s">
        <v>93</v>
      </c>
      <c r="L407" s="227" t="s">
        <v>94</v>
      </c>
      <c r="M407" s="233">
        <v>0</v>
      </c>
      <c r="N407" s="231"/>
      <c r="O407" s="231"/>
      <c r="P407" s="234">
        <v>590.48</v>
      </c>
    </row>
    <row r="408" spans="1:16" ht="19.5" customHeight="1">
      <c r="A408" s="227" t="s">
        <v>1184</v>
      </c>
      <c r="B408" s="230">
        <v>46050</v>
      </c>
      <c r="C408" s="227" t="s">
        <v>100</v>
      </c>
      <c r="D408" s="227" t="s">
        <v>102</v>
      </c>
      <c r="E408" s="227" t="s">
        <v>42</v>
      </c>
      <c r="F408" s="227" t="s">
        <v>89</v>
      </c>
      <c r="G408" s="227" t="s">
        <v>84</v>
      </c>
      <c r="H408" s="231">
        <v>1</v>
      </c>
      <c r="I408" s="232">
        <v>1662</v>
      </c>
      <c r="J408" s="230">
        <v>46049</v>
      </c>
      <c r="K408" s="227" t="s">
        <v>93</v>
      </c>
      <c r="L408" s="227" t="s">
        <v>94</v>
      </c>
      <c r="M408" s="233">
        <v>0</v>
      </c>
      <c r="N408" s="231"/>
      <c r="O408" s="231"/>
      <c r="P408" s="234">
        <v>5.9</v>
      </c>
    </row>
    <row r="409" spans="1:16" ht="19.5" customHeight="1">
      <c r="A409" s="227" t="s">
        <v>1184</v>
      </c>
      <c r="B409" s="230">
        <v>46050</v>
      </c>
      <c r="C409" s="227" t="s">
        <v>100</v>
      </c>
      <c r="D409" s="227" t="s">
        <v>103</v>
      </c>
      <c r="E409" s="227" t="s">
        <v>42</v>
      </c>
      <c r="F409" s="227" t="s">
        <v>89</v>
      </c>
      <c r="G409" s="227" t="s">
        <v>84</v>
      </c>
      <c r="H409" s="231">
        <v>1</v>
      </c>
      <c r="I409" s="232">
        <v>1662</v>
      </c>
      <c r="J409" s="230">
        <v>46049</v>
      </c>
      <c r="K409" s="227" t="s">
        <v>93</v>
      </c>
      <c r="L409" s="227" t="s">
        <v>94</v>
      </c>
      <c r="M409" s="233">
        <v>0</v>
      </c>
      <c r="N409" s="231"/>
      <c r="O409" s="231"/>
      <c r="P409" s="234">
        <v>1065.6199999999999</v>
      </c>
    </row>
    <row r="410" spans="1:16" ht="19.5" customHeight="1">
      <c r="A410" s="227" t="s">
        <v>1184</v>
      </c>
      <c r="B410" s="230">
        <v>46050</v>
      </c>
      <c r="C410" s="227" t="s">
        <v>104</v>
      </c>
      <c r="D410" s="227" t="s">
        <v>105</v>
      </c>
      <c r="E410" s="227" t="s">
        <v>42</v>
      </c>
      <c r="F410" s="227" t="s">
        <v>89</v>
      </c>
      <c r="G410" s="227" t="s">
        <v>84</v>
      </c>
      <c r="H410" s="231">
        <v>1</v>
      </c>
      <c r="I410" s="232">
        <v>1662</v>
      </c>
      <c r="J410" s="230">
        <v>46049</v>
      </c>
      <c r="K410" s="227" t="s">
        <v>93</v>
      </c>
      <c r="L410" s="227" t="s">
        <v>94</v>
      </c>
      <c r="M410" s="233">
        <v>0.43</v>
      </c>
      <c r="N410" s="231"/>
      <c r="O410" s="231"/>
      <c r="P410" s="234">
        <v>-714.66</v>
      </c>
    </row>
    <row r="411" spans="1:16" ht="19.5" customHeight="1">
      <c r="A411" s="227" t="s">
        <v>1184</v>
      </c>
      <c r="B411" s="230">
        <v>46050</v>
      </c>
      <c r="C411" s="227" t="s">
        <v>81</v>
      </c>
      <c r="D411" s="227" t="s">
        <v>95</v>
      </c>
      <c r="E411" s="227" t="s">
        <v>42</v>
      </c>
      <c r="F411" s="227" t="s">
        <v>89</v>
      </c>
      <c r="G411" s="227" t="s">
        <v>84</v>
      </c>
      <c r="H411" s="231">
        <v>1</v>
      </c>
      <c r="I411" s="232">
        <v>1662</v>
      </c>
      <c r="J411" s="230">
        <v>46049</v>
      </c>
      <c r="K411" s="227" t="s">
        <v>93</v>
      </c>
      <c r="L411" s="227" t="s">
        <v>94</v>
      </c>
      <c r="M411" s="233">
        <v>0.43</v>
      </c>
      <c r="N411" s="231"/>
      <c r="O411" s="231"/>
      <c r="P411" s="234">
        <v>-9.43</v>
      </c>
    </row>
    <row r="412" spans="1:16" ht="19.5" customHeight="1">
      <c r="A412" s="227" t="s">
        <v>1185</v>
      </c>
      <c r="B412" s="230">
        <v>46050</v>
      </c>
      <c r="C412" s="227" t="s">
        <v>92</v>
      </c>
      <c r="D412" s="227" t="s">
        <v>24</v>
      </c>
      <c r="E412" s="227" t="s">
        <v>39</v>
      </c>
      <c r="F412" s="227" t="s">
        <v>117</v>
      </c>
      <c r="G412" s="227" t="s">
        <v>84</v>
      </c>
      <c r="H412" s="231">
        <v>1</v>
      </c>
      <c r="I412" s="232">
        <v>1750</v>
      </c>
      <c r="J412" s="230">
        <v>46047</v>
      </c>
      <c r="K412" s="227" t="s">
        <v>93</v>
      </c>
      <c r="L412" s="227" t="s">
        <v>94</v>
      </c>
      <c r="M412" s="233">
        <v>0.43</v>
      </c>
      <c r="N412" s="231"/>
      <c r="O412" s="231">
        <v>41</v>
      </c>
      <c r="P412" s="234">
        <v>-119.28</v>
      </c>
    </row>
    <row r="413" spans="1:16" ht="19.5" customHeight="1">
      <c r="A413" s="227" t="s">
        <v>1185</v>
      </c>
      <c r="B413" s="230">
        <v>46050</v>
      </c>
      <c r="C413" s="227" t="s">
        <v>100</v>
      </c>
      <c r="D413" s="227" t="s">
        <v>101</v>
      </c>
      <c r="E413" s="227" t="s">
        <v>39</v>
      </c>
      <c r="F413" s="227" t="s">
        <v>117</v>
      </c>
      <c r="G413" s="227" t="s">
        <v>84</v>
      </c>
      <c r="H413" s="231">
        <v>1</v>
      </c>
      <c r="I413" s="232">
        <v>1750</v>
      </c>
      <c r="J413" s="230">
        <v>46047</v>
      </c>
      <c r="K413" s="227" t="s">
        <v>93</v>
      </c>
      <c r="L413" s="227" t="s">
        <v>94</v>
      </c>
      <c r="M413" s="233">
        <v>0</v>
      </c>
      <c r="N413" s="231"/>
      <c r="O413" s="231"/>
      <c r="P413" s="234">
        <v>722.86</v>
      </c>
    </row>
    <row r="414" spans="1:16" ht="19.5" customHeight="1">
      <c r="A414" s="227" t="s">
        <v>1185</v>
      </c>
      <c r="B414" s="230">
        <v>46050</v>
      </c>
      <c r="C414" s="227" t="s">
        <v>100</v>
      </c>
      <c r="D414" s="227" t="s">
        <v>102</v>
      </c>
      <c r="E414" s="227" t="s">
        <v>39</v>
      </c>
      <c r="F414" s="227" t="s">
        <v>117</v>
      </c>
      <c r="G414" s="227" t="s">
        <v>84</v>
      </c>
      <c r="H414" s="231">
        <v>1</v>
      </c>
      <c r="I414" s="232">
        <v>1750</v>
      </c>
      <c r="J414" s="230">
        <v>46047</v>
      </c>
      <c r="K414" s="227" t="s">
        <v>93</v>
      </c>
      <c r="L414" s="227" t="s">
        <v>94</v>
      </c>
      <c r="M414" s="233">
        <v>0</v>
      </c>
      <c r="N414" s="231"/>
      <c r="O414" s="231"/>
      <c r="P414" s="234">
        <v>7.23</v>
      </c>
    </row>
    <row r="415" spans="1:16" ht="19.5" customHeight="1">
      <c r="A415" s="227" t="s">
        <v>1185</v>
      </c>
      <c r="B415" s="230">
        <v>46050</v>
      </c>
      <c r="C415" s="227" t="s">
        <v>100</v>
      </c>
      <c r="D415" s="227" t="s">
        <v>103</v>
      </c>
      <c r="E415" s="227" t="s">
        <v>39</v>
      </c>
      <c r="F415" s="227" t="s">
        <v>117</v>
      </c>
      <c r="G415" s="227" t="s">
        <v>84</v>
      </c>
      <c r="H415" s="231">
        <v>1</v>
      </c>
      <c r="I415" s="232">
        <v>1750</v>
      </c>
      <c r="J415" s="230">
        <v>46047</v>
      </c>
      <c r="K415" s="227" t="s">
        <v>93</v>
      </c>
      <c r="L415" s="227" t="s">
        <v>94</v>
      </c>
      <c r="M415" s="233">
        <v>0</v>
      </c>
      <c r="N415" s="231"/>
      <c r="O415" s="231"/>
      <c r="P415" s="234">
        <v>1019.91</v>
      </c>
    </row>
    <row r="416" spans="1:16" ht="19.5" customHeight="1">
      <c r="A416" s="227" t="s">
        <v>1185</v>
      </c>
      <c r="B416" s="230">
        <v>46050</v>
      </c>
      <c r="C416" s="227" t="s">
        <v>104</v>
      </c>
      <c r="D416" s="227" t="s">
        <v>105</v>
      </c>
      <c r="E416" s="227" t="s">
        <v>39</v>
      </c>
      <c r="F416" s="227" t="s">
        <v>117</v>
      </c>
      <c r="G416" s="227" t="s">
        <v>84</v>
      </c>
      <c r="H416" s="231">
        <v>1</v>
      </c>
      <c r="I416" s="232">
        <v>1750</v>
      </c>
      <c r="J416" s="230">
        <v>46047</v>
      </c>
      <c r="K416" s="227" t="s">
        <v>93</v>
      </c>
      <c r="L416" s="227" t="s">
        <v>94</v>
      </c>
      <c r="M416" s="233">
        <v>0.43</v>
      </c>
      <c r="N416" s="231"/>
      <c r="O416" s="231"/>
      <c r="P416" s="234">
        <v>-752.5</v>
      </c>
    </row>
    <row r="417" spans="1:16" ht="19.5" customHeight="1">
      <c r="A417" s="227" t="s">
        <v>1185</v>
      </c>
      <c r="B417" s="230">
        <v>46050</v>
      </c>
      <c r="C417" s="227" t="s">
        <v>81</v>
      </c>
      <c r="D417" s="227" t="s">
        <v>95</v>
      </c>
      <c r="E417" s="227" t="s">
        <v>39</v>
      </c>
      <c r="F417" s="227" t="s">
        <v>117</v>
      </c>
      <c r="G417" s="227" t="s">
        <v>84</v>
      </c>
      <c r="H417" s="231">
        <v>1</v>
      </c>
      <c r="I417" s="232">
        <v>1750</v>
      </c>
      <c r="J417" s="230">
        <v>46047</v>
      </c>
      <c r="K417" s="227" t="s">
        <v>93</v>
      </c>
      <c r="L417" s="227" t="s">
        <v>94</v>
      </c>
      <c r="M417" s="233">
        <v>0.43</v>
      </c>
      <c r="N417" s="231"/>
      <c r="O417" s="231"/>
      <c r="P417" s="234">
        <v>-8.69</v>
      </c>
    </row>
    <row r="418" spans="1:16" ht="19.5" customHeight="1">
      <c r="A418" s="227" t="s">
        <v>1184</v>
      </c>
      <c r="B418" s="230">
        <v>46050</v>
      </c>
      <c r="C418" s="227" t="s">
        <v>81</v>
      </c>
      <c r="D418" s="227" t="s">
        <v>82</v>
      </c>
      <c r="E418" s="227" t="s">
        <v>42</v>
      </c>
      <c r="F418" s="227" t="s">
        <v>89</v>
      </c>
      <c r="G418" s="227" t="s">
        <v>84</v>
      </c>
      <c r="H418" s="231">
        <v>1</v>
      </c>
      <c r="I418" s="232">
        <v>0</v>
      </c>
      <c r="J418" s="230">
        <v>46049</v>
      </c>
      <c r="K418" s="227" t="s">
        <v>85</v>
      </c>
      <c r="L418" s="227" t="s">
        <v>85</v>
      </c>
      <c r="M418" s="233">
        <v>0</v>
      </c>
      <c r="N418" s="231"/>
      <c r="O418" s="231"/>
      <c r="P418" s="234">
        <v>-11.22</v>
      </c>
    </row>
    <row r="419" spans="1:16" ht="19.5" customHeight="1">
      <c r="A419" s="227" t="s">
        <v>1186</v>
      </c>
      <c r="B419" s="230">
        <v>46050</v>
      </c>
      <c r="C419" s="227" t="s">
        <v>92</v>
      </c>
      <c r="D419" s="227" t="s">
        <v>24</v>
      </c>
      <c r="E419" s="227" t="s">
        <v>53</v>
      </c>
      <c r="F419" s="227" t="s">
        <v>120</v>
      </c>
      <c r="G419" s="227" t="s">
        <v>84</v>
      </c>
      <c r="H419" s="231">
        <v>1</v>
      </c>
      <c r="I419" s="232">
        <v>1845</v>
      </c>
      <c r="J419" s="230">
        <v>46044</v>
      </c>
      <c r="K419" s="227" t="s">
        <v>93</v>
      </c>
      <c r="L419" s="227" t="s">
        <v>94</v>
      </c>
      <c r="M419" s="233">
        <v>0.43</v>
      </c>
      <c r="N419" s="231"/>
      <c r="O419" s="231">
        <v>42</v>
      </c>
      <c r="P419" s="234">
        <v>-140.5</v>
      </c>
    </row>
    <row r="420" spans="1:16" ht="19.5" customHeight="1">
      <c r="A420" s="227" t="s">
        <v>1186</v>
      </c>
      <c r="B420" s="230">
        <v>46050</v>
      </c>
      <c r="C420" s="227" t="s">
        <v>100</v>
      </c>
      <c r="D420" s="227" t="s">
        <v>101</v>
      </c>
      <c r="E420" s="227" t="s">
        <v>53</v>
      </c>
      <c r="F420" s="227" t="s">
        <v>120</v>
      </c>
      <c r="G420" s="227" t="s">
        <v>84</v>
      </c>
      <c r="H420" s="231">
        <v>1</v>
      </c>
      <c r="I420" s="232">
        <v>1845</v>
      </c>
      <c r="J420" s="230">
        <v>46044</v>
      </c>
      <c r="K420" s="227" t="s">
        <v>93</v>
      </c>
      <c r="L420" s="227" t="s">
        <v>94</v>
      </c>
      <c r="M420" s="233">
        <v>0</v>
      </c>
      <c r="N420" s="231"/>
      <c r="O420" s="231"/>
      <c r="P420" s="234">
        <v>657.79</v>
      </c>
    </row>
    <row r="421" spans="1:16" ht="19.5" customHeight="1">
      <c r="A421" s="227" t="s">
        <v>1186</v>
      </c>
      <c r="B421" s="230">
        <v>46050</v>
      </c>
      <c r="C421" s="227" t="s">
        <v>100</v>
      </c>
      <c r="D421" s="227" t="s">
        <v>102</v>
      </c>
      <c r="E421" s="227" t="s">
        <v>53</v>
      </c>
      <c r="F421" s="227" t="s">
        <v>120</v>
      </c>
      <c r="G421" s="227" t="s">
        <v>84</v>
      </c>
      <c r="H421" s="231">
        <v>1</v>
      </c>
      <c r="I421" s="232">
        <v>1845</v>
      </c>
      <c r="J421" s="230">
        <v>46044</v>
      </c>
      <c r="K421" s="227" t="s">
        <v>93</v>
      </c>
      <c r="L421" s="227" t="s">
        <v>94</v>
      </c>
      <c r="M421" s="233">
        <v>0</v>
      </c>
      <c r="N421" s="231"/>
      <c r="O421" s="231"/>
      <c r="P421" s="234">
        <v>6.58</v>
      </c>
    </row>
    <row r="422" spans="1:16" ht="19.5" customHeight="1">
      <c r="A422" s="227" t="s">
        <v>1186</v>
      </c>
      <c r="B422" s="230">
        <v>46050</v>
      </c>
      <c r="C422" s="227" t="s">
        <v>100</v>
      </c>
      <c r="D422" s="227" t="s">
        <v>103</v>
      </c>
      <c r="E422" s="227" t="s">
        <v>53</v>
      </c>
      <c r="F422" s="227" t="s">
        <v>120</v>
      </c>
      <c r="G422" s="227" t="s">
        <v>84</v>
      </c>
      <c r="H422" s="231">
        <v>1</v>
      </c>
      <c r="I422" s="232">
        <v>1845</v>
      </c>
      <c r="J422" s="230">
        <v>46044</v>
      </c>
      <c r="K422" s="227" t="s">
        <v>93</v>
      </c>
      <c r="L422" s="227" t="s">
        <v>94</v>
      </c>
      <c r="M422" s="233">
        <v>0</v>
      </c>
      <c r="N422" s="231"/>
      <c r="O422" s="231"/>
      <c r="P422" s="234">
        <v>1180.6300000000001</v>
      </c>
    </row>
    <row r="423" spans="1:16" ht="19.5" customHeight="1">
      <c r="A423" s="227" t="s">
        <v>1186</v>
      </c>
      <c r="B423" s="230">
        <v>46050</v>
      </c>
      <c r="C423" s="227" t="s">
        <v>104</v>
      </c>
      <c r="D423" s="227" t="s">
        <v>105</v>
      </c>
      <c r="E423" s="227" t="s">
        <v>53</v>
      </c>
      <c r="F423" s="227" t="s">
        <v>120</v>
      </c>
      <c r="G423" s="227" t="s">
        <v>84</v>
      </c>
      <c r="H423" s="231">
        <v>1</v>
      </c>
      <c r="I423" s="232">
        <v>1845</v>
      </c>
      <c r="J423" s="230">
        <v>46044</v>
      </c>
      <c r="K423" s="227" t="s">
        <v>93</v>
      </c>
      <c r="L423" s="227" t="s">
        <v>94</v>
      </c>
      <c r="M423" s="233">
        <v>0.43</v>
      </c>
      <c r="N423" s="231"/>
      <c r="O423" s="231"/>
      <c r="P423" s="234">
        <v>-793.35</v>
      </c>
    </row>
    <row r="424" spans="1:16" ht="19.5" customHeight="1">
      <c r="A424" s="227" t="s">
        <v>1186</v>
      </c>
      <c r="B424" s="230">
        <v>46050</v>
      </c>
      <c r="C424" s="227" t="s">
        <v>81</v>
      </c>
      <c r="D424" s="227" t="s">
        <v>95</v>
      </c>
      <c r="E424" s="227" t="s">
        <v>53</v>
      </c>
      <c r="F424" s="227" t="s">
        <v>120</v>
      </c>
      <c r="G424" s="227" t="s">
        <v>84</v>
      </c>
      <c r="H424" s="231">
        <v>1</v>
      </c>
      <c r="I424" s="232">
        <v>1845</v>
      </c>
      <c r="J424" s="230">
        <v>46044</v>
      </c>
      <c r="K424" s="227" t="s">
        <v>93</v>
      </c>
      <c r="L424" s="227" t="s">
        <v>94</v>
      </c>
      <c r="M424" s="233">
        <v>0.43</v>
      </c>
      <c r="N424" s="231"/>
      <c r="O424" s="231"/>
      <c r="P424" s="234">
        <v>-10.199999999999999</v>
      </c>
    </row>
    <row r="425" spans="1:16" ht="19.5" customHeight="1">
      <c r="A425" s="227" t="s">
        <v>1187</v>
      </c>
      <c r="B425" s="230">
        <v>46050</v>
      </c>
      <c r="C425" s="227" t="s">
        <v>92</v>
      </c>
      <c r="D425" s="227" t="s">
        <v>24</v>
      </c>
      <c r="E425" s="227" t="s">
        <v>52</v>
      </c>
      <c r="F425" s="227" t="s">
        <v>90</v>
      </c>
      <c r="G425" s="227" t="s">
        <v>84</v>
      </c>
      <c r="H425" s="231">
        <v>1</v>
      </c>
      <c r="I425" s="232">
        <v>1800</v>
      </c>
      <c r="J425" s="230">
        <v>46047</v>
      </c>
      <c r="K425" s="227" t="s">
        <v>93</v>
      </c>
      <c r="L425" s="227" t="s">
        <v>94</v>
      </c>
      <c r="M425" s="233">
        <v>0.43</v>
      </c>
      <c r="N425" s="231"/>
      <c r="O425" s="231">
        <v>41</v>
      </c>
      <c r="P425" s="234">
        <v>-134.84</v>
      </c>
    </row>
    <row r="426" spans="1:16" ht="19.5" customHeight="1">
      <c r="A426" s="227" t="s">
        <v>1187</v>
      </c>
      <c r="B426" s="230">
        <v>46050</v>
      </c>
      <c r="C426" s="227" t="s">
        <v>100</v>
      </c>
      <c r="D426" s="227" t="s">
        <v>101</v>
      </c>
      <c r="E426" s="227" t="s">
        <v>52</v>
      </c>
      <c r="F426" s="227" t="s">
        <v>90</v>
      </c>
      <c r="G426" s="227" t="s">
        <v>84</v>
      </c>
      <c r="H426" s="231">
        <v>1</v>
      </c>
      <c r="I426" s="232">
        <v>1800</v>
      </c>
      <c r="J426" s="230">
        <v>46047</v>
      </c>
      <c r="K426" s="227" t="s">
        <v>93</v>
      </c>
      <c r="L426" s="227" t="s">
        <v>94</v>
      </c>
      <c r="M426" s="233">
        <v>0</v>
      </c>
      <c r="N426" s="231"/>
      <c r="O426" s="231"/>
      <c r="P426" s="234">
        <v>700</v>
      </c>
    </row>
    <row r="427" spans="1:16" ht="19.5" customHeight="1">
      <c r="A427" s="227" t="s">
        <v>1187</v>
      </c>
      <c r="B427" s="230">
        <v>46050</v>
      </c>
      <c r="C427" s="227" t="s">
        <v>100</v>
      </c>
      <c r="D427" s="227" t="s">
        <v>102</v>
      </c>
      <c r="E427" s="227" t="s">
        <v>52</v>
      </c>
      <c r="F427" s="227" t="s">
        <v>90</v>
      </c>
      <c r="G427" s="227" t="s">
        <v>84</v>
      </c>
      <c r="H427" s="231">
        <v>1</v>
      </c>
      <c r="I427" s="232">
        <v>1800</v>
      </c>
      <c r="J427" s="230">
        <v>46047</v>
      </c>
      <c r="K427" s="227" t="s">
        <v>93</v>
      </c>
      <c r="L427" s="227" t="s">
        <v>94</v>
      </c>
      <c r="M427" s="233">
        <v>0</v>
      </c>
      <c r="N427" s="231"/>
      <c r="O427" s="231"/>
      <c r="P427" s="234">
        <v>0</v>
      </c>
    </row>
    <row r="428" spans="1:16" ht="19.5" customHeight="1">
      <c r="A428" s="227" t="s">
        <v>1187</v>
      </c>
      <c r="B428" s="230">
        <v>46050</v>
      </c>
      <c r="C428" s="227" t="s">
        <v>100</v>
      </c>
      <c r="D428" s="227" t="s">
        <v>103</v>
      </c>
      <c r="E428" s="227" t="s">
        <v>52</v>
      </c>
      <c r="F428" s="227" t="s">
        <v>90</v>
      </c>
      <c r="G428" s="227" t="s">
        <v>84</v>
      </c>
      <c r="H428" s="231">
        <v>1</v>
      </c>
      <c r="I428" s="232">
        <v>1800</v>
      </c>
      <c r="J428" s="230">
        <v>46047</v>
      </c>
      <c r="K428" s="227" t="s">
        <v>93</v>
      </c>
      <c r="L428" s="227" t="s">
        <v>94</v>
      </c>
      <c r="M428" s="233">
        <v>0</v>
      </c>
      <c r="N428" s="231"/>
      <c r="O428" s="231"/>
      <c r="P428" s="234">
        <v>1100</v>
      </c>
    </row>
    <row r="429" spans="1:16" ht="19.5" customHeight="1">
      <c r="A429" s="227" t="s">
        <v>1187</v>
      </c>
      <c r="B429" s="230">
        <v>46050</v>
      </c>
      <c r="C429" s="227" t="s">
        <v>104</v>
      </c>
      <c r="D429" s="227" t="s">
        <v>105</v>
      </c>
      <c r="E429" s="227" t="s">
        <v>52</v>
      </c>
      <c r="F429" s="227" t="s">
        <v>90</v>
      </c>
      <c r="G429" s="227" t="s">
        <v>84</v>
      </c>
      <c r="H429" s="231">
        <v>1</v>
      </c>
      <c r="I429" s="232">
        <v>1800</v>
      </c>
      <c r="J429" s="230">
        <v>46047</v>
      </c>
      <c r="K429" s="227" t="s">
        <v>93</v>
      </c>
      <c r="L429" s="227" t="s">
        <v>94</v>
      </c>
      <c r="M429" s="233">
        <v>0.43</v>
      </c>
      <c r="N429" s="231"/>
      <c r="O429" s="231"/>
      <c r="P429" s="234">
        <v>-774</v>
      </c>
    </row>
    <row r="430" spans="1:16" ht="19.5" customHeight="1">
      <c r="A430" s="227" t="s">
        <v>1187</v>
      </c>
      <c r="B430" s="230">
        <v>46050</v>
      </c>
      <c r="C430" s="227" t="s">
        <v>81</v>
      </c>
      <c r="D430" s="227" t="s">
        <v>95</v>
      </c>
      <c r="E430" s="227" t="s">
        <v>52</v>
      </c>
      <c r="F430" s="227" t="s">
        <v>90</v>
      </c>
      <c r="G430" s="227" t="s">
        <v>84</v>
      </c>
      <c r="H430" s="231">
        <v>1</v>
      </c>
      <c r="I430" s="232">
        <v>1800</v>
      </c>
      <c r="J430" s="230">
        <v>46047</v>
      </c>
      <c r="K430" s="227" t="s">
        <v>93</v>
      </c>
      <c r="L430" s="227" t="s">
        <v>94</v>
      </c>
      <c r="M430" s="233">
        <v>0.43</v>
      </c>
      <c r="N430" s="231"/>
      <c r="O430" s="231"/>
      <c r="P430" s="234">
        <v>-18.100000000000001</v>
      </c>
    </row>
    <row r="431" spans="1:16" ht="19.5" customHeight="1">
      <c r="A431" s="227" t="s">
        <v>1188</v>
      </c>
      <c r="B431" s="230">
        <v>46050</v>
      </c>
      <c r="C431" s="227" t="s">
        <v>92</v>
      </c>
      <c r="D431" s="227" t="s">
        <v>24</v>
      </c>
      <c r="E431" s="227" t="s">
        <v>43</v>
      </c>
      <c r="F431" s="227" t="s">
        <v>125</v>
      </c>
      <c r="G431" s="227" t="s">
        <v>84</v>
      </c>
      <c r="H431" s="231">
        <v>1</v>
      </c>
      <c r="I431" s="232">
        <v>1750</v>
      </c>
      <c r="J431" s="230">
        <v>46048</v>
      </c>
      <c r="K431" s="227" t="s">
        <v>93</v>
      </c>
      <c r="L431" s="227" t="s">
        <v>94</v>
      </c>
      <c r="M431" s="233">
        <v>0.43</v>
      </c>
      <c r="N431" s="231"/>
      <c r="O431" s="231">
        <v>44</v>
      </c>
      <c r="P431" s="234">
        <v>-131.37</v>
      </c>
    </row>
    <row r="432" spans="1:16" ht="19.5" customHeight="1">
      <c r="A432" s="227" t="s">
        <v>1188</v>
      </c>
      <c r="B432" s="230">
        <v>46050</v>
      </c>
      <c r="C432" s="227" t="s">
        <v>100</v>
      </c>
      <c r="D432" s="227" t="s">
        <v>101</v>
      </c>
      <c r="E432" s="227" t="s">
        <v>43</v>
      </c>
      <c r="F432" s="227" t="s">
        <v>125</v>
      </c>
      <c r="G432" s="227" t="s">
        <v>84</v>
      </c>
      <c r="H432" s="231">
        <v>1</v>
      </c>
      <c r="I432" s="232">
        <v>1750</v>
      </c>
      <c r="J432" s="230">
        <v>46048</v>
      </c>
      <c r="K432" s="227" t="s">
        <v>93</v>
      </c>
      <c r="L432" s="227" t="s">
        <v>94</v>
      </c>
      <c r="M432" s="233">
        <v>0</v>
      </c>
      <c r="N432" s="231"/>
      <c r="O432" s="231"/>
      <c r="P432" s="234">
        <v>609.52</v>
      </c>
    </row>
    <row r="433" spans="1:16" ht="19.5" customHeight="1">
      <c r="A433" s="227" t="s">
        <v>1188</v>
      </c>
      <c r="B433" s="230">
        <v>46050</v>
      </c>
      <c r="C433" s="227" t="s">
        <v>100</v>
      </c>
      <c r="D433" s="227" t="s">
        <v>102</v>
      </c>
      <c r="E433" s="227" t="s">
        <v>43</v>
      </c>
      <c r="F433" s="227" t="s">
        <v>125</v>
      </c>
      <c r="G433" s="227" t="s">
        <v>84</v>
      </c>
      <c r="H433" s="231">
        <v>1</v>
      </c>
      <c r="I433" s="232">
        <v>1750</v>
      </c>
      <c r="J433" s="230">
        <v>46048</v>
      </c>
      <c r="K433" s="227" t="s">
        <v>93</v>
      </c>
      <c r="L433" s="227" t="s">
        <v>94</v>
      </c>
      <c r="M433" s="233">
        <v>0</v>
      </c>
      <c r="N433" s="231"/>
      <c r="O433" s="231"/>
      <c r="P433" s="234">
        <v>6.1</v>
      </c>
    </row>
    <row r="434" spans="1:16" ht="19.5" customHeight="1">
      <c r="A434" s="227" t="s">
        <v>1188</v>
      </c>
      <c r="B434" s="230">
        <v>46050</v>
      </c>
      <c r="C434" s="227" t="s">
        <v>100</v>
      </c>
      <c r="D434" s="227" t="s">
        <v>103</v>
      </c>
      <c r="E434" s="227" t="s">
        <v>43</v>
      </c>
      <c r="F434" s="227" t="s">
        <v>125</v>
      </c>
      <c r="G434" s="227" t="s">
        <v>84</v>
      </c>
      <c r="H434" s="231">
        <v>1</v>
      </c>
      <c r="I434" s="232">
        <v>1750</v>
      </c>
      <c r="J434" s="230">
        <v>46048</v>
      </c>
      <c r="K434" s="227" t="s">
        <v>93</v>
      </c>
      <c r="L434" s="227" t="s">
        <v>94</v>
      </c>
      <c r="M434" s="233">
        <v>0</v>
      </c>
      <c r="N434" s="231"/>
      <c r="O434" s="231"/>
      <c r="P434" s="234">
        <v>1134.3800000000001</v>
      </c>
    </row>
    <row r="435" spans="1:16" ht="19.5" customHeight="1">
      <c r="A435" s="227" t="s">
        <v>1188</v>
      </c>
      <c r="B435" s="230">
        <v>46050</v>
      </c>
      <c r="C435" s="227" t="s">
        <v>104</v>
      </c>
      <c r="D435" s="227" t="s">
        <v>105</v>
      </c>
      <c r="E435" s="227" t="s">
        <v>43</v>
      </c>
      <c r="F435" s="227" t="s">
        <v>125</v>
      </c>
      <c r="G435" s="227" t="s">
        <v>84</v>
      </c>
      <c r="H435" s="231">
        <v>1</v>
      </c>
      <c r="I435" s="232">
        <v>1750</v>
      </c>
      <c r="J435" s="230">
        <v>46048</v>
      </c>
      <c r="K435" s="227" t="s">
        <v>93</v>
      </c>
      <c r="L435" s="227" t="s">
        <v>94</v>
      </c>
      <c r="M435" s="233">
        <v>0.43</v>
      </c>
      <c r="N435" s="231"/>
      <c r="O435" s="231"/>
      <c r="P435" s="234">
        <v>-752.5</v>
      </c>
    </row>
    <row r="436" spans="1:16" ht="19.5" customHeight="1">
      <c r="A436" s="227" t="s">
        <v>1188</v>
      </c>
      <c r="B436" s="230">
        <v>46050</v>
      </c>
      <c r="C436" s="227" t="s">
        <v>81</v>
      </c>
      <c r="D436" s="227" t="s">
        <v>95</v>
      </c>
      <c r="E436" s="227" t="s">
        <v>43</v>
      </c>
      <c r="F436" s="227" t="s">
        <v>125</v>
      </c>
      <c r="G436" s="227" t="s">
        <v>84</v>
      </c>
      <c r="H436" s="231">
        <v>1</v>
      </c>
      <c r="I436" s="232">
        <v>1750</v>
      </c>
      <c r="J436" s="230">
        <v>46048</v>
      </c>
      <c r="K436" s="227" t="s">
        <v>93</v>
      </c>
      <c r="L436" s="227" t="s">
        <v>94</v>
      </c>
      <c r="M436" s="233">
        <v>0.43</v>
      </c>
      <c r="N436" s="231"/>
      <c r="O436" s="231"/>
      <c r="P436" s="234">
        <v>-12.97</v>
      </c>
    </row>
    <row r="437" spans="1:16" ht="19.5" customHeight="1">
      <c r="A437" s="227" t="s">
        <v>1188</v>
      </c>
      <c r="B437" s="230">
        <v>46050</v>
      </c>
      <c r="C437" s="227" t="s">
        <v>81</v>
      </c>
      <c r="D437" s="227" t="s">
        <v>82</v>
      </c>
      <c r="E437" s="227" t="s">
        <v>43</v>
      </c>
      <c r="F437" s="227" t="s">
        <v>125</v>
      </c>
      <c r="G437" s="227" t="s">
        <v>84</v>
      </c>
      <c r="H437" s="231">
        <v>1</v>
      </c>
      <c r="I437" s="232">
        <v>0</v>
      </c>
      <c r="J437" s="230">
        <v>46048</v>
      </c>
      <c r="K437" s="227" t="s">
        <v>85</v>
      </c>
      <c r="L437" s="227" t="s">
        <v>85</v>
      </c>
      <c r="M437" s="233">
        <v>0</v>
      </c>
      <c r="N437" s="231"/>
      <c r="O437" s="231"/>
      <c r="P437" s="234">
        <v>-11.58</v>
      </c>
    </row>
    <row r="438" spans="1:16" ht="19.5" customHeight="1">
      <c r="A438" s="227" t="s">
        <v>1189</v>
      </c>
      <c r="B438" s="230">
        <v>46050</v>
      </c>
      <c r="C438" s="227" t="s">
        <v>81</v>
      </c>
      <c r="D438" s="227" t="s">
        <v>82</v>
      </c>
      <c r="E438" s="227" t="s">
        <v>41</v>
      </c>
      <c r="F438" s="227" t="s">
        <v>83</v>
      </c>
      <c r="G438" s="227" t="s">
        <v>84</v>
      </c>
      <c r="H438" s="231">
        <v>1</v>
      </c>
      <c r="I438" s="232">
        <v>0</v>
      </c>
      <c r="J438" s="230">
        <v>46050</v>
      </c>
      <c r="K438" s="227" t="s">
        <v>85</v>
      </c>
      <c r="L438" s="227" t="s">
        <v>85</v>
      </c>
      <c r="M438" s="233">
        <v>0</v>
      </c>
      <c r="N438" s="231"/>
      <c r="O438" s="231"/>
      <c r="P438" s="234">
        <v>-12.29</v>
      </c>
    </row>
    <row r="439" spans="1:16" ht="19.5" customHeight="1">
      <c r="A439" s="227" t="s">
        <v>1190</v>
      </c>
      <c r="B439" s="230">
        <v>46050</v>
      </c>
      <c r="C439" s="227" t="s">
        <v>92</v>
      </c>
      <c r="D439" s="227" t="s">
        <v>24</v>
      </c>
      <c r="E439" s="227" t="s">
        <v>53</v>
      </c>
      <c r="F439" s="227" t="s">
        <v>120</v>
      </c>
      <c r="G439" s="227" t="s">
        <v>84</v>
      </c>
      <c r="H439" s="231">
        <v>1</v>
      </c>
      <c r="I439" s="232">
        <v>1845</v>
      </c>
      <c r="J439" s="230">
        <v>46043</v>
      </c>
      <c r="K439" s="227" t="s">
        <v>93</v>
      </c>
      <c r="L439" s="227" t="s">
        <v>94</v>
      </c>
      <c r="M439" s="233">
        <v>0.43</v>
      </c>
      <c r="N439" s="231"/>
      <c r="O439" s="231">
        <v>43</v>
      </c>
      <c r="P439" s="234">
        <v>-144.94999999999999</v>
      </c>
    </row>
    <row r="440" spans="1:16" ht="19.5" customHeight="1">
      <c r="A440" s="227" t="s">
        <v>1190</v>
      </c>
      <c r="B440" s="230">
        <v>46050</v>
      </c>
      <c r="C440" s="227" t="s">
        <v>100</v>
      </c>
      <c r="D440" s="227" t="s">
        <v>101</v>
      </c>
      <c r="E440" s="227" t="s">
        <v>53</v>
      </c>
      <c r="F440" s="227" t="s">
        <v>120</v>
      </c>
      <c r="G440" s="227" t="s">
        <v>84</v>
      </c>
      <c r="H440" s="231">
        <v>1</v>
      </c>
      <c r="I440" s="232">
        <v>1845</v>
      </c>
      <c r="J440" s="230">
        <v>46043</v>
      </c>
      <c r="K440" s="227" t="s">
        <v>93</v>
      </c>
      <c r="L440" s="227" t="s">
        <v>94</v>
      </c>
      <c r="M440" s="233">
        <v>0</v>
      </c>
      <c r="N440" s="231"/>
      <c r="O440" s="231"/>
      <c r="P440" s="234">
        <v>642.86</v>
      </c>
    </row>
    <row r="441" spans="1:16" ht="19.5" customHeight="1">
      <c r="A441" s="227" t="s">
        <v>1190</v>
      </c>
      <c r="B441" s="230">
        <v>46050</v>
      </c>
      <c r="C441" s="227" t="s">
        <v>100</v>
      </c>
      <c r="D441" s="227" t="s">
        <v>102</v>
      </c>
      <c r="E441" s="227" t="s">
        <v>53</v>
      </c>
      <c r="F441" s="227" t="s">
        <v>120</v>
      </c>
      <c r="G441" s="227" t="s">
        <v>84</v>
      </c>
      <c r="H441" s="231">
        <v>1</v>
      </c>
      <c r="I441" s="232">
        <v>1845</v>
      </c>
      <c r="J441" s="230">
        <v>46043</v>
      </c>
      <c r="K441" s="227" t="s">
        <v>93</v>
      </c>
      <c r="L441" s="227" t="s">
        <v>94</v>
      </c>
      <c r="M441" s="233">
        <v>0</v>
      </c>
      <c r="N441" s="231"/>
      <c r="O441" s="231"/>
      <c r="P441" s="234">
        <v>6.43</v>
      </c>
    </row>
    <row r="442" spans="1:16" ht="19.5" customHeight="1">
      <c r="A442" s="227" t="s">
        <v>1190</v>
      </c>
      <c r="B442" s="230">
        <v>46050</v>
      </c>
      <c r="C442" s="227" t="s">
        <v>100</v>
      </c>
      <c r="D442" s="227" t="s">
        <v>103</v>
      </c>
      <c r="E442" s="227" t="s">
        <v>53</v>
      </c>
      <c r="F442" s="227" t="s">
        <v>120</v>
      </c>
      <c r="G442" s="227" t="s">
        <v>84</v>
      </c>
      <c r="H442" s="231">
        <v>1</v>
      </c>
      <c r="I442" s="232">
        <v>1845</v>
      </c>
      <c r="J442" s="230">
        <v>46043</v>
      </c>
      <c r="K442" s="227" t="s">
        <v>93</v>
      </c>
      <c r="L442" s="227" t="s">
        <v>94</v>
      </c>
      <c r="M442" s="233">
        <v>0</v>
      </c>
      <c r="N442" s="231"/>
      <c r="O442" s="231"/>
      <c r="P442" s="234">
        <v>1195.71</v>
      </c>
    </row>
    <row r="443" spans="1:16" ht="19.5" customHeight="1">
      <c r="A443" s="227" t="s">
        <v>1190</v>
      </c>
      <c r="B443" s="230">
        <v>46050</v>
      </c>
      <c r="C443" s="227" t="s">
        <v>104</v>
      </c>
      <c r="D443" s="227" t="s">
        <v>105</v>
      </c>
      <c r="E443" s="227" t="s">
        <v>53</v>
      </c>
      <c r="F443" s="227" t="s">
        <v>120</v>
      </c>
      <c r="G443" s="227" t="s">
        <v>84</v>
      </c>
      <c r="H443" s="231">
        <v>1</v>
      </c>
      <c r="I443" s="232">
        <v>1845</v>
      </c>
      <c r="J443" s="230">
        <v>46043</v>
      </c>
      <c r="K443" s="227" t="s">
        <v>93</v>
      </c>
      <c r="L443" s="227" t="s">
        <v>94</v>
      </c>
      <c r="M443" s="233">
        <v>0.43</v>
      </c>
      <c r="N443" s="231"/>
      <c r="O443" s="231"/>
      <c r="P443" s="234">
        <v>-793.35</v>
      </c>
    </row>
    <row r="444" spans="1:16" ht="19.5" customHeight="1">
      <c r="A444" s="227" t="s">
        <v>1190</v>
      </c>
      <c r="B444" s="230">
        <v>46050</v>
      </c>
      <c r="C444" s="227" t="s">
        <v>81</v>
      </c>
      <c r="D444" s="227" t="s">
        <v>95</v>
      </c>
      <c r="E444" s="227" t="s">
        <v>53</v>
      </c>
      <c r="F444" s="227" t="s">
        <v>120</v>
      </c>
      <c r="G444" s="227" t="s">
        <v>84</v>
      </c>
      <c r="H444" s="231">
        <v>1</v>
      </c>
      <c r="I444" s="232">
        <v>1845</v>
      </c>
      <c r="J444" s="230">
        <v>46043</v>
      </c>
      <c r="K444" s="227" t="s">
        <v>93</v>
      </c>
      <c r="L444" s="227" t="s">
        <v>94</v>
      </c>
      <c r="M444" s="233">
        <v>0.43</v>
      </c>
      <c r="N444" s="231"/>
      <c r="O444" s="231"/>
      <c r="P444" s="234">
        <v>-20.440000000000001</v>
      </c>
    </row>
    <row r="445" spans="1:16" ht="19.5" customHeight="1">
      <c r="A445" s="227" t="s">
        <v>1190</v>
      </c>
      <c r="B445" s="230">
        <v>46050</v>
      </c>
      <c r="C445" s="227" t="s">
        <v>81</v>
      </c>
      <c r="D445" s="227" t="s">
        <v>82</v>
      </c>
      <c r="E445" s="227" t="s">
        <v>53</v>
      </c>
      <c r="F445" s="227" t="s">
        <v>120</v>
      </c>
      <c r="G445" s="227" t="s">
        <v>84</v>
      </c>
      <c r="H445" s="231">
        <v>1</v>
      </c>
      <c r="I445" s="232">
        <v>0</v>
      </c>
      <c r="J445" s="230">
        <v>46043</v>
      </c>
      <c r="K445" s="227" t="s">
        <v>85</v>
      </c>
      <c r="L445" s="227" t="s">
        <v>85</v>
      </c>
      <c r="M445" s="233">
        <v>0</v>
      </c>
      <c r="N445" s="231"/>
      <c r="O445" s="231"/>
      <c r="P445" s="234">
        <v>-12.21</v>
      </c>
    </row>
    <row r="446" spans="1:16" ht="19.5" customHeight="1">
      <c r="A446" s="227" t="s">
        <v>1191</v>
      </c>
      <c r="B446" s="230">
        <v>46050</v>
      </c>
      <c r="C446" s="227" t="s">
        <v>92</v>
      </c>
      <c r="D446" s="227" t="s">
        <v>24</v>
      </c>
      <c r="E446" s="227" t="s">
        <v>53</v>
      </c>
      <c r="F446" s="227" t="s">
        <v>120</v>
      </c>
      <c r="G446" s="227" t="s">
        <v>84</v>
      </c>
      <c r="H446" s="231">
        <v>1</v>
      </c>
      <c r="I446" s="232">
        <v>1845</v>
      </c>
      <c r="J446" s="230">
        <v>46043</v>
      </c>
      <c r="K446" s="227" t="s">
        <v>93</v>
      </c>
      <c r="L446" s="227" t="s">
        <v>94</v>
      </c>
      <c r="M446" s="233">
        <v>0.43</v>
      </c>
      <c r="N446" s="231"/>
      <c r="O446" s="231">
        <v>43</v>
      </c>
      <c r="P446" s="234">
        <v>-144.94999999999999</v>
      </c>
    </row>
    <row r="447" spans="1:16" ht="19.5" customHeight="1">
      <c r="A447" s="227" t="s">
        <v>1191</v>
      </c>
      <c r="B447" s="230">
        <v>46050</v>
      </c>
      <c r="C447" s="227" t="s">
        <v>100</v>
      </c>
      <c r="D447" s="227" t="s">
        <v>101</v>
      </c>
      <c r="E447" s="227" t="s">
        <v>53</v>
      </c>
      <c r="F447" s="227" t="s">
        <v>120</v>
      </c>
      <c r="G447" s="227" t="s">
        <v>84</v>
      </c>
      <c r="H447" s="231">
        <v>1</v>
      </c>
      <c r="I447" s="232">
        <v>1845</v>
      </c>
      <c r="J447" s="230">
        <v>46043</v>
      </c>
      <c r="K447" s="227" t="s">
        <v>93</v>
      </c>
      <c r="L447" s="227" t="s">
        <v>94</v>
      </c>
      <c r="M447" s="233">
        <v>0</v>
      </c>
      <c r="N447" s="231"/>
      <c r="O447" s="231"/>
      <c r="P447" s="234">
        <v>702.86</v>
      </c>
    </row>
    <row r="448" spans="1:16" ht="19.5" customHeight="1">
      <c r="A448" s="227" t="s">
        <v>1191</v>
      </c>
      <c r="B448" s="230">
        <v>46050</v>
      </c>
      <c r="C448" s="227" t="s">
        <v>100</v>
      </c>
      <c r="D448" s="227" t="s">
        <v>102</v>
      </c>
      <c r="E448" s="227" t="s">
        <v>53</v>
      </c>
      <c r="F448" s="227" t="s">
        <v>120</v>
      </c>
      <c r="G448" s="227" t="s">
        <v>84</v>
      </c>
      <c r="H448" s="231">
        <v>1</v>
      </c>
      <c r="I448" s="232">
        <v>1845</v>
      </c>
      <c r="J448" s="230">
        <v>46043</v>
      </c>
      <c r="K448" s="227" t="s">
        <v>93</v>
      </c>
      <c r="L448" s="227" t="s">
        <v>94</v>
      </c>
      <c r="M448" s="233">
        <v>0</v>
      </c>
      <c r="N448" s="231"/>
      <c r="O448" s="231"/>
      <c r="P448" s="234">
        <v>0</v>
      </c>
    </row>
    <row r="449" spans="1:16" ht="19.5" customHeight="1">
      <c r="A449" s="227" t="s">
        <v>1191</v>
      </c>
      <c r="B449" s="230">
        <v>46050</v>
      </c>
      <c r="C449" s="227" t="s">
        <v>100</v>
      </c>
      <c r="D449" s="227" t="s">
        <v>103</v>
      </c>
      <c r="E449" s="227" t="s">
        <v>53</v>
      </c>
      <c r="F449" s="227" t="s">
        <v>120</v>
      </c>
      <c r="G449" s="227" t="s">
        <v>84</v>
      </c>
      <c r="H449" s="231">
        <v>1</v>
      </c>
      <c r="I449" s="232">
        <v>1845</v>
      </c>
      <c r="J449" s="230">
        <v>46043</v>
      </c>
      <c r="K449" s="227" t="s">
        <v>93</v>
      </c>
      <c r="L449" s="227" t="s">
        <v>94</v>
      </c>
      <c r="M449" s="233">
        <v>0</v>
      </c>
      <c r="N449" s="231"/>
      <c r="O449" s="231"/>
      <c r="P449" s="234">
        <v>1142.1400000000001</v>
      </c>
    </row>
    <row r="450" spans="1:16" ht="19.5" customHeight="1">
      <c r="A450" s="227" t="s">
        <v>1191</v>
      </c>
      <c r="B450" s="230">
        <v>46050</v>
      </c>
      <c r="C450" s="227" t="s">
        <v>104</v>
      </c>
      <c r="D450" s="227" t="s">
        <v>105</v>
      </c>
      <c r="E450" s="227" t="s">
        <v>53</v>
      </c>
      <c r="F450" s="227" t="s">
        <v>120</v>
      </c>
      <c r="G450" s="227" t="s">
        <v>84</v>
      </c>
      <c r="H450" s="231">
        <v>1</v>
      </c>
      <c r="I450" s="232">
        <v>1845</v>
      </c>
      <c r="J450" s="230">
        <v>46043</v>
      </c>
      <c r="K450" s="227" t="s">
        <v>93</v>
      </c>
      <c r="L450" s="227" t="s">
        <v>94</v>
      </c>
      <c r="M450" s="233">
        <v>0.43</v>
      </c>
      <c r="N450" s="231"/>
      <c r="O450" s="231"/>
      <c r="P450" s="234">
        <v>-793.35</v>
      </c>
    </row>
    <row r="451" spans="1:16" ht="19.5" customHeight="1">
      <c r="A451" s="227" t="s">
        <v>1191</v>
      </c>
      <c r="B451" s="230">
        <v>46050</v>
      </c>
      <c r="C451" s="227" t="s">
        <v>81</v>
      </c>
      <c r="D451" s="227" t="s">
        <v>95</v>
      </c>
      <c r="E451" s="227" t="s">
        <v>53</v>
      </c>
      <c r="F451" s="227" t="s">
        <v>120</v>
      </c>
      <c r="G451" s="227" t="s">
        <v>84</v>
      </c>
      <c r="H451" s="231">
        <v>1</v>
      </c>
      <c r="I451" s="232">
        <v>1845</v>
      </c>
      <c r="J451" s="230">
        <v>46043</v>
      </c>
      <c r="K451" s="227" t="s">
        <v>93</v>
      </c>
      <c r="L451" s="227" t="s">
        <v>94</v>
      </c>
      <c r="M451" s="233">
        <v>0.43</v>
      </c>
      <c r="N451" s="231"/>
      <c r="O451" s="231"/>
      <c r="P451" s="234">
        <v>-11.47</v>
      </c>
    </row>
    <row r="452" spans="1:16" ht="19.5" customHeight="1">
      <c r="A452" s="227" t="s">
        <v>1192</v>
      </c>
      <c r="B452" s="230">
        <v>46050</v>
      </c>
      <c r="C452" s="227" t="s">
        <v>81</v>
      </c>
      <c r="D452" s="227" t="s">
        <v>82</v>
      </c>
      <c r="E452" s="227" t="s">
        <v>41</v>
      </c>
      <c r="F452" s="227" t="s">
        <v>83</v>
      </c>
      <c r="G452" s="227" t="s">
        <v>84</v>
      </c>
      <c r="H452" s="231">
        <v>1</v>
      </c>
      <c r="I452" s="232">
        <v>0</v>
      </c>
      <c r="J452" s="230">
        <v>46050</v>
      </c>
      <c r="K452" s="227" t="s">
        <v>85</v>
      </c>
      <c r="L452" s="227" t="s">
        <v>85</v>
      </c>
      <c r="M452" s="233">
        <v>0</v>
      </c>
      <c r="N452" s="231"/>
      <c r="O452" s="231"/>
      <c r="P452" s="234">
        <v>-11.57</v>
      </c>
    </row>
    <row r="453" spans="1:16" ht="19.5" customHeight="1">
      <c r="A453" s="227" t="s">
        <v>1193</v>
      </c>
      <c r="B453" s="230">
        <v>46050</v>
      </c>
      <c r="C453" s="227" t="s">
        <v>92</v>
      </c>
      <c r="D453" s="227" t="s">
        <v>24</v>
      </c>
      <c r="E453" s="227" t="s">
        <v>52</v>
      </c>
      <c r="F453" s="227" t="s">
        <v>90</v>
      </c>
      <c r="G453" s="227" t="s">
        <v>84</v>
      </c>
      <c r="H453" s="231">
        <v>1</v>
      </c>
      <c r="I453" s="232">
        <v>1800</v>
      </c>
      <c r="J453" s="230">
        <v>46048</v>
      </c>
      <c r="K453" s="227" t="s">
        <v>93</v>
      </c>
      <c r="L453" s="227" t="s">
        <v>94</v>
      </c>
      <c r="M453" s="233">
        <v>0.43</v>
      </c>
      <c r="N453" s="231"/>
      <c r="O453" s="231">
        <v>44</v>
      </c>
      <c r="P453" s="234">
        <v>-149.51</v>
      </c>
    </row>
    <row r="454" spans="1:16" ht="19.5" customHeight="1">
      <c r="A454" s="227" t="s">
        <v>1193</v>
      </c>
      <c r="B454" s="230">
        <v>46050</v>
      </c>
      <c r="C454" s="227" t="s">
        <v>100</v>
      </c>
      <c r="D454" s="227" t="s">
        <v>101</v>
      </c>
      <c r="E454" s="227" t="s">
        <v>52</v>
      </c>
      <c r="F454" s="227" t="s">
        <v>90</v>
      </c>
      <c r="G454" s="227" t="s">
        <v>84</v>
      </c>
      <c r="H454" s="231">
        <v>1</v>
      </c>
      <c r="I454" s="232">
        <v>1800</v>
      </c>
      <c r="J454" s="230">
        <v>46048</v>
      </c>
      <c r="K454" s="227" t="s">
        <v>93</v>
      </c>
      <c r="L454" s="227" t="s">
        <v>94</v>
      </c>
      <c r="M454" s="233">
        <v>0</v>
      </c>
      <c r="N454" s="231"/>
      <c r="O454" s="231"/>
      <c r="P454" s="234">
        <v>659.7</v>
      </c>
    </row>
    <row r="455" spans="1:16" ht="19.5" customHeight="1">
      <c r="A455" s="227" t="s">
        <v>1193</v>
      </c>
      <c r="B455" s="230">
        <v>46050</v>
      </c>
      <c r="C455" s="227" t="s">
        <v>100</v>
      </c>
      <c r="D455" s="227" t="s">
        <v>102</v>
      </c>
      <c r="E455" s="227" t="s">
        <v>52</v>
      </c>
      <c r="F455" s="227" t="s">
        <v>90</v>
      </c>
      <c r="G455" s="227" t="s">
        <v>84</v>
      </c>
      <c r="H455" s="231">
        <v>1</v>
      </c>
      <c r="I455" s="232">
        <v>1800</v>
      </c>
      <c r="J455" s="230">
        <v>46048</v>
      </c>
      <c r="K455" s="227" t="s">
        <v>93</v>
      </c>
      <c r="L455" s="227" t="s">
        <v>94</v>
      </c>
      <c r="M455" s="233">
        <v>0</v>
      </c>
      <c r="N455" s="231"/>
      <c r="O455" s="231"/>
      <c r="P455" s="234">
        <v>6.6</v>
      </c>
    </row>
    <row r="456" spans="1:16" ht="19.5" customHeight="1">
      <c r="A456" s="227" t="s">
        <v>1193</v>
      </c>
      <c r="B456" s="230">
        <v>46050</v>
      </c>
      <c r="C456" s="227" t="s">
        <v>100</v>
      </c>
      <c r="D456" s="227" t="s">
        <v>103</v>
      </c>
      <c r="E456" s="227" t="s">
        <v>52</v>
      </c>
      <c r="F456" s="227" t="s">
        <v>90</v>
      </c>
      <c r="G456" s="227" t="s">
        <v>84</v>
      </c>
      <c r="H456" s="231">
        <v>1</v>
      </c>
      <c r="I456" s="232">
        <v>1800</v>
      </c>
      <c r="J456" s="230">
        <v>46048</v>
      </c>
      <c r="K456" s="227" t="s">
        <v>93</v>
      </c>
      <c r="L456" s="227" t="s">
        <v>94</v>
      </c>
      <c r="M456" s="233">
        <v>0</v>
      </c>
      <c r="N456" s="231"/>
      <c r="O456" s="231"/>
      <c r="P456" s="234">
        <v>1133.7</v>
      </c>
    </row>
    <row r="457" spans="1:16" ht="19.5" customHeight="1">
      <c r="A457" s="227" t="s">
        <v>1193</v>
      </c>
      <c r="B457" s="230">
        <v>46050</v>
      </c>
      <c r="C457" s="227" t="s">
        <v>104</v>
      </c>
      <c r="D457" s="227" t="s">
        <v>105</v>
      </c>
      <c r="E457" s="227" t="s">
        <v>52</v>
      </c>
      <c r="F457" s="227" t="s">
        <v>90</v>
      </c>
      <c r="G457" s="227" t="s">
        <v>84</v>
      </c>
      <c r="H457" s="231">
        <v>1</v>
      </c>
      <c r="I457" s="232">
        <v>1800</v>
      </c>
      <c r="J457" s="230">
        <v>46048</v>
      </c>
      <c r="K457" s="227" t="s">
        <v>93</v>
      </c>
      <c r="L457" s="227" t="s">
        <v>94</v>
      </c>
      <c r="M457" s="233">
        <v>0.43</v>
      </c>
      <c r="N457" s="231"/>
      <c r="O457" s="231"/>
      <c r="P457" s="234">
        <v>-774</v>
      </c>
    </row>
    <row r="458" spans="1:16" ht="19.5" customHeight="1">
      <c r="A458" s="227" t="s">
        <v>1193</v>
      </c>
      <c r="B458" s="230">
        <v>46050</v>
      </c>
      <c r="C458" s="227" t="s">
        <v>81</v>
      </c>
      <c r="D458" s="227" t="s">
        <v>95</v>
      </c>
      <c r="E458" s="227" t="s">
        <v>52</v>
      </c>
      <c r="F458" s="227" t="s">
        <v>90</v>
      </c>
      <c r="G458" s="227" t="s">
        <v>84</v>
      </c>
      <c r="H458" s="231">
        <v>1</v>
      </c>
      <c r="I458" s="232">
        <v>1800</v>
      </c>
      <c r="J458" s="230">
        <v>46048</v>
      </c>
      <c r="K458" s="227" t="s">
        <v>93</v>
      </c>
      <c r="L458" s="227" t="s">
        <v>94</v>
      </c>
      <c r="M458" s="233">
        <v>0.43</v>
      </c>
      <c r="N458" s="231"/>
      <c r="O458" s="231"/>
      <c r="P458" s="234">
        <v>-16.059999999999999</v>
      </c>
    </row>
    <row r="459" spans="1:16" ht="19.5" customHeight="1">
      <c r="A459" s="227" t="s">
        <v>1194</v>
      </c>
      <c r="B459" s="230">
        <v>46050</v>
      </c>
      <c r="C459" s="227" t="s">
        <v>81</v>
      </c>
      <c r="D459" s="227" t="s">
        <v>82</v>
      </c>
      <c r="E459" s="227" t="s">
        <v>53</v>
      </c>
      <c r="F459" s="227" t="s">
        <v>120</v>
      </c>
      <c r="G459" s="227" t="s">
        <v>84</v>
      </c>
      <c r="H459" s="231">
        <v>1</v>
      </c>
      <c r="I459" s="232">
        <v>0</v>
      </c>
      <c r="J459" s="230">
        <v>46050</v>
      </c>
      <c r="K459" s="227" t="s">
        <v>85</v>
      </c>
      <c r="L459" s="227" t="s">
        <v>85</v>
      </c>
      <c r="M459" s="233">
        <v>0</v>
      </c>
      <c r="N459" s="231"/>
      <c r="O459" s="231"/>
      <c r="P459" s="234">
        <v>-12</v>
      </c>
    </row>
    <row r="460" spans="1:16" ht="19.5" customHeight="1">
      <c r="A460" s="227" t="s">
        <v>1193</v>
      </c>
      <c r="B460" s="230">
        <v>46050</v>
      </c>
      <c r="C460" s="227" t="s">
        <v>81</v>
      </c>
      <c r="D460" s="227" t="s">
        <v>82</v>
      </c>
      <c r="E460" s="227" t="s">
        <v>52</v>
      </c>
      <c r="F460" s="227" t="s">
        <v>90</v>
      </c>
      <c r="G460" s="227" t="s">
        <v>84</v>
      </c>
      <c r="H460" s="231">
        <v>1</v>
      </c>
      <c r="I460" s="232">
        <v>0</v>
      </c>
      <c r="J460" s="230">
        <v>46048</v>
      </c>
      <c r="K460" s="227" t="s">
        <v>85</v>
      </c>
      <c r="L460" s="227" t="s">
        <v>85</v>
      </c>
      <c r="M460" s="233">
        <v>0</v>
      </c>
      <c r="N460" s="231"/>
      <c r="O460" s="231"/>
      <c r="P460" s="234">
        <v>-12.53</v>
      </c>
    </row>
    <row r="461" spans="1:16" ht="19.5" customHeight="1">
      <c r="A461" s="227" t="s">
        <v>1195</v>
      </c>
      <c r="B461" s="230">
        <v>46050</v>
      </c>
      <c r="C461" s="227" t="s">
        <v>92</v>
      </c>
      <c r="D461" s="227" t="s">
        <v>24</v>
      </c>
      <c r="E461" s="227" t="s">
        <v>53</v>
      </c>
      <c r="F461" s="227" t="s">
        <v>120</v>
      </c>
      <c r="G461" s="227" t="s">
        <v>84</v>
      </c>
      <c r="H461" s="231">
        <v>1</v>
      </c>
      <c r="I461" s="232">
        <v>1812</v>
      </c>
      <c r="J461" s="230">
        <v>46045</v>
      </c>
      <c r="K461" s="227" t="s">
        <v>93</v>
      </c>
      <c r="L461" s="227" t="s">
        <v>94</v>
      </c>
      <c r="M461" s="233">
        <v>0.43</v>
      </c>
      <c r="N461" s="231"/>
      <c r="O461" s="231">
        <v>40</v>
      </c>
      <c r="P461" s="234">
        <v>-130.77000000000001</v>
      </c>
    </row>
    <row r="462" spans="1:16" ht="19.5" customHeight="1">
      <c r="A462" s="227" t="s">
        <v>1195</v>
      </c>
      <c r="B462" s="230">
        <v>46050</v>
      </c>
      <c r="C462" s="227" t="s">
        <v>100</v>
      </c>
      <c r="D462" s="227" t="s">
        <v>101</v>
      </c>
      <c r="E462" s="227" t="s">
        <v>53</v>
      </c>
      <c r="F462" s="227" t="s">
        <v>120</v>
      </c>
      <c r="G462" s="227" t="s">
        <v>84</v>
      </c>
      <c r="H462" s="231">
        <v>1</v>
      </c>
      <c r="I462" s="232">
        <v>1812</v>
      </c>
      <c r="J462" s="230">
        <v>46045</v>
      </c>
      <c r="K462" s="227" t="s">
        <v>93</v>
      </c>
      <c r="L462" s="227" t="s">
        <v>94</v>
      </c>
      <c r="M462" s="233">
        <v>0</v>
      </c>
      <c r="N462" s="231"/>
      <c r="O462" s="231"/>
      <c r="P462" s="234">
        <v>631.42999999999995</v>
      </c>
    </row>
    <row r="463" spans="1:16" ht="19.5" customHeight="1">
      <c r="A463" s="227" t="s">
        <v>1195</v>
      </c>
      <c r="B463" s="230">
        <v>46050</v>
      </c>
      <c r="C463" s="227" t="s">
        <v>100</v>
      </c>
      <c r="D463" s="227" t="s">
        <v>102</v>
      </c>
      <c r="E463" s="227" t="s">
        <v>53</v>
      </c>
      <c r="F463" s="227" t="s">
        <v>120</v>
      </c>
      <c r="G463" s="227" t="s">
        <v>84</v>
      </c>
      <c r="H463" s="231">
        <v>1</v>
      </c>
      <c r="I463" s="232">
        <v>1812</v>
      </c>
      <c r="J463" s="230">
        <v>46045</v>
      </c>
      <c r="K463" s="227" t="s">
        <v>93</v>
      </c>
      <c r="L463" s="227" t="s">
        <v>94</v>
      </c>
      <c r="M463" s="233">
        <v>0</v>
      </c>
      <c r="N463" s="231"/>
      <c r="O463" s="231"/>
      <c r="P463" s="234">
        <v>6.31</v>
      </c>
    </row>
    <row r="464" spans="1:16" ht="19.5" customHeight="1">
      <c r="A464" s="227" t="s">
        <v>1195</v>
      </c>
      <c r="B464" s="230">
        <v>46050</v>
      </c>
      <c r="C464" s="227" t="s">
        <v>100</v>
      </c>
      <c r="D464" s="227" t="s">
        <v>103</v>
      </c>
      <c r="E464" s="227" t="s">
        <v>53</v>
      </c>
      <c r="F464" s="227" t="s">
        <v>120</v>
      </c>
      <c r="G464" s="227" t="s">
        <v>84</v>
      </c>
      <c r="H464" s="231">
        <v>1</v>
      </c>
      <c r="I464" s="232">
        <v>1812</v>
      </c>
      <c r="J464" s="230">
        <v>46045</v>
      </c>
      <c r="K464" s="227" t="s">
        <v>93</v>
      </c>
      <c r="L464" s="227" t="s">
        <v>94</v>
      </c>
      <c r="M464" s="233">
        <v>0</v>
      </c>
      <c r="N464" s="231"/>
      <c r="O464" s="231"/>
      <c r="P464" s="234">
        <v>1174.26</v>
      </c>
    </row>
    <row r="465" spans="1:16" ht="19.5" customHeight="1">
      <c r="A465" s="227" t="s">
        <v>1195</v>
      </c>
      <c r="B465" s="230">
        <v>46050</v>
      </c>
      <c r="C465" s="227" t="s">
        <v>104</v>
      </c>
      <c r="D465" s="227" t="s">
        <v>105</v>
      </c>
      <c r="E465" s="227" t="s">
        <v>53</v>
      </c>
      <c r="F465" s="227" t="s">
        <v>120</v>
      </c>
      <c r="G465" s="227" t="s">
        <v>84</v>
      </c>
      <c r="H465" s="231">
        <v>1</v>
      </c>
      <c r="I465" s="232">
        <v>1812</v>
      </c>
      <c r="J465" s="230">
        <v>46045</v>
      </c>
      <c r="K465" s="227" t="s">
        <v>93</v>
      </c>
      <c r="L465" s="227" t="s">
        <v>94</v>
      </c>
      <c r="M465" s="233">
        <v>0.43</v>
      </c>
      <c r="N465" s="231"/>
      <c r="O465" s="231"/>
      <c r="P465" s="234">
        <v>-779.16</v>
      </c>
    </row>
    <row r="466" spans="1:16" ht="19.5" customHeight="1">
      <c r="A466" s="227" t="s">
        <v>1195</v>
      </c>
      <c r="B466" s="230">
        <v>46050</v>
      </c>
      <c r="C466" s="227" t="s">
        <v>81</v>
      </c>
      <c r="D466" s="227" t="s">
        <v>95</v>
      </c>
      <c r="E466" s="227" t="s">
        <v>53</v>
      </c>
      <c r="F466" s="227" t="s">
        <v>120</v>
      </c>
      <c r="G466" s="227" t="s">
        <v>84</v>
      </c>
      <c r="H466" s="231">
        <v>1</v>
      </c>
      <c r="I466" s="232">
        <v>1812</v>
      </c>
      <c r="J466" s="230">
        <v>46045</v>
      </c>
      <c r="K466" s="227" t="s">
        <v>93</v>
      </c>
      <c r="L466" s="227" t="s">
        <v>94</v>
      </c>
      <c r="M466" s="233">
        <v>0.43</v>
      </c>
      <c r="N466" s="231"/>
      <c r="O466" s="231"/>
      <c r="P466" s="234">
        <v>-14.06</v>
      </c>
    </row>
    <row r="467" spans="1:16" ht="19.5" customHeight="1">
      <c r="A467" s="227" t="s">
        <v>1196</v>
      </c>
      <c r="B467" s="230">
        <v>46050</v>
      </c>
      <c r="C467" s="227" t="s">
        <v>92</v>
      </c>
      <c r="D467" s="227" t="s">
        <v>24</v>
      </c>
      <c r="E467" s="227" t="s">
        <v>52</v>
      </c>
      <c r="F467" s="227" t="s">
        <v>90</v>
      </c>
      <c r="G467" s="227" t="s">
        <v>84</v>
      </c>
      <c r="H467" s="231">
        <v>1</v>
      </c>
      <c r="I467" s="232">
        <v>1800</v>
      </c>
      <c r="J467" s="230">
        <v>46047</v>
      </c>
      <c r="K467" s="227" t="s">
        <v>93</v>
      </c>
      <c r="L467" s="227" t="s">
        <v>94</v>
      </c>
      <c r="M467" s="233">
        <v>0.43</v>
      </c>
      <c r="N467" s="231"/>
      <c r="O467" s="231">
        <v>41</v>
      </c>
      <c r="P467" s="234">
        <v>-134.84</v>
      </c>
    </row>
    <row r="468" spans="1:16" ht="19.5" customHeight="1">
      <c r="A468" s="227" t="s">
        <v>1196</v>
      </c>
      <c r="B468" s="230">
        <v>46050</v>
      </c>
      <c r="C468" s="227" t="s">
        <v>100</v>
      </c>
      <c r="D468" s="227" t="s">
        <v>101</v>
      </c>
      <c r="E468" s="227" t="s">
        <v>52</v>
      </c>
      <c r="F468" s="227" t="s">
        <v>90</v>
      </c>
      <c r="G468" s="227" t="s">
        <v>84</v>
      </c>
      <c r="H468" s="231">
        <v>1</v>
      </c>
      <c r="I468" s="232">
        <v>1800</v>
      </c>
      <c r="J468" s="230">
        <v>46047</v>
      </c>
      <c r="K468" s="227" t="s">
        <v>93</v>
      </c>
      <c r="L468" s="227" t="s">
        <v>94</v>
      </c>
      <c r="M468" s="233">
        <v>0</v>
      </c>
      <c r="N468" s="231"/>
      <c r="O468" s="231"/>
      <c r="P468" s="234">
        <v>713.33</v>
      </c>
    </row>
    <row r="469" spans="1:16" ht="19.5" customHeight="1">
      <c r="A469" s="227" t="s">
        <v>1196</v>
      </c>
      <c r="B469" s="230">
        <v>46050</v>
      </c>
      <c r="C469" s="227" t="s">
        <v>100</v>
      </c>
      <c r="D469" s="227" t="s">
        <v>102</v>
      </c>
      <c r="E469" s="227" t="s">
        <v>52</v>
      </c>
      <c r="F469" s="227" t="s">
        <v>90</v>
      </c>
      <c r="G469" s="227" t="s">
        <v>84</v>
      </c>
      <c r="H469" s="231">
        <v>1</v>
      </c>
      <c r="I469" s="232">
        <v>1800</v>
      </c>
      <c r="J469" s="230">
        <v>46047</v>
      </c>
      <c r="K469" s="227" t="s">
        <v>93</v>
      </c>
      <c r="L469" s="227" t="s">
        <v>94</v>
      </c>
      <c r="M469" s="233">
        <v>0</v>
      </c>
      <c r="N469" s="231"/>
      <c r="O469" s="231"/>
      <c r="P469" s="234">
        <v>0</v>
      </c>
    </row>
    <row r="470" spans="1:16" ht="19.5" customHeight="1">
      <c r="A470" s="227" t="s">
        <v>1196</v>
      </c>
      <c r="B470" s="230">
        <v>46050</v>
      </c>
      <c r="C470" s="227" t="s">
        <v>100</v>
      </c>
      <c r="D470" s="227" t="s">
        <v>103</v>
      </c>
      <c r="E470" s="227" t="s">
        <v>52</v>
      </c>
      <c r="F470" s="227" t="s">
        <v>90</v>
      </c>
      <c r="G470" s="227" t="s">
        <v>84</v>
      </c>
      <c r="H470" s="231">
        <v>1</v>
      </c>
      <c r="I470" s="232">
        <v>1800</v>
      </c>
      <c r="J470" s="230">
        <v>46047</v>
      </c>
      <c r="K470" s="227" t="s">
        <v>93</v>
      </c>
      <c r="L470" s="227" t="s">
        <v>94</v>
      </c>
      <c r="M470" s="233">
        <v>0</v>
      </c>
      <c r="N470" s="231"/>
      <c r="O470" s="231"/>
      <c r="P470" s="234">
        <v>1086.67</v>
      </c>
    </row>
    <row r="471" spans="1:16" ht="19.5" customHeight="1">
      <c r="A471" s="227" t="s">
        <v>1196</v>
      </c>
      <c r="B471" s="230">
        <v>46050</v>
      </c>
      <c r="C471" s="227" t="s">
        <v>104</v>
      </c>
      <c r="D471" s="227" t="s">
        <v>105</v>
      </c>
      <c r="E471" s="227" t="s">
        <v>52</v>
      </c>
      <c r="F471" s="227" t="s">
        <v>90</v>
      </c>
      <c r="G471" s="227" t="s">
        <v>84</v>
      </c>
      <c r="H471" s="231">
        <v>1</v>
      </c>
      <c r="I471" s="232">
        <v>1800</v>
      </c>
      <c r="J471" s="230">
        <v>46047</v>
      </c>
      <c r="K471" s="227" t="s">
        <v>93</v>
      </c>
      <c r="L471" s="227" t="s">
        <v>94</v>
      </c>
      <c r="M471" s="233">
        <v>0.43</v>
      </c>
      <c r="N471" s="231"/>
      <c r="O471" s="231"/>
      <c r="P471" s="234">
        <v>-774</v>
      </c>
    </row>
    <row r="472" spans="1:16" ht="19.5" customHeight="1">
      <c r="A472" s="227" t="s">
        <v>1196</v>
      </c>
      <c r="B472" s="230">
        <v>46050</v>
      </c>
      <c r="C472" s="227" t="s">
        <v>81</v>
      </c>
      <c r="D472" s="227" t="s">
        <v>95</v>
      </c>
      <c r="E472" s="227" t="s">
        <v>52</v>
      </c>
      <c r="F472" s="227" t="s">
        <v>90</v>
      </c>
      <c r="G472" s="227" t="s">
        <v>84</v>
      </c>
      <c r="H472" s="231">
        <v>1</v>
      </c>
      <c r="I472" s="232">
        <v>1800</v>
      </c>
      <c r="J472" s="230">
        <v>46047</v>
      </c>
      <c r="K472" s="227" t="s">
        <v>93</v>
      </c>
      <c r="L472" s="227" t="s">
        <v>94</v>
      </c>
      <c r="M472" s="233">
        <v>0.43</v>
      </c>
      <c r="N472" s="231"/>
      <c r="O472" s="231"/>
      <c r="P472" s="234">
        <v>-9.7799999999999994</v>
      </c>
    </row>
    <row r="473" spans="1:16" ht="19.5" customHeight="1">
      <c r="A473" s="227" t="s">
        <v>1195</v>
      </c>
      <c r="B473" s="230">
        <v>46050</v>
      </c>
      <c r="C473" s="227" t="s">
        <v>81</v>
      </c>
      <c r="D473" s="227" t="s">
        <v>82</v>
      </c>
      <c r="E473" s="227" t="s">
        <v>53</v>
      </c>
      <c r="F473" s="227" t="s">
        <v>120</v>
      </c>
      <c r="G473" s="227" t="s">
        <v>84</v>
      </c>
      <c r="H473" s="231">
        <v>1</v>
      </c>
      <c r="I473" s="232">
        <v>0</v>
      </c>
      <c r="J473" s="230">
        <v>46045</v>
      </c>
      <c r="K473" s="227" t="s">
        <v>85</v>
      </c>
      <c r="L473" s="227" t="s">
        <v>85</v>
      </c>
      <c r="M473" s="233">
        <v>0</v>
      </c>
      <c r="N473" s="231"/>
      <c r="O473" s="231"/>
      <c r="P473" s="234">
        <v>-12</v>
      </c>
    </row>
    <row r="474" spans="1:16" ht="19.5" customHeight="1">
      <c r="A474" s="227" t="s">
        <v>1196</v>
      </c>
      <c r="B474" s="230">
        <v>46050</v>
      </c>
      <c r="C474" s="227" t="s">
        <v>81</v>
      </c>
      <c r="D474" s="227" t="s">
        <v>82</v>
      </c>
      <c r="E474" s="227" t="s">
        <v>52</v>
      </c>
      <c r="F474" s="227" t="s">
        <v>90</v>
      </c>
      <c r="G474" s="227" t="s">
        <v>84</v>
      </c>
      <c r="H474" s="231">
        <v>1</v>
      </c>
      <c r="I474" s="232">
        <v>0</v>
      </c>
      <c r="J474" s="230">
        <v>46047</v>
      </c>
      <c r="K474" s="227" t="s">
        <v>85</v>
      </c>
      <c r="L474" s="227" t="s">
        <v>85</v>
      </c>
      <c r="M474" s="233">
        <v>0</v>
      </c>
      <c r="N474" s="231"/>
      <c r="O474" s="231"/>
      <c r="P474" s="234">
        <v>-3.78</v>
      </c>
    </row>
    <row r="475" spans="1:16" ht="19.5" customHeight="1">
      <c r="A475" s="227" t="s">
        <v>1197</v>
      </c>
      <c r="B475" s="230">
        <v>46050</v>
      </c>
      <c r="C475" s="227" t="s">
        <v>92</v>
      </c>
      <c r="D475" s="227" t="s">
        <v>24</v>
      </c>
      <c r="E475" s="227" t="s">
        <v>52</v>
      </c>
      <c r="F475" s="227" t="s">
        <v>90</v>
      </c>
      <c r="G475" s="227" t="s">
        <v>84</v>
      </c>
      <c r="H475" s="231">
        <v>1</v>
      </c>
      <c r="I475" s="232">
        <v>1800</v>
      </c>
      <c r="J475" s="230">
        <v>46048</v>
      </c>
      <c r="K475" s="227" t="s">
        <v>93</v>
      </c>
      <c r="L475" s="227" t="s">
        <v>94</v>
      </c>
      <c r="M475" s="233">
        <v>0.43</v>
      </c>
      <c r="N475" s="231"/>
      <c r="O475" s="231">
        <v>44</v>
      </c>
      <c r="P475" s="234">
        <v>-147.97999999999999</v>
      </c>
    </row>
    <row r="476" spans="1:16" ht="19.5" customHeight="1">
      <c r="A476" s="227" t="s">
        <v>1197</v>
      </c>
      <c r="B476" s="230">
        <v>46050</v>
      </c>
      <c r="C476" s="227" t="s">
        <v>100</v>
      </c>
      <c r="D476" s="227" t="s">
        <v>101</v>
      </c>
      <c r="E476" s="227" t="s">
        <v>52</v>
      </c>
      <c r="F476" s="227" t="s">
        <v>90</v>
      </c>
      <c r="G476" s="227" t="s">
        <v>84</v>
      </c>
      <c r="H476" s="231">
        <v>1</v>
      </c>
      <c r="I476" s="232">
        <v>1800</v>
      </c>
      <c r="J476" s="230">
        <v>46048</v>
      </c>
      <c r="K476" s="227" t="s">
        <v>93</v>
      </c>
      <c r="L476" s="227" t="s">
        <v>94</v>
      </c>
      <c r="M476" s="233">
        <v>0</v>
      </c>
      <c r="N476" s="231"/>
      <c r="O476" s="231"/>
      <c r="P476" s="234">
        <v>627.02</v>
      </c>
    </row>
    <row r="477" spans="1:16" ht="19.5" customHeight="1">
      <c r="A477" s="227" t="s">
        <v>1197</v>
      </c>
      <c r="B477" s="230">
        <v>46050</v>
      </c>
      <c r="C477" s="227" t="s">
        <v>100</v>
      </c>
      <c r="D477" s="227" t="s">
        <v>102</v>
      </c>
      <c r="E477" s="227" t="s">
        <v>52</v>
      </c>
      <c r="F477" s="227" t="s">
        <v>90</v>
      </c>
      <c r="G477" s="227" t="s">
        <v>84</v>
      </c>
      <c r="H477" s="231">
        <v>1</v>
      </c>
      <c r="I477" s="232">
        <v>1800</v>
      </c>
      <c r="J477" s="230">
        <v>46048</v>
      </c>
      <c r="K477" s="227" t="s">
        <v>93</v>
      </c>
      <c r="L477" s="227" t="s">
        <v>94</v>
      </c>
      <c r="M477" s="233">
        <v>0</v>
      </c>
      <c r="N477" s="231"/>
      <c r="O477" s="231"/>
      <c r="P477" s="234">
        <v>6.27</v>
      </c>
    </row>
    <row r="478" spans="1:16" ht="19.5" customHeight="1">
      <c r="A478" s="227" t="s">
        <v>1197</v>
      </c>
      <c r="B478" s="230">
        <v>46050</v>
      </c>
      <c r="C478" s="227" t="s">
        <v>100</v>
      </c>
      <c r="D478" s="227" t="s">
        <v>103</v>
      </c>
      <c r="E478" s="227" t="s">
        <v>52</v>
      </c>
      <c r="F478" s="227" t="s">
        <v>90</v>
      </c>
      <c r="G478" s="227" t="s">
        <v>84</v>
      </c>
      <c r="H478" s="231">
        <v>1</v>
      </c>
      <c r="I478" s="232">
        <v>1800</v>
      </c>
      <c r="J478" s="230">
        <v>46048</v>
      </c>
      <c r="K478" s="227" t="s">
        <v>93</v>
      </c>
      <c r="L478" s="227" t="s">
        <v>94</v>
      </c>
      <c r="M478" s="233">
        <v>0</v>
      </c>
      <c r="N478" s="231"/>
      <c r="O478" s="231"/>
      <c r="P478" s="234">
        <v>1166.71</v>
      </c>
    </row>
    <row r="479" spans="1:16" ht="19.5" customHeight="1">
      <c r="A479" s="227" t="s">
        <v>1197</v>
      </c>
      <c r="B479" s="230">
        <v>46050</v>
      </c>
      <c r="C479" s="227" t="s">
        <v>104</v>
      </c>
      <c r="D479" s="227" t="s">
        <v>105</v>
      </c>
      <c r="E479" s="227" t="s">
        <v>52</v>
      </c>
      <c r="F479" s="227" t="s">
        <v>90</v>
      </c>
      <c r="G479" s="227" t="s">
        <v>84</v>
      </c>
      <c r="H479" s="231">
        <v>1</v>
      </c>
      <c r="I479" s="232">
        <v>1800</v>
      </c>
      <c r="J479" s="230">
        <v>46048</v>
      </c>
      <c r="K479" s="227" t="s">
        <v>93</v>
      </c>
      <c r="L479" s="227" t="s">
        <v>94</v>
      </c>
      <c r="M479" s="233">
        <v>0.43</v>
      </c>
      <c r="N479" s="231"/>
      <c r="O479" s="231"/>
      <c r="P479" s="234">
        <v>-774</v>
      </c>
    </row>
    <row r="480" spans="1:16" ht="19.5" customHeight="1">
      <c r="A480" s="227" t="s">
        <v>1197</v>
      </c>
      <c r="B480" s="230">
        <v>46050</v>
      </c>
      <c r="C480" s="227" t="s">
        <v>81</v>
      </c>
      <c r="D480" s="227" t="s">
        <v>95</v>
      </c>
      <c r="E480" s="227" t="s">
        <v>52</v>
      </c>
      <c r="F480" s="227" t="s">
        <v>90</v>
      </c>
      <c r="G480" s="227" t="s">
        <v>84</v>
      </c>
      <c r="H480" s="231">
        <v>1</v>
      </c>
      <c r="I480" s="232">
        <v>1800</v>
      </c>
      <c r="J480" s="230">
        <v>46048</v>
      </c>
      <c r="K480" s="227" t="s">
        <v>93</v>
      </c>
      <c r="L480" s="227" t="s">
        <v>94</v>
      </c>
      <c r="M480" s="233">
        <v>0.43</v>
      </c>
      <c r="N480" s="231"/>
      <c r="O480" s="231"/>
      <c r="P480" s="234">
        <v>-9.5500000000000007</v>
      </c>
    </row>
    <row r="481" spans="1:16" ht="19.5" customHeight="1">
      <c r="A481" s="227" t="s">
        <v>1198</v>
      </c>
      <c r="B481" s="230">
        <v>46050</v>
      </c>
      <c r="C481" s="227" t="s">
        <v>81</v>
      </c>
      <c r="D481" s="227" t="s">
        <v>82</v>
      </c>
      <c r="E481" s="227" t="s">
        <v>41</v>
      </c>
      <c r="F481" s="227" t="s">
        <v>83</v>
      </c>
      <c r="G481" s="227" t="s">
        <v>84</v>
      </c>
      <c r="H481" s="231">
        <v>1</v>
      </c>
      <c r="I481" s="232">
        <v>0</v>
      </c>
      <c r="J481" s="230">
        <v>46050</v>
      </c>
      <c r="K481" s="227" t="s">
        <v>85</v>
      </c>
      <c r="L481" s="227" t="s">
        <v>85</v>
      </c>
      <c r="M481" s="233">
        <v>0</v>
      </c>
      <c r="N481" s="231"/>
      <c r="O481" s="231"/>
      <c r="P481" s="234">
        <v>-12.27</v>
      </c>
    </row>
    <row r="482" spans="1:16" ht="19.5" customHeight="1">
      <c r="A482" s="227" t="s">
        <v>1199</v>
      </c>
      <c r="B482" s="230">
        <v>46050</v>
      </c>
      <c r="C482" s="227" t="s">
        <v>92</v>
      </c>
      <c r="D482" s="227" t="s">
        <v>24</v>
      </c>
      <c r="E482" s="227" t="s">
        <v>53</v>
      </c>
      <c r="F482" s="227" t="s">
        <v>120</v>
      </c>
      <c r="G482" s="227" t="s">
        <v>84</v>
      </c>
      <c r="H482" s="231">
        <v>1</v>
      </c>
      <c r="I482" s="232">
        <v>1812</v>
      </c>
      <c r="J482" s="230">
        <v>46048</v>
      </c>
      <c r="K482" s="227" t="s">
        <v>93</v>
      </c>
      <c r="L482" s="227" t="s">
        <v>94</v>
      </c>
      <c r="M482" s="233">
        <v>0.43</v>
      </c>
      <c r="N482" s="231"/>
      <c r="O482" s="231">
        <v>44</v>
      </c>
      <c r="P482" s="234">
        <v>-148.36000000000001</v>
      </c>
    </row>
    <row r="483" spans="1:16" ht="19.5" customHeight="1">
      <c r="A483" s="227" t="s">
        <v>1199</v>
      </c>
      <c r="B483" s="230">
        <v>46050</v>
      </c>
      <c r="C483" s="227" t="s">
        <v>100</v>
      </c>
      <c r="D483" s="227" t="s">
        <v>101</v>
      </c>
      <c r="E483" s="227" t="s">
        <v>53</v>
      </c>
      <c r="F483" s="227" t="s">
        <v>120</v>
      </c>
      <c r="G483" s="227" t="s">
        <v>84</v>
      </c>
      <c r="H483" s="231">
        <v>1</v>
      </c>
      <c r="I483" s="232">
        <v>1812</v>
      </c>
      <c r="J483" s="230">
        <v>46048</v>
      </c>
      <c r="K483" s="227" t="s">
        <v>93</v>
      </c>
      <c r="L483" s="227" t="s">
        <v>94</v>
      </c>
      <c r="M483" s="233">
        <v>0</v>
      </c>
      <c r="N483" s="231"/>
      <c r="O483" s="231"/>
      <c r="P483" s="234">
        <v>706.27</v>
      </c>
    </row>
    <row r="484" spans="1:16" ht="19.5" customHeight="1">
      <c r="A484" s="227" t="s">
        <v>1199</v>
      </c>
      <c r="B484" s="230">
        <v>46050</v>
      </c>
      <c r="C484" s="227" t="s">
        <v>100</v>
      </c>
      <c r="D484" s="227" t="s">
        <v>102</v>
      </c>
      <c r="E484" s="227" t="s">
        <v>53</v>
      </c>
      <c r="F484" s="227" t="s">
        <v>120</v>
      </c>
      <c r="G484" s="227" t="s">
        <v>84</v>
      </c>
      <c r="H484" s="231">
        <v>1</v>
      </c>
      <c r="I484" s="232">
        <v>1812</v>
      </c>
      <c r="J484" s="230">
        <v>46048</v>
      </c>
      <c r="K484" s="227" t="s">
        <v>93</v>
      </c>
      <c r="L484" s="227" t="s">
        <v>94</v>
      </c>
      <c r="M484" s="233">
        <v>0</v>
      </c>
      <c r="N484" s="231"/>
      <c r="O484" s="231"/>
      <c r="P484" s="234">
        <v>7.06</v>
      </c>
    </row>
    <row r="485" spans="1:16" ht="19.5" customHeight="1">
      <c r="A485" s="227" t="s">
        <v>1199</v>
      </c>
      <c r="B485" s="230">
        <v>46050</v>
      </c>
      <c r="C485" s="227" t="s">
        <v>100</v>
      </c>
      <c r="D485" s="227" t="s">
        <v>103</v>
      </c>
      <c r="E485" s="227" t="s">
        <v>53</v>
      </c>
      <c r="F485" s="227" t="s">
        <v>120</v>
      </c>
      <c r="G485" s="227" t="s">
        <v>84</v>
      </c>
      <c r="H485" s="231">
        <v>1</v>
      </c>
      <c r="I485" s="232">
        <v>1812</v>
      </c>
      <c r="J485" s="230">
        <v>46048</v>
      </c>
      <c r="K485" s="227" t="s">
        <v>93</v>
      </c>
      <c r="L485" s="227" t="s">
        <v>94</v>
      </c>
      <c r="M485" s="233">
        <v>0</v>
      </c>
      <c r="N485" s="231"/>
      <c r="O485" s="231"/>
      <c r="P485" s="234">
        <v>1098.67</v>
      </c>
    </row>
    <row r="486" spans="1:16" ht="19.5" customHeight="1">
      <c r="A486" s="227" t="s">
        <v>1199</v>
      </c>
      <c r="B486" s="230">
        <v>46050</v>
      </c>
      <c r="C486" s="227" t="s">
        <v>104</v>
      </c>
      <c r="D486" s="227" t="s">
        <v>105</v>
      </c>
      <c r="E486" s="227" t="s">
        <v>53</v>
      </c>
      <c r="F486" s="227" t="s">
        <v>120</v>
      </c>
      <c r="G486" s="227" t="s">
        <v>84</v>
      </c>
      <c r="H486" s="231">
        <v>1</v>
      </c>
      <c r="I486" s="232">
        <v>1812</v>
      </c>
      <c r="J486" s="230">
        <v>46048</v>
      </c>
      <c r="K486" s="227" t="s">
        <v>93</v>
      </c>
      <c r="L486" s="227" t="s">
        <v>94</v>
      </c>
      <c r="M486" s="233">
        <v>0.43</v>
      </c>
      <c r="N486" s="231"/>
      <c r="O486" s="231"/>
      <c r="P486" s="234">
        <v>-779.16</v>
      </c>
    </row>
    <row r="487" spans="1:16" ht="19.5" customHeight="1">
      <c r="A487" s="227" t="s">
        <v>1199</v>
      </c>
      <c r="B487" s="230">
        <v>46050</v>
      </c>
      <c r="C487" s="227" t="s">
        <v>81</v>
      </c>
      <c r="D487" s="227" t="s">
        <v>95</v>
      </c>
      <c r="E487" s="227" t="s">
        <v>53</v>
      </c>
      <c r="F487" s="227" t="s">
        <v>120</v>
      </c>
      <c r="G487" s="227" t="s">
        <v>84</v>
      </c>
      <c r="H487" s="231">
        <v>1</v>
      </c>
      <c r="I487" s="232">
        <v>1812</v>
      </c>
      <c r="J487" s="230">
        <v>46048</v>
      </c>
      <c r="K487" s="227" t="s">
        <v>93</v>
      </c>
      <c r="L487" s="227" t="s">
        <v>94</v>
      </c>
      <c r="M487" s="233">
        <v>0.43</v>
      </c>
      <c r="N487" s="231"/>
      <c r="O487" s="231"/>
      <c r="P487" s="234">
        <v>-9.75</v>
      </c>
    </row>
    <row r="488" spans="1:16" ht="19.5" customHeight="1">
      <c r="A488" s="227" t="s">
        <v>1199</v>
      </c>
      <c r="B488" s="230">
        <v>46050</v>
      </c>
      <c r="C488" s="227" t="s">
        <v>81</v>
      </c>
      <c r="D488" s="227" t="s">
        <v>82</v>
      </c>
      <c r="E488" s="227" t="s">
        <v>53</v>
      </c>
      <c r="F488" s="227" t="s">
        <v>120</v>
      </c>
      <c r="G488" s="227" t="s">
        <v>84</v>
      </c>
      <c r="H488" s="231">
        <v>1</v>
      </c>
      <c r="I488" s="232">
        <v>0</v>
      </c>
      <c r="J488" s="230">
        <v>46048</v>
      </c>
      <c r="K488" s="227" t="s">
        <v>85</v>
      </c>
      <c r="L488" s="227" t="s">
        <v>85</v>
      </c>
      <c r="M488" s="233">
        <v>0</v>
      </c>
      <c r="N488" s="231"/>
      <c r="O488" s="231"/>
      <c r="P488" s="234">
        <v>-13.42</v>
      </c>
    </row>
    <row r="489" spans="1:16" ht="19.5" customHeight="1">
      <c r="A489" s="227" t="s">
        <v>1200</v>
      </c>
      <c r="B489" s="230">
        <v>46050</v>
      </c>
      <c r="C489" s="227" t="s">
        <v>92</v>
      </c>
      <c r="D489" s="227" t="s">
        <v>24</v>
      </c>
      <c r="E489" s="227" t="s">
        <v>52</v>
      </c>
      <c r="F489" s="227" t="s">
        <v>90</v>
      </c>
      <c r="G489" s="227" t="s">
        <v>84</v>
      </c>
      <c r="H489" s="231">
        <v>1</v>
      </c>
      <c r="I489" s="232">
        <v>1800</v>
      </c>
      <c r="J489" s="230">
        <v>46048</v>
      </c>
      <c r="K489" s="227" t="s">
        <v>93</v>
      </c>
      <c r="L489" s="227" t="s">
        <v>94</v>
      </c>
      <c r="M489" s="233">
        <v>0.43</v>
      </c>
      <c r="N489" s="231"/>
      <c r="O489" s="231">
        <v>44</v>
      </c>
      <c r="P489" s="234">
        <v>-147.97999999999999</v>
      </c>
    </row>
    <row r="490" spans="1:16" ht="19.5" customHeight="1">
      <c r="A490" s="227" t="s">
        <v>1200</v>
      </c>
      <c r="B490" s="230">
        <v>46050</v>
      </c>
      <c r="C490" s="227" t="s">
        <v>100</v>
      </c>
      <c r="D490" s="227" t="s">
        <v>101</v>
      </c>
      <c r="E490" s="227" t="s">
        <v>52</v>
      </c>
      <c r="F490" s="227" t="s">
        <v>90</v>
      </c>
      <c r="G490" s="227" t="s">
        <v>84</v>
      </c>
      <c r="H490" s="231">
        <v>1</v>
      </c>
      <c r="I490" s="232">
        <v>1800</v>
      </c>
      <c r="J490" s="230">
        <v>46048</v>
      </c>
      <c r="K490" s="227" t="s">
        <v>93</v>
      </c>
      <c r="L490" s="227" t="s">
        <v>94</v>
      </c>
      <c r="M490" s="233">
        <v>0</v>
      </c>
      <c r="N490" s="231"/>
      <c r="O490" s="231"/>
      <c r="P490" s="234">
        <v>639.39</v>
      </c>
    </row>
    <row r="491" spans="1:16" ht="19.5" customHeight="1">
      <c r="A491" s="227" t="s">
        <v>1200</v>
      </c>
      <c r="B491" s="230">
        <v>46050</v>
      </c>
      <c r="C491" s="227" t="s">
        <v>100</v>
      </c>
      <c r="D491" s="227" t="s">
        <v>102</v>
      </c>
      <c r="E491" s="227" t="s">
        <v>52</v>
      </c>
      <c r="F491" s="227" t="s">
        <v>90</v>
      </c>
      <c r="G491" s="227" t="s">
        <v>84</v>
      </c>
      <c r="H491" s="231">
        <v>1</v>
      </c>
      <c r="I491" s="232">
        <v>1800</v>
      </c>
      <c r="J491" s="230">
        <v>46048</v>
      </c>
      <c r="K491" s="227" t="s">
        <v>93</v>
      </c>
      <c r="L491" s="227" t="s">
        <v>94</v>
      </c>
      <c r="M491" s="233">
        <v>0</v>
      </c>
      <c r="N491" s="231"/>
      <c r="O491" s="231"/>
      <c r="P491" s="234">
        <v>6.39</v>
      </c>
    </row>
    <row r="492" spans="1:16" ht="19.5" customHeight="1">
      <c r="A492" s="227" t="s">
        <v>1200</v>
      </c>
      <c r="B492" s="230">
        <v>46050</v>
      </c>
      <c r="C492" s="227" t="s">
        <v>100</v>
      </c>
      <c r="D492" s="227" t="s">
        <v>103</v>
      </c>
      <c r="E492" s="227" t="s">
        <v>52</v>
      </c>
      <c r="F492" s="227" t="s">
        <v>90</v>
      </c>
      <c r="G492" s="227" t="s">
        <v>84</v>
      </c>
      <c r="H492" s="231">
        <v>1</v>
      </c>
      <c r="I492" s="232">
        <v>1800</v>
      </c>
      <c r="J492" s="230">
        <v>46048</v>
      </c>
      <c r="K492" s="227" t="s">
        <v>93</v>
      </c>
      <c r="L492" s="227" t="s">
        <v>94</v>
      </c>
      <c r="M492" s="233">
        <v>0</v>
      </c>
      <c r="N492" s="231"/>
      <c r="O492" s="231"/>
      <c r="P492" s="234">
        <v>1154.22</v>
      </c>
    </row>
    <row r="493" spans="1:16" ht="19.5" customHeight="1">
      <c r="A493" s="227" t="s">
        <v>1200</v>
      </c>
      <c r="B493" s="230">
        <v>46050</v>
      </c>
      <c r="C493" s="227" t="s">
        <v>104</v>
      </c>
      <c r="D493" s="227" t="s">
        <v>105</v>
      </c>
      <c r="E493" s="227" t="s">
        <v>52</v>
      </c>
      <c r="F493" s="227" t="s">
        <v>90</v>
      </c>
      <c r="G493" s="227" t="s">
        <v>84</v>
      </c>
      <c r="H493" s="231">
        <v>1</v>
      </c>
      <c r="I493" s="232">
        <v>1800</v>
      </c>
      <c r="J493" s="230">
        <v>46048</v>
      </c>
      <c r="K493" s="227" t="s">
        <v>93</v>
      </c>
      <c r="L493" s="227" t="s">
        <v>94</v>
      </c>
      <c r="M493" s="233">
        <v>0.43</v>
      </c>
      <c r="N493" s="231"/>
      <c r="O493" s="231"/>
      <c r="P493" s="234">
        <v>-774</v>
      </c>
    </row>
    <row r="494" spans="1:16" ht="19.5" customHeight="1">
      <c r="A494" s="227" t="s">
        <v>1200</v>
      </c>
      <c r="B494" s="230">
        <v>46050</v>
      </c>
      <c r="C494" s="227" t="s">
        <v>81</v>
      </c>
      <c r="D494" s="227" t="s">
        <v>95</v>
      </c>
      <c r="E494" s="227" t="s">
        <v>52</v>
      </c>
      <c r="F494" s="227" t="s">
        <v>90</v>
      </c>
      <c r="G494" s="227" t="s">
        <v>84</v>
      </c>
      <c r="H494" s="231">
        <v>1</v>
      </c>
      <c r="I494" s="232">
        <v>1800</v>
      </c>
      <c r="J494" s="230">
        <v>46048</v>
      </c>
      <c r="K494" s="227" t="s">
        <v>93</v>
      </c>
      <c r="L494" s="227" t="s">
        <v>94</v>
      </c>
      <c r="M494" s="233">
        <v>0.43</v>
      </c>
      <c r="N494" s="231"/>
      <c r="O494" s="231"/>
      <c r="P494" s="234">
        <v>-9.57</v>
      </c>
    </row>
    <row r="495" spans="1:16" ht="19.5" customHeight="1">
      <c r="A495" s="227" t="s">
        <v>1200</v>
      </c>
      <c r="B495" s="230">
        <v>46050</v>
      </c>
      <c r="C495" s="227" t="s">
        <v>81</v>
      </c>
      <c r="D495" s="227" t="s">
        <v>82</v>
      </c>
      <c r="E495" s="227" t="s">
        <v>52</v>
      </c>
      <c r="F495" s="227" t="s">
        <v>90</v>
      </c>
      <c r="G495" s="227" t="s">
        <v>84</v>
      </c>
      <c r="H495" s="231">
        <v>1</v>
      </c>
      <c r="I495" s="232">
        <v>0</v>
      </c>
      <c r="J495" s="230">
        <v>46048</v>
      </c>
      <c r="K495" s="227" t="s">
        <v>85</v>
      </c>
      <c r="L495" s="227" t="s">
        <v>85</v>
      </c>
      <c r="M495" s="233">
        <v>0</v>
      </c>
      <c r="N495" s="231"/>
      <c r="O495" s="231"/>
      <c r="P495" s="234">
        <v>-12.15</v>
      </c>
    </row>
    <row r="496" spans="1:16" ht="19.5" customHeight="1">
      <c r="A496" s="227" t="s">
        <v>1201</v>
      </c>
      <c r="B496" s="230">
        <v>46050</v>
      </c>
      <c r="C496" s="227" t="s">
        <v>81</v>
      </c>
      <c r="D496" s="227" t="s">
        <v>82</v>
      </c>
      <c r="E496" s="227" t="s">
        <v>52</v>
      </c>
      <c r="F496" s="227" t="s">
        <v>90</v>
      </c>
      <c r="G496" s="227" t="s">
        <v>84</v>
      </c>
      <c r="H496" s="231">
        <v>1</v>
      </c>
      <c r="I496" s="232">
        <v>0</v>
      </c>
      <c r="J496" s="230">
        <v>46050</v>
      </c>
      <c r="K496" s="227" t="s">
        <v>85</v>
      </c>
      <c r="L496" s="227" t="s">
        <v>85</v>
      </c>
      <c r="M496" s="233">
        <v>0</v>
      </c>
      <c r="N496" s="231"/>
      <c r="O496" s="231"/>
      <c r="P496" s="234">
        <v>-11.92</v>
      </c>
    </row>
    <row r="497" spans="1:16" ht="19.5" customHeight="1">
      <c r="A497" s="227" t="s">
        <v>1163</v>
      </c>
      <c r="B497" s="230">
        <v>46050</v>
      </c>
      <c r="C497" s="227" t="s">
        <v>81</v>
      </c>
      <c r="D497" s="227" t="s">
        <v>82</v>
      </c>
      <c r="E497" s="227" t="s">
        <v>52</v>
      </c>
      <c r="F497" s="227" t="s">
        <v>90</v>
      </c>
      <c r="G497" s="227" t="s">
        <v>84</v>
      </c>
      <c r="H497" s="231">
        <v>1</v>
      </c>
      <c r="I497" s="232">
        <v>0</v>
      </c>
      <c r="J497" s="230">
        <v>46049</v>
      </c>
      <c r="K497" s="227" t="s">
        <v>85</v>
      </c>
      <c r="L497" s="227" t="s">
        <v>85</v>
      </c>
      <c r="M497" s="233">
        <v>0</v>
      </c>
      <c r="N497" s="231"/>
      <c r="O497" s="231"/>
      <c r="P497" s="234">
        <v>5.05</v>
      </c>
    </row>
    <row r="498" spans="1:16" ht="19.5" customHeight="1">
      <c r="A498" s="227" t="s">
        <v>1202</v>
      </c>
      <c r="B498" s="230">
        <v>46050</v>
      </c>
      <c r="C498" s="227" t="s">
        <v>81</v>
      </c>
      <c r="D498" s="227" t="s">
        <v>82</v>
      </c>
      <c r="E498" s="227" t="s">
        <v>53</v>
      </c>
      <c r="F498" s="227" t="s">
        <v>120</v>
      </c>
      <c r="G498" s="227" t="s">
        <v>84</v>
      </c>
      <c r="H498" s="231">
        <v>1</v>
      </c>
      <c r="I498" s="232">
        <v>0</v>
      </c>
      <c r="J498" s="230">
        <v>46050</v>
      </c>
      <c r="K498" s="227" t="s">
        <v>85</v>
      </c>
      <c r="L498" s="227" t="s">
        <v>85</v>
      </c>
      <c r="M498" s="233">
        <v>0</v>
      </c>
      <c r="N498" s="231"/>
      <c r="O498" s="231"/>
      <c r="P498" s="234">
        <v>-12</v>
      </c>
    </row>
    <row r="499" spans="1:16" ht="19.5" customHeight="1">
      <c r="A499" s="227" t="s">
        <v>1203</v>
      </c>
      <c r="B499" s="230">
        <v>46050</v>
      </c>
      <c r="C499" s="227" t="s">
        <v>81</v>
      </c>
      <c r="D499" s="227" t="s">
        <v>82</v>
      </c>
      <c r="E499" s="227" t="s">
        <v>52</v>
      </c>
      <c r="F499" s="227" t="s">
        <v>90</v>
      </c>
      <c r="G499" s="227" t="s">
        <v>84</v>
      </c>
      <c r="H499" s="231">
        <v>1</v>
      </c>
      <c r="I499" s="232">
        <v>0</v>
      </c>
      <c r="J499" s="230">
        <v>46050</v>
      </c>
      <c r="K499" s="227" t="s">
        <v>85</v>
      </c>
      <c r="L499" s="227" t="s">
        <v>85</v>
      </c>
      <c r="M499" s="233">
        <v>0</v>
      </c>
      <c r="N499" s="231"/>
      <c r="O499" s="231"/>
      <c r="P499" s="234">
        <v>-11.92</v>
      </c>
    </row>
    <row r="500" spans="1:16" ht="19.5" customHeight="1">
      <c r="A500" s="227" t="s">
        <v>1204</v>
      </c>
      <c r="B500" s="230">
        <v>46050</v>
      </c>
      <c r="C500" s="227" t="s">
        <v>81</v>
      </c>
      <c r="D500" s="227" t="s">
        <v>82</v>
      </c>
      <c r="E500" s="227" t="s">
        <v>53</v>
      </c>
      <c r="F500" s="227" t="s">
        <v>120</v>
      </c>
      <c r="G500" s="227" t="s">
        <v>84</v>
      </c>
      <c r="H500" s="231">
        <v>1</v>
      </c>
      <c r="I500" s="232">
        <v>0</v>
      </c>
      <c r="J500" s="230">
        <v>46050</v>
      </c>
      <c r="K500" s="227" t="s">
        <v>85</v>
      </c>
      <c r="L500" s="227" t="s">
        <v>85</v>
      </c>
      <c r="M500" s="233">
        <v>0</v>
      </c>
      <c r="N500" s="231"/>
      <c r="O500" s="231"/>
      <c r="P500" s="234">
        <v>-11.97</v>
      </c>
    </row>
    <row r="501" spans="1:16" ht="19.5" customHeight="1">
      <c r="A501" s="227" t="s">
        <v>1205</v>
      </c>
      <c r="B501" s="230">
        <v>46050</v>
      </c>
      <c r="C501" s="227" t="s">
        <v>81</v>
      </c>
      <c r="D501" s="227" t="s">
        <v>82</v>
      </c>
      <c r="E501" s="227" t="s">
        <v>52</v>
      </c>
      <c r="F501" s="227" t="s">
        <v>90</v>
      </c>
      <c r="G501" s="227" t="s">
        <v>84</v>
      </c>
      <c r="H501" s="231">
        <v>1</v>
      </c>
      <c r="I501" s="232">
        <v>0</v>
      </c>
      <c r="J501" s="230">
        <v>46050</v>
      </c>
      <c r="K501" s="227" t="s">
        <v>85</v>
      </c>
      <c r="L501" s="227" t="s">
        <v>85</v>
      </c>
      <c r="M501" s="233">
        <v>0</v>
      </c>
      <c r="N501" s="231"/>
      <c r="O501" s="231"/>
      <c r="P501" s="234">
        <v>-11.92</v>
      </c>
    </row>
    <row r="502" spans="1:16" ht="19.5" customHeight="1">
      <c r="A502" s="227" t="s">
        <v>1206</v>
      </c>
      <c r="B502" s="230">
        <v>46050</v>
      </c>
      <c r="C502" s="227" t="s">
        <v>109</v>
      </c>
      <c r="D502" s="227" t="s">
        <v>139</v>
      </c>
      <c r="E502" s="227" t="s">
        <v>85</v>
      </c>
      <c r="F502" s="227" t="s">
        <v>85</v>
      </c>
      <c r="G502" s="227" t="s">
        <v>85</v>
      </c>
      <c r="H502" s="231">
        <v>0</v>
      </c>
      <c r="I502" s="232">
        <v>0</v>
      </c>
      <c r="J502" s="230">
        <v>46050</v>
      </c>
      <c r="K502" s="227" t="s">
        <v>85</v>
      </c>
      <c r="L502" s="227" t="s">
        <v>85</v>
      </c>
      <c r="M502" s="233">
        <v>0</v>
      </c>
      <c r="N502" s="231"/>
      <c r="O502" s="231"/>
      <c r="P502" s="234">
        <v>-234.57</v>
      </c>
    </row>
    <row r="503" spans="1:16" ht="19.5" customHeight="1">
      <c r="A503" s="227" t="s">
        <v>1207</v>
      </c>
      <c r="B503" s="230">
        <v>46050</v>
      </c>
      <c r="C503" s="227" t="s">
        <v>109</v>
      </c>
      <c r="D503" s="227" t="s">
        <v>139</v>
      </c>
      <c r="E503" s="227" t="s">
        <v>85</v>
      </c>
      <c r="F503" s="227" t="s">
        <v>85</v>
      </c>
      <c r="G503" s="227" t="s">
        <v>85</v>
      </c>
      <c r="H503" s="231">
        <v>0</v>
      </c>
      <c r="I503" s="232">
        <v>0</v>
      </c>
      <c r="J503" s="230">
        <v>46050</v>
      </c>
      <c r="K503" s="227" t="s">
        <v>85</v>
      </c>
      <c r="L503" s="227" t="s">
        <v>85</v>
      </c>
      <c r="M503" s="233">
        <v>0</v>
      </c>
      <c r="N503" s="231"/>
      <c r="O503" s="231"/>
      <c r="P503" s="234">
        <v>-230.44</v>
      </c>
    </row>
    <row r="504" spans="1:16" ht="19.5" customHeight="1">
      <c r="A504" s="227" t="s">
        <v>1208</v>
      </c>
      <c r="B504" s="230">
        <v>46050</v>
      </c>
      <c r="C504" s="227" t="s">
        <v>109</v>
      </c>
      <c r="D504" s="227" t="s">
        <v>139</v>
      </c>
      <c r="E504" s="227" t="s">
        <v>85</v>
      </c>
      <c r="F504" s="227" t="s">
        <v>85</v>
      </c>
      <c r="G504" s="227" t="s">
        <v>85</v>
      </c>
      <c r="H504" s="231">
        <v>0</v>
      </c>
      <c r="I504" s="232">
        <v>0</v>
      </c>
      <c r="J504" s="230">
        <v>46050</v>
      </c>
      <c r="K504" s="227" t="s">
        <v>85</v>
      </c>
      <c r="L504" s="227" t="s">
        <v>85</v>
      </c>
      <c r="M504" s="233">
        <v>0</v>
      </c>
      <c r="N504" s="231"/>
      <c r="O504" s="231"/>
      <c r="P504" s="234">
        <v>-279.14</v>
      </c>
    </row>
    <row r="505" spans="1:16" ht="19.5" customHeight="1">
      <c r="A505" s="227" t="s">
        <v>1209</v>
      </c>
      <c r="B505" s="230">
        <v>46050</v>
      </c>
      <c r="C505" s="227" t="s">
        <v>109</v>
      </c>
      <c r="D505" s="227" t="s">
        <v>139</v>
      </c>
      <c r="E505" s="227" t="s">
        <v>85</v>
      </c>
      <c r="F505" s="227" t="s">
        <v>85</v>
      </c>
      <c r="G505" s="227" t="s">
        <v>85</v>
      </c>
      <c r="H505" s="231">
        <v>0</v>
      </c>
      <c r="I505" s="232">
        <v>0</v>
      </c>
      <c r="J505" s="230">
        <v>46050</v>
      </c>
      <c r="K505" s="227" t="s">
        <v>85</v>
      </c>
      <c r="L505" s="227" t="s">
        <v>85</v>
      </c>
      <c r="M505" s="233">
        <v>0</v>
      </c>
      <c r="N505" s="231"/>
      <c r="O505" s="231"/>
      <c r="P505" s="234">
        <v>-222.92</v>
      </c>
    </row>
    <row r="506" spans="1:16" ht="19.5" customHeight="1">
      <c r="A506" s="227" t="s">
        <v>1210</v>
      </c>
      <c r="B506" s="230">
        <v>46050</v>
      </c>
      <c r="C506" s="227" t="s">
        <v>109</v>
      </c>
      <c r="D506" s="227" t="s">
        <v>139</v>
      </c>
      <c r="E506" s="227" t="s">
        <v>85</v>
      </c>
      <c r="F506" s="227" t="s">
        <v>85</v>
      </c>
      <c r="G506" s="227" t="s">
        <v>85</v>
      </c>
      <c r="H506" s="231">
        <v>0</v>
      </c>
      <c r="I506" s="232">
        <v>0</v>
      </c>
      <c r="J506" s="230">
        <v>46050</v>
      </c>
      <c r="K506" s="227" t="s">
        <v>85</v>
      </c>
      <c r="L506" s="227" t="s">
        <v>85</v>
      </c>
      <c r="M506" s="233">
        <v>0</v>
      </c>
      <c r="N506" s="231"/>
      <c r="O506" s="231"/>
      <c r="P506" s="234">
        <v>-252.93</v>
      </c>
    </row>
    <row r="507" spans="1:16" ht="19.5" customHeight="1">
      <c r="A507" s="227" t="s">
        <v>1211</v>
      </c>
      <c r="B507" s="230">
        <v>46050</v>
      </c>
      <c r="C507" s="227" t="s">
        <v>109</v>
      </c>
      <c r="D507" s="227" t="s">
        <v>139</v>
      </c>
      <c r="E507" s="227" t="s">
        <v>85</v>
      </c>
      <c r="F507" s="227" t="s">
        <v>85</v>
      </c>
      <c r="G507" s="227" t="s">
        <v>85</v>
      </c>
      <c r="H507" s="231">
        <v>0</v>
      </c>
      <c r="I507" s="232">
        <v>0</v>
      </c>
      <c r="J507" s="230">
        <v>46050</v>
      </c>
      <c r="K507" s="227" t="s">
        <v>85</v>
      </c>
      <c r="L507" s="227" t="s">
        <v>85</v>
      </c>
      <c r="M507" s="233">
        <v>0</v>
      </c>
      <c r="N507" s="231"/>
      <c r="O507" s="231"/>
      <c r="P507" s="234">
        <v>-221.81</v>
      </c>
    </row>
    <row r="508" spans="1:16" ht="19.5" customHeight="1">
      <c r="A508" s="227" t="s">
        <v>141</v>
      </c>
      <c r="B508" s="230">
        <v>46050</v>
      </c>
      <c r="C508" s="227" t="s">
        <v>109</v>
      </c>
      <c r="D508" s="227" t="s">
        <v>139</v>
      </c>
      <c r="E508" s="227" t="s">
        <v>85</v>
      </c>
      <c r="F508" s="227" t="s">
        <v>85</v>
      </c>
      <c r="G508" s="227" t="s">
        <v>85</v>
      </c>
      <c r="H508" s="231">
        <v>0</v>
      </c>
      <c r="I508" s="232">
        <v>0</v>
      </c>
      <c r="J508" s="230">
        <v>46050</v>
      </c>
      <c r="K508" s="227" t="s">
        <v>85</v>
      </c>
      <c r="L508" s="227" t="s">
        <v>85</v>
      </c>
      <c r="M508" s="233">
        <v>0</v>
      </c>
      <c r="N508" s="231"/>
      <c r="O508" s="231"/>
      <c r="P508" s="234">
        <v>-405.73</v>
      </c>
    </row>
    <row r="509" spans="1:16" ht="19.5" customHeight="1">
      <c r="A509" s="227" t="s">
        <v>145</v>
      </c>
      <c r="B509" s="230">
        <v>46050</v>
      </c>
      <c r="C509" s="227" t="s">
        <v>109</v>
      </c>
      <c r="D509" s="227" t="s">
        <v>139</v>
      </c>
      <c r="E509" s="227" t="s">
        <v>85</v>
      </c>
      <c r="F509" s="227" t="s">
        <v>85</v>
      </c>
      <c r="G509" s="227" t="s">
        <v>85</v>
      </c>
      <c r="H509" s="231">
        <v>0</v>
      </c>
      <c r="I509" s="232">
        <v>0</v>
      </c>
      <c r="J509" s="230">
        <v>46050</v>
      </c>
      <c r="K509" s="227" t="s">
        <v>85</v>
      </c>
      <c r="L509" s="227" t="s">
        <v>85</v>
      </c>
      <c r="M509" s="233">
        <v>0</v>
      </c>
      <c r="N509" s="231"/>
      <c r="O509" s="231"/>
      <c r="P509" s="234">
        <v>-1190.6300000000001</v>
      </c>
    </row>
    <row r="510" spans="1:16" ht="19.5" customHeight="1">
      <c r="A510" s="227" t="s">
        <v>144</v>
      </c>
      <c r="B510" s="230">
        <v>46050</v>
      </c>
      <c r="C510" s="227" t="s">
        <v>109</v>
      </c>
      <c r="D510" s="227" t="s">
        <v>139</v>
      </c>
      <c r="E510" s="227" t="s">
        <v>85</v>
      </c>
      <c r="F510" s="227" t="s">
        <v>85</v>
      </c>
      <c r="G510" s="227" t="s">
        <v>85</v>
      </c>
      <c r="H510" s="231">
        <v>0</v>
      </c>
      <c r="I510" s="232">
        <v>0</v>
      </c>
      <c r="J510" s="230">
        <v>46050</v>
      </c>
      <c r="K510" s="227" t="s">
        <v>85</v>
      </c>
      <c r="L510" s="227" t="s">
        <v>85</v>
      </c>
      <c r="M510" s="233">
        <v>0</v>
      </c>
      <c r="N510" s="231"/>
      <c r="O510" s="231"/>
      <c r="P510" s="234">
        <v>-1082.99</v>
      </c>
    </row>
    <row r="511" spans="1:16" ht="19.5" customHeight="1">
      <c r="A511" s="227" t="s">
        <v>138</v>
      </c>
      <c r="B511" s="230">
        <v>46050</v>
      </c>
      <c r="C511" s="227" t="s">
        <v>109</v>
      </c>
      <c r="D511" s="227" t="s">
        <v>139</v>
      </c>
      <c r="E511" s="227" t="s">
        <v>85</v>
      </c>
      <c r="F511" s="227" t="s">
        <v>85</v>
      </c>
      <c r="G511" s="227" t="s">
        <v>85</v>
      </c>
      <c r="H511" s="231">
        <v>0</v>
      </c>
      <c r="I511" s="232">
        <v>0</v>
      </c>
      <c r="J511" s="230">
        <v>46050</v>
      </c>
      <c r="K511" s="227" t="s">
        <v>85</v>
      </c>
      <c r="L511" s="227" t="s">
        <v>85</v>
      </c>
      <c r="M511" s="233">
        <v>0</v>
      </c>
      <c r="N511" s="231"/>
      <c r="O511" s="231"/>
      <c r="P511" s="234">
        <v>-1149.56</v>
      </c>
    </row>
    <row r="512" spans="1:16" ht="19.5" customHeight="1">
      <c r="A512" s="227" t="s">
        <v>142</v>
      </c>
      <c r="B512" s="230">
        <v>46050</v>
      </c>
      <c r="C512" s="227" t="s">
        <v>109</v>
      </c>
      <c r="D512" s="227" t="s">
        <v>143</v>
      </c>
      <c r="E512" s="227" t="s">
        <v>85</v>
      </c>
      <c r="F512" s="227" t="s">
        <v>85</v>
      </c>
      <c r="G512" s="227" t="s">
        <v>85</v>
      </c>
      <c r="H512" s="231">
        <v>0</v>
      </c>
      <c r="I512" s="232">
        <v>0</v>
      </c>
      <c r="J512" s="230">
        <v>46050</v>
      </c>
      <c r="K512" s="227" t="s">
        <v>85</v>
      </c>
      <c r="L512" s="227" t="s">
        <v>85</v>
      </c>
      <c r="M512" s="233">
        <v>0</v>
      </c>
      <c r="N512" s="231"/>
      <c r="O512" s="231"/>
      <c r="P512" s="234">
        <v>-4734.3999999999996</v>
      </c>
    </row>
    <row r="513" spans="1:16" ht="19.5" customHeight="1">
      <c r="A513" s="227" t="s">
        <v>1212</v>
      </c>
      <c r="B513" s="230">
        <v>46051</v>
      </c>
      <c r="C513" s="227" t="s">
        <v>92</v>
      </c>
      <c r="D513" s="227" t="s">
        <v>24</v>
      </c>
      <c r="E513" s="227" t="s">
        <v>42</v>
      </c>
      <c r="F513" s="227" t="s">
        <v>89</v>
      </c>
      <c r="G513" s="227" t="s">
        <v>84</v>
      </c>
      <c r="H513" s="231">
        <v>1</v>
      </c>
      <c r="I513" s="232">
        <v>0</v>
      </c>
      <c r="J513" s="230">
        <v>46034</v>
      </c>
      <c r="K513" s="227" t="s">
        <v>93</v>
      </c>
      <c r="L513" s="227" t="s">
        <v>94</v>
      </c>
      <c r="M513" s="233">
        <v>0</v>
      </c>
      <c r="N513" s="231"/>
      <c r="O513" s="231">
        <v>42</v>
      </c>
      <c r="P513" s="234">
        <v>-46.77</v>
      </c>
    </row>
    <row r="514" spans="1:16" ht="19.5" customHeight="1">
      <c r="A514" s="227" t="s">
        <v>1212</v>
      </c>
      <c r="B514" s="230">
        <v>46051</v>
      </c>
      <c r="C514" s="227" t="s">
        <v>81</v>
      </c>
      <c r="D514" s="227" t="s">
        <v>95</v>
      </c>
      <c r="E514" s="227" t="s">
        <v>42</v>
      </c>
      <c r="F514" s="227" t="s">
        <v>89</v>
      </c>
      <c r="G514" s="227" t="s">
        <v>84</v>
      </c>
      <c r="H514" s="231">
        <v>1</v>
      </c>
      <c r="I514" s="232">
        <v>0</v>
      </c>
      <c r="J514" s="230">
        <v>46034</v>
      </c>
      <c r="K514" s="227" t="s">
        <v>93</v>
      </c>
      <c r="L514" s="227" t="s">
        <v>94</v>
      </c>
      <c r="M514" s="233">
        <v>0</v>
      </c>
      <c r="N514" s="231"/>
      <c r="O514" s="231"/>
      <c r="P514" s="234">
        <v>-14.12</v>
      </c>
    </row>
    <row r="515" spans="1:16" ht="19.5" customHeight="1">
      <c r="A515" s="227" t="s">
        <v>1212</v>
      </c>
      <c r="B515" s="230">
        <v>46051</v>
      </c>
      <c r="C515" s="227" t="s">
        <v>92</v>
      </c>
      <c r="D515" s="227" t="s">
        <v>96</v>
      </c>
      <c r="E515" s="227" t="s">
        <v>42</v>
      </c>
      <c r="F515" s="227" t="s">
        <v>89</v>
      </c>
      <c r="G515" s="227" t="s">
        <v>84</v>
      </c>
      <c r="H515" s="231">
        <v>1</v>
      </c>
      <c r="I515" s="232">
        <v>0</v>
      </c>
      <c r="J515" s="230">
        <v>46034</v>
      </c>
      <c r="K515" s="227" t="s">
        <v>93</v>
      </c>
      <c r="L515" s="227" t="s">
        <v>94</v>
      </c>
      <c r="M515" s="233">
        <v>0</v>
      </c>
      <c r="N515" s="231"/>
      <c r="O515" s="231"/>
      <c r="P515" s="234">
        <v>0</v>
      </c>
    </row>
    <row r="516" spans="1:16" ht="19.5" customHeight="1">
      <c r="A516" s="227" t="s">
        <v>1212</v>
      </c>
      <c r="B516" s="230">
        <v>46051</v>
      </c>
      <c r="C516" s="227" t="s">
        <v>92</v>
      </c>
      <c r="D516" s="227" t="s">
        <v>97</v>
      </c>
      <c r="E516" s="227" t="s">
        <v>42</v>
      </c>
      <c r="F516" s="227" t="s">
        <v>89</v>
      </c>
      <c r="G516" s="227" t="s">
        <v>84</v>
      </c>
      <c r="H516" s="231">
        <v>1</v>
      </c>
      <c r="I516" s="232">
        <v>0</v>
      </c>
      <c r="J516" s="230">
        <v>46034</v>
      </c>
      <c r="K516" s="227" t="s">
        <v>93</v>
      </c>
      <c r="L516" s="227" t="s">
        <v>94</v>
      </c>
      <c r="M516" s="233">
        <v>0</v>
      </c>
      <c r="N516" s="231"/>
      <c r="O516" s="231"/>
      <c r="P516" s="234">
        <v>-46.77</v>
      </c>
    </row>
    <row r="517" spans="1:16" ht="19.5" customHeight="1">
      <c r="A517" s="227" t="s">
        <v>1213</v>
      </c>
      <c r="B517" s="230">
        <v>46051</v>
      </c>
      <c r="C517" s="227" t="s">
        <v>92</v>
      </c>
      <c r="D517" s="227" t="s">
        <v>24</v>
      </c>
      <c r="E517" s="227" t="s">
        <v>42</v>
      </c>
      <c r="F517" s="227" t="s">
        <v>89</v>
      </c>
      <c r="G517" s="227" t="s">
        <v>84</v>
      </c>
      <c r="H517" s="231">
        <v>1</v>
      </c>
      <c r="I517" s="232">
        <v>0</v>
      </c>
      <c r="J517" s="230">
        <v>46048</v>
      </c>
      <c r="K517" s="227" t="s">
        <v>93</v>
      </c>
      <c r="L517" s="227" t="s">
        <v>94</v>
      </c>
      <c r="M517" s="233">
        <v>0</v>
      </c>
      <c r="N517" s="231"/>
      <c r="O517" s="231">
        <v>44</v>
      </c>
      <c r="P517" s="234">
        <v>-46.77</v>
      </c>
    </row>
    <row r="518" spans="1:16" ht="19.5" customHeight="1">
      <c r="A518" s="227" t="s">
        <v>1213</v>
      </c>
      <c r="B518" s="230">
        <v>46051</v>
      </c>
      <c r="C518" s="227" t="s">
        <v>81</v>
      </c>
      <c r="D518" s="227" t="s">
        <v>95</v>
      </c>
      <c r="E518" s="227" t="s">
        <v>42</v>
      </c>
      <c r="F518" s="227" t="s">
        <v>89</v>
      </c>
      <c r="G518" s="227" t="s">
        <v>84</v>
      </c>
      <c r="H518" s="231">
        <v>1</v>
      </c>
      <c r="I518" s="232">
        <v>0</v>
      </c>
      <c r="J518" s="230">
        <v>46048</v>
      </c>
      <c r="K518" s="227" t="s">
        <v>93</v>
      </c>
      <c r="L518" s="227" t="s">
        <v>94</v>
      </c>
      <c r="M518" s="233">
        <v>0</v>
      </c>
      <c r="N518" s="231"/>
      <c r="O518" s="231"/>
      <c r="P518" s="234">
        <v>-9.6199999999999992</v>
      </c>
    </row>
    <row r="519" spans="1:16" ht="19.5" customHeight="1">
      <c r="A519" s="227" t="s">
        <v>1213</v>
      </c>
      <c r="B519" s="230">
        <v>46051</v>
      </c>
      <c r="C519" s="227" t="s">
        <v>92</v>
      </c>
      <c r="D519" s="227" t="s">
        <v>96</v>
      </c>
      <c r="E519" s="227" t="s">
        <v>42</v>
      </c>
      <c r="F519" s="227" t="s">
        <v>89</v>
      </c>
      <c r="G519" s="227" t="s">
        <v>84</v>
      </c>
      <c r="H519" s="231">
        <v>1</v>
      </c>
      <c r="I519" s="232">
        <v>0</v>
      </c>
      <c r="J519" s="230">
        <v>46048</v>
      </c>
      <c r="K519" s="227" t="s">
        <v>93</v>
      </c>
      <c r="L519" s="227" t="s">
        <v>94</v>
      </c>
      <c r="M519" s="233">
        <v>0</v>
      </c>
      <c r="N519" s="231"/>
      <c r="O519" s="231"/>
      <c r="P519" s="234">
        <v>0</v>
      </c>
    </row>
    <row r="520" spans="1:16" ht="19.5" customHeight="1">
      <c r="A520" s="227" t="s">
        <v>1213</v>
      </c>
      <c r="B520" s="230">
        <v>46051</v>
      </c>
      <c r="C520" s="227" t="s">
        <v>92</v>
      </c>
      <c r="D520" s="227" t="s">
        <v>97</v>
      </c>
      <c r="E520" s="227" t="s">
        <v>42</v>
      </c>
      <c r="F520" s="227" t="s">
        <v>89</v>
      </c>
      <c r="G520" s="227" t="s">
        <v>84</v>
      </c>
      <c r="H520" s="231">
        <v>1</v>
      </c>
      <c r="I520" s="232">
        <v>0</v>
      </c>
      <c r="J520" s="230">
        <v>46048</v>
      </c>
      <c r="K520" s="227" t="s">
        <v>93</v>
      </c>
      <c r="L520" s="227" t="s">
        <v>94</v>
      </c>
      <c r="M520" s="233">
        <v>0</v>
      </c>
      <c r="N520" s="231"/>
      <c r="O520" s="231"/>
      <c r="P520" s="234">
        <v>-46.77</v>
      </c>
    </row>
    <row r="521" spans="1:16" ht="19.5" customHeight="1">
      <c r="A521" s="227" t="s">
        <v>1214</v>
      </c>
      <c r="B521" s="230">
        <v>46051</v>
      </c>
      <c r="C521" s="227" t="s">
        <v>81</v>
      </c>
      <c r="D521" s="227" t="s">
        <v>82</v>
      </c>
      <c r="E521" s="227" t="s">
        <v>56</v>
      </c>
      <c r="F521" s="227" t="s">
        <v>1215</v>
      </c>
      <c r="G521" s="227" t="s">
        <v>84</v>
      </c>
      <c r="H521" s="231">
        <v>1</v>
      </c>
      <c r="I521" s="232">
        <v>0</v>
      </c>
      <c r="J521" s="230">
        <v>46051</v>
      </c>
      <c r="K521" s="227" t="s">
        <v>85</v>
      </c>
      <c r="L521" s="227" t="s">
        <v>85</v>
      </c>
      <c r="M521" s="233">
        <v>0</v>
      </c>
      <c r="N521" s="231"/>
      <c r="O521" s="231"/>
      <c r="P521" s="234">
        <v>-20.93</v>
      </c>
    </row>
    <row r="522" spans="1:16" ht="19.5" customHeight="1">
      <c r="A522" s="227" t="s">
        <v>1216</v>
      </c>
      <c r="B522" s="230">
        <v>46051</v>
      </c>
      <c r="C522" s="227" t="s">
        <v>81</v>
      </c>
      <c r="D522" s="227" t="s">
        <v>82</v>
      </c>
      <c r="E522" s="227" t="s">
        <v>52</v>
      </c>
      <c r="F522" s="227" t="s">
        <v>90</v>
      </c>
      <c r="G522" s="227" t="s">
        <v>84</v>
      </c>
      <c r="H522" s="231">
        <v>1</v>
      </c>
      <c r="I522" s="232">
        <v>0</v>
      </c>
      <c r="J522" s="230">
        <v>46051</v>
      </c>
      <c r="K522" s="227" t="s">
        <v>85</v>
      </c>
      <c r="L522" s="227" t="s">
        <v>85</v>
      </c>
      <c r="M522" s="233">
        <v>0</v>
      </c>
      <c r="N522" s="231"/>
      <c r="O522" s="231"/>
      <c r="P522" s="234">
        <v>-12</v>
      </c>
    </row>
    <row r="523" spans="1:16" ht="19.5" customHeight="1">
      <c r="A523" s="227" t="s">
        <v>1217</v>
      </c>
      <c r="B523" s="230">
        <v>46051</v>
      </c>
      <c r="C523" s="227" t="s">
        <v>81</v>
      </c>
      <c r="D523" s="227" t="s">
        <v>82</v>
      </c>
      <c r="E523" s="227" t="s">
        <v>53</v>
      </c>
      <c r="F523" s="227" t="s">
        <v>120</v>
      </c>
      <c r="G523" s="227" t="s">
        <v>84</v>
      </c>
      <c r="H523" s="231">
        <v>1</v>
      </c>
      <c r="I523" s="232">
        <v>0</v>
      </c>
      <c r="J523" s="230">
        <v>46051</v>
      </c>
      <c r="K523" s="227" t="s">
        <v>85</v>
      </c>
      <c r="L523" s="227" t="s">
        <v>85</v>
      </c>
      <c r="M523" s="233">
        <v>0</v>
      </c>
      <c r="N523" s="231"/>
      <c r="O523" s="231"/>
      <c r="P523" s="234">
        <v>-11.99</v>
      </c>
    </row>
    <row r="524" spans="1:16" ht="19.5" customHeight="1">
      <c r="A524" s="227" t="s">
        <v>1218</v>
      </c>
      <c r="B524" s="230">
        <v>46051</v>
      </c>
      <c r="C524" s="227" t="s">
        <v>81</v>
      </c>
      <c r="D524" s="227" t="s">
        <v>82</v>
      </c>
      <c r="E524" s="227" t="s">
        <v>53</v>
      </c>
      <c r="F524" s="227" t="s">
        <v>120</v>
      </c>
      <c r="G524" s="227" t="s">
        <v>84</v>
      </c>
      <c r="H524" s="231">
        <v>1</v>
      </c>
      <c r="I524" s="232">
        <v>0</v>
      </c>
      <c r="J524" s="230">
        <v>46051</v>
      </c>
      <c r="K524" s="227" t="s">
        <v>85</v>
      </c>
      <c r="L524" s="227" t="s">
        <v>85</v>
      </c>
      <c r="M524" s="233">
        <v>0</v>
      </c>
      <c r="N524" s="231"/>
      <c r="O524" s="231"/>
      <c r="P524" s="234">
        <v>-11.99</v>
      </c>
    </row>
    <row r="525" spans="1:16" ht="19.5" customHeight="1">
      <c r="A525" s="227" t="s">
        <v>85</v>
      </c>
      <c r="B525" s="230">
        <v>46051</v>
      </c>
      <c r="C525" s="227" t="s">
        <v>109</v>
      </c>
      <c r="D525" s="227" t="s">
        <v>110</v>
      </c>
      <c r="E525" s="227" t="s">
        <v>85</v>
      </c>
      <c r="F525" s="227" t="s">
        <v>85</v>
      </c>
      <c r="G525" s="227" t="s">
        <v>1219</v>
      </c>
      <c r="H525" s="231">
        <v>0</v>
      </c>
      <c r="I525" s="232">
        <v>0</v>
      </c>
      <c r="J525" s="230">
        <v>46051</v>
      </c>
      <c r="K525" s="227" t="s">
        <v>85</v>
      </c>
      <c r="L525" s="227" t="s">
        <v>85</v>
      </c>
      <c r="M525" s="233">
        <v>0</v>
      </c>
      <c r="N525" s="231"/>
      <c r="O525" s="231"/>
      <c r="P525" s="234">
        <v>-150</v>
      </c>
    </row>
    <row r="526" spans="1:16" ht="19.5" customHeight="1">
      <c r="A526" s="227" t="s">
        <v>1220</v>
      </c>
      <c r="B526" s="230">
        <v>46051</v>
      </c>
      <c r="C526" s="227" t="s">
        <v>92</v>
      </c>
      <c r="D526" s="227" t="s">
        <v>24</v>
      </c>
      <c r="E526" s="227" t="s">
        <v>42</v>
      </c>
      <c r="F526" s="227" t="s">
        <v>89</v>
      </c>
      <c r="G526" s="227" t="s">
        <v>84</v>
      </c>
      <c r="H526" s="231">
        <v>1</v>
      </c>
      <c r="I526" s="232">
        <v>1663</v>
      </c>
      <c r="J526" s="230">
        <v>46048</v>
      </c>
      <c r="K526" s="227" t="s">
        <v>93</v>
      </c>
      <c r="L526" s="227" t="s">
        <v>94</v>
      </c>
      <c r="M526" s="233">
        <v>0.43</v>
      </c>
      <c r="N526" s="231"/>
      <c r="O526" s="231">
        <v>44</v>
      </c>
      <c r="P526" s="234">
        <v>-128.62</v>
      </c>
    </row>
    <row r="527" spans="1:16" ht="19.5" customHeight="1">
      <c r="A527" s="227" t="s">
        <v>1220</v>
      </c>
      <c r="B527" s="230">
        <v>46051</v>
      </c>
      <c r="C527" s="227" t="s">
        <v>100</v>
      </c>
      <c r="D527" s="227" t="s">
        <v>101</v>
      </c>
      <c r="E527" s="227" t="s">
        <v>42</v>
      </c>
      <c r="F527" s="227" t="s">
        <v>89</v>
      </c>
      <c r="G527" s="227" t="s">
        <v>84</v>
      </c>
      <c r="H527" s="231">
        <v>1</v>
      </c>
      <c r="I527" s="232">
        <v>1663</v>
      </c>
      <c r="J527" s="230">
        <v>46048</v>
      </c>
      <c r="K527" s="227" t="s">
        <v>93</v>
      </c>
      <c r="L527" s="227" t="s">
        <v>94</v>
      </c>
      <c r="M527" s="233">
        <v>0</v>
      </c>
      <c r="N527" s="231"/>
      <c r="O527" s="231"/>
      <c r="P527" s="234">
        <v>579.04999999999995</v>
      </c>
    </row>
    <row r="528" spans="1:16" ht="19.5" customHeight="1">
      <c r="A528" s="227" t="s">
        <v>1220</v>
      </c>
      <c r="B528" s="230">
        <v>46051</v>
      </c>
      <c r="C528" s="227" t="s">
        <v>100</v>
      </c>
      <c r="D528" s="227" t="s">
        <v>102</v>
      </c>
      <c r="E528" s="227" t="s">
        <v>42</v>
      </c>
      <c r="F528" s="227" t="s">
        <v>89</v>
      </c>
      <c r="G528" s="227" t="s">
        <v>84</v>
      </c>
      <c r="H528" s="231">
        <v>1</v>
      </c>
      <c r="I528" s="232">
        <v>1663</v>
      </c>
      <c r="J528" s="230">
        <v>46048</v>
      </c>
      <c r="K528" s="227" t="s">
        <v>93</v>
      </c>
      <c r="L528" s="227" t="s">
        <v>94</v>
      </c>
      <c r="M528" s="233">
        <v>0</v>
      </c>
      <c r="N528" s="231"/>
      <c r="O528" s="231"/>
      <c r="P528" s="234">
        <v>5.79</v>
      </c>
    </row>
    <row r="529" spans="1:16" ht="19.5" customHeight="1">
      <c r="A529" s="227" t="s">
        <v>1220</v>
      </c>
      <c r="B529" s="230">
        <v>46051</v>
      </c>
      <c r="C529" s="227" t="s">
        <v>100</v>
      </c>
      <c r="D529" s="227" t="s">
        <v>103</v>
      </c>
      <c r="E529" s="227" t="s">
        <v>42</v>
      </c>
      <c r="F529" s="227" t="s">
        <v>89</v>
      </c>
      <c r="G529" s="227" t="s">
        <v>84</v>
      </c>
      <c r="H529" s="231">
        <v>1</v>
      </c>
      <c r="I529" s="232">
        <v>1663</v>
      </c>
      <c r="J529" s="230">
        <v>46048</v>
      </c>
      <c r="K529" s="227" t="s">
        <v>93</v>
      </c>
      <c r="L529" s="227" t="s">
        <v>94</v>
      </c>
      <c r="M529" s="233">
        <v>0</v>
      </c>
      <c r="N529" s="231"/>
      <c r="O529" s="231"/>
      <c r="P529" s="234">
        <v>1078.1600000000001</v>
      </c>
    </row>
    <row r="530" spans="1:16" ht="19.5" customHeight="1">
      <c r="A530" s="227" t="s">
        <v>1220</v>
      </c>
      <c r="B530" s="230">
        <v>46051</v>
      </c>
      <c r="C530" s="227" t="s">
        <v>104</v>
      </c>
      <c r="D530" s="227" t="s">
        <v>105</v>
      </c>
      <c r="E530" s="227" t="s">
        <v>42</v>
      </c>
      <c r="F530" s="227" t="s">
        <v>89</v>
      </c>
      <c r="G530" s="227" t="s">
        <v>84</v>
      </c>
      <c r="H530" s="231">
        <v>1</v>
      </c>
      <c r="I530" s="232">
        <v>1663</v>
      </c>
      <c r="J530" s="230">
        <v>46048</v>
      </c>
      <c r="K530" s="227" t="s">
        <v>93</v>
      </c>
      <c r="L530" s="227" t="s">
        <v>94</v>
      </c>
      <c r="M530" s="233">
        <v>0.43</v>
      </c>
      <c r="N530" s="231"/>
      <c r="O530" s="231"/>
      <c r="P530" s="234">
        <v>-715.09</v>
      </c>
    </row>
    <row r="531" spans="1:16" ht="19.5" customHeight="1">
      <c r="A531" s="227" t="s">
        <v>1220</v>
      </c>
      <c r="B531" s="230">
        <v>46051</v>
      </c>
      <c r="C531" s="227" t="s">
        <v>81</v>
      </c>
      <c r="D531" s="227" t="s">
        <v>95</v>
      </c>
      <c r="E531" s="227" t="s">
        <v>42</v>
      </c>
      <c r="F531" s="227" t="s">
        <v>89</v>
      </c>
      <c r="G531" s="227" t="s">
        <v>84</v>
      </c>
      <c r="H531" s="231">
        <v>1</v>
      </c>
      <c r="I531" s="232">
        <v>1663</v>
      </c>
      <c r="J531" s="230">
        <v>46048</v>
      </c>
      <c r="K531" s="227" t="s">
        <v>93</v>
      </c>
      <c r="L531" s="227" t="s">
        <v>94</v>
      </c>
      <c r="M531" s="233">
        <v>0.43</v>
      </c>
      <c r="N531" s="231"/>
      <c r="O531" s="231"/>
      <c r="P531" s="234">
        <v>-23.69</v>
      </c>
    </row>
    <row r="532" spans="1:16" ht="19.5" customHeight="1">
      <c r="A532" s="227" t="s">
        <v>1221</v>
      </c>
      <c r="B532" s="230">
        <v>46051</v>
      </c>
      <c r="C532" s="227" t="s">
        <v>81</v>
      </c>
      <c r="D532" s="227" t="s">
        <v>82</v>
      </c>
      <c r="E532" s="227" t="s">
        <v>52</v>
      </c>
      <c r="F532" s="227" t="s">
        <v>90</v>
      </c>
      <c r="G532" s="227" t="s">
        <v>84</v>
      </c>
      <c r="H532" s="231">
        <v>1</v>
      </c>
      <c r="I532" s="232">
        <v>0</v>
      </c>
      <c r="J532" s="230">
        <v>46051</v>
      </c>
      <c r="K532" s="227" t="s">
        <v>85</v>
      </c>
      <c r="L532" s="227" t="s">
        <v>85</v>
      </c>
      <c r="M532" s="233">
        <v>0</v>
      </c>
      <c r="N532" s="231"/>
      <c r="O532" s="231"/>
      <c r="P532" s="234">
        <v>-11.32</v>
      </c>
    </row>
    <row r="533" spans="1:16" ht="19.5" customHeight="1">
      <c r="A533" s="227" t="s">
        <v>1220</v>
      </c>
      <c r="B533" s="230">
        <v>46051</v>
      </c>
      <c r="C533" s="227" t="s">
        <v>81</v>
      </c>
      <c r="D533" s="227" t="s">
        <v>82</v>
      </c>
      <c r="E533" s="227" t="s">
        <v>42</v>
      </c>
      <c r="F533" s="227" t="s">
        <v>89</v>
      </c>
      <c r="G533" s="227" t="s">
        <v>84</v>
      </c>
      <c r="H533" s="231">
        <v>1</v>
      </c>
      <c r="I533" s="232">
        <v>0</v>
      </c>
      <c r="J533" s="230">
        <v>46048</v>
      </c>
      <c r="K533" s="227" t="s">
        <v>85</v>
      </c>
      <c r="L533" s="227" t="s">
        <v>85</v>
      </c>
      <c r="M533" s="233">
        <v>0</v>
      </c>
      <c r="N533" s="231"/>
      <c r="O533" s="231"/>
      <c r="P533" s="234">
        <v>-11</v>
      </c>
    </row>
    <row r="534" spans="1:16" ht="19.5" customHeight="1">
      <c r="A534" s="227" t="s">
        <v>1222</v>
      </c>
      <c r="B534" s="230">
        <v>46051</v>
      </c>
      <c r="C534" s="227" t="s">
        <v>92</v>
      </c>
      <c r="D534" s="227" t="s">
        <v>24</v>
      </c>
      <c r="E534" s="227" t="s">
        <v>53</v>
      </c>
      <c r="F534" s="227" t="s">
        <v>120</v>
      </c>
      <c r="G534" s="227" t="s">
        <v>84</v>
      </c>
      <c r="H534" s="231">
        <v>1</v>
      </c>
      <c r="I534" s="232">
        <v>0</v>
      </c>
      <c r="J534" s="230">
        <v>46031</v>
      </c>
      <c r="K534" s="227" t="s">
        <v>93</v>
      </c>
      <c r="L534" s="227" t="s">
        <v>94</v>
      </c>
      <c r="M534" s="233">
        <v>0</v>
      </c>
      <c r="N534" s="231"/>
      <c r="O534" s="231">
        <v>42</v>
      </c>
      <c r="P534" s="234">
        <v>-56</v>
      </c>
    </row>
    <row r="535" spans="1:16" ht="19.5" customHeight="1">
      <c r="A535" s="227" t="s">
        <v>1222</v>
      </c>
      <c r="B535" s="230">
        <v>46051</v>
      </c>
      <c r="C535" s="227" t="s">
        <v>81</v>
      </c>
      <c r="D535" s="227" t="s">
        <v>95</v>
      </c>
      <c r="E535" s="227" t="s">
        <v>53</v>
      </c>
      <c r="F535" s="227" t="s">
        <v>120</v>
      </c>
      <c r="G535" s="227" t="s">
        <v>84</v>
      </c>
      <c r="H535" s="231">
        <v>1</v>
      </c>
      <c r="I535" s="232">
        <v>0</v>
      </c>
      <c r="J535" s="230">
        <v>46031</v>
      </c>
      <c r="K535" s="227" t="s">
        <v>93</v>
      </c>
      <c r="L535" s="227" t="s">
        <v>94</v>
      </c>
      <c r="M535" s="233">
        <v>0</v>
      </c>
      <c r="N535" s="231"/>
      <c r="O535" s="231"/>
      <c r="P535" s="234">
        <v>-16.059999999999999</v>
      </c>
    </row>
    <row r="536" spans="1:16" ht="19.5" customHeight="1">
      <c r="A536" s="227" t="s">
        <v>1223</v>
      </c>
      <c r="B536" s="230">
        <v>46051</v>
      </c>
      <c r="C536" s="227" t="s">
        <v>92</v>
      </c>
      <c r="D536" s="227" t="s">
        <v>24</v>
      </c>
      <c r="E536" s="227" t="s">
        <v>42</v>
      </c>
      <c r="F536" s="227" t="s">
        <v>89</v>
      </c>
      <c r="G536" s="227" t="s">
        <v>84</v>
      </c>
      <c r="H536" s="231">
        <v>1</v>
      </c>
      <c r="I536" s="232">
        <v>1750</v>
      </c>
      <c r="J536" s="230">
        <v>46047</v>
      </c>
      <c r="K536" s="227" t="s">
        <v>93</v>
      </c>
      <c r="L536" s="227" t="s">
        <v>94</v>
      </c>
      <c r="M536" s="233">
        <v>0.43</v>
      </c>
      <c r="N536" s="231"/>
      <c r="O536" s="231">
        <v>41</v>
      </c>
      <c r="P536" s="234">
        <v>-119.28</v>
      </c>
    </row>
    <row r="537" spans="1:16" ht="19.5" customHeight="1">
      <c r="A537" s="227" t="s">
        <v>1223</v>
      </c>
      <c r="B537" s="230">
        <v>46051</v>
      </c>
      <c r="C537" s="227" t="s">
        <v>100</v>
      </c>
      <c r="D537" s="227" t="s">
        <v>101</v>
      </c>
      <c r="E537" s="227" t="s">
        <v>42</v>
      </c>
      <c r="F537" s="227" t="s">
        <v>89</v>
      </c>
      <c r="G537" s="227" t="s">
        <v>84</v>
      </c>
      <c r="H537" s="231">
        <v>1</v>
      </c>
      <c r="I537" s="232">
        <v>1750</v>
      </c>
      <c r="J537" s="230">
        <v>46047</v>
      </c>
      <c r="K537" s="227" t="s">
        <v>93</v>
      </c>
      <c r="L537" s="227" t="s">
        <v>94</v>
      </c>
      <c r="M537" s="233">
        <v>0</v>
      </c>
      <c r="N537" s="231"/>
      <c r="O537" s="231"/>
      <c r="P537" s="234">
        <v>621.36</v>
      </c>
    </row>
    <row r="538" spans="1:16" ht="19.5" customHeight="1">
      <c r="A538" s="227" t="s">
        <v>1223</v>
      </c>
      <c r="B538" s="230">
        <v>46051</v>
      </c>
      <c r="C538" s="227" t="s">
        <v>100</v>
      </c>
      <c r="D538" s="227" t="s">
        <v>102</v>
      </c>
      <c r="E538" s="227" t="s">
        <v>42</v>
      </c>
      <c r="F538" s="227" t="s">
        <v>89</v>
      </c>
      <c r="G538" s="227" t="s">
        <v>84</v>
      </c>
      <c r="H538" s="231">
        <v>1</v>
      </c>
      <c r="I538" s="232">
        <v>1750</v>
      </c>
      <c r="J538" s="230">
        <v>46047</v>
      </c>
      <c r="K538" s="227" t="s">
        <v>93</v>
      </c>
      <c r="L538" s="227" t="s">
        <v>94</v>
      </c>
      <c r="M538" s="233">
        <v>0</v>
      </c>
      <c r="N538" s="231"/>
      <c r="O538" s="231"/>
      <c r="P538" s="234">
        <v>6.21</v>
      </c>
    </row>
    <row r="539" spans="1:16" ht="19.5" customHeight="1">
      <c r="A539" s="227" t="s">
        <v>1223</v>
      </c>
      <c r="B539" s="230">
        <v>46051</v>
      </c>
      <c r="C539" s="227" t="s">
        <v>100</v>
      </c>
      <c r="D539" s="227" t="s">
        <v>103</v>
      </c>
      <c r="E539" s="227" t="s">
        <v>42</v>
      </c>
      <c r="F539" s="227" t="s">
        <v>89</v>
      </c>
      <c r="G539" s="227" t="s">
        <v>84</v>
      </c>
      <c r="H539" s="231">
        <v>1</v>
      </c>
      <c r="I539" s="232">
        <v>1750</v>
      </c>
      <c r="J539" s="230">
        <v>46047</v>
      </c>
      <c r="K539" s="227" t="s">
        <v>93</v>
      </c>
      <c r="L539" s="227" t="s">
        <v>94</v>
      </c>
      <c r="M539" s="233">
        <v>0</v>
      </c>
      <c r="N539" s="231"/>
      <c r="O539" s="231"/>
      <c r="P539" s="234">
        <v>1122.43</v>
      </c>
    </row>
    <row r="540" spans="1:16" ht="19.5" customHeight="1">
      <c r="A540" s="227" t="s">
        <v>1223</v>
      </c>
      <c r="B540" s="230">
        <v>46051</v>
      </c>
      <c r="C540" s="227" t="s">
        <v>104</v>
      </c>
      <c r="D540" s="227" t="s">
        <v>105</v>
      </c>
      <c r="E540" s="227" t="s">
        <v>42</v>
      </c>
      <c r="F540" s="227" t="s">
        <v>89</v>
      </c>
      <c r="G540" s="227" t="s">
        <v>84</v>
      </c>
      <c r="H540" s="231">
        <v>1</v>
      </c>
      <c r="I540" s="232">
        <v>1750</v>
      </c>
      <c r="J540" s="230">
        <v>46047</v>
      </c>
      <c r="K540" s="227" t="s">
        <v>93</v>
      </c>
      <c r="L540" s="227" t="s">
        <v>94</v>
      </c>
      <c r="M540" s="233">
        <v>0.43</v>
      </c>
      <c r="N540" s="231"/>
      <c r="O540" s="231"/>
      <c r="P540" s="234">
        <v>-752.5</v>
      </c>
    </row>
    <row r="541" spans="1:16" ht="19.5" customHeight="1">
      <c r="A541" s="227" t="s">
        <v>1223</v>
      </c>
      <c r="B541" s="230">
        <v>46051</v>
      </c>
      <c r="C541" s="227" t="s">
        <v>81</v>
      </c>
      <c r="D541" s="227" t="s">
        <v>95</v>
      </c>
      <c r="E541" s="227" t="s">
        <v>42</v>
      </c>
      <c r="F541" s="227" t="s">
        <v>89</v>
      </c>
      <c r="G541" s="227" t="s">
        <v>84</v>
      </c>
      <c r="H541" s="231">
        <v>1</v>
      </c>
      <c r="I541" s="232">
        <v>1750</v>
      </c>
      <c r="J541" s="230">
        <v>46047</v>
      </c>
      <c r="K541" s="227" t="s">
        <v>93</v>
      </c>
      <c r="L541" s="227" t="s">
        <v>94</v>
      </c>
      <c r="M541" s="233">
        <v>0.43</v>
      </c>
      <c r="N541" s="231"/>
      <c r="O541" s="231"/>
      <c r="P541" s="234">
        <v>-9.89</v>
      </c>
    </row>
    <row r="542" spans="1:16" ht="19.5" customHeight="1">
      <c r="A542" s="227" t="s">
        <v>1222</v>
      </c>
      <c r="B542" s="230">
        <v>46051</v>
      </c>
      <c r="C542" s="227" t="s">
        <v>92</v>
      </c>
      <c r="D542" s="227" t="s">
        <v>96</v>
      </c>
      <c r="E542" s="227" t="s">
        <v>53</v>
      </c>
      <c r="F542" s="227" t="s">
        <v>120</v>
      </c>
      <c r="G542" s="227" t="s">
        <v>84</v>
      </c>
      <c r="H542" s="231">
        <v>1</v>
      </c>
      <c r="I542" s="232">
        <v>0</v>
      </c>
      <c r="J542" s="230">
        <v>46031</v>
      </c>
      <c r="K542" s="227" t="s">
        <v>93</v>
      </c>
      <c r="L542" s="227" t="s">
        <v>94</v>
      </c>
      <c r="M542" s="233">
        <v>0</v>
      </c>
      <c r="N542" s="231"/>
      <c r="O542" s="231"/>
      <c r="P542" s="234">
        <v>0</v>
      </c>
    </row>
    <row r="543" spans="1:16" ht="19.5" customHeight="1">
      <c r="A543" s="227" t="s">
        <v>1222</v>
      </c>
      <c r="B543" s="230">
        <v>46051</v>
      </c>
      <c r="C543" s="227" t="s">
        <v>92</v>
      </c>
      <c r="D543" s="227" t="s">
        <v>97</v>
      </c>
      <c r="E543" s="227" t="s">
        <v>53</v>
      </c>
      <c r="F543" s="227" t="s">
        <v>120</v>
      </c>
      <c r="G543" s="227" t="s">
        <v>84</v>
      </c>
      <c r="H543" s="231">
        <v>1</v>
      </c>
      <c r="I543" s="232">
        <v>0</v>
      </c>
      <c r="J543" s="230">
        <v>46031</v>
      </c>
      <c r="K543" s="227" t="s">
        <v>93</v>
      </c>
      <c r="L543" s="227" t="s">
        <v>94</v>
      </c>
      <c r="M543" s="233">
        <v>0</v>
      </c>
      <c r="N543" s="231"/>
      <c r="O543" s="231"/>
      <c r="P543" s="234">
        <v>-56</v>
      </c>
    </row>
    <row r="544" spans="1:16" ht="19.5" customHeight="1">
      <c r="A544" s="227" t="s">
        <v>1224</v>
      </c>
      <c r="B544" s="230">
        <v>46051</v>
      </c>
      <c r="C544" s="227" t="s">
        <v>92</v>
      </c>
      <c r="D544" s="227" t="s">
        <v>24</v>
      </c>
      <c r="E544" s="227" t="s">
        <v>53</v>
      </c>
      <c r="F544" s="227" t="s">
        <v>120</v>
      </c>
      <c r="G544" s="227" t="s">
        <v>84</v>
      </c>
      <c r="H544" s="231">
        <v>1</v>
      </c>
      <c r="I544" s="232">
        <v>1845</v>
      </c>
      <c r="J544" s="230">
        <v>46044</v>
      </c>
      <c r="K544" s="227" t="s">
        <v>93</v>
      </c>
      <c r="L544" s="227" t="s">
        <v>94</v>
      </c>
      <c r="M544" s="233">
        <v>0.43</v>
      </c>
      <c r="N544" s="231"/>
      <c r="O544" s="231">
        <v>42</v>
      </c>
      <c r="P544" s="234">
        <v>-140.5</v>
      </c>
    </row>
    <row r="545" spans="1:16" ht="19.5" customHeight="1">
      <c r="A545" s="227" t="s">
        <v>1224</v>
      </c>
      <c r="B545" s="230">
        <v>46051</v>
      </c>
      <c r="C545" s="227" t="s">
        <v>100</v>
      </c>
      <c r="D545" s="227" t="s">
        <v>101</v>
      </c>
      <c r="E545" s="227" t="s">
        <v>53</v>
      </c>
      <c r="F545" s="227" t="s">
        <v>120</v>
      </c>
      <c r="G545" s="227" t="s">
        <v>84</v>
      </c>
      <c r="H545" s="231">
        <v>1</v>
      </c>
      <c r="I545" s="232">
        <v>1845</v>
      </c>
      <c r="J545" s="230">
        <v>46044</v>
      </c>
      <c r="K545" s="227" t="s">
        <v>93</v>
      </c>
      <c r="L545" s="227" t="s">
        <v>94</v>
      </c>
      <c r="M545" s="233">
        <v>0</v>
      </c>
      <c r="N545" s="231"/>
      <c r="O545" s="231"/>
      <c r="P545" s="234">
        <v>664.76</v>
      </c>
    </row>
    <row r="546" spans="1:16" ht="19.5" customHeight="1">
      <c r="A546" s="227" t="s">
        <v>1224</v>
      </c>
      <c r="B546" s="230">
        <v>46051</v>
      </c>
      <c r="C546" s="227" t="s">
        <v>100</v>
      </c>
      <c r="D546" s="227" t="s">
        <v>102</v>
      </c>
      <c r="E546" s="227" t="s">
        <v>53</v>
      </c>
      <c r="F546" s="227" t="s">
        <v>120</v>
      </c>
      <c r="G546" s="227" t="s">
        <v>84</v>
      </c>
      <c r="H546" s="231">
        <v>1</v>
      </c>
      <c r="I546" s="232">
        <v>1845</v>
      </c>
      <c r="J546" s="230">
        <v>46044</v>
      </c>
      <c r="K546" s="227" t="s">
        <v>93</v>
      </c>
      <c r="L546" s="227" t="s">
        <v>94</v>
      </c>
      <c r="M546" s="233">
        <v>0</v>
      </c>
      <c r="N546" s="231"/>
      <c r="O546" s="231"/>
      <c r="P546" s="234">
        <v>6.65</v>
      </c>
    </row>
    <row r="547" spans="1:16" ht="19.5" customHeight="1">
      <c r="A547" s="227" t="s">
        <v>1224</v>
      </c>
      <c r="B547" s="230">
        <v>46051</v>
      </c>
      <c r="C547" s="227" t="s">
        <v>100</v>
      </c>
      <c r="D547" s="227" t="s">
        <v>103</v>
      </c>
      <c r="E547" s="227" t="s">
        <v>53</v>
      </c>
      <c r="F547" s="227" t="s">
        <v>120</v>
      </c>
      <c r="G547" s="227" t="s">
        <v>84</v>
      </c>
      <c r="H547" s="231">
        <v>1</v>
      </c>
      <c r="I547" s="232">
        <v>1845</v>
      </c>
      <c r="J547" s="230">
        <v>46044</v>
      </c>
      <c r="K547" s="227" t="s">
        <v>93</v>
      </c>
      <c r="L547" s="227" t="s">
        <v>94</v>
      </c>
      <c r="M547" s="233">
        <v>0</v>
      </c>
      <c r="N547" s="231"/>
      <c r="O547" s="231"/>
      <c r="P547" s="234">
        <v>1173.5899999999999</v>
      </c>
    </row>
    <row r="548" spans="1:16" ht="19.5" customHeight="1">
      <c r="A548" s="227" t="s">
        <v>1224</v>
      </c>
      <c r="B548" s="230">
        <v>46051</v>
      </c>
      <c r="C548" s="227" t="s">
        <v>104</v>
      </c>
      <c r="D548" s="227" t="s">
        <v>105</v>
      </c>
      <c r="E548" s="227" t="s">
        <v>53</v>
      </c>
      <c r="F548" s="227" t="s">
        <v>120</v>
      </c>
      <c r="G548" s="227" t="s">
        <v>84</v>
      </c>
      <c r="H548" s="231">
        <v>1</v>
      </c>
      <c r="I548" s="232">
        <v>1845</v>
      </c>
      <c r="J548" s="230">
        <v>46044</v>
      </c>
      <c r="K548" s="227" t="s">
        <v>93</v>
      </c>
      <c r="L548" s="227" t="s">
        <v>94</v>
      </c>
      <c r="M548" s="233">
        <v>0.43</v>
      </c>
      <c r="N548" s="231"/>
      <c r="O548" s="231"/>
      <c r="P548" s="234">
        <v>-793.35</v>
      </c>
    </row>
    <row r="549" spans="1:16" ht="19.5" customHeight="1">
      <c r="A549" s="227" t="s">
        <v>1224</v>
      </c>
      <c r="B549" s="230">
        <v>46051</v>
      </c>
      <c r="C549" s="227" t="s">
        <v>81</v>
      </c>
      <c r="D549" s="227" t="s">
        <v>95</v>
      </c>
      <c r="E549" s="227" t="s">
        <v>53</v>
      </c>
      <c r="F549" s="227" t="s">
        <v>120</v>
      </c>
      <c r="G549" s="227" t="s">
        <v>84</v>
      </c>
      <c r="H549" s="231">
        <v>1</v>
      </c>
      <c r="I549" s="232">
        <v>1845</v>
      </c>
      <c r="J549" s="230">
        <v>46044</v>
      </c>
      <c r="K549" s="227" t="s">
        <v>93</v>
      </c>
      <c r="L549" s="227" t="s">
        <v>94</v>
      </c>
      <c r="M549" s="233">
        <v>0.43</v>
      </c>
      <c r="N549" s="231"/>
      <c r="O549" s="231"/>
      <c r="P549" s="234">
        <v>-9.91</v>
      </c>
    </row>
    <row r="550" spans="1:16" ht="19.5" customHeight="1">
      <c r="A550" s="227" t="s">
        <v>1223</v>
      </c>
      <c r="B550" s="230">
        <v>46051</v>
      </c>
      <c r="C550" s="227" t="s">
        <v>81</v>
      </c>
      <c r="D550" s="227" t="s">
        <v>82</v>
      </c>
      <c r="E550" s="227" t="s">
        <v>42</v>
      </c>
      <c r="F550" s="227" t="s">
        <v>89</v>
      </c>
      <c r="G550" s="227" t="s">
        <v>84</v>
      </c>
      <c r="H550" s="231">
        <v>1</v>
      </c>
      <c r="I550" s="232">
        <v>0</v>
      </c>
      <c r="J550" s="230">
        <v>46047</v>
      </c>
      <c r="K550" s="227" t="s">
        <v>85</v>
      </c>
      <c r="L550" s="227" t="s">
        <v>85</v>
      </c>
      <c r="M550" s="233">
        <v>0</v>
      </c>
      <c r="N550" s="231"/>
      <c r="O550" s="231"/>
      <c r="P550" s="234">
        <v>-11.81</v>
      </c>
    </row>
    <row r="551" spans="1:16" ht="19.5" customHeight="1">
      <c r="A551" s="227" t="s">
        <v>1224</v>
      </c>
      <c r="B551" s="230">
        <v>46051</v>
      </c>
      <c r="C551" s="227" t="s">
        <v>81</v>
      </c>
      <c r="D551" s="227" t="s">
        <v>82</v>
      </c>
      <c r="E551" s="227" t="s">
        <v>53</v>
      </c>
      <c r="F551" s="227" t="s">
        <v>120</v>
      </c>
      <c r="G551" s="227" t="s">
        <v>84</v>
      </c>
      <c r="H551" s="231">
        <v>1</v>
      </c>
      <c r="I551" s="232">
        <v>0</v>
      </c>
      <c r="J551" s="230">
        <v>46044</v>
      </c>
      <c r="K551" s="227" t="s">
        <v>85</v>
      </c>
      <c r="L551" s="227" t="s">
        <v>85</v>
      </c>
      <c r="M551" s="233">
        <v>0</v>
      </c>
      <c r="N551" s="231"/>
      <c r="O551" s="231"/>
      <c r="P551" s="234">
        <v>-12.63</v>
      </c>
    </row>
    <row r="552" spans="1:16" ht="19.5" customHeight="1">
      <c r="A552" s="227" t="s">
        <v>1225</v>
      </c>
      <c r="B552" s="230">
        <v>46051</v>
      </c>
      <c r="C552" s="227" t="s">
        <v>92</v>
      </c>
      <c r="D552" s="227" t="s">
        <v>24</v>
      </c>
      <c r="E552" s="227" t="s">
        <v>52</v>
      </c>
      <c r="F552" s="227" t="s">
        <v>90</v>
      </c>
      <c r="G552" s="227" t="s">
        <v>84</v>
      </c>
      <c r="H552" s="231">
        <v>1</v>
      </c>
      <c r="I552" s="232">
        <v>1800</v>
      </c>
      <c r="J552" s="230">
        <v>46048</v>
      </c>
      <c r="K552" s="227" t="s">
        <v>93</v>
      </c>
      <c r="L552" s="227" t="s">
        <v>94</v>
      </c>
      <c r="M552" s="233">
        <v>0.43</v>
      </c>
      <c r="N552" s="231"/>
      <c r="O552" s="231">
        <v>44</v>
      </c>
      <c r="P552" s="234">
        <v>-149.51</v>
      </c>
    </row>
    <row r="553" spans="1:16" ht="19.5" customHeight="1">
      <c r="A553" s="227" t="s">
        <v>1225</v>
      </c>
      <c r="B553" s="230">
        <v>46051</v>
      </c>
      <c r="C553" s="227" t="s">
        <v>100</v>
      </c>
      <c r="D553" s="227" t="s">
        <v>101</v>
      </c>
      <c r="E553" s="227" t="s">
        <v>52</v>
      </c>
      <c r="F553" s="227" t="s">
        <v>90</v>
      </c>
      <c r="G553" s="227" t="s">
        <v>84</v>
      </c>
      <c r="H553" s="231">
        <v>1</v>
      </c>
      <c r="I553" s="232">
        <v>1800</v>
      </c>
      <c r="J553" s="230">
        <v>46048</v>
      </c>
      <c r="K553" s="227" t="s">
        <v>93</v>
      </c>
      <c r="L553" s="227" t="s">
        <v>94</v>
      </c>
      <c r="M553" s="233">
        <v>0</v>
      </c>
      <c r="N553" s="231"/>
      <c r="O553" s="231"/>
      <c r="P553" s="234">
        <v>660.95</v>
      </c>
    </row>
    <row r="554" spans="1:16" ht="19.5" customHeight="1">
      <c r="A554" s="227" t="s">
        <v>1225</v>
      </c>
      <c r="B554" s="230">
        <v>46051</v>
      </c>
      <c r="C554" s="227" t="s">
        <v>100</v>
      </c>
      <c r="D554" s="227" t="s">
        <v>102</v>
      </c>
      <c r="E554" s="227" t="s">
        <v>52</v>
      </c>
      <c r="F554" s="227" t="s">
        <v>90</v>
      </c>
      <c r="G554" s="227" t="s">
        <v>84</v>
      </c>
      <c r="H554" s="231">
        <v>1</v>
      </c>
      <c r="I554" s="232">
        <v>1800</v>
      </c>
      <c r="J554" s="230">
        <v>46048</v>
      </c>
      <c r="K554" s="227" t="s">
        <v>93</v>
      </c>
      <c r="L554" s="227" t="s">
        <v>94</v>
      </c>
      <c r="M554" s="233">
        <v>0</v>
      </c>
      <c r="N554" s="231"/>
      <c r="O554" s="231"/>
      <c r="P554" s="234">
        <v>6.61</v>
      </c>
    </row>
    <row r="555" spans="1:16" ht="19.5" customHeight="1">
      <c r="A555" s="227" t="s">
        <v>1225</v>
      </c>
      <c r="B555" s="230">
        <v>46051</v>
      </c>
      <c r="C555" s="227" t="s">
        <v>100</v>
      </c>
      <c r="D555" s="227" t="s">
        <v>103</v>
      </c>
      <c r="E555" s="227" t="s">
        <v>52</v>
      </c>
      <c r="F555" s="227" t="s">
        <v>90</v>
      </c>
      <c r="G555" s="227" t="s">
        <v>84</v>
      </c>
      <c r="H555" s="231">
        <v>1</v>
      </c>
      <c r="I555" s="232">
        <v>1800</v>
      </c>
      <c r="J555" s="230">
        <v>46048</v>
      </c>
      <c r="K555" s="227" t="s">
        <v>93</v>
      </c>
      <c r="L555" s="227" t="s">
        <v>94</v>
      </c>
      <c r="M555" s="233">
        <v>0</v>
      </c>
      <c r="N555" s="231"/>
      <c r="O555" s="231"/>
      <c r="P555" s="234">
        <v>1132.44</v>
      </c>
    </row>
    <row r="556" spans="1:16" ht="19.5" customHeight="1">
      <c r="A556" s="227" t="s">
        <v>1225</v>
      </c>
      <c r="B556" s="230">
        <v>46051</v>
      </c>
      <c r="C556" s="227" t="s">
        <v>104</v>
      </c>
      <c r="D556" s="227" t="s">
        <v>105</v>
      </c>
      <c r="E556" s="227" t="s">
        <v>52</v>
      </c>
      <c r="F556" s="227" t="s">
        <v>90</v>
      </c>
      <c r="G556" s="227" t="s">
        <v>84</v>
      </c>
      <c r="H556" s="231">
        <v>1</v>
      </c>
      <c r="I556" s="232">
        <v>1800</v>
      </c>
      <c r="J556" s="230">
        <v>46048</v>
      </c>
      <c r="K556" s="227" t="s">
        <v>93</v>
      </c>
      <c r="L556" s="227" t="s">
        <v>94</v>
      </c>
      <c r="M556" s="233">
        <v>0.43</v>
      </c>
      <c r="N556" s="231"/>
      <c r="O556" s="231"/>
      <c r="P556" s="234">
        <v>-774</v>
      </c>
    </row>
    <row r="557" spans="1:16" ht="19.5" customHeight="1">
      <c r="A557" s="227" t="s">
        <v>1225</v>
      </c>
      <c r="B557" s="230">
        <v>46051</v>
      </c>
      <c r="C557" s="227" t="s">
        <v>81</v>
      </c>
      <c r="D557" s="227" t="s">
        <v>95</v>
      </c>
      <c r="E557" s="227" t="s">
        <v>52</v>
      </c>
      <c r="F557" s="227" t="s">
        <v>90</v>
      </c>
      <c r="G557" s="227" t="s">
        <v>84</v>
      </c>
      <c r="H557" s="231">
        <v>1</v>
      </c>
      <c r="I557" s="232">
        <v>1800</v>
      </c>
      <c r="J557" s="230">
        <v>46048</v>
      </c>
      <c r="K557" s="227" t="s">
        <v>93</v>
      </c>
      <c r="L557" s="227" t="s">
        <v>94</v>
      </c>
      <c r="M557" s="233">
        <v>0.43</v>
      </c>
      <c r="N557" s="231"/>
      <c r="O557" s="231"/>
      <c r="P557" s="234">
        <v>-25</v>
      </c>
    </row>
    <row r="558" spans="1:16" ht="19.5" customHeight="1">
      <c r="A558" s="227" t="s">
        <v>1226</v>
      </c>
      <c r="B558" s="230">
        <v>46051</v>
      </c>
      <c r="C558" s="227" t="s">
        <v>92</v>
      </c>
      <c r="D558" s="227" t="s">
        <v>24</v>
      </c>
      <c r="E558" s="227" t="s">
        <v>53</v>
      </c>
      <c r="F558" s="227" t="s">
        <v>120</v>
      </c>
      <c r="G558" s="227" t="s">
        <v>84</v>
      </c>
      <c r="H558" s="231">
        <v>1</v>
      </c>
      <c r="I558" s="232">
        <v>1812</v>
      </c>
      <c r="J558" s="230">
        <v>46048</v>
      </c>
      <c r="K558" s="227" t="s">
        <v>93</v>
      </c>
      <c r="L558" s="227" t="s">
        <v>94</v>
      </c>
      <c r="M558" s="233">
        <v>0.43</v>
      </c>
      <c r="N558" s="231"/>
      <c r="O558" s="231">
        <v>44</v>
      </c>
      <c r="P558" s="234">
        <v>-148.36000000000001</v>
      </c>
    </row>
    <row r="559" spans="1:16" ht="19.5" customHeight="1">
      <c r="A559" s="227" t="s">
        <v>1226</v>
      </c>
      <c r="B559" s="230">
        <v>46051</v>
      </c>
      <c r="C559" s="227" t="s">
        <v>100</v>
      </c>
      <c r="D559" s="227" t="s">
        <v>101</v>
      </c>
      <c r="E559" s="227" t="s">
        <v>53</v>
      </c>
      <c r="F559" s="227" t="s">
        <v>120</v>
      </c>
      <c r="G559" s="227" t="s">
        <v>84</v>
      </c>
      <c r="H559" s="231">
        <v>1</v>
      </c>
      <c r="I559" s="232">
        <v>1812</v>
      </c>
      <c r="J559" s="230">
        <v>46048</v>
      </c>
      <c r="K559" s="227" t="s">
        <v>93</v>
      </c>
      <c r="L559" s="227" t="s">
        <v>94</v>
      </c>
      <c r="M559" s="233">
        <v>0</v>
      </c>
      <c r="N559" s="231"/>
      <c r="O559" s="231"/>
      <c r="P559" s="234">
        <v>631.42999999999995</v>
      </c>
    </row>
    <row r="560" spans="1:16" ht="19.5" customHeight="1">
      <c r="A560" s="227" t="s">
        <v>1226</v>
      </c>
      <c r="B560" s="230">
        <v>46051</v>
      </c>
      <c r="C560" s="227" t="s">
        <v>100</v>
      </c>
      <c r="D560" s="227" t="s">
        <v>102</v>
      </c>
      <c r="E560" s="227" t="s">
        <v>53</v>
      </c>
      <c r="F560" s="227" t="s">
        <v>120</v>
      </c>
      <c r="G560" s="227" t="s">
        <v>84</v>
      </c>
      <c r="H560" s="231">
        <v>1</v>
      </c>
      <c r="I560" s="232">
        <v>1812</v>
      </c>
      <c r="J560" s="230">
        <v>46048</v>
      </c>
      <c r="K560" s="227" t="s">
        <v>93</v>
      </c>
      <c r="L560" s="227" t="s">
        <v>94</v>
      </c>
      <c r="M560" s="233">
        <v>0</v>
      </c>
      <c r="N560" s="231"/>
      <c r="O560" s="231"/>
      <c r="P560" s="234">
        <v>6.31</v>
      </c>
    </row>
    <row r="561" spans="1:16" ht="19.5" customHeight="1">
      <c r="A561" s="227" t="s">
        <v>1226</v>
      </c>
      <c r="B561" s="230">
        <v>46051</v>
      </c>
      <c r="C561" s="227" t="s">
        <v>100</v>
      </c>
      <c r="D561" s="227" t="s">
        <v>103</v>
      </c>
      <c r="E561" s="227" t="s">
        <v>53</v>
      </c>
      <c r="F561" s="227" t="s">
        <v>120</v>
      </c>
      <c r="G561" s="227" t="s">
        <v>84</v>
      </c>
      <c r="H561" s="231">
        <v>1</v>
      </c>
      <c r="I561" s="232">
        <v>1812</v>
      </c>
      <c r="J561" s="230">
        <v>46048</v>
      </c>
      <c r="K561" s="227" t="s">
        <v>93</v>
      </c>
      <c r="L561" s="227" t="s">
        <v>94</v>
      </c>
      <c r="M561" s="233">
        <v>0</v>
      </c>
      <c r="N561" s="231"/>
      <c r="O561" s="231"/>
      <c r="P561" s="234">
        <v>1174.26</v>
      </c>
    </row>
    <row r="562" spans="1:16" ht="19.5" customHeight="1">
      <c r="A562" s="227" t="s">
        <v>1226</v>
      </c>
      <c r="B562" s="230">
        <v>46051</v>
      </c>
      <c r="C562" s="227" t="s">
        <v>104</v>
      </c>
      <c r="D562" s="227" t="s">
        <v>105</v>
      </c>
      <c r="E562" s="227" t="s">
        <v>53</v>
      </c>
      <c r="F562" s="227" t="s">
        <v>120</v>
      </c>
      <c r="G562" s="227" t="s">
        <v>84</v>
      </c>
      <c r="H562" s="231">
        <v>1</v>
      </c>
      <c r="I562" s="232">
        <v>1812</v>
      </c>
      <c r="J562" s="230">
        <v>46048</v>
      </c>
      <c r="K562" s="227" t="s">
        <v>93</v>
      </c>
      <c r="L562" s="227" t="s">
        <v>94</v>
      </c>
      <c r="M562" s="233">
        <v>0.43</v>
      </c>
      <c r="N562" s="231"/>
      <c r="O562" s="231"/>
      <c r="P562" s="234">
        <v>-779.16</v>
      </c>
    </row>
    <row r="563" spans="1:16" ht="19.5" customHeight="1">
      <c r="A563" s="227" t="s">
        <v>1226</v>
      </c>
      <c r="B563" s="230">
        <v>46051</v>
      </c>
      <c r="C563" s="227" t="s">
        <v>81</v>
      </c>
      <c r="D563" s="227" t="s">
        <v>95</v>
      </c>
      <c r="E563" s="227" t="s">
        <v>53</v>
      </c>
      <c r="F563" s="227" t="s">
        <v>120</v>
      </c>
      <c r="G563" s="227" t="s">
        <v>84</v>
      </c>
      <c r="H563" s="231">
        <v>1</v>
      </c>
      <c r="I563" s="232">
        <v>1812</v>
      </c>
      <c r="J563" s="230">
        <v>46048</v>
      </c>
      <c r="K563" s="227" t="s">
        <v>93</v>
      </c>
      <c r="L563" s="227" t="s">
        <v>94</v>
      </c>
      <c r="M563" s="233">
        <v>0.43</v>
      </c>
      <c r="N563" s="231"/>
      <c r="O563" s="231"/>
      <c r="P563" s="234">
        <v>-14.04</v>
      </c>
    </row>
    <row r="564" spans="1:16" ht="19.5" customHeight="1">
      <c r="A564" s="227" t="s">
        <v>1227</v>
      </c>
      <c r="B564" s="230">
        <v>46051</v>
      </c>
      <c r="C564" s="227" t="s">
        <v>92</v>
      </c>
      <c r="D564" s="227" t="s">
        <v>24</v>
      </c>
      <c r="E564" s="227" t="s">
        <v>52</v>
      </c>
      <c r="F564" s="227" t="s">
        <v>90</v>
      </c>
      <c r="G564" s="227" t="s">
        <v>84</v>
      </c>
      <c r="H564" s="231">
        <v>1</v>
      </c>
      <c r="I564" s="232">
        <v>1800</v>
      </c>
      <c r="J564" s="230">
        <v>46050</v>
      </c>
      <c r="K564" s="227" t="s">
        <v>93</v>
      </c>
      <c r="L564" s="227" t="s">
        <v>94</v>
      </c>
      <c r="M564" s="233">
        <v>0.43</v>
      </c>
      <c r="N564" s="231"/>
      <c r="O564" s="231">
        <v>44</v>
      </c>
      <c r="P564" s="234">
        <v>-149.51</v>
      </c>
    </row>
    <row r="565" spans="1:16" ht="19.5" customHeight="1">
      <c r="A565" s="227" t="s">
        <v>1227</v>
      </c>
      <c r="B565" s="230">
        <v>46051</v>
      </c>
      <c r="C565" s="227" t="s">
        <v>100</v>
      </c>
      <c r="D565" s="227" t="s">
        <v>101</v>
      </c>
      <c r="E565" s="227" t="s">
        <v>52</v>
      </c>
      <c r="F565" s="227" t="s">
        <v>90</v>
      </c>
      <c r="G565" s="227" t="s">
        <v>84</v>
      </c>
      <c r="H565" s="231">
        <v>1</v>
      </c>
      <c r="I565" s="232">
        <v>1800</v>
      </c>
      <c r="J565" s="230">
        <v>46050</v>
      </c>
      <c r="K565" s="227" t="s">
        <v>93</v>
      </c>
      <c r="L565" s="227" t="s">
        <v>94</v>
      </c>
      <c r="M565" s="233">
        <v>0</v>
      </c>
      <c r="N565" s="231"/>
      <c r="O565" s="231"/>
      <c r="P565" s="234">
        <v>643.80999999999995</v>
      </c>
    </row>
    <row r="566" spans="1:16" ht="19.5" customHeight="1">
      <c r="A566" s="227" t="s">
        <v>1227</v>
      </c>
      <c r="B566" s="230">
        <v>46051</v>
      </c>
      <c r="C566" s="227" t="s">
        <v>100</v>
      </c>
      <c r="D566" s="227" t="s">
        <v>102</v>
      </c>
      <c r="E566" s="227" t="s">
        <v>52</v>
      </c>
      <c r="F566" s="227" t="s">
        <v>90</v>
      </c>
      <c r="G566" s="227" t="s">
        <v>84</v>
      </c>
      <c r="H566" s="231">
        <v>1</v>
      </c>
      <c r="I566" s="232">
        <v>1800</v>
      </c>
      <c r="J566" s="230">
        <v>46050</v>
      </c>
      <c r="K566" s="227" t="s">
        <v>93</v>
      </c>
      <c r="L566" s="227" t="s">
        <v>94</v>
      </c>
      <c r="M566" s="233">
        <v>0</v>
      </c>
      <c r="N566" s="231"/>
      <c r="O566" s="231"/>
      <c r="P566" s="234">
        <v>6.44</v>
      </c>
    </row>
    <row r="567" spans="1:16" ht="19.5" customHeight="1">
      <c r="A567" s="227" t="s">
        <v>1227</v>
      </c>
      <c r="B567" s="230">
        <v>46051</v>
      </c>
      <c r="C567" s="227" t="s">
        <v>100</v>
      </c>
      <c r="D567" s="227" t="s">
        <v>103</v>
      </c>
      <c r="E567" s="227" t="s">
        <v>52</v>
      </c>
      <c r="F567" s="227" t="s">
        <v>90</v>
      </c>
      <c r="G567" s="227" t="s">
        <v>84</v>
      </c>
      <c r="H567" s="231">
        <v>1</v>
      </c>
      <c r="I567" s="232">
        <v>1800</v>
      </c>
      <c r="J567" s="230">
        <v>46050</v>
      </c>
      <c r="K567" s="227" t="s">
        <v>93</v>
      </c>
      <c r="L567" s="227" t="s">
        <v>94</v>
      </c>
      <c r="M567" s="233">
        <v>0</v>
      </c>
      <c r="N567" s="231"/>
      <c r="O567" s="231"/>
      <c r="P567" s="234">
        <v>1149.75</v>
      </c>
    </row>
    <row r="568" spans="1:16" ht="19.5" customHeight="1">
      <c r="A568" s="227" t="s">
        <v>1227</v>
      </c>
      <c r="B568" s="230">
        <v>46051</v>
      </c>
      <c r="C568" s="227" t="s">
        <v>104</v>
      </c>
      <c r="D568" s="227" t="s">
        <v>105</v>
      </c>
      <c r="E568" s="227" t="s">
        <v>52</v>
      </c>
      <c r="F568" s="227" t="s">
        <v>90</v>
      </c>
      <c r="G568" s="227" t="s">
        <v>84</v>
      </c>
      <c r="H568" s="231">
        <v>1</v>
      </c>
      <c r="I568" s="232">
        <v>1800</v>
      </c>
      <c r="J568" s="230">
        <v>46050</v>
      </c>
      <c r="K568" s="227" t="s">
        <v>93</v>
      </c>
      <c r="L568" s="227" t="s">
        <v>94</v>
      </c>
      <c r="M568" s="233">
        <v>0.43</v>
      </c>
      <c r="N568" s="231"/>
      <c r="O568" s="231"/>
      <c r="P568" s="234">
        <v>-774</v>
      </c>
    </row>
    <row r="569" spans="1:16" ht="19.5" customHeight="1">
      <c r="A569" s="227" t="s">
        <v>1227</v>
      </c>
      <c r="B569" s="230">
        <v>46051</v>
      </c>
      <c r="C569" s="227" t="s">
        <v>81</v>
      </c>
      <c r="D569" s="227" t="s">
        <v>95</v>
      </c>
      <c r="E569" s="227" t="s">
        <v>52</v>
      </c>
      <c r="F569" s="227" t="s">
        <v>90</v>
      </c>
      <c r="G569" s="227" t="s">
        <v>84</v>
      </c>
      <c r="H569" s="231">
        <v>1</v>
      </c>
      <c r="I569" s="232">
        <v>1800</v>
      </c>
      <c r="J569" s="230">
        <v>46050</v>
      </c>
      <c r="K569" s="227" t="s">
        <v>93</v>
      </c>
      <c r="L569" s="227" t="s">
        <v>94</v>
      </c>
      <c r="M569" s="233">
        <v>0.43</v>
      </c>
      <c r="N569" s="231"/>
      <c r="O569" s="231"/>
      <c r="P569" s="234">
        <v>-22.6</v>
      </c>
    </row>
    <row r="570" spans="1:16" ht="19.5" customHeight="1">
      <c r="A570" s="227" t="s">
        <v>1228</v>
      </c>
      <c r="B570" s="230">
        <v>46051</v>
      </c>
      <c r="C570" s="227" t="s">
        <v>92</v>
      </c>
      <c r="D570" s="227" t="s">
        <v>24</v>
      </c>
      <c r="E570" s="227" t="s">
        <v>39</v>
      </c>
      <c r="F570" s="227" t="s">
        <v>117</v>
      </c>
      <c r="G570" s="227" t="s">
        <v>84</v>
      </c>
      <c r="H570" s="231">
        <v>1</v>
      </c>
      <c r="I570" s="232">
        <v>0</v>
      </c>
      <c r="J570" s="230">
        <v>46043</v>
      </c>
      <c r="K570" s="227" t="s">
        <v>93</v>
      </c>
      <c r="L570" s="227" t="s">
        <v>94</v>
      </c>
      <c r="M570" s="233">
        <v>0</v>
      </c>
      <c r="N570" s="231"/>
      <c r="O570" s="231">
        <v>43</v>
      </c>
      <c r="P570" s="234">
        <v>-46.77</v>
      </c>
    </row>
    <row r="571" spans="1:16" ht="19.5" customHeight="1">
      <c r="A571" s="227" t="s">
        <v>1229</v>
      </c>
      <c r="B571" s="230">
        <v>46051</v>
      </c>
      <c r="C571" s="227" t="s">
        <v>92</v>
      </c>
      <c r="D571" s="227" t="s">
        <v>24</v>
      </c>
      <c r="E571" s="227" t="s">
        <v>52</v>
      </c>
      <c r="F571" s="227" t="s">
        <v>90</v>
      </c>
      <c r="G571" s="227" t="s">
        <v>84</v>
      </c>
      <c r="H571" s="231">
        <v>1</v>
      </c>
      <c r="I571" s="232">
        <v>1800</v>
      </c>
      <c r="J571" s="230">
        <v>46048</v>
      </c>
      <c r="K571" s="227" t="s">
        <v>93</v>
      </c>
      <c r="L571" s="227" t="s">
        <v>94</v>
      </c>
      <c r="M571" s="233">
        <v>0.43</v>
      </c>
      <c r="N571" s="231"/>
      <c r="O571" s="231">
        <v>44</v>
      </c>
      <c r="P571" s="234">
        <v>-147.97999999999999</v>
      </c>
    </row>
    <row r="572" spans="1:16" ht="19.5" customHeight="1">
      <c r="A572" s="227" t="s">
        <v>1229</v>
      </c>
      <c r="B572" s="230">
        <v>46051</v>
      </c>
      <c r="C572" s="227" t="s">
        <v>100</v>
      </c>
      <c r="D572" s="227" t="s">
        <v>101</v>
      </c>
      <c r="E572" s="227" t="s">
        <v>52</v>
      </c>
      <c r="F572" s="227" t="s">
        <v>90</v>
      </c>
      <c r="G572" s="227" t="s">
        <v>84</v>
      </c>
      <c r="H572" s="231">
        <v>1</v>
      </c>
      <c r="I572" s="232">
        <v>1800</v>
      </c>
      <c r="J572" s="230">
        <v>46048</v>
      </c>
      <c r="K572" s="227" t="s">
        <v>93</v>
      </c>
      <c r="L572" s="227" t="s">
        <v>94</v>
      </c>
      <c r="M572" s="233">
        <v>0</v>
      </c>
      <c r="N572" s="231"/>
      <c r="O572" s="231"/>
      <c r="P572" s="234">
        <v>679.35</v>
      </c>
    </row>
    <row r="573" spans="1:16" ht="19.5" customHeight="1">
      <c r="A573" s="227" t="s">
        <v>1229</v>
      </c>
      <c r="B573" s="230">
        <v>46051</v>
      </c>
      <c r="C573" s="227" t="s">
        <v>100</v>
      </c>
      <c r="D573" s="227" t="s">
        <v>102</v>
      </c>
      <c r="E573" s="227" t="s">
        <v>52</v>
      </c>
      <c r="F573" s="227" t="s">
        <v>90</v>
      </c>
      <c r="G573" s="227" t="s">
        <v>84</v>
      </c>
      <c r="H573" s="231">
        <v>1</v>
      </c>
      <c r="I573" s="232">
        <v>1800</v>
      </c>
      <c r="J573" s="230">
        <v>46048</v>
      </c>
      <c r="K573" s="227" t="s">
        <v>93</v>
      </c>
      <c r="L573" s="227" t="s">
        <v>94</v>
      </c>
      <c r="M573" s="233">
        <v>0</v>
      </c>
      <c r="N573" s="231"/>
      <c r="O573" s="231"/>
      <c r="P573" s="234">
        <v>6.79</v>
      </c>
    </row>
    <row r="574" spans="1:16" ht="19.5" customHeight="1">
      <c r="A574" s="227" t="s">
        <v>1229</v>
      </c>
      <c r="B574" s="230">
        <v>46051</v>
      </c>
      <c r="C574" s="227" t="s">
        <v>100</v>
      </c>
      <c r="D574" s="227" t="s">
        <v>103</v>
      </c>
      <c r="E574" s="227" t="s">
        <v>52</v>
      </c>
      <c r="F574" s="227" t="s">
        <v>90</v>
      </c>
      <c r="G574" s="227" t="s">
        <v>84</v>
      </c>
      <c r="H574" s="231">
        <v>1</v>
      </c>
      <c r="I574" s="232">
        <v>1800</v>
      </c>
      <c r="J574" s="230">
        <v>46048</v>
      </c>
      <c r="K574" s="227" t="s">
        <v>93</v>
      </c>
      <c r="L574" s="227" t="s">
        <v>94</v>
      </c>
      <c r="M574" s="233">
        <v>0</v>
      </c>
      <c r="N574" s="231"/>
      <c r="O574" s="231"/>
      <c r="P574" s="234">
        <v>1113.8599999999999</v>
      </c>
    </row>
    <row r="575" spans="1:16" ht="19.5" customHeight="1">
      <c r="A575" s="227" t="s">
        <v>1229</v>
      </c>
      <c r="B575" s="230">
        <v>46051</v>
      </c>
      <c r="C575" s="227" t="s">
        <v>104</v>
      </c>
      <c r="D575" s="227" t="s">
        <v>105</v>
      </c>
      <c r="E575" s="227" t="s">
        <v>52</v>
      </c>
      <c r="F575" s="227" t="s">
        <v>90</v>
      </c>
      <c r="G575" s="227" t="s">
        <v>84</v>
      </c>
      <c r="H575" s="231">
        <v>1</v>
      </c>
      <c r="I575" s="232">
        <v>1800</v>
      </c>
      <c r="J575" s="230">
        <v>46048</v>
      </c>
      <c r="K575" s="227" t="s">
        <v>93</v>
      </c>
      <c r="L575" s="227" t="s">
        <v>94</v>
      </c>
      <c r="M575" s="233">
        <v>0.43</v>
      </c>
      <c r="N575" s="231"/>
      <c r="O575" s="231"/>
      <c r="P575" s="234">
        <v>-774</v>
      </c>
    </row>
    <row r="576" spans="1:16" ht="19.5" customHeight="1">
      <c r="A576" s="227" t="s">
        <v>1229</v>
      </c>
      <c r="B576" s="230">
        <v>46051</v>
      </c>
      <c r="C576" s="227" t="s">
        <v>81</v>
      </c>
      <c r="D576" s="227" t="s">
        <v>95</v>
      </c>
      <c r="E576" s="227" t="s">
        <v>52</v>
      </c>
      <c r="F576" s="227" t="s">
        <v>90</v>
      </c>
      <c r="G576" s="227" t="s">
        <v>84</v>
      </c>
      <c r="H576" s="231">
        <v>1</v>
      </c>
      <c r="I576" s="232">
        <v>1800</v>
      </c>
      <c r="J576" s="230">
        <v>46048</v>
      </c>
      <c r="K576" s="227" t="s">
        <v>93</v>
      </c>
      <c r="L576" s="227" t="s">
        <v>94</v>
      </c>
      <c r="M576" s="233">
        <v>0.43</v>
      </c>
      <c r="N576" s="231"/>
      <c r="O576" s="231"/>
      <c r="P576" s="234">
        <v>-10.210000000000001</v>
      </c>
    </row>
    <row r="577" spans="1:16" ht="19.5" customHeight="1">
      <c r="A577" s="227" t="s">
        <v>1230</v>
      </c>
      <c r="B577" s="230">
        <v>46051</v>
      </c>
      <c r="C577" s="227" t="s">
        <v>92</v>
      </c>
      <c r="D577" s="227" t="s">
        <v>24</v>
      </c>
      <c r="E577" s="227" t="s">
        <v>52</v>
      </c>
      <c r="F577" s="227" t="s">
        <v>90</v>
      </c>
      <c r="G577" s="227" t="s">
        <v>84</v>
      </c>
      <c r="H577" s="231">
        <v>1</v>
      </c>
      <c r="I577" s="232">
        <v>1800</v>
      </c>
      <c r="J577" s="230">
        <v>46048</v>
      </c>
      <c r="K577" s="227" t="s">
        <v>93</v>
      </c>
      <c r="L577" s="227" t="s">
        <v>94</v>
      </c>
      <c r="M577" s="233">
        <v>0.43</v>
      </c>
      <c r="N577" s="231"/>
      <c r="O577" s="231">
        <v>44</v>
      </c>
      <c r="P577" s="234">
        <v>-147.97999999999999</v>
      </c>
    </row>
    <row r="578" spans="1:16" ht="19.5" customHeight="1">
      <c r="A578" s="227" t="s">
        <v>1230</v>
      </c>
      <c r="B578" s="230">
        <v>46051</v>
      </c>
      <c r="C578" s="227" t="s">
        <v>100</v>
      </c>
      <c r="D578" s="227" t="s">
        <v>101</v>
      </c>
      <c r="E578" s="227" t="s">
        <v>52</v>
      </c>
      <c r="F578" s="227" t="s">
        <v>90</v>
      </c>
      <c r="G578" s="227" t="s">
        <v>84</v>
      </c>
      <c r="H578" s="231">
        <v>1</v>
      </c>
      <c r="I578" s="232">
        <v>1800</v>
      </c>
      <c r="J578" s="230">
        <v>46048</v>
      </c>
      <c r="K578" s="227" t="s">
        <v>93</v>
      </c>
      <c r="L578" s="227" t="s">
        <v>94</v>
      </c>
      <c r="M578" s="233">
        <v>0</v>
      </c>
      <c r="N578" s="231"/>
      <c r="O578" s="231"/>
      <c r="P578" s="234">
        <v>679.35</v>
      </c>
    </row>
    <row r="579" spans="1:16" ht="19.5" customHeight="1">
      <c r="A579" s="227" t="s">
        <v>1230</v>
      </c>
      <c r="B579" s="230">
        <v>46051</v>
      </c>
      <c r="C579" s="227" t="s">
        <v>100</v>
      </c>
      <c r="D579" s="227" t="s">
        <v>102</v>
      </c>
      <c r="E579" s="227" t="s">
        <v>52</v>
      </c>
      <c r="F579" s="227" t="s">
        <v>90</v>
      </c>
      <c r="G579" s="227" t="s">
        <v>84</v>
      </c>
      <c r="H579" s="231">
        <v>1</v>
      </c>
      <c r="I579" s="232">
        <v>1800</v>
      </c>
      <c r="J579" s="230">
        <v>46048</v>
      </c>
      <c r="K579" s="227" t="s">
        <v>93</v>
      </c>
      <c r="L579" s="227" t="s">
        <v>94</v>
      </c>
      <c r="M579" s="233">
        <v>0</v>
      </c>
      <c r="N579" s="231"/>
      <c r="O579" s="231"/>
      <c r="P579" s="234">
        <v>6.79</v>
      </c>
    </row>
    <row r="580" spans="1:16" ht="19.5" customHeight="1">
      <c r="A580" s="227" t="s">
        <v>1230</v>
      </c>
      <c r="B580" s="230">
        <v>46051</v>
      </c>
      <c r="C580" s="227" t="s">
        <v>100</v>
      </c>
      <c r="D580" s="227" t="s">
        <v>103</v>
      </c>
      <c r="E580" s="227" t="s">
        <v>52</v>
      </c>
      <c r="F580" s="227" t="s">
        <v>90</v>
      </c>
      <c r="G580" s="227" t="s">
        <v>84</v>
      </c>
      <c r="H580" s="231">
        <v>1</v>
      </c>
      <c r="I580" s="232">
        <v>1800</v>
      </c>
      <c r="J580" s="230">
        <v>46048</v>
      </c>
      <c r="K580" s="227" t="s">
        <v>93</v>
      </c>
      <c r="L580" s="227" t="s">
        <v>94</v>
      </c>
      <c r="M580" s="233">
        <v>0</v>
      </c>
      <c r="N580" s="231"/>
      <c r="O580" s="231"/>
      <c r="P580" s="234">
        <v>1113.8599999999999</v>
      </c>
    </row>
    <row r="581" spans="1:16" ht="19.5" customHeight="1">
      <c r="A581" s="227" t="s">
        <v>1230</v>
      </c>
      <c r="B581" s="230">
        <v>46051</v>
      </c>
      <c r="C581" s="227" t="s">
        <v>104</v>
      </c>
      <c r="D581" s="227" t="s">
        <v>105</v>
      </c>
      <c r="E581" s="227" t="s">
        <v>52</v>
      </c>
      <c r="F581" s="227" t="s">
        <v>90</v>
      </c>
      <c r="G581" s="227" t="s">
        <v>84</v>
      </c>
      <c r="H581" s="231">
        <v>1</v>
      </c>
      <c r="I581" s="232">
        <v>1800</v>
      </c>
      <c r="J581" s="230">
        <v>46048</v>
      </c>
      <c r="K581" s="227" t="s">
        <v>93</v>
      </c>
      <c r="L581" s="227" t="s">
        <v>94</v>
      </c>
      <c r="M581" s="233">
        <v>0.43</v>
      </c>
      <c r="N581" s="231"/>
      <c r="O581" s="231"/>
      <c r="P581" s="234">
        <v>-774</v>
      </c>
    </row>
    <row r="582" spans="1:16" ht="19.5" customHeight="1">
      <c r="A582" s="227" t="s">
        <v>1230</v>
      </c>
      <c r="B582" s="230">
        <v>46051</v>
      </c>
      <c r="C582" s="227" t="s">
        <v>81</v>
      </c>
      <c r="D582" s="227" t="s">
        <v>95</v>
      </c>
      <c r="E582" s="227" t="s">
        <v>52</v>
      </c>
      <c r="F582" s="227" t="s">
        <v>90</v>
      </c>
      <c r="G582" s="227" t="s">
        <v>84</v>
      </c>
      <c r="H582" s="231">
        <v>1</v>
      </c>
      <c r="I582" s="232">
        <v>1800</v>
      </c>
      <c r="J582" s="230">
        <v>46048</v>
      </c>
      <c r="K582" s="227" t="s">
        <v>93</v>
      </c>
      <c r="L582" s="227" t="s">
        <v>94</v>
      </c>
      <c r="M582" s="233">
        <v>0.43</v>
      </c>
      <c r="N582" s="231"/>
      <c r="O582" s="231"/>
      <c r="P582" s="234">
        <v>-10.210000000000001</v>
      </c>
    </row>
    <row r="583" spans="1:16" ht="19.5" customHeight="1">
      <c r="A583" s="227" t="s">
        <v>1231</v>
      </c>
      <c r="B583" s="230">
        <v>46051</v>
      </c>
      <c r="C583" s="227" t="s">
        <v>92</v>
      </c>
      <c r="D583" s="227" t="s">
        <v>24</v>
      </c>
      <c r="E583" s="227" t="s">
        <v>42</v>
      </c>
      <c r="F583" s="227" t="s">
        <v>89</v>
      </c>
      <c r="G583" s="227" t="s">
        <v>84</v>
      </c>
      <c r="H583" s="231">
        <v>1</v>
      </c>
      <c r="I583" s="232">
        <v>1750</v>
      </c>
      <c r="J583" s="230">
        <v>46043</v>
      </c>
      <c r="K583" s="227" t="s">
        <v>93</v>
      </c>
      <c r="L583" s="227" t="s">
        <v>94</v>
      </c>
      <c r="M583" s="233">
        <v>0.43</v>
      </c>
      <c r="N583" s="231"/>
      <c r="O583" s="231">
        <v>43</v>
      </c>
      <c r="P583" s="234">
        <v>-127.33</v>
      </c>
    </row>
    <row r="584" spans="1:16" ht="19.5" customHeight="1">
      <c r="A584" s="227" t="s">
        <v>1231</v>
      </c>
      <c r="B584" s="230">
        <v>46051</v>
      </c>
      <c r="C584" s="227" t="s">
        <v>100</v>
      </c>
      <c r="D584" s="227" t="s">
        <v>101</v>
      </c>
      <c r="E584" s="227" t="s">
        <v>42</v>
      </c>
      <c r="F584" s="227" t="s">
        <v>89</v>
      </c>
      <c r="G584" s="227" t="s">
        <v>84</v>
      </c>
      <c r="H584" s="231">
        <v>1</v>
      </c>
      <c r="I584" s="232">
        <v>1750</v>
      </c>
      <c r="J584" s="230">
        <v>46043</v>
      </c>
      <c r="K584" s="227" t="s">
        <v>93</v>
      </c>
      <c r="L584" s="227" t="s">
        <v>94</v>
      </c>
      <c r="M584" s="233">
        <v>0</v>
      </c>
      <c r="N584" s="231"/>
      <c r="O584" s="231"/>
      <c r="P584" s="234">
        <v>609.52</v>
      </c>
    </row>
    <row r="585" spans="1:16" ht="19.5" customHeight="1">
      <c r="A585" s="227" t="s">
        <v>1231</v>
      </c>
      <c r="B585" s="230">
        <v>46051</v>
      </c>
      <c r="C585" s="227" t="s">
        <v>100</v>
      </c>
      <c r="D585" s="227" t="s">
        <v>102</v>
      </c>
      <c r="E585" s="227" t="s">
        <v>42</v>
      </c>
      <c r="F585" s="227" t="s">
        <v>89</v>
      </c>
      <c r="G585" s="227" t="s">
        <v>84</v>
      </c>
      <c r="H585" s="231">
        <v>1</v>
      </c>
      <c r="I585" s="232">
        <v>1750</v>
      </c>
      <c r="J585" s="230">
        <v>46043</v>
      </c>
      <c r="K585" s="227" t="s">
        <v>93</v>
      </c>
      <c r="L585" s="227" t="s">
        <v>94</v>
      </c>
      <c r="M585" s="233">
        <v>0</v>
      </c>
      <c r="N585" s="231"/>
      <c r="O585" s="231"/>
      <c r="P585" s="234">
        <v>6.1</v>
      </c>
    </row>
    <row r="586" spans="1:16" ht="19.5" customHeight="1">
      <c r="A586" s="227" t="s">
        <v>1231</v>
      </c>
      <c r="B586" s="230">
        <v>46051</v>
      </c>
      <c r="C586" s="227" t="s">
        <v>100</v>
      </c>
      <c r="D586" s="227" t="s">
        <v>103</v>
      </c>
      <c r="E586" s="227" t="s">
        <v>42</v>
      </c>
      <c r="F586" s="227" t="s">
        <v>89</v>
      </c>
      <c r="G586" s="227" t="s">
        <v>84</v>
      </c>
      <c r="H586" s="231">
        <v>1</v>
      </c>
      <c r="I586" s="232">
        <v>1750</v>
      </c>
      <c r="J586" s="230">
        <v>46043</v>
      </c>
      <c r="K586" s="227" t="s">
        <v>93</v>
      </c>
      <c r="L586" s="227" t="s">
        <v>94</v>
      </c>
      <c r="M586" s="233">
        <v>0</v>
      </c>
      <c r="N586" s="231"/>
      <c r="O586" s="231"/>
      <c r="P586" s="234">
        <v>1134.3800000000001</v>
      </c>
    </row>
    <row r="587" spans="1:16" ht="19.5" customHeight="1">
      <c r="A587" s="227" t="s">
        <v>1231</v>
      </c>
      <c r="B587" s="230">
        <v>46051</v>
      </c>
      <c r="C587" s="227" t="s">
        <v>104</v>
      </c>
      <c r="D587" s="227" t="s">
        <v>105</v>
      </c>
      <c r="E587" s="227" t="s">
        <v>42</v>
      </c>
      <c r="F587" s="227" t="s">
        <v>89</v>
      </c>
      <c r="G587" s="227" t="s">
        <v>84</v>
      </c>
      <c r="H587" s="231">
        <v>1</v>
      </c>
      <c r="I587" s="232">
        <v>1750</v>
      </c>
      <c r="J587" s="230">
        <v>46043</v>
      </c>
      <c r="K587" s="227" t="s">
        <v>93</v>
      </c>
      <c r="L587" s="227" t="s">
        <v>94</v>
      </c>
      <c r="M587" s="233">
        <v>0.43</v>
      </c>
      <c r="N587" s="231"/>
      <c r="O587" s="231"/>
      <c r="P587" s="234">
        <v>-752.5</v>
      </c>
    </row>
    <row r="588" spans="1:16" ht="19.5" customHeight="1">
      <c r="A588" s="227" t="s">
        <v>1231</v>
      </c>
      <c r="B588" s="230">
        <v>46051</v>
      </c>
      <c r="C588" s="227" t="s">
        <v>81</v>
      </c>
      <c r="D588" s="227" t="s">
        <v>95</v>
      </c>
      <c r="E588" s="227" t="s">
        <v>42</v>
      </c>
      <c r="F588" s="227" t="s">
        <v>89</v>
      </c>
      <c r="G588" s="227" t="s">
        <v>84</v>
      </c>
      <c r="H588" s="231">
        <v>1</v>
      </c>
      <c r="I588" s="232">
        <v>1750</v>
      </c>
      <c r="J588" s="230">
        <v>46043</v>
      </c>
      <c r="K588" s="227" t="s">
        <v>93</v>
      </c>
      <c r="L588" s="227" t="s">
        <v>94</v>
      </c>
      <c r="M588" s="233">
        <v>0.43</v>
      </c>
      <c r="N588" s="231"/>
      <c r="O588" s="231"/>
      <c r="P588" s="234">
        <v>-10.53</v>
      </c>
    </row>
    <row r="589" spans="1:16" ht="19.5" customHeight="1">
      <c r="A589" s="227" t="s">
        <v>1228</v>
      </c>
      <c r="B589" s="230">
        <v>46051</v>
      </c>
      <c r="C589" s="227" t="s">
        <v>92</v>
      </c>
      <c r="D589" s="227" t="s">
        <v>96</v>
      </c>
      <c r="E589" s="227" t="s">
        <v>39</v>
      </c>
      <c r="F589" s="227" t="s">
        <v>117</v>
      </c>
      <c r="G589" s="227" t="s">
        <v>84</v>
      </c>
      <c r="H589" s="231">
        <v>1</v>
      </c>
      <c r="I589" s="232">
        <v>0</v>
      </c>
      <c r="J589" s="230">
        <v>46043</v>
      </c>
      <c r="K589" s="227" t="s">
        <v>93</v>
      </c>
      <c r="L589" s="227" t="s">
        <v>94</v>
      </c>
      <c r="M589" s="233">
        <v>0</v>
      </c>
      <c r="N589" s="231"/>
      <c r="O589" s="231"/>
      <c r="P589" s="234">
        <v>0</v>
      </c>
    </row>
    <row r="590" spans="1:16" ht="19.5" customHeight="1">
      <c r="A590" s="227" t="s">
        <v>1228</v>
      </c>
      <c r="B590" s="230">
        <v>46051</v>
      </c>
      <c r="C590" s="227" t="s">
        <v>92</v>
      </c>
      <c r="D590" s="227" t="s">
        <v>97</v>
      </c>
      <c r="E590" s="227" t="s">
        <v>39</v>
      </c>
      <c r="F590" s="227" t="s">
        <v>117</v>
      </c>
      <c r="G590" s="227" t="s">
        <v>84</v>
      </c>
      <c r="H590" s="231">
        <v>1</v>
      </c>
      <c r="I590" s="232">
        <v>0</v>
      </c>
      <c r="J590" s="230">
        <v>46043</v>
      </c>
      <c r="K590" s="227" t="s">
        <v>93</v>
      </c>
      <c r="L590" s="227" t="s">
        <v>94</v>
      </c>
      <c r="M590" s="233">
        <v>0</v>
      </c>
      <c r="N590" s="231"/>
      <c r="O590" s="231"/>
      <c r="P590" s="234">
        <v>-46.77</v>
      </c>
    </row>
    <row r="591" spans="1:16" ht="19.5" customHeight="1">
      <c r="A591" s="227" t="s">
        <v>1232</v>
      </c>
      <c r="B591" s="230">
        <v>46051</v>
      </c>
      <c r="C591" s="227" t="s">
        <v>92</v>
      </c>
      <c r="D591" s="227" t="s">
        <v>24</v>
      </c>
      <c r="E591" s="227" t="s">
        <v>52</v>
      </c>
      <c r="F591" s="227" t="s">
        <v>90</v>
      </c>
      <c r="G591" s="227" t="s">
        <v>84</v>
      </c>
      <c r="H591" s="231">
        <v>1</v>
      </c>
      <c r="I591" s="232">
        <v>1800</v>
      </c>
      <c r="J591" s="230">
        <v>46050</v>
      </c>
      <c r="K591" s="227" t="s">
        <v>93</v>
      </c>
      <c r="L591" s="227" t="s">
        <v>94</v>
      </c>
      <c r="M591" s="233">
        <v>0.43</v>
      </c>
      <c r="N591" s="231"/>
      <c r="O591" s="231">
        <v>44</v>
      </c>
      <c r="P591" s="234">
        <v>-149.51</v>
      </c>
    </row>
    <row r="592" spans="1:16" ht="19.5" customHeight="1">
      <c r="A592" s="227" t="s">
        <v>1232</v>
      </c>
      <c r="B592" s="230">
        <v>46051</v>
      </c>
      <c r="C592" s="227" t="s">
        <v>100</v>
      </c>
      <c r="D592" s="227" t="s">
        <v>101</v>
      </c>
      <c r="E592" s="227" t="s">
        <v>52</v>
      </c>
      <c r="F592" s="227" t="s">
        <v>90</v>
      </c>
      <c r="G592" s="227" t="s">
        <v>84</v>
      </c>
      <c r="H592" s="231">
        <v>1</v>
      </c>
      <c r="I592" s="232">
        <v>1800</v>
      </c>
      <c r="J592" s="230">
        <v>46050</v>
      </c>
      <c r="K592" s="227" t="s">
        <v>93</v>
      </c>
      <c r="L592" s="227" t="s">
        <v>94</v>
      </c>
      <c r="M592" s="233">
        <v>0</v>
      </c>
      <c r="N592" s="231"/>
      <c r="O592" s="231"/>
      <c r="P592" s="234">
        <v>643.80999999999995</v>
      </c>
    </row>
    <row r="593" spans="1:16" ht="19.5" customHeight="1">
      <c r="A593" s="227" t="s">
        <v>1232</v>
      </c>
      <c r="B593" s="230">
        <v>46051</v>
      </c>
      <c r="C593" s="227" t="s">
        <v>100</v>
      </c>
      <c r="D593" s="227" t="s">
        <v>102</v>
      </c>
      <c r="E593" s="227" t="s">
        <v>52</v>
      </c>
      <c r="F593" s="227" t="s">
        <v>90</v>
      </c>
      <c r="G593" s="227" t="s">
        <v>84</v>
      </c>
      <c r="H593" s="231">
        <v>1</v>
      </c>
      <c r="I593" s="232">
        <v>1800</v>
      </c>
      <c r="J593" s="230">
        <v>46050</v>
      </c>
      <c r="K593" s="227" t="s">
        <v>93</v>
      </c>
      <c r="L593" s="227" t="s">
        <v>94</v>
      </c>
      <c r="M593" s="233">
        <v>0</v>
      </c>
      <c r="N593" s="231"/>
      <c r="O593" s="231"/>
      <c r="P593" s="234">
        <v>6.44</v>
      </c>
    </row>
    <row r="594" spans="1:16" ht="19.5" customHeight="1">
      <c r="A594" s="227" t="s">
        <v>1232</v>
      </c>
      <c r="B594" s="230">
        <v>46051</v>
      </c>
      <c r="C594" s="227" t="s">
        <v>100</v>
      </c>
      <c r="D594" s="227" t="s">
        <v>103</v>
      </c>
      <c r="E594" s="227" t="s">
        <v>52</v>
      </c>
      <c r="F594" s="227" t="s">
        <v>90</v>
      </c>
      <c r="G594" s="227" t="s">
        <v>84</v>
      </c>
      <c r="H594" s="231">
        <v>1</v>
      </c>
      <c r="I594" s="232">
        <v>1800</v>
      </c>
      <c r="J594" s="230">
        <v>46050</v>
      </c>
      <c r="K594" s="227" t="s">
        <v>93</v>
      </c>
      <c r="L594" s="227" t="s">
        <v>94</v>
      </c>
      <c r="M594" s="233">
        <v>0</v>
      </c>
      <c r="N594" s="231"/>
      <c r="O594" s="231"/>
      <c r="P594" s="234">
        <v>1149.75</v>
      </c>
    </row>
    <row r="595" spans="1:16" ht="19.5" customHeight="1">
      <c r="A595" s="227" t="s">
        <v>1232</v>
      </c>
      <c r="B595" s="230">
        <v>46051</v>
      </c>
      <c r="C595" s="227" t="s">
        <v>104</v>
      </c>
      <c r="D595" s="227" t="s">
        <v>105</v>
      </c>
      <c r="E595" s="227" t="s">
        <v>52</v>
      </c>
      <c r="F595" s="227" t="s">
        <v>90</v>
      </c>
      <c r="G595" s="227" t="s">
        <v>84</v>
      </c>
      <c r="H595" s="231">
        <v>1</v>
      </c>
      <c r="I595" s="232">
        <v>1800</v>
      </c>
      <c r="J595" s="230">
        <v>46050</v>
      </c>
      <c r="K595" s="227" t="s">
        <v>93</v>
      </c>
      <c r="L595" s="227" t="s">
        <v>94</v>
      </c>
      <c r="M595" s="233">
        <v>0.43</v>
      </c>
      <c r="N595" s="231"/>
      <c r="O595" s="231"/>
      <c r="P595" s="234">
        <v>-774</v>
      </c>
    </row>
    <row r="596" spans="1:16" ht="19.5" customHeight="1">
      <c r="A596" s="227" t="s">
        <v>1232</v>
      </c>
      <c r="B596" s="230">
        <v>46051</v>
      </c>
      <c r="C596" s="227" t="s">
        <v>81</v>
      </c>
      <c r="D596" s="227" t="s">
        <v>95</v>
      </c>
      <c r="E596" s="227" t="s">
        <v>52</v>
      </c>
      <c r="F596" s="227" t="s">
        <v>90</v>
      </c>
      <c r="G596" s="227" t="s">
        <v>84</v>
      </c>
      <c r="H596" s="231">
        <v>1</v>
      </c>
      <c r="I596" s="232">
        <v>1800</v>
      </c>
      <c r="J596" s="230">
        <v>46050</v>
      </c>
      <c r="K596" s="227" t="s">
        <v>93</v>
      </c>
      <c r="L596" s="227" t="s">
        <v>94</v>
      </c>
      <c r="M596" s="233">
        <v>0.43</v>
      </c>
      <c r="N596" s="231"/>
      <c r="O596" s="231"/>
      <c r="P596" s="234">
        <v>-12.94</v>
      </c>
    </row>
    <row r="597" spans="1:16" ht="19.5" customHeight="1">
      <c r="A597" s="227" t="s">
        <v>1233</v>
      </c>
      <c r="B597" s="230">
        <v>46051</v>
      </c>
      <c r="C597" s="227" t="s">
        <v>92</v>
      </c>
      <c r="D597" s="227" t="s">
        <v>24</v>
      </c>
      <c r="E597" s="227" t="s">
        <v>52</v>
      </c>
      <c r="F597" s="227" t="s">
        <v>90</v>
      </c>
      <c r="G597" s="227" t="s">
        <v>84</v>
      </c>
      <c r="H597" s="231">
        <v>1</v>
      </c>
      <c r="I597" s="232">
        <v>1800</v>
      </c>
      <c r="J597" s="230">
        <v>46049</v>
      </c>
      <c r="K597" s="227" t="s">
        <v>93</v>
      </c>
      <c r="L597" s="227" t="s">
        <v>94</v>
      </c>
      <c r="M597" s="233">
        <v>0.43</v>
      </c>
      <c r="N597" s="231"/>
      <c r="O597" s="231">
        <v>45</v>
      </c>
      <c r="P597" s="234">
        <v>-152.36000000000001</v>
      </c>
    </row>
    <row r="598" spans="1:16" ht="19.5" customHeight="1">
      <c r="A598" s="227" t="s">
        <v>1233</v>
      </c>
      <c r="B598" s="230">
        <v>46051</v>
      </c>
      <c r="C598" s="227" t="s">
        <v>100</v>
      </c>
      <c r="D598" s="227" t="s">
        <v>101</v>
      </c>
      <c r="E598" s="227" t="s">
        <v>52</v>
      </c>
      <c r="F598" s="227" t="s">
        <v>90</v>
      </c>
      <c r="G598" s="227" t="s">
        <v>84</v>
      </c>
      <c r="H598" s="231">
        <v>1</v>
      </c>
      <c r="I598" s="232">
        <v>1800</v>
      </c>
      <c r="J598" s="230">
        <v>46049</v>
      </c>
      <c r="K598" s="227" t="s">
        <v>93</v>
      </c>
      <c r="L598" s="227" t="s">
        <v>94</v>
      </c>
      <c r="M598" s="233">
        <v>0</v>
      </c>
      <c r="N598" s="231"/>
      <c r="O598" s="231"/>
      <c r="P598" s="234">
        <v>627.62</v>
      </c>
    </row>
    <row r="599" spans="1:16" ht="19.5" customHeight="1">
      <c r="A599" s="227" t="s">
        <v>1233</v>
      </c>
      <c r="B599" s="230">
        <v>46051</v>
      </c>
      <c r="C599" s="227" t="s">
        <v>100</v>
      </c>
      <c r="D599" s="227" t="s">
        <v>102</v>
      </c>
      <c r="E599" s="227" t="s">
        <v>52</v>
      </c>
      <c r="F599" s="227" t="s">
        <v>90</v>
      </c>
      <c r="G599" s="227" t="s">
        <v>84</v>
      </c>
      <c r="H599" s="231">
        <v>1</v>
      </c>
      <c r="I599" s="232">
        <v>1800</v>
      </c>
      <c r="J599" s="230">
        <v>46049</v>
      </c>
      <c r="K599" s="227" t="s">
        <v>93</v>
      </c>
      <c r="L599" s="227" t="s">
        <v>94</v>
      </c>
      <c r="M599" s="233">
        <v>0</v>
      </c>
      <c r="N599" s="231"/>
      <c r="O599" s="231"/>
      <c r="P599" s="234">
        <v>6.28</v>
      </c>
    </row>
    <row r="600" spans="1:16" ht="19.5" customHeight="1">
      <c r="A600" s="227" t="s">
        <v>1233</v>
      </c>
      <c r="B600" s="230">
        <v>46051</v>
      </c>
      <c r="C600" s="227" t="s">
        <v>100</v>
      </c>
      <c r="D600" s="227" t="s">
        <v>103</v>
      </c>
      <c r="E600" s="227" t="s">
        <v>52</v>
      </c>
      <c r="F600" s="227" t="s">
        <v>90</v>
      </c>
      <c r="G600" s="227" t="s">
        <v>84</v>
      </c>
      <c r="H600" s="231">
        <v>1</v>
      </c>
      <c r="I600" s="232">
        <v>1800</v>
      </c>
      <c r="J600" s="230">
        <v>46049</v>
      </c>
      <c r="K600" s="227" t="s">
        <v>93</v>
      </c>
      <c r="L600" s="227" t="s">
        <v>94</v>
      </c>
      <c r="M600" s="233">
        <v>0</v>
      </c>
      <c r="N600" s="231"/>
      <c r="O600" s="231"/>
      <c r="P600" s="234">
        <v>1166.0999999999999</v>
      </c>
    </row>
    <row r="601" spans="1:16" ht="19.5" customHeight="1">
      <c r="A601" s="227" t="s">
        <v>1233</v>
      </c>
      <c r="B601" s="230">
        <v>46051</v>
      </c>
      <c r="C601" s="227" t="s">
        <v>104</v>
      </c>
      <c r="D601" s="227" t="s">
        <v>105</v>
      </c>
      <c r="E601" s="227" t="s">
        <v>52</v>
      </c>
      <c r="F601" s="227" t="s">
        <v>90</v>
      </c>
      <c r="G601" s="227" t="s">
        <v>84</v>
      </c>
      <c r="H601" s="231">
        <v>1</v>
      </c>
      <c r="I601" s="232">
        <v>1800</v>
      </c>
      <c r="J601" s="230">
        <v>46049</v>
      </c>
      <c r="K601" s="227" t="s">
        <v>93</v>
      </c>
      <c r="L601" s="227" t="s">
        <v>94</v>
      </c>
      <c r="M601" s="233">
        <v>0.43</v>
      </c>
      <c r="N601" s="231"/>
      <c r="O601" s="231"/>
      <c r="P601" s="234">
        <v>-774</v>
      </c>
    </row>
    <row r="602" spans="1:16" ht="19.5" customHeight="1">
      <c r="A602" s="227" t="s">
        <v>1234</v>
      </c>
      <c r="B602" s="230">
        <v>46051</v>
      </c>
      <c r="C602" s="227" t="s">
        <v>81</v>
      </c>
      <c r="D602" s="227" t="s">
        <v>82</v>
      </c>
      <c r="E602" s="227" t="s">
        <v>42</v>
      </c>
      <c r="F602" s="227" t="s">
        <v>89</v>
      </c>
      <c r="G602" s="227" t="s">
        <v>84</v>
      </c>
      <c r="H602" s="231">
        <v>1</v>
      </c>
      <c r="I602" s="232">
        <v>0</v>
      </c>
      <c r="J602" s="230">
        <v>46051</v>
      </c>
      <c r="K602" s="227" t="s">
        <v>85</v>
      </c>
      <c r="L602" s="227" t="s">
        <v>85</v>
      </c>
      <c r="M602" s="233">
        <v>0</v>
      </c>
      <c r="N602" s="231"/>
      <c r="O602" s="231"/>
      <c r="P602" s="234">
        <v>-11.58</v>
      </c>
    </row>
    <row r="603" spans="1:16" ht="19.5" customHeight="1">
      <c r="A603" s="227" t="s">
        <v>1235</v>
      </c>
      <c r="B603" s="230">
        <v>46051</v>
      </c>
      <c r="C603" s="227" t="s">
        <v>92</v>
      </c>
      <c r="D603" s="227" t="s">
        <v>24</v>
      </c>
      <c r="E603" s="227" t="s">
        <v>52</v>
      </c>
      <c r="F603" s="227" t="s">
        <v>90</v>
      </c>
      <c r="G603" s="227" t="s">
        <v>84</v>
      </c>
      <c r="H603" s="231">
        <v>1</v>
      </c>
      <c r="I603" s="232">
        <v>1800</v>
      </c>
      <c r="J603" s="230">
        <v>46048</v>
      </c>
      <c r="K603" s="227" t="s">
        <v>93</v>
      </c>
      <c r="L603" s="227" t="s">
        <v>94</v>
      </c>
      <c r="M603" s="233">
        <v>0.43</v>
      </c>
      <c r="N603" s="231"/>
      <c r="O603" s="231">
        <v>44</v>
      </c>
      <c r="P603" s="234">
        <v>-147.97999999999999</v>
      </c>
    </row>
    <row r="604" spans="1:16" ht="19.5" customHeight="1">
      <c r="A604" s="227" t="s">
        <v>1235</v>
      </c>
      <c r="B604" s="230">
        <v>46051</v>
      </c>
      <c r="C604" s="227" t="s">
        <v>100</v>
      </c>
      <c r="D604" s="227" t="s">
        <v>101</v>
      </c>
      <c r="E604" s="227" t="s">
        <v>52</v>
      </c>
      <c r="F604" s="227" t="s">
        <v>90</v>
      </c>
      <c r="G604" s="227" t="s">
        <v>84</v>
      </c>
      <c r="H604" s="231">
        <v>1</v>
      </c>
      <c r="I604" s="232">
        <v>1800</v>
      </c>
      <c r="J604" s="230">
        <v>46048</v>
      </c>
      <c r="K604" s="227" t="s">
        <v>93</v>
      </c>
      <c r="L604" s="227" t="s">
        <v>94</v>
      </c>
      <c r="M604" s="233">
        <v>0</v>
      </c>
      <c r="N604" s="231"/>
      <c r="O604" s="231"/>
      <c r="P604" s="234">
        <v>640</v>
      </c>
    </row>
    <row r="605" spans="1:16" ht="19.5" customHeight="1">
      <c r="A605" s="227" t="s">
        <v>1235</v>
      </c>
      <c r="B605" s="230">
        <v>46051</v>
      </c>
      <c r="C605" s="227" t="s">
        <v>100</v>
      </c>
      <c r="D605" s="227" t="s">
        <v>102</v>
      </c>
      <c r="E605" s="227" t="s">
        <v>52</v>
      </c>
      <c r="F605" s="227" t="s">
        <v>90</v>
      </c>
      <c r="G605" s="227" t="s">
        <v>84</v>
      </c>
      <c r="H605" s="231">
        <v>1</v>
      </c>
      <c r="I605" s="232">
        <v>1800</v>
      </c>
      <c r="J605" s="230">
        <v>46048</v>
      </c>
      <c r="K605" s="227" t="s">
        <v>93</v>
      </c>
      <c r="L605" s="227" t="s">
        <v>94</v>
      </c>
      <c r="M605" s="233">
        <v>0</v>
      </c>
      <c r="N605" s="231"/>
      <c r="O605" s="231"/>
      <c r="P605" s="234">
        <v>6.4</v>
      </c>
    </row>
    <row r="606" spans="1:16" ht="19.5" customHeight="1">
      <c r="A606" s="227" t="s">
        <v>1235</v>
      </c>
      <c r="B606" s="230">
        <v>46051</v>
      </c>
      <c r="C606" s="227" t="s">
        <v>100</v>
      </c>
      <c r="D606" s="227" t="s">
        <v>103</v>
      </c>
      <c r="E606" s="227" t="s">
        <v>52</v>
      </c>
      <c r="F606" s="227" t="s">
        <v>90</v>
      </c>
      <c r="G606" s="227" t="s">
        <v>84</v>
      </c>
      <c r="H606" s="231">
        <v>1</v>
      </c>
      <c r="I606" s="232">
        <v>1800</v>
      </c>
      <c r="J606" s="230">
        <v>46048</v>
      </c>
      <c r="K606" s="227" t="s">
        <v>93</v>
      </c>
      <c r="L606" s="227" t="s">
        <v>94</v>
      </c>
      <c r="M606" s="233">
        <v>0</v>
      </c>
      <c r="N606" s="231"/>
      <c r="O606" s="231"/>
      <c r="P606" s="234">
        <v>1153.5999999999999</v>
      </c>
    </row>
    <row r="607" spans="1:16" ht="19.5" customHeight="1">
      <c r="A607" s="227" t="s">
        <v>1235</v>
      </c>
      <c r="B607" s="230">
        <v>46051</v>
      </c>
      <c r="C607" s="227" t="s">
        <v>104</v>
      </c>
      <c r="D607" s="227" t="s">
        <v>105</v>
      </c>
      <c r="E607" s="227" t="s">
        <v>52</v>
      </c>
      <c r="F607" s="227" t="s">
        <v>90</v>
      </c>
      <c r="G607" s="227" t="s">
        <v>84</v>
      </c>
      <c r="H607" s="231">
        <v>1</v>
      </c>
      <c r="I607" s="232">
        <v>1800</v>
      </c>
      <c r="J607" s="230">
        <v>46048</v>
      </c>
      <c r="K607" s="227" t="s">
        <v>93</v>
      </c>
      <c r="L607" s="227" t="s">
        <v>94</v>
      </c>
      <c r="M607" s="233">
        <v>0.43</v>
      </c>
      <c r="N607" s="231"/>
      <c r="O607" s="231"/>
      <c r="P607" s="234">
        <v>-774</v>
      </c>
    </row>
    <row r="608" spans="1:16" ht="19.5" customHeight="1">
      <c r="A608" s="227" t="s">
        <v>1236</v>
      </c>
      <c r="B608" s="230">
        <v>46051</v>
      </c>
      <c r="C608" s="227" t="s">
        <v>92</v>
      </c>
      <c r="D608" s="227" t="s">
        <v>24</v>
      </c>
      <c r="E608" s="227" t="s">
        <v>42</v>
      </c>
      <c r="F608" s="227" t="s">
        <v>89</v>
      </c>
      <c r="G608" s="227" t="s">
        <v>84</v>
      </c>
      <c r="H608" s="231">
        <v>1</v>
      </c>
      <c r="I608" s="232">
        <v>1750</v>
      </c>
      <c r="J608" s="230">
        <v>46049</v>
      </c>
      <c r="K608" s="227" t="s">
        <v>93</v>
      </c>
      <c r="L608" s="227" t="s">
        <v>94</v>
      </c>
      <c r="M608" s="233">
        <v>0.43</v>
      </c>
      <c r="N608" s="231"/>
      <c r="O608" s="231">
        <v>45</v>
      </c>
      <c r="P608" s="234">
        <v>-135.38999999999999</v>
      </c>
    </row>
    <row r="609" spans="1:16" ht="19.5" customHeight="1">
      <c r="A609" s="227" t="s">
        <v>1236</v>
      </c>
      <c r="B609" s="230">
        <v>46051</v>
      </c>
      <c r="C609" s="227" t="s">
        <v>100</v>
      </c>
      <c r="D609" s="227" t="s">
        <v>101</v>
      </c>
      <c r="E609" s="227" t="s">
        <v>42</v>
      </c>
      <c r="F609" s="227" t="s">
        <v>89</v>
      </c>
      <c r="G609" s="227" t="s">
        <v>84</v>
      </c>
      <c r="H609" s="231">
        <v>1</v>
      </c>
      <c r="I609" s="232">
        <v>1750</v>
      </c>
      <c r="J609" s="230">
        <v>46049</v>
      </c>
      <c r="K609" s="227" t="s">
        <v>93</v>
      </c>
      <c r="L609" s="227" t="s">
        <v>94</v>
      </c>
      <c r="M609" s="233">
        <v>0</v>
      </c>
      <c r="N609" s="231"/>
      <c r="O609" s="231"/>
      <c r="P609" s="234">
        <v>606.64</v>
      </c>
    </row>
    <row r="610" spans="1:16" ht="19.5" customHeight="1">
      <c r="A610" s="227" t="s">
        <v>1236</v>
      </c>
      <c r="B610" s="230">
        <v>46051</v>
      </c>
      <c r="C610" s="227" t="s">
        <v>100</v>
      </c>
      <c r="D610" s="227" t="s">
        <v>102</v>
      </c>
      <c r="E610" s="227" t="s">
        <v>42</v>
      </c>
      <c r="F610" s="227" t="s">
        <v>89</v>
      </c>
      <c r="G610" s="227" t="s">
        <v>84</v>
      </c>
      <c r="H610" s="231">
        <v>1</v>
      </c>
      <c r="I610" s="232">
        <v>1750</v>
      </c>
      <c r="J610" s="230">
        <v>46049</v>
      </c>
      <c r="K610" s="227" t="s">
        <v>93</v>
      </c>
      <c r="L610" s="227" t="s">
        <v>94</v>
      </c>
      <c r="M610" s="233">
        <v>0</v>
      </c>
      <c r="N610" s="231"/>
      <c r="O610" s="231"/>
      <c r="P610" s="234">
        <v>6.07</v>
      </c>
    </row>
    <row r="611" spans="1:16" ht="19.5" customHeight="1">
      <c r="A611" s="227" t="s">
        <v>1236</v>
      </c>
      <c r="B611" s="230">
        <v>46051</v>
      </c>
      <c r="C611" s="227" t="s">
        <v>100</v>
      </c>
      <c r="D611" s="227" t="s">
        <v>103</v>
      </c>
      <c r="E611" s="227" t="s">
        <v>42</v>
      </c>
      <c r="F611" s="227" t="s">
        <v>89</v>
      </c>
      <c r="G611" s="227" t="s">
        <v>84</v>
      </c>
      <c r="H611" s="231">
        <v>1</v>
      </c>
      <c r="I611" s="232">
        <v>1750</v>
      </c>
      <c r="J611" s="230">
        <v>46049</v>
      </c>
      <c r="K611" s="227" t="s">
        <v>93</v>
      </c>
      <c r="L611" s="227" t="s">
        <v>94</v>
      </c>
      <c r="M611" s="233">
        <v>0</v>
      </c>
      <c r="N611" s="231"/>
      <c r="O611" s="231"/>
      <c r="P611" s="234">
        <v>1137.29</v>
      </c>
    </row>
    <row r="612" spans="1:16" ht="19.5" customHeight="1">
      <c r="A612" s="227" t="s">
        <v>1236</v>
      </c>
      <c r="B612" s="230">
        <v>46051</v>
      </c>
      <c r="C612" s="227" t="s">
        <v>104</v>
      </c>
      <c r="D612" s="227" t="s">
        <v>105</v>
      </c>
      <c r="E612" s="227" t="s">
        <v>42</v>
      </c>
      <c r="F612" s="227" t="s">
        <v>89</v>
      </c>
      <c r="G612" s="227" t="s">
        <v>84</v>
      </c>
      <c r="H612" s="231">
        <v>1</v>
      </c>
      <c r="I612" s="232">
        <v>1750</v>
      </c>
      <c r="J612" s="230">
        <v>46049</v>
      </c>
      <c r="K612" s="227" t="s">
        <v>93</v>
      </c>
      <c r="L612" s="227" t="s">
        <v>94</v>
      </c>
      <c r="M612" s="233">
        <v>0.43</v>
      </c>
      <c r="N612" s="231"/>
      <c r="O612" s="231"/>
      <c r="P612" s="234">
        <v>-752.5</v>
      </c>
    </row>
    <row r="613" spans="1:16" ht="19.5" customHeight="1">
      <c r="A613" s="227" t="s">
        <v>1236</v>
      </c>
      <c r="B613" s="230">
        <v>46051</v>
      </c>
      <c r="C613" s="227" t="s">
        <v>81</v>
      </c>
      <c r="D613" s="227" t="s">
        <v>95</v>
      </c>
      <c r="E613" s="227" t="s">
        <v>42</v>
      </c>
      <c r="F613" s="227" t="s">
        <v>89</v>
      </c>
      <c r="G613" s="227" t="s">
        <v>84</v>
      </c>
      <c r="H613" s="231">
        <v>1</v>
      </c>
      <c r="I613" s="232">
        <v>1750</v>
      </c>
      <c r="J613" s="230">
        <v>46049</v>
      </c>
      <c r="K613" s="227" t="s">
        <v>93</v>
      </c>
      <c r="L613" s="227" t="s">
        <v>94</v>
      </c>
      <c r="M613" s="233">
        <v>0.43</v>
      </c>
      <c r="N613" s="231"/>
      <c r="O613" s="231"/>
      <c r="P613" s="234">
        <v>-10.039999999999999</v>
      </c>
    </row>
    <row r="614" spans="1:16" ht="19.5" customHeight="1">
      <c r="A614" s="227" t="s">
        <v>1237</v>
      </c>
      <c r="B614" s="230">
        <v>46051</v>
      </c>
      <c r="C614" s="227" t="s">
        <v>92</v>
      </c>
      <c r="D614" s="227" t="s">
        <v>24</v>
      </c>
      <c r="E614" s="227" t="s">
        <v>53</v>
      </c>
      <c r="F614" s="227" t="s">
        <v>120</v>
      </c>
      <c r="G614" s="227" t="s">
        <v>84</v>
      </c>
      <c r="H614" s="231">
        <v>1</v>
      </c>
      <c r="I614" s="232">
        <v>1720</v>
      </c>
      <c r="J614" s="230">
        <v>46049</v>
      </c>
      <c r="K614" s="227" t="s">
        <v>93</v>
      </c>
      <c r="L614" s="227" t="s">
        <v>94</v>
      </c>
      <c r="M614" s="233">
        <v>0.43</v>
      </c>
      <c r="N614" s="231"/>
      <c r="O614" s="231">
        <v>45</v>
      </c>
      <c r="P614" s="234">
        <v>-149.72</v>
      </c>
    </row>
    <row r="615" spans="1:16" ht="19.5" customHeight="1">
      <c r="A615" s="227" t="s">
        <v>1237</v>
      </c>
      <c r="B615" s="230">
        <v>46051</v>
      </c>
      <c r="C615" s="227" t="s">
        <v>100</v>
      </c>
      <c r="D615" s="227" t="s">
        <v>101</v>
      </c>
      <c r="E615" s="227" t="s">
        <v>53</v>
      </c>
      <c r="F615" s="227" t="s">
        <v>120</v>
      </c>
      <c r="G615" s="227" t="s">
        <v>84</v>
      </c>
      <c r="H615" s="231">
        <v>1</v>
      </c>
      <c r="I615" s="232">
        <v>1720</v>
      </c>
      <c r="J615" s="230">
        <v>46049</v>
      </c>
      <c r="K615" s="227" t="s">
        <v>93</v>
      </c>
      <c r="L615" s="227" t="s">
        <v>94</v>
      </c>
      <c r="M615" s="233">
        <v>0</v>
      </c>
      <c r="N615" s="231"/>
      <c r="O615" s="231"/>
      <c r="P615" s="234">
        <v>599.04999999999995</v>
      </c>
    </row>
    <row r="616" spans="1:16" ht="19.5" customHeight="1">
      <c r="A616" s="227" t="s">
        <v>1237</v>
      </c>
      <c r="B616" s="230">
        <v>46051</v>
      </c>
      <c r="C616" s="227" t="s">
        <v>100</v>
      </c>
      <c r="D616" s="227" t="s">
        <v>102</v>
      </c>
      <c r="E616" s="227" t="s">
        <v>53</v>
      </c>
      <c r="F616" s="227" t="s">
        <v>120</v>
      </c>
      <c r="G616" s="227" t="s">
        <v>84</v>
      </c>
      <c r="H616" s="231">
        <v>1</v>
      </c>
      <c r="I616" s="232">
        <v>1720</v>
      </c>
      <c r="J616" s="230">
        <v>46049</v>
      </c>
      <c r="K616" s="227" t="s">
        <v>93</v>
      </c>
      <c r="L616" s="227" t="s">
        <v>94</v>
      </c>
      <c r="M616" s="233">
        <v>0</v>
      </c>
      <c r="N616" s="231"/>
      <c r="O616" s="231"/>
      <c r="P616" s="234">
        <v>5.99</v>
      </c>
    </row>
    <row r="617" spans="1:16" ht="19.5" customHeight="1">
      <c r="A617" s="227" t="s">
        <v>1237</v>
      </c>
      <c r="B617" s="230">
        <v>46051</v>
      </c>
      <c r="C617" s="227" t="s">
        <v>100</v>
      </c>
      <c r="D617" s="227" t="s">
        <v>103</v>
      </c>
      <c r="E617" s="227" t="s">
        <v>53</v>
      </c>
      <c r="F617" s="227" t="s">
        <v>120</v>
      </c>
      <c r="G617" s="227" t="s">
        <v>84</v>
      </c>
      <c r="H617" s="231">
        <v>1</v>
      </c>
      <c r="I617" s="232">
        <v>1720</v>
      </c>
      <c r="J617" s="230">
        <v>46049</v>
      </c>
      <c r="K617" s="227" t="s">
        <v>93</v>
      </c>
      <c r="L617" s="227" t="s">
        <v>94</v>
      </c>
      <c r="M617" s="233">
        <v>0</v>
      </c>
      <c r="N617" s="231"/>
      <c r="O617" s="231"/>
      <c r="P617" s="234">
        <v>1114.96</v>
      </c>
    </row>
    <row r="618" spans="1:16" ht="19.5" customHeight="1">
      <c r="A618" s="227" t="s">
        <v>1237</v>
      </c>
      <c r="B618" s="230">
        <v>46051</v>
      </c>
      <c r="C618" s="227" t="s">
        <v>104</v>
      </c>
      <c r="D618" s="227" t="s">
        <v>105</v>
      </c>
      <c r="E618" s="227" t="s">
        <v>53</v>
      </c>
      <c r="F618" s="227" t="s">
        <v>120</v>
      </c>
      <c r="G618" s="227" t="s">
        <v>84</v>
      </c>
      <c r="H618" s="231">
        <v>1</v>
      </c>
      <c r="I618" s="232">
        <v>1720</v>
      </c>
      <c r="J618" s="230">
        <v>46049</v>
      </c>
      <c r="K618" s="227" t="s">
        <v>93</v>
      </c>
      <c r="L618" s="227" t="s">
        <v>94</v>
      </c>
      <c r="M618" s="233">
        <v>0.43</v>
      </c>
      <c r="N618" s="231"/>
      <c r="O618" s="231"/>
      <c r="P618" s="234">
        <v>-739.6</v>
      </c>
    </row>
    <row r="619" spans="1:16" ht="19.5" customHeight="1">
      <c r="A619" s="227" t="s">
        <v>1237</v>
      </c>
      <c r="B619" s="230">
        <v>46051</v>
      </c>
      <c r="C619" s="227" t="s">
        <v>81</v>
      </c>
      <c r="D619" s="227" t="s">
        <v>95</v>
      </c>
      <c r="E619" s="227" t="s">
        <v>53</v>
      </c>
      <c r="F619" s="227" t="s">
        <v>120</v>
      </c>
      <c r="G619" s="227" t="s">
        <v>84</v>
      </c>
      <c r="H619" s="231">
        <v>1</v>
      </c>
      <c r="I619" s="232">
        <v>1720</v>
      </c>
      <c r="J619" s="230">
        <v>46049</v>
      </c>
      <c r="K619" s="227" t="s">
        <v>93</v>
      </c>
      <c r="L619" s="227" t="s">
        <v>94</v>
      </c>
      <c r="M619" s="233">
        <v>0.43</v>
      </c>
      <c r="N619" s="231"/>
      <c r="O619" s="231"/>
      <c r="P619" s="234">
        <v>-9.0500000000000007</v>
      </c>
    </row>
    <row r="620" spans="1:16" ht="19.5" customHeight="1">
      <c r="A620" s="227" t="s">
        <v>1238</v>
      </c>
      <c r="B620" s="230">
        <v>46051</v>
      </c>
      <c r="C620" s="227" t="s">
        <v>92</v>
      </c>
      <c r="D620" s="227" t="s">
        <v>24</v>
      </c>
      <c r="E620" s="227" t="s">
        <v>53</v>
      </c>
      <c r="F620" s="227" t="s">
        <v>120</v>
      </c>
      <c r="G620" s="227" t="s">
        <v>84</v>
      </c>
      <c r="H620" s="231">
        <v>1</v>
      </c>
      <c r="I620" s="232">
        <v>0</v>
      </c>
      <c r="J620" s="230">
        <v>46046</v>
      </c>
      <c r="K620" s="227" t="s">
        <v>93</v>
      </c>
      <c r="L620" s="227" t="s">
        <v>94</v>
      </c>
      <c r="M620" s="233">
        <v>0</v>
      </c>
      <c r="N620" s="231"/>
      <c r="O620" s="231">
        <v>40</v>
      </c>
      <c r="P620" s="234">
        <v>-56</v>
      </c>
    </row>
    <row r="621" spans="1:16" ht="19.5" customHeight="1">
      <c r="A621" s="227" t="s">
        <v>1239</v>
      </c>
      <c r="B621" s="230">
        <v>46051</v>
      </c>
      <c r="C621" s="227" t="s">
        <v>92</v>
      </c>
      <c r="D621" s="227" t="s">
        <v>24</v>
      </c>
      <c r="E621" s="227" t="s">
        <v>42</v>
      </c>
      <c r="F621" s="227" t="s">
        <v>89</v>
      </c>
      <c r="G621" s="227" t="s">
        <v>84</v>
      </c>
      <c r="H621" s="231">
        <v>1</v>
      </c>
      <c r="I621" s="232">
        <v>0</v>
      </c>
      <c r="J621" s="230">
        <v>46048</v>
      </c>
      <c r="K621" s="227" t="s">
        <v>93</v>
      </c>
      <c r="L621" s="227" t="s">
        <v>94</v>
      </c>
      <c r="M621" s="233">
        <v>0</v>
      </c>
      <c r="N621" s="231"/>
      <c r="O621" s="231">
        <v>44</v>
      </c>
      <c r="P621" s="234">
        <v>-46.77</v>
      </c>
    </row>
    <row r="622" spans="1:16" ht="19.5" customHeight="1">
      <c r="A622" s="227" t="s">
        <v>1239</v>
      </c>
      <c r="B622" s="230">
        <v>46051</v>
      </c>
      <c r="C622" s="227" t="s">
        <v>81</v>
      </c>
      <c r="D622" s="227" t="s">
        <v>95</v>
      </c>
      <c r="E622" s="227" t="s">
        <v>42</v>
      </c>
      <c r="F622" s="227" t="s">
        <v>89</v>
      </c>
      <c r="G622" s="227" t="s">
        <v>84</v>
      </c>
      <c r="H622" s="231">
        <v>1</v>
      </c>
      <c r="I622" s="232">
        <v>0</v>
      </c>
      <c r="J622" s="230">
        <v>46048</v>
      </c>
      <c r="K622" s="227" t="s">
        <v>93</v>
      </c>
      <c r="L622" s="227" t="s">
        <v>94</v>
      </c>
      <c r="M622" s="233">
        <v>0</v>
      </c>
      <c r="N622" s="231"/>
      <c r="O622" s="231"/>
      <c r="P622" s="234">
        <v>-7.85</v>
      </c>
    </row>
    <row r="623" spans="1:16" ht="19.5" customHeight="1">
      <c r="A623" s="227" t="s">
        <v>1239</v>
      </c>
      <c r="B623" s="230">
        <v>46051</v>
      </c>
      <c r="C623" s="227" t="s">
        <v>92</v>
      </c>
      <c r="D623" s="227" t="s">
        <v>96</v>
      </c>
      <c r="E623" s="227" t="s">
        <v>42</v>
      </c>
      <c r="F623" s="227" t="s">
        <v>89</v>
      </c>
      <c r="G623" s="227" t="s">
        <v>84</v>
      </c>
      <c r="H623" s="231">
        <v>1</v>
      </c>
      <c r="I623" s="232">
        <v>0</v>
      </c>
      <c r="J623" s="230">
        <v>46048</v>
      </c>
      <c r="K623" s="227" t="s">
        <v>93</v>
      </c>
      <c r="L623" s="227" t="s">
        <v>94</v>
      </c>
      <c r="M623" s="233">
        <v>0</v>
      </c>
      <c r="N623" s="231"/>
      <c r="O623" s="231"/>
      <c r="P623" s="234">
        <v>0</v>
      </c>
    </row>
    <row r="624" spans="1:16" ht="19.5" customHeight="1">
      <c r="A624" s="227" t="s">
        <v>1239</v>
      </c>
      <c r="B624" s="230">
        <v>46051</v>
      </c>
      <c r="C624" s="227" t="s">
        <v>92</v>
      </c>
      <c r="D624" s="227" t="s">
        <v>97</v>
      </c>
      <c r="E624" s="227" t="s">
        <v>42</v>
      </c>
      <c r="F624" s="227" t="s">
        <v>89</v>
      </c>
      <c r="G624" s="227" t="s">
        <v>84</v>
      </c>
      <c r="H624" s="231">
        <v>1</v>
      </c>
      <c r="I624" s="232">
        <v>0</v>
      </c>
      <c r="J624" s="230">
        <v>46048</v>
      </c>
      <c r="K624" s="227" t="s">
        <v>93</v>
      </c>
      <c r="L624" s="227" t="s">
        <v>94</v>
      </c>
      <c r="M624" s="233">
        <v>0</v>
      </c>
      <c r="N624" s="231"/>
      <c r="O624" s="231"/>
      <c r="P624" s="234">
        <v>-46.77</v>
      </c>
    </row>
    <row r="625" spans="1:16" ht="19.5" customHeight="1">
      <c r="A625" s="227" t="s">
        <v>1239</v>
      </c>
      <c r="B625" s="230">
        <v>46051</v>
      </c>
      <c r="C625" s="227" t="s">
        <v>81</v>
      </c>
      <c r="D625" s="227" t="s">
        <v>98</v>
      </c>
      <c r="E625" s="227" t="s">
        <v>42</v>
      </c>
      <c r="F625" s="227" t="s">
        <v>89</v>
      </c>
      <c r="G625" s="227" t="s">
        <v>84</v>
      </c>
      <c r="H625" s="231">
        <v>1</v>
      </c>
      <c r="I625" s="232">
        <v>0</v>
      </c>
      <c r="J625" s="230">
        <v>46048</v>
      </c>
      <c r="K625" s="227" t="s">
        <v>93</v>
      </c>
      <c r="L625" s="227" t="s">
        <v>94</v>
      </c>
      <c r="M625" s="233">
        <v>0</v>
      </c>
      <c r="N625" s="231"/>
      <c r="O625" s="231"/>
      <c r="P625" s="234">
        <v>-15</v>
      </c>
    </row>
    <row r="626" spans="1:16" ht="19.5" customHeight="1">
      <c r="A626" s="227" t="s">
        <v>1236</v>
      </c>
      <c r="B626" s="230">
        <v>46051</v>
      </c>
      <c r="C626" s="227" t="s">
        <v>81</v>
      </c>
      <c r="D626" s="227" t="s">
        <v>82</v>
      </c>
      <c r="E626" s="227" t="s">
        <v>42</v>
      </c>
      <c r="F626" s="227" t="s">
        <v>89</v>
      </c>
      <c r="G626" s="227" t="s">
        <v>84</v>
      </c>
      <c r="H626" s="231">
        <v>1</v>
      </c>
      <c r="I626" s="232">
        <v>0</v>
      </c>
      <c r="J626" s="230">
        <v>46049</v>
      </c>
      <c r="K626" s="227" t="s">
        <v>85</v>
      </c>
      <c r="L626" s="227" t="s">
        <v>85</v>
      </c>
      <c r="M626" s="233">
        <v>0</v>
      </c>
      <c r="N626" s="231"/>
      <c r="O626" s="231"/>
      <c r="P626" s="234">
        <v>-11.53</v>
      </c>
    </row>
    <row r="627" spans="1:16" ht="19.5" customHeight="1">
      <c r="A627" s="227" t="s">
        <v>1238</v>
      </c>
      <c r="B627" s="230">
        <v>46051</v>
      </c>
      <c r="C627" s="227" t="s">
        <v>92</v>
      </c>
      <c r="D627" s="227" t="s">
        <v>96</v>
      </c>
      <c r="E627" s="227" t="s">
        <v>53</v>
      </c>
      <c r="F627" s="227" t="s">
        <v>120</v>
      </c>
      <c r="G627" s="227" t="s">
        <v>84</v>
      </c>
      <c r="H627" s="231">
        <v>1</v>
      </c>
      <c r="I627" s="232">
        <v>0</v>
      </c>
      <c r="J627" s="230">
        <v>46046</v>
      </c>
      <c r="K627" s="227" t="s">
        <v>93</v>
      </c>
      <c r="L627" s="227" t="s">
        <v>94</v>
      </c>
      <c r="M627" s="233">
        <v>0</v>
      </c>
      <c r="N627" s="231"/>
      <c r="O627" s="231"/>
      <c r="P627" s="234">
        <v>0</v>
      </c>
    </row>
    <row r="628" spans="1:16" ht="19.5" customHeight="1">
      <c r="A628" s="227" t="s">
        <v>1238</v>
      </c>
      <c r="B628" s="230">
        <v>46051</v>
      </c>
      <c r="C628" s="227" t="s">
        <v>92</v>
      </c>
      <c r="D628" s="227" t="s">
        <v>97</v>
      </c>
      <c r="E628" s="227" t="s">
        <v>53</v>
      </c>
      <c r="F628" s="227" t="s">
        <v>120</v>
      </c>
      <c r="G628" s="227" t="s">
        <v>84</v>
      </c>
      <c r="H628" s="231">
        <v>1</v>
      </c>
      <c r="I628" s="232">
        <v>0</v>
      </c>
      <c r="J628" s="230">
        <v>46046</v>
      </c>
      <c r="K628" s="227" t="s">
        <v>93</v>
      </c>
      <c r="L628" s="227" t="s">
        <v>94</v>
      </c>
      <c r="M628" s="233">
        <v>0</v>
      </c>
      <c r="N628" s="231"/>
      <c r="O628" s="231"/>
      <c r="P628" s="234">
        <v>-56</v>
      </c>
    </row>
    <row r="629" spans="1:16" ht="19.5" customHeight="1">
      <c r="A629" s="227" t="s">
        <v>1237</v>
      </c>
      <c r="B629" s="230">
        <v>46051</v>
      </c>
      <c r="C629" s="227" t="s">
        <v>81</v>
      </c>
      <c r="D629" s="227" t="s">
        <v>82</v>
      </c>
      <c r="E629" s="227" t="s">
        <v>53</v>
      </c>
      <c r="F629" s="227" t="s">
        <v>120</v>
      </c>
      <c r="G629" s="227" t="s">
        <v>84</v>
      </c>
      <c r="H629" s="231">
        <v>1</v>
      </c>
      <c r="I629" s="232">
        <v>0</v>
      </c>
      <c r="J629" s="230">
        <v>46049</v>
      </c>
      <c r="K629" s="227" t="s">
        <v>85</v>
      </c>
      <c r="L629" s="227" t="s">
        <v>85</v>
      </c>
      <c r="M629" s="233">
        <v>0</v>
      </c>
      <c r="N629" s="231"/>
      <c r="O629" s="231"/>
      <c r="P629" s="234">
        <v>-11.38</v>
      </c>
    </row>
    <row r="630" spans="1:16" ht="19.5" customHeight="1">
      <c r="A630" s="227" t="s">
        <v>1240</v>
      </c>
      <c r="B630" s="230">
        <v>46051</v>
      </c>
      <c r="C630" s="227" t="s">
        <v>81</v>
      </c>
      <c r="D630" s="227" t="s">
        <v>82</v>
      </c>
      <c r="E630" s="227" t="s">
        <v>42</v>
      </c>
      <c r="F630" s="227" t="s">
        <v>89</v>
      </c>
      <c r="G630" s="227" t="s">
        <v>84</v>
      </c>
      <c r="H630" s="231">
        <v>1</v>
      </c>
      <c r="I630" s="232">
        <v>0</v>
      </c>
      <c r="J630" s="230">
        <v>46051</v>
      </c>
      <c r="K630" s="227" t="s">
        <v>85</v>
      </c>
      <c r="L630" s="227" t="s">
        <v>85</v>
      </c>
      <c r="M630" s="233">
        <v>0</v>
      </c>
      <c r="N630" s="231"/>
      <c r="O630" s="231"/>
      <c r="P630" s="234">
        <v>-11.58</v>
      </c>
    </row>
    <row r="631" spans="1:16" ht="19.5" customHeight="1">
      <c r="A631" s="227" t="s">
        <v>1241</v>
      </c>
      <c r="B631" s="230">
        <v>46051</v>
      </c>
      <c r="C631" s="227" t="s">
        <v>92</v>
      </c>
      <c r="D631" s="227" t="s">
        <v>24</v>
      </c>
      <c r="E631" s="227" t="s">
        <v>53</v>
      </c>
      <c r="F631" s="227" t="s">
        <v>120</v>
      </c>
      <c r="G631" s="227" t="s">
        <v>84</v>
      </c>
      <c r="H631" s="231">
        <v>1</v>
      </c>
      <c r="I631" s="232">
        <v>0</v>
      </c>
      <c r="J631" s="230">
        <v>46031</v>
      </c>
      <c r="K631" s="227" t="s">
        <v>93</v>
      </c>
      <c r="L631" s="227" t="s">
        <v>94</v>
      </c>
      <c r="M631" s="233">
        <v>0</v>
      </c>
      <c r="N631" s="231"/>
      <c r="O631" s="231">
        <v>42</v>
      </c>
      <c r="P631" s="234">
        <v>-56.94</v>
      </c>
    </row>
    <row r="632" spans="1:16" ht="19.5" customHeight="1">
      <c r="A632" s="227" t="s">
        <v>1241</v>
      </c>
      <c r="B632" s="230">
        <v>46051</v>
      </c>
      <c r="C632" s="227" t="s">
        <v>81</v>
      </c>
      <c r="D632" s="227" t="s">
        <v>95</v>
      </c>
      <c r="E632" s="227" t="s">
        <v>53</v>
      </c>
      <c r="F632" s="227" t="s">
        <v>120</v>
      </c>
      <c r="G632" s="227" t="s">
        <v>84</v>
      </c>
      <c r="H632" s="231">
        <v>1</v>
      </c>
      <c r="I632" s="232">
        <v>0</v>
      </c>
      <c r="J632" s="230">
        <v>46031</v>
      </c>
      <c r="K632" s="227" t="s">
        <v>93</v>
      </c>
      <c r="L632" s="227" t="s">
        <v>94</v>
      </c>
      <c r="M632" s="233">
        <v>0</v>
      </c>
      <c r="N632" s="231"/>
      <c r="O632" s="231"/>
      <c r="P632" s="234">
        <v>-11.02</v>
      </c>
    </row>
    <row r="633" spans="1:16" ht="19.5" customHeight="1">
      <c r="A633" s="227" t="s">
        <v>1241</v>
      </c>
      <c r="B633" s="230">
        <v>46051</v>
      </c>
      <c r="C633" s="227" t="s">
        <v>92</v>
      </c>
      <c r="D633" s="227" t="s">
        <v>96</v>
      </c>
      <c r="E633" s="227" t="s">
        <v>53</v>
      </c>
      <c r="F633" s="227" t="s">
        <v>120</v>
      </c>
      <c r="G633" s="227" t="s">
        <v>84</v>
      </c>
      <c r="H633" s="231">
        <v>1</v>
      </c>
      <c r="I633" s="232">
        <v>0</v>
      </c>
      <c r="J633" s="230">
        <v>46031</v>
      </c>
      <c r="K633" s="227" t="s">
        <v>93</v>
      </c>
      <c r="L633" s="227" t="s">
        <v>94</v>
      </c>
      <c r="M633" s="233">
        <v>0</v>
      </c>
      <c r="N633" s="231"/>
      <c r="O633" s="231"/>
      <c r="P633" s="234">
        <v>0</v>
      </c>
    </row>
    <row r="634" spans="1:16" ht="19.5" customHeight="1">
      <c r="A634" s="227" t="s">
        <v>1241</v>
      </c>
      <c r="B634" s="230">
        <v>46051</v>
      </c>
      <c r="C634" s="227" t="s">
        <v>92</v>
      </c>
      <c r="D634" s="227" t="s">
        <v>97</v>
      </c>
      <c r="E634" s="227" t="s">
        <v>53</v>
      </c>
      <c r="F634" s="227" t="s">
        <v>120</v>
      </c>
      <c r="G634" s="227" t="s">
        <v>84</v>
      </c>
      <c r="H634" s="231">
        <v>1</v>
      </c>
      <c r="I634" s="232">
        <v>0</v>
      </c>
      <c r="J634" s="230">
        <v>46031</v>
      </c>
      <c r="K634" s="227" t="s">
        <v>93</v>
      </c>
      <c r="L634" s="227" t="s">
        <v>94</v>
      </c>
      <c r="M634" s="233">
        <v>0</v>
      </c>
      <c r="N634" s="231"/>
      <c r="O634" s="231"/>
      <c r="P634" s="234">
        <v>-56.94</v>
      </c>
    </row>
    <row r="635" spans="1:16" ht="19.5" customHeight="1">
      <c r="A635" s="227" t="s">
        <v>1242</v>
      </c>
      <c r="B635" s="230">
        <v>46051</v>
      </c>
      <c r="C635" s="227" t="s">
        <v>92</v>
      </c>
      <c r="D635" s="227" t="s">
        <v>24</v>
      </c>
      <c r="E635" s="227" t="s">
        <v>53</v>
      </c>
      <c r="F635" s="227" t="s">
        <v>120</v>
      </c>
      <c r="G635" s="227" t="s">
        <v>84</v>
      </c>
      <c r="H635" s="231">
        <v>1</v>
      </c>
      <c r="I635" s="232">
        <v>1812</v>
      </c>
      <c r="J635" s="230">
        <v>46048</v>
      </c>
      <c r="K635" s="227" t="s">
        <v>93</v>
      </c>
      <c r="L635" s="227" t="s">
        <v>94</v>
      </c>
      <c r="M635" s="233">
        <v>0.43</v>
      </c>
      <c r="N635" s="231"/>
      <c r="O635" s="231">
        <v>44</v>
      </c>
      <c r="P635" s="234">
        <v>-148.36000000000001</v>
      </c>
    </row>
    <row r="636" spans="1:16" ht="19.5" customHeight="1">
      <c r="A636" s="227" t="s">
        <v>1242</v>
      </c>
      <c r="B636" s="230">
        <v>46051</v>
      </c>
      <c r="C636" s="227" t="s">
        <v>100</v>
      </c>
      <c r="D636" s="227" t="s">
        <v>101</v>
      </c>
      <c r="E636" s="227" t="s">
        <v>53</v>
      </c>
      <c r="F636" s="227" t="s">
        <v>120</v>
      </c>
      <c r="G636" s="227" t="s">
        <v>84</v>
      </c>
      <c r="H636" s="231">
        <v>1</v>
      </c>
      <c r="I636" s="232">
        <v>1812</v>
      </c>
      <c r="J636" s="230">
        <v>46048</v>
      </c>
      <c r="K636" s="227" t="s">
        <v>93</v>
      </c>
      <c r="L636" s="227" t="s">
        <v>94</v>
      </c>
      <c r="M636" s="233">
        <v>0</v>
      </c>
      <c r="N636" s="231"/>
      <c r="O636" s="231"/>
      <c r="P636" s="234">
        <v>706.27</v>
      </c>
    </row>
    <row r="637" spans="1:16" ht="19.5" customHeight="1">
      <c r="A637" s="227" t="s">
        <v>1242</v>
      </c>
      <c r="B637" s="230">
        <v>46051</v>
      </c>
      <c r="C637" s="227" t="s">
        <v>100</v>
      </c>
      <c r="D637" s="227" t="s">
        <v>102</v>
      </c>
      <c r="E637" s="227" t="s">
        <v>53</v>
      </c>
      <c r="F637" s="227" t="s">
        <v>120</v>
      </c>
      <c r="G637" s="227" t="s">
        <v>84</v>
      </c>
      <c r="H637" s="231">
        <v>1</v>
      </c>
      <c r="I637" s="232">
        <v>1812</v>
      </c>
      <c r="J637" s="230">
        <v>46048</v>
      </c>
      <c r="K637" s="227" t="s">
        <v>93</v>
      </c>
      <c r="L637" s="227" t="s">
        <v>94</v>
      </c>
      <c r="M637" s="233">
        <v>0</v>
      </c>
      <c r="N637" s="231"/>
      <c r="O637" s="231"/>
      <c r="P637" s="234">
        <v>7.06</v>
      </c>
    </row>
    <row r="638" spans="1:16" ht="19.5" customHeight="1">
      <c r="A638" s="227" t="s">
        <v>1242</v>
      </c>
      <c r="B638" s="230">
        <v>46051</v>
      </c>
      <c r="C638" s="227" t="s">
        <v>100</v>
      </c>
      <c r="D638" s="227" t="s">
        <v>103</v>
      </c>
      <c r="E638" s="227" t="s">
        <v>53</v>
      </c>
      <c r="F638" s="227" t="s">
        <v>120</v>
      </c>
      <c r="G638" s="227" t="s">
        <v>84</v>
      </c>
      <c r="H638" s="231">
        <v>1</v>
      </c>
      <c r="I638" s="232">
        <v>1812</v>
      </c>
      <c r="J638" s="230">
        <v>46048</v>
      </c>
      <c r="K638" s="227" t="s">
        <v>93</v>
      </c>
      <c r="L638" s="227" t="s">
        <v>94</v>
      </c>
      <c r="M638" s="233">
        <v>0</v>
      </c>
      <c r="N638" s="231"/>
      <c r="O638" s="231"/>
      <c r="P638" s="234">
        <v>1098.67</v>
      </c>
    </row>
    <row r="639" spans="1:16" ht="19.5" customHeight="1">
      <c r="A639" s="227" t="s">
        <v>1242</v>
      </c>
      <c r="B639" s="230">
        <v>46051</v>
      </c>
      <c r="C639" s="227" t="s">
        <v>104</v>
      </c>
      <c r="D639" s="227" t="s">
        <v>105</v>
      </c>
      <c r="E639" s="227" t="s">
        <v>53</v>
      </c>
      <c r="F639" s="227" t="s">
        <v>120</v>
      </c>
      <c r="G639" s="227" t="s">
        <v>84</v>
      </c>
      <c r="H639" s="231">
        <v>1</v>
      </c>
      <c r="I639" s="232">
        <v>1812</v>
      </c>
      <c r="J639" s="230">
        <v>46048</v>
      </c>
      <c r="K639" s="227" t="s">
        <v>93</v>
      </c>
      <c r="L639" s="227" t="s">
        <v>94</v>
      </c>
      <c r="M639" s="233">
        <v>0.43</v>
      </c>
      <c r="N639" s="231"/>
      <c r="O639" s="231"/>
      <c r="P639" s="234">
        <v>-779.16</v>
      </c>
    </row>
    <row r="640" spans="1:16" ht="19.5" customHeight="1">
      <c r="A640" s="227" t="s">
        <v>1242</v>
      </c>
      <c r="B640" s="230">
        <v>46051</v>
      </c>
      <c r="C640" s="227" t="s">
        <v>81</v>
      </c>
      <c r="D640" s="227" t="s">
        <v>95</v>
      </c>
      <c r="E640" s="227" t="s">
        <v>53</v>
      </c>
      <c r="F640" s="227" t="s">
        <v>120</v>
      </c>
      <c r="G640" s="227" t="s">
        <v>84</v>
      </c>
      <c r="H640" s="231">
        <v>1</v>
      </c>
      <c r="I640" s="232">
        <v>1812</v>
      </c>
      <c r="J640" s="230">
        <v>46048</v>
      </c>
      <c r="K640" s="227" t="s">
        <v>93</v>
      </c>
      <c r="L640" s="227" t="s">
        <v>94</v>
      </c>
      <c r="M640" s="233">
        <v>0.43</v>
      </c>
      <c r="N640" s="231"/>
      <c r="O640" s="231"/>
      <c r="P640" s="234">
        <v>-8.49</v>
      </c>
    </row>
    <row r="641" spans="1:16" ht="19.5" customHeight="1">
      <c r="A641" s="227" t="s">
        <v>1243</v>
      </c>
      <c r="B641" s="230">
        <v>46051</v>
      </c>
      <c r="C641" s="227" t="s">
        <v>92</v>
      </c>
      <c r="D641" s="227" t="s">
        <v>24</v>
      </c>
      <c r="E641" s="227" t="s">
        <v>39</v>
      </c>
      <c r="F641" s="227" t="s">
        <v>117</v>
      </c>
      <c r="G641" s="227" t="s">
        <v>84</v>
      </c>
      <c r="H641" s="231">
        <v>1</v>
      </c>
      <c r="I641" s="232">
        <v>1750</v>
      </c>
      <c r="J641" s="230">
        <v>46042</v>
      </c>
      <c r="K641" s="227" t="s">
        <v>93</v>
      </c>
      <c r="L641" s="227" t="s">
        <v>94</v>
      </c>
      <c r="M641" s="233">
        <v>0.43</v>
      </c>
      <c r="N641" s="231"/>
      <c r="O641" s="231">
        <v>43</v>
      </c>
      <c r="P641" s="234">
        <v>-127.33</v>
      </c>
    </row>
    <row r="642" spans="1:16" ht="19.5" customHeight="1">
      <c r="A642" s="227" t="s">
        <v>1243</v>
      </c>
      <c r="B642" s="230">
        <v>46051</v>
      </c>
      <c r="C642" s="227" t="s">
        <v>100</v>
      </c>
      <c r="D642" s="227" t="s">
        <v>101</v>
      </c>
      <c r="E642" s="227" t="s">
        <v>39</v>
      </c>
      <c r="F642" s="227" t="s">
        <v>117</v>
      </c>
      <c r="G642" s="227" t="s">
        <v>84</v>
      </c>
      <c r="H642" s="231">
        <v>1</v>
      </c>
      <c r="I642" s="232">
        <v>1750</v>
      </c>
      <c r="J642" s="230">
        <v>46042</v>
      </c>
      <c r="K642" s="227" t="s">
        <v>93</v>
      </c>
      <c r="L642" s="227" t="s">
        <v>94</v>
      </c>
      <c r="M642" s="233">
        <v>0</v>
      </c>
      <c r="N642" s="231"/>
      <c r="O642" s="231"/>
      <c r="P642" s="234">
        <v>609.52</v>
      </c>
    </row>
    <row r="643" spans="1:16" ht="19.5" customHeight="1">
      <c r="A643" s="227" t="s">
        <v>1243</v>
      </c>
      <c r="B643" s="230">
        <v>46051</v>
      </c>
      <c r="C643" s="227" t="s">
        <v>100</v>
      </c>
      <c r="D643" s="227" t="s">
        <v>102</v>
      </c>
      <c r="E643" s="227" t="s">
        <v>39</v>
      </c>
      <c r="F643" s="227" t="s">
        <v>117</v>
      </c>
      <c r="G643" s="227" t="s">
        <v>84</v>
      </c>
      <c r="H643" s="231">
        <v>1</v>
      </c>
      <c r="I643" s="232">
        <v>1750</v>
      </c>
      <c r="J643" s="230">
        <v>46042</v>
      </c>
      <c r="K643" s="227" t="s">
        <v>93</v>
      </c>
      <c r="L643" s="227" t="s">
        <v>94</v>
      </c>
      <c r="M643" s="233">
        <v>0</v>
      </c>
      <c r="N643" s="231"/>
      <c r="O643" s="231"/>
      <c r="P643" s="234">
        <v>6.1</v>
      </c>
    </row>
    <row r="644" spans="1:16" ht="19.5" customHeight="1">
      <c r="A644" s="227" t="s">
        <v>1243</v>
      </c>
      <c r="B644" s="230">
        <v>46051</v>
      </c>
      <c r="C644" s="227" t="s">
        <v>100</v>
      </c>
      <c r="D644" s="227" t="s">
        <v>103</v>
      </c>
      <c r="E644" s="227" t="s">
        <v>39</v>
      </c>
      <c r="F644" s="227" t="s">
        <v>117</v>
      </c>
      <c r="G644" s="227" t="s">
        <v>84</v>
      </c>
      <c r="H644" s="231">
        <v>1</v>
      </c>
      <c r="I644" s="232">
        <v>1750</v>
      </c>
      <c r="J644" s="230">
        <v>46042</v>
      </c>
      <c r="K644" s="227" t="s">
        <v>93</v>
      </c>
      <c r="L644" s="227" t="s">
        <v>94</v>
      </c>
      <c r="M644" s="233">
        <v>0</v>
      </c>
      <c r="N644" s="231"/>
      <c r="O644" s="231"/>
      <c r="P644" s="234">
        <v>1134.3800000000001</v>
      </c>
    </row>
    <row r="645" spans="1:16" ht="19.5" customHeight="1">
      <c r="A645" s="227" t="s">
        <v>1243</v>
      </c>
      <c r="B645" s="230">
        <v>46051</v>
      </c>
      <c r="C645" s="227" t="s">
        <v>104</v>
      </c>
      <c r="D645" s="227" t="s">
        <v>105</v>
      </c>
      <c r="E645" s="227" t="s">
        <v>39</v>
      </c>
      <c r="F645" s="227" t="s">
        <v>117</v>
      </c>
      <c r="G645" s="227" t="s">
        <v>84</v>
      </c>
      <c r="H645" s="231">
        <v>1</v>
      </c>
      <c r="I645" s="232">
        <v>1750</v>
      </c>
      <c r="J645" s="230">
        <v>46042</v>
      </c>
      <c r="K645" s="227" t="s">
        <v>93</v>
      </c>
      <c r="L645" s="227" t="s">
        <v>94</v>
      </c>
      <c r="M645" s="233">
        <v>0.43</v>
      </c>
      <c r="N645" s="231"/>
      <c r="O645" s="231"/>
      <c r="P645" s="234">
        <v>-752.5</v>
      </c>
    </row>
    <row r="646" spans="1:16" ht="19.5" customHeight="1">
      <c r="A646" s="227" t="s">
        <v>1243</v>
      </c>
      <c r="B646" s="230">
        <v>46051</v>
      </c>
      <c r="C646" s="227" t="s">
        <v>81</v>
      </c>
      <c r="D646" s="227" t="s">
        <v>95</v>
      </c>
      <c r="E646" s="227" t="s">
        <v>39</v>
      </c>
      <c r="F646" s="227" t="s">
        <v>117</v>
      </c>
      <c r="G646" s="227" t="s">
        <v>84</v>
      </c>
      <c r="H646" s="231">
        <v>1</v>
      </c>
      <c r="I646" s="232">
        <v>1750</v>
      </c>
      <c r="J646" s="230">
        <v>46042</v>
      </c>
      <c r="K646" s="227" t="s">
        <v>93</v>
      </c>
      <c r="L646" s="227" t="s">
        <v>94</v>
      </c>
      <c r="M646" s="233">
        <v>0.43</v>
      </c>
      <c r="N646" s="231"/>
      <c r="O646" s="231"/>
      <c r="P646" s="234">
        <v>-9.5</v>
      </c>
    </row>
    <row r="647" spans="1:16" ht="19.5" customHeight="1">
      <c r="A647" s="227" t="s">
        <v>1244</v>
      </c>
      <c r="B647" s="230">
        <v>46051</v>
      </c>
      <c r="C647" s="227" t="s">
        <v>92</v>
      </c>
      <c r="D647" s="227" t="s">
        <v>24</v>
      </c>
      <c r="E647" s="227" t="s">
        <v>42</v>
      </c>
      <c r="F647" s="227" t="s">
        <v>89</v>
      </c>
      <c r="G647" s="227" t="s">
        <v>84</v>
      </c>
      <c r="H647" s="231">
        <v>1</v>
      </c>
      <c r="I647" s="232">
        <v>1750</v>
      </c>
      <c r="J647" s="230">
        <v>46048</v>
      </c>
      <c r="K647" s="227" t="s">
        <v>93</v>
      </c>
      <c r="L647" s="227" t="s">
        <v>94</v>
      </c>
      <c r="M647" s="233">
        <v>0.43</v>
      </c>
      <c r="N647" s="231"/>
      <c r="O647" s="231">
        <v>44</v>
      </c>
      <c r="P647" s="234">
        <v>-131.37</v>
      </c>
    </row>
    <row r="648" spans="1:16" ht="19.5" customHeight="1">
      <c r="A648" s="227" t="s">
        <v>1244</v>
      </c>
      <c r="B648" s="230">
        <v>46051</v>
      </c>
      <c r="C648" s="227" t="s">
        <v>100</v>
      </c>
      <c r="D648" s="227" t="s">
        <v>101</v>
      </c>
      <c r="E648" s="227" t="s">
        <v>42</v>
      </c>
      <c r="F648" s="227" t="s">
        <v>89</v>
      </c>
      <c r="G648" s="227" t="s">
        <v>84</v>
      </c>
      <c r="H648" s="231">
        <v>1</v>
      </c>
      <c r="I648" s="232">
        <v>1750</v>
      </c>
      <c r="J648" s="230">
        <v>46048</v>
      </c>
      <c r="K648" s="227" t="s">
        <v>93</v>
      </c>
      <c r="L648" s="227" t="s">
        <v>94</v>
      </c>
      <c r="M648" s="233">
        <v>0</v>
      </c>
      <c r="N648" s="231"/>
      <c r="O648" s="231"/>
      <c r="P648" s="234">
        <v>666.67</v>
      </c>
    </row>
    <row r="649" spans="1:16" ht="19.5" customHeight="1">
      <c r="A649" s="227" t="s">
        <v>1244</v>
      </c>
      <c r="B649" s="230">
        <v>46051</v>
      </c>
      <c r="C649" s="227" t="s">
        <v>100</v>
      </c>
      <c r="D649" s="227" t="s">
        <v>102</v>
      </c>
      <c r="E649" s="227" t="s">
        <v>42</v>
      </c>
      <c r="F649" s="227" t="s">
        <v>89</v>
      </c>
      <c r="G649" s="227" t="s">
        <v>84</v>
      </c>
      <c r="H649" s="231">
        <v>1</v>
      </c>
      <c r="I649" s="232">
        <v>1750</v>
      </c>
      <c r="J649" s="230">
        <v>46048</v>
      </c>
      <c r="K649" s="227" t="s">
        <v>93</v>
      </c>
      <c r="L649" s="227" t="s">
        <v>94</v>
      </c>
      <c r="M649" s="233">
        <v>0</v>
      </c>
      <c r="N649" s="231"/>
      <c r="O649" s="231"/>
      <c r="P649" s="234">
        <v>0</v>
      </c>
    </row>
    <row r="650" spans="1:16" ht="19.5" customHeight="1">
      <c r="A650" s="227" t="s">
        <v>1244</v>
      </c>
      <c r="B650" s="230">
        <v>46051</v>
      </c>
      <c r="C650" s="227" t="s">
        <v>100</v>
      </c>
      <c r="D650" s="227" t="s">
        <v>103</v>
      </c>
      <c r="E650" s="227" t="s">
        <v>42</v>
      </c>
      <c r="F650" s="227" t="s">
        <v>89</v>
      </c>
      <c r="G650" s="227" t="s">
        <v>84</v>
      </c>
      <c r="H650" s="231">
        <v>1</v>
      </c>
      <c r="I650" s="232">
        <v>1750</v>
      </c>
      <c r="J650" s="230">
        <v>46048</v>
      </c>
      <c r="K650" s="227" t="s">
        <v>93</v>
      </c>
      <c r="L650" s="227" t="s">
        <v>94</v>
      </c>
      <c r="M650" s="233">
        <v>0</v>
      </c>
      <c r="N650" s="231"/>
      <c r="O650" s="231"/>
      <c r="P650" s="234">
        <v>1083.33</v>
      </c>
    </row>
    <row r="651" spans="1:16" ht="19.5" customHeight="1">
      <c r="A651" s="227" t="s">
        <v>1244</v>
      </c>
      <c r="B651" s="230">
        <v>46051</v>
      </c>
      <c r="C651" s="227" t="s">
        <v>104</v>
      </c>
      <c r="D651" s="227" t="s">
        <v>105</v>
      </c>
      <c r="E651" s="227" t="s">
        <v>42</v>
      </c>
      <c r="F651" s="227" t="s">
        <v>89</v>
      </c>
      <c r="G651" s="227" t="s">
        <v>84</v>
      </c>
      <c r="H651" s="231">
        <v>1</v>
      </c>
      <c r="I651" s="232">
        <v>1750</v>
      </c>
      <c r="J651" s="230">
        <v>46048</v>
      </c>
      <c r="K651" s="227" t="s">
        <v>93</v>
      </c>
      <c r="L651" s="227" t="s">
        <v>94</v>
      </c>
      <c r="M651" s="233">
        <v>0.43</v>
      </c>
      <c r="N651" s="231"/>
      <c r="O651" s="231"/>
      <c r="P651" s="234">
        <v>-752.5</v>
      </c>
    </row>
    <row r="652" spans="1:16" ht="19.5" customHeight="1">
      <c r="A652" s="227" t="s">
        <v>1245</v>
      </c>
      <c r="B652" s="230">
        <v>46051</v>
      </c>
      <c r="C652" s="227" t="s">
        <v>81</v>
      </c>
      <c r="D652" s="227" t="s">
        <v>82</v>
      </c>
      <c r="E652" s="227" t="s">
        <v>52</v>
      </c>
      <c r="F652" s="227" t="s">
        <v>90</v>
      </c>
      <c r="G652" s="227" t="s">
        <v>84</v>
      </c>
      <c r="H652" s="231">
        <v>1</v>
      </c>
      <c r="I652" s="232">
        <v>0</v>
      </c>
      <c r="J652" s="230">
        <v>46051</v>
      </c>
      <c r="K652" s="227" t="s">
        <v>85</v>
      </c>
      <c r="L652" s="227" t="s">
        <v>85</v>
      </c>
      <c r="M652" s="233">
        <v>0</v>
      </c>
      <c r="N652" s="231"/>
      <c r="O652" s="231"/>
      <c r="P652" s="234">
        <v>-11.92</v>
      </c>
    </row>
    <row r="653" spans="1:16" ht="19.5" customHeight="1">
      <c r="A653" s="227" t="s">
        <v>1242</v>
      </c>
      <c r="B653" s="230">
        <v>46051</v>
      </c>
      <c r="C653" s="227" t="s">
        <v>81</v>
      </c>
      <c r="D653" s="227" t="s">
        <v>82</v>
      </c>
      <c r="E653" s="227" t="s">
        <v>53</v>
      </c>
      <c r="F653" s="227" t="s">
        <v>120</v>
      </c>
      <c r="G653" s="227" t="s">
        <v>84</v>
      </c>
      <c r="H653" s="231">
        <v>1</v>
      </c>
      <c r="I653" s="232">
        <v>0</v>
      </c>
      <c r="J653" s="230">
        <v>46048</v>
      </c>
      <c r="K653" s="227" t="s">
        <v>85</v>
      </c>
      <c r="L653" s="227" t="s">
        <v>85</v>
      </c>
      <c r="M653" s="233">
        <v>0</v>
      </c>
      <c r="N653" s="231"/>
      <c r="O653" s="231"/>
      <c r="P653" s="234">
        <v>-13.42</v>
      </c>
    </row>
    <row r="654" spans="1:16" ht="19.5" customHeight="1">
      <c r="A654" s="227" t="s">
        <v>1243</v>
      </c>
      <c r="B654" s="230">
        <v>46051</v>
      </c>
      <c r="C654" s="227" t="s">
        <v>81</v>
      </c>
      <c r="D654" s="227" t="s">
        <v>82</v>
      </c>
      <c r="E654" s="227" t="s">
        <v>39</v>
      </c>
      <c r="F654" s="227" t="s">
        <v>117</v>
      </c>
      <c r="G654" s="227" t="s">
        <v>84</v>
      </c>
      <c r="H654" s="231">
        <v>1</v>
      </c>
      <c r="I654" s="232">
        <v>0</v>
      </c>
      <c r="J654" s="230">
        <v>46042</v>
      </c>
      <c r="K654" s="227" t="s">
        <v>85</v>
      </c>
      <c r="L654" s="227" t="s">
        <v>85</v>
      </c>
      <c r="M654" s="233">
        <v>0</v>
      </c>
      <c r="N654" s="231"/>
      <c r="O654" s="231"/>
      <c r="P654" s="234">
        <v>-11.58</v>
      </c>
    </row>
    <row r="655" spans="1:16" ht="19.5" customHeight="1">
      <c r="A655" s="227" t="s">
        <v>1246</v>
      </c>
      <c r="B655" s="230">
        <v>46051</v>
      </c>
      <c r="C655" s="227" t="s">
        <v>92</v>
      </c>
      <c r="D655" s="227" t="s">
        <v>24</v>
      </c>
      <c r="E655" s="227" t="s">
        <v>52</v>
      </c>
      <c r="F655" s="227" t="s">
        <v>90</v>
      </c>
      <c r="G655" s="227" t="s">
        <v>84</v>
      </c>
      <c r="H655" s="231">
        <v>1</v>
      </c>
      <c r="I655" s="232">
        <v>1800</v>
      </c>
      <c r="J655" s="230">
        <v>46050</v>
      </c>
      <c r="K655" s="227" t="s">
        <v>93</v>
      </c>
      <c r="L655" s="227" t="s">
        <v>94</v>
      </c>
      <c r="M655" s="233">
        <v>0.43</v>
      </c>
      <c r="N655" s="231"/>
      <c r="O655" s="231">
        <v>44</v>
      </c>
      <c r="P655" s="234">
        <v>-147.97999999999999</v>
      </c>
    </row>
    <row r="656" spans="1:16" ht="19.5" customHeight="1">
      <c r="A656" s="227" t="s">
        <v>1246</v>
      </c>
      <c r="B656" s="230">
        <v>46051</v>
      </c>
      <c r="C656" s="227" t="s">
        <v>100</v>
      </c>
      <c r="D656" s="227" t="s">
        <v>101</v>
      </c>
      <c r="E656" s="227" t="s">
        <v>52</v>
      </c>
      <c r="F656" s="227" t="s">
        <v>90</v>
      </c>
      <c r="G656" s="227" t="s">
        <v>84</v>
      </c>
      <c r="H656" s="231">
        <v>1</v>
      </c>
      <c r="I656" s="232">
        <v>1800</v>
      </c>
      <c r="J656" s="230">
        <v>46050</v>
      </c>
      <c r="K656" s="227" t="s">
        <v>93</v>
      </c>
      <c r="L656" s="227" t="s">
        <v>94</v>
      </c>
      <c r="M656" s="233">
        <v>0</v>
      </c>
      <c r="N656" s="231"/>
      <c r="O656" s="231"/>
      <c r="P656" s="234">
        <v>703.81</v>
      </c>
    </row>
    <row r="657" spans="1:16" ht="19.5" customHeight="1">
      <c r="A657" s="227" t="s">
        <v>1246</v>
      </c>
      <c r="B657" s="230">
        <v>46051</v>
      </c>
      <c r="C657" s="227" t="s">
        <v>100</v>
      </c>
      <c r="D657" s="227" t="s">
        <v>102</v>
      </c>
      <c r="E657" s="227" t="s">
        <v>52</v>
      </c>
      <c r="F657" s="227" t="s">
        <v>90</v>
      </c>
      <c r="G657" s="227" t="s">
        <v>84</v>
      </c>
      <c r="H657" s="231">
        <v>1</v>
      </c>
      <c r="I657" s="232">
        <v>1800</v>
      </c>
      <c r="J657" s="230">
        <v>46050</v>
      </c>
      <c r="K657" s="227" t="s">
        <v>93</v>
      </c>
      <c r="L657" s="227" t="s">
        <v>94</v>
      </c>
      <c r="M657" s="233">
        <v>0</v>
      </c>
      <c r="N657" s="231"/>
      <c r="O657" s="231"/>
      <c r="P657" s="234">
        <v>0</v>
      </c>
    </row>
    <row r="658" spans="1:16" ht="19.5" customHeight="1">
      <c r="A658" s="227" t="s">
        <v>1246</v>
      </c>
      <c r="B658" s="230">
        <v>46051</v>
      </c>
      <c r="C658" s="227" t="s">
        <v>100</v>
      </c>
      <c r="D658" s="227" t="s">
        <v>103</v>
      </c>
      <c r="E658" s="227" t="s">
        <v>52</v>
      </c>
      <c r="F658" s="227" t="s">
        <v>90</v>
      </c>
      <c r="G658" s="227" t="s">
        <v>84</v>
      </c>
      <c r="H658" s="231">
        <v>1</v>
      </c>
      <c r="I658" s="232">
        <v>1800</v>
      </c>
      <c r="J658" s="230">
        <v>46050</v>
      </c>
      <c r="K658" s="227" t="s">
        <v>93</v>
      </c>
      <c r="L658" s="227" t="s">
        <v>94</v>
      </c>
      <c r="M658" s="233">
        <v>0</v>
      </c>
      <c r="N658" s="231"/>
      <c r="O658" s="231"/>
      <c r="P658" s="234">
        <v>1096.19</v>
      </c>
    </row>
    <row r="659" spans="1:16" ht="19.5" customHeight="1">
      <c r="A659" s="227" t="s">
        <v>1246</v>
      </c>
      <c r="B659" s="230">
        <v>46051</v>
      </c>
      <c r="C659" s="227" t="s">
        <v>104</v>
      </c>
      <c r="D659" s="227" t="s">
        <v>105</v>
      </c>
      <c r="E659" s="227" t="s">
        <v>52</v>
      </c>
      <c r="F659" s="227" t="s">
        <v>90</v>
      </c>
      <c r="G659" s="227" t="s">
        <v>84</v>
      </c>
      <c r="H659" s="231">
        <v>1</v>
      </c>
      <c r="I659" s="232">
        <v>1800</v>
      </c>
      <c r="J659" s="230">
        <v>46050</v>
      </c>
      <c r="K659" s="227" t="s">
        <v>93</v>
      </c>
      <c r="L659" s="227" t="s">
        <v>94</v>
      </c>
      <c r="M659" s="233">
        <v>0.43</v>
      </c>
      <c r="N659" s="231"/>
      <c r="O659" s="231"/>
      <c r="P659" s="234">
        <v>-774</v>
      </c>
    </row>
    <row r="660" spans="1:16" ht="19.5" customHeight="1">
      <c r="A660" s="227" t="s">
        <v>1246</v>
      </c>
      <c r="B660" s="230">
        <v>46051</v>
      </c>
      <c r="C660" s="227" t="s">
        <v>81</v>
      </c>
      <c r="D660" s="227" t="s">
        <v>95</v>
      </c>
      <c r="E660" s="227" t="s">
        <v>52</v>
      </c>
      <c r="F660" s="227" t="s">
        <v>90</v>
      </c>
      <c r="G660" s="227" t="s">
        <v>84</v>
      </c>
      <c r="H660" s="231">
        <v>1</v>
      </c>
      <c r="I660" s="232">
        <v>1800</v>
      </c>
      <c r="J660" s="230">
        <v>46050</v>
      </c>
      <c r="K660" s="227" t="s">
        <v>93</v>
      </c>
      <c r="L660" s="227" t="s">
        <v>94</v>
      </c>
      <c r="M660" s="233">
        <v>0.43</v>
      </c>
      <c r="N660" s="231"/>
      <c r="O660" s="231"/>
      <c r="P660" s="234">
        <v>-16.05</v>
      </c>
    </row>
    <row r="661" spans="1:16" ht="19.5" customHeight="1">
      <c r="A661" s="227" t="s">
        <v>1247</v>
      </c>
      <c r="B661" s="230">
        <v>46051</v>
      </c>
      <c r="C661" s="227" t="s">
        <v>92</v>
      </c>
      <c r="D661" s="227" t="s">
        <v>24</v>
      </c>
      <c r="E661" s="227" t="s">
        <v>52</v>
      </c>
      <c r="F661" s="227" t="s">
        <v>90</v>
      </c>
      <c r="G661" s="227" t="s">
        <v>84</v>
      </c>
      <c r="H661" s="231">
        <v>1</v>
      </c>
      <c r="I661" s="232">
        <v>1800</v>
      </c>
      <c r="J661" s="230">
        <v>46049</v>
      </c>
      <c r="K661" s="227" t="s">
        <v>93</v>
      </c>
      <c r="L661" s="227" t="s">
        <v>94</v>
      </c>
      <c r="M661" s="233">
        <v>0.43</v>
      </c>
      <c r="N661" s="231"/>
      <c r="O661" s="231">
        <v>45</v>
      </c>
      <c r="P661" s="234">
        <v>-153.91999999999999</v>
      </c>
    </row>
    <row r="662" spans="1:16" ht="19.5" customHeight="1">
      <c r="A662" s="227" t="s">
        <v>1247</v>
      </c>
      <c r="B662" s="230">
        <v>46051</v>
      </c>
      <c r="C662" s="227" t="s">
        <v>100</v>
      </c>
      <c r="D662" s="227" t="s">
        <v>101</v>
      </c>
      <c r="E662" s="227" t="s">
        <v>52</v>
      </c>
      <c r="F662" s="227" t="s">
        <v>90</v>
      </c>
      <c r="G662" s="227" t="s">
        <v>84</v>
      </c>
      <c r="H662" s="231">
        <v>1</v>
      </c>
      <c r="I662" s="232">
        <v>1800</v>
      </c>
      <c r="J662" s="230">
        <v>46049</v>
      </c>
      <c r="K662" s="227" t="s">
        <v>93</v>
      </c>
      <c r="L662" s="227" t="s">
        <v>94</v>
      </c>
      <c r="M662" s="233">
        <v>0</v>
      </c>
      <c r="N662" s="231"/>
      <c r="O662" s="231"/>
      <c r="P662" s="234">
        <v>643.80999999999995</v>
      </c>
    </row>
    <row r="663" spans="1:16" ht="19.5" customHeight="1">
      <c r="A663" s="227" t="s">
        <v>1247</v>
      </c>
      <c r="B663" s="230">
        <v>46051</v>
      </c>
      <c r="C663" s="227" t="s">
        <v>100</v>
      </c>
      <c r="D663" s="227" t="s">
        <v>102</v>
      </c>
      <c r="E663" s="227" t="s">
        <v>52</v>
      </c>
      <c r="F663" s="227" t="s">
        <v>90</v>
      </c>
      <c r="G663" s="227" t="s">
        <v>84</v>
      </c>
      <c r="H663" s="231">
        <v>1</v>
      </c>
      <c r="I663" s="232">
        <v>1800</v>
      </c>
      <c r="J663" s="230">
        <v>46049</v>
      </c>
      <c r="K663" s="227" t="s">
        <v>93</v>
      </c>
      <c r="L663" s="227" t="s">
        <v>94</v>
      </c>
      <c r="M663" s="233">
        <v>0</v>
      </c>
      <c r="N663" s="231"/>
      <c r="O663" s="231"/>
      <c r="P663" s="234">
        <v>6.44</v>
      </c>
    </row>
    <row r="664" spans="1:16" ht="19.5" customHeight="1">
      <c r="A664" s="227" t="s">
        <v>1247</v>
      </c>
      <c r="B664" s="230">
        <v>46051</v>
      </c>
      <c r="C664" s="227" t="s">
        <v>100</v>
      </c>
      <c r="D664" s="227" t="s">
        <v>103</v>
      </c>
      <c r="E664" s="227" t="s">
        <v>52</v>
      </c>
      <c r="F664" s="227" t="s">
        <v>90</v>
      </c>
      <c r="G664" s="227" t="s">
        <v>84</v>
      </c>
      <c r="H664" s="231">
        <v>1</v>
      </c>
      <c r="I664" s="232">
        <v>1800</v>
      </c>
      <c r="J664" s="230">
        <v>46049</v>
      </c>
      <c r="K664" s="227" t="s">
        <v>93</v>
      </c>
      <c r="L664" s="227" t="s">
        <v>94</v>
      </c>
      <c r="M664" s="233">
        <v>0</v>
      </c>
      <c r="N664" s="231"/>
      <c r="O664" s="231"/>
      <c r="P664" s="234">
        <v>1149.75</v>
      </c>
    </row>
    <row r="665" spans="1:16" ht="19.5" customHeight="1">
      <c r="A665" s="227" t="s">
        <v>1247</v>
      </c>
      <c r="B665" s="230">
        <v>46051</v>
      </c>
      <c r="C665" s="227" t="s">
        <v>104</v>
      </c>
      <c r="D665" s="227" t="s">
        <v>105</v>
      </c>
      <c r="E665" s="227" t="s">
        <v>52</v>
      </c>
      <c r="F665" s="227" t="s">
        <v>90</v>
      </c>
      <c r="G665" s="227" t="s">
        <v>84</v>
      </c>
      <c r="H665" s="231">
        <v>1</v>
      </c>
      <c r="I665" s="232">
        <v>1800</v>
      </c>
      <c r="J665" s="230">
        <v>46049</v>
      </c>
      <c r="K665" s="227" t="s">
        <v>93</v>
      </c>
      <c r="L665" s="227" t="s">
        <v>94</v>
      </c>
      <c r="M665" s="233">
        <v>0.43</v>
      </c>
      <c r="N665" s="231"/>
      <c r="O665" s="231"/>
      <c r="P665" s="234">
        <v>-774</v>
      </c>
    </row>
    <row r="666" spans="1:16" ht="19.5" customHeight="1">
      <c r="A666" s="227" t="s">
        <v>1247</v>
      </c>
      <c r="B666" s="230">
        <v>46051</v>
      </c>
      <c r="C666" s="227" t="s">
        <v>81</v>
      </c>
      <c r="D666" s="227" t="s">
        <v>95</v>
      </c>
      <c r="E666" s="227" t="s">
        <v>52</v>
      </c>
      <c r="F666" s="227" t="s">
        <v>90</v>
      </c>
      <c r="G666" s="227" t="s">
        <v>84</v>
      </c>
      <c r="H666" s="231">
        <v>1</v>
      </c>
      <c r="I666" s="232">
        <v>1800</v>
      </c>
      <c r="J666" s="230">
        <v>46049</v>
      </c>
      <c r="K666" s="227" t="s">
        <v>93</v>
      </c>
      <c r="L666" s="227" t="s">
        <v>94</v>
      </c>
      <c r="M666" s="233">
        <v>0.43</v>
      </c>
      <c r="N666" s="231"/>
      <c r="O666" s="231"/>
      <c r="P666" s="234">
        <v>-25</v>
      </c>
    </row>
    <row r="667" spans="1:16" ht="19.5" customHeight="1">
      <c r="A667" s="227" t="s">
        <v>1248</v>
      </c>
      <c r="B667" s="230">
        <v>46051</v>
      </c>
      <c r="C667" s="227" t="s">
        <v>92</v>
      </c>
      <c r="D667" s="227" t="s">
        <v>24</v>
      </c>
      <c r="E667" s="227" t="s">
        <v>43</v>
      </c>
      <c r="F667" s="227" t="s">
        <v>125</v>
      </c>
      <c r="G667" s="227" t="s">
        <v>84</v>
      </c>
      <c r="H667" s="231">
        <v>1</v>
      </c>
      <c r="I667" s="232">
        <v>1750</v>
      </c>
      <c r="J667" s="230">
        <v>46050</v>
      </c>
      <c r="K667" s="227" t="s">
        <v>93</v>
      </c>
      <c r="L667" s="227" t="s">
        <v>94</v>
      </c>
      <c r="M667" s="233">
        <v>0.43</v>
      </c>
      <c r="N667" s="231"/>
      <c r="O667" s="231">
        <v>44</v>
      </c>
      <c r="P667" s="234">
        <v>-131.37</v>
      </c>
    </row>
    <row r="668" spans="1:16" ht="19.5" customHeight="1">
      <c r="A668" s="227" t="s">
        <v>1248</v>
      </c>
      <c r="B668" s="230">
        <v>46051</v>
      </c>
      <c r="C668" s="227" t="s">
        <v>100</v>
      </c>
      <c r="D668" s="227" t="s">
        <v>101</v>
      </c>
      <c r="E668" s="227" t="s">
        <v>43</v>
      </c>
      <c r="F668" s="227" t="s">
        <v>125</v>
      </c>
      <c r="G668" s="227" t="s">
        <v>84</v>
      </c>
      <c r="H668" s="231">
        <v>1</v>
      </c>
      <c r="I668" s="232">
        <v>1750</v>
      </c>
      <c r="J668" s="230">
        <v>46050</v>
      </c>
      <c r="K668" s="227" t="s">
        <v>93</v>
      </c>
      <c r="L668" s="227" t="s">
        <v>94</v>
      </c>
      <c r="M668" s="233">
        <v>0</v>
      </c>
      <c r="N668" s="231"/>
      <c r="O668" s="231"/>
      <c r="P668" s="234">
        <v>608.94000000000005</v>
      </c>
    </row>
    <row r="669" spans="1:16" ht="19.5" customHeight="1">
      <c r="A669" s="227" t="s">
        <v>1248</v>
      </c>
      <c r="B669" s="230">
        <v>46051</v>
      </c>
      <c r="C669" s="227" t="s">
        <v>100</v>
      </c>
      <c r="D669" s="227" t="s">
        <v>102</v>
      </c>
      <c r="E669" s="227" t="s">
        <v>43</v>
      </c>
      <c r="F669" s="227" t="s">
        <v>125</v>
      </c>
      <c r="G669" s="227" t="s">
        <v>84</v>
      </c>
      <c r="H669" s="231">
        <v>1</v>
      </c>
      <c r="I669" s="232">
        <v>1750</v>
      </c>
      <c r="J669" s="230">
        <v>46050</v>
      </c>
      <c r="K669" s="227" t="s">
        <v>93</v>
      </c>
      <c r="L669" s="227" t="s">
        <v>94</v>
      </c>
      <c r="M669" s="233">
        <v>0</v>
      </c>
      <c r="N669" s="231"/>
      <c r="O669" s="231"/>
      <c r="P669" s="234">
        <v>6.09</v>
      </c>
    </row>
    <row r="670" spans="1:16" ht="19.5" customHeight="1">
      <c r="A670" s="227" t="s">
        <v>1248</v>
      </c>
      <c r="B670" s="230">
        <v>46051</v>
      </c>
      <c r="C670" s="227" t="s">
        <v>100</v>
      </c>
      <c r="D670" s="227" t="s">
        <v>103</v>
      </c>
      <c r="E670" s="227" t="s">
        <v>43</v>
      </c>
      <c r="F670" s="227" t="s">
        <v>125</v>
      </c>
      <c r="G670" s="227" t="s">
        <v>84</v>
      </c>
      <c r="H670" s="231">
        <v>1</v>
      </c>
      <c r="I670" s="232">
        <v>1750</v>
      </c>
      <c r="J670" s="230">
        <v>46050</v>
      </c>
      <c r="K670" s="227" t="s">
        <v>93</v>
      </c>
      <c r="L670" s="227" t="s">
        <v>94</v>
      </c>
      <c r="M670" s="233">
        <v>0</v>
      </c>
      <c r="N670" s="231"/>
      <c r="O670" s="231"/>
      <c r="P670" s="234">
        <v>1134.97</v>
      </c>
    </row>
    <row r="671" spans="1:16" ht="19.5" customHeight="1">
      <c r="A671" s="227" t="s">
        <v>1248</v>
      </c>
      <c r="B671" s="230">
        <v>46051</v>
      </c>
      <c r="C671" s="227" t="s">
        <v>104</v>
      </c>
      <c r="D671" s="227" t="s">
        <v>105</v>
      </c>
      <c r="E671" s="227" t="s">
        <v>43</v>
      </c>
      <c r="F671" s="227" t="s">
        <v>125</v>
      </c>
      <c r="G671" s="227" t="s">
        <v>84</v>
      </c>
      <c r="H671" s="231">
        <v>1</v>
      </c>
      <c r="I671" s="232">
        <v>1750</v>
      </c>
      <c r="J671" s="230">
        <v>46050</v>
      </c>
      <c r="K671" s="227" t="s">
        <v>93</v>
      </c>
      <c r="L671" s="227" t="s">
        <v>94</v>
      </c>
      <c r="M671" s="233">
        <v>0.43</v>
      </c>
      <c r="N671" s="231"/>
      <c r="O671" s="231"/>
      <c r="P671" s="234">
        <v>-752.5</v>
      </c>
    </row>
    <row r="672" spans="1:16" ht="19.5" customHeight="1">
      <c r="A672" s="227" t="s">
        <v>1248</v>
      </c>
      <c r="B672" s="230">
        <v>46051</v>
      </c>
      <c r="C672" s="227" t="s">
        <v>81</v>
      </c>
      <c r="D672" s="227" t="s">
        <v>95</v>
      </c>
      <c r="E672" s="227" t="s">
        <v>43</v>
      </c>
      <c r="F672" s="227" t="s">
        <v>125</v>
      </c>
      <c r="G672" s="227" t="s">
        <v>84</v>
      </c>
      <c r="H672" s="231">
        <v>1</v>
      </c>
      <c r="I672" s="232">
        <v>1750</v>
      </c>
      <c r="J672" s="230">
        <v>46050</v>
      </c>
      <c r="K672" s="227" t="s">
        <v>93</v>
      </c>
      <c r="L672" s="227" t="s">
        <v>94</v>
      </c>
      <c r="M672" s="233">
        <v>0.43</v>
      </c>
      <c r="N672" s="231"/>
      <c r="O672" s="231"/>
      <c r="P672" s="234">
        <v>-11.17</v>
      </c>
    </row>
    <row r="673" spans="1:16" ht="19.5" customHeight="1">
      <c r="A673" s="227" t="s">
        <v>1249</v>
      </c>
      <c r="B673" s="230">
        <v>46051</v>
      </c>
      <c r="C673" s="227" t="s">
        <v>92</v>
      </c>
      <c r="D673" s="227" t="s">
        <v>24</v>
      </c>
      <c r="E673" s="227" t="s">
        <v>52</v>
      </c>
      <c r="F673" s="227" t="s">
        <v>90</v>
      </c>
      <c r="G673" s="227" t="s">
        <v>84</v>
      </c>
      <c r="H673" s="231">
        <v>1</v>
      </c>
      <c r="I673" s="232">
        <v>1712</v>
      </c>
      <c r="J673" s="230">
        <v>46050</v>
      </c>
      <c r="K673" s="227" t="s">
        <v>93</v>
      </c>
      <c r="L673" s="227" t="s">
        <v>94</v>
      </c>
      <c r="M673" s="233">
        <v>0.43</v>
      </c>
      <c r="N673" s="231"/>
      <c r="O673" s="231">
        <v>44</v>
      </c>
      <c r="P673" s="234">
        <v>-146.74</v>
      </c>
    </row>
    <row r="674" spans="1:16" ht="19.5" customHeight="1">
      <c r="A674" s="227" t="s">
        <v>1249</v>
      </c>
      <c r="B674" s="230">
        <v>46051</v>
      </c>
      <c r="C674" s="227" t="s">
        <v>100</v>
      </c>
      <c r="D674" s="227" t="s">
        <v>101</v>
      </c>
      <c r="E674" s="227" t="s">
        <v>52</v>
      </c>
      <c r="F674" s="227" t="s">
        <v>90</v>
      </c>
      <c r="G674" s="227" t="s">
        <v>84</v>
      </c>
      <c r="H674" s="231">
        <v>1</v>
      </c>
      <c r="I674" s="232">
        <v>1712</v>
      </c>
      <c r="J674" s="230">
        <v>46050</v>
      </c>
      <c r="K674" s="227" t="s">
        <v>93</v>
      </c>
      <c r="L674" s="227" t="s">
        <v>94</v>
      </c>
      <c r="M674" s="233">
        <v>0</v>
      </c>
      <c r="N674" s="231"/>
      <c r="O674" s="231"/>
      <c r="P674" s="234">
        <v>611.79999999999995</v>
      </c>
    </row>
    <row r="675" spans="1:16" ht="19.5" customHeight="1">
      <c r="A675" s="227" t="s">
        <v>1249</v>
      </c>
      <c r="B675" s="230">
        <v>46051</v>
      </c>
      <c r="C675" s="227" t="s">
        <v>100</v>
      </c>
      <c r="D675" s="227" t="s">
        <v>102</v>
      </c>
      <c r="E675" s="227" t="s">
        <v>52</v>
      </c>
      <c r="F675" s="227" t="s">
        <v>90</v>
      </c>
      <c r="G675" s="227" t="s">
        <v>84</v>
      </c>
      <c r="H675" s="231">
        <v>1</v>
      </c>
      <c r="I675" s="232">
        <v>1712</v>
      </c>
      <c r="J675" s="230">
        <v>46050</v>
      </c>
      <c r="K675" s="227" t="s">
        <v>93</v>
      </c>
      <c r="L675" s="227" t="s">
        <v>94</v>
      </c>
      <c r="M675" s="233">
        <v>0</v>
      </c>
      <c r="N675" s="231"/>
      <c r="O675" s="231"/>
      <c r="P675" s="234">
        <v>6.12</v>
      </c>
    </row>
    <row r="676" spans="1:16" ht="19.5" customHeight="1">
      <c r="A676" s="227" t="s">
        <v>1249</v>
      </c>
      <c r="B676" s="230">
        <v>46051</v>
      </c>
      <c r="C676" s="227" t="s">
        <v>100</v>
      </c>
      <c r="D676" s="227" t="s">
        <v>103</v>
      </c>
      <c r="E676" s="227" t="s">
        <v>52</v>
      </c>
      <c r="F676" s="227" t="s">
        <v>90</v>
      </c>
      <c r="G676" s="227" t="s">
        <v>84</v>
      </c>
      <c r="H676" s="231">
        <v>1</v>
      </c>
      <c r="I676" s="232">
        <v>1712</v>
      </c>
      <c r="J676" s="230">
        <v>46050</v>
      </c>
      <c r="K676" s="227" t="s">
        <v>93</v>
      </c>
      <c r="L676" s="227" t="s">
        <v>94</v>
      </c>
      <c r="M676" s="233">
        <v>0</v>
      </c>
      <c r="N676" s="231"/>
      <c r="O676" s="231"/>
      <c r="P676" s="234">
        <v>1094.08</v>
      </c>
    </row>
    <row r="677" spans="1:16" ht="19.5" customHeight="1">
      <c r="A677" s="227" t="s">
        <v>1249</v>
      </c>
      <c r="B677" s="230">
        <v>46051</v>
      </c>
      <c r="C677" s="227" t="s">
        <v>104</v>
      </c>
      <c r="D677" s="227" t="s">
        <v>105</v>
      </c>
      <c r="E677" s="227" t="s">
        <v>52</v>
      </c>
      <c r="F677" s="227" t="s">
        <v>90</v>
      </c>
      <c r="G677" s="227" t="s">
        <v>84</v>
      </c>
      <c r="H677" s="231">
        <v>1</v>
      </c>
      <c r="I677" s="232">
        <v>1712</v>
      </c>
      <c r="J677" s="230">
        <v>46050</v>
      </c>
      <c r="K677" s="227" t="s">
        <v>93</v>
      </c>
      <c r="L677" s="227" t="s">
        <v>94</v>
      </c>
      <c r="M677" s="233">
        <v>0.43</v>
      </c>
      <c r="N677" s="231"/>
      <c r="O677" s="231"/>
      <c r="P677" s="234">
        <v>-736.16</v>
      </c>
    </row>
    <row r="678" spans="1:16" ht="19.5" customHeight="1">
      <c r="A678" s="227" t="s">
        <v>1249</v>
      </c>
      <c r="B678" s="230">
        <v>46051</v>
      </c>
      <c r="C678" s="227" t="s">
        <v>81</v>
      </c>
      <c r="D678" s="227" t="s">
        <v>95</v>
      </c>
      <c r="E678" s="227" t="s">
        <v>52</v>
      </c>
      <c r="F678" s="227" t="s">
        <v>90</v>
      </c>
      <c r="G678" s="227" t="s">
        <v>84</v>
      </c>
      <c r="H678" s="231">
        <v>1</v>
      </c>
      <c r="I678" s="232">
        <v>1712</v>
      </c>
      <c r="J678" s="230">
        <v>46050</v>
      </c>
      <c r="K678" s="227" t="s">
        <v>93</v>
      </c>
      <c r="L678" s="227" t="s">
        <v>94</v>
      </c>
      <c r="M678" s="233">
        <v>0.43</v>
      </c>
      <c r="N678" s="231"/>
      <c r="O678" s="231"/>
      <c r="P678" s="234">
        <v>-12.92</v>
      </c>
    </row>
    <row r="679" spans="1:16" ht="19.5" customHeight="1">
      <c r="A679" s="227" t="s">
        <v>1246</v>
      </c>
      <c r="B679" s="230">
        <v>46051</v>
      </c>
      <c r="C679" s="227" t="s">
        <v>81</v>
      </c>
      <c r="D679" s="227" t="s">
        <v>82</v>
      </c>
      <c r="E679" s="227" t="s">
        <v>52</v>
      </c>
      <c r="F679" s="227" t="s">
        <v>90</v>
      </c>
      <c r="G679" s="227" t="s">
        <v>84</v>
      </c>
      <c r="H679" s="231">
        <v>1</v>
      </c>
      <c r="I679" s="232">
        <v>0</v>
      </c>
      <c r="J679" s="230">
        <v>46050</v>
      </c>
      <c r="K679" s="227" t="s">
        <v>85</v>
      </c>
      <c r="L679" s="227" t="s">
        <v>85</v>
      </c>
      <c r="M679" s="233">
        <v>0</v>
      </c>
      <c r="N679" s="231"/>
      <c r="O679" s="231"/>
      <c r="P679" s="234">
        <v>-3.73</v>
      </c>
    </row>
    <row r="680" spans="1:16" ht="19.5" customHeight="1">
      <c r="A680" s="227" t="s">
        <v>1248</v>
      </c>
      <c r="B680" s="230">
        <v>46051</v>
      </c>
      <c r="C680" s="227" t="s">
        <v>81</v>
      </c>
      <c r="D680" s="227" t="s">
        <v>82</v>
      </c>
      <c r="E680" s="227" t="s">
        <v>43</v>
      </c>
      <c r="F680" s="227" t="s">
        <v>125</v>
      </c>
      <c r="G680" s="227" t="s">
        <v>84</v>
      </c>
      <c r="H680" s="231">
        <v>1</v>
      </c>
      <c r="I680" s="232">
        <v>0</v>
      </c>
      <c r="J680" s="230">
        <v>46050</v>
      </c>
      <c r="K680" s="227" t="s">
        <v>85</v>
      </c>
      <c r="L680" s="227" t="s">
        <v>85</v>
      </c>
      <c r="M680" s="233">
        <v>0</v>
      </c>
      <c r="N680" s="231"/>
      <c r="O680" s="231"/>
      <c r="P680" s="234">
        <v>-11.57</v>
      </c>
    </row>
    <row r="681" spans="1:16" ht="19.5" customHeight="1">
      <c r="A681" s="227" t="s">
        <v>1250</v>
      </c>
      <c r="B681" s="230">
        <v>46051</v>
      </c>
      <c r="C681" s="227" t="s">
        <v>81</v>
      </c>
      <c r="D681" s="227" t="s">
        <v>82</v>
      </c>
      <c r="E681" s="227" t="s">
        <v>52</v>
      </c>
      <c r="F681" s="227" t="s">
        <v>90</v>
      </c>
      <c r="G681" s="227" t="s">
        <v>84</v>
      </c>
      <c r="H681" s="231">
        <v>1</v>
      </c>
      <c r="I681" s="232">
        <v>0</v>
      </c>
      <c r="J681" s="230">
        <v>46051</v>
      </c>
      <c r="K681" s="227" t="s">
        <v>85</v>
      </c>
      <c r="L681" s="227" t="s">
        <v>85</v>
      </c>
      <c r="M681" s="233">
        <v>0</v>
      </c>
      <c r="N681" s="231"/>
      <c r="O681" s="231"/>
      <c r="P681" s="234">
        <v>-11.92</v>
      </c>
    </row>
    <row r="682" spans="1:16" ht="19.5" customHeight="1">
      <c r="A682" s="227" t="s">
        <v>1251</v>
      </c>
      <c r="B682" s="230">
        <v>46051</v>
      </c>
      <c r="C682" s="227" t="s">
        <v>81</v>
      </c>
      <c r="D682" s="227" t="s">
        <v>82</v>
      </c>
      <c r="E682" s="227" t="s">
        <v>43</v>
      </c>
      <c r="F682" s="227" t="s">
        <v>125</v>
      </c>
      <c r="G682" s="227" t="s">
        <v>84</v>
      </c>
      <c r="H682" s="231">
        <v>1</v>
      </c>
      <c r="I682" s="232">
        <v>0</v>
      </c>
      <c r="J682" s="230">
        <v>46051</v>
      </c>
      <c r="K682" s="227" t="s">
        <v>85</v>
      </c>
      <c r="L682" s="227" t="s">
        <v>85</v>
      </c>
      <c r="M682" s="233">
        <v>0</v>
      </c>
      <c r="N682" s="231"/>
      <c r="O682" s="231"/>
      <c r="P682" s="234">
        <v>-11.58</v>
      </c>
    </row>
    <row r="683" spans="1:16" ht="19.5" customHeight="1">
      <c r="A683" s="227" t="s">
        <v>1252</v>
      </c>
      <c r="B683" s="230">
        <v>46051</v>
      </c>
      <c r="C683" s="227" t="s">
        <v>92</v>
      </c>
      <c r="D683" s="227" t="s">
        <v>24</v>
      </c>
      <c r="E683" s="227" t="s">
        <v>52</v>
      </c>
      <c r="F683" s="227" t="s">
        <v>90</v>
      </c>
      <c r="G683" s="227" t="s">
        <v>84</v>
      </c>
      <c r="H683" s="231">
        <v>1</v>
      </c>
      <c r="I683" s="232">
        <v>1793</v>
      </c>
      <c r="J683" s="230">
        <v>46047</v>
      </c>
      <c r="K683" s="227" t="s">
        <v>93</v>
      </c>
      <c r="L683" s="227" t="s">
        <v>94</v>
      </c>
      <c r="M683" s="233">
        <v>0.43</v>
      </c>
      <c r="N683" s="231"/>
      <c r="O683" s="231">
        <v>41</v>
      </c>
      <c r="P683" s="234">
        <v>-134.65</v>
      </c>
    </row>
    <row r="684" spans="1:16" ht="19.5" customHeight="1">
      <c r="A684" s="227" t="s">
        <v>1252</v>
      </c>
      <c r="B684" s="230">
        <v>46051</v>
      </c>
      <c r="C684" s="227" t="s">
        <v>100</v>
      </c>
      <c r="D684" s="227" t="s">
        <v>101</v>
      </c>
      <c r="E684" s="227" t="s">
        <v>52</v>
      </c>
      <c r="F684" s="227" t="s">
        <v>90</v>
      </c>
      <c r="G684" s="227" t="s">
        <v>84</v>
      </c>
      <c r="H684" s="231">
        <v>1</v>
      </c>
      <c r="I684" s="232">
        <v>1793</v>
      </c>
      <c r="J684" s="230">
        <v>46047</v>
      </c>
      <c r="K684" s="227" t="s">
        <v>93</v>
      </c>
      <c r="L684" s="227" t="s">
        <v>94</v>
      </c>
      <c r="M684" s="233">
        <v>0</v>
      </c>
      <c r="N684" s="231"/>
      <c r="O684" s="231"/>
      <c r="P684" s="234">
        <v>688.21</v>
      </c>
    </row>
    <row r="685" spans="1:16" ht="19.5" customHeight="1">
      <c r="A685" s="227" t="s">
        <v>1252</v>
      </c>
      <c r="B685" s="230">
        <v>46051</v>
      </c>
      <c r="C685" s="227" t="s">
        <v>100</v>
      </c>
      <c r="D685" s="227" t="s">
        <v>102</v>
      </c>
      <c r="E685" s="227" t="s">
        <v>52</v>
      </c>
      <c r="F685" s="227" t="s">
        <v>90</v>
      </c>
      <c r="G685" s="227" t="s">
        <v>84</v>
      </c>
      <c r="H685" s="231">
        <v>1</v>
      </c>
      <c r="I685" s="232">
        <v>1793</v>
      </c>
      <c r="J685" s="230">
        <v>46047</v>
      </c>
      <c r="K685" s="227" t="s">
        <v>93</v>
      </c>
      <c r="L685" s="227" t="s">
        <v>94</v>
      </c>
      <c r="M685" s="233">
        <v>0</v>
      </c>
      <c r="N685" s="231"/>
      <c r="O685" s="231"/>
      <c r="P685" s="234">
        <v>6.88</v>
      </c>
    </row>
    <row r="686" spans="1:16" ht="19.5" customHeight="1">
      <c r="A686" s="227" t="s">
        <v>1252</v>
      </c>
      <c r="B686" s="230">
        <v>46051</v>
      </c>
      <c r="C686" s="227" t="s">
        <v>100</v>
      </c>
      <c r="D686" s="227" t="s">
        <v>103</v>
      </c>
      <c r="E686" s="227" t="s">
        <v>52</v>
      </c>
      <c r="F686" s="227" t="s">
        <v>90</v>
      </c>
      <c r="G686" s="227" t="s">
        <v>84</v>
      </c>
      <c r="H686" s="231">
        <v>1</v>
      </c>
      <c r="I686" s="232">
        <v>1793</v>
      </c>
      <c r="J686" s="230">
        <v>46047</v>
      </c>
      <c r="K686" s="227" t="s">
        <v>93</v>
      </c>
      <c r="L686" s="227" t="s">
        <v>94</v>
      </c>
      <c r="M686" s="233">
        <v>0</v>
      </c>
      <c r="N686" s="231"/>
      <c r="O686" s="231"/>
      <c r="P686" s="234">
        <v>1097.9100000000001</v>
      </c>
    </row>
    <row r="687" spans="1:16" ht="19.5" customHeight="1">
      <c r="A687" s="227" t="s">
        <v>1252</v>
      </c>
      <c r="B687" s="230">
        <v>46051</v>
      </c>
      <c r="C687" s="227" t="s">
        <v>104</v>
      </c>
      <c r="D687" s="227" t="s">
        <v>105</v>
      </c>
      <c r="E687" s="227" t="s">
        <v>52</v>
      </c>
      <c r="F687" s="227" t="s">
        <v>90</v>
      </c>
      <c r="G687" s="227" t="s">
        <v>84</v>
      </c>
      <c r="H687" s="231">
        <v>1</v>
      </c>
      <c r="I687" s="232">
        <v>1793</v>
      </c>
      <c r="J687" s="230">
        <v>46047</v>
      </c>
      <c r="K687" s="227" t="s">
        <v>93</v>
      </c>
      <c r="L687" s="227" t="s">
        <v>94</v>
      </c>
      <c r="M687" s="233">
        <v>0.43</v>
      </c>
      <c r="N687" s="231"/>
      <c r="O687" s="231"/>
      <c r="P687" s="234">
        <v>-770.99</v>
      </c>
    </row>
    <row r="688" spans="1:16" ht="19.5" customHeight="1">
      <c r="A688" s="227" t="s">
        <v>1252</v>
      </c>
      <c r="B688" s="230">
        <v>46051</v>
      </c>
      <c r="C688" s="227" t="s">
        <v>81</v>
      </c>
      <c r="D688" s="227" t="s">
        <v>95</v>
      </c>
      <c r="E688" s="227" t="s">
        <v>52</v>
      </c>
      <c r="F688" s="227" t="s">
        <v>90</v>
      </c>
      <c r="G688" s="227" t="s">
        <v>84</v>
      </c>
      <c r="H688" s="231">
        <v>1</v>
      </c>
      <c r="I688" s="232">
        <v>1793</v>
      </c>
      <c r="J688" s="230">
        <v>46047</v>
      </c>
      <c r="K688" s="227" t="s">
        <v>93</v>
      </c>
      <c r="L688" s="227" t="s">
        <v>94</v>
      </c>
      <c r="M688" s="233">
        <v>0.43</v>
      </c>
      <c r="N688" s="231"/>
      <c r="O688" s="231"/>
      <c r="P688" s="234">
        <v>-11.92</v>
      </c>
    </row>
    <row r="689" spans="1:16" ht="19.5" customHeight="1">
      <c r="A689" s="227" t="s">
        <v>1252</v>
      </c>
      <c r="B689" s="230">
        <v>46051</v>
      </c>
      <c r="C689" s="227" t="s">
        <v>81</v>
      </c>
      <c r="D689" s="227" t="s">
        <v>82</v>
      </c>
      <c r="E689" s="227" t="s">
        <v>52</v>
      </c>
      <c r="F689" s="227" t="s">
        <v>90</v>
      </c>
      <c r="G689" s="227" t="s">
        <v>84</v>
      </c>
      <c r="H689" s="231">
        <v>1</v>
      </c>
      <c r="I689" s="232">
        <v>0</v>
      </c>
      <c r="J689" s="230">
        <v>46047</v>
      </c>
      <c r="K689" s="227" t="s">
        <v>85</v>
      </c>
      <c r="L689" s="227" t="s">
        <v>85</v>
      </c>
      <c r="M689" s="233">
        <v>0</v>
      </c>
      <c r="N689" s="231"/>
      <c r="O689" s="231"/>
      <c r="P689" s="234">
        <v>-13.08</v>
      </c>
    </row>
    <row r="690" spans="1:16" ht="19.5" customHeight="1">
      <c r="A690" s="227" t="s">
        <v>1253</v>
      </c>
      <c r="B690" s="230">
        <v>46051</v>
      </c>
      <c r="C690" s="227" t="s">
        <v>92</v>
      </c>
      <c r="D690" s="227" t="s">
        <v>24</v>
      </c>
      <c r="E690" s="227" t="s">
        <v>41</v>
      </c>
      <c r="F690" s="227" t="s">
        <v>83</v>
      </c>
      <c r="G690" s="227" t="s">
        <v>84</v>
      </c>
      <c r="H690" s="231">
        <v>1</v>
      </c>
      <c r="I690" s="232">
        <v>0</v>
      </c>
      <c r="J690" s="230">
        <v>46046</v>
      </c>
      <c r="K690" s="227" t="s">
        <v>93</v>
      </c>
      <c r="L690" s="227" t="s">
        <v>94</v>
      </c>
      <c r="M690" s="233">
        <v>0</v>
      </c>
      <c r="N690" s="231"/>
      <c r="O690" s="231">
        <v>40</v>
      </c>
      <c r="P690" s="234">
        <v>-46</v>
      </c>
    </row>
    <row r="691" spans="1:16" ht="19.5" customHeight="1">
      <c r="A691" s="227" t="s">
        <v>1253</v>
      </c>
      <c r="B691" s="230">
        <v>46051</v>
      </c>
      <c r="C691" s="227" t="s">
        <v>81</v>
      </c>
      <c r="D691" s="227" t="s">
        <v>95</v>
      </c>
      <c r="E691" s="227" t="s">
        <v>41</v>
      </c>
      <c r="F691" s="227" t="s">
        <v>83</v>
      </c>
      <c r="G691" s="227" t="s">
        <v>84</v>
      </c>
      <c r="H691" s="231">
        <v>1</v>
      </c>
      <c r="I691" s="232">
        <v>0</v>
      </c>
      <c r="J691" s="230">
        <v>46046</v>
      </c>
      <c r="K691" s="227" t="s">
        <v>93</v>
      </c>
      <c r="L691" s="227" t="s">
        <v>94</v>
      </c>
      <c r="M691" s="233">
        <v>0</v>
      </c>
      <c r="N691" s="231"/>
      <c r="O691" s="231"/>
      <c r="P691" s="234">
        <v>-11.44</v>
      </c>
    </row>
    <row r="692" spans="1:16" ht="19.5" customHeight="1">
      <c r="A692" s="227" t="s">
        <v>1253</v>
      </c>
      <c r="B692" s="230">
        <v>46051</v>
      </c>
      <c r="C692" s="227" t="s">
        <v>92</v>
      </c>
      <c r="D692" s="227" t="s">
        <v>96</v>
      </c>
      <c r="E692" s="227" t="s">
        <v>41</v>
      </c>
      <c r="F692" s="227" t="s">
        <v>83</v>
      </c>
      <c r="G692" s="227" t="s">
        <v>84</v>
      </c>
      <c r="H692" s="231">
        <v>1</v>
      </c>
      <c r="I692" s="232">
        <v>0</v>
      </c>
      <c r="J692" s="230">
        <v>46046</v>
      </c>
      <c r="K692" s="227" t="s">
        <v>93</v>
      </c>
      <c r="L692" s="227" t="s">
        <v>94</v>
      </c>
      <c r="M692" s="233">
        <v>0</v>
      </c>
      <c r="N692" s="231"/>
      <c r="O692" s="231"/>
      <c r="P692" s="234">
        <v>0</v>
      </c>
    </row>
    <row r="693" spans="1:16" ht="19.5" customHeight="1">
      <c r="A693" s="227" t="s">
        <v>1253</v>
      </c>
      <c r="B693" s="230">
        <v>46051</v>
      </c>
      <c r="C693" s="227" t="s">
        <v>92</v>
      </c>
      <c r="D693" s="227" t="s">
        <v>97</v>
      </c>
      <c r="E693" s="227" t="s">
        <v>41</v>
      </c>
      <c r="F693" s="227" t="s">
        <v>83</v>
      </c>
      <c r="G693" s="227" t="s">
        <v>84</v>
      </c>
      <c r="H693" s="231">
        <v>1</v>
      </c>
      <c r="I693" s="232">
        <v>0</v>
      </c>
      <c r="J693" s="230">
        <v>46046</v>
      </c>
      <c r="K693" s="227" t="s">
        <v>93</v>
      </c>
      <c r="L693" s="227" t="s">
        <v>94</v>
      </c>
      <c r="M693" s="233">
        <v>0</v>
      </c>
      <c r="N693" s="231"/>
      <c r="O693" s="231"/>
      <c r="P693" s="234">
        <v>-46</v>
      </c>
    </row>
    <row r="694" spans="1:16" ht="19.5" customHeight="1">
      <c r="A694" s="227" t="s">
        <v>1253</v>
      </c>
      <c r="B694" s="230">
        <v>46051</v>
      </c>
      <c r="C694" s="227" t="s">
        <v>81</v>
      </c>
      <c r="D694" s="227" t="s">
        <v>98</v>
      </c>
      <c r="E694" s="227" t="s">
        <v>41</v>
      </c>
      <c r="F694" s="227" t="s">
        <v>83</v>
      </c>
      <c r="G694" s="227" t="s">
        <v>84</v>
      </c>
      <c r="H694" s="231">
        <v>1</v>
      </c>
      <c r="I694" s="232">
        <v>0</v>
      </c>
      <c r="J694" s="230">
        <v>46046</v>
      </c>
      <c r="K694" s="227" t="s">
        <v>93</v>
      </c>
      <c r="L694" s="227" t="s">
        <v>94</v>
      </c>
      <c r="M694" s="233">
        <v>0</v>
      </c>
      <c r="N694" s="231"/>
      <c r="O694" s="231"/>
      <c r="P694" s="234">
        <v>-15</v>
      </c>
    </row>
    <row r="695" spans="1:16" ht="19.5" customHeight="1">
      <c r="A695" s="227" t="s">
        <v>1254</v>
      </c>
      <c r="B695" s="230">
        <v>46051</v>
      </c>
      <c r="C695" s="227" t="s">
        <v>92</v>
      </c>
      <c r="D695" s="227" t="s">
        <v>24</v>
      </c>
      <c r="E695" s="227" t="s">
        <v>52</v>
      </c>
      <c r="F695" s="227" t="s">
        <v>90</v>
      </c>
      <c r="G695" s="227" t="s">
        <v>84</v>
      </c>
      <c r="H695" s="231">
        <v>1</v>
      </c>
      <c r="I695" s="232">
        <v>1800</v>
      </c>
      <c r="J695" s="230">
        <v>46050</v>
      </c>
      <c r="K695" s="227" t="s">
        <v>93</v>
      </c>
      <c r="L695" s="227" t="s">
        <v>94</v>
      </c>
      <c r="M695" s="233">
        <v>0.43</v>
      </c>
      <c r="N695" s="231"/>
      <c r="O695" s="231">
        <v>44</v>
      </c>
      <c r="P695" s="234">
        <v>-147.97999999999999</v>
      </c>
    </row>
    <row r="696" spans="1:16" ht="19.5" customHeight="1">
      <c r="A696" s="227" t="s">
        <v>1254</v>
      </c>
      <c r="B696" s="230">
        <v>46051</v>
      </c>
      <c r="C696" s="227" t="s">
        <v>100</v>
      </c>
      <c r="D696" s="227" t="s">
        <v>101</v>
      </c>
      <c r="E696" s="227" t="s">
        <v>52</v>
      </c>
      <c r="F696" s="227" t="s">
        <v>90</v>
      </c>
      <c r="G696" s="227" t="s">
        <v>84</v>
      </c>
      <c r="H696" s="231">
        <v>1</v>
      </c>
      <c r="I696" s="232">
        <v>1800</v>
      </c>
      <c r="J696" s="230">
        <v>46050</v>
      </c>
      <c r="K696" s="227" t="s">
        <v>93</v>
      </c>
      <c r="L696" s="227" t="s">
        <v>94</v>
      </c>
      <c r="M696" s="233">
        <v>0</v>
      </c>
      <c r="N696" s="231"/>
      <c r="O696" s="231"/>
      <c r="P696" s="234">
        <v>626.42999999999995</v>
      </c>
    </row>
    <row r="697" spans="1:16" ht="19.5" customHeight="1">
      <c r="A697" s="227" t="s">
        <v>1254</v>
      </c>
      <c r="B697" s="230">
        <v>46051</v>
      </c>
      <c r="C697" s="227" t="s">
        <v>100</v>
      </c>
      <c r="D697" s="227" t="s">
        <v>102</v>
      </c>
      <c r="E697" s="227" t="s">
        <v>52</v>
      </c>
      <c r="F697" s="227" t="s">
        <v>90</v>
      </c>
      <c r="G697" s="227" t="s">
        <v>84</v>
      </c>
      <c r="H697" s="231">
        <v>1</v>
      </c>
      <c r="I697" s="232">
        <v>1800</v>
      </c>
      <c r="J697" s="230">
        <v>46050</v>
      </c>
      <c r="K697" s="227" t="s">
        <v>93</v>
      </c>
      <c r="L697" s="227" t="s">
        <v>94</v>
      </c>
      <c r="M697" s="233">
        <v>0</v>
      </c>
      <c r="N697" s="231"/>
      <c r="O697" s="231"/>
      <c r="P697" s="234">
        <v>6.26</v>
      </c>
    </row>
    <row r="698" spans="1:16" ht="19.5" customHeight="1">
      <c r="A698" s="227" t="s">
        <v>1254</v>
      </c>
      <c r="B698" s="230">
        <v>46051</v>
      </c>
      <c r="C698" s="227" t="s">
        <v>100</v>
      </c>
      <c r="D698" s="227" t="s">
        <v>103</v>
      </c>
      <c r="E698" s="227" t="s">
        <v>52</v>
      </c>
      <c r="F698" s="227" t="s">
        <v>90</v>
      </c>
      <c r="G698" s="227" t="s">
        <v>84</v>
      </c>
      <c r="H698" s="231">
        <v>1</v>
      </c>
      <c r="I698" s="232">
        <v>1800</v>
      </c>
      <c r="J698" s="230">
        <v>46050</v>
      </c>
      <c r="K698" s="227" t="s">
        <v>93</v>
      </c>
      <c r="L698" s="227" t="s">
        <v>94</v>
      </c>
      <c r="M698" s="233">
        <v>0</v>
      </c>
      <c r="N698" s="231"/>
      <c r="O698" s="231"/>
      <c r="P698" s="234">
        <v>1167.31</v>
      </c>
    </row>
    <row r="699" spans="1:16" ht="19.5" customHeight="1">
      <c r="A699" s="227" t="s">
        <v>1254</v>
      </c>
      <c r="B699" s="230">
        <v>46051</v>
      </c>
      <c r="C699" s="227" t="s">
        <v>104</v>
      </c>
      <c r="D699" s="227" t="s">
        <v>105</v>
      </c>
      <c r="E699" s="227" t="s">
        <v>52</v>
      </c>
      <c r="F699" s="227" t="s">
        <v>90</v>
      </c>
      <c r="G699" s="227" t="s">
        <v>84</v>
      </c>
      <c r="H699" s="231">
        <v>1</v>
      </c>
      <c r="I699" s="232">
        <v>1800</v>
      </c>
      <c r="J699" s="230">
        <v>46050</v>
      </c>
      <c r="K699" s="227" t="s">
        <v>93</v>
      </c>
      <c r="L699" s="227" t="s">
        <v>94</v>
      </c>
      <c r="M699" s="233">
        <v>0.43</v>
      </c>
      <c r="N699" s="231"/>
      <c r="O699" s="231"/>
      <c r="P699" s="234">
        <v>-774</v>
      </c>
    </row>
    <row r="700" spans="1:16" ht="19.5" customHeight="1">
      <c r="A700" s="227" t="s">
        <v>1254</v>
      </c>
      <c r="B700" s="230">
        <v>46051</v>
      </c>
      <c r="C700" s="227" t="s">
        <v>81</v>
      </c>
      <c r="D700" s="227" t="s">
        <v>95</v>
      </c>
      <c r="E700" s="227" t="s">
        <v>52</v>
      </c>
      <c r="F700" s="227" t="s">
        <v>90</v>
      </c>
      <c r="G700" s="227" t="s">
        <v>84</v>
      </c>
      <c r="H700" s="231">
        <v>1</v>
      </c>
      <c r="I700" s="232">
        <v>1800</v>
      </c>
      <c r="J700" s="230">
        <v>46050</v>
      </c>
      <c r="K700" s="227" t="s">
        <v>93</v>
      </c>
      <c r="L700" s="227" t="s">
        <v>94</v>
      </c>
      <c r="M700" s="233">
        <v>0.43</v>
      </c>
      <c r="N700" s="231"/>
      <c r="O700" s="231"/>
      <c r="P700" s="234">
        <v>-9.3699999999999992</v>
      </c>
    </row>
    <row r="701" spans="1:16" ht="19.5" customHeight="1">
      <c r="A701" s="227" t="s">
        <v>1254</v>
      </c>
      <c r="B701" s="230">
        <v>46051</v>
      </c>
      <c r="C701" s="227" t="s">
        <v>81</v>
      </c>
      <c r="D701" s="227" t="s">
        <v>82</v>
      </c>
      <c r="E701" s="227" t="s">
        <v>52</v>
      </c>
      <c r="F701" s="227" t="s">
        <v>90</v>
      </c>
      <c r="G701" s="227" t="s">
        <v>84</v>
      </c>
      <c r="H701" s="231">
        <v>1</v>
      </c>
      <c r="I701" s="232">
        <v>0</v>
      </c>
      <c r="J701" s="230">
        <v>46050</v>
      </c>
      <c r="K701" s="227" t="s">
        <v>85</v>
      </c>
      <c r="L701" s="227" t="s">
        <v>85</v>
      </c>
      <c r="M701" s="233">
        <v>0</v>
      </c>
      <c r="N701" s="231"/>
      <c r="O701" s="231"/>
      <c r="P701" s="234">
        <v>-11.9</v>
      </c>
    </row>
    <row r="702" spans="1:16" ht="19.5" customHeight="1">
      <c r="A702" s="227" t="s">
        <v>1255</v>
      </c>
      <c r="B702" s="230">
        <v>46051</v>
      </c>
      <c r="C702" s="227" t="s">
        <v>92</v>
      </c>
      <c r="D702" s="227" t="s">
        <v>24</v>
      </c>
      <c r="E702" s="227" t="s">
        <v>53</v>
      </c>
      <c r="F702" s="227" t="s">
        <v>120</v>
      </c>
      <c r="G702" s="227" t="s">
        <v>84</v>
      </c>
      <c r="H702" s="231">
        <v>1</v>
      </c>
      <c r="I702" s="232">
        <v>1723</v>
      </c>
      <c r="J702" s="230">
        <v>46048</v>
      </c>
      <c r="K702" s="227" t="s">
        <v>93</v>
      </c>
      <c r="L702" s="227" t="s">
        <v>94</v>
      </c>
      <c r="M702" s="233">
        <v>0.43</v>
      </c>
      <c r="N702" s="231"/>
      <c r="O702" s="231">
        <v>44</v>
      </c>
      <c r="P702" s="234">
        <v>-145.55000000000001</v>
      </c>
    </row>
    <row r="703" spans="1:16" ht="19.5" customHeight="1">
      <c r="A703" s="227" t="s">
        <v>1255</v>
      </c>
      <c r="B703" s="230">
        <v>46051</v>
      </c>
      <c r="C703" s="227" t="s">
        <v>100</v>
      </c>
      <c r="D703" s="227" t="s">
        <v>101</v>
      </c>
      <c r="E703" s="227" t="s">
        <v>53</v>
      </c>
      <c r="F703" s="227" t="s">
        <v>120</v>
      </c>
      <c r="G703" s="227" t="s">
        <v>84</v>
      </c>
      <c r="H703" s="231">
        <v>1</v>
      </c>
      <c r="I703" s="232">
        <v>1723</v>
      </c>
      <c r="J703" s="230">
        <v>46048</v>
      </c>
      <c r="K703" s="227" t="s">
        <v>93</v>
      </c>
      <c r="L703" s="227" t="s">
        <v>94</v>
      </c>
      <c r="M703" s="233">
        <v>0</v>
      </c>
      <c r="N703" s="231"/>
      <c r="O703" s="231"/>
      <c r="P703" s="234">
        <v>693.63</v>
      </c>
    </row>
    <row r="704" spans="1:16" ht="19.5" customHeight="1">
      <c r="A704" s="227" t="s">
        <v>1255</v>
      </c>
      <c r="B704" s="230">
        <v>46051</v>
      </c>
      <c r="C704" s="227" t="s">
        <v>100</v>
      </c>
      <c r="D704" s="227" t="s">
        <v>102</v>
      </c>
      <c r="E704" s="227" t="s">
        <v>53</v>
      </c>
      <c r="F704" s="227" t="s">
        <v>120</v>
      </c>
      <c r="G704" s="227" t="s">
        <v>84</v>
      </c>
      <c r="H704" s="231">
        <v>1</v>
      </c>
      <c r="I704" s="232">
        <v>1723</v>
      </c>
      <c r="J704" s="230">
        <v>46048</v>
      </c>
      <c r="K704" s="227" t="s">
        <v>93</v>
      </c>
      <c r="L704" s="227" t="s">
        <v>94</v>
      </c>
      <c r="M704" s="233">
        <v>0</v>
      </c>
      <c r="N704" s="231"/>
      <c r="O704" s="231"/>
      <c r="P704" s="234">
        <v>0</v>
      </c>
    </row>
    <row r="705" spans="1:16" ht="19.5" customHeight="1">
      <c r="A705" s="227" t="s">
        <v>1255</v>
      </c>
      <c r="B705" s="230">
        <v>46051</v>
      </c>
      <c r="C705" s="227" t="s">
        <v>100</v>
      </c>
      <c r="D705" s="227" t="s">
        <v>103</v>
      </c>
      <c r="E705" s="227" t="s">
        <v>53</v>
      </c>
      <c r="F705" s="227" t="s">
        <v>120</v>
      </c>
      <c r="G705" s="227" t="s">
        <v>84</v>
      </c>
      <c r="H705" s="231">
        <v>1</v>
      </c>
      <c r="I705" s="232">
        <v>1723</v>
      </c>
      <c r="J705" s="230">
        <v>46048</v>
      </c>
      <c r="K705" s="227" t="s">
        <v>93</v>
      </c>
      <c r="L705" s="227" t="s">
        <v>94</v>
      </c>
      <c r="M705" s="233">
        <v>0</v>
      </c>
      <c r="N705" s="231"/>
      <c r="O705" s="231"/>
      <c r="P705" s="234">
        <v>1029.3699999999999</v>
      </c>
    </row>
    <row r="706" spans="1:16" ht="19.5" customHeight="1">
      <c r="A706" s="227" t="s">
        <v>1255</v>
      </c>
      <c r="B706" s="230">
        <v>46051</v>
      </c>
      <c r="C706" s="227" t="s">
        <v>104</v>
      </c>
      <c r="D706" s="227" t="s">
        <v>105</v>
      </c>
      <c r="E706" s="227" t="s">
        <v>53</v>
      </c>
      <c r="F706" s="227" t="s">
        <v>120</v>
      </c>
      <c r="G706" s="227" t="s">
        <v>84</v>
      </c>
      <c r="H706" s="231">
        <v>1</v>
      </c>
      <c r="I706" s="232">
        <v>1723</v>
      </c>
      <c r="J706" s="230">
        <v>46048</v>
      </c>
      <c r="K706" s="227" t="s">
        <v>93</v>
      </c>
      <c r="L706" s="227" t="s">
        <v>94</v>
      </c>
      <c r="M706" s="233">
        <v>0.43</v>
      </c>
      <c r="N706" s="231"/>
      <c r="O706" s="231"/>
      <c r="P706" s="234">
        <v>-740.89</v>
      </c>
    </row>
    <row r="707" spans="1:16" ht="19.5" customHeight="1">
      <c r="A707" s="227" t="s">
        <v>1255</v>
      </c>
      <c r="B707" s="230">
        <v>46051</v>
      </c>
      <c r="C707" s="227" t="s">
        <v>81</v>
      </c>
      <c r="D707" s="227" t="s">
        <v>95</v>
      </c>
      <c r="E707" s="227" t="s">
        <v>53</v>
      </c>
      <c r="F707" s="227" t="s">
        <v>120</v>
      </c>
      <c r="G707" s="227" t="s">
        <v>84</v>
      </c>
      <c r="H707" s="231">
        <v>1</v>
      </c>
      <c r="I707" s="232">
        <v>1723</v>
      </c>
      <c r="J707" s="230">
        <v>46048</v>
      </c>
      <c r="K707" s="227" t="s">
        <v>93</v>
      </c>
      <c r="L707" s="227" t="s">
        <v>94</v>
      </c>
      <c r="M707" s="233">
        <v>0.43</v>
      </c>
      <c r="N707" s="231"/>
      <c r="O707" s="231"/>
      <c r="P707" s="234">
        <v>-16.239999999999998</v>
      </c>
    </row>
    <row r="708" spans="1:16" ht="19.5" customHeight="1">
      <c r="A708" s="227" t="s">
        <v>1255</v>
      </c>
      <c r="B708" s="230">
        <v>46051</v>
      </c>
      <c r="C708" s="227" t="s">
        <v>81</v>
      </c>
      <c r="D708" s="227" t="s">
        <v>82</v>
      </c>
      <c r="E708" s="227" t="s">
        <v>53</v>
      </c>
      <c r="F708" s="227" t="s">
        <v>120</v>
      </c>
      <c r="G708" s="227" t="s">
        <v>84</v>
      </c>
      <c r="H708" s="231">
        <v>1</v>
      </c>
      <c r="I708" s="232">
        <v>0</v>
      </c>
      <c r="J708" s="230">
        <v>46048</v>
      </c>
      <c r="K708" s="227" t="s">
        <v>85</v>
      </c>
      <c r="L708" s="227" t="s">
        <v>85</v>
      </c>
      <c r="M708" s="233">
        <v>0</v>
      </c>
      <c r="N708" s="231"/>
      <c r="O708" s="231"/>
      <c r="P708" s="234">
        <v>-3.68</v>
      </c>
    </row>
    <row r="709" spans="1:16" ht="19.5" customHeight="1">
      <c r="A709" s="227" t="s">
        <v>1256</v>
      </c>
      <c r="B709" s="230">
        <v>46051</v>
      </c>
      <c r="C709" s="227" t="s">
        <v>92</v>
      </c>
      <c r="D709" s="227" t="s">
        <v>24</v>
      </c>
      <c r="E709" s="227" t="s">
        <v>53</v>
      </c>
      <c r="F709" s="227" t="s">
        <v>120</v>
      </c>
      <c r="G709" s="227" t="s">
        <v>84</v>
      </c>
      <c r="H709" s="231">
        <v>1</v>
      </c>
      <c r="I709" s="232">
        <v>1812</v>
      </c>
      <c r="J709" s="230">
        <v>46046</v>
      </c>
      <c r="K709" s="227" t="s">
        <v>93</v>
      </c>
      <c r="L709" s="227" t="s">
        <v>94</v>
      </c>
      <c r="M709" s="233">
        <v>0.43</v>
      </c>
      <c r="N709" s="231"/>
      <c r="O709" s="231">
        <v>40</v>
      </c>
      <c r="P709" s="234">
        <v>-130.77000000000001</v>
      </c>
    </row>
    <row r="710" spans="1:16" ht="19.5" customHeight="1">
      <c r="A710" s="227" t="s">
        <v>1256</v>
      </c>
      <c r="B710" s="230">
        <v>46051</v>
      </c>
      <c r="C710" s="227" t="s">
        <v>100</v>
      </c>
      <c r="D710" s="227" t="s">
        <v>101</v>
      </c>
      <c r="E710" s="227" t="s">
        <v>53</v>
      </c>
      <c r="F710" s="227" t="s">
        <v>120</v>
      </c>
      <c r="G710" s="227" t="s">
        <v>84</v>
      </c>
      <c r="H710" s="231">
        <v>1</v>
      </c>
      <c r="I710" s="232">
        <v>1812</v>
      </c>
      <c r="J710" s="230">
        <v>46046</v>
      </c>
      <c r="K710" s="227" t="s">
        <v>93</v>
      </c>
      <c r="L710" s="227" t="s">
        <v>94</v>
      </c>
      <c r="M710" s="233">
        <v>0</v>
      </c>
      <c r="N710" s="231"/>
      <c r="O710" s="231"/>
      <c r="P710" s="234">
        <v>712.38</v>
      </c>
    </row>
    <row r="711" spans="1:16" ht="19.5" customHeight="1">
      <c r="A711" s="227" t="s">
        <v>1256</v>
      </c>
      <c r="B711" s="230">
        <v>46051</v>
      </c>
      <c r="C711" s="227" t="s">
        <v>100</v>
      </c>
      <c r="D711" s="227" t="s">
        <v>102</v>
      </c>
      <c r="E711" s="227" t="s">
        <v>53</v>
      </c>
      <c r="F711" s="227" t="s">
        <v>120</v>
      </c>
      <c r="G711" s="227" t="s">
        <v>84</v>
      </c>
      <c r="H711" s="231">
        <v>1</v>
      </c>
      <c r="I711" s="232">
        <v>1812</v>
      </c>
      <c r="J711" s="230">
        <v>46046</v>
      </c>
      <c r="K711" s="227" t="s">
        <v>93</v>
      </c>
      <c r="L711" s="227" t="s">
        <v>94</v>
      </c>
      <c r="M711" s="233">
        <v>0</v>
      </c>
      <c r="N711" s="231"/>
      <c r="O711" s="231"/>
      <c r="P711" s="234">
        <v>7.12</v>
      </c>
    </row>
    <row r="712" spans="1:16" ht="19.5" customHeight="1">
      <c r="A712" s="227" t="s">
        <v>1256</v>
      </c>
      <c r="B712" s="230">
        <v>46051</v>
      </c>
      <c r="C712" s="227" t="s">
        <v>100</v>
      </c>
      <c r="D712" s="227" t="s">
        <v>103</v>
      </c>
      <c r="E712" s="227" t="s">
        <v>53</v>
      </c>
      <c r="F712" s="227" t="s">
        <v>120</v>
      </c>
      <c r="G712" s="227" t="s">
        <v>84</v>
      </c>
      <c r="H712" s="231">
        <v>1</v>
      </c>
      <c r="I712" s="232">
        <v>1812</v>
      </c>
      <c r="J712" s="230">
        <v>46046</v>
      </c>
      <c r="K712" s="227" t="s">
        <v>93</v>
      </c>
      <c r="L712" s="227" t="s">
        <v>94</v>
      </c>
      <c r="M712" s="233">
        <v>0</v>
      </c>
      <c r="N712" s="231"/>
      <c r="O712" s="231"/>
      <c r="P712" s="234">
        <v>1092.5</v>
      </c>
    </row>
    <row r="713" spans="1:16" ht="19.5" customHeight="1">
      <c r="A713" s="227" t="s">
        <v>1256</v>
      </c>
      <c r="B713" s="230">
        <v>46051</v>
      </c>
      <c r="C713" s="227" t="s">
        <v>104</v>
      </c>
      <c r="D713" s="227" t="s">
        <v>105</v>
      </c>
      <c r="E713" s="227" t="s">
        <v>53</v>
      </c>
      <c r="F713" s="227" t="s">
        <v>120</v>
      </c>
      <c r="G713" s="227" t="s">
        <v>84</v>
      </c>
      <c r="H713" s="231">
        <v>1</v>
      </c>
      <c r="I713" s="232">
        <v>1812</v>
      </c>
      <c r="J713" s="230">
        <v>46046</v>
      </c>
      <c r="K713" s="227" t="s">
        <v>93</v>
      </c>
      <c r="L713" s="227" t="s">
        <v>94</v>
      </c>
      <c r="M713" s="233">
        <v>0.43</v>
      </c>
      <c r="N713" s="231"/>
      <c r="O713" s="231"/>
      <c r="P713" s="234">
        <v>-779.16</v>
      </c>
    </row>
    <row r="714" spans="1:16" ht="19.5" customHeight="1">
      <c r="A714" s="227" t="s">
        <v>1256</v>
      </c>
      <c r="B714" s="230">
        <v>46051</v>
      </c>
      <c r="C714" s="227" t="s">
        <v>81</v>
      </c>
      <c r="D714" s="227" t="s">
        <v>95</v>
      </c>
      <c r="E714" s="227" t="s">
        <v>53</v>
      </c>
      <c r="F714" s="227" t="s">
        <v>120</v>
      </c>
      <c r="G714" s="227" t="s">
        <v>84</v>
      </c>
      <c r="H714" s="231">
        <v>1</v>
      </c>
      <c r="I714" s="232">
        <v>1812</v>
      </c>
      <c r="J714" s="230">
        <v>46046</v>
      </c>
      <c r="K714" s="227" t="s">
        <v>93</v>
      </c>
      <c r="L714" s="227" t="s">
        <v>94</v>
      </c>
      <c r="M714" s="233">
        <v>0.43</v>
      </c>
      <c r="N714" s="231"/>
      <c r="O714" s="231"/>
      <c r="P714" s="234">
        <v>-11.72</v>
      </c>
    </row>
    <row r="715" spans="1:16" ht="19.5" customHeight="1">
      <c r="A715" s="227" t="s">
        <v>1257</v>
      </c>
      <c r="B715" s="230">
        <v>46051</v>
      </c>
      <c r="C715" s="227" t="s">
        <v>92</v>
      </c>
      <c r="D715" s="227" t="s">
        <v>24</v>
      </c>
      <c r="E715" s="227" t="s">
        <v>52</v>
      </c>
      <c r="F715" s="227" t="s">
        <v>90</v>
      </c>
      <c r="G715" s="227" t="s">
        <v>84</v>
      </c>
      <c r="H715" s="231">
        <v>1</v>
      </c>
      <c r="I715" s="232">
        <v>1800</v>
      </c>
      <c r="J715" s="230">
        <v>46047</v>
      </c>
      <c r="K715" s="227" t="s">
        <v>93</v>
      </c>
      <c r="L715" s="227" t="s">
        <v>94</v>
      </c>
      <c r="M715" s="233">
        <v>0.43</v>
      </c>
      <c r="N715" s="231"/>
      <c r="O715" s="231">
        <v>41</v>
      </c>
      <c r="P715" s="234">
        <v>-134.84</v>
      </c>
    </row>
    <row r="716" spans="1:16" ht="19.5" customHeight="1">
      <c r="A716" s="227" t="s">
        <v>1257</v>
      </c>
      <c r="B716" s="230">
        <v>46051</v>
      </c>
      <c r="C716" s="227" t="s">
        <v>100</v>
      </c>
      <c r="D716" s="227" t="s">
        <v>101</v>
      </c>
      <c r="E716" s="227" t="s">
        <v>52</v>
      </c>
      <c r="F716" s="227" t="s">
        <v>90</v>
      </c>
      <c r="G716" s="227" t="s">
        <v>84</v>
      </c>
      <c r="H716" s="231">
        <v>1</v>
      </c>
      <c r="I716" s="232">
        <v>1800</v>
      </c>
      <c r="J716" s="230">
        <v>46047</v>
      </c>
      <c r="K716" s="227" t="s">
        <v>93</v>
      </c>
      <c r="L716" s="227" t="s">
        <v>94</v>
      </c>
      <c r="M716" s="233">
        <v>0</v>
      </c>
      <c r="N716" s="231"/>
      <c r="O716" s="231"/>
      <c r="P716" s="234">
        <v>679.35</v>
      </c>
    </row>
    <row r="717" spans="1:16" ht="19.5" customHeight="1">
      <c r="A717" s="227" t="s">
        <v>1257</v>
      </c>
      <c r="B717" s="230">
        <v>46051</v>
      </c>
      <c r="C717" s="227" t="s">
        <v>100</v>
      </c>
      <c r="D717" s="227" t="s">
        <v>102</v>
      </c>
      <c r="E717" s="227" t="s">
        <v>52</v>
      </c>
      <c r="F717" s="227" t="s">
        <v>90</v>
      </c>
      <c r="G717" s="227" t="s">
        <v>84</v>
      </c>
      <c r="H717" s="231">
        <v>1</v>
      </c>
      <c r="I717" s="232">
        <v>1800</v>
      </c>
      <c r="J717" s="230">
        <v>46047</v>
      </c>
      <c r="K717" s="227" t="s">
        <v>93</v>
      </c>
      <c r="L717" s="227" t="s">
        <v>94</v>
      </c>
      <c r="M717" s="233">
        <v>0</v>
      </c>
      <c r="N717" s="231"/>
      <c r="O717" s="231"/>
      <c r="P717" s="234">
        <v>6.79</v>
      </c>
    </row>
    <row r="718" spans="1:16" ht="19.5" customHeight="1">
      <c r="A718" s="227" t="s">
        <v>1257</v>
      </c>
      <c r="B718" s="230">
        <v>46051</v>
      </c>
      <c r="C718" s="227" t="s">
        <v>100</v>
      </c>
      <c r="D718" s="227" t="s">
        <v>103</v>
      </c>
      <c r="E718" s="227" t="s">
        <v>52</v>
      </c>
      <c r="F718" s="227" t="s">
        <v>90</v>
      </c>
      <c r="G718" s="227" t="s">
        <v>84</v>
      </c>
      <c r="H718" s="231">
        <v>1</v>
      </c>
      <c r="I718" s="232">
        <v>1800</v>
      </c>
      <c r="J718" s="230">
        <v>46047</v>
      </c>
      <c r="K718" s="227" t="s">
        <v>93</v>
      </c>
      <c r="L718" s="227" t="s">
        <v>94</v>
      </c>
      <c r="M718" s="233">
        <v>0</v>
      </c>
      <c r="N718" s="231"/>
      <c r="O718" s="231"/>
      <c r="P718" s="234">
        <v>1113.8599999999999</v>
      </c>
    </row>
    <row r="719" spans="1:16" ht="19.5" customHeight="1">
      <c r="A719" s="227" t="s">
        <v>1257</v>
      </c>
      <c r="B719" s="230">
        <v>46051</v>
      </c>
      <c r="C719" s="227" t="s">
        <v>104</v>
      </c>
      <c r="D719" s="227" t="s">
        <v>105</v>
      </c>
      <c r="E719" s="227" t="s">
        <v>52</v>
      </c>
      <c r="F719" s="227" t="s">
        <v>90</v>
      </c>
      <c r="G719" s="227" t="s">
        <v>84</v>
      </c>
      <c r="H719" s="231">
        <v>1</v>
      </c>
      <c r="I719" s="232">
        <v>1800</v>
      </c>
      <c r="J719" s="230">
        <v>46047</v>
      </c>
      <c r="K719" s="227" t="s">
        <v>93</v>
      </c>
      <c r="L719" s="227" t="s">
        <v>94</v>
      </c>
      <c r="M719" s="233">
        <v>0.43</v>
      </c>
      <c r="N719" s="231"/>
      <c r="O719" s="231"/>
      <c r="P719" s="234">
        <v>-774</v>
      </c>
    </row>
    <row r="720" spans="1:16" ht="19.5" customHeight="1">
      <c r="A720" s="227" t="s">
        <v>1257</v>
      </c>
      <c r="B720" s="230">
        <v>46051</v>
      </c>
      <c r="C720" s="227" t="s">
        <v>81</v>
      </c>
      <c r="D720" s="227" t="s">
        <v>95</v>
      </c>
      <c r="E720" s="227" t="s">
        <v>52</v>
      </c>
      <c r="F720" s="227" t="s">
        <v>90</v>
      </c>
      <c r="G720" s="227" t="s">
        <v>84</v>
      </c>
      <c r="H720" s="231">
        <v>1</v>
      </c>
      <c r="I720" s="232">
        <v>1800</v>
      </c>
      <c r="J720" s="230">
        <v>46047</v>
      </c>
      <c r="K720" s="227" t="s">
        <v>93</v>
      </c>
      <c r="L720" s="227" t="s">
        <v>94</v>
      </c>
      <c r="M720" s="233">
        <v>0.43</v>
      </c>
      <c r="N720" s="231"/>
      <c r="O720" s="231"/>
      <c r="P720" s="234">
        <v>-10.210000000000001</v>
      </c>
    </row>
    <row r="721" spans="1:16" ht="19.5" customHeight="1">
      <c r="A721" s="227" t="s">
        <v>1258</v>
      </c>
      <c r="B721" s="230">
        <v>46051</v>
      </c>
      <c r="C721" s="227" t="s">
        <v>92</v>
      </c>
      <c r="D721" s="227" t="s">
        <v>24</v>
      </c>
      <c r="E721" s="227" t="s">
        <v>52</v>
      </c>
      <c r="F721" s="227" t="s">
        <v>90</v>
      </c>
      <c r="G721" s="227" t="s">
        <v>84</v>
      </c>
      <c r="H721" s="231">
        <v>1</v>
      </c>
      <c r="I721" s="232">
        <v>1800</v>
      </c>
      <c r="J721" s="230">
        <v>46048</v>
      </c>
      <c r="K721" s="227" t="s">
        <v>93</v>
      </c>
      <c r="L721" s="227" t="s">
        <v>94</v>
      </c>
      <c r="M721" s="233">
        <v>0.43</v>
      </c>
      <c r="N721" s="231"/>
      <c r="O721" s="231">
        <v>44</v>
      </c>
      <c r="P721" s="234">
        <v>-147.97999999999999</v>
      </c>
    </row>
    <row r="722" spans="1:16" ht="19.5" customHeight="1">
      <c r="A722" s="227" t="s">
        <v>1258</v>
      </c>
      <c r="B722" s="230">
        <v>46051</v>
      </c>
      <c r="C722" s="227" t="s">
        <v>100</v>
      </c>
      <c r="D722" s="227" t="s">
        <v>101</v>
      </c>
      <c r="E722" s="227" t="s">
        <v>52</v>
      </c>
      <c r="F722" s="227" t="s">
        <v>90</v>
      </c>
      <c r="G722" s="227" t="s">
        <v>84</v>
      </c>
      <c r="H722" s="231">
        <v>1</v>
      </c>
      <c r="I722" s="232">
        <v>1800</v>
      </c>
      <c r="J722" s="230">
        <v>46048</v>
      </c>
      <c r="K722" s="227" t="s">
        <v>93</v>
      </c>
      <c r="L722" s="227" t="s">
        <v>94</v>
      </c>
      <c r="M722" s="233">
        <v>0</v>
      </c>
      <c r="N722" s="231"/>
      <c r="O722" s="231"/>
      <c r="P722" s="234">
        <v>685.71</v>
      </c>
    </row>
    <row r="723" spans="1:16" ht="19.5" customHeight="1">
      <c r="A723" s="227" t="s">
        <v>1258</v>
      </c>
      <c r="B723" s="230">
        <v>46051</v>
      </c>
      <c r="C723" s="227" t="s">
        <v>100</v>
      </c>
      <c r="D723" s="227" t="s">
        <v>102</v>
      </c>
      <c r="E723" s="227" t="s">
        <v>52</v>
      </c>
      <c r="F723" s="227" t="s">
        <v>90</v>
      </c>
      <c r="G723" s="227" t="s">
        <v>84</v>
      </c>
      <c r="H723" s="231">
        <v>1</v>
      </c>
      <c r="I723" s="232">
        <v>1800</v>
      </c>
      <c r="J723" s="230">
        <v>46048</v>
      </c>
      <c r="K723" s="227" t="s">
        <v>93</v>
      </c>
      <c r="L723" s="227" t="s">
        <v>94</v>
      </c>
      <c r="M723" s="233">
        <v>0</v>
      </c>
      <c r="N723" s="231"/>
      <c r="O723" s="231"/>
      <c r="P723" s="234">
        <v>0</v>
      </c>
    </row>
    <row r="724" spans="1:16" ht="19.5" customHeight="1">
      <c r="A724" s="227" t="s">
        <v>1258</v>
      </c>
      <c r="B724" s="230">
        <v>46051</v>
      </c>
      <c r="C724" s="227" t="s">
        <v>100</v>
      </c>
      <c r="D724" s="227" t="s">
        <v>103</v>
      </c>
      <c r="E724" s="227" t="s">
        <v>52</v>
      </c>
      <c r="F724" s="227" t="s">
        <v>90</v>
      </c>
      <c r="G724" s="227" t="s">
        <v>84</v>
      </c>
      <c r="H724" s="231">
        <v>1</v>
      </c>
      <c r="I724" s="232">
        <v>1800</v>
      </c>
      <c r="J724" s="230">
        <v>46048</v>
      </c>
      <c r="K724" s="227" t="s">
        <v>93</v>
      </c>
      <c r="L724" s="227" t="s">
        <v>94</v>
      </c>
      <c r="M724" s="233">
        <v>0</v>
      </c>
      <c r="N724" s="231"/>
      <c r="O724" s="231"/>
      <c r="P724" s="234">
        <v>1114.29</v>
      </c>
    </row>
    <row r="725" spans="1:16" ht="19.5" customHeight="1">
      <c r="A725" s="227" t="s">
        <v>1258</v>
      </c>
      <c r="B725" s="230">
        <v>46051</v>
      </c>
      <c r="C725" s="227" t="s">
        <v>104</v>
      </c>
      <c r="D725" s="227" t="s">
        <v>105</v>
      </c>
      <c r="E725" s="227" t="s">
        <v>52</v>
      </c>
      <c r="F725" s="227" t="s">
        <v>90</v>
      </c>
      <c r="G725" s="227" t="s">
        <v>84</v>
      </c>
      <c r="H725" s="231">
        <v>1</v>
      </c>
      <c r="I725" s="232">
        <v>1800</v>
      </c>
      <c r="J725" s="230">
        <v>46048</v>
      </c>
      <c r="K725" s="227" t="s">
        <v>93</v>
      </c>
      <c r="L725" s="227" t="s">
        <v>94</v>
      </c>
      <c r="M725" s="233">
        <v>0.43</v>
      </c>
      <c r="N725" s="231"/>
      <c r="O725" s="231"/>
      <c r="P725" s="234">
        <v>-774</v>
      </c>
    </row>
    <row r="726" spans="1:16" ht="19.5" customHeight="1">
      <c r="A726" s="227" t="s">
        <v>1258</v>
      </c>
      <c r="B726" s="230">
        <v>46051</v>
      </c>
      <c r="C726" s="227" t="s">
        <v>81</v>
      </c>
      <c r="D726" s="227" t="s">
        <v>95</v>
      </c>
      <c r="E726" s="227" t="s">
        <v>52</v>
      </c>
      <c r="F726" s="227" t="s">
        <v>90</v>
      </c>
      <c r="G726" s="227" t="s">
        <v>84</v>
      </c>
      <c r="H726" s="231">
        <v>1</v>
      </c>
      <c r="I726" s="232">
        <v>1800</v>
      </c>
      <c r="J726" s="230">
        <v>46048</v>
      </c>
      <c r="K726" s="227" t="s">
        <v>93</v>
      </c>
      <c r="L726" s="227" t="s">
        <v>94</v>
      </c>
      <c r="M726" s="233">
        <v>0.43</v>
      </c>
      <c r="N726" s="231"/>
      <c r="O726" s="231"/>
      <c r="P726" s="234">
        <v>-10.69</v>
      </c>
    </row>
    <row r="727" spans="1:16" ht="19.5" customHeight="1">
      <c r="A727" s="227" t="s">
        <v>1259</v>
      </c>
      <c r="B727" s="230">
        <v>46051</v>
      </c>
      <c r="C727" s="227" t="s">
        <v>92</v>
      </c>
      <c r="D727" s="227" t="s">
        <v>24</v>
      </c>
      <c r="E727" s="227" t="s">
        <v>52</v>
      </c>
      <c r="F727" s="227" t="s">
        <v>90</v>
      </c>
      <c r="G727" s="227" t="s">
        <v>84</v>
      </c>
      <c r="H727" s="231">
        <v>1</v>
      </c>
      <c r="I727" s="232">
        <v>1800</v>
      </c>
      <c r="J727" s="230">
        <v>46047</v>
      </c>
      <c r="K727" s="227" t="s">
        <v>93</v>
      </c>
      <c r="L727" s="227" t="s">
        <v>94</v>
      </c>
      <c r="M727" s="233">
        <v>0.43</v>
      </c>
      <c r="N727" s="231"/>
      <c r="O727" s="231">
        <v>41</v>
      </c>
      <c r="P727" s="234">
        <v>-134.84</v>
      </c>
    </row>
    <row r="728" spans="1:16" ht="19.5" customHeight="1">
      <c r="A728" s="227" t="s">
        <v>1259</v>
      </c>
      <c r="B728" s="230">
        <v>46051</v>
      </c>
      <c r="C728" s="227" t="s">
        <v>100</v>
      </c>
      <c r="D728" s="227" t="s">
        <v>101</v>
      </c>
      <c r="E728" s="227" t="s">
        <v>52</v>
      </c>
      <c r="F728" s="227" t="s">
        <v>90</v>
      </c>
      <c r="G728" s="227" t="s">
        <v>84</v>
      </c>
      <c r="H728" s="231">
        <v>1</v>
      </c>
      <c r="I728" s="232">
        <v>1800</v>
      </c>
      <c r="J728" s="230">
        <v>46047</v>
      </c>
      <c r="K728" s="227" t="s">
        <v>93</v>
      </c>
      <c r="L728" s="227" t="s">
        <v>94</v>
      </c>
      <c r="M728" s="233">
        <v>0</v>
      </c>
      <c r="N728" s="231"/>
      <c r="O728" s="231"/>
      <c r="P728" s="234">
        <v>680</v>
      </c>
    </row>
    <row r="729" spans="1:16" ht="19.5" customHeight="1">
      <c r="A729" s="227" t="s">
        <v>1259</v>
      </c>
      <c r="B729" s="230">
        <v>46051</v>
      </c>
      <c r="C729" s="227" t="s">
        <v>100</v>
      </c>
      <c r="D729" s="227" t="s">
        <v>102</v>
      </c>
      <c r="E729" s="227" t="s">
        <v>52</v>
      </c>
      <c r="F729" s="227" t="s">
        <v>90</v>
      </c>
      <c r="G729" s="227" t="s">
        <v>84</v>
      </c>
      <c r="H729" s="231">
        <v>1</v>
      </c>
      <c r="I729" s="232">
        <v>1800</v>
      </c>
      <c r="J729" s="230">
        <v>46047</v>
      </c>
      <c r="K729" s="227" t="s">
        <v>93</v>
      </c>
      <c r="L729" s="227" t="s">
        <v>94</v>
      </c>
      <c r="M729" s="233">
        <v>0</v>
      </c>
      <c r="N729" s="231"/>
      <c r="O729" s="231"/>
      <c r="P729" s="234">
        <v>6.8</v>
      </c>
    </row>
    <row r="730" spans="1:16" ht="19.5" customHeight="1">
      <c r="A730" s="227" t="s">
        <v>1259</v>
      </c>
      <c r="B730" s="230">
        <v>46051</v>
      </c>
      <c r="C730" s="227" t="s">
        <v>100</v>
      </c>
      <c r="D730" s="227" t="s">
        <v>103</v>
      </c>
      <c r="E730" s="227" t="s">
        <v>52</v>
      </c>
      <c r="F730" s="227" t="s">
        <v>90</v>
      </c>
      <c r="G730" s="227" t="s">
        <v>84</v>
      </c>
      <c r="H730" s="231">
        <v>1</v>
      </c>
      <c r="I730" s="232">
        <v>1800</v>
      </c>
      <c r="J730" s="230">
        <v>46047</v>
      </c>
      <c r="K730" s="227" t="s">
        <v>93</v>
      </c>
      <c r="L730" s="227" t="s">
        <v>94</v>
      </c>
      <c r="M730" s="233">
        <v>0</v>
      </c>
      <c r="N730" s="231"/>
      <c r="O730" s="231"/>
      <c r="P730" s="234">
        <v>1113.2</v>
      </c>
    </row>
    <row r="731" spans="1:16" ht="19.5" customHeight="1">
      <c r="A731" s="227" t="s">
        <v>1259</v>
      </c>
      <c r="B731" s="230">
        <v>46051</v>
      </c>
      <c r="C731" s="227" t="s">
        <v>104</v>
      </c>
      <c r="D731" s="227" t="s">
        <v>105</v>
      </c>
      <c r="E731" s="227" t="s">
        <v>52</v>
      </c>
      <c r="F731" s="227" t="s">
        <v>90</v>
      </c>
      <c r="G731" s="227" t="s">
        <v>84</v>
      </c>
      <c r="H731" s="231">
        <v>1</v>
      </c>
      <c r="I731" s="232">
        <v>1800</v>
      </c>
      <c r="J731" s="230">
        <v>46047</v>
      </c>
      <c r="K731" s="227" t="s">
        <v>93</v>
      </c>
      <c r="L731" s="227" t="s">
        <v>94</v>
      </c>
      <c r="M731" s="233">
        <v>0.43</v>
      </c>
      <c r="N731" s="231"/>
      <c r="O731" s="231"/>
      <c r="P731" s="234">
        <v>-774</v>
      </c>
    </row>
    <row r="732" spans="1:16" ht="19.5" customHeight="1">
      <c r="A732" s="227" t="s">
        <v>1259</v>
      </c>
      <c r="B732" s="230">
        <v>46051</v>
      </c>
      <c r="C732" s="227" t="s">
        <v>81</v>
      </c>
      <c r="D732" s="227" t="s">
        <v>95</v>
      </c>
      <c r="E732" s="227" t="s">
        <v>52</v>
      </c>
      <c r="F732" s="227" t="s">
        <v>90</v>
      </c>
      <c r="G732" s="227" t="s">
        <v>84</v>
      </c>
      <c r="H732" s="231">
        <v>1</v>
      </c>
      <c r="I732" s="232">
        <v>1800</v>
      </c>
      <c r="J732" s="230">
        <v>46047</v>
      </c>
      <c r="K732" s="227" t="s">
        <v>93</v>
      </c>
      <c r="L732" s="227" t="s">
        <v>94</v>
      </c>
      <c r="M732" s="233">
        <v>0.43</v>
      </c>
      <c r="N732" s="231"/>
      <c r="O732" s="231"/>
      <c r="P732" s="234">
        <v>-25</v>
      </c>
    </row>
    <row r="733" spans="1:16" ht="19.5" customHeight="1">
      <c r="A733" s="227" t="s">
        <v>1257</v>
      </c>
      <c r="B733" s="230">
        <v>46051</v>
      </c>
      <c r="C733" s="227" t="s">
        <v>81</v>
      </c>
      <c r="D733" s="227" t="s">
        <v>82</v>
      </c>
      <c r="E733" s="227" t="s">
        <v>52</v>
      </c>
      <c r="F733" s="227" t="s">
        <v>90</v>
      </c>
      <c r="G733" s="227" t="s">
        <v>84</v>
      </c>
      <c r="H733" s="231">
        <v>1</v>
      </c>
      <c r="I733" s="232">
        <v>0</v>
      </c>
      <c r="J733" s="230">
        <v>46047</v>
      </c>
      <c r="K733" s="227" t="s">
        <v>85</v>
      </c>
      <c r="L733" s="227" t="s">
        <v>85</v>
      </c>
      <c r="M733" s="233">
        <v>0</v>
      </c>
      <c r="N733" s="231"/>
      <c r="O733" s="231"/>
      <c r="P733" s="234">
        <v>-12.91</v>
      </c>
    </row>
    <row r="734" spans="1:16" ht="19.5" customHeight="1">
      <c r="A734" s="227" t="s">
        <v>1259</v>
      </c>
      <c r="B734" s="230">
        <v>46051</v>
      </c>
      <c r="C734" s="227" t="s">
        <v>81</v>
      </c>
      <c r="D734" s="227" t="s">
        <v>82</v>
      </c>
      <c r="E734" s="227" t="s">
        <v>52</v>
      </c>
      <c r="F734" s="227" t="s">
        <v>90</v>
      </c>
      <c r="G734" s="227" t="s">
        <v>84</v>
      </c>
      <c r="H734" s="231">
        <v>1</v>
      </c>
      <c r="I734" s="232">
        <v>0</v>
      </c>
      <c r="J734" s="230">
        <v>46047</v>
      </c>
      <c r="K734" s="227" t="s">
        <v>85</v>
      </c>
      <c r="L734" s="227" t="s">
        <v>85</v>
      </c>
      <c r="M734" s="233">
        <v>0</v>
      </c>
      <c r="N734" s="231"/>
      <c r="O734" s="231"/>
      <c r="P734" s="234">
        <v>-12.92</v>
      </c>
    </row>
    <row r="735" spans="1:16" ht="19.5" customHeight="1">
      <c r="A735" s="227" t="s">
        <v>1260</v>
      </c>
      <c r="B735" s="230">
        <v>46051</v>
      </c>
      <c r="C735" s="227" t="s">
        <v>92</v>
      </c>
      <c r="D735" s="227" t="s">
        <v>24</v>
      </c>
      <c r="E735" s="227" t="s">
        <v>53</v>
      </c>
      <c r="F735" s="227" t="s">
        <v>120</v>
      </c>
      <c r="G735" s="227" t="s">
        <v>84</v>
      </c>
      <c r="H735" s="231">
        <v>1</v>
      </c>
      <c r="I735" s="232">
        <v>1812</v>
      </c>
      <c r="J735" s="230">
        <v>46049</v>
      </c>
      <c r="K735" s="227" t="s">
        <v>93</v>
      </c>
      <c r="L735" s="227" t="s">
        <v>94</v>
      </c>
      <c r="M735" s="233">
        <v>0.43</v>
      </c>
      <c r="N735" s="231"/>
      <c r="O735" s="231">
        <v>45</v>
      </c>
      <c r="P735" s="234">
        <v>-154.32</v>
      </c>
    </row>
    <row r="736" spans="1:16" ht="19.5" customHeight="1">
      <c r="A736" s="227" t="s">
        <v>1260</v>
      </c>
      <c r="B736" s="230">
        <v>46051</v>
      </c>
      <c r="C736" s="227" t="s">
        <v>100</v>
      </c>
      <c r="D736" s="227" t="s">
        <v>101</v>
      </c>
      <c r="E736" s="227" t="s">
        <v>53</v>
      </c>
      <c r="F736" s="227" t="s">
        <v>120</v>
      </c>
      <c r="G736" s="227" t="s">
        <v>84</v>
      </c>
      <c r="H736" s="231">
        <v>1</v>
      </c>
      <c r="I736" s="232">
        <v>1812</v>
      </c>
      <c r="J736" s="230">
        <v>46049</v>
      </c>
      <c r="K736" s="227" t="s">
        <v>93</v>
      </c>
      <c r="L736" s="227" t="s">
        <v>94</v>
      </c>
      <c r="M736" s="233">
        <v>0</v>
      </c>
      <c r="N736" s="231"/>
      <c r="O736" s="231"/>
      <c r="P736" s="234">
        <v>628.44000000000005</v>
      </c>
    </row>
    <row r="737" spans="1:16" ht="19.5" customHeight="1">
      <c r="A737" s="227" t="s">
        <v>1260</v>
      </c>
      <c r="B737" s="230">
        <v>46051</v>
      </c>
      <c r="C737" s="227" t="s">
        <v>100</v>
      </c>
      <c r="D737" s="227" t="s">
        <v>102</v>
      </c>
      <c r="E737" s="227" t="s">
        <v>53</v>
      </c>
      <c r="F737" s="227" t="s">
        <v>120</v>
      </c>
      <c r="G737" s="227" t="s">
        <v>84</v>
      </c>
      <c r="H737" s="231">
        <v>1</v>
      </c>
      <c r="I737" s="232">
        <v>1812</v>
      </c>
      <c r="J737" s="230">
        <v>46049</v>
      </c>
      <c r="K737" s="227" t="s">
        <v>93</v>
      </c>
      <c r="L737" s="227" t="s">
        <v>94</v>
      </c>
      <c r="M737" s="233">
        <v>0</v>
      </c>
      <c r="N737" s="231"/>
      <c r="O737" s="231"/>
      <c r="P737" s="234">
        <v>6.28</v>
      </c>
    </row>
    <row r="738" spans="1:16" ht="19.5" customHeight="1">
      <c r="A738" s="227" t="s">
        <v>1260</v>
      </c>
      <c r="B738" s="230">
        <v>46051</v>
      </c>
      <c r="C738" s="227" t="s">
        <v>100</v>
      </c>
      <c r="D738" s="227" t="s">
        <v>103</v>
      </c>
      <c r="E738" s="227" t="s">
        <v>53</v>
      </c>
      <c r="F738" s="227" t="s">
        <v>120</v>
      </c>
      <c r="G738" s="227" t="s">
        <v>84</v>
      </c>
      <c r="H738" s="231">
        <v>1</v>
      </c>
      <c r="I738" s="232">
        <v>1812</v>
      </c>
      <c r="J738" s="230">
        <v>46049</v>
      </c>
      <c r="K738" s="227" t="s">
        <v>93</v>
      </c>
      <c r="L738" s="227" t="s">
        <v>94</v>
      </c>
      <c r="M738" s="233">
        <v>0</v>
      </c>
      <c r="N738" s="231"/>
      <c r="O738" s="231"/>
      <c r="P738" s="234">
        <v>1177.28</v>
      </c>
    </row>
    <row r="739" spans="1:16" ht="19.5" customHeight="1">
      <c r="A739" s="227" t="s">
        <v>1260</v>
      </c>
      <c r="B739" s="230">
        <v>46051</v>
      </c>
      <c r="C739" s="227" t="s">
        <v>104</v>
      </c>
      <c r="D739" s="227" t="s">
        <v>105</v>
      </c>
      <c r="E739" s="227" t="s">
        <v>53</v>
      </c>
      <c r="F739" s="227" t="s">
        <v>120</v>
      </c>
      <c r="G739" s="227" t="s">
        <v>84</v>
      </c>
      <c r="H739" s="231">
        <v>1</v>
      </c>
      <c r="I739" s="232">
        <v>1812</v>
      </c>
      <c r="J739" s="230">
        <v>46049</v>
      </c>
      <c r="K739" s="227" t="s">
        <v>93</v>
      </c>
      <c r="L739" s="227" t="s">
        <v>94</v>
      </c>
      <c r="M739" s="233">
        <v>0.43</v>
      </c>
      <c r="N739" s="231"/>
      <c r="O739" s="231"/>
      <c r="P739" s="234">
        <v>-779.16</v>
      </c>
    </row>
    <row r="740" spans="1:16" ht="19.5" customHeight="1">
      <c r="A740" s="227" t="s">
        <v>1260</v>
      </c>
      <c r="B740" s="230">
        <v>46051</v>
      </c>
      <c r="C740" s="227" t="s">
        <v>81</v>
      </c>
      <c r="D740" s="227" t="s">
        <v>95</v>
      </c>
      <c r="E740" s="227" t="s">
        <v>53</v>
      </c>
      <c r="F740" s="227" t="s">
        <v>120</v>
      </c>
      <c r="G740" s="227" t="s">
        <v>84</v>
      </c>
      <c r="H740" s="231">
        <v>1</v>
      </c>
      <c r="I740" s="232">
        <v>1812</v>
      </c>
      <c r="J740" s="230">
        <v>46049</v>
      </c>
      <c r="K740" s="227" t="s">
        <v>93</v>
      </c>
      <c r="L740" s="227" t="s">
        <v>94</v>
      </c>
      <c r="M740" s="233">
        <v>0.43</v>
      </c>
      <c r="N740" s="231"/>
      <c r="O740" s="231"/>
      <c r="P740" s="234">
        <v>-11.83</v>
      </c>
    </row>
    <row r="741" spans="1:16" ht="19.5" customHeight="1">
      <c r="A741" s="227" t="s">
        <v>1261</v>
      </c>
      <c r="B741" s="230">
        <v>46051</v>
      </c>
      <c r="C741" s="227" t="s">
        <v>92</v>
      </c>
      <c r="D741" s="227" t="s">
        <v>24</v>
      </c>
      <c r="E741" s="227" t="s">
        <v>52</v>
      </c>
      <c r="F741" s="227" t="s">
        <v>90</v>
      </c>
      <c r="G741" s="227" t="s">
        <v>84</v>
      </c>
      <c r="H741" s="231">
        <v>1</v>
      </c>
      <c r="I741" s="232">
        <v>0</v>
      </c>
      <c r="J741" s="230">
        <v>46035</v>
      </c>
      <c r="K741" s="227" t="s">
        <v>93</v>
      </c>
      <c r="L741" s="227" t="s">
        <v>94</v>
      </c>
      <c r="M741" s="233">
        <v>0</v>
      </c>
      <c r="N741" s="231"/>
      <c r="O741" s="231">
        <v>45</v>
      </c>
      <c r="P741" s="234">
        <v>-56</v>
      </c>
    </row>
    <row r="742" spans="1:16" ht="19.5" customHeight="1">
      <c r="A742" s="227" t="s">
        <v>1261</v>
      </c>
      <c r="B742" s="230">
        <v>46051</v>
      </c>
      <c r="C742" s="227" t="s">
        <v>81</v>
      </c>
      <c r="D742" s="227" t="s">
        <v>95</v>
      </c>
      <c r="E742" s="227" t="s">
        <v>52</v>
      </c>
      <c r="F742" s="227" t="s">
        <v>90</v>
      </c>
      <c r="G742" s="227" t="s">
        <v>84</v>
      </c>
      <c r="H742" s="231">
        <v>1</v>
      </c>
      <c r="I742" s="232">
        <v>0</v>
      </c>
      <c r="J742" s="230">
        <v>46035</v>
      </c>
      <c r="K742" s="227" t="s">
        <v>93</v>
      </c>
      <c r="L742" s="227" t="s">
        <v>94</v>
      </c>
      <c r="M742" s="233">
        <v>0</v>
      </c>
      <c r="N742" s="231"/>
      <c r="O742" s="231"/>
      <c r="P742" s="234">
        <v>-9.0399999999999991</v>
      </c>
    </row>
    <row r="743" spans="1:16" ht="19.5" customHeight="1">
      <c r="A743" s="227" t="s">
        <v>1261</v>
      </c>
      <c r="B743" s="230">
        <v>46051</v>
      </c>
      <c r="C743" s="227" t="s">
        <v>92</v>
      </c>
      <c r="D743" s="227" t="s">
        <v>96</v>
      </c>
      <c r="E743" s="227" t="s">
        <v>52</v>
      </c>
      <c r="F743" s="227" t="s">
        <v>90</v>
      </c>
      <c r="G743" s="227" t="s">
        <v>84</v>
      </c>
      <c r="H743" s="231">
        <v>1</v>
      </c>
      <c r="I743" s="232">
        <v>0</v>
      </c>
      <c r="J743" s="230">
        <v>46035</v>
      </c>
      <c r="K743" s="227" t="s">
        <v>93</v>
      </c>
      <c r="L743" s="227" t="s">
        <v>94</v>
      </c>
      <c r="M743" s="233">
        <v>0</v>
      </c>
      <c r="N743" s="231"/>
      <c r="O743" s="231"/>
      <c r="P743" s="234">
        <v>0</v>
      </c>
    </row>
    <row r="744" spans="1:16" ht="19.5" customHeight="1">
      <c r="A744" s="227" t="s">
        <v>1261</v>
      </c>
      <c r="B744" s="230">
        <v>46051</v>
      </c>
      <c r="C744" s="227" t="s">
        <v>92</v>
      </c>
      <c r="D744" s="227" t="s">
        <v>97</v>
      </c>
      <c r="E744" s="227" t="s">
        <v>52</v>
      </c>
      <c r="F744" s="227" t="s">
        <v>90</v>
      </c>
      <c r="G744" s="227" t="s">
        <v>84</v>
      </c>
      <c r="H744" s="231">
        <v>1</v>
      </c>
      <c r="I744" s="232">
        <v>0</v>
      </c>
      <c r="J744" s="230">
        <v>46035</v>
      </c>
      <c r="K744" s="227" t="s">
        <v>93</v>
      </c>
      <c r="L744" s="227" t="s">
        <v>94</v>
      </c>
      <c r="M744" s="233">
        <v>0</v>
      </c>
      <c r="N744" s="231"/>
      <c r="O744" s="231"/>
      <c r="P744" s="234">
        <v>-56</v>
      </c>
    </row>
    <row r="745" spans="1:16" ht="19.5" customHeight="1">
      <c r="A745" s="227" t="s">
        <v>1261</v>
      </c>
      <c r="B745" s="230">
        <v>46051</v>
      </c>
      <c r="C745" s="227" t="s">
        <v>81</v>
      </c>
      <c r="D745" s="227" t="s">
        <v>98</v>
      </c>
      <c r="E745" s="227" t="s">
        <v>52</v>
      </c>
      <c r="F745" s="227" t="s">
        <v>90</v>
      </c>
      <c r="G745" s="227" t="s">
        <v>84</v>
      </c>
      <c r="H745" s="231">
        <v>1</v>
      </c>
      <c r="I745" s="232">
        <v>0</v>
      </c>
      <c r="J745" s="230">
        <v>46035</v>
      </c>
      <c r="K745" s="227" t="s">
        <v>93</v>
      </c>
      <c r="L745" s="227" t="s">
        <v>94</v>
      </c>
      <c r="M745" s="233">
        <v>0</v>
      </c>
      <c r="N745" s="231"/>
      <c r="O745" s="231"/>
      <c r="P745" s="234">
        <v>-15</v>
      </c>
    </row>
    <row r="746" spans="1:16" ht="19.5" customHeight="1">
      <c r="A746" s="227" t="s">
        <v>1211</v>
      </c>
      <c r="B746" s="230">
        <v>46051</v>
      </c>
      <c r="C746" s="227" t="s">
        <v>109</v>
      </c>
      <c r="D746" s="227" t="s">
        <v>139</v>
      </c>
      <c r="E746" s="227" t="s">
        <v>85</v>
      </c>
      <c r="F746" s="227" t="s">
        <v>85</v>
      </c>
      <c r="G746" s="227" t="s">
        <v>85</v>
      </c>
      <c r="H746" s="231">
        <v>0</v>
      </c>
      <c r="I746" s="232">
        <v>0</v>
      </c>
      <c r="J746" s="230">
        <v>46051</v>
      </c>
      <c r="K746" s="227" t="s">
        <v>85</v>
      </c>
      <c r="L746" s="227" t="s">
        <v>85</v>
      </c>
      <c r="M746" s="233">
        <v>0</v>
      </c>
      <c r="N746" s="231"/>
      <c r="O746" s="231"/>
      <c r="P746" s="234">
        <v>-293.12</v>
      </c>
    </row>
    <row r="747" spans="1:16" ht="19.5" customHeight="1">
      <c r="A747" s="227" t="s">
        <v>138</v>
      </c>
      <c r="B747" s="230">
        <v>46051</v>
      </c>
      <c r="C747" s="227" t="s">
        <v>109</v>
      </c>
      <c r="D747" s="227" t="s">
        <v>139</v>
      </c>
      <c r="E747" s="227" t="s">
        <v>85</v>
      </c>
      <c r="F747" s="227" t="s">
        <v>85</v>
      </c>
      <c r="G747" s="227" t="s">
        <v>85</v>
      </c>
      <c r="H747" s="231">
        <v>0</v>
      </c>
      <c r="I747" s="232">
        <v>0</v>
      </c>
      <c r="J747" s="230">
        <v>46051</v>
      </c>
      <c r="K747" s="227" t="s">
        <v>85</v>
      </c>
      <c r="L747" s="227" t="s">
        <v>85</v>
      </c>
      <c r="M747" s="233">
        <v>0</v>
      </c>
      <c r="N747" s="231"/>
      <c r="O747" s="231"/>
      <c r="P747" s="234">
        <v>-1126.99</v>
      </c>
    </row>
    <row r="748" spans="1:16" ht="19.5" customHeight="1">
      <c r="A748" s="227" t="s">
        <v>142</v>
      </c>
      <c r="B748" s="230">
        <v>46051</v>
      </c>
      <c r="C748" s="227" t="s">
        <v>109</v>
      </c>
      <c r="D748" s="227" t="s">
        <v>143</v>
      </c>
      <c r="E748" s="227" t="s">
        <v>85</v>
      </c>
      <c r="F748" s="227" t="s">
        <v>85</v>
      </c>
      <c r="G748" s="227" t="s">
        <v>85</v>
      </c>
      <c r="H748" s="231">
        <v>0</v>
      </c>
      <c r="I748" s="232">
        <v>0</v>
      </c>
      <c r="J748" s="230">
        <v>46051</v>
      </c>
      <c r="K748" s="227" t="s">
        <v>85</v>
      </c>
      <c r="L748" s="227" t="s">
        <v>85</v>
      </c>
      <c r="M748" s="233">
        <v>0</v>
      </c>
      <c r="N748" s="231"/>
      <c r="O748" s="231"/>
      <c r="P748" s="234">
        <v>-3566.7</v>
      </c>
    </row>
    <row r="749" spans="1:16" ht="19.5" customHeight="1">
      <c r="A749" s="227" t="s">
        <v>1207</v>
      </c>
      <c r="B749" s="230">
        <v>46051</v>
      </c>
      <c r="C749" s="227" t="s">
        <v>109</v>
      </c>
      <c r="D749" s="227" t="s">
        <v>139</v>
      </c>
      <c r="E749" s="227" t="s">
        <v>85</v>
      </c>
      <c r="F749" s="227" t="s">
        <v>85</v>
      </c>
      <c r="G749" s="227" t="s">
        <v>85</v>
      </c>
      <c r="H749" s="231">
        <v>0</v>
      </c>
      <c r="I749" s="232">
        <v>0</v>
      </c>
      <c r="J749" s="230">
        <v>46051</v>
      </c>
      <c r="K749" s="227" t="s">
        <v>85</v>
      </c>
      <c r="L749" s="227" t="s">
        <v>85</v>
      </c>
      <c r="M749" s="233">
        <v>0</v>
      </c>
      <c r="N749" s="231"/>
      <c r="O749" s="231"/>
      <c r="P749" s="234">
        <v>-311.77</v>
      </c>
    </row>
    <row r="750" spans="1:16" ht="19.5" customHeight="1">
      <c r="A750" s="227" t="s">
        <v>1208</v>
      </c>
      <c r="B750" s="230">
        <v>46051</v>
      </c>
      <c r="C750" s="227" t="s">
        <v>109</v>
      </c>
      <c r="D750" s="227" t="s">
        <v>139</v>
      </c>
      <c r="E750" s="227" t="s">
        <v>85</v>
      </c>
      <c r="F750" s="227" t="s">
        <v>85</v>
      </c>
      <c r="G750" s="227" t="s">
        <v>85</v>
      </c>
      <c r="H750" s="231">
        <v>0</v>
      </c>
      <c r="I750" s="232">
        <v>0</v>
      </c>
      <c r="J750" s="230">
        <v>46051</v>
      </c>
      <c r="K750" s="227" t="s">
        <v>85</v>
      </c>
      <c r="L750" s="227" t="s">
        <v>85</v>
      </c>
      <c r="M750" s="233">
        <v>0</v>
      </c>
      <c r="N750" s="231"/>
      <c r="O750" s="231"/>
      <c r="P750" s="234">
        <v>-282.18</v>
      </c>
    </row>
    <row r="751" spans="1:16" ht="19.5" customHeight="1">
      <c r="A751" s="227" t="s">
        <v>1209</v>
      </c>
      <c r="B751" s="230">
        <v>46051</v>
      </c>
      <c r="C751" s="227" t="s">
        <v>109</v>
      </c>
      <c r="D751" s="227" t="s">
        <v>139</v>
      </c>
      <c r="E751" s="227" t="s">
        <v>85</v>
      </c>
      <c r="F751" s="227" t="s">
        <v>85</v>
      </c>
      <c r="G751" s="227" t="s">
        <v>85</v>
      </c>
      <c r="H751" s="231">
        <v>0</v>
      </c>
      <c r="I751" s="232">
        <v>0</v>
      </c>
      <c r="J751" s="230">
        <v>46051</v>
      </c>
      <c r="K751" s="227" t="s">
        <v>85</v>
      </c>
      <c r="L751" s="227" t="s">
        <v>85</v>
      </c>
      <c r="M751" s="233">
        <v>0</v>
      </c>
      <c r="N751" s="231"/>
      <c r="O751" s="231"/>
      <c r="P751" s="234">
        <v>-303.43</v>
      </c>
    </row>
    <row r="752" spans="1:16" ht="19.5" customHeight="1">
      <c r="A752" s="227" t="s">
        <v>1210</v>
      </c>
      <c r="B752" s="230">
        <v>46051</v>
      </c>
      <c r="C752" s="227" t="s">
        <v>109</v>
      </c>
      <c r="D752" s="227" t="s">
        <v>139</v>
      </c>
      <c r="E752" s="227" t="s">
        <v>85</v>
      </c>
      <c r="F752" s="227" t="s">
        <v>85</v>
      </c>
      <c r="G752" s="227" t="s">
        <v>85</v>
      </c>
      <c r="H752" s="231">
        <v>0</v>
      </c>
      <c r="I752" s="232">
        <v>0</v>
      </c>
      <c r="J752" s="230">
        <v>46051</v>
      </c>
      <c r="K752" s="227" t="s">
        <v>85</v>
      </c>
      <c r="L752" s="227" t="s">
        <v>85</v>
      </c>
      <c r="M752" s="233">
        <v>0</v>
      </c>
      <c r="N752" s="231"/>
      <c r="O752" s="231"/>
      <c r="P752" s="234">
        <v>-291.38</v>
      </c>
    </row>
    <row r="753" spans="1:16" ht="19.5" customHeight="1">
      <c r="A753" s="227" t="s">
        <v>141</v>
      </c>
      <c r="B753" s="230">
        <v>46051</v>
      </c>
      <c r="C753" s="227" t="s">
        <v>109</v>
      </c>
      <c r="D753" s="227" t="s">
        <v>139</v>
      </c>
      <c r="E753" s="227" t="s">
        <v>85</v>
      </c>
      <c r="F753" s="227" t="s">
        <v>85</v>
      </c>
      <c r="G753" s="227" t="s">
        <v>85</v>
      </c>
      <c r="H753" s="231">
        <v>0</v>
      </c>
      <c r="I753" s="232">
        <v>0</v>
      </c>
      <c r="J753" s="230">
        <v>46051</v>
      </c>
      <c r="K753" s="227" t="s">
        <v>85</v>
      </c>
      <c r="L753" s="227" t="s">
        <v>85</v>
      </c>
      <c r="M753" s="233">
        <v>0</v>
      </c>
      <c r="N753" s="231"/>
      <c r="O753" s="231"/>
      <c r="P753" s="234">
        <v>-417</v>
      </c>
    </row>
    <row r="754" spans="1:16" ht="19.5" customHeight="1">
      <c r="A754" s="227" t="s">
        <v>145</v>
      </c>
      <c r="B754" s="230">
        <v>46051</v>
      </c>
      <c r="C754" s="227" t="s">
        <v>109</v>
      </c>
      <c r="D754" s="227" t="s">
        <v>139</v>
      </c>
      <c r="E754" s="227" t="s">
        <v>85</v>
      </c>
      <c r="F754" s="227" t="s">
        <v>85</v>
      </c>
      <c r="G754" s="227" t="s">
        <v>85</v>
      </c>
      <c r="H754" s="231">
        <v>0</v>
      </c>
      <c r="I754" s="232">
        <v>0</v>
      </c>
      <c r="J754" s="230">
        <v>46051</v>
      </c>
      <c r="K754" s="227" t="s">
        <v>85</v>
      </c>
      <c r="L754" s="227" t="s">
        <v>85</v>
      </c>
      <c r="M754" s="233">
        <v>0</v>
      </c>
      <c r="N754" s="231"/>
      <c r="O754" s="231"/>
      <c r="P754" s="234">
        <v>-1231.1400000000001</v>
      </c>
    </row>
    <row r="755" spans="1:16" ht="19.5" customHeight="1">
      <c r="A755" s="227" t="s">
        <v>1206</v>
      </c>
      <c r="B755" s="230">
        <v>46051</v>
      </c>
      <c r="C755" s="227" t="s">
        <v>109</v>
      </c>
      <c r="D755" s="227" t="s">
        <v>139</v>
      </c>
      <c r="E755" s="227" t="s">
        <v>85</v>
      </c>
      <c r="F755" s="227" t="s">
        <v>85</v>
      </c>
      <c r="G755" s="227" t="s">
        <v>85</v>
      </c>
      <c r="H755" s="231">
        <v>0</v>
      </c>
      <c r="I755" s="232">
        <v>0</v>
      </c>
      <c r="J755" s="230">
        <v>46051</v>
      </c>
      <c r="K755" s="227" t="s">
        <v>85</v>
      </c>
      <c r="L755" s="227" t="s">
        <v>85</v>
      </c>
      <c r="M755" s="233">
        <v>0</v>
      </c>
      <c r="N755" s="231"/>
      <c r="O755" s="231"/>
      <c r="P755" s="234">
        <v>-295.82</v>
      </c>
    </row>
    <row r="756" spans="1:16" ht="19.5" customHeight="1">
      <c r="A756" s="227" t="s">
        <v>144</v>
      </c>
      <c r="B756" s="230">
        <v>46051</v>
      </c>
      <c r="C756" s="227" t="s">
        <v>109</v>
      </c>
      <c r="D756" s="227" t="s">
        <v>139</v>
      </c>
      <c r="E756" s="227" t="s">
        <v>85</v>
      </c>
      <c r="F756" s="227" t="s">
        <v>85</v>
      </c>
      <c r="G756" s="227" t="s">
        <v>85</v>
      </c>
      <c r="H756" s="231">
        <v>0</v>
      </c>
      <c r="I756" s="232">
        <v>0</v>
      </c>
      <c r="J756" s="230">
        <v>46051</v>
      </c>
      <c r="K756" s="227" t="s">
        <v>85</v>
      </c>
      <c r="L756" s="227" t="s">
        <v>85</v>
      </c>
      <c r="M756" s="233">
        <v>0</v>
      </c>
      <c r="N756" s="231"/>
      <c r="O756" s="231"/>
      <c r="P756" s="234">
        <v>-1148.23</v>
      </c>
    </row>
    <row r="757" spans="1:16" ht="19.5" customHeight="1">
      <c r="A757" s="227" t="s">
        <v>1262</v>
      </c>
      <c r="B757" s="230">
        <v>46052</v>
      </c>
      <c r="C757" s="227" t="s">
        <v>92</v>
      </c>
      <c r="D757" s="227" t="s">
        <v>24</v>
      </c>
      <c r="E757" s="227" t="s">
        <v>53</v>
      </c>
      <c r="F757" s="227" t="s">
        <v>120</v>
      </c>
      <c r="G757" s="227" t="s">
        <v>84</v>
      </c>
      <c r="H757" s="231">
        <v>1</v>
      </c>
      <c r="I757" s="232">
        <v>0</v>
      </c>
      <c r="J757" s="230">
        <v>46048</v>
      </c>
      <c r="K757" s="227" t="s">
        <v>93</v>
      </c>
      <c r="L757" s="227" t="s">
        <v>94</v>
      </c>
      <c r="M757" s="233">
        <v>0</v>
      </c>
      <c r="N757" s="231"/>
      <c r="O757" s="231">
        <v>44</v>
      </c>
      <c r="P757" s="234">
        <v>-56.94</v>
      </c>
    </row>
    <row r="758" spans="1:16" ht="19.5" customHeight="1">
      <c r="A758" s="227" t="s">
        <v>1262</v>
      </c>
      <c r="B758" s="230">
        <v>46052</v>
      </c>
      <c r="C758" s="227" t="s">
        <v>81</v>
      </c>
      <c r="D758" s="227" t="s">
        <v>95</v>
      </c>
      <c r="E758" s="227" t="s">
        <v>53</v>
      </c>
      <c r="F758" s="227" t="s">
        <v>120</v>
      </c>
      <c r="G758" s="227" t="s">
        <v>84</v>
      </c>
      <c r="H758" s="231">
        <v>1</v>
      </c>
      <c r="I758" s="232">
        <v>0</v>
      </c>
      <c r="J758" s="230">
        <v>46048</v>
      </c>
      <c r="K758" s="227" t="s">
        <v>93</v>
      </c>
      <c r="L758" s="227" t="s">
        <v>94</v>
      </c>
      <c r="M758" s="233">
        <v>0</v>
      </c>
      <c r="N758" s="231"/>
      <c r="O758" s="231"/>
      <c r="P758" s="234">
        <v>-16.95</v>
      </c>
    </row>
    <row r="759" spans="1:16" ht="19.5" customHeight="1">
      <c r="A759" s="227" t="s">
        <v>1262</v>
      </c>
      <c r="B759" s="230">
        <v>46052</v>
      </c>
      <c r="C759" s="227" t="s">
        <v>92</v>
      </c>
      <c r="D759" s="227" t="s">
        <v>96</v>
      </c>
      <c r="E759" s="227" t="s">
        <v>53</v>
      </c>
      <c r="F759" s="227" t="s">
        <v>120</v>
      </c>
      <c r="G759" s="227" t="s">
        <v>84</v>
      </c>
      <c r="H759" s="231">
        <v>1</v>
      </c>
      <c r="I759" s="232">
        <v>0</v>
      </c>
      <c r="J759" s="230">
        <v>46048</v>
      </c>
      <c r="K759" s="227" t="s">
        <v>93</v>
      </c>
      <c r="L759" s="227" t="s">
        <v>94</v>
      </c>
      <c r="M759" s="233">
        <v>0</v>
      </c>
      <c r="N759" s="231"/>
      <c r="O759" s="231"/>
      <c r="P759" s="234">
        <v>0</v>
      </c>
    </row>
    <row r="760" spans="1:16" ht="19.5" customHeight="1">
      <c r="A760" s="227" t="s">
        <v>1262</v>
      </c>
      <c r="B760" s="230">
        <v>46052</v>
      </c>
      <c r="C760" s="227" t="s">
        <v>92</v>
      </c>
      <c r="D760" s="227" t="s">
        <v>97</v>
      </c>
      <c r="E760" s="227" t="s">
        <v>53</v>
      </c>
      <c r="F760" s="227" t="s">
        <v>120</v>
      </c>
      <c r="G760" s="227" t="s">
        <v>84</v>
      </c>
      <c r="H760" s="231">
        <v>1</v>
      </c>
      <c r="I760" s="232">
        <v>0</v>
      </c>
      <c r="J760" s="230">
        <v>46048</v>
      </c>
      <c r="K760" s="227" t="s">
        <v>93</v>
      </c>
      <c r="L760" s="227" t="s">
        <v>94</v>
      </c>
      <c r="M760" s="233">
        <v>0</v>
      </c>
      <c r="N760" s="231"/>
      <c r="O760" s="231"/>
      <c r="P760" s="234">
        <v>-56.94</v>
      </c>
    </row>
    <row r="761" spans="1:16" ht="19.5" customHeight="1">
      <c r="A761" s="227" t="s">
        <v>1262</v>
      </c>
      <c r="B761" s="230">
        <v>46052</v>
      </c>
      <c r="C761" s="227" t="s">
        <v>81</v>
      </c>
      <c r="D761" s="227" t="s">
        <v>98</v>
      </c>
      <c r="E761" s="227" t="s">
        <v>53</v>
      </c>
      <c r="F761" s="227" t="s">
        <v>120</v>
      </c>
      <c r="G761" s="227" t="s">
        <v>84</v>
      </c>
      <c r="H761" s="231">
        <v>1</v>
      </c>
      <c r="I761" s="232">
        <v>0</v>
      </c>
      <c r="J761" s="230">
        <v>46048</v>
      </c>
      <c r="K761" s="227" t="s">
        <v>93</v>
      </c>
      <c r="L761" s="227" t="s">
        <v>94</v>
      </c>
      <c r="M761" s="233">
        <v>0</v>
      </c>
      <c r="N761" s="231"/>
      <c r="O761" s="231"/>
      <c r="P761" s="234">
        <v>-15</v>
      </c>
    </row>
    <row r="762" spans="1:16" ht="19.5" customHeight="1">
      <c r="A762" s="227" t="s">
        <v>1263</v>
      </c>
      <c r="B762" s="230">
        <v>46052</v>
      </c>
      <c r="C762" s="227" t="s">
        <v>92</v>
      </c>
      <c r="D762" s="227" t="s">
        <v>24</v>
      </c>
      <c r="E762" s="227" t="s">
        <v>43</v>
      </c>
      <c r="F762" s="227" t="s">
        <v>125</v>
      </c>
      <c r="G762" s="227" t="s">
        <v>84</v>
      </c>
      <c r="H762" s="231">
        <v>1</v>
      </c>
      <c r="I762" s="232">
        <v>0</v>
      </c>
      <c r="J762" s="230">
        <v>46048</v>
      </c>
      <c r="K762" s="227" t="s">
        <v>93</v>
      </c>
      <c r="L762" s="227" t="s">
        <v>94</v>
      </c>
      <c r="M762" s="233">
        <v>0</v>
      </c>
      <c r="N762" s="231"/>
      <c r="O762" s="231">
        <v>44</v>
      </c>
      <c r="P762" s="234">
        <v>-46.77</v>
      </c>
    </row>
    <row r="763" spans="1:16" ht="19.5" customHeight="1">
      <c r="A763" s="227" t="s">
        <v>1263</v>
      </c>
      <c r="B763" s="230">
        <v>46052</v>
      </c>
      <c r="C763" s="227" t="s">
        <v>81</v>
      </c>
      <c r="D763" s="227" t="s">
        <v>95</v>
      </c>
      <c r="E763" s="227" t="s">
        <v>43</v>
      </c>
      <c r="F763" s="227" t="s">
        <v>125</v>
      </c>
      <c r="G763" s="227" t="s">
        <v>84</v>
      </c>
      <c r="H763" s="231">
        <v>1</v>
      </c>
      <c r="I763" s="232">
        <v>0</v>
      </c>
      <c r="J763" s="230">
        <v>46048</v>
      </c>
      <c r="K763" s="227" t="s">
        <v>93</v>
      </c>
      <c r="L763" s="227" t="s">
        <v>94</v>
      </c>
      <c r="M763" s="233">
        <v>0</v>
      </c>
      <c r="N763" s="231"/>
      <c r="O763" s="231"/>
      <c r="P763" s="234">
        <v>-10.67</v>
      </c>
    </row>
    <row r="764" spans="1:16" ht="19.5" customHeight="1">
      <c r="A764" s="227" t="s">
        <v>1263</v>
      </c>
      <c r="B764" s="230">
        <v>46052</v>
      </c>
      <c r="C764" s="227" t="s">
        <v>92</v>
      </c>
      <c r="D764" s="227" t="s">
        <v>96</v>
      </c>
      <c r="E764" s="227" t="s">
        <v>43</v>
      </c>
      <c r="F764" s="227" t="s">
        <v>125</v>
      </c>
      <c r="G764" s="227" t="s">
        <v>84</v>
      </c>
      <c r="H764" s="231">
        <v>1</v>
      </c>
      <c r="I764" s="232">
        <v>0</v>
      </c>
      <c r="J764" s="230">
        <v>46048</v>
      </c>
      <c r="K764" s="227" t="s">
        <v>93</v>
      </c>
      <c r="L764" s="227" t="s">
        <v>94</v>
      </c>
      <c r="M764" s="233">
        <v>0</v>
      </c>
      <c r="N764" s="231"/>
      <c r="O764" s="231"/>
      <c r="P764" s="234">
        <v>0</v>
      </c>
    </row>
    <row r="765" spans="1:16" ht="19.5" customHeight="1">
      <c r="A765" s="227" t="s">
        <v>1263</v>
      </c>
      <c r="B765" s="230">
        <v>46052</v>
      </c>
      <c r="C765" s="227" t="s">
        <v>92</v>
      </c>
      <c r="D765" s="227" t="s">
        <v>97</v>
      </c>
      <c r="E765" s="227" t="s">
        <v>43</v>
      </c>
      <c r="F765" s="227" t="s">
        <v>125</v>
      </c>
      <c r="G765" s="227" t="s">
        <v>84</v>
      </c>
      <c r="H765" s="231">
        <v>1</v>
      </c>
      <c r="I765" s="232">
        <v>0</v>
      </c>
      <c r="J765" s="230">
        <v>46048</v>
      </c>
      <c r="K765" s="227" t="s">
        <v>93</v>
      </c>
      <c r="L765" s="227" t="s">
        <v>94</v>
      </c>
      <c r="M765" s="233">
        <v>0</v>
      </c>
      <c r="N765" s="231"/>
      <c r="O765" s="231"/>
      <c r="P765" s="234">
        <v>-46.77</v>
      </c>
    </row>
    <row r="766" spans="1:16" ht="19.5" customHeight="1">
      <c r="A766" s="227" t="s">
        <v>1263</v>
      </c>
      <c r="B766" s="230">
        <v>46052</v>
      </c>
      <c r="C766" s="227" t="s">
        <v>81</v>
      </c>
      <c r="D766" s="227" t="s">
        <v>98</v>
      </c>
      <c r="E766" s="227" t="s">
        <v>43</v>
      </c>
      <c r="F766" s="227" t="s">
        <v>125</v>
      </c>
      <c r="G766" s="227" t="s">
        <v>84</v>
      </c>
      <c r="H766" s="231">
        <v>1</v>
      </c>
      <c r="I766" s="232">
        <v>0</v>
      </c>
      <c r="J766" s="230">
        <v>46048</v>
      </c>
      <c r="K766" s="227" t="s">
        <v>93</v>
      </c>
      <c r="L766" s="227" t="s">
        <v>94</v>
      </c>
      <c r="M766" s="233">
        <v>0</v>
      </c>
      <c r="N766" s="231"/>
      <c r="O766" s="231"/>
      <c r="P766" s="234">
        <v>-15</v>
      </c>
    </row>
    <row r="767" spans="1:16" ht="19.5" customHeight="1">
      <c r="A767" s="227" t="s">
        <v>1264</v>
      </c>
      <c r="B767" s="230">
        <v>46052</v>
      </c>
      <c r="C767" s="227" t="s">
        <v>81</v>
      </c>
      <c r="D767" s="227" t="s">
        <v>82</v>
      </c>
      <c r="E767" s="227" t="s">
        <v>57</v>
      </c>
      <c r="F767" s="227" t="s">
        <v>1265</v>
      </c>
      <c r="G767" s="227" t="s">
        <v>84</v>
      </c>
      <c r="H767" s="231">
        <v>1</v>
      </c>
      <c r="I767" s="232">
        <v>0</v>
      </c>
      <c r="J767" s="230">
        <v>46052</v>
      </c>
      <c r="K767" s="227" t="s">
        <v>85</v>
      </c>
      <c r="L767" s="227" t="s">
        <v>85</v>
      </c>
      <c r="M767" s="233">
        <v>0</v>
      </c>
      <c r="N767" s="231"/>
      <c r="O767" s="231"/>
      <c r="P767" s="234">
        <v>-22.22</v>
      </c>
    </row>
    <row r="768" spans="1:16" ht="19.5" customHeight="1">
      <c r="A768" s="227" t="s">
        <v>85</v>
      </c>
      <c r="B768" s="230">
        <v>46052</v>
      </c>
      <c r="C768" s="227" t="s">
        <v>109</v>
      </c>
      <c r="D768" s="227" t="s">
        <v>110</v>
      </c>
      <c r="E768" s="227" t="s">
        <v>85</v>
      </c>
      <c r="F768" s="227" t="s">
        <v>85</v>
      </c>
      <c r="G768" s="227" t="s">
        <v>1266</v>
      </c>
      <c r="H768" s="231">
        <v>0</v>
      </c>
      <c r="I768" s="232">
        <v>0</v>
      </c>
      <c r="J768" s="230">
        <v>46052</v>
      </c>
      <c r="K768" s="227" t="s">
        <v>85</v>
      </c>
      <c r="L768" s="227" t="s">
        <v>85</v>
      </c>
      <c r="M768" s="233">
        <v>0</v>
      </c>
      <c r="N768" s="231"/>
      <c r="O768" s="231"/>
      <c r="P768" s="234">
        <v>-150</v>
      </c>
    </row>
    <row r="769" spans="1:16" ht="19.5" customHeight="1">
      <c r="A769" s="227" t="s">
        <v>1267</v>
      </c>
      <c r="B769" s="230">
        <v>46052</v>
      </c>
      <c r="C769" s="227" t="s">
        <v>81</v>
      </c>
      <c r="D769" s="227" t="s">
        <v>82</v>
      </c>
      <c r="E769" s="227" t="s">
        <v>53</v>
      </c>
      <c r="F769" s="227" t="s">
        <v>120</v>
      </c>
      <c r="G769" s="227" t="s">
        <v>84</v>
      </c>
      <c r="H769" s="231">
        <v>1</v>
      </c>
      <c r="I769" s="232">
        <v>0</v>
      </c>
      <c r="J769" s="230">
        <v>46052</v>
      </c>
      <c r="K769" s="227" t="s">
        <v>85</v>
      </c>
      <c r="L769" s="227" t="s">
        <v>85</v>
      </c>
      <c r="M769" s="233">
        <v>0</v>
      </c>
      <c r="N769" s="231"/>
      <c r="O769" s="231"/>
      <c r="P769" s="234">
        <v>-12.58</v>
      </c>
    </row>
    <row r="770" spans="1:16" ht="19.5" customHeight="1">
      <c r="A770" s="227" t="s">
        <v>1268</v>
      </c>
      <c r="B770" s="230">
        <v>46052</v>
      </c>
      <c r="C770" s="227" t="s">
        <v>92</v>
      </c>
      <c r="D770" s="227" t="s">
        <v>24</v>
      </c>
      <c r="E770" s="227" t="s">
        <v>52</v>
      </c>
      <c r="F770" s="227" t="s">
        <v>90</v>
      </c>
      <c r="G770" s="227" t="s">
        <v>84</v>
      </c>
      <c r="H770" s="231">
        <v>1</v>
      </c>
      <c r="I770" s="232">
        <v>1800</v>
      </c>
      <c r="J770" s="230">
        <v>46050</v>
      </c>
      <c r="K770" s="227" t="s">
        <v>93</v>
      </c>
      <c r="L770" s="227" t="s">
        <v>94</v>
      </c>
      <c r="M770" s="233">
        <v>0.43</v>
      </c>
      <c r="N770" s="231"/>
      <c r="O770" s="231">
        <v>44</v>
      </c>
      <c r="P770" s="234">
        <v>-147.97999999999999</v>
      </c>
    </row>
    <row r="771" spans="1:16" ht="19.5" customHeight="1">
      <c r="A771" s="227" t="s">
        <v>1268</v>
      </c>
      <c r="B771" s="230">
        <v>46052</v>
      </c>
      <c r="C771" s="227" t="s">
        <v>100</v>
      </c>
      <c r="D771" s="227" t="s">
        <v>101</v>
      </c>
      <c r="E771" s="227" t="s">
        <v>52</v>
      </c>
      <c r="F771" s="227" t="s">
        <v>90</v>
      </c>
      <c r="G771" s="227" t="s">
        <v>84</v>
      </c>
      <c r="H771" s="231">
        <v>1</v>
      </c>
      <c r="I771" s="232">
        <v>1800</v>
      </c>
      <c r="J771" s="230">
        <v>46050</v>
      </c>
      <c r="K771" s="227" t="s">
        <v>93</v>
      </c>
      <c r="L771" s="227" t="s">
        <v>94</v>
      </c>
      <c r="M771" s="233">
        <v>0</v>
      </c>
      <c r="N771" s="231"/>
      <c r="O771" s="231"/>
      <c r="P771" s="234">
        <v>703.14</v>
      </c>
    </row>
    <row r="772" spans="1:16" ht="19.5" customHeight="1">
      <c r="A772" s="227" t="s">
        <v>1268</v>
      </c>
      <c r="B772" s="230">
        <v>46052</v>
      </c>
      <c r="C772" s="227" t="s">
        <v>100</v>
      </c>
      <c r="D772" s="227" t="s">
        <v>102</v>
      </c>
      <c r="E772" s="227" t="s">
        <v>52</v>
      </c>
      <c r="F772" s="227" t="s">
        <v>90</v>
      </c>
      <c r="G772" s="227" t="s">
        <v>84</v>
      </c>
      <c r="H772" s="231">
        <v>1</v>
      </c>
      <c r="I772" s="232">
        <v>1800</v>
      </c>
      <c r="J772" s="230">
        <v>46050</v>
      </c>
      <c r="K772" s="227" t="s">
        <v>93</v>
      </c>
      <c r="L772" s="227" t="s">
        <v>94</v>
      </c>
      <c r="M772" s="233">
        <v>0</v>
      </c>
      <c r="N772" s="231"/>
      <c r="O772" s="231"/>
      <c r="P772" s="234">
        <v>0</v>
      </c>
    </row>
    <row r="773" spans="1:16" ht="19.5" customHeight="1">
      <c r="A773" s="227" t="s">
        <v>1268</v>
      </c>
      <c r="B773" s="230">
        <v>46052</v>
      </c>
      <c r="C773" s="227" t="s">
        <v>100</v>
      </c>
      <c r="D773" s="227" t="s">
        <v>103</v>
      </c>
      <c r="E773" s="227" t="s">
        <v>52</v>
      </c>
      <c r="F773" s="227" t="s">
        <v>90</v>
      </c>
      <c r="G773" s="227" t="s">
        <v>84</v>
      </c>
      <c r="H773" s="231">
        <v>1</v>
      </c>
      <c r="I773" s="232">
        <v>1800</v>
      </c>
      <c r="J773" s="230">
        <v>46050</v>
      </c>
      <c r="K773" s="227" t="s">
        <v>93</v>
      </c>
      <c r="L773" s="227" t="s">
        <v>94</v>
      </c>
      <c r="M773" s="233">
        <v>0</v>
      </c>
      <c r="N773" s="231"/>
      <c r="O773" s="231"/>
      <c r="P773" s="234">
        <v>1096.8599999999999</v>
      </c>
    </row>
    <row r="774" spans="1:16" ht="19.5" customHeight="1">
      <c r="A774" s="227" t="s">
        <v>1268</v>
      </c>
      <c r="B774" s="230">
        <v>46052</v>
      </c>
      <c r="C774" s="227" t="s">
        <v>104</v>
      </c>
      <c r="D774" s="227" t="s">
        <v>105</v>
      </c>
      <c r="E774" s="227" t="s">
        <v>52</v>
      </c>
      <c r="F774" s="227" t="s">
        <v>90</v>
      </c>
      <c r="G774" s="227" t="s">
        <v>84</v>
      </c>
      <c r="H774" s="231">
        <v>1</v>
      </c>
      <c r="I774" s="232">
        <v>1800</v>
      </c>
      <c r="J774" s="230">
        <v>46050</v>
      </c>
      <c r="K774" s="227" t="s">
        <v>93</v>
      </c>
      <c r="L774" s="227" t="s">
        <v>94</v>
      </c>
      <c r="M774" s="233">
        <v>0.43</v>
      </c>
      <c r="N774" s="231"/>
      <c r="O774" s="231"/>
      <c r="P774" s="234">
        <v>-774</v>
      </c>
    </row>
    <row r="775" spans="1:16" ht="19.5" customHeight="1">
      <c r="A775" s="227" t="s">
        <v>1268</v>
      </c>
      <c r="B775" s="230">
        <v>46052</v>
      </c>
      <c r="C775" s="227" t="s">
        <v>81</v>
      </c>
      <c r="D775" s="227" t="s">
        <v>95</v>
      </c>
      <c r="E775" s="227" t="s">
        <v>52</v>
      </c>
      <c r="F775" s="227" t="s">
        <v>90</v>
      </c>
      <c r="G775" s="227" t="s">
        <v>84</v>
      </c>
      <c r="H775" s="231">
        <v>1</v>
      </c>
      <c r="I775" s="232">
        <v>1800</v>
      </c>
      <c r="J775" s="230">
        <v>46050</v>
      </c>
      <c r="K775" s="227" t="s">
        <v>93</v>
      </c>
      <c r="L775" s="227" t="s">
        <v>94</v>
      </c>
      <c r="M775" s="233">
        <v>0.43</v>
      </c>
      <c r="N775" s="231"/>
      <c r="O775" s="231"/>
      <c r="P775" s="234">
        <v>-18.739999999999998</v>
      </c>
    </row>
    <row r="776" spans="1:16" ht="19.5" customHeight="1">
      <c r="A776" s="227" t="s">
        <v>1269</v>
      </c>
      <c r="B776" s="230">
        <v>46052</v>
      </c>
      <c r="C776" s="227" t="s">
        <v>354</v>
      </c>
      <c r="D776" s="227" t="s">
        <v>892</v>
      </c>
      <c r="E776" s="227" t="s">
        <v>85</v>
      </c>
      <c r="F776" s="227" t="s">
        <v>85</v>
      </c>
      <c r="G776" s="227" t="s">
        <v>85</v>
      </c>
      <c r="H776" s="231">
        <v>0</v>
      </c>
      <c r="I776" s="232">
        <v>0</v>
      </c>
      <c r="J776" s="230">
        <v>46041</v>
      </c>
      <c r="K776" s="227" t="s">
        <v>85</v>
      </c>
      <c r="L776" s="227" t="s">
        <v>85</v>
      </c>
      <c r="M776" s="233">
        <v>0</v>
      </c>
      <c r="N776" s="231"/>
      <c r="O776" s="231"/>
      <c r="P776" s="234">
        <v>-2162.5</v>
      </c>
    </row>
    <row r="777" spans="1:16" ht="19.5" customHeight="1">
      <c r="A777" s="227" t="s">
        <v>1269</v>
      </c>
      <c r="B777" s="230">
        <v>46052</v>
      </c>
      <c r="C777" s="227" t="s">
        <v>354</v>
      </c>
      <c r="D777" s="227" t="s">
        <v>892</v>
      </c>
      <c r="E777" s="227" t="s">
        <v>85</v>
      </c>
      <c r="F777" s="227" t="s">
        <v>85</v>
      </c>
      <c r="G777" s="227" t="s">
        <v>85</v>
      </c>
      <c r="H777" s="231">
        <v>0</v>
      </c>
      <c r="I777" s="232">
        <v>0</v>
      </c>
      <c r="J777" s="230">
        <v>46041</v>
      </c>
      <c r="K777" s="227" t="s">
        <v>85</v>
      </c>
      <c r="L777" s="227" t="s">
        <v>85</v>
      </c>
      <c r="M777" s="233">
        <v>0</v>
      </c>
      <c r="N777" s="231"/>
      <c r="O777" s="231"/>
      <c r="P777" s="234">
        <v>-2162.5</v>
      </c>
    </row>
    <row r="778" spans="1:16" ht="19.5" customHeight="1">
      <c r="A778" s="227" t="s">
        <v>1270</v>
      </c>
      <c r="B778" s="230">
        <v>46052</v>
      </c>
      <c r="C778" s="227" t="s">
        <v>92</v>
      </c>
      <c r="D778" s="227" t="s">
        <v>24</v>
      </c>
      <c r="E778" s="227" t="s">
        <v>43</v>
      </c>
      <c r="F778" s="227" t="s">
        <v>125</v>
      </c>
      <c r="G778" s="227" t="s">
        <v>84</v>
      </c>
      <c r="H778" s="231">
        <v>1</v>
      </c>
      <c r="I778" s="232">
        <v>1750</v>
      </c>
      <c r="J778" s="230">
        <v>46051</v>
      </c>
      <c r="K778" s="227" t="s">
        <v>93</v>
      </c>
      <c r="L778" s="227" t="s">
        <v>94</v>
      </c>
      <c r="M778" s="233">
        <v>0.43</v>
      </c>
      <c r="N778" s="231"/>
      <c r="O778" s="231">
        <v>44</v>
      </c>
      <c r="P778" s="234">
        <v>-131.37</v>
      </c>
    </row>
    <row r="779" spans="1:16" ht="19.5" customHeight="1">
      <c r="A779" s="227" t="s">
        <v>1270</v>
      </c>
      <c r="B779" s="230">
        <v>46052</v>
      </c>
      <c r="C779" s="227" t="s">
        <v>100</v>
      </c>
      <c r="D779" s="227" t="s">
        <v>101</v>
      </c>
      <c r="E779" s="227" t="s">
        <v>43</v>
      </c>
      <c r="F779" s="227" t="s">
        <v>125</v>
      </c>
      <c r="G779" s="227" t="s">
        <v>84</v>
      </c>
      <c r="H779" s="231">
        <v>1</v>
      </c>
      <c r="I779" s="232">
        <v>1750</v>
      </c>
      <c r="J779" s="230">
        <v>46051</v>
      </c>
      <c r="K779" s="227" t="s">
        <v>93</v>
      </c>
      <c r="L779" s="227" t="s">
        <v>94</v>
      </c>
      <c r="M779" s="233">
        <v>0</v>
      </c>
      <c r="N779" s="231"/>
      <c r="O779" s="231"/>
      <c r="P779" s="234">
        <v>609.52</v>
      </c>
    </row>
    <row r="780" spans="1:16" ht="19.5" customHeight="1">
      <c r="A780" s="227" t="s">
        <v>1270</v>
      </c>
      <c r="B780" s="230">
        <v>46052</v>
      </c>
      <c r="C780" s="227" t="s">
        <v>100</v>
      </c>
      <c r="D780" s="227" t="s">
        <v>102</v>
      </c>
      <c r="E780" s="227" t="s">
        <v>43</v>
      </c>
      <c r="F780" s="227" t="s">
        <v>125</v>
      </c>
      <c r="G780" s="227" t="s">
        <v>84</v>
      </c>
      <c r="H780" s="231">
        <v>1</v>
      </c>
      <c r="I780" s="232">
        <v>1750</v>
      </c>
      <c r="J780" s="230">
        <v>46051</v>
      </c>
      <c r="K780" s="227" t="s">
        <v>93</v>
      </c>
      <c r="L780" s="227" t="s">
        <v>94</v>
      </c>
      <c r="M780" s="233">
        <v>0</v>
      </c>
      <c r="N780" s="231"/>
      <c r="O780" s="231"/>
      <c r="P780" s="234">
        <v>6.1</v>
      </c>
    </row>
    <row r="781" spans="1:16" ht="19.5" customHeight="1">
      <c r="A781" s="227" t="s">
        <v>1270</v>
      </c>
      <c r="B781" s="230">
        <v>46052</v>
      </c>
      <c r="C781" s="227" t="s">
        <v>100</v>
      </c>
      <c r="D781" s="227" t="s">
        <v>103</v>
      </c>
      <c r="E781" s="227" t="s">
        <v>43</v>
      </c>
      <c r="F781" s="227" t="s">
        <v>125</v>
      </c>
      <c r="G781" s="227" t="s">
        <v>84</v>
      </c>
      <c r="H781" s="231">
        <v>1</v>
      </c>
      <c r="I781" s="232">
        <v>1750</v>
      </c>
      <c r="J781" s="230">
        <v>46051</v>
      </c>
      <c r="K781" s="227" t="s">
        <v>93</v>
      </c>
      <c r="L781" s="227" t="s">
        <v>94</v>
      </c>
      <c r="M781" s="233">
        <v>0</v>
      </c>
      <c r="N781" s="231"/>
      <c r="O781" s="231"/>
      <c r="P781" s="234">
        <v>1134.3800000000001</v>
      </c>
    </row>
    <row r="782" spans="1:16" ht="19.5" customHeight="1">
      <c r="A782" s="227" t="s">
        <v>1270</v>
      </c>
      <c r="B782" s="230">
        <v>46052</v>
      </c>
      <c r="C782" s="227" t="s">
        <v>104</v>
      </c>
      <c r="D782" s="227" t="s">
        <v>105</v>
      </c>
      <c r="E782" s="227" t="s">
        <v>43</v>
      </c>
      <c r="F782" s="227" t="s">
        <v>125</v>
      </c>
      <c r="G782" s="227" t="s">
        <v>84</v>
      </c>
      <c r="H782" s="231">
        <v>1</v>
      </c>
      <c r="I782" s="232">
        <v>1750</v>
      </c>
      <c r="J782" s="230">
        <v>46051</v>
      </c>
      <c r="K782" s="227" t="s">
        <v>93</v>
      </c>
      <c r="L782" s="227" t="s">
        <v>94</v>
      </c>
      <c r="M782" s="233">
        <v>0.43</v>
      </c>
      <c r="N782" s="231"/>
      <c r="O782" s="231"/>
      <c r="P782" s="234">
        <v>-752.5</v>
      </c>
    </row>
    <row r="783" spans="1:16" ht="19.5" customHeight="1">
      <c r="A783" s="227" t="s">
        <v>1270</v>
      </c>
      <c r="B783" s="230">
        <v>46052</v>
      </c>
      <c r="C783" s="227" t="s">
        <v>81</v>
      </c>
      <c r="D783" s="227" t="s">
        <v>95</v>
      </c>
      <c r="E783" s="227" t="s">
        <v>43</v>
      </c>
      <c r="F783" s="227" t="s">
        <v>125</v>
      </c>
      <c r="G783" s="227" t="s">
        <v>84</v>
      </c>
      <c r="H783" s="231">
        <v>1</v>
      </c>
      <c r="I783" s="232">
        <v>1750</v>
      </c>
      <c r="J783" s="230">
        <v>46051</v>
      </c>
      <c r="K783" s="227" t="s">
        <v>93</v>
      </c>
      <c r="L783" s="227" t="s">
        <v>94</v>
      </c>
      <c r="M783" s="233">
        <v>0.43</v>
      </c>
      <c r="N783" s="231"/>
      <c r="O783" s="231"/>
      <c r="P783" s="234">
        <v>-10.63</v>
      </c>
    </row>
    <row r="784" spans="1:16" ht="19.5" customHeight="1">
      <c r="A784" s="227" t="s">
        <v>1271</v>
      </c>
      <c r="B784" s="230">
        <v>46052</v>
      </c>
      <c r="C784" s="227" t="s">
        <v>81</v>
      </c>
      <c r="D784" s="227" t="s">
        <v>82</v>
      </c>
      <c r="E784" s="227" t="s">
        <v>53</v>
      </c>
      <c r="F784" s="227" t="s">
        <v>120</v>
      </c>
      <c r="G784" s="227" t="s">
        <v>84</v>
      </c>
      <c r="H784" s="231">
        <v>1</v>
      </c>
      <c r="I784" s="232">
        <v>0</v>
      </c>
      <c r="J784" s="230">
        <v>46052</v>
      </c>
      <c r="K784" s="227" t="s">
        <v>85</v>
      </c>
      <c r="L784" s="227" t="s">
        <v>85</v>
      </c>
      <c r="M784" s="233">
        <v>0</v>
      </c>
      <c r="N784" s="231"/>
      <c r="O784" s="231"/>
      <c r="P784" s="234">
        <v>-3.84</v>
      </c>
    </row>
    <row r="785" spans="1:16" ht="19.5" customHeight="1">
      <c r="A785" s="227" t="s">
        <v>1272</v>
      </c>
      <c r="B785" s="230">
        <v>46052</v>
      </c>
      <c r="C785" s="227" t="s">
        <v>92</v>
      </c>
      <c r="D785" s="227" t="s">
        <v>24</v>
      </c>
      <c r="E785" s="227" t="s">
        <v>52</v>
      </c>
      <c r="F785" s="227" t="s">
        <v>90</v>
      </c>
      <c r="G785" s="227" t="s">
        <v>84</v>
      </c>
      <c r="H785" s="231">
        <v>1</v>
      </c>
      <c r="I785" s="232">
        <v>1800</v>
      </c>
      <c r="J785" s="230">
        <v>46050</v>
      </c>
      <c r="K785" s="227" t="s">
        <v>93</v>
      </c>
      <c r="L785" s="227" t="s">
        <v>94</v>
      </c>
      <c r="M785" s="233">
        <v>0.43</v>
      </c>
      <c r="N785" s="231"/>
      <c r="O785" s="231">
        <v>44</v>
      </c>
      <c r="P785" s="234">
        <v>-147.97999999999999</v>
      </c>
    </row>
    <row r="786" spans="1:16" ht="19.5" customHeight="1">
      <c r="A786" s="227" t="s">
        <v>1272</v>
      </c>
      <c r="B786" s="230">
        <v>46052</v>
      </c>
      <c r="C786" s="227" t="s">
        <v>100</v>
      </c>
      <c r="D786" s="227" t="s">
        <v>101</v>
      </c>
      <c r="E786" s="227" t="s">
        <v>52</v>
      </c>
      <c r="F786" s="227" t="s">
        <v>90</v>
      </c>
      <c r="G786" s="227" t="s">
        <v>84</v>
      </c>
      <c r="H786" s="231">
        <v>1</v>
      </c>
      <c r="I786" s="232">
        <v>1800</v>
      </c>
      <c r="J786" s="230">
        <v>46050</v>
      </c>
      <c r="K786" s="227" t="s">
        <v>93</v>
      </c>
      <c r="L786" s="227" t="s">
        <v>94</v>
      </c>
      <c r="M786" s="233">
        <v>0</v>
      </c>
      <c r="N786" s="231"/>
      <c r="O786" s="231"/>
      <c r="P786" s="234">
        <v>477.02</v>
      </c>
    </row>
    <row r="787" spans="1:16" ht="19.5" customHeight="1">
      <c r="A787" s="227" t="s">
        <v>1272</v>
      </c>
      <c r="B787" s="230">
        <v>46052</v>
      </c>
      <c r="C787" s="227" t="s">
        <v>100</v>
      </c>
      <c r="D787" s="227" t="s">
        <v>102</v>
      </c>
      <c r="E787" s="227" t="s">
        <v>52</v>
      </c>
      <c r="F787" s="227" t="s">
        <v>90</v>
      </c>
      <c r="G787" s="227" t="s">
        <v>84</v>
      </c>
      <c r="H787" s="231">
        <v>1</v>
      </c>
      <c r="I787" s="232">
        <v>1800</v>
      </c>
      <c r="J787" s="230">
        <v>46050</v>
      </c>
      <c r="K787" s="227" t="s">
        <v>93</v>
      </c>
      <c r="L787" s="227" t="s">
        <v>94</v>
      </c>
      <c r="M787" s="233">
        <v>0</v>
      </c>
      <c r="N787" s="231"/>
      <c r="O787" s="231"/>
      <c r="P787" s="234">
        <v>4.7699999999999996</v>
      </c>
    </row>
    <row r="788" spans="1:16" ht="19.5" customHeight="1">
      <c r="A788" s="227" t="s">
        <v>1272</v>
      </c>
      <c r="B788" s="230">
        <v>46052</v>
      </c>
      <c r="C788" s="227" t="s">
        <v>100</v>
      </c>
      <c r="D788" s="227" t="s">
        <v>103</v>
      </c>
      <c r="E788" s="227" t="s">
        <v>52</v>
      </c>
      <c r="F788" s="227" t="s">
        <v>90</v>
      </c>
      <c r="G788" s="227" t="s">
        <v>84</v>
      </c>
      <c r="H788" s="231">
        <v>1</v>
      </c>
      <c r="I788" s="232">
        <v>1800</v>
      </c>
      <c r="J788" s="230">
        <v>46050</v>
      </c>
      <c r="K788" s="227" t="s">
        <v>93</v>
      </c>
      <c r="L788" s="227" t="s">
        <v>94</v>
      </c>
      <c r="M788" s="233">
        <v>0</v>
      </c>
      <c r="N788" s="231"/>
      <c r="O788" s="231"/>
      <c r="P788" s="234">
        <v>1318.21</v>
      </c>
    </row>
    <row r="789" spans="1:16" ht="19.5" customHeight="1">
      <c r="A789" s="227" t="s">
        <v>1272</v>
      </c>
      <c r="B789" s="230">
        <v>46052</v>
      </c>
      <c r="C789" s="227" t="s">
        <v>104</v>
      </c>
      <c r="D789" s="227" t="s">
        <v>105</v>
      </c>
      <c r="E789" s="227" t="s">
        <v>52</v>
      </c>
      <c r="F789" s="227" t="s">
        <v>90</v>
      </c>
      <c r="G789" s="227" t="s">
        <v>84</v>
      </c>
      <c r="H789" s="231">
        <v>1</v>
      </c>
      <c r="I789" s="232">
        <v>1800</v>
      </c>
      <c r="J789" s="230">
        <v>46050</v>
      </c>
      <c r="K789" s="227" t="s">
        <v>93</v>
      </c>
      <c r="L789" s="227" t="s">
        <v>94</v>
      </c>
      <c r="M789" s="233">
        <v>0.43</v>
      </c>
      <c r="N789" s="231"/>
      <c r="O789" s="231"/>
      <c r="P789" s="234">
        <v>-774</v>
      </c>
    </row>
    <row r="790" spans="1:16" ht="19.5" customHeight="1">
      <c r="A790" s="227" t="s">
        <v>1272</v>
      </c>
      <c r="B790" s="230">
        <v>46052</v>
      </c>
      <c r="C790" s="227" t="s">
        <v>81</v>
      </c>
      <c r="D790" s="227" t="s">
        <v>95</v>
      </c>
      <c r="E790" s="227" t="s">
        <v>52</v>
      </c>
      <c r="F790" s="227" t="s">
        <v>90</v>
      </c>
      <c r="G790" s="227" t="s">
        <v>84</v>
      </c>
      <c r="H790" s="231">
        <v>1</v>
      </c>
      <c r="I790" s="232">
        <v>1800</v>
      </c>
      <c r="J790" s="230">
        <v>46050</v>
      </c>
      <c r="K790" s="227" t="s">
        <v>93</v>
      </c>
      <c r="L790" s="227" t="s">
        <v>94</v>
      </c>
      <c r="M790" s="233">
        <v>0.43</v>
      </c>
      <c r="N790" s="231"/>
      <c r="O790" s="231"/>
      <c r="P790" s="234">
        <v>-10</v>
      </c>
    </row>
    <row r="791" spans="1:16" ht="19.5" customHeight="1">
      <c r="A791" s="227" t="s">
        <v>1272</v>
      </c>
      <c r="B791" s="230">
        <v>46052</v>
      </c>
      <c r="C791" s="227" t="s">
        <v>81</v>
      </c>
      <c r="D791" s="227" t="s">
        <v>82</v>
      </c>
      <c r="E791" s="227" t="s">
        <v>52</v>
      </c>
      <c r="F791" s="227" t="s">
        <v>90</v>
      </c>
      <c r="G791" s="227" t="s">
        <v>84</v>
      </c>
      <c r="H791" s="231">
        <v>1</v>
      </c>
      <c r="I791" s="232">
        <v>0</v>
      </c>
      <c r="J791" s="230">
        <v>46050</v>
      </c>
      <c r="K791" s="227" t="s">
        <v>85</v>
      </c>
      <c r="L791" s="227" t="s">
        <v>85</v>
      </c>
      <c r="M791" s="233">
        <v>0</v>
      </c>
      <c r="N791" s="231"/>
      <c r="O791" s="231"/>
      <c r="P791" s="234">
        <v>-9.06</v>
      </c>
    </row>
    <row r="792" spans="1:16" ht="19.5" customHeight="1">
      <c r="A792" s="227" t="s">
        <v>1273</v>
      </c>
      <c r="B792" s="230">
        <v>46052</v>
      </c>
      <c r="C792" s="227" t="s">
        <v>81</v>
      </c>
      <c r="D792" s="227" t="s">
        <v>82</v>
      </c>
      <c r="E792" s="227" t="s">
        <v>55</v>
      </c>
      <c r="F792" s="227" t="s">
        <v>1274</v>
      </c>
      <c r="G792" s="227" t="s">
        <v>84</v>
      </c>
      <c r="H792" s="231">
        <v>1</v>
      </c>
      <c r="I792" s="232">
        <v>0</v>
      </c>
      <c r="J792" s="230">
        <v>46052</v>
      </c>
      <c r="K792" s="227" t="s">
        <v>85</v>
      </c>
      <c r="L792" s="227" t="s">
        <v>85</v>
      </c>
      <c r="M792" s="233">
        <v>0</v>
      </c>
      <c r="N792" s="231"/>
      <c r="O792" s="231"/>
      <c r="P792" s="234">
        <v>-8.2100000000000009</v>
      </c>
    </row>
    <row r="793" spans="1:16" ht="19.5" customHeight="1">
      <c r="A793" s="227" t="s">
        <v>1275</v>
      </c>
      <c r="B793" s="230">
        <v>46052</v>
      </c>
      <c r="C793" s="227" t="s">
        <v>92</v>
      </c>
      <c r="D793" s="227" t="s">
        <v>24</v>
      </c>
      <c r="E793" s="227" t="s">
        <v>42</v>
      </c>
      <c r="F793" s="227" t="s">
        <v>89</v>
      </c>
      <c r="G793" s="227" t="s">
        <v>84</v>
      </c>
      <c r="H793" s="231">
        <v>1</v>
      </c>
      <c r="I793" s="232">
        <v>1750</v>
      </c>
      <c r="J793" s="230">
        <v>46049</v>
      </c>
      <c r="K793" s="227" t="s">
        <v>93</v>
      </c>
      <c r="L793" s="227" t="s">
        <v>94</v>
      </c>
      <c r="M793" s="233">
        <v>0.43</v>
      </c>
      <c r="N793" s="231"/>
      <c r="O793" s="231">
        <v>45</v>
      </c>
      <c r="P793" s="234">
        <v>-135.38999999999999</v>
      </c>
    </row>
    <row r="794" spans="1:16" ht="19.5" customHeight="1">
      <c r="A794" s="227" t="s">
        <v>1275</v>
      </c>
      <c r="B794" s="230">
        <v>46052</v>
      </c>
      <c r="C794" s="227" t="s">
        <v>100</v>
      </c>
      <c r="D794" s="227" t="s">
        <v>101</v>
      </c>
      <c r="E794" s="227" t="s">
        <v>42</v>
      </c>
      <c r="F794" s="227" t="s">
        <v>89</v>
      </c>
      <c r="G794" s="227" t="s">
        <v>84</v>
      </c>
      <c r="H794" s="231">
        <v>1</v>
      </c>
      <c r="I794" s="232">
        <v>1750</v>
      </c>
      <c r="J794" s="230">
        <v>46049</v>
      </c>
      <c r="K794" s="227" t="s">
        <v>93</v>
      </c>
      <c r="L794" s="227" t="s">
        <v>94</v>
      </c>
      <c r="M794" s="233">
        <v>0</v>
      </c>
      <c r="N794" s="231"/>
      <c r="O794" s="231"/>
      <c r="P794" s="234">
        <v>609.52</v>
      </c>
    </row>
    <row r="795" spans="1:16" ht="19.5" customHeight="1">
      <c r="A795" s="227" t="s">
        <v>1275</v>
      </c>
      <c r="B795" s="230">
        <v>46052</v>
      </c>
      <c r="C795" s="227" t="s">
        <v>100</v>
      </c>
      <c r="D795" s="227" t="s">
        <v>102</v>
      </c>
      <c r="E795" s="227" t="s">
        <v>42</v>
      </c>
      <c r="F795" s="227" t="s">
        <v>89</v>
      </c>
      <c r="G795" s="227" t="s">
        <v>84</v>
      </c>
      <c r="H795" s="231">
        <v>1</v>
      </c>
      <c r="I795" s="232">
        <v>1750</v>
      </c>
      <c r="J795" s="230">
        <v>46049</v>
      </c>
      <c r="K795" s="227" t="s">
        <v>93</v>
      </c>
      <c r="L795" s="227" t="s">
        <v>94</v>
      </c>
      <c r="M795" s="233">
        <v>0</v>
      </c>
      <c r="N795" s="231"/>
      <c r="O795" s="231"/>
      <c r="P795" s="234">
        <v>6.1</v>
      </c>
    </row>
    <row r="796" spans="1:16" ht="19.5" customHeight="1">
      <c r="A796" s="227" t="s">
        <v>1275</v>
      </c>
      <c r="B796" s="230">
        <v>46052</v>
      </c>
      <c r="C796" s="227" t="s">
        <v>100</v>
      </c>
      <c r="D796" s="227" t="s">
        <v>103</v>
      </c>
      <c r="E796" s="227" t="s">
        <v>42</v>
      </c>
      <c r="F796" s="227" t="s">
        <v>89</v>
      </c>
      <c r="G796" s="227" t="s">
        <v>84</v>
      </c>
      <c r="H796" s="231">
        <v>1</v>
      </c>
      <c r="I796" s="232">
        <v>1750</v>
      </c>
      <c r="J796" s="230">
        <v>46049</v>
      </c>
      <c r="K796" s="227" t="s">
        <v>93</v>
      </c>
      <c r="L796" s="227" t="s">
        <v>94</v>
      </c>
      <c r="M796" s="233">
        <v>0</v>
      </c>
      <c r="N796" s="231"/>
      <c r="O796" s="231"/>
      <c r="P796" s="234">
        <v>1134.3800000000001</v>
      </c>
    </row>
    <row r="797" spans="1:16" ht="19.5" customHeight="1">
      <c r="A797" s="227" t="s">
        <v>1275</v>
      </c>
      <c r="B797" s="230">
        <v>46052</v>
      </c>
      <c r="C797" s="227" t="s">
        <v>104</v>
      </c>
      <c r="D797" s="227" t="s">
        <v>105</v>
      </c>
      <c r="E797" s="227" t="s">
        <v>42</v>
      </c>
      <c r="F797" s="227" t="s">
        <v>89</v>
      </c>
      <c r="G797" s="227" t="s">
        <v>84</v>
      </c>
      <c r="H797" s="231">
        <v>1</v>
      </c>
      <c r="I797" s="232">
        <v>1750</v>
      </c>
      <c r="J797" s="230">
        <v>46049</v>
      </c>
      <c r="K797" s="227" t="s">
        <v>93</v>
      </c>
      <c r="L797" s="227" t="s">
        <v>94</v>
      </c>
      <c r="M797" s="233">
        <v>0.43</v>
      </c>
      <c r="N797" s="231"/>
      <c r="O797" s="231"/>
      <c r="P797" s="234">
        <v>-752.5</v>
      </c>
    </row>
    <row r="798" spans="1:16" ht="19.5" customHeight="1">
      <c r="A798" s="227" t="s">
        <v>1275</v>
      </c>
      <c r="B798" s="230">
        <v>46052</v>
      </c>
      <c r="C798" s="227" t="s">
        <v>81</v>
      </c>
      <c r="D798" s="227" t="s">
        <v>95</v>
      </c>
      <c r="E798" s="227" t="s">
        <v>42</v>
      </c>
      <c r="F798" s="227" t="s">
        <v>89</v>
      </c>
      <c r="G798" s="227" t="s">
        <v>84</v>
      </c>
      <c r="H798" s="231">
        <v>1</v>
      </c>
      <c r="I798" s="232">
        <v>1750</v>
      </c>
      <c r="J798" s="230">
        <v>46049</v>
      </c>
      <c r="K798" s="227" t="s">
        <v>93</v>
      </c>
      <c r="L798" s="227" t="s">
        <v>94</v>
      </c>
      <c r="M798" s="233">
        <v>0.43</v>
      </c>
      <c r="N798" s="231"/>
      <c r="O798" s="231"/>
      <c r="P798" s="234">
        <v>-10.199999999999999</v>
      </c>
    </row>
    <row r="799" spans="1:16" ht="19.5" customHeight="1">
      <c r="A799" s="227" t="s">
        <v>1276</v>
      </c>
      <c r="B799" s="230">
        <v>46052</v>
      </c>
      <c r="C799" s="227" t="s">
        <v>92</v>
      </c>
      <c r="D799" s="227" t="s">
        <v>24</v>
      </c>
      <c r="E799" s="227" t="s">
        <v>53</v>
      </c>
      <c r="F799" s="227" t="s">
        <v>120</v>
      </c>
      <c r="G799" s="227" t="s">
        <v>84</v>
      </c>
      <c r="H799" s="231">
        <v>1</v>
      </c>
      <c r="I799" s="232">
        <v>1812</v>
      </c>
      <c r="J799" s="230">
        <v>46048</v>
      </c>
      <c r="K799" s="227" t="s">
        <v>93</v>
      </c>
      <c r="L799" s="227" t="s">
        <v>94</v>
      </c>
      <c r="M799" s="233">
        <v>0.43</v>
      </c>
      <c r="N799" s="231"/>
      <c r="O799" s="231">
        <v>44</v>
      </c>
      <c r="P799" s="234">
        <v>-148.36000000000001</v>
      </c>
    </row>
    <row r="800" spans="1:16" ht="19.5" customHeight="1">
      <c r="A800" s="227" t="s">
        <v>1276</v>
      </c>
      <c r="B800" s="230">
        <v>46052</v>
      </c>
      <c r="C800" s="227" t="s">
        <v>100</v>
      </c>
      <c r="D800" s="227" t="s">
        <v>101</v>
      </c>
      <c r="E800" s="227" t="s">
        <v>53</v>
      </c>
      <c r="F800" s="227" t="s">
        <v>120</v>
      </c>
      <c r="G800" s="227" t="s">
        <v>84</v>
      </c>
      <c r="H800" s="231">
        <v>1</v>
      </c>
      <c r="I800" s="232">
        <v>1812</v>
      </c>
      <c r="J800" s="230">
        <v>46048</v>
      </c>
      <c r="K800" s="227" t="s">
        <v>93</v>
      </c>
      <c r="L800" s="227" t="s">
        <v>94</v>
      </c>
      <c r="M800" s="233">
        <v>0</v>
      </c>
      <c r="N800" s="231"/>
      <c r="O800" s="231"/>
      <c r="P800" s="234">
        <v>707.62</v>
      </c>
    </row>
    <row r="801" spans="1:16" ht="19.5" customHeight="1">
      <c r="A801" s="227" t="s">
        <v>1276</v>
      </c>
      <c r="B801" s="230">
        <v>46052</v>
      </c>
      <c r="C801" s="227" t="s">
        <v>100</v>
      </c>
      <c r="D801" s="227" t="s">
        <v>102</v>
      </c>
      <c r="E801" s="227" t="s">
        <v>53</v>
      </c>
      <c r="F801" s="227" t="s">
        <v>120</v>
      </c>
      <c r="G801" s="227" t="s">
        <v>84</v>
      </c>
      <c r="H801" s="231">
        <v>1</v>
      </c>
      <c r="I801" s="232">
        <v>1812</v>
      </c>
      <c r="J801" s="230">
        <v>46048</v>
      </c>
      <c r="K801" s="227" t="s">
        <v>93</v>
      </c>
      <c r="L801" s="227" t="s">
        <v>94</v>
      </c>
      <c r="M801" s="233">
        <v>0</v>
      </c>
      <c r="N801" s="231"/>
      <c r="O801" s="231"/>
      <c r="P801" s="234">
        <v>7.08</v>
      </c>
    </row>
    <row r="802" spans="1:16" ht="19.5" customHeight="1">
      <c r="A802" s="227" t="s">
        <v>1276</v>
      </c>
      <c r="B802" s="230">
        <v>46052</v>
      </c>
      <c r="C802" s="227" t="s">
        <v>100</v>
      </c>
      <c r="D802" s="227" t="s">
        <v>103</v>
      </c>
      <c r="E802" s="227" t="s">
        <v>53</v>
      </c>
      <c r="F802" s="227" t="s">
        <v>120</v>
      </c>
      <c r="G802" s="227" t="s">
        <v>84</v>
      </c>
      <c r="H802" s="231">
        <v>1</v>
      </c>
      <c r="I802" s="232">
        <v>1812</v>
      </c>
      <c r="J802" s="230">
        <v>46048</v>
      </c>
      <c r="K802" s="227" t="s">
        <v>93</v>
      </c>
      <c r="L802" s="227" t="s">
        <v>94</v>
      </c>
      <c r="M802" s="233">
        <v>0</v>
      </c>
      <c r="N802" s="231"/>
      <c r="O802" s="231"/>
      <c r="P802" s="234">
        <v>1097.3</v>
      </c>
    </row>
    <row r="803" spans="1:16" ht="19.5" customHeight="1">
      <c r="A803" s="227" t="s">
        <v>1276</v>
      </c>
      <c r="B803" s="230">
        <v>46052</v>
      </c>
      <c r="C803" s="227" t="s">
        <v>104</v>
      </c>
      <c r="D803" s="227" t="s">
        <v>105</v>
      </c>
      <c r="E803" s="227" t="s">
        <v>53</v>
      </c>
      <c r="F803" s="227" t="s">
        <v>120</v>
      </c>
      <c r="G803" s="227" t="s">
        <v>84</v>
      </c>
      <c r="H803" s="231">
        <v>1</v>
      </c>
      <c r="I803" s="232">
        <v>1812</v>
      </c>
      <c r="J803" s="230">
        <v>46048</v>
      </c>
      <c r="K803" s="227" t="s">
        <v>93</v>
      </c>
      <c r="L803" s="227" t="s">
        <v>94</v>
      </c>
      <c r="M803" s="233">
        <v>0.43</v>
      </c>
      <c r="N803" s="231"/>
      <c r="O803" s="231"/>
      <c r="P803" s="234">
        <v>-779.16</v>
      </c>
    </row>
    <row r="804" spans="1:16" ht="19.5" customHeight="1">
      <c r="A804" s="227" t="s">
        <v>1276</v>
      </c>
      <c r="B804" s="230">
        <v>46052</v>
      </c>
      <c r="C804" s="227" t="s">
        <v>81</v>
      </c>
      <c r="D804" s="227" t="s">
        <v>95</v>
      </c>
      <c r="E804" s="227" t="s">
        <v>53</v>
      </c>
      <c r="F804" s="227" t="s">
        <v>120</v>
      </c>
      <c r="G804" s="227" t="s">
        <v>84</v>
      </c>
      <c r="H804" s="231">
        <v>1</v>
      </c>
      <c r="I804" s="232">
        <v>1812</v>
      </c>
      <c r="J804" s="230">
        <v>46048</v>
      </c>
      <c r="K804" s="227" t="s">
        <v>93</v>
      </c>
      <c r="L804" s="227" t="s">
        <v>94</v>
      </c>
      <c r="M804" s="233">
        <v>0.43</v>
      </c>
      <c r="N804" s="231"/>
      <c r="O804" s="231"/>
      <c r="P804" s="234">
        <v>-21.11</v>
      </c>
    </row>
    <row r="805" spans="1:16" ht="19.5" customHeight="1">
      <c r="A805" s="227" t="s">
        <v>1277</v>
      </c>
      <c r="B805" s="230">
        <v>46052</v>
      </c>
      <c r="C805" s="227" t="s">
        <v>81</v>
      </c>
      <c r="D805" s="227" t="s">
        <v>82</v>
      </c>
      <c r="E805" s="227" t="s">
        <v>52</v>
      </c>
      <c r="F805" s="227" t="s">
        <v>90</v>
      </c>
      <c r="G805" s="227" t="s">
        <v>84</v>
      </c>
      <c r="H805" s="231">
        <v>1</v>
      </c>
      <c r="I805" s="232">
        <v>0</v>
      </c>
      <c r="J805" s="230">
        <v>46052</v>
      </c>
      <c r="K805" s="227" t="s">
        <v>85</v>
      </c>
      <c r="L805" s="227" t="s">
        <v>85</v>
      </c>
      <c r="M805" s="233">
        <v>0</v>
      </c>
      <c r="N805" s="231"/>
      <c r="O805" s="231"/>
      <c r="P805" s="234">
        <v>-11.92</v>
      </c>
    </row>
    <row r="806" spans="1:16" ht="19.5" customHeight="1">
      <c r="A806" s="227" t="s">
        <v>1278</v>
      </c>
      <c r="B806" s="230">
        <v>46052</v>
      </c>
      <c r="C806" s="227" t="s">
        <v>354</v>
      </c>
      <c r="D806" s="227" t="s">
        <v>892</v>
      </c>
      <c r="E806" s="227" t="s">
        <v>85</v>
      </c>
      <c r="F806" s="227" t="s">
        <v>85</v>
      </c>
      <c r="G806" s="227" t="s">
        <v>85</v>
      </c>
      <c r="H806" s="231">
        <v>0</v>
      </c>
      <c r="I806" s="232">
        <v>0</v>
      </c>
      <c r="J806" s="230">
        <v>46044</v>
      </c>
      <c r="K806" s="227" t="s">
        <v>85</v>
      </c>
      <c r="L806" s="227" t="s">
        <v>85</v>
      </c>
      <c r="M806" s="233">
        <v>0</v>
      </c>
      <c r="N806" s="231"/>
      <c r="O806" s="231"/>
      <c r="P806" s="234">
        <v>-1799.2</v>
      </c>
    </row>
    <row r="807" spans="1:16" ht="19.5" customHeight="1">
      <c r="A807" s="227" t="s">
        <v>1278</v>
      </c>
      <c r="B807" s="230">
        <v>46052</v>
      </c>
      <c r="C807" s="227" t="s">
        <v>354</v>
      </c>
      <c r="D807" s="227" t="s">
        <v>892</v>
      </c>
      <c r="E807" s="227" t="s">
        <v>85</v>
      </c>
      <c r="F807" s="227" t="s">
        <v>85</v>
      </c>
      <c r="G807" s="227" t="s">
        <v>85</v>
      </c>
      <c r="H807" s="231">
        <v>0</v>
      </c>
      <c r="I807" s="232">
        <v>0</v>
      </c>
      <c r="J807" s="230">
        <v>46044</v>
      </c>
      <c r="K807" s="227" t="s">
        <v>85</v>
      </c>
      <c r="L807" s="227" t="s">
        <v>85</v>
      </c>
      <c r="M807" s="233">
        <v>0</v>
      </c>
      <c r="N807" s="231"/>
      <c r="O807" s="231"/>
      <c r="P807" s="234">
        <v>-1799.2</v>
      </c>
    </row>
    <row r="808" spans="1:16" ht="19.5" customHeight="1">
      <c r="A808" s="227" t="s">
        <v>1279</v>
      </c>
      <c r="B808" s="230">
        <v>46052</v>
      </c>
      <c r="C808" s="227" t="s">
        <v>92</v>
      </c>
      <c r="D808" s="227" t="s">
        <v>24</v>
      </c>
      <c r="E808" s="227" t="s">
        <v>52</v>
      </c>
      <c r="F808" s="227" t="s">
        <v>90</v>
      </c>
      <c r="G808" s="227" t="s">
        <v>84</v>
      </c>
      <c r="H808" s="231">
        <v>1</v>
      </c>
      <c r="I808" s="232">
        <v>1800</v>
      </c>
      <c r="J808" s="230">
        <v>46049</v>
      </c>
      <c r="K808" s="227" t="s">
        <v>93</v>
      </c>
      <c r="L808" s="227" t="s">
        <v>94</v>
      </c>
      <c r="M808" s="233">
        <v>0.43</v>
      </c>
      <c r="N808" s="231"/>
      <c r="O808" s="231">
        <v>45</v>
      </c>
      <c r="P808" s="234">
        <v>-152.36000000000001</v>
      </c>
    </row>
    <row r="809" spans="1:16" ht="19.5" customHeight="1">
      <c r="A809" s="227" t="s">
        <v>1279</v>
      </c>
      <c r="B809" s="230">
        <v>46052</v>
      </c>
      <c r="C809" s="227" t="s">
        <v>100</v>
      </c>
      <c r="D809" s="227" t="s">
        <v>101</v>
      </c>
      <c r="E809" s="227" t="s">
        <v>52</v>
      </c>
      <c r="F809" s="227" t="s">
        <v>90</v>
      </c>
      <c r="G809" s="227" t="s">
        <v>84</v>
      </c>
      <c r="H809" s="231">
        <v>1</v>
      </c>
      <c r="I809" s="232">
        <v>1800</v>
      </c>
      <c r="J809" s="230">
        <v>46049</v>
      </c>
      <c r="K809" s="227" t="s">
        <v>93</v>
      </c>
      <c r="L809" s="227" t="s">
        <v>94</v>
      </c>
      <c r="M809" s="233">
        <v>0</v>
      </c>
      <c r="N809" s="231"/>
      <c r="O809" s="231"/>
      <c r="P809" s="234">
        <v>660.95</v>
      </c>
    </row>
    <row r="810" spans="1:16" ht="19.5" customHeight="1">
      <c r="A810" s="227" t="s">
        <v>1279</v>
      </c>
      <c r="B810" s="230">
        <v>46052</v>
      </c>
      <c r="C810" s="227" t="s">
        <v>100</v>
      </c>
      <c r="D810" s="227" t="s">
        <v>102</v>
      </c>
      <c r="E810" s="227" t="s">
        <v>52</v>
      </c>
      <c r="F810" s="227" t="s">
        <v>90</v>
      </c>
      <c r="G810" s="227" t="s">
        <v>84</v>
      </c>
      <c r="H810" s="231">
        <v>1</v>
      </c>
      <c r="I810" s="232">
        <v>1800</v>
      </c>
      <c r="J810" s="230">
        <v>46049</v>
      </c>
      <c r="K810" s="227" t="s">
        <v>93</v>
      </c>
      <c r="L810" s="227" t="s">
        <v>94</v>
      </c>
      <c r="M810" s="233">
        <v>0</v>
      </c>
      <c r="N810" s="231"/>
      <c r="O810" s="231"/>
      <c r="P810" s="234">
        <v>6.61</v>
      </c>
    </row>
    <row r="811" spans="1:16" ht="19.5" customHeight="1">
      <c r="A811" s="227" t="s">
        <v>1279</v>
      </c>
      <c r="B811" s="230">
        <v>46052</v>
      </c>
      <c r="C811" s="227" t="s">
        <v>100</v>
      </c>
      <c r="D811" s="227" t="s">
        <v>103</v>
      </c>
      <c r="E811" s="227" t="s">
        <v>52</v>
      </c>
      <c r="F811" s="227" t="s">
        <v>90</v>
      </c>
      <c r="G811" s="227" t="s">
        <v>84</v>
      </c>
      <c r="H811" s="231">
        <v>1</v>
      </c>
      <c r="I811" s="232">
        <v>1800</v>
      </c>
      <c r="J811" s="230">
        <v>46049</v>
      </c>
      <c r="K811" s="227" t="s">
        <v>93</v>
      </c>
      <c r="L811" s="227" t="s">
        <v>94</v>
      </c>
      <c r="M811" s="233">
        <v>0</v>
      </c>
      <c r="N811" s="231"/>
      <c r="O811" s="231"/>
      <c r="P811" s="234">
        <v>1132.44</v>
      </c>
    </row>
    <row r="812" spans="1:16" ht="19.5" customHeight="1">
      <c r="A812" s="227" t="s">
        <v>1279</v>
      </c>
      <c r="B812" s="230">
        <v>46052</v>
      </c>
      <c r="C812" s="227" t="s">
        <v>104</v>
      </c>
      <c r="D812" s="227" t="s">
        <v>105</v>
      </c>
      <c r="E812" s="227" t="s">
        <v>52</v>
      </c>
      <c r="F812" s="227" t="s">
        <v>90</v>
      </c>
      <c r="G812" s="227" t="s">
        <v>84</v>
      </c>
      <c r="H812" s="231">
        <v>1</v>
      </c>
      <c r="I812" s="232">
        <v>1800</v>
      </c>
      <c r="J812" s="230">
        <v>46049</v>
      </c>
      <c r="K812" s="227" t="s">
        <v>93</v>
      </c>
      <c r="L812" s="227" t="s">
        <v>94</v>
      </c>
      <c r="M812" s="233">
        <v>0.43</v>
      </c>
      <c r="N812" s="231"/>
      <c r="O812" s="231"/>
      <c r="P812" s="234">
        <v>-774</v>
      </c>
    </row>
    <row r="813" spans="1:16" ht="19.5" customHeight="1">
      <c r="A813" s="227" t="s">
        <v>1279</v>
      </c>
      <c r="B813" s="230">
        <v>46052</v>
      </c>
      <c r="C813" s="227" t="s">
        <v>81</v>
      </c>
      <c r="D813" s="227" t="s">
        <v>95</v>
      </c>
      <c r="E813" s="227" t="s">
        <v>52</v>
      </c>
      <c r="F813" s="227" t="s">
        <v>90</v>
      </c>
      <c r="G813" s="227" t="s">
        <v>84</v>
      </c>
      <c r="H813" s="231">
        <v>1</v>
      </c>
      <c r="I813" s="232">
        <v>1800</v>
      </c>
      <c r="J813" s="230">
        <v>46049</v>
      </c>
      <c r="K813" s="227" t="s">
        <v>93</v>
      </c>
      <c r="L813" s="227" t="s">
        <v>94</v>
      </c>
      <c r="M813" s="233">
        <v>0.43</v>
      </c>
      <c r="N813" s="231"/>
      <c r="O813" s="231"/>
      <c r="P813" s="234">
        <v>-25</v>
      </c>
    </row>
    <row r="814" spans="1:16" ht="19.5" customHeight="1">
      <c r="A814" s="227" t="s">
        <v>287</v>
      </c>
      <c r="B814" s="230">
        <v>46052</v>
      </c>
      <c r="C814" s="227" t="s">
        <v>92</v>
      </c>
      <c r="D814" s="227" t="s">
        <v>272</v>
      </c>
      <c r="E814" s="227" t="s">
        <v>53</v>
      </c>
      <c r="F814" s="227" t="s">
        <v>120</v>
      </c>
      <c r="G814" s="227" t="s">
        <v>84</v>
      </c>
      <c r="H814" s="231">
        <v>1</v>
      </c>
      <c r="I814" s="232">
        <v>0</v>
      </c>
      <c r="J814" s="230">
        <v>46044</v>
      </c>
      <c r="K814" s="227" t="s">
        <v>93</v>
      </c>
      <c r="L814" s="227" t="s">
        <v>94</v>
      </c>
      <c r="M814" s="233">
        <v>0</v>
      </c>
      <c r="N814" s="231"/>
      <c r="O814" s="231"/>
      <c r="P814" s="234">
        <v>0</v>
      </c>
    </row>
    <row r="815" spans="1:16" ht="19.5" customHeight="1">
      <c r="A815" s="227" t="s">
        <v>287</v>
      </c>
      <c r="B815" s="230">
        <v>46052</v>
      </c>
      <c r="C815" s="227" t="s">
        <v>92</v>
      </c>
      <c r="D815" s="227" t="s">
        <v>97</v>
      </c>
      <c r="E815" s="227" t="s">
        <v>53</v>
      </c>
      <c r="F815" s="227" t="s">
        <v>120</v>
      </c>
      <c r="G815" s="227" t="s">
        <v>84</v>
      </c>
      <c r="H815" s="231">
        <v>1</v>
      </c>
      <c r="I815" s="232">
        <v>0</v>
      </c>
      <c r="J815" s="230">
        <v>46044</v>
      </c>
      <c r="K815" s="227" t="s">
        <v>93</v>
      </c>
      <c r="L815" s="227" t="s">
        <v>94</v>
      </c>
      <c r="M815" s="233">
        <v>0</v>
      </c>
      <c r="N815" s="231"/>
      <c r="O815" s="231"/>
      <c r="P815" s="234">
        <v>-99.64</v>
      </c>
    </row>
    <row r="816" spans="1:16" ht="19.5" customHeight="1">
      <c r="A816" s="227" t="s">
        <v>287</v>
      </c>
      <c r="B816" s="230">
        <v>46052</v>
      </c>
      <c r="C816" s="227" t="s">
        <v>81</v>
      </c>
      <c r="D816" s="227" t="s">
        <v>98</v>
      </c>
      <c r="E816" s="227" t="s">
        <v>53</v>
      </c>
      <c r="F816" s="227" t="s">
        <v>120</v>
      </c>
      <c r="G816" s="227" t="s">
        <v>84</v>
      </c>
      <c r="H816" s="231">
        <v>1</v>
      </c>
      <c r="I816" s="232">
        <v>0</v>
      </c>
      <c r="J816" s="230">
        <v>46044</v>
      </c>
      <c r="K816" s="227" t="s">
        <v>93</v>
      </c>
      <c r="L816" s="227" t="s">
        <v>94</v>
      </c>
      <c r="M816" s="233">
        <v>0</v>
      </c>
      <c r="N816" s="231"/>
      <c r="O816" s="231"/>
      <c r="P816" s="234">
        <v>-15</v>
      </c>
    </row>
    <row r="817" spans="1:16" ht="19.5" customHeight="1">
      <c r="A817" s="227" t="s">
        <v>1280</v>
      </c>
      <c r="B817" s="230">
        <v>46052</v>
      </c>
      <c r="C817" s="227" t="s">
        <v>81</v>
      </c>
      <c r="D817" s="227" t="s">
        <v>82</v>
      </c>
      <c r="E817" s="227" t="s">
        <v>41</v>
      </c>
      <c r="F817" s="227" t="s">
        <v>83</v>
      </c>
      <c r="G817" s="227" t="s">
        <v>84</v>
      </c>
      <c r="H817" s="231">
        <v>1</v>
      </c>
      <c r="I817" s="232">
        <v>0</v>
      </c>
      <c r="J817" s="230">
        <v>46052</v>
      </c>
      <c r="K817" s="227" t="s">
        <v>85</v>
      </c>
      <c r="L817" s="227" t="s">
        <v>85</v>
      </c>
      <c r="M817" s="233">
        <v>0</v>
      </c>
      <c r="N817" s="231"/>
      <c r="O817" s="231"/>
      <c r="P817" s="234">
        <v>-11.58</v>
      </c>
    </row>
    <row r="818" spans="1:16" ht="19.5" customHeight="1">
      <c r="A818" s="227" t="s">
        <v>1281</v>
      </c>
      <c r="B818" s="230">
        <v>46052</v>
      </c>
      <c r="C818" s="227" t="s">
        <v>92</v>
      </c>
      <c r="D818" s="227" t="s">
        <v>24</v>
      </c>
      <c r="E818" s="227" t="s">
        <v>52</v>
      </c>
      <c r="F818" s="227" t="s">
        <v>90</v>
      </c>
      <c r="G818" s="227" t="s">
        <v>84</v>
      </c>
      <c r="H818" s="231">
        <v>1</v>
      </c>
      <c r="I818" s="232">
        <v>1800</v>
      </c>
      <c r="J818" s="230">
        <v>46050</v>
      </c>
      <c r="K818" s="227" t="s">
        <v>93</v>
      </c>
      <c r="L818" s="227" t="s">
        <v>94</v>
      </c>
      <c r="M818" s="233">
        <v>0.43</v>
      </c>
      <c r="N818" s="231"/>
      <c r="O818" s="231">
        <v>44</v>
      </c>
      <c r="P818" s="234">
        <v>-147.97999999999999</v>
      </c>
    </row>
    <row r="819" spans="1:16" ht="19.5" customHeight="1">
      <c r="A819" s="227" t="s">
        <v>1281</v>
      </c>
      <c r="B819" s="230">
        <v>46052</v>
      </c>
      <c r="C819" s="227" t="s">
        <v>100</v>
      </c>
      <c r="D819" s="227" t="s">
        <v>101</v>
      </c>
      <c r="E819" s="227" t="s">
        <v>52</v>
      </c>
      <c r="F819" s="227" t="s">
        <v>90</v>
      </c>
      <c r="G819" s="227" t="s">
        <v>84</v>
      </c>
      <c r="H819" s="231">
        <v>1</v>
      </c>
      <c r="I819" s="232">
        <v>1800</v>
      </c>
      <c r="J819" s="230">
        <v>46050</v>
      </c>
      <c r="K819" s="227" t="s">
        <v>93</v>
      </c>
      <c r="L819" s="227" t="s">
        <v>94</v>
      </c>
      <c r="M819" s="233">
        <v>0</v>
      </c>
      <c r="N819" s="231"/>
      <c r="O819" s="231"/>
      <c r="P819" s="234">
        <v>627.62</v>
      </c>
    </row>
    <row r="820" spans="1:16" ht="19.5" customHeight="1">
      <c r="A820" s="227" t="s">
        <v>1281</v>
      </c>
      <c r="B820" s="230">
        <v>46052</v>
      </c>
      <c r="C820" s="227" t="s">
        <v>100</v>
      </c>
      <c r="D820" s="227" t="s">
        <v>102</v>
      </c>
      <c r="E820" s="227" t="s">
        <v>52</v>
      </c>
      <c r="F820" s="227" t="s">
        <v>90</v>
      </c>
      <c r="G820" s="227" t="s">
        <v>84</v>
      </c>
      <c r="H820" s="231">
        <v>1</v>
      </c>
      <c r="I820" s="232">
        <v>1800</v>
      </c>
      <c r="J820" s="230">
        <v>46050</v>
      </c>
      <c r="K820" s="227" t="s">
        <v>93</v>
      </c>
      <c r="L820" s="227" t="s">
        <v>94</v>
      </c>
      <c r="M820" s="233">
        <v>0</v>
      </c>
      <c r="N820" s="231"/>
      <c r="O820" s="231"/>
      <c r="P820" s="234">
        <v>6.28</v>
      </c>
    </row>
    <row r="821" spans="1:16" ht="19.5" customHeight="1">
      <c r="A821" s="227" t="s">
        <v>1281</v>
      </c>
      <c r="B821" s="230">
        <v>46052</v>
      </c>
      <c r="C821" s="227" t="s">
        <v>100</v>
      </c>
      <c r="D821" s="227" t="s">
        <v>103</v>
      </c>
      <c r="E821" s="227" t="s">
        <v>52</v>
      </c>
      <c r="F821" s="227" t="s">
        <v>90</v>
      </c>
      <c r="G821" s="227" t="s">
        <v>84</v>
      </c>
      <c r="H821" s="231">
        <v>1</v>
      </c>
      <c r="I821" s="232">
        <v>1800</v>
      </c>
      <c r="J821" s="230">
        <v>46050</v>
      </c>
      <c r="K821" s="227" t="s">
        <v>93</v>
      </c>
      <c r="L821" s="227" t="s">
        <v>94</v>
      </c>
      <c r="M821" s="233">
        <v>0</v>
      </c>
      <c r="N821" s="231"/>
      <c r="O821" s="231"/>
      <c r="P821" s="234">
        <v>1166.0999999999999</v>
      </c>
    </row>
    <row r="822" spans="1:16" ht="19.5" customHeight="1">
      <c r="A822" s="227" t="s">
        <v>1281</v>
      </c>
      <c r="B822" s="230">
        <v>46052</v>
      </c>
      <c r="C822" s="227" t="s">
        <v>104</v>
      </c>
      <c r="D822" s="227" t="s">
        <v>105</v>
      </c>
      <c r="E822" s="227" t="s">
        <v>52</v>
      </c>
      <c r="F822" s="227" t="s">
        <v>90</v>
      </c>
      <c r="G822" s="227" t="s">
        <v>84</v>
      </c>
      <c r="H822" s="231">
        <v>1</v>
      </c>
      <c r="I822" s="232">
        <v>1800</v>
      </c>
      <c r="J822" s="230">
        <v>46050</v>
      </c>
      <c r="K822" s="227" t="s">
        <v>93</v>
      </c>
      <c r="L822" s="227" t="s">
        <v>94</v>
      </c>
      <c r="M822" s="233">
        <v>0.43</v>
      </c>
      <c r="N822" s="231"/>
      <c r="O822" s="231"/>
      <c r="P822" s="234">
        <v>-774</v>
      </c>
    </row>
    <row r="823" spans="1:16" ht="19.5" customHeight="1">
      <c r="A823" s="227" t="s">
        <v>1281</v>
      </c>
      <c r="B823" s="230">
        <v>46052</v>
      </c>
      <c r="C823" s="227" t="s">
        <v>81</v>
      </c>
      <c r="D823" s="227" t="s">
        <v>95</v>
      </c>
      <c r="E823" s="227" t="s">
        <v>52</v>
      </c>
      <c r="F823" s="227" t="s">
        <v>90</v>
      </c>
      <c r="G823" s="227" t="s">
        <v>84</v>
      </c>
      <c r="H823" s="231">
        <v>1</v>
      </c>
      <c r="I823" s="232">
        <v>1800</v>
      </c>
      <c r="J823" s="230">
        <v>46050</v>
      </c>
      <c r="K823" s="227" t="s">
        <v>93</v>
      </c>
      <c r="L823" s="227" t="s">
        <v>94</v>
      </c>
      <c r="M823" s="233">
        <v>0.43</v>
      </c>
      <c r="N823" s="231"/>
      <c r="O823" s="231"/>
      <c r="P823" s="234">
        <v>-16.64</v>
      </c>
    </row>
    <row r="824" spans="1:16" ht="19.5" customHeight="1">
      <c r="A824" s="227" t="s">
        <v>1282</v>
      </c>
      <c r="B824" s="230">
        <v>46052</v>
      </c>
      <c r="C824" s="227" t="s">
        <v>92</v>
      </c>
      <c r="D824" s="227" t="s">
        <v>24</v>
      </c>
      <c r="E824" s="227" t="s">
        <v>53</v>
      </c>
      <c r="F824" s="227" t="s">
        <v>120</v>
      </c>
      <c r="G824" s="227" t="s">
        <v>84</v>
      </c>
      <c r="H824" s="231">
        <v>1</v>
      </c>
      <c r="I824" s="232">
        <v>1812</v>
      </c>
      <c r="J824" s="230">
        <v>46050</v>
      </c>
      <c r="K824" s="227" t="s">
        <v>93</v>
      </c>
      <c r="L824" s="227" t="s">
        <v>94</v>
      </c>
      <c r="M824" s="233">
        <v>0.43</v>
      </c>
      <c r="N824" s="231"/>
      <c r="O824" s="231">
        <v>44</v>
      </c>
      <c r="P824" s="234">
        <v>-148.36000000000001</v>
      </c>
    </row>
    <row r="825" spans="1:16" ht="19.5" customHeight="1">
      <c r="A825" s="227" t="s">
        <v>1282</v>
      </c>
      <c r="B825" s="230">
        <v>46052</v>
      </c>
      <c r="C825" s="227" t="s">
        <v>100</v>
      </c>
      <c r="D825" s="227" t="s">
        <v>101</v>
      </c>
      <c r="E825" s="227" t="s">
        <v>53</v>
      </c>
      <c r="F825" s="227" t="s">
        <v>120</v>
      </c>
      <c r="G825" s="227" t="s">
        <v>84</v>
      </c>
      <c r="H825" s="231">
        <v>1</v>
      </c>
      <c r="I825" s="232">
        <v>1812</v>
      </c>
      <c r="J825" s="230">
        <v>46050</v>
      </c>
      <c r="K825" s="227" t="s">
        <v>93</v>
      </c>
      <c r="L825" s="227" t="s">
        <v>94</v>
      </c>
      <c r="M825" s="233">
        <v>0</v>
      </c>
      <c r="N825" s="231"/>
      <c r="O825" s="231"/>
      <c r="P825" s="234">
        <v>330.23</v>
      </c>
    </row>
    <row r="826" spans="1:16" ht="19.5" customHeight="1">
      <c r="A826" s="227" t="s">
        <v>1282</v>
      </c>
      <c r="B826" s="230">
        <v>46052</v>
      </c>
      <c r="C826" s="227" t="s">
        <v>100</v>
      </c>
      <c r="D826" s="227" t="s">
        <v>102</v>
      </c>
      <c r="E826" s="227" t="s">
        <v>53</v>
      </c>
      <c r="F826" s="227" t="s">
        <v>120</v>
      </c>
      <c r="G826" s="227" t="s">
        <v>84</v>
      </c>
      <c r="H826" s="231">
        <v>1</v>
      </c>
      <c r="I826" s="232">
        <v>1812</v>
      </c>
      <c r="J826" s="230">
        <v>46050</v>
      </c>
      <c r="K826" s="227" t="s">
        <v>93</v>
      </c>
      <c r="L826" s="227" t="s">
        <v>94</v>
      </c>
      <c r="M826" s="233">
        <v>0</v>
      </c>
      <c r="N826" s="231"/>
      <c r="O826" s="231"/>
      <c r="P826" s="234">
        <v>3.3</v>
      </c>
    </row>
    <row r="827" spans="1:16" ht="19.5" customHeight="1">
      <c r="A827" s="227" t="s">
        <v>1282</v>
      </c>
      <c r="B827" s="230">
        <v>46052</v>
      </c>
      <c r="C827" s="227" t="s">
        <v>100</v>
      </c>
      <c r="D827" s="227" t="s">
        <v>103</v>
      </c>
      <c r="E827" s="227" t="s">
        <v>53</v>
      </c>
      <c r="F827" s="227" t="s">
        <v>120</v>
      </c>
      <c r="G827" s="227" t="s">
        <v>84</v>
      </c>
      <c r="H827" s="231">
        <v>1</v>
      </c>
      <c r="I827" s="232">
        <v>1812</v>
      </c>
      <c r="J827" s="230">
        <v>46050</v>
      </c>
      <c r="K827" s="227" t="s">
        <v>93</v>
      </c>
      <c r="L827" s="227" t="s">
        <v>94</v>
      </c>
      <c r="M827" s="233">
        <v>0</v>
      </c>
      <c r="N827" s="231"/>
      <c r="O827" s="231"/>
      <c r="P827" s="234">
        <v>1478.47</v>
      </c>
    </row>
    <row r="828" spans="1:16" ht="19.5" customHeight="1">
      <c r="A828" s="227" t="s">
        <v>1282</v>
      </c>
      <c r="B828" s="230">
        <v>46052</v>
      </c>
      <c r="C828" s="227" t="s">
        <v>104</v>
      </c>
      <c r="D828" s="227" t="s">
        <v>105</v>
      </c>
      <c r="E828" s="227" t="s">
        <v>53</v>
      </c>
      <c r="F828" s="227" t="s">
        <v>120</v>
      </c>
      <c r="G828" s="227" t="s">
        <v>84</v>
      </c>
      <c r="H828" s="231">
        <v>1</v>
      </c>
      <c r="I828" s="232">
        <v>1812</v>
      </c>
      <c r="J828" s="230">
        <v>46050</v>
      </c>
      <c r="K828" s="227" t="s">
        <v>93</v>
      </c>
      <c r="L828" s="227" t="s">
        <v>94</v>
      </c>
      <c r="M828" s="233">
        <v>0.43</v>
      </c>
      <c r="N828" s="231"/>
      <c r="O828" s="231"/>
      <c r="P828" s="234">
        <v>-779.16</v>
      </c>
    </row>
    <row r="829" spans="1:16" ht="19.5" customHeight="1">
      <c r="A829" s="227" t="s">
        <v>1282</v>
      </c>
      <c r="B829" s="230">
        <v>46052</v>
      </c>
      <c r="C829" s="227" t="s">
        <v>81</v>
      </c>
      <c r="D829" s="227" t="s">
        <v>95</v>
      </c>
      <c r="E829" s="227" t="s">
        <v>53</v>
      </c>
      <c r="F829" s="227" t="s">
        <v>120</v>
      </c>
      <c r="G829" s="227" t="s">
        <v>84</v>
      </c>
      <c r="H829" s="231">
        <v>1</v>
      </c>
      <c r="I829" s="232">
        <v>1812</v>
      </c>
      <c r="J829" s="230">
        <v>46050</v>
      </c>
      <c r="K829" s="227" t="s">
        <v>93</v>
      </c>
      <c r="L829" s="227" t="s">
        <v>94</v>
      </c>
      <c r="M829" s="233">
        <v>0.43</v>
      </c>
      <c r="N829" s="231"/>
      <c r="O829" s="231"/>
      <c r="P829" s="234">
        <v>-10.49</v>
      </c>
    </row>
    <row r="830" spans="1:16" ht="19.5" customHeight="1">
      <c r="A830" s="227" t="s">
        <v>1283</v>
      </c>
      <c r="B830" s="230">
        <v>46052</v>
      </c>
      <c r="C830" s="227" t="s">
        <v>92</v>
      </c>
      <c r="D830" s="227" t="s">
        <v>24</v>
      </c>
      <c r="E830" s="227" t="s">
        <v>52</v>
      </c>
      <c r="F830" s="227" t="s">
        <v>90</v>
      </c>
      <c r="G830" s="227" t="s">
        <v>84</v>
      </c>
      <c r="H830" s="231">
        <v>1</v>
      </c>
      <c r="I830" s="232">
        <v>1800</v>
      </c>
      <c r="J830" s="230">
        <v>46050</v>
      </c>
      <c r="K830" s="227" t="s">
        <v>93</v>
      </c>
      <c r="L830" s="227" t="s">
        <v>94</v>
      </c>
      <c r="M830" s="233">
        <v>0.43</v>
      </c>
      <c r="N830" s="231"/>
      <c r="O830" s="231">
        <v>44</v>
      </c>
      <c r="P830" s="234">
        <v>-147.97999999999999</v>
      </c>
    </row>
    <row r="831" spans="1:16" ht="19.5" customHeight="1">
      <c r="A831" s="227" t="s">
        <v>1283</v>
      </c>
      <c r="B831" s="230">
        <v>46052</v>
      </c>
      <c r="C831" s="227" t="s">
        <v>100</v>
      </c>
      <c r="D831" s="227" t="s">
        <v>101</v>
      </c>
      <c r="E831" s="227" t="s">
        <v>52</v>
      </c>
      <c r="F831" s="227" t="s">
        <v>90</v>
      </c>
      <c r="G831" s="227" t="s">
        <v>84</v>
      </c>
      <c r="H831" s="231">
        <v>1</v>
      </c>
      <c r="I831" s="232">
        <v>1800</v>
      </c>
      <c r="J831" s="230">
        <v>46050</v>
      </c>
      <c r="K831" s="227" t="s">
        <v>93</v>
      </c>
      <c r="L831" s="227" t="s">
        <v>94</v>
      </c>
      <c r="M831" s="233">
        <v>0</v>
      </c>
      <c r="N831" s="231"/>
      <c r="O831" s="231"/>
      <c r="P831" s="234">
        <v>627.62</v>
      </c>
    </row>
    <row r="832" spans="1:16" ht="19.5" customHeight="1">
      <c r="A832" s="227" t="s">
        <v>1283</v>
      </c>
      <c r="B832" s="230">
        <v>46052</v>
      </c>
      <c r="C832" s="227" t="s">
        <v>100</v>
      </c>
      <c r="D832" s="227" t="s">
        <v>102</v>
      </c>
      <c r="E832" s="227" t="s">
        <v>52</v>
      </c>
      <c r="F832" s="227" t="s">
        <v>90</v>
      </c>
      <c r="G832" s="227" t="s">
        <v>84</v>
      </c>
      <c r="H832" s="231">
        <v>1</v>
      </c>
      <c r="I832" s="232">
        <v>1800</v>
      </c>
      <c r="J832" s="230">
        <v>46050</v>
      </c>
      <c r="K832" s="227" t="s">
        <v>93</v>
      </c>
      <c r="L832" s="227" t="s">
        <v>94</v>
      </c>
      <c r="M832" s="233">
        <v>0</v>
      </c>
      <c r="N832" s="231"/>
      <c r="O832" s="231"/>
      <c r="P832" s="234">
        <v>6.28</v>
      </c>
    </row>
    <row r="833" spans="1:16" ht="19.5" customHeight="1">
      <c r="A833" s="227" t="s">
        <v>1283</v>
      </c>
      <c r="B833" s="230">
        <v>46052</v>
      </c>
      <c r="C833" s="227" t="s">
        <v>100</v>
      </c>
      <c r="D833" s="227" t="s">
        <v>103</v>
      </c>
      <c r="E833" s="227" t="s">
        <v>52</v>
      </c>
      <c r="F833" s="227" t="s">
        <v>90</v>
      </c>
      <c r="G833" s="227" t="s">
        <v>84</v>
      </c>
      <c r="H833" s="231">
        <v>1</v>
      </c>
      <c r="I833" s="232">
        <v>1800</v>
      </c>
      <c r="J833" s="230">
        <v>46050</v>
      </c>
      <c r="K833" s="227" t="s">
        <v>93</v>
      </c>
      <c r="L833" s="227" t="s">
        <v>94</v>
      </c>
      <c r="M833" s="233">
        <v>0</v>
      </c>
      <c r="N833" s="231"/>
      <c r="O833" s="231"/>
      <c r="P833" s="234">
        <v>1166.0999999999999</v>
      </c>
    </row>
    <row r="834" spans="1:16" ht="19.5" customHeight="1">
      <c r="A834" s="227" t="s">
        <v>1283</v>
      </c>
      <c r="B834" s="230">
        <v>46052</v>
      </c>
      <c r="C834" s="227" t="s">
        <v>104</v>
      </c>
      <c r="D834" s="227" t="s">
        <v>105</v>
      </c>
      <c r="E834" s="227" t="s">
        <v>52</v>
      </c>
      <c r="F834" s="227" t="s">
        <v>90</v>
      </c>
      <c r="G834" s="227" t="s">
        <v>84</v>
      </c>
      <c r="H834" s="231">
        <v>1</v>
      </c>
      <c r="I834" s="232">
        <v>1800</v>
      </c>
      <c r="J834" s="230">
        <v>46050</v>
      </c>
      <c r="K834" s="227" t="s">
        <v>93</v>
      </c>
      <c r="L834" s="227" t="s">
        <v>94</v>
      </c>
      <c r="M834" s="233">
        <v>0.43</v>
      </c>
      <c r="N834" s="231"/>
      <c r="O834" s="231"/>
      <c r="P834" s="234">
        <v>-774</v>
      </c>
    </row>
    <row r="835" spans="1:16" ht="19.5" customHeight="1">
      <c r="A835" s="227" t="s">
        <v>1283</v>
      </c>
      <c r="B835" s="230">
        <v>46052</v>
      </c>
      <c r="C835" s="227" t="s">
        <v>81</v>
      </c>
      <c r="D835" s="227" t="s">
        <v>95</v>
      </c>
      <c r="E835" s="227" t="s">
        <v>52</v>
      </c>
      <c r="F835" s="227" t="s">
        <v>90</v>
      </c>
      <c r="G835" s="227" t="s">
        <v>84</v>
      </c>
      <c r="H835" s="231">
        <v>1</v>
      </c>
      <c r="I835" s="232">
        <v>1800</v>
      </c>
      <c r="J835" s="230">
        <v>46050</v>
      </c>
      <c r="K835" s="227" t="s">
        <v>93</v>
      </c>
      <c r="L835" s="227" t="s">
        <v>94</v>
      </c>
      <c r="M835" s="233">
        <v>0.43</v>
      </c>
      <c r="N835" s="231"/>
      <c r="O835" s="231"/>
      <c r="P835" s="234">
        <v>-10.62</v>
      </c>
    </row>
    <row r="836" spans="1:16" ht="19.5" customHeight="1">
      <c r="A836" s="227" t="s">
        <v>1284</v>
      </c>
      <c r="B836" s="230">
        <v>46052</v>
      </c>
      <c r="C836" s="227" t="s">
        <v>92</v>
      </c>
      <c r="D836" s="227" t="s">
        <v>24</v>
      </c>
      <c r="E836" s="227" t="s">
        <v>52</v>
      </c>
      <c r="F836" s="227" t="s">
        <v>90</v>
      </c>
      <c r="G836" s="227" t="s">
        <v>84</v>
      </c>
      <c r="H836" s="231">
        <v>1</v>
      </c>
      <c r="I836" s="232">
        <v>1800</v>
      </c>
      <c r="J836" s="230">
        <v>46051</v>
      </c>
      <c r="K836" s="227" t="s">
        <v>93</v>
      </c>
      <c r="L836" s="227" t="s">
        <v>94</v>
      </c>
      <c r="M836" s="233">
        <v>0.43</v>
      </c>
      <c r="N836" s="231"/>
      <c r="O836" s="231">
        <v>44</v>
      </c>
      <c r="P836" s="234">
        <v>-149.51</v>
      </c>
    </row>
    <row r="837" spans="1:16" ht="19.5" customHeight="1">
      <c r="A837" s="227" t="s">
        <v>1284</v>
      </c>
      <c r="B837" s="230">
        <v>46052</v>
      </c>
      <c r="C837" s="227" t="s">
        <v>100</v>
      </c>
      <c r="D837" s="227" t="s">
        <v>101</v>
      </c>
      <c r="E837" s="227" t="s">
        <v>52</v>
      </c>
      <c r="F837" s="227" t="s">
        <v>90</v>
      </c>
      <c r="G837" s="227" t="s">
        <v>84</v>
      </c>
      <c r="H837" s="231">
        <v>1</v>
      </c>
      <c r="I837" s="232">
        <v>1800</v>
      </c>
      <c r="J837" s="230">
        <v>46051</v>
      </c>
      <c r="K837" s="227" t="s">
        <v>93</v>
      </c>
      <c r="L837" s="227" t="s">
        <v>94</v>
      </c>
      <c r="M837" s="233">
        <v>0</v>
      </c>
      <c r="N837" s="231"/>
      <c r="O837" s="231"/>
      <c r="P837" s="234">
        <v>627.62</v>
      </c>
    </row>
    <row r="838" spans="1:16" ht="19.5" customHeight="1">
      <c r="A838" s="227" t="s">
        <v>1284</v>
      </c>
      <c r="B838" s="230">
        <v>46052</v>
      </c>
      <c r="C838" s="227" t="s">
        <v>100</v>
      </c>
      <c r="D838" s="227" t="s">
        <v>102</v>
      </c>
      <c r="E838" s="227" t="s">
        <v>52</v>
      </c>
      <c r="F838" s="227" t="s">
        <v>90</v>
      </c>
      <c r="G838" s="227" t="s">
        <v>84</v>
      </c>
      <c r="H838" s="231">
        <v>1</v>
      </c>
      <c r="I838" s="232">
        <v>1800</v>
      </c>
      <c r="J838" s="230">
        <v>46051</v>
      </c>
      <c r="K838" s="227" t="s">
        <v>93</v>
      </c>
      <c r="L838" s="227" t="s">
        <v>94</v>
      </c>
      <c r="M838" s="233">
        <v>0</v>
      </c>
      <c r="N838" s="231"/>
      <c r="O838" s="231"/>
      <c r="P838" s="234">
        <v>6.28</v>
      </c>
    </row>
    <row r="839" spans="1:16" ht="19.5" customHeight="1">
      <c r="A839" s="227" t="s">
        <v>1284</v>
      </c>
      <c r="B839" s="230">
        <v>46052</v>
      </c>
      <c r="C839" s="227" t="s">
        <v>100</v>
      </c>
      <c r="D839" s="227" t="s">
        <v>103</v>
      </c>
      <c r="E839" s="227" t="s">
        <v>52</v>
      </c>
      <c r="F839" s="227" t="s">
        <v>90</v>
      </c>
      <c r="G839" s="227" t="s">
        <v>84</v>
      </c>
      <c r="H839" s="231">
        <v>1</v>
      </c>
      <c r="I839" s="232">
        <v>1800</v>
      </c>
      <c r="J839" s="230">
        <v>46051</v>
      </c>
      <c r="K839" s="227" t="s">
        <v>93</v>
      </c>
      <c r="L839" s="227" t="s">
        <v>94</v>
      </c>
      <c r="M839" s="233">
        <v>0</v>
      </c>
      <c r="N839" s="231"/>
      <c r="O839" s="231"/>
      <c r="P839" s="234">
        <v>1166.0999999999999</v>
      </c>
    </row>
    <row r="840" spans="1:16" ht="19.5" customHeight="1">
      <c r="A840" s="227" t="s">
        <v>1284</v>
      </c>
      <c r="B840" s="230">
        <v>46052</v>
      </c>
      <c r="C840" s="227" t="s">
        <v>104</v>
      </c>
      <c r="D840" s="227" t="s">
        <v>105</v>
      </c>
      <c r="E840" s="227" t="s">
        <v>52</v>
      </c>
      <c r="F840" s="227" t="s">
        <v>90</v>
      </c>
      <c r="G840" s="227" t="s">
        <v>84</v>
      </c>
      <c r="H840" s="231">
        <v>1</v>
      </c>
      <c r="I840" s="232">
        <v>1800</v>
      </c>
      <c r="J840" s="230">
        <v>46051</v>
      </c>
      <c r="K840" s="227" t="s">
        <v>93</v>
      </c>
      <c r="L840" s="227" t="s">
        <v>94</v>
      </c>
      <c r="M840" s="233">
        <v>0.43</v>
      </c>
      <c r="N840" s="231"/>
      <c r="O840" s="231"/>
      <c r="P840" s="234">
        <v>-774</v>
      </c>
    </row>
    <row r="841" spans="1:16" ht="19.5" customHeight="1">
      <c r="A841" s="227" t="s">
        <v>1284</v>
      </c>
      <c r="B841" s="230">
        <v>46052</v>
      </c>
      <c r="C841" s="227" t="s">
        <v>81</v>
      </c>
      <c r="D841" s="227" t="s">
        <v>95</v>
      </c>
      <c r="E841" s="227" t="s">
        <v>52</v>
      </c>
      <c r="F841" s="227" t="s">
        <v>90</v>
      </c>
      <c r="G841" s="227" t="s">
        <v>84</v>
      </c>
      <c r="H841" s="231">
        <v>1</v>
      </c>
      <c r="I841" s="232">
        <v>1800</v>
      </c>
      <c r="J841" s="230">
        <v>46051</v>
      </c>
      <c r="K841" s="227" t="s">
        <v>93</v>
      </c>
      <c r="L841" s="227" t="s">
        <v>94</v>
      </c>
      <c r="M841" s="233">
        <v>0.43</v>
      </c>
      <c r="N841" s="231"/>
      <c r="O841" s="231"/>
      <c r="P841" s="234">
        <v>-10.97</v>
      </c>
    </row>
    <row r="842" spans="1:16" ht="19.5" customHeight="1">
      <c r="A842" s="227" t="s">
        <v>1285</v>
      </c>
      <c r="B842" s="230">
        <v>46052</v>
      </c>
      <c r="C842" s="227" t="s">
        <v>92</v>
      </c>
      <c r="D842" s="227" t="s">
        <v>24</v>
      </c>
      <c r="E842" s="227" t="s">
        <v>53</v>
      </c>
      <c r="F842" s="227" t="s">
        <v>120</v>
      </c>
      <c r="G842" s="227" t="s">
        <v>84</v>
      </c>
      <c r="H842" s="231">
        <v>1</v>
      </c>
      <c r="I842" s="232">
        <v>1812</v>
      </c>
      <c r="J842" s="230">
        <v>46051</v>
      </c>
      <c r="K842" s="227" t="s">
        <v>93</v>
      </c>
      <c r="L842" s="227" t="s">
        <v>94</v>
      </c>
      <c r="M842" s="233">
        <v>0.43</v>
      </c>
      <c r="N842" s="231"/>
      <c r="O842" s="231">
        <v>44</v>
      </c>
      <c r="P842" s="234">
        <v>-149.88999999999999</v>
      </c>
    </row>
    <row r="843" spans="1:16" ht="19.5" customHeight="1">
      <c r="A843" s="227" t="s">
        <v>1285</v>
      </c>
      <c r="B843" s="230">
        <v>46052</v>
      </c>
      <c r="C843" s="227" t="s">
        <v>100</v>
      </c>
      <c r="D843" s="227" t="s">
        <v>101</v>
      </c>
      <c r="E843" s="227" t="s">
        <v>53</v>
      </c>
      <c r="F843" s="227" t="s">
        <v>120</v>
      </c>
      <c r="G843" s="227" t="s">
        <v>84</v>
      </c>
      <c r="H843" s="231">
        <v>1</v>
      </c>
      <c r="I843" s="232">
        <v>1812</v>
      </c>
      <c r="J843" s="230">
        <v>46051</v>
      </c>
      <c r="K843" s="227" t="s">
        <v>93</v>
      </c>
      <c r="L843" s="227" t="s">
        <v>94</v>
      </c>
      <c r="M843" s="233">
        <v>0</v>
      </c>
      <c r="N843" s="231"/>
      <c r="O843" s="231"/>
      <c r="P843" s="234">
        <v>630.83000000000004</v>
      </c>
    </row>
    <row r="844" spans="1:16" ht="19.5" customHeight="1">
      <c r="A844" s="227" t="s">
        <v>1285</v>
      </c>
      <c r="B844" s="230">
        <v>46052</v>
      </c>
      <c r="C844" s="227" t="s">
        <v>100</v>
      </c>
      <c r="D844" s="227" t="s">
        <v>102</v>
      </c>
      <c r="E844" s="227" t="s">
        <v>53</v>
      </c>
      <c r="F844" s="227" t="s">
        <v>120</v>
      </c>
      <c r="G844" s="227" t="s">
        <v>84</v>
      </c>
      <c r="H844" s="231">
        <v>1</v>
      </c>
      <c r="I844" s="232">
        <v>1812</v>
      </c>
      <c r="J844" s="230">
        <v>46051</v>
      </c>
      <c r="K844" s="227" t="s">
        <v>93</v>
      </c>
      <c r="L844" s="227" t="s">
        <v>94</v>
      </c>
      <c r="M844" s="233">
        <v>0</v>
      </c>
      <c r="N844" s="231"/>
      <c r="O844" s="231"/>
      <c r="P844" s="234">
        <v>6.31</v>
      </c>
    </row>
    <row r="845" spans="1:16" ht="19.5" customHeight="1">
      <c r="A845" s="227" t="s">
        <v>1285</v>
      </c>
      <c r="B845" s="230">
        <v>46052</v>
      </c>
      <c r="C845" s="227" t="s">
        <v>100</v>
      </c>
      <c r="D845" s="227" t="s">
        <v>103</v>
      </c>
      <c r="E845" s="227" t="s">
        <v>53</v>
      </c>
      <c r="F845" s="227" t="s">
        <v>120</v>
      </c>
      <c r="G845" s="227" t="s">
        <v>84</v>
      </c>
      <c r="H845" s="231">
        <v>1</v>
      </c>
      <c r="I845" s="232">
        <v>1812</v>
      </c>
      <c r="J845" s="230">
        <v>46051</v>
      </c>
      <c r="K845" s="227" t="s">
        <v>93</v>
      </c>
      <c r="L845" s="227" t="s">
        <v>94</v>
      </c>
      <c r="M845" s="233">
        <v>0</v>
      </c>
      <c r="N845" s="231"/>
      <c r="O845" s="231"/>
      <c r="P845" s="234">
        <v>1174.8599999999999</v>
      </c>
    </row>
    <row r="846" spans="1:16" ht="19.5" customHeight="1">
      <c r="A846" s="227" t="s">
        <v>1285</v>
      </c>
      <c r="B846" s="230">
        <v>46052</v>
      </c>
      <c r="C846" s="227" t="s">
        <v>104</v>
      </c>
      <c r="D846" s="227" t="s">
        <v>105</v>
      </c>
      <c r="E846" s="227" t="s">
        <v>53</v>
      </c>
      <c r="F846" s="227" t="s">
        <v>120</v>
      </c>
      <c r="G846" s="227" t="s">
        <v>84</v>
      </c>
      <c r="H846" s="231">
        <v>1</v>
      </c>
      <c r="I846" s="232">
        <v>1812</v>
      </c>
      <c r="J846" s="230">
        <v>46051</v>
      </c>
      <c r="K846" s="227" t="s">
        <v>93</v>
      </c>
      <c r="L846" s="227" t="s">
        <v>94</v>
      </c>
      <c r="M846" s="233">
        <v>0.43</v>
      </c>
      <c r="N846" s="231"/>
      <c r="O846" s="231"/>
      <c r="P846" s="234">
        <v>-779.16</v>
      </c>
    </row>
    <row r="847" spans="1:16" ht="19.5" customHeight="1">
      <c r="A847" s="227" t="s">
        <v>1285</v>
      </c>
      <c r="B847" s="230">
        <v>46052</v>
      </c>
      <c r="C847" s="227" t="s">
        <v>81</v>
      </c>
      <c r="D847" s="227" t="s">
        <v>95</v>
      </c>
      <c r="E847" s="227" t="s">
        <v>53</v>
      </c>
      <c r="F847" s="227" t="s">
        <v>120</v>
      </c>
      <c r="G847" s="227" t="s">
        <v>84</v>
      </c>
      <c r="H847" s="231">
        <v>1</v>
      </c>
      <c r="I847" s="232">
        <v>1812</v>
      </c>
      <c r="J847" s="230">
        <v>46051</v>
      </c>
      <c r="K847" s="227" t="s">
        <v>93</v>
      </c>
      <c r="L847" s="227" t="s">
        <v>94</v>
      </c>
      <c r="M847" s="233">
        <v>0.43</v>
      </c>
      <c r="N847" s="231"/>
      <c r="O847" s="231"/>
      <c r="P847" s="234">
        <v>-12.71</v>
      </c>
    </row>
    <row r="848" spans="1:16" ht="19.5" customHeight="1">
      <c r="A848" s="227" t="s">
        <v>1286</v>
      </c>
      <c r="B848" s="230">
        <v>46052</v>
      </c>
      <c r="C848" s="227" t="s">
        <v>81</v>
      </c>
      <c r="D848" s="227" t="s">
        <v>82</v>
      </c>
      <c r="E848" s="227" t="s">
        <v>42</v>
      </c>
      <c r="F848" s="227" t="s">
        <v>89</v>
      </c>
      <c r="G848" s="227" t="s">
        <v>84</v>
      </c>
      <c r="H848" s="231">
        <v>1</v>
      </c>
      <c r="I848" s="232">
        <v>0</v>
      </c>
      <c r="J848" s="230">
        <v>46052</v>
      </c>
      <c r="K848" s="227" t="s">
        <v>85</v>
      </c>
      <c r="L848" s="227" t="s">
        <v>85</v>
      </c>
      <c r="M848" s="233">
        <v>0</v>
      </c>
      <c r="N848" s="231"/>
      <c r="O848" s="231"/>
      <c r="P848" s="234">
        <v>-11.58</v>
      </c>
    </row>
    <row r="849" spans="1:16" ht="19.5" customHeight="1">
      <c r="A849" s="227" t="s">
        <v>1287</v>
      </c>
      <c r="B849" s="230">
        <v>46052</v>
      </c>
      <c r="C849" s="227" t="s">
        <v>92</v>
      </c>
      <c r="D849" s="227" t="s">
        <v>24</v>
      </c>
      <c r="E849" s="227" t="s">
        <v>53</v>
      </c>
      <c r="F849" s="227" t="s">
        <v>120</v>
      </c>
      <c r="G849" s="227" t="s">
        <v>84</v>
      </c>
      <c r="H849" s="231">
        <v>1</v>
      </c>
      <c r="I849" s="232">
        <v>1812</v>
      </c>
      <c r="J849" s="230">
        <v>46050</v>
      </c>
      <c r="K849" s="227" t="s">
        <v>93</v>
      </c>
      <c r="L849" s="227" t="s">
        <v>94</v>
      </c>
      <c r="M849" s="233">
        <v>0.43</v>
      </c>
      <c r="N849" s="231"/>
      <c r="O849" s="231">
        <v>44</v>
      </c>
      <c r="P849" s="234">
        <v>-148.36000000000001</v>
      </c>
    </row>
    <row r="850" spans="1:16" ht="19.5" customHeight="1">
      <c r="A850" s="227" t="s">
        <v>1287</v>
      </c>
      <c r="B850" s="230">
        <v>46052</v>
      </c>
      <c r="C850" s="227" t="s">
        <v>100</v>
      </c>
      <c r="D850" s="227" t="s">
        <v>101</v>
      </c>
      <c r="E850" s="227" t="s">
        <v>53</v>
      </c>
      <c r="F850" s="227" t="s">
        <v>120</v>
      </c>
      <c r="G850" s="227" t="s">
        <v>84</v>
      </c>
      <c r="H850" s="231">
        <v>1</v>
      </c>
      <c r="I850" s="232">
        <v>1812</v>
      </c>
      <c r="J850" s="230">
        <v>46050</v>
      </c>
      <c r="K850" s="227" t="s">
        <v>93</v>
      </c>
      <c r="L850" s="227" t="s">
        <v>94</v>
      </c>
      <c r="M850" s="233">
        <v>0</v>
      </c>
      <c r="N850" s="231"/>
      <c r="O850" s="231"/>
      <c r="P850" s="234">
        <v>631.42999999999995</v>
      </c>
    </row>
    <row r="851" spans="1:16" ht="19.5" customHeight="1">
      <c r="A851" s="227" t="s">
        <v>1287</v>
      </c>
      <c r="B851" s="230">
        <v>46052</v>
      </c>
      <c r="C851" s="227" t="s">
        <v>100</v>
      </c>
      <c r="D851" s="227" t="s">
        <v>102</v>
      </c>
      <c r="E851" s="227" t="s">
        <v>53</v>
      </c>
      <c r="F851" s="227" t="s">
        <v>120</v>
      </c>
      <c r="G851" s="227" t="s">
        <v>84</v>
      </c>
      <c r="H851" s="231">
        <v>1</v>
      </c>
      <c r="I851" s="232">
        <v>1812</v>
      </c>
      <c r="J851" s="230">
        <v>46050</v>
      </c>
      <c r="K851" s="227" t="s">
        <v>93</v>
      </c>
      <c r="L851" s="227" t="s">
        <v>94</v>
      </c>
      <c r="M851" s="233">
        <v>0</v>
      </c>
      <c r="N851" s="231"/>
      <c r="O851" s="231"/>
      <c r="P851" s="234">
        <v>6.31</v>
      </c>
    </row>
    <row r="852" spans="1:16" ht="19.5" customHeight="1">
      <c r="A852" s="227" t="s">
        <v>1287</v>
      </c>
      <c r="B852" s="230">
        <v>46052</v>
      </c>
      <c r="C852" s="227" t="s">
        <v>100</v>
      </c>
      <c r="D852" s="227" t="s">
        <v>103</v>
      </c>
      <c r="E852" s="227" t="s">
        <v>53</v>
      </c>
      <c r="F852" s="227" t="s">
        <v>120</v>
      </c>
      <c r="G852" s="227" t="s">
        <v>84</v>
      </c>
      <c r="H852" s="231">
        <v>1</v>
      </c>
      <c r="I852" s="232">
        <v>1812</v>
      </c>
      <c r="J852" s="230">
        <v>46050</v>
      </c>
      <c r="K852" s="227" t="s">
        <v>93</v>
      </c>
      <c r="L852" s="227" t="s">
        <v>94</v>
      </c>
      <c r="M852" s="233">
        <v>0</v>
      </c>
      <c r="N852" s="231"/>
      <c r="O852" s="231"/>
      <c r="P852" s="234">
        <v>1174.26</v>
      </c>
    </row>
    <row r="853" spans="1:16" ht="19.5" customHeight="1">
      <c r="A853" s="227" t="s">
        <v>1287</v>
      </c>
      <c r="B853" s="230">
        <v>46052</v>
      </c>
      <c r="C853" s="227" t="s">
        <v>104</v>
      </c>
      <c r="D853" s="227" t="s">
        <v>105</v>
      </c>
      <c r="E853" s="227" t="s">
        <v>53</v>
      </c>
      <c r="F853" s="227" t="s">
        <v>120</v>
      </c>
      <c r="G853" s="227" t="s">
        <v>84</v>
      </c>
      <c r="H853" s="231">
        <v>1</v>
      </c>
      <c r="I853" s="232">
        <v>1812</v>
      </c>
      <c r="J853" s="230">
        <v>46050</v>
      </c>
      <c r="K853" s="227" t="s">
        <v>93</v>
      </c>
      <c r="L853" s="227" t="s">
        <v>94</v>
      </c>
      <c r="M853" s="233">
        <v>0.43</v>
      </c>
      <c r="N853" s="231"/>
      <c r="O853" s="231"/>
      <c r="P853" s="234">
        <v>-779.16</v>
      </c>
    </row>
    <row r="854" spans="1:16" ht="19.5" customHeight="1">
      <c r="A854" s="227" t="s">
        <v>1288</v>
      </c>
      <c r="B854" s="230">
        <v>46052</v>
      </c>
      <c r="C854" s="227" t="s">
        <v>92</v>
      </c>
      <c r="D854" s="227" t="s">
        <v>24</v>
      </c>
      <c r="E854" s="227" t="s">
        <v>53</v>
      </c>
      <c r="F854" s="227" t="s">
        <v>120</v>
      </c>
      <c r="G854" s="227" t="s">
        <v>84</v>
      </c>
      <c r="H854" s="231">
        <v>1</v>
      </c>
      <c r="I854" s="232">
        <v>0</v>
      </c>
      <c r="J854" s="230">
        <v>46045</v>
      </c>
      <c r="K854" s="227" t="s">
        <v>93</v>
      </c>
      <c r="L854" s="227" t="s">
        <v>94</v>
      </c>
      <c r="M854" s="233">
        <v>0</v>
      </c>
      <c r="N854" s="231"/>
      <c r="O854" s="231">
        <v>40</v>
      </c>
      <c r="P854" s="234">
        <v>-56</v>
      </c>
    </row>
    <row r="855" spans="1:16" ht="19.5" customHeight="1">
      <c r="A855" s="227" t="s">
        <v>1288</v>
      </c>
      <c r="B855" s="230">
        <v>46052</v>
      </c>
      <c r="C855" s="227" t="s">
        <v>81</v>
      </c>
      <c r="D855" s="227" t="s">
        <v>95</v>
      </c>
      <c r="E855" s="227" t="s">
        <v>53</v>
      </c>
      <c r="F855" s="227" t="s">
        <v>120</v>
      </c>
      <c r="G855" s="227" t="s">
        <v>84</v>
      </c>
      <c r="H855" s="231">
        <v>1</v>
      </c>
      <c r="I855" s="232">
        <v>0</v>
      </c>
      <c r="J855" s="230">
        <v>46045</v>
      </c>
      <c r="K855" s="227" t="s">
        <v>93</v>
      </c>
      <c r="L855" s="227" t="s">
        <v>94</v>
      </c>
      <c r="M855" s="233">
        <v>0</v>
      </c>
      <c r="N855" s="231"/>
      <c r="O855" s="231"/>
      <c r="P855" s="234">
        <v>-20.76</v>
      </c>
    </row>
    <row r="856" spans="1:16" ht="19.5" customHeight="1">
      <c r="A856" s="227" t="s">
        <v>1289</v>
      </c>
      <c r="B856" s="230">
        <v>46052</v>
      </c>
      <c r="C856" s="227" t="s">
        <v>92</v>
      </c>
      <c r="D856" s="227" t="s">
        <v>24</v>
      </c>
      <c r="E856" s="227" t="s">
        <v>42</v>
      </c>
      <c r="F856" s="227" t="s">
        <v>89</v>
      </c>
      <c r="G856" s="227" t="s">
        <v>84</v>
      </c>
      <c r="H856" s="231">
        <v>1</v>
      </c>
      <c r="I856" s="232">
        <v>1750</v>
      </c>
      <c r="J856" s="230">
        <v>46051</v>
      </c>
      <c r="K856" s="227" t="s">
        <v>93</v>
      </c>
      <c r="L856" s="227" t="s">
        <v>94</v>
      </c>
      <c r="M856" s="233">
        <v>0.43</v>
      </c>
      <c r="N856" s="231"/>
      <c r="O856" s="231">
        <v>44</v>
      </c>
      <c r="P856" s="234">
        <v>-131.37</v>
      </c>
    </row>
    <row r="857" spans="1:16" ht="19.5" customHeight="1">
      <c r="A857" s="227" t="s">
        <v>1289</v>
      </c>
      <c r="B857" s="230">
        <v>46052</v>
      </c>
      <c r="C857" s="227" t="s">
        <v>100</v>
      </c>
      <c r="D857" s="227" t="s">
        <v>101</v>
      </c>
      <c r="E857" s="227" t="s">
        <v>42</v>
      </c>
      <c r="F857" s="227" t="s">
        <v>89</v>
      </c>
      <c r="G857" s="227" t="s">
        <v>84</v>
      </c>
      <c r="H857" s="231">
        <v>1</v>
      </c>
      <c r="I857" s="232">
        <v>1750</v>
      </c>
      <c r="J857" s="230">
        <v>46051</v>
      </c>
      <c r="K857" s="227" t="s">
        <v>93</v>
      </c>
      <c r="L857" s="227" t="s">
        <v>94</v>
      </c>
      <c r="M857" s="233">
        <v>0</v>
      </c>
      <c r="N857" s="231"/>
      <c r="O857" s="231"/>
      <c r="P857" s="234">
        <v>609.52</v>
      </c>
    </row>
    <row r="858" spans="1:16" ht="19.5" customHeight="1">
      <c r="A858" s="227" t="s">
        <v>1289</v>
      </c>
      <c r="B858" s="230">
        <v>46052</v>
      </c>
      <c r="C858" s="227" t="s">
        <v>100</v>
      </c>
      <c r="D858" s="227" t="s">
        <v>102</v>
      </c>
      <c r="E858" s="227" t="s">
        <v>42</v>
      </c>
      <c r="F858" s="227" t="s">
        <v>89</v>
      </c>
      <c r="G858" s="227" t="s">
        <v>84</v>
      </c>
      <c r="H858" s="231">
        <v>1</v>
      </c>
      <c r="I858" s="232">
        <v>1750</v>
      </c>
      <c r="J858" s="230">
        <v>46051</v>
      </c>
      <c r="K858" s="227" t="s">
        <v>93</v>
      </c>
      <c r="L858" s="227" t="s">
        <v>94</v>
      </c>
      <c r="M858" s="233">
        <v>0</v>
      </c>
      <c r="N858" s="231"/>
      <c r="O858" s="231"/>
      <c r="P858" s="234">
        <v>6.1</v>
      </c>
    </row>
    <row r="859" spans="1:16" ht="19.5" customHeight="1">
      <c r="A859" s="227" t="s">
        <v>1289</v>
      </c>
      <c r="B859" s="230">
        <v>46052</v>
      </c>
      <c r="C859" s="227" t="s">
        <v>100</v>
      </c>
      <c r="D859" s="227" t="s">
        <v>103</v>
      </c>
      <c r="E859" s="227" t="s">
        <v>42</v>
      </c>
      <c r="F859" s="227" t="s">
        <v>89</v>
      </c>
      <c r="G859" s="227" t="s">
        <v>84</v>
      </c>
      <c r="H859" s="231">
        <v>1</v>
      </c>
      <c r="I859" s="232">
        <v>1750</v>
      </c>
      <c r="J859" s="230">
        <v>46051</v>
      </c>
      <c r="K859" s="227" t="s">
        <v>93</v>
      </c>
      <c r="L859" s="227" t="s">
        <v>94</v>
      </c>
      <c r="M859" s="233">
        <v>0</v>
      </c>
      <c r="N859" s="231"/>
      <c r="O859" s="231"/>
      <c r="P859" s="234">
        <v>1134.3800000000001</v>
      </c>
    </row>
    <row r="860" spans="1:16" ht="19.5" customHeight="1">
      <c r="A860" s="227" t="s">
        <v>1289</v>
      </c>
      <c r="B860" s="230">
        <v>46052</v>
      </c>
      <c r="C860" s="227" t="s">
        <v>104</v>
      </c>
      <c r="D860" s="227" t="s">
        <v>105</v>
      </c>
      <c r="E860" s="227" t="s">
        <v>42</v>
      </c>
      <c r="F860" s="227" t="s">
        <v>89</v>
      </c>
      <c r="G860" s="227" t="s">
        <v>84</v>
      </c>
      <c r="H860" s="231">
        <v>1</v>
      </c>
      <c r="I860" s="232">
        <v>1750</v>
      </c>
      <c r="J860" s="230">
        <v>46051</v>
      </c>
      <c r="K860" s="227" t="s">
        <v>93</v>
      </c>
      <c r="L860" s="227" t="s">
        <v>94</v>
      </c>
      <c r="M860" s="233">
        <v>0.43</v>
      </c>
      <c r="N860" s="231"/>
      <c r="O860" s="231"/>
      <c r="P860" s="234">
        <v>-752.5</v>
      </c>
    </row>
    <row r="861" spans="1:16" ht="19.5" customHeight="1">
      <c r="A861" s="227" t="s">
        <v>1289</v>
      </c>
      <c r="B861" s="230">
        <v>46052</v>
      </c>
      <c r="C861" s="227" t="s">
        <v>81</v>
      </c>
      <c r="D861" s="227" t="s">
        <v>95</v>
      </c>
      <c r="E861" s="227" t="s">
        <v>42</v>
      </c>
      <c r="F861" s="227" t="s">
        <v>89</v>
      </c>
      <c r="G861" s="227" t="s">
        <v>84</v>
      </c>
      <c r="H861" s="231">
        <v>1</v>
      </c>
      <c r="I861" s="232">
        <v>1750</v>
      </c>
      <c r="J861" s="230">
        <v>46051</v>
      </c>
      <c r="K861" s="227" t="s">
        <v>93</v>
      </c>
      <c r="L861" s="227" t="s">
        <v>94</v>
      </c>
      <c r="M861" s="233">
        <v>0.43</v>
      </c>
      <c r="N861" s="231"/>
      <c r="O861" s="231"/>
      <c r="P861" s="234">
        <v>-8.7200000000000006</v>
      </c>
    </row>
    <row r="862" spans="1:16" ht="19.5" customHeight="1">
      <c r="A862" s="227" t="s">
        <v>1288</v>
      </c>
      <c r="B862" s="230">
        <v>46052</v>
      </c>
      <c r="C862" s="227" t="s">
        <v>92</v>
      </c>
      <c r="D862" s="227" t="s">
        <v>96</v>
      </c>
      <c r="E862" s="227" t="s">
        <v>53</v>
      </c>
      <c r="F862" s="227" t="s">
        <v>120</v>
      </c>
      <c r="G862" s="227" t="s">
        <v>84</v>
      </c>
      <c r="H862" s="231">
        <v>1</v>
      </c>
      <c r="I862" s="232">
        <v>0</v>
      </c>
      <c r="J862" s="230">
        <v>46045</v>
      </c>
      <c r="K862" s="227" t="s">
        <v>93</v>
      </c>
      <c r="L862" s="227" t="s">
        <v>94</v>
      </c>
      <c r="M862" s="233">
        <v>0</v>
      </c>
      <c r="N862" s="231"/>
      <c r="O862" s="231"/>
      <c r="P862" s="234">
        <v>0</v>
      </c>
    </row>
    <row r="863" spans="1:16" ht="19.5" customHeight="1">
      <c r="A863" s="227" t="s">
        <v>1288</v>
      </c>
      <c r="B863" s="230">
        <v>46052</v>
      </c>
      <c r="C863" s="227" t="s">
        <v>92</v>
      </c>
      <c r="D863" s="227" t="s">
        <v>97</v>
      </c>
      <c r="E863" s="227" t="s">
        <v>53</v>
      </c>
      <c r="F863" s="227" t="s">
        <v>120</v>
      </c>
      <c r="G863" s="227" t="s">
        <v>84</v>
      </c>
      <c r="H863" s="231">
        <v>1</v>
      </c>
      <c r="I863" s="232">
        <v>0</v>
      </c>
      <c r="J863" s="230">
        <v>46045</v>
      </c>
      <c r="K863" s="227" t="s">
        <v>93</v>
      </c>
      <c r="L863" s="227" t="s">
        <v>94</v>
      </c>
      <c r="M863" s="233">
        <v>0</v>
      </c>
      <c r="N863" s="231"/>
      <c r="O863" s="231"/>
      <c r="P863" s="234">
        <v>-56</v>
      </c>
    </row>
    <row r="864" spans="1:16" ht="19.5" customHeight="1">
      <c r="A864" s="227" t="s">
        <v>1290</v>
      </c>
      <c r="B864" s="230">
        <v>46052</v>
      </c>
      <c r="C864" s="227" t="s">
        <v>81</v>
      </c>
      <c r="D864" s="227" t="s">
        <v>82</v>
      </c>
      <c r="E864" s="227" t="s">
        <v>41</v>
      </c>
      <c r="F864" s="227" t="s">
        <v>83</v>
      </c>
      <c r="G864" s="227" t="s">
        <v>84</v>
      </c>
      <c r="H864" s="231">
        <v>1</v>
      </c>
      <c r="I864" s="232">
        <v>0</v>
      </c>
      <c r="J864" s="230">
        <v>46052</v>
      </c>
      <c r="K864" s="227" t="s">
        <v>85</v>
      </c>
      <c r="L864" s="227" t="s">
        <v>85</v>
      </c>
      <c r="M864" s="233">
        <v>0</v>
      </c>
      <c r="N864" s="231"/>
      <c r="O864" s="231"/>
      <c r="P864" s="234">
        <v>-5.43</v>
      </c>
    </row>
    <row r="865" spans="1:16" ht="19.5" customHeight="1">
      <c r="A865" s="227" t="s">
        <v>1291</v>
      </c>
      <c r="B865" s="230">
        <v>46052</v>
      </c>
      <c r="C865" s="227" t="s">
        <v>92</v>
      </c>
      <c r="D865" s="227" t="s">
        <v>24</v>
      </c>
      <c r="E865" s="227" t="s">
        <v>53</v>
      </c>
      <c r="F865" s="227" t="s">
        <v>120</v>
      </c>
      <c r="G865" s="227" t="s">
        <v>84</v>
      </c>
      <c r="H865" s="231">
        <v>1</v>
      </c>
      <c r="I865" s="232">
        <v>1812</v>
      </c>
      <c r="J865" s="230">
        <v>46050</v>
      </c>
      <c r="K865" s="227" t="s">
        <v>93</v>
      </c>
      <c r="L865" s="227" t="s">
        <v>94</v>
      </c>
      <c r="M865" s="233">
        <v>0.43</v>
      </c>
      <c r="N865" s="231"/>
      <c r="O865" s="231">
        <v>44</v>
      </c>
      <c r="P865" s="234">
        <v>-149.88999999999999</v>
      </c>
    </row>
    <row r="866" spans="1:16" ht="19.5" customHeight="1">
      <c r="A866" s="227" t="s">
        <v>1291</v>
      </c>
      <c r="B866" s="230">
        <v>46052</v>
      </c>
      <c r="C866" s="227" t="s">
        <v>100</v>
      </c>
      <c r="D866" s="227" t="s">
        <v>101</v>
      </c>
      <c r="E866" s="227" t="s">
        <v>53</v>
      </c>
      <c r="F866" s="227" t="s">
        <v>120</v>
      </c>
      <c r="G866" s="227" t="s">
        <v>84</v>
      </c>
      <c r="H866" s="231">
        <v>1</v>
      </c>
      <c r="I866" s="232">
        <v>1812</v>
      </c>
      <c r="J866" s="230">
        <v>46050</v>
      </c>
      <c r="K866" s="227" t="s">
        <v>93</v>
      </c>
      <c r="L866" s="227" t="s">
        <v>94</v>
      </c>
      <c r="M866" s="233">
        <v>0</v>
      </c>
      <c r="N866" s="231"/>
      <c r="O866" s="231"/>
      <c r="P866" s="234">
        <v>630.23</v>
      </c>
    </row>
    <row r="867" spans="1:16" ht="19.5" customHeight="1">
      <c r="A867" s="227" t="s">
        <v>1291</v>
      </c>
      <c r="B867" s="230">
        <v>46052</v>
      </c>
      <c r="C867" s="227" t="s">
        <v>100</v>
      </c>
      <c r="D867" s="227" t="s">
        <v>102</v>
      </c>
      <c r="E867" s="227" t="s">
        <v>53</v>
      </c>
      <c r="F867" s="227" t="s">
        <v>120</v>
      </c>
      <c r="G867" s="227" t="s">
        <v>84</v>
      </c>
      <c r="H867" s="231">
        <v>1</v>
      </c>
      <c r="I867" s="232">
        <v>1812</v>
      </c>
      <c r="J867" s="230">
        <v>46050</v>
      </c>
      <c r="K867" s="227" t="s">
        <v>93</v>
      </c>
      <c r="L867" s="227" t="s">
        <v>94</v>
      </c>
      <c r="M867" s="233">
        <v>0</v>
      </c>
      <c r="N867" s="231"/>
      <c r="O867" s="231"/>
      <c r="P867" s="234">
        <v>6.3</v>
      </c>
    </row>
    <row r="868" spans="1:16" ht="19.5" customHeight="1">
      <c r="A868" s="227" t="s">
        <v>1291</v>
      </c>
      <c r="B868" s="230">
        <v>46052</v>
      </c>
      <c r="C868" s="227" t="s">
        <v>100</v>
      </c>
      <c r="D868" s="227" t="s">
        <v>103</v>
      </c>
      <c r="E868" s="227" t="s">
        <v>53</v>
      </c>
      <c r="F868" s="227" t="s">
        <v>120</v>
      </c>
      <c r="G868" s="227" t="s">
        <v>84</v>
      </c>
      <c r="H868" s="231">
        <v>1</v>
      </c>
      <c r="I868" s="232">
        <v>1812</v>
      </c>
      <c r="J868" s="230">
        <v>46050</v>
      </c>
      <c r="K868" s="227" t="s">
        <v>93</v>
      </c>
      <c r="L868" s="227" t="s">
        <v>94</v>
      </c>
      <c r="M868" s="233">
        <v>0</v>
      </c>
      <c r="N868" s="231"/>
      <c r="O868" s="231"/>
      <c r="P868" s="234">
        <v>1175.47</v>
      </c>
    </row>
    <row r="869" spans="1:16" ht="19.5" customHeight="1">
      <c r="A869" s="227" t="s">
        <v>1291</v>
      </c>
      <c r="B869" s="230">
        <v>46052</v>
      </c>
      <c r="C869" s="227" t="s">
        <v>104</v>
      </c>
      <c r="D869" s="227" t="s">
        <v>105</v>
      </c>
      <c r="E869" s="227" t="s">
        <v>53</v>
      </c>
      <c r="F869" s="227" t="s">
        <v>120</v>
      </c>
      <c r="G869" s="227" t="s">
        <v>84</v>
      </c>
      <c r="H869" s="231">
        <v>1</v>
      </c>
      <c r="I869" s="232">
        <v>1812</v>
      </c>
      <c r="J869" s="230">
        <v>46050</v>
      </c>
      <c r="K869" s="227" t="s">
        <v>93</v>
      </c>
      <c r="L869" s="227" t="s">
        <v>94</v>
      </c>
      <c r="M869" s="233">
        <v>0.43</v>
      </c>
      <c r="N869" s="231"/>
      <c r="O869" s="231"/>
      <c r="P869" s="234">
        <v>-779.16</v>
      </c>
    </row>
    <row r="870" spans="1:16" ht="19.5" customHeight="1">
      <c r="A870" s="227" t="s">
        <v>1291</v>
      </c>
      <c r="B870" s="230">
        <v>46052</v>
      </c>
      <c r="C870" s="227" t="s">
        <v>81</v>
      </c>
      <c r="D870" s="227" t="s">
        <v>95</v>
      </c>
      <c r="E870" s="227" t="s">
        <v>53</v>
      </c>
      <c r="F870" s="227" t="s">
        <v>120</v>
      </c>
      <c r="G870" s="227" t="s">
        <v>84</v>
      </c>
      <c r="H870" s="231">
        <v>1</v>
      </c>
      <c r="I870" s="232">
        <v>1812</v>
      </c>
      <c r="J870" s="230">
        <v>46050</v>
      </c>
      <c r="K870" s="227" t="s">
        <v>93</v>
      </c>
      <c r="L870" s="227" t="s">
        <v>94</v>
      </c>
      <c r="M870" s="233">
        <v>0.43</v>
      </c>
      <c r="N870" s="231"/>
      <c r="O870" s="231"/>
      <c r="P870" s="234">
        <v>-21.07</v>
      </c>
    </row>
    <row r="871" spans="1:16" ht="19.5" customHeight="1">
      <c r="A871" s="227" t="s">
        <v>1292</v>
      </c>
      <c r="B871" s="230">
        <v>46052</v>
      </c>
      <c r="C871" s="227" t="s">
        <v>81</v>
      </c>
      <c r="D871" s="227" t="s">
        <v>82</v>
      </c>
      <c r="E871" s="227" t="s">
        <v>52</v>
      </c>
      <c r="F871" s="227" t="s">
        <v>90</v>
      </c>
      <c r="G871" s="227" t="s">
        <v>84</v>
      </c>
      <c r="H871" s="231">
        <v>1</v>
      </c>
      <c r="I871" s="232">
        <v>0</v>
      </c>
      <c r="J871" s="230">
        <v>46052</v>
      </c>
      <c r="K871" s="227" t="s">
        <v>85</v>
      </c>
      <c r="L871" s="227" t="s">
        <v>85</v>
      </c>
      <c r="M871" s="233">
        <v>0</v>
      </c>
      <c r="N871" s="231"/>
      <c r="O871" s="231"/>
      <c r="P871" s="234">
        <v>-11.98</v>
      </c>
    </row>
    <row r="872" spans="1:16" ht="19.5" customHeight="1">
      <c r="A872" s="227" t="s">
        <v>1293</v>
      </c>
      <c r="B872" s="230">
        <v>46052</v>
      </c>
      <c r="C872" s="227" t="s">
        <v>92</v>
      </c>
      <c r="D872" s="227" t="s">
        <v>24</v>
      </c>
      <c r="E872" s="227" t="s">
        <v>52</v>
      </c>
      <c r="F872" s="227" t="s">
        <v>90</v>
      </c>
      <c r="G872" s="227" t="s">
        <v>84</v>
      </c>
      <c r="H872" s="231">
        <v>1</v>
      </c>
      <c r="I872" s="232">
        <v>1800</v>
      </c>
      <c r="J872" s="230">
        <v>46046</v>
      </c>
      <c r="K872" s="227" t="s">
        <v>93</v>
      </c>
      <c r="L872" s="227" t="s">
        <v>94</v>
      </c>
      <c r="M872" s="233">
        <v>0.43</v>
      </c>
      <c r="N872" s="231"/>
      <c r="O872" s="231">
        <v>40</v>
      </c>
      <c r="P872" s="234">
        <v>-130.46</v>
      </c>
    </row>
    <row r="873" spans="1:16" ht="19.5" customHeight="1">
      <c r="A873" s="227" t="s">
        <v>1293</v>
      </c>
      <c r="B873" s="230">
        <v>46052</v>
      </c>
      <c r="C873" s="227" t="s">
        <v>100</v>
      </c>
      <c r="D873" s="227" t="s">
        <v>101</v>
      </c>
      <c r="E873" s="227" t="s">
        <v>52</v>
      </c>
      <c r="F873" s="227" t="s">
        <v>90</v>
      </c>
      <c r="G873" s="227" t="s">
        <v>84</v>
      </c>
      <c r="H873" s="231">
        <v>1</v>
      </c>
      <c r="I873" s="232">
        <v>1800</v>
      </c>
      <c r="J873" s="230">
        <v>46046</v>
      </c>
      <c r="K873" s="227" t="s">
        <v>93</v>
      </c>
      <c r="L873" s="227" t="s">
        <v>94</v>
      </c>
      <c r="M873" s="233">
        <v>0</v>
      </c>
      <c r="N873" s="231"/>
      <c r="O873" s="231"/>
      <c r="P873" s="234">
        <v>691.43</v>
      </c>
    </row>
    <row r="874" spans="1:16" ht="19.5" customHeight="1">
      <c r="A874" s="227" t="s">
        <v>1293</v>
      </c>
      <c r="B874" s="230">
        <v>46052</v>
      </c>
      <c r="C874" s="227" t="s">
        <v>100</v>
      </c>
      <c r="D874" s="227" t="s">
        <v>102</v>
      </c>
      <c r="E874" s="227" t="s">
        <v>52</v>
      </c>
      <c r="F874" s="227" t="s">
        <v>90</v>
      </c>
      <c r="G874" s="227" t="s">
        <v>84</v>
      </c>
      <c r="H874" s="231">
        <v>1</v>
      </c>
      <c r="I874" s="232">
        <v>1800</v>
      </c>
      <c r="J874" s="230">
        <v>46046</v>
      </c>
      <c r="K874" s="227" t="s">
        <v>93</v>
      </c>
      <c r="L874" s="227" t="s">
        <v>94</v>
      </c>
      <c r="M874" s="233">
        <v>0</v>
      </c>
      <c r="N874" s="231"/>
      <c r="O874" s="231"/>
      <c r="P874" s="234">
        <v>6.91</v>
      </c>
    </row>
    <row r="875" spans="1:16" ht="19.5" customHeight="1">
      <c r="A875" s="227" t="s">
        <v>1293</v>
      </c>
      <c r="B875" s="230">
        <v>46052</v>
      </c>
      <c r="C875" s="227" t="s">
        <v>100</v>
      </c>
      <c r="D875" s="227" t="s">
        <v>103</v>
      </c>
      <c r="E875" s="227" t="s">
        <v>52</v>
      </c>
      <c r="F875" s="227" t="s">
        <v>90</v>
      </c>
      <c r="G875" s="227" t="s">
        <v>84</v>
      </c>
      <c r="H875" s="231">
        <v>1</v>
      </c>
      <c r="I875" s="232">
        <v>1800</v>
      </c>
      <c r="J875" s="230">
        <v>46046</v>
      </c>
      <c r="K875" s="227" t="s">
        <v>93</v>
      </c>
      <c r="L875" s="227" t="s">
        <v>94</v>
      </c>
      <c r="M875" s="233">
        <v>0</v>
      </c>
      <c r="N875" s="231"/>
      <c r="O875" s="231"/>
      <c r="P875" s="234">
        <v>1101.6600000000001</v>
      </c>
    </row>
    <row r="876" spans="1:16" ht="19.5" customHeight="1">
      <c r="A876" s="227" t="s">
        <v>1293</v>
      </c>
      <c r="B876" s="230">
        <v>46052</v>
      </c>
      <c r="C876" s="227" t="s">
        <v>104</v>
      </c>
      <c r="D876" s="227" t="s">
        <v>105</v>
      </c>
      <c r="E876" s="227" t="s">
        <v>52</v>
      </c>
      <c r="F876" s="227" t="s">
        <v>90</v>
      </c>
      <c r="G876" s="227" t="s">
        <v>84</v>
      </c>
      <c r="H876" s="231">
        <v>1</v>
      </c>
      <c r="I876" s="232">
        <v>1800</v>
      </c>
      <c r="J876" s="230">
        <v>46046</v>
      </c>
      <c r="K876" s="227" t="s">
        <v>93</v>
      </c>
      <c r="L876" s="227" t="s">
        <v>94</v>
      </c>
      <c r="M876" s="233">
        <v>0.43</v>
      </c>
      <c r="N876" s="231"/>
      <c r="O876" s="231"/>
      <c r="P876" s="234">
        <v>-774</v>
      </c>
    </row>
    <row r="877" spans="1:16" ht="19.5" customHeight="1">
      <c r="A877" s="227" t="s">
        <v>1293</v>
      </c>
      <c r="B877" s="230">
        <v>46052</v>
      </c>
      <c r="C877" s="227" t="s">
        <v>81</v>
      </c>
      <c r="D877" s="227" t="s">
        <v>95</v>
      </c>
      <c r="E877" s="227" t="s">
        <v>52</v>
      </c>
      <c r="F877" s="227" t="s">
        <v>90</v>
      </c>
      <c r="G877" s="227" t="s">
        <v>84</v>
      </c>
      <c r="H877" s="231">
        <v>1</v>
      </c>
      <c r="I877" s="232">
        <v>1800</v>
      </c>
      <c r="J877" s="230">
        <v>46046</v>
      </c>
      <c r="K877" s="227" t="s">
        <v>93</v>
      </c>
      <c r="L877" s="227" t="s">
        <v>94</v>
      </c>
      <c r="M877" s="233">
        <v>0.43</v>
      </c>
      <c r="N877" s="231"/>
      <c r="O877" s="231"/>
      <c r="P877" s="234">
        <v>-9.8000000000000007</v>
      </c>
    </row>
    <row r="878" spans="1:16" ht="19.5" customHeight="1">
      <c r="A878" s="227" t="s">
        <v>1294</v>
      </c>
      <c r="B878" s="230">
        <v>46052</v>
      </c>
      <c r="C878" s="227" t="s">
        <v>92</v>
      </c>
      <c r="D878" s="227" t="s">
        <v>24</v>
      </c>
      <c r="E878" s="227" t="s">
        <v>52</v>
      </c>
      <c r="F878" s="227" t="s">
        <v>90</v>
      </c>
      <c r="G878" s="227" t="s">
        <v>84</v>
      </c>
      <c r="H878" s="231">
        <v>1</v>
      </c>
      <c r="I878" s="232">
        <v>0</v>
      </c>
      <c r="J878" s="230">
        <v>46017</v>
      </c>
      <c r="K878" s="227" t="s">
        <v>93</v>
      </c>
      <c r="L878" s="227" t="s">
        <v>94</v>
      </c>
      <c r="M878" s="233">
        <v>0</v>
      </c>
      <c r="N878" s="231"/>
      <c r="O878" s="231">
        <v>43</v>
      </c>
      <c r="P878" s="234">
        <v>-56</v>
      </c>
    </row>
    <row r="879" spans="1:16" ht="19.5" customHeight="1">
      <c r="A879" s="227" t="s">
        <v>1294</v>
      </c>
      <c r="B879" s="230">
        <v>46052</v>
      </c>
      <c r="C879" s="227" t="s">
        <v>81</v>
      </c>
      <c r="D879" s="227" t="s">
        <v>95</v>
      </c>
      <c r="E879" s="227" t="s">
        <v>52</v>
      </c>
      <c r="F879" s="227" t="s">
        <v>90</v>
      </c>
      <c r="G879" s="227" t="s">
        <v>84</v>
      </c>
      <c r="H879" s="231">
        <v>1</v>
      </c>
      <c r="I879" s="232">
        <v>0</v>
      </c>
      <c r="J879" s="230">
        <v>46017</v>
      </c>
      <c r="K879" s="227" t="s">
        <v>93</v>
      </c>
      <c r="L879" s="227" t="s">
        <v>94</v>
      </c>
      <c r="M879" s="233">
        <v>0</v>
      </c>
      <c r="N879" s="231"/>
      <c r="O879" s="231"/>
      <c r="P879" s="234">
        <v>-6.73</v>
      </c>
    </row>
    <row r="880" spans="1:16" ht="19.5" customHeight="1">
      <c r="A880" s="227" t="s">
        <v>1294</v>
      </c>
      <c r="B880" s="230">
        <v>46052</v>
      </c>
      <c r="C880" s="227" t="s">
        <v>92</v>
      </c>
      <c r="D880" s="227" t="s">
        <v>96</v>
      </c>
      <c r="E880" s="227" t="s">
        <v>52</v>
      </c>
      <c r="F880" s="227" t="s">
        <v>90</v>
      </c>
      <c r="G880" s="227" t="s">
        <v>84</v>
      </c>
      <c r="H880" s="231">
        <v>1</v>
      </c>
      <c r="I880" s="232">
        <v>0</v>
      </c>
      <c r="J880" s="230">
        <v>46017</v>
      </c>
      <c r="K880" s="227" t="s">
        <v>93</v>
      </c>
      <c r="L880" s="227" t="s">
        <v>94</v>
      </c>
      <c r="M880" s="233">
        <v>0</v>
      </c>
      <c r="N880" s="231"/>
      <c r="O880" s="231"/>
      <c r="P880" s="234">
        <v>0</v>
      </c>
    </row>
    <row r="881" spans="1:16" ht="19.5" customHeight="1">
      <c r="A881" s="227" t="s">
        <v>1294</v>
      </c>
      <c r="B881" s="230">
        <v>46052</v>
      </c>
      <c r="C881" s="227" t="s">
        <v>92</v>
      </c>
      <c r="D881" s="227" t="s">
        <v>97</v>
      </c>
      <c r="E881" s="227" t="s">
        <v>52</v>
      </c>
      <c r="F881" s="227" t="s">
        <v>90</v>
      </c>
      <c r="G881" s="227" t="s">
        <v>84</v>
      </c>
      <c r="H881" s="231">
        <v>1</v>
      </c>
      <c r="I881" s="232">
        <v>0</v>
      </c>
      <c r="J881" s="230">
        <v>46017</v>
      </c>
      <c r="K881" s="227" t="s">
        <v>93</v>
      </c>
      <c r="L881" s="227" t="s">
        <v>94</v>
      </c>
      <c r="M881" s="233">
        <v>0</v>
      </c>
      <c r="N881" s="231"/>
      <c r="O881" s="231"/>
      <c r="P881" s="234">
        <v>-56</v>
      </c>
    </row>
    <row r="882" spans="1:16" ht="19.5" customHeight="1">
      <c r="A882" s="227" t="s">
        <v>1294</v>
      </c>
      <c r="B882" s="230">
        <v>46052</v>
      </c>
      <c r="C882" s="227" t="s">
        <v>81</v>
      </c>
      <c r="D882" s="227" t="s">
        <v>98</v>
      </c>
      <c r="E882" s="227" t="s">
        <v>52</v>
      </c>
      <c r="F882" s="227" t="s">
        <v>90</v>
      </c>
      <c r="G882" s="227" t="s">
        <v>84</v>
      </c>
      <c r="H882" s="231">
        <v>1</v>
      </c>
      <c r="I882" s="232">
        <v>0</v>
      </c>
      <c r="J882" s="230">
        <v>46017</v>
      </c>
      <c r="K882" s="227" t="s">
        <v>93</v>
      </c>
      <c r="L882" s="227" t="s">
        <v>94</v>
      </c>
      <c r="M882" s="233">
        <v>0</v>
      </c>
      <c r="N882" s="231"/>
      <c r="O882" s="231"/>
      <c r="P882" s="234">
        <v>-15</v>
      </c>
    </row>
    <row r="883" spans="1:16" ht="19.5" customHeight="1">
      <c r="A883" s="227" t="s">
        <v>1293</v>
      </c>
      <c r="B883" s="230">
        <v>46052</v>
      </c>
      <c r="C883" s="227" t="s">
        <v>81</v>
      </c>
      <c r="D883" s="227" t="s">
        <v>82</v>
      </c>
      <c r="E883" s="227" t="s">
        <v>52</v>
      </c>
      <c r="F883" s="227" t="s">
        <v>90</v>
      </c>
      <c r="G883" s="227" t="s">
        <v>84</v>
      </c>
      <c r="H883" s="231">
        <v>1</v>
      </c>
      <c r="I883" s="232">
        <v>0</v>
      </c>
      <c r="J883" s="230">
        <v>46046</v>
      </c>
      <c r="K883" s="227" t="s">
        <v>85</v>
      </c>
      <c r="L883" s="227" t="s">
        <v>85</v>
      </c>
      <c r="M883" s="233">
        <v>0</v>
      </c>
      <c r="N883" s="231"/>
      <c r="O883" s="231"/>
      <c r="P883" s="234">
        <v>-13.14</v>
      </c>
    </row>
    <row r="884" spans="1:16" ht="19.5" customHeight="1">
      <c r="A884" s="227" t="s">
        <v>1295</v>
      </c>
      <c r="B884" s="230">
        <v>46052</v>
      </c>
      <c r="C884" s="227" t="s">
        <v>92</v>
      </c>
      <c r="D884" s="227" t="s">
        <v>24</v>
      </c>
      <c r="E884" s="227" t="s">
        <v>53</v>
      </c>
      <c r="F884" s="227" t="s">
        <v>120</v>
      </c>
      <c r="G884" s="227" t="s">
        <v>84</v>
      </c>
      <c r="H884" s="231">
        <v>1</v>
      </c>
      <c r="I884" s="232">
        <v>0</v>
      </c>
      <c r="J884" s="230">
        <v>46047</v>
      </c>
      <c r="K884" s="227" t="s">
        <v>93</v>
      </c>
      <c r="L884" s="227" t="s">
        <v>94</v>
      </c>
      <c r="M884" s="233">
        <v>0</v>
      </c>
      <c r="N884" s="231"/>
      <c r="O884" s="231">
        <v>41</v>
      </c>
      <c r="P884" s="234">
        <v>-56</v>
      </c>
    </row>
    <row r="885" spans="1:16" ht="19.5" customHeight="1">
      <c r="A885" s="227" t="s">
        <v>1295</v>
      </c>
      <c r="B885" s="230">
        <v>46052</v>
      </c>
      <c r="C885" s="227" t="s">
        <v>81</v>
      </c>
      <c r="D885" s="227" t="s">
        <v>95</v>
      </c>
      <c r="E885" s="227" t="s">
        <v>53</v>
      </c>
      <c r="F885" s="227" t="s">
        <v>120</v>
      </c>
      <c r="G885" s="227" t="s">
        <v>84</v>
      </c>
      <c r="H885" s="231">
        <v>1</v>
      </c>
      <c r="I885" s="232">
        <v>0</v>
      </c>
      <c r="J885" s="230">
        <v>46047</v>
      </c>
      <c r="K885" s="227" t="s">
        <v>93</v>
      </c>
      <c r="L885" s="227" t="s">
        <v>94</v>
      </c>
      <c r="M885" s="233">
        <v>0</v>
      </c>
      <c r="N885" s="231"/>
      <c r="O885" s="231"/>
      <c r="P885" s="234">
        <v>-25</v>
      </c>
    </row>
    <row r="886" spans="1:16" ht="19.5" customHeight="1">
      <c r="A886" s="227" t="s">
        <v>1296</v>
      </c>
      <c r="B886" s="230">
        <v>46052</v>
      </c>
      <c r="C886" s="227" t="s">
        <v>354</v>
      </c>
      <c r="D886" s="227" t="s">
        <v>892</v>
      </c>
      <c r="E886" s="227" t="s">
        <v>85</v>
      </c>
      <c r="F886" s="227" t="s">
        <v>85</v>
      </c>
      <c r="G886" s="227" t="s">
        <v>85</v>
      </c>
      <c r="H886" s="231">
        <v>0</v>
      </c>
      <c r="I886" s="232">
        <v>0</v>
      </c>
      <c r="J886" s="230">
        <v>46044</v>
      </c>
      <c r="K886" s="227" t="s">
        <v>85</v>
      </c>
      <c r="L886" s="227" t="s">
        <v>85</v>
      </c>
      <c r="M886" s="233">
        <v>0</v>
      </c>
      <c r="N886" s="231"/>
      <c r="O886" s="231"/>
      <c r="P886" s="234">
        <v>-3321.6</v>
      </c>
    </row>
    <row r="887" spans="1:16" ht="19.5" customHeight="1">
      <c r="A887" s="227" t="s">
        <v>1297</v>
      </c>
      <c r="B887" s="230">
        <v>46052</v>
      </c>
      <c r="C887" s="227" t="s">
        <v>92</v>
      </c>
      <c r="D887" s="227" t="s">
        <v>24</v>
      </c>
      <c r="E887" s="227" t="s">
        <v>52</v>
      </c>
      <c r="F887" s="227" t="s">
        <v>90</v>
      </c>
      <c r="G887" s="227" t="s">
        <v>84</v>
      </c>
      <c r="H887" s="231">
        <v>1</v>
      </c>
      <c r="I887" s="232">
        <v>0</v>
      </c>
      <c r="J887" s="230">
        <v>46047</v>
      </c>
      <c r="K887" s="227" t="s">
        <v>93</v>
      </c>
      <c r="L887" s="227" t="s">
        <v>94</v>
      </c>
      <c r="M887" s="233">
        <v>0</v>
      </c>
      <c r="N887" s="231"/>
      <c r="O887" s="231">
        <v>41</v>
      </c>
      <c r="P887" s="234">
        <v>-56.94</v>
      </c>
    </row>
    <row r="888" spans="1:16" ht="19.5" customHeight="1">
      <c r="A888" s="227" t="s">
        <v>1297</v>
      </c>
      <c r="B888" s="230">
        <v>46052</v>
      </c>
      <c r="C888" s="227" t="s">
        <v>81</v>
      </c>
      <c r="D888" s="227" t="s">
        <v>95</v>
      </c>
      <c r="E888" s="227" t="s">
        <v>52</v>
      </c>
      <c r="F888" s="227" t="s">
        <v>90</v>
      </c>
      <c r="G888" s="227" t="s">
        <v>84</v>
      </c>
      <c r="H888" s="231">
        <v>1</v>
      </c>
      <c r="I888" s="232">
        <v>0</v>
      </c>
      <c r="J888" s="230">
        <v>46047</v>
      </c>
      <c r="K888" s="227" t="s">
        <v>93</v>
      </c>
      <c r="L888" s="227" t="s">
        <v>94</v>
      </c>
      <c r="M888" s="233">
        <v>0</v>
      </c>
      <c r="N888" s="231"/>
      <c r="O888" s="231"/>
      <c r="P888" s="234">
        <v>-25</v>
      </c>
    </row>
    <row r="889" spans="1:16" ht="19.5" customHeight="1">
      <c r="A889" s="227" t="s">
        <v>1296</v>
      </c>
      <c r="B889" s="230">
        <v>46052</v>
      </c>
      <c r="C889" s="227" t="s">
        <v>354</v>
      </c>
      <c r="D889" s="227" t="s">
        <v>892</v>
      </c>
      <c r="E889" s="227" t="s">
        <v>85</v>
      </c>
      <c r="F889" s="227" t="s">
        <v>85</v>
      </c>
      <c r="G889" s="227" t="s">
        <v>85</v>
      </c>
      <c r="H889" s="231">
        <v>0</v>
      </c>
      <c r="I889" s="232">
        <v>0</v>
      </c>
      <c r="J889" s="230">
        <v>46044</v>
      </c>
      <c r="K889" s="227" t="s">
        <v>85</v>
      </c>
      <c r="L889" s="227" t="s">
        <v>85</v>
      </c>
      <c r="M889" s="233">
        <v>0</v>
      </c>
      <c r="N889" s="231"/>
      <c r="O889" s="231"/>
      <c r="P889" s="234">
        <v>-3321.6</v>
      </c>
    </row>
    <row r="890" spans="1:16" ht="19.5" customHeight="1">
      <c r="A890" s="227" t="s">
        <v>1295</v>
      </c>
      <c r="B890" s="230">
        <v>46052</v>
      </c>
      <c r="C890" s="227" t="s">
        <v>92</v>
      </c>
      <c r="D890" s="227" t="s">
        <v>96</v>
      </c>
      <c r="E890" s="227" t="s">
        <v>53</v>
      </c>
      <c r="F890" s="227" t="s">
        <v>120</v>
      </c>
      <c r="G890" s="227" t="s">
        <v>84</v>
      </c>
      <c r="H890" s="231">
        <v>1</v>
      </c>
      <c r="I890" s="232">
        <v>0</v>
      </c>
      <c r="J890" s="230">
        <v>46047</v>
      </c>
      <c r="K890" s="227" t="s">
        <v>93</v>
      </c>
      <c r="L890" s="227" t="s">
        <v>94</v>
      </c>
      <c r="M890" s="233">
        <v>0</v>
      </c>
      <c r="N890" s="231"/>
      <c r="O890" s="231"/>
      <c r="P890" s="234">
        <v>0</v>
      </c>
    </row>
    <row r="891" spans="1:16" ht="19.5" customHeight="1">
      <c r="A891" s="227" t="s">
        <v>1295</v>
      </c>
      <c r="B891" s="230">
        <v>46052</v>
      </c>
      <c r="C891" s="227" t="s">
        <v>92</v>
      </c>
      <c r="D891" s="227" t="s">
        <v>97</v>
      </c>
      <c r="E891" s="227" t="s">
        <v>53</v>
      </c>
      <c r="F891" s="227" t="s">
        <v>120</v>
      </c>
      <c r="G891" s="227" t="s">
        <v>84</v>
      </c>
      <c r="H891" s="231">
        <v>1</v>
      </c>
      <c r="I891" s="232">
        <v>0</v>
      </c>
      <c r="J891" s="230">
        <v>46047</v>
      </c>
      <c r="K891" s="227" t="s">
        <v>93</v>
      </c>
      <c r="L891" s="227" t="s">
        <v>94</v>
      </c>
      <c r="M891" s="233">
        <v>0</v>
      </c>
      <c r="N891" s="231"/>
      <c r="O891" s="231"/>
      <c r="P891" s="234">
        <v>-56</v>
      </c>
    </row>
    <row r="892" spans="1:16" ht="19.5" customHeight="1">
      <c r="A892" s="227" t="s">
        <v>1295</v>
      </c>
      <c r="B892" s="230">
        <v>46052</v>
      </c>
      <c r="C892" s="227" t="s">
        <v>81</v>
      </c>
      <c r="D892" s="227" t="s">
        <v>98</v>
      </c>
      <c r="E892" s="227" t="s">
        <v>53</v>
      </c>
      <c r="F892" s="227" t="s">
        <v>120</v>
      </c>
      <c r="G892" s="227" t="s">
        <v>84</v>
      </c>
      <c r="H892" s="231">
        <v>1</v>
      </c>
      <c r="I892" s="232">
        <v>0</v>
      </c>
      <c r="J892" s="230">
        <v>46047</v>
      </c>
      <c r="K892" s="227" t="s">
        <v>93</v>
      </c>
      <c r="L892" s="227" t="s">
        <v>94</v>
      </c>
      <c r="M892" s="233">
        <v>0</v>
      </c>
      <c r="N892" s="231"/>
      <c r="O892" s="231"/>
      <c r="P892" s="234">
        <v>-15</v>
      </c>
    </row>
    <row r="893" spans="1:16" ht="19.5" customHeight="1">
      <c r="A893" s="227" t="s">
        <v>1297</v>
      </c>
      <c r="B893" s="230">
        <v>46052</v>
      </c>
      <c r="C893" s="227" t="s">
        <v>92</v>
      </c>
      <c r="D893" s="227" t="s">
        <v>96</v>
      </c>
      <c r="E893" s="227" t="s">
        <v>52</v>
      </c>
      <c r="F893" s="227" t="s">
        <v>90</v>
      </c>
      <c r="G893" s="227" t="s">
        <v>84</v>
      </c>
      <c r="H893" s="231">
        <v>1</v>
      </c>
      <c r="I893" s="232">
        <v>0</v>
      </c>
      <c r="J893" s="230">
        <v>46047</v>
      </c>
      <c r="K893" s="227" t="s">
        <v>93</v>
      </c>
      <c r="L893" s="227" t="s">
        <v>94</v>
      </c>
      <c r="M893" s="233">
        <v>0</v>
      </c>
      <c r="N893" s="231"/>
      <c r="O893" s="231"/>
      <c r="P893" s="234">
        <v>0</v>
      </c>
    </row>
    <row r="894" spans="1:16" ht="19.5" customHeight="1">
      <c r="A894" s="227" t="s">
        <v>1297</v>
      </c>
      <c r="B894" s="230">
        <v>46052</v>
      </c>
      <c r="C894" s="227" t="s">
        <v>92</v>
      </c>
      <c r="D894" s="227" t="s">
        <v>97</v>
      </c>
      <c r="E894" s="227" t="s">
        <v>52</v>
      </c>
      <c r="F894" s="227" t="s">
        <v>90</v>
      </c>
      <c r="G894" s="227" t="s">
        <v>84</v>
      </c>
      <c r="H894" s="231">
        <v>1</v>
      </c>
      <c r="I894" s="232">
        <v>0</v>
      </c>
      <c r="J894" s="230">
        <v>46047</v>
      </c>
      <c r="K894" s="227" t="s">
        <v>93</v>
      </c>
      <c r="L894" s="227" t="s">
        <v>94</v>
      </c>
      <c r="M894" s="233">
        <v>0</v>
      </c>
      <c r="N894" s="231"/>
      <c r="O894" s="231"/>
      <c r="P894" s="234">
        <v>-56.94</v>
      </c>
    </row>
    <row r="895" spans="1:16" ht="19.5" customHeight="1">
      <c r="A895" s="227" t="s">
        <v>1297</v>
      </c>
      <c r="B895" s="230">
        <v>46052</v>
      </c>
      <c r="C895" s="227" t="s">
        <v>81</v>
      </c>
      <c r="D895" s="227" t="s">
        <v>98</v>
      </c>
      <c r="E895" s="227" t="s">
        <v>52</v>
      </c>
      <c r="F895" s="227" t="s">
        <v>90</v>
      </c>
      <c r="G895" s="227" t="s">
        <v>84</v>
      </c>
      <c r="H895" s="231">
        <v>1</v>
      </c>
      <c r="I895" s="232">
        <v>0</v>
      </c>
      <c r="J895" s="230">
        <v>46047</v>
      </c>
      <c r="K895" s="227" t="s">
        <v>93</v>
      </c>
      <c r="L895" s="227" t="s">
        <v>94</v>
      </c>
      <c r="M895" s="233">
        <v>0</v>
      </c>
      <c r="N895" s="231"/>
      <c r="O895" s="231"/>
      <c r="P895" s="234">
        <v>-15</v>
      </c>
    </row>
    <row r="896" spans="1:16" ht="19.5" customHeight="1">
      <c r="A896" s="227" t="s">
        <v>336</v>
      </c>
      <c r="B896" s="230">
        <v>46052</v>
      </c>
      <c r="C896" s="227" t="s">
        <v>81</v>
      </c>
      <c r="D896" s="227" t="s">
        <v>82</v>
      </c>
      <c r="E896" s="227" t="s">
        <v>52</v>
      </c>
      <c r="F896" s="227" t="s">
        <v>90</v>
      </c>
      <c r="G896" s="227" t="s">
        <v>84</v>
      </c>
      <c r="H896" s="231">
        <v>1</v>
      </c>
      <c r="I896" s="232">
        <v>0</v>
      </c>
      <c r="J896" s="230">
        <v>46047</v>
      </c>
      <c r="K896" s="227" t="s">
        <v>85</v>
      </c>
      <c r="L896" s="227" t="s">
        <v>85</v>
      </c>
      <c r="M896" s="233">
        <v>0</v>
      </c>
      <c r="N896" s="231"/>
      <c r="O896" s="231"/>
      <c r="P896" s="234">
        <v>11.92</v>
      </c>
    </row>
    <row r="897" spans="1:16" ht="19.5" customHeight="1">
      <c r="A897" s="227" t="s">
        <v>1298</v>
      </c>
      <c r="B897" s="230">
        <v>46052</v>
      </c>
      <c r="C897" s="227" t="s">
        <v>354</v>
      </c>
      <c r="D897" s="227" t="s">
        <v>892</v>
      </c>
      <c r="E897" s="227" t="s">
        <v>85</v>
      </c>
      <c r="F897" s="227" t="s">
        <v>85</v>
      </c>
      <c r="G897" s="227" t="s">
        <v>85</v>
      </c>
      <c r="H897" s="231">
        <v>0</v>
      </c>
      <c r="I897" s="232">
        <v>0</v>
      </c>
      <c r="J897" s="230">
        <v>46041</v>
      </c>
      <c r="K897" s="227" t="s">
        <v>85</v>
      </c>
      <c r="L897" s="227" t="s">
        <v>85</v>
      </c>
      <c r="M897" s="233">
        <v>0</v>
      </c>
      <c r="N897" s="231"/>
      <c r="O897" s="231"/>
      <c r="P897" s="234">
        <v>-4809.3999999999996</v>
      </c>
    </row>
    <row r="898" spans="1:16" ht="19.5" customHeight="1">
      <c r="A898" s="227" t="s">
        <v>1298</v>
      </c>
      <c r="B898" s="230">
        <v>46052</v>
      </c>
      <c r="C898" s="227" t="s">
        <v>354</v>
      </c>
      <c r="D898" s="227" t="s">
        <v>892</v>
      </c>
      <c r="E898" s="227" t="s">
        <v>85</v>
      </c>
      <c r="F898" s="227" t="s">
        <v>85</v>
      </c>
      <c r="G898" s="227" t="s">
        <v>85</v>
      </c>
      <c r="H898" s="231">
        <v>0</v>
      </c>
      <c r="I898" s="232">
        <v>0</v>
      </c>
      <c r="J898" s="230">
        <v>46041</v>
      </c>
      <c r="K898" s="227" t="s">
        <v>85</v>
      </c>
      <c r="L898" s="227" t="s">
        <v>85</v>
      </c>
      <c r="M898" s="233">
        <v>0</v>
      </c>
      <c r="N898" s="231"/>
      <c r="O898" s="231"/>
      <c r="P898" s="234">
        <v>-4809.3999999999996</v>
      </c>
    </row>
    <row r="899" spans="1:16" ht="19.5" customHeight="1">
      <c r="A899" s="227" t="s">
        <v>1206</v>
      </c>
      <c r="B899" s="230">
        <v>46052</v>
      </c>
      <c r="C899" s="227" t="s">
        <v>109</v>
      </c>
      <c r="D899" s="227" t="s">
        <v>139</v>
      </c>
      <c r="E899" s="227" t="s">
        <v>85</v>
      </c>
      <c r="F899" s="227" t="s">
        <v>85</v>
      </c>
      <c r="G899" s="227" t="s">
        <v>85</v>
      </c>
      <c r="H899" s="231">
        <v>0</v>
      </c>
      <c r="I899" s="232">
        <v>0</v>
      </c>
      <c r="J899" s="230">
        <v>46052</v>
      </c>
      <c r="K899" s="227" t="s">
        <v>85</v>
      </c>
      <c r="L899" s="227" t="s">
        <v>85</v>
      </c>
      <c r="M899" s="233">
        <v>0</v>
      </c>
      <c r="N899" s="231"/>
      <c r="O899" s="231"/>
      <c r="P899" s="234">
        <v>-25.46</v>
      </c>
    </row>
    <row r="900" spans="1:16" ht="19.5" customHeight="1">
      <c r="A900" s="227" t="s">
        <v>1207</v>
      </c>
      <c r="B900" s="230">
        <v>46052</v>
      </c>
      <c r="C900" s="227" t="s">
        <v>109</v>
      </c>
      <c r="D900" s="227" t="s">
        <v>139</v>
      </c>
      <c r="E900" s="227" t="s">
        <v>85</v>
      </c>
      <c r="F900" s="227" t="s">
        <v>85</v>
      </c>
      <c r="G900" s="227" t="s">
        <v>85</v>
      </c>
      <c r="H900" s="231">
        <v>0</v>
      </c>
      <c r="I900" s="232">
        <v>0</v>
      </c>
      <c r="J900" s="230">
        <v>46052</v>
      </c>
      <c r="K900" s="227" t="s">
        <v>85</v>
      </c>
      <c r="L900" s="227" t="s">
        <v>85</v>
      </c>
      <c r="M900" s="233">
        <v>0</v>
      </c>
      <c r="N900" s="231"/>
      <c r="O900" s="231"/>
      <c r="P900" s="234">
        <v>-290.76</v>
      </c>
    </row>
    <row r="901" spans="1:16" ht="19.5" customHeight="1">
      <c r="A901" s="227" t="s">
        <v>1208</v>
      </c>
      <c r="B901" s="230">
        <v>46052</v>
      </c>
      <c r="C901" s="227" t="s">
        <v>109</v>
      </c>
      <c r="D901" s="227" t="s">
        <v>139</v>
      </c>
      <c r="E901" s="227" t="s">
        <v>85</v>
      </c>
      <c r="F901" s="227" t="s">
        <v>85</v>
      </c>
      <c r="G901" s="227" t="s">
        <v>85</v>
      </c>
      <c r="H901" s="231">
        <v>0</v>
      </c>
      <c r="I901" s="232">
        <v>0</v>
      </c>
      <c r="J901" s="230">
        <v>46052</v>
      </c>
      <c r="K901" s="227" t="s">
        <v>85</v>
      </c>
      <c r="L901" s="227" t="s">
        <v>85</v>
      </c>
      <c r="M901" s="233">
        <v>0</v>
      </c>
      <c r="N901" s="231"/>
      <c r="O901" s="231"/>
      <c r="P901" s="234">
        <v>-289.45</v>
      </c>
    </row>
    <row r="902" spans="1:16" ht="19.5" customHeight="1">
      <c r="A902" s="227" t="s">
        <v>1211</v>
      </c>
      <c r="B902" s="230">
        <v>46052</v>
      </c>
      <c r="C902" s="227" t="s">
        <v>109</v>
      </c>
      <c r="D902" s="227" t="s">
        <v>139</v>
      </c>
      <c r="E902" s="227" t="s">
        <v>85</v>
      </c>
      <c r="F902" s="227" t="s">
        <v>85</v>
      </c>
      <c r="G902" s="227" t="s">
        <v>85</v>
      </c>
      <c r="H902" s="231">
        <v>0</v>
      </c>
      <c r="I902" s="232">
        <v>0</v>
      </c>
      <c r="J902" s="230">
        <v>46052</v>
      </c>
      <c r="K902" s="227" t="s">
        <v>85</v>
      </c>
      <c r="L902" s="227" t="s">
        <v>85</v>
      </c>
      <c r="M902" s="233">
        <v>0</v>
      </c>
      <c r="N902" s="231"/>
      <c r="O902" s="231"/>
      <c r="P902" s="234">
        <v>-92.13</v>
      </c>
    </row>
    <row r="903" spans="1:16" ht="19.5" customHeight="1">
      <c r="A903" s="227" t="s">
        <v>1209</v>
      </c>
      <c r="B903" s="230">
        <v>46052</v>
      </c>
      <c r="C903" s="227" t="s">
        <v>109</v>
      </c>
      <c r="D903" s="227" t="s">
        <v>139</v>
      </c>
      <c r="E903" s="227" t="s">
        <v>85</v>
      </c>
      <c r="F903" s="227" t="s">
        <v>85</v>
      </c>
      <c r="G903" s="227" t="s">
        <v>85</v>
      </c>
      <c r="H903" s="231">
        <v>0</v>
      </c>
      <c r="I903" s="232">
        <v>0</v>
      </c>
      <c r="J903" s="230">
        <v>46052</v>
      </c>
      <c r="K903" s="227" t="s">
        <v>85</v>
      </c>
      <c r="L903" s="227" t="s">
        <v>85</v>
      </c>
      <c r="M903" s="233">
        <v>0</v>
      </c>
      <c r="N903" s="231"/>
      <c r="O903" s="231"/>
      <c r="P903" s="234">
        <v>-30.47</v>
      </c>
    </row>
    <row r="904" spans="1:16" ht="19.5" customHeight="1">
      <c r="A904" s="227" t="s">
        <v>1210</v>
      </c>
      <c r="B904" s="230">
        <v>46052</v>
      </c>
      <c r="C904" s="227" t="s">
        <v>109</v>
      </c>
      <c r="D904" s="227" t="s">
        <v>139</v>
      </c>
      <c r="E904" s="227" t="s">
        <v>85</v>
      </c>
      <c r="F904" s="227" t="s">
        <v>85</v>
      </c>
      <c r="G904" s="227" t="s">
        <v>85</v>
      </c>
      <c r="H904" s="231">
        <v>0</v>
      </c>
      <c r="I904" s="232">
        <v>0</v>
      </c>
      <c r="J904" s="230">
        <v>46052</v>
      </c>
      <c r="K904" s="227" t="s">
        <v>85</v>
      </c>
      <c r="L904" s="227" t="s">
        <v>85</v>
      </c>
      <c r="M904" s="233">
        <v>0</v>
      </c>
      <c r="N904" s="231"/>
      <c r="O904" s="231"/>
      <c r="P904" s="234">
        <v>-89.08</v>
      </c>
    </row>
    <row r="905" spans="1:16" ht="19.5" customHeight="1">
      <c r="A905" s="227" t="s">
        <v>141</v>
      </c>
      <c r="B905" s="230">
        <v>46052</v>
      </c>
      <c r="C905" s="227" t="s">
        <v>109</v>
      </c>
      <c r="D905" s="227" t="s">
        <v>139</v>
      </c>
      <c r="E905" s="227" t="s">
        <v>85</v>
      </c>
      <c r="F905" s="227" t="s">
        <v>85</v>
      </c>
      <c r="G905" s="227" t="s">
        <v>85</v>
      </c>
      <c r="H905" s="231">
        <v>0</v>
      </c>
      <c r="I905" s="232">
        <v>0</v>
      </c>
      <c r="J905" s="230">
        <v>46052</v>
      </c>
      <c r="K905" s="227" t="s">
        <v>85</v>
      </c>
      <c r="L905" s="227" t="s">
        <v>85</v>
      </c>
      <c r="M905" s="233">
        <v>0</v>
      </c>
      <c r="N905" s="231"/>
      <c r="O905" s="231"/>
      <c r="P905" s="234">
        <v>-443.57</v>
      </c>
    </row>
    <row r="906" spans="1:16" ht="19.5" customHeight="1">
      <c r="A906" s="227" t="s">
        <v>145</v>
      </c>
      <c r="B906" s="230">
        <v>46052</v>
      </c>
      <c r="C906" s="227" t="s">
        <v>109</v>
      </c>
      <c r="D906" s="227" t="s">
        <v>139</v>
      </c>
      <c r="E906" s="227" t="s">
        <v>85</v>
      </c>
      <c r="F906" s="227" t="s">
        <v>85</v>
      </c>
      <c r="G906" s="227" t="s">
        <v>85</v>
      </c>
      <c r="H906" s="231">
        <v>0</v>
      </c>
      <c r="I906" s="232">
        <v>0</v>
      </c>
      <c r="J906" s="230">
        <v>46052</v>
      </c>
      <c r="K906" s="227" t="s">
        <v>85</v>
      </c>
      <c r="L906" s="227" t="s">
        <v>85</v>
      </c>
      <c r="M906" s="233">
        <v>0</v>
      </c>
      <c r="N906" s="231"/>
      <c r="O906" s="231"/>
      <c r="P906" s="234">
        <v>-1265.5</v>
      </c>
    </row>
    <row r="907" spans="1:16" ht="19.5" customHeight="1">
      <c r="A907" s="227" t="s">
        <v>138</v>
      </c>
      <c r="B907" s="230">
        <v>46052</v>
      </c>
      <c r="C907" s="227" t="s">
        <v>109</v>
      </c>
      <c r="D907" s="227" t="s">
        <v>139</v>
      </c>
      <c r="E907" s="227" t="s">
        <v>85</v>
      </c>
      <c r="F907" s="227" t="s">
        <v>85</v>
      </c>
      <c r="G907" s="227" t="s">
        <v>85</v>
      </c>
      <c r="H907" s="231">
        <v>0</v>
      </c>
      <c r="I907" s="232">
        <v>0</v>
      </c>
      <c r="J907" s="230">
        <v>46052</v>
      </c>
      <c r="K907" s="227" t="s">
        <v>85</v>
      </c>
      <c r="L907" s="227" t="s">
        <v>85</v>
      </c>
      <c r="M907" s="233">
        <v>0</v>
      </c>
      <c r="N907" s="231"/>
      <c r="O907" s="231"/>
      <c r="P907" s="234">
        <v>-1145.04</v>
      </c>
    </row>
    <row r="908" spans="1:16" ht="19.5" customHeight="1">
      <c r="A908" s="227" t="s">
        <v>144</v>
      </c>
      <c r="B908" s="230">
        <v>46052</v>
      </c>
      <c r="C908" s="227" t="s">
        <v>109</v>
      </c>
      <c r="D908" s="227" t="s">
        <v>139</v>
      </c>
      <c r="E908" s="227" t="s">
        <v>85</v>
      </c>
      <c r="F908" s="227" t="s">
        <v>85</v>
      </c>
      <c r="G908" s="227" t="s">
        <v>85</v>
      </c>
      <c r="H908" s="231">
        <v>0</v>
      </c>
      <c r="I908" s="232">
        <v>0</v>
      </c>
      <c r="J908" s="230">
        <v>46052</v>
      </c>
      <c r="K908" s="227" t="s">
        <v>85</v>
      </c>
      <c r="L908" s="227" t="s">
        <v>85</v>
      </c>
      <c r="M908" s="233">
        <v>0</v>
      </c>
      <c r="N908" s="231"/>
      <c r="O908" s="231"/>
      <c r="P908" s="234">
        <v>-1151.3</v>
      </c>
    </row>
    <row r="909" spans="1:16" ht="19.5" customHeight="1">
      <c r="A909" s="227" t="s">
        <v>142</v>
      </c>
      <c r="B909" s="230">
        <v>46052</v>
      </c>
      <c r="C909" s="227" t="s">
        <v>109</v>
      </c>
      <c r="D909" s="227" t="s">
        <v>143</v>
      </c>
      <c r="E909" s="227" t="s">
        <v>85</v>
      </c>
      <c r="F909" s="227" t="s">
        <v>85</v>
      </c>
      <c r="G909" s="227" t="s">
        <v>85</v>
      </c>
      <c r="H909" s="231">
        <v>0</v>
      </c>
      <c r="I909" s="232">
        <v>0</v>
      </c>
      <c r="J909" s="230">
        <v>46052</v>
      </c>
      <c r="K909" s="227" t="s">
        <v>85</v>
      </c>
      <c r="L909" s="227" t="s">
        <v>85</v>
      </c>
      <c r="M909" s="233">
        <v>0</v>
      </c>
      <c r="N909" s="231"/>
      <c r="O909" s="231"/>
      <c r="P909" s="234">
        <v>-2697.4</v>
      </c>
    </row>
    <row r="910" spans="1:16" ht="19.5" customHeight="1">
      <c r="A910" s="227" t="s">
        <v>1299</v>
      </c>
      <c r="B910" s="230">
        <v>46053</v>
      </c>
      <c r="C910" s="227" t="s">
        <v>92</v>
      </c>
      <c r="D910" s="227" t="s">
        <v>24</v>
      </c>
      <c r="E910" s="227" t="s">
        <v>52</v>
      </c>
      <c r="F910" s="227" t="s">
        <v>90</v>
      </c>
      <c r="G910" s="227" t="s">
        <v>84</v>
      </c>
      <c r="H910" s="231">
        <v>1</v>
      </c>
      <c r="I910" s="232">
        <v>0</v>
      </c>
      <c r="J910" s="230">
        <v>46049</v>
      </c>
      <c r="K910" s="227" t="s">
        <v>93</v>
      </c>
      <c r="L910" s="227" t="s">
        <v>94</v>
      </c>
      <c r="M910" s="233">
        <v>0</v>
      </c>
      <c r="N910" s="231"/>
      <c r="O910" s="231">
        <v>45</v>
      </c>
      <c r="P910" s="234">
        <v>-56</v>
      </c>
    </row>
    <row r="911" spans="1:16" ht="19.5" customHeight="1">
      <c r="A911" s="227" t="s">
        <v>1299</v>
      </c>
      <c r="B911" s="230">
        <v>46053</v>
      </c>
      <c r="C911" s="227" t="s">
        <v>81</v>
      </c>
      <c r="D911" s="227" t="s">
        <v>95</v>
      </c>
      <c r="E911" s="227" t="s">
        <v>52</v>
      </c>
      <c r="F911" s="227" t="s">
        <v>90</v>
      </c>
      <c r="G911" s="227" t="s">
        <v>84</v>
      </c>
      <c r="H911" s="231">
        <v>1</v>
      </c>
      <c r="I911" s="232">
        <v>0</v>
      </c>
      <c r="J911" s="230">
        <v>46049</v>
      </c>
      <c r="K911" s="227" t="s">
        <v>93</v>
      </c>
      <c r="L911" s="227" t="s">
        <v>94</v>
      </c>
      <c r="M911" s="233">
        <v>0</v>
      </c>
      <c r="N911" s="231"/>
      <c r="O911" s="231"/>
      <c r="P911" s="234">
        <v>-12.96</v>
      </c>
    </row>
    <row r="912" spans="1:16" ht="19.5" customHeight="1">
      <c r="A912" s="227" t="s">
        <v>1299</v>
      </c>
      <c r="B912" s="230">
        <v>46053</v>
      </c>
      <c r="C912" s="227" t="s">
        <v>92</v>
      </c>
      <c r="D912" s="227" t="s">
        <v>96</v>
      </c>
      <c r="E912" s="227" t="s">
        <v>52</v>
      </c>
      <c r="F912" s="227" t="s">
        <v>90</v>
      </c>
      <c r="G912" s="227" t="s">
        <v>84</v>
      </c>
      <c r="H912" s="231">
        <v>1</v>
      </c>
      <c r="I912" s="232">
        <v>0</v>
      </c>
      <c r="J912" s="230">
        <v>46049</v>
      </c>
      <c r="K912" s="227" t="s">
        <v>93</v>
      </c>
      <c r="L912" s="227" t="s">
        <v>94</v>
      </c>
      <c r="M912" s="233">
        <v>0</v>
      </c>
      <c r="N912" s="231"/>
      <c r="O912" s="231"/>
      <c r="P912" s="234">
        <v>0</v>
      </c>
    </row>
    <row r="913" spans="1:16" ht="19.5" customHeight="1">
      <c r="A913" s="227" t="s">
        <v>1299</v>
      </c>
      <c r="B913" s="230">
        <v>46053</v>
      </c>
      <c r="C913" s="227" t="s">
        <v>92</v>
      </c>
      <c r="D913" s="227" t="s">
        <v>97</v>
      </c>
      <c r="E913" s="227" t="s">
        <v>52</v>
      </c>
      <c r="F913" s="227" t="s">
        <v>90</v>
      </c>
      <c r="G913" s="227" t="s">
        <v>84</v>
      </c>
      <c r="H913" s="231">
        <v>1</v>
      </c>
      <c r="I913" s="232">
        <v>0</v>
      </c>
      <c r="J913" s="230">
        <v>46049</v>
      </c>
      <c r="K913" s="227" t="s">
        <v>93</v>
      </c>
      <c r="L913" s="227" t="s">
        <v>94</v>
      </c>
      <c r="M913" s="233">
        <v>0</v>
      </c>
      <c r="N913" s="231"/>
      <c r="O913" s="231"/>
      <c r="P913" s="234">
        <v>-56</v>
      </c>
    </row>
    <row r="914" spans="1:16" ht="19.5" customHeight="1">
      <c r="A914" s="227" t="s">
        <v>1299</v>
      </c>
      <c r="B914" s="230">
        <v>46053</v>
      </c>
      <c r="C914" s="227" t="s">
        <v>81</v>
      </c>
      <c r="D914" s="227" t="s">
        <v>98</v>
      </c>
      <c r="E914" s="227" t="s">
        <v>52</v>
      </c>
      <c r="F914" s="227" t="s">
        <v>90</v>
      </c>
      <c r="G914" s="227" t="s">
        <v>84</v>
      </c>
      <c r="H914" s="231">
        <v>1</v>
      </c>
      <c r="I914" s="232">
        <v>0</v>
      </c>
      <c r="J914" s="230">
        <v>46049</v>
      </c>
      <c r="K914" s="227" t="s">
        <v>93</v>
      </c>
      <c r="L914" s="227" t="s">
        <v>94</v>
      </c>
      <c r="M914" s="233">
        <v>0</v>
      </c>
      <c r="N914" s="231"/>
      <c r="O914" s="231"/>
      <c r="P914" s="234">
        <v>-15</v>
      </c>
    </row>
    <row r="915" spans="1:16" ht="19.5" customHeight="1">
      <c r="A915" s="227" t="s">
        <v>1300</v>
      </c>
      <c r="B915" s="230">
        <v>46053</v>
      </c>
      <c r="C915" s="227" t="s">
        <v>92</v>
      </c>
      <c r="D915" s="227" t="s">
        <v>24</v>
      </c>
      <c r="E915" s="227" t="s">
        <v>42</v>
      </c>
      <c r="F915" s="227" t="s">
        <v>89</v>
      </c>
      <c r="G915" s="227" t="s">
        <v>84</v>
      </c>
      <c r="H915" s="231">
        <v>1</v>
      </c>
      <c r="I915" s="232">
        <v>0</v>
      </c>
      <c r="J915" s="230">
        <v>46047</v>
      </c>
      <c r="K915" s="227" t="s">
        <v>93</v>
      </c>
      <c r="L915" s="227" t="s">
        <v>94</v>
      </c>
      <c r="M915" s="233">
        <v>0</v>
      </c>
      <c r="N915" s="231"/>
      <c r="O915" s="231">
        <v>41</v>
      </c>
      <c r="P915" s="234">
        <v>-46.77</v>
      </c>
    </row>
    <row r="916" spans="1:16" ht="19.5" customHeight="1">
      <c r="A916" s="227" t="s">
        <v>1300</v>
      </c>
      <c r="B916" s="230">
        <v>46053</v>
      </c>
      <c r="C916" s="227" t="s">
        <v>81</v>
      </c>
      <c r="D916" s="227" t="s">
        <v>95</v>
      </c>
      <c r="E916" s="227" t="s">
        <v>42</v>
      </c>
      <c r="F916" s="227" t="s">
        <v>89</v>
      </c>
      <c r="G916" s="227" t="s">
        <v>84</v>
      </c>
      <c r="H916" s="231">
        <v>1</v>
      </c>
      <c r="I916" s="232">
        <v>0</v>
      </c>
      <c r="J916" s="230">
        <v>46047</v>
      </c>
      <c r="K916" s="227" t="s">
        <v>93</v>
      </c>
      <c r="L916" s="227" t="s">
        <v>94</v>
      </c>
      <c r="M916" s="233">
        <v>0</v>
      </c>
      <c r="N916" s="231"/>
      <c r="O916" s="231"/>
      <c r="P916" s="234">
        <v>-13.5</v>
      </c>
    </row>
    <row r="917" spans="1:16" ht="19.5" customHeight="1">
      <c r="A917" s="227" t="s">
        <v>1300</v>
      </c>
      <c r="B917" s="230">
        <v>46053</v>
      </c>
      <c r="C917" s="227" t="s">
        <v>92</v>
      </c>
      <c r="D917" s="227" t="s">
        <v>96</v>
      </c>
      <c r="E917" s="227" t="s">
        <v>42</v>
      </c>
      <c r="F917" s="227" t="s">
        <v>89</v>
      </c>
      <c r="G917" s="227" t="s">
        <v>84</v>
      </c>
      <c r="H917" s="231">
        <v>1</v>
      </c>
      <c r="I917" s="232">
        <v>0</v>
      </c>
      <c r="J917" s="230">
        <v>46047</v>
      </c>
      <c r="K917" s="227" t="s">
        <v>93</v>
      </c>
      <c r="L917" s="227" t="s">
        <v>94</v>
      </c>
      <c r="M917" s="233">
        <v>0</v>
      </c>
      <c r="N917" s="231"/>
      <c r="O917" s="231"/>
      <c r="P917" s="234">
        <v>0</v>
      </c>
    </row>
    <row r="918" spans="1:16" ht="19.5" customHeight="1">
      <c r="A918" s="227" t="s">
        <v>1300</v>
      </c>
      <c r="B918" s="230">
        <v>46053</v>
      </c>
      <c r="C918" s="227" t="s">
        <v>92</v>
      </c>
      <c r="D918" s="227" t="s">
        <v>97</v>
      </c>
      <c r="E918" s="227" t="s">
        <v>42</v>
      </c>
      <c r="F918" s="227" t="s">
        <v>89</v>
      </c>
      <c r="G918" s="227" t="s">
        <v>84</v>
      </c>
      <c r="H918" s="231">
        <v>1</v>
      </c>
      <c r="I918" s="232">
        <v>0</v>
      </c>
      <c r="J918" s="230">
        <v>46047</v>
      </c>
      <c r="K918" s="227" t="s">
        <v>93</v>
      </c>
      <c r="L918" s="227" t="s">
        <v>94</v>
      </c>
      <c r="M918" s="233">
        <v>0</v>
      </c>
      <c r="N918" s="231"/>
      <c r="O918" s="231"/>
      <c r="P918" s="234">
        <v>-46.77</v>
      </c>
    </row>
    <row r="919" spans="1:16" ht="19.5" customHeight="1">
      <c r="A919" s="227" t="s">
        <v>1300</v>
      </c>
      <c r="B919" s="230">
        <v>46053</v>
      </c>
      <c r="C919" s="227" t="s">
        <v>81</v>
      </c>
      <c r="D919" s="227" t="s">
        <v>98</v>
      </c>
      <c r="E919" s="227" t="s">
        <v>42</v>
      </c>
      <c r="F919" s="227" t="s">
        <v>89</v>
      </c>
      <c r="G919" s="227" t="s">
        <v>84</v>
      </c>
      <c r="H919" s="231">
        <v>1</v>
      </c>
      <c r="I919" s="232">
        <v>0</v>
      </c>
      <c r="J919" s="230">
        <v>46047</v>
      </c>
      <c r="K919" s="227" t="s">
        <v>93</v>
      </c>
      <c r="L919" s="227" t="s">
        <v>94</v>
      </c>
      <c r="M919" s="233">
        <v>0</v>
      </c>
      <c r="N919" s="231"/>
      <c r="O919" s="231"/>
      <c r="P919" s="234">
        <v>-15</v>
      </c>
    </row>
    <row r="920" spans="1:16" ht="19.5" customHeight="1">
      <c r="A920" s="227" t="s">
        <v>1301</v>
      </c>
      <c r="B920" s="230">
        <v>46053</v>
      </c>
      <c r="C920" s="227" t="s">
        <v>81</v>
      </c>
      <c r="D920" s="227" t="s">
        <v>82</v>
      </c>
      <c r="E920" s="227" t="s">
        <v>58</v>
      </c>
      <c r="F920" s="227" t="s">
        <v>1302</v>
      </c>
      <c r="G920" s="227" t="s">
        <v>84</v>
      </c>
      <c r="H920" s="231">
        <v>1</v>
      </c>
      <c r="I920" s="232">
        <v>0</v>
      </c>
      <c r="J920" s="230">
        <v>46053</v>
      </c>
      <c r="K920" s="227" t="s">
        <v>85</v>
      </c>
      <c r="L920" s="227" t="s">
        <v>85</v>
      </c>
      <c r="M920" s="233">
        <v>0</v>
      </c>
      <c r="N920" s="231"/>
      <c r="O920" s="231"/>
      <c r="P920" s="234">
        <v>-13.95</v>
      </c>
    </row>
    <row r="921" spans="1:16" ht="19.5" customHeight="1">
      <c r="A921" s="227" t="s">
        <v>1303</v>
      </c>
      <c r="B921" s="230">
        <v>46053</v>
      </c>
      <c r="C921" s="227" t="s">
        <v>354</v>
      </c>
      <c r="D921" s="227" t="s">
        <v>892</v>
      </c>
      <c r="E921" s="227" t="s">
        <v>85</v>
      </c>
      <c r="F921" s="227" t="s">
        <v>85</v>
      </c>
      <c r="G921" s="227" t="s">
        <v>85</v>
      </c>
      <c r="H921" s="231">
        <v>0</v>
      </c>
      <c r="I921" s="232">
        <v>0</v>
      </c>
      <c r="J921" s="230">
        <v>46044</v>
      </c>
      <c r="K921" s="227" t="s">
        <v>85</v>
      </c>
      <c r="L921" s="227" t="s">
        <v>85</v>
      </c>
      <c r="M921" s="233">
        <v>0</v>
      </c>
      <c r="N921" s="231"/>
      <c r="O921" s="231"/>
      <c r="P921" s="234">
        <v>-2404.6999999999998</v>
      </c>
    </row>
    <row r="922" spans="1:16" ht="19.5" customHeight="1">
      <c r="A922" s="227" t="s">
        <v>1303</v>
      </c>
      <c r="B922" s="230">
        <v>46053</v>
      </c>
      <c r="C922" s="227" t="s">
        <v>354</v>
      </c>
      <c r="D922" s="227" t="s">
        <v>892</v>
      </c>
      <c r="E922" s="227" t="s">
        <v>85</v>
      </c>
      <c r="F922" s="227" t="s">
        <v>85</v>
      </c>
      <c r="G922" s="227" t="s">
        <v>85</v>
      </c>
      <c r="H922" s="231">
        <v>0</v>
      </c>
      <c r="I922" s="232">
        <v>0</v>
      </c>
      <c r="J922" s="230">
        <v>46044</v>
      </c>
      <c r="K922" s="227" t="s">
        <v>85</v>
      </c>
      <c r="L922" s="227" t="s">
        <v>85</v>
      </c>
      <c r="M922" s="233">
        <v>0</v>
      </c>
      <c r="N922" s="231"/>
      <c r="O922" s="231"/>
      <c r="P922" s="234">
        <v>-2404.6999999999998</v>
      </c>
    </row>
    <row r="923" spans="1:16" ht="19.5" customHeight="1">
      <c r="A923" s="227" t="s">
        <v>1304</v>
      </c>
      <c r="B923" s="230">
        <v>46053</v>
      </c>
      <c r="C923" s="227" t="s">
        <v>92</v>
      </c>
      <c r="D923" s="227" t="s">
        <v>24</v>
      </c>
      <c r="E923" s="227" t="s">
        <v>42</v>
      </c>
      <c r="F923" s="227" t="s">
        <v>89</v>
      </c>
      <c r="G923" s="227" t="s">
        <v>84</v>
      </c>
      <c r="H923" s="231">
        <v>1</v>
      </c>
      <c r="I923" s="232">
        <v>1750</v>
      </c>
      <c r="J923" s="230">
        <v>46041</v>
      </c>
      <c r="K923" s="227" t="s">
        <v>93</v>
      </c>
      <c r="L923" s="227" t="s">
        <v>94</v>
      </c>
      <c r="M923" s="233">
        <v>0.43</v>
      </c>
      <c r="N923" s="231"/>
      <c r="O923" s="231">
        <v>44</v>
      </c>
      <c r="P923" s="234">
        <v>-131.37</v>
      </c>
    </row>
    <row r="924" spans="1:16" ht="19.5" customHeight="1">
      <c r="A924" s="227" t="s">
        <v>1304</v>
      </c>
      <c r="B924" s="230">
        <v>46053</v>
      </c>
      <c r="C924" s="227" t="s">
        <v>100</v>
      </c>
      <c r="D924" s="227" t="s">
        <v>101</v>
      </c>
      <c r="E924" s="227" t="s">
        <v>42</v>
      </c>
      <c r="F924" s="227" t="s">
        <v>89</v>
      </c>
      <c r="G924" s="227" t="s">
        <v>84</v>
      </c>
      <c r="H924" s="231">
        <v>1</v>
      </c>
      <c r="I924" s="232">
        <v>1750</v>
      </c>
      <c r="J924" s="230">
        <v>46041</v>
      </c>
      <c r="K924" s="227" t="s">
        <v>93</v>
      </c>
      <c r="L924" s="227" t="s">
        <v>94</v>
      </c>
      <c r="M924" s="233">
        <v>0</v>
      </c>
      <c r="N924" s="231"/>
      <c r="O924" s="231"/>
      <c r="P924" s="234">
        <v>664.13</v>
      </c>
    </row>
    <row r="925" spans="1:16" ht="19.5" customHeight="1">
      <c r="A925" s="227" t="s">
        <v>1304</v>
      </c>
      <c r="B925" s="230">
        <v>46053</v>
      </c>
      <c r="C925" s="227" t="s">
        <v>100</v>
      </c>
      <c r="D925" s="227" t="s">
        <v>102</v>
      </c>
      <c r="E925" s="227" t="s">
        <v>42</v>
      </c>
      <c r="F925" s="227" t="s">
        <v>89</v>
      </c>
      <c r="G925" s="227" t="s">
        <v>84</v>
      </c>
      <c r="H925" s="231">
        <v>1</v>
      </c>
      <c r="I925" s="232">
        <v>1750</v>
      </c>
      <c r="J925" s="230">
        <v>46041</v>
      </c>
      <c r="K925" s="227" t="s">
        <v>93</v>
      </c>
      <c r="L925" s="227" t="s">
        <v>94</v>
      </c>
      <c r="M925" s="233">
        <v>0</v>
      </c>
      <c r="N925" s="231"/>
      <c r="O925" s="231"/>
      <c r="P925" s="234">
        <v>6.64</v>
      </c>
    </row>
    <row r="926" spans="1:16" ht="19.5" customHeight="1">
      <c r="A926" s="227" t="s">
        <v>1304</v>
      </c>
      <c r="B926" s="230">
        <v>46053</v>
      </c>
      <c r="C926" s="227" t="s">
        <v>100</v>
      </c>
      <c r="D926" s="227" t="s">
        <v>103</v>
      </c>
      <c r="E926" s="227" t="s">
        <v>42</v>
      </c>
      <c r="F926" s="227" t="s">
        <v>89</v>
      </c>
      <c r="G926" s="227" t="s">
        <v>84</v>
      </c>
      <c r="H926" s="231">
        <v>1</v>
      </c>
      <c r="I926" s="232">
        <v>1750</v>
      </c>
      <c r="J926" s="230">
        <v>46041</v>
      </c>
      <c r="K926" s="227" t="s">
        <v>93</v>
      </c>
      <c r="L926" s="227" t="s">
        <v>94</v>
      </c>
      <c r="M926" s="233">
        <v>0</v>
      </c>
      <c r="N926" s="231"/>
      <c r="O926" s="231"/>
      <c r="P926" s="234">
        <v>1079.23</v>
      </c>
    </row>
    <row r="927" spans="1:16" ht="19.5" customHeight="1">
      <c r="A927" s="227" t="s">
        <v>1304</v>
      </c>
      <c r="B927" s="230">
        <v>46053</v>
      </c>
      <c r="C927" s="227" t="s">
        <v>104</v>
      </c>
      <c r="D927" s="227" t="s">
        <v>105</v>
      </c>
      <c r="E927" s="227" t="s">
        <v>42</v>
      </c>
      <c r="F927" s="227" t="s">
        <v>89</v>
      </c>
      <c r="G927" s="227" t="s">
        <v>84</v>
      </c>
      <c r="H927" s="231">
        <v>1</v>
      </c>
      <c r="I927" s="232">
        <v>1750</v>
      </c>
      <c r="J927" s="230">
        <v>46041</v>
      </c>
      <c r="K927" s="227" t="s">
        <v>93</v>
      </c>
      <c r="L927" s="227" t="s">
        <v>94</v>
      </c>
      <c r="M927" s="233">
        <v>0.43</v>
      </c>
      <c r="N927" s="231"/>
      <c r="O927" s="231"/>
      <c r="P927" s="234">
        <v>-752.5</v>
      </c>
    </row>
    <row r="928" spans="1:16" ht="19.5" customHeight="1">
      <c r="A928" s="227" t="s">
        <v>1304</v>
      </c>
      <c r="B928" s="230">
        <v>46053</v>
      </c>
      <c r="C928" s="227" t="s">
        <v>81</v>
      </c>
      <c r="D928" s="227" t="s">
        <v>95</v>
      </c>
      <c r="E928" s="227" t="s">
        <v>42</v>
      </c>
      <c r="F928" s="227" t="s">
        <v>89</v>
      </c>
      <c r="G928" s="227" t="s">
        <v>84</v>
      </c>
      <c r="H928" s="231">
        <v>1</v>
      </c>
      <c r="I928" s="232">
        <v>1750</v>
      </c>
      <c r="J928" s="230">
        <v>46041</v>
      </c>
      <c r="K928" s="227" t="s">
        <v>93</v>
      </c>
      <c r="L928" s="227" t="s">
        <v>94</v>
      </c>
      <c r="M928" s="233">
        <v>0.43</v>
      </c>
      <c r="N928" s="231"/>
      <c r="O928" s="231"/>
      <c r="P928" s="234">
        <v>-8.65</v>
      </c>
    </row>
    <row r="929" spans="1:16" ht="19.5" customHeight="1">
      <c r="A929" s="227" t="s">
        <v>1304</v>
      </c>
      <c r="B929" s="230">
        <v>46053</v>
      </c>
      <c r="C929" s="227" t="s">
        <v>81</v>
      </c>
      <c r="D929" s="227" t="s">
        <v>82</v>
      </c>
      <c r="E929" s="227" t="s">
        <v>42</v>
      </c>
      <c r="F929" s="227" t="s">
        <v>89</v>
      </c>
      <c r="G929" s="227" t="s">
        <v>84</v>
      </c>
      <c r="H929" s="231">
        <v>1</v>
      </c>
      <c r="I929" s="232">
        <v>0</v>
      </c>
      <c r="J929" s="230">
        <v>46041</v>
      </c>
      <c r="K929" s="227" t="s">
        <v>85</v>
      </c>
      <c r="L929" s="227" t="s">
        <v>85</v>
      </c>
      <c r="M929" s="233">
        <v>0</v>
      </c>
      <c r="N929" s="231"/>
      <c r="O929" s="231"/>
      <c r="P929" s="234">
        <v>-12.62</v>
      </c>
    </row>
    <row r="930" spans="1:16" ht="19.5" customHeight="1">
      <c r="A930" s="227" t="s">
        <v>85</v>
      </c>
      <c r="B930" s="230">
        <v>46053</v>
      </c>
      <c r="C930" s="227" t="s">
        <v>109</v>
      </c>
      <c r="D930" s="227" t="s">
        <v>110</v>
      </c>
      <c r="E930" s="227" t="s">
        <v>85</v>
      </c>
      <c r="F930" s="227" t="s">
        <v>85</v>
      </c>
      <c r="G930" s="227" t="s">
        <v>1305</v>
      </c>
      <c r="H930" s="231">
        <v>0</v>
      </c>
      <c r="I930" s="232">
        <v>0</v>
      </c>
      <c r="J930" s="230">
        <v>46053</v>
      </c>
      <c r="K930" s="227" t="s">
        <v>85</v>
      </c>
      <c r="L930" s="227" t="s">
        <v>85</v>
      </c>
      <c r="M930" s="233">
        <v>0</v>
      </c>
      <c r="N930" s="231"/>
      <c r="O930" s="231"/>
      <c r="P930" s="234">
        <v>-150</v>
      </c>
    </row>
    <row r="931" spans="1:16" ht="19.5" customHeight="1">
      <c r="A931" s="227" t="s">
        <v>1306</v>
      </c>
      <c r="B931" s="230">
        <v>46053</v>
      </c>
      <c r="C931" s="227" t="s">
        <v>92</v>
      </c>
      <c r="D931" s="227" t="s">
        <v>24</v>
      </c>
      <c r="E931" s="227" t="s">
        <v>42</v>
      </c>
      <c r="F931" s="227" t="s">
        <v>89</v>
      </c>
      <c r="G931" s="227" t="s">
        <v>84</v>
      </c>
      <c r="H931" s="231">
        <v>1</v>
      </c>
      <c r="I931" s="232">
        <v>0</v>
      </c>
      <c r="J931" s="230">
        <v>46046</v>
      </c>
      <c r="K931" s="227" t="s">
        <v>93</v>
      </c>
      <c r="L931" s="227" t="s">
        <v>94</v>
      </c>
      <c r="M931" s="233">
        <v>0</v>
      </c>
      <c r="N931" s="231"/>
      <c r="O931" s="231">
        <v>40</v>
      </c>
      <c r="P931" s="234">
        <v>-46.77</v>
      </c>
    </row>
    <row r="932" spans="1:16" ht="19.5" customHeight="1">
      <c r="A932" s="227" t="s">
        <v>1306</v>
      </c>
      <c r="B932" s="230">
        <v>46053</v>
      </c>
      <c r="C932" s="227" t="s">
        <v>81</v>
      </c>
      <c r="D932" s="227" t="s">
        <v>95</v>
      </c>
      <c r="E932" s="227" t="s">
        <v>42</v>
      </c>
      <c r="F932" s="227" t="s">
        <v>89</v>
      </c>
      <c r="G932" s="227" t="s">
        <v>84</v>
      </c>
      <c r="H932" s="231">
        <v>1</v>
      </c>
      <c r="I932" s="232">
        <v>0</v>
      </c>
      <c r="J932" s="230">
        <v>46046</v>
      </c>
      <c r="K932" s="227" t="s">
        <v>93</v>
      </c>
      <c r="L932" s="227" t="s">
        <v>94</v>
      </c>
      <c r="M932" s="233">
        <v>0</v>
      </c>
      <c r="N932" s="231"/>
      <c r="O932" s="231"/>
      <c r="P932" s="234">
        <v>-11.54</v>
      </c>
    </row>
    <row r="933" spans="1:16" ht="19.5" customHeight="1">
      <c r="A933" s="227" t="s">
        <v>1306</v>
      </c>
      <c r="B933" s="230">
        <v>46053</v>
      </c>
      <c r="C933" s="227" t="s">
        <v>92</v>
      </c>
      <c r="D933" s="227" t="s">
        <v>96</v>
      </c>
      <c r="E933" s="227" t="s">
        <v>42</v>
      </c>
      <c r="F933" s="227" t="s">
        <v>89</v>
      </c>
      <c r="G933" s="227" t="s">
        <v>84</v>
      </c>
      <c r="H933" s="231">
        <v>1</v>
      </c>
      <c r="I933" s="232">
        <v>0</v>
      </c>
      <c r="J933" s="230">
        <v>46046</v>
      </c>
      <c r="K933" s="227" t="s">
        <v>93</v>
      </c>
      <c r="L933" s="227" t="s">
        <v>94</v>
      </c>
      <c r="M933" s="233">
        <v>0</v>
      </c>
      <c r="N933" s="231"/>
      <c r="O933" s="231"/>
      <c r="P933" s="234">
        <v>0</v>
      </c>
    </row>
    <row r="934" spans="1:16" ht="19.5" customHeight="1">
      <c r="A934" s="227" t="s">
        <v>1306</v>
      </c>
      <c r="B934" s="230">
        <v>46053</v>
      </c>
      <c r="C934" s="227" t="s">
        <v>92</v>
      </c>
      <c r="D934" s="227" t="s">
        <v>97</v>
      </c>
      <c r="E934" s="227" t="s">
        <v>42</v>
      </c>
      <c r="F934" s="227" t="s">
        <v>89</v>
      </c>
      <c r="G934" s="227" t="s">
        <v>84</v>
      </c>
      <c r="H934" s="231">
        <v>1</v>
      </c>
      <c r="I934" s="232">
        <v>0</v>
      </c>
      <c r="J934" s="230">
        <v>46046</v>
      </c>
      <c r="K934" s="227" t="s">
        <v>93</v>
      </c>
      <c r="L934" s="227" t="s">
        <v>94</v>
      </c>
      <c r="M934" s="233">
        <v>0</v>
      </c>
      <c r="N934" s="231"/>
      <c r="O934" s="231"/>
      <c r="P934" s="234">
        <v>-46.77</v>
      </c>
    </row>
    <row r="935" spans="1:16" ht="19.5" customHeight="1">
      <c r="A935" s="227" t="s">
        <v>1306</v>
      </c>
      <c r="B935" s="230">
        <v>46053</v>
      </c>
      <c r="C935" s="227" t="s">
        <v>81</v>
      </c>
      <c r="D935" s="227" t="s">
        <v>98</v>
      </c>
      <c r="E935" s="227" t="s">
        <v>42</v>
      </c>
      <c r="F935" s="227" t="s">
        <v>89</v>
      </c>
      <c r="G935" s="227" t="s">
        <v>84</v>
      </c>
      <c r="H935" s="231">
        <v>1</v>
      </c>
      <c r="I935" s="232">
        <v>0</v>
      </c>
      <c r="J935" s="230">
        <v>46046</v>
      </c>
      <c r="K935" s="227" t="s">
        <v>93</v>
      </c>
      <c r="L935" s="227" t="s">
        <v>94</v>
      </c>
      <c r="M935" s="233">
        <v>0</v>
      </c>
      <c r="N935" s="231"/>
      <c r="O935" s="231"/>
      <c r="P935" s="234">
        <v>-15</v>
      </c>
    </row>
    <row r="936" spans="1:16" ht="19.5" customHeight="1">
      <c r="A936" s="227" t="s">
        <v>1307</v>
      </c>
      <c r="B936" s="230">
        <v>46053</v>
      </c>
      <c r="C936" s="227" t="s">
        <v>81</v>
      </c>
      <c r="D936" s="227" t="s">
        <v>82</v>
      </c>
      <c r="E936" s="227" t="s">
        <v>42</v>
      </c>
      <c r="F936" s="227" t="s">
        <v>89</v>
      </c>
      <c r="G936" s="227" t="s">
        <v>84</v>
      </c>
      <c r="H936" s="231">
        <v>1</v>
      </c>
      <c r="I936" s="232">
        <v>0</v>
      </c>
      <c r="J936" s="230">
        <v>46053</v>
      </c>
      <c r="K936" s="227" t="s">
        <v>85</v>
      </c>
      <c r="L936" s="227" t="s">
        <v>85</v>
      </c>
      <c r="M936" s="233">
        <v>0</v>
      </c>
      <c r="N936" s="231"/>
      <c r="O936" s="231"/>
      <c r="P936" s="234">
        <v>-4.47</v>
      </c>
    </row>
    <row r="937" spans="1:16" ht="19.5" customHeight="1">
      <c r="A937" s="227" t="s">
        <v>1308</v>
      </c>
      <c r="B937" s="230">
        <v>46053</v>
      </c>
      <c r="C937" s="227" t="s">
        <v>92</v>
      </c>
      <c r="D937" s="227" t="s">
        <v>24</v>
      </c>
      <c r="E937" s="227" t="s">
        <v>43</v>
      </c>
      <c r="F937" s="227" t="s">
        <v>125</v>
      </c>
      <c r="G937" s="227" t="s">
        <v>84</v>
      </c>
      <c r="H937" s="231">
        <v>1</v>
      </c>
      <c r="I937" s="232">
        <v>1750</v>
      </c>
      <c r="J937" s="230">
        <v>46051</v>
      </c>
      <c r="K937" s="227" t="s">
        <v>93</v>
      </c>
      <c r="L937" s="227" t="s">
        <v>94</v>
      </c>
      <c r="M937" s="233">
        <v>0.43</v>
      </c>
      <c r="N937" s="231"/>
      <c r="O937" s="231">
        <v>44</v>
      </c>
      <c r="P937" s="234">
        <v>-131.37</v>
      </c>
    </row>
    <row r="938" spans="1:16" ht="19.5" customHeight="1">
      <c r="A938" s="227" t="s">
        <v>1308</v>
      </c>
      <c r="B938" s="230">
        <v>46053</v>
      </c>
      <c r="C938" s="227" t="s">
        <v>100</v>
      </c>
      <c r="D938" s="227" t="s">
        <v>101</v>
      </c>
      <c r="E938" s="227" t="s">
        <v>43</v>
      </c>
      <c r="F938" s="227" t="s">
        <v>125</v>
      </c>
      <c r="G938" s="227" t="s">
        <v>84</v>
      </c>
      <c r="H938" s="231">
        <v>1</v>
      </c>
      <c r="I938" s="232">
        <v>1750</v>
      </c>
      <c r="J938" s="230">
        <v>46051</v>
      </c>
      <c r="K938" s="227" t="s">
        <v>93</v>
      </c>
      <c r="L938" s="227" t="s">
        <v>94</v>
      </c>
      <c r="M938" s="233">
        <v>0</v>
      </c>
      <c r="N938" s="231"/>
      <c r="O938" s="231"/>
      <c r="P938" s="234">
        <v>618.1</v>
      </c>
    </row>
    <row r="939" spans="1:16" ht="19.5" customHeight="1">
      <c r="A939" s="227" t="s">
        <v>1308</v>
      </c>
      <c r="B939" s="230">
        <v>46053</v>
      </c>
      <c r="C939" s="227" t="s">
        <v>100</v>
      </c>
      <c r="D939" s="227" t="s">
        <v>102</v>
      </c>
      <c r="E939" s="227" t="s">
        <v>43</v>
      </c>
      <c r="F939" s="227" t="s">
        <v>125</v>
      </c>
      <c r="G939" s="227" t="s">
        <v>84</v>
      </c>
      <c r="H939" s="231">
        <v>1</v>
      </c>
      <c r="I939" s="232">
        <v>1750</v>
      </c>
      <c r="J939" s="230">
        <v>46051</v>
      </c>
      <c r="K939" s="227" t="s">
        <v>93</v>
      </c>
      <c r="L939" s="227" t="s">
        <v>94</v>
      </c>
      <c r="M939" s="233">
        <v>0</v>
      </c>
      <c r="N939" s="231"/>
      <c r="O939" s="231"/>
      <c r="P939" s="234">
        <v>6.18</v>
      </c>
    </row>
    <row r="940" spans="1:16" ht="19.5" customHeight="1">
      <c r="A940" s="227" t="s">
        <v>1308</v>
      </c>
      <c r="B940" s="230">
        <v>46053</v>
      </c>
      <c r="C940" s="227" t="s">
        <v>100</v>
      </c>
      <c r="D940" s="227" t="s">
        <v>103</v>
      </c>
      <c r="E940" s="227" t="s">
        <v>43</v>
      </c>
      <c r="F940" s="227" t="s">
        <v>125</v>
      </c>
      <c r="G940" s="227" t="s">
        <v>84</v>
      </c>
      <c r="H940" s="231">
        <v>1</v>
      </c>
      <c r="I940" s="232">
        <v>1750</v>
      </c>
      <c r="J940" s="230">
        <v>46051</v>
      </c>
      <c r="K940" s="227" t="s">
        <v>93</v>
      </c>
      <c r="L940" s="227" t="s">
        <v>94</v>
      </c>
      <c r="M940" s="233">
        <v>0</v>
      </c>
      <c r="N940" s="231"/>
      <c r="O940" s="231"/>
      <c r="P940" s="234">
        <v>1125.72</v>
      </c>
    </row>
    <row r="941" spans="1:16" ht="19.5" customHeight="1">
      <c r="A941" s="227" t="s">
        <v>1308</v>
      </c>
      <c r="B941" s="230">
        <v>46053</v>
      </c>
      <c r="C941" s="227" t="s">
        <v>104</v>
      </c>
      <c r="D941" s="227" t="s">
        <v>105</v>
      </c>
      <c r="E941" s="227" t="s">
        <v>43</v>
      </c>
      <c r="F941" s="227" t="s">
        <v>125</v>
      </c>
      <c r="G941" s="227" t="s">
        <v>84</v>
      </c>
      <c r="H941" s="231">
        <v>1</v>
      </c>
      <c r="I941" s="232">
        <v>1750</v>
      </c>
      <c r="J941" s="230">
        <v>46051</v>
      </c>
      <c r="K941" s="227" t="s">
        <v>93</v>
      </c>
      <c r="L941" s="227" t="s">
        <v>94</v>
      </c>
      <c r="M941" s="233">
        <v>0.43</v>
      </c>
      <c r="N941" s="231"/>
      <c r="O941" s="231"/>
      <c r="P941" s="234">
        <v>-752.5</v>
      </c>
    </row>
    <row r="942" spans="1:16" ht="19.5" customHeight="1">
      <c r="A942" s="227" t="s">
        <v>1308</v>
      </c>
      <c r="B942" s="230">
        <v>46053</v>
      </c>
      <c r="C942" s="227" t="s">
        <v>81</v>
      </c>
      <c r="D942" s="227" t="s">
        <v>95</v>
      </c>
      <c r="E942" s="227" t="s">
        <v>43</v>
      </c>
      <c r="F942" s="227" t="s">
        <v>125</v>
      </c>
      <c r="G942" s="227" t="s">
        <v>84</v>
      </c>
      <c r="H942" s="231">
        <v>1</v>
      </c>
      <c r="I942" s="232">
        <v>1750</v>
      </c>
      <c r="J942" s="230">
        <v>46051</v>
      </c>
      <c r="K942" s="227" t="s">
        <v>93</v>
      </c>
      <c r="L942" s="227" t="s">
        <v>94</v>
      </c>
      <c r="M942" s="233">
        <v>0.43</v>
      </c>
      <c r="N942" s="231"/>
      <c r="O942" s="231"/>
      <c r="P942" s="234">
        <v>-14.78</v>
      </c>
    </row>
    <row r="943" spans="1:16" ht="19.5" customHeight="1">
      <c r="A943" s="227" t="s">
        <v>1309</v>
      </c>
      <c r="B943" s="230">
        <v>46053</v>
      </c>
      <c r="C943" s="227" t="s">
        <v>92</v>
      </c>
      <c r="D943" s="227" t="s">
        <v>24</v>
      </c>
      <c r="E943" s="227" t="s">
        <v>52</v>
      </c>
      <c r="F943" s="227" t="s">
        <v>90</v>
      </c>
      <c r="G943" s="227" t="s">
        <v>84</v>
      </c>
      <c r="H943" s="231">
        <v>1</v>
      </c>
      <c r="I943" s="232">
        <v>1800</v>
      </c>
      <c r="J943" s="230">
        <v>46045</v>
      </c>
      <c r="K943" s="227" t="s">
        <v>93</v>
      </c>
      <c r="L943" s="227" t="s">
        <v>94</v>
      </c>
      <c r="M943" s="233">
        <v>0.43</v>
      </c>
      <c r="N943" s="231"/>
      <c r="O943" s="231">
        <v>40</v>
      </c>
      <c r="P943" s="234">
        <v>-130.46</v>
      </c>
    </row>
    <row r="944" spans="1:16" ht="19.5" customHeight="1">
      <c r="A944" s="227" t="s">
        <v>1309</v>
      </c>
      <c r="B944" s="230">
        <v>46053</v>
      </c>
      <c r="C944" s="227" t="s">
        <v>100</v>
      </c>
      <c r="D944" s="227" t="s">
        <v>101</v>
      </c>
      <c r="E944" s="227" t="s">
        <v>52</v>
      </c>
      <c r="F944" s="227" t="s">
        <v>90</v>
      </c>
      <c r="G944" s="227" t="s">
        <v>84</v>
      </c>
      <c r="H944" s="231">
        <v>1</v>
      </c>
      <c r="I944" s="232">
        <v>1800</v>
      </c>
      <c r="J944" s="230">
        <v>46045</v>
      </c>
      <c r="K944" s="227" t="s">
        <v>93</v>
      </c>
      <c r="L944" s="227" t="s">
        <v>94</v>
      </c>
      <c r="M944" s="233">
        <v>0</v>
      </c>
      <c r="N944" s="231"/>
      <c r="O944" s="231"/>
      <c r="P944" s="234">
        <v>627.02</v>
      </c>
    </row>
    <row r="945" spans="1:16" ht="19.5" customHeight="1">
      <c r="A945" s="227" t="s">
        <v>1309</v>
      </c>
      <c r="B945" s="230">
        <v>46053</v>
      </c>
      <c r="C945" s="227" t="s">
        <v>100</v>
      </c>
      <c r="D945" s="227" t="s">
        <v>102</v>
      </c>
      <c r="E945" s="227" t="s">
        <v>52</v>
      </c>
      <c r="F945" s="227" t="s">
        <v>90</v>
      </c>
      <c r="G945" s="227" t="s">
        <v>84</v>
      </c>
      <c r="H945" s="231">
        <v>1</v>
      </c>
      <c r="I945" s="232">
        <v>1800</v>
      </c>
      <c r="J945" s="230">
        <v>46045</v>
      </c>
      <c r="K945" s="227" t="s">
        <v>93</v>
      </c>
      <c r="L945" s="227" t="s">
        <v>94</v>
      </c>
      <c r="M945" s="233">
        <v>0</v>
      </c>
      <c r="N945" s="231"/>
      <c r="O945" s="231"/>
      <c r="P945" s="234">
        <v>6.27</v>
      </c>
    </row>
    <row r="946" spans="1:16" ht="19.5" customHeight="1">
      <c r="A946" s="227" t="s">
        <v>1309</v>
      </c>
      <c r="B946" s="230">
        <v>46053</v>
      </c>
      <c r="C946" s="227" t="s">
        <v>100</v>
      </c>
      <c r="D946" s="227" t="s">
        <v>103</v>
      </c>
      <c r="E946" s="227" t="s">
        <v>52</v>
      </c>
      <c r="F946" s="227" t="s">
        <v>90</v>
      </c>
      <c r="G946" s="227" t="s">
        <v>84</v>
      </c>
      <c r="H946" s="231">
        <v>1</v>
      </c>
      <c r="I946" s="232">
        <v>1800</v>
      </c>
      <c r="J946" s="230">
        <v>46045</v>
      </c>
      <c r="K946" s="227" t="s">
        <v>93</v>
      </c>
      <c r="L946" s="227" t="s">
        <v>94</v>
      </c>
      <c r="M946" s="233">
        <v>0</v>
      </c>
      <c r="N946" s="231"/>
      <c r="O946" s="231"/>
      <c r="P946" s="234">
        <v>1166.71</v>
      </c>
    </row>
    <row r="947" spans="1:16" ht="19.5" customHeight="1">
      <c r="A947" s="227" t="s">
        <v>1309</v>
      </c>
      <c r="B947" s="230">
        <v>46053</v>
      </c>
      <c r="C947" s="227" t="s">
        <v>104</v>
      </c>
      <c r="D947" s="227" t="s">
        <v>105</v>
      </c>
      <c r="E947" s="227" t="s">
        <v>52</v>
      </c>
      <c r="F947" s="227" t="s">
        <v>90</v>
      </c>
      <c r="G947" s="227" t="s">
        <v>84</v>
      </c>
      <c r="H947" s="231">
        <v>1</v>
      </c>
      <c r="I947" s="232">
        <v>1800</v>
      </c>
      <c r="J947" s="230">
        <v>46045</v>
      </c>
      <c r="K947" s="227" t="s">
        <v>93</v>
      </c>
      <c r="L947" s="227" t="s">
        <v>94</v>
      </c>
      <c r="M947" s="233">
        <v>0.43</v>
      </c>
      <c r="N947" s="231"/>
      <c r="O947" s="231"/>
      <c r="P947" s="234">
        <v>-774</v>
      </c>
    </row>
    <row r="948" spans="1:16" ht="19.5" customHeight="1">
      <c r="A948" s="227" t="s">
        <v>1309</v>
      </c>
      <c r="B948" s="230">
        <v>46053</v>
      </c>
      <c r="C948" s="227" t="s">
        <v>81</v>
      </c>
      <c r="D948" s="227" t="s">
        <v>95</v>
      </c>
      <c r="E948" s="227" t="s">
        <v>52</v>
      </c>
      <c r="F948" s="227" t="s">
        <v>90</v>
      </c>
      <c r="G948" s="227" t="s">
        <v>84</v>
      </c>
      <c r="H948" s="231">
        <v>1</v>
      </c>
      <c r="I948" s="232">
        <v>1800</v>
      </c>
      <c r="J948" s="230">
        <v>46045</v>
      </c>
      <c r="K948" s="227" t="s">
        <v>93</v>
      </c>
      <c r="L948" s="227" t="s">
        <v>94</v>
      </c>
      <c r="M948" s="233">
        <v>0.43</v>
      </c>
      <c r="N948" s="231"/>
      <c r="O948" s="231"/>
      <c r="P948" s="234">
        <v>-8.5399999999999991</v>
      </c>
    </row>
    <row r="949" spans="1:16" ht="19.5" customHeight="1">
      <c r="A949" s="227" t="s">
        <v>1310</v>
      </c>
      <c r="B949" s="230">
        <v>46053</v>
      </c>
      <c r="C949" s="227" t="s">
        <v>92</v>
      </c>
      <c r="D949" s="227" t="s">
        <v>24</v>
      </c>
      <c r="E949" s="227" t="s">
        <v>53</v>
      </c>
      <c r="F949" s="227" t="s">
        <v>120</v>
      </c>
      <c r="G949" s="227" t="s">
        <v>84</v>
      </c>
      <c r="H949" s="231">
        <v>1</v>
      </c>
      <c r="I949" s="232">
        <v>1812</v>
      </c>
      <c r="J949" s="230">
        <v>46049</v>
      </c>
      <c r="K949" s="227" t="s">
        <v>93</v>
      </c>
      <c r="L949" s="227" t="s">
        <v>94</v>
      </c>
      <c r="M949" s="233">
        <v>0.43</v>
      </c>
      <c r="N949" s="231"/>
      <c r="O949" s="231">
        <v>45</v>
      </c>
      <c r="P949" s="234">
        <v>-154.32</v>
      </c>
    </row>
    <row r="950" spans="1:16" ht="19.5" customHeight="1">
      <c r="A950" s="227" t="s">
        <v>1310</v>
      </c>
      <c r="B950" s="230">
        <v>46053</v>
      </c>
      <c r="C950" s="227" t="s">
        <v>100</v>
      </c>
      <c r="D950" s="227" t="s">
        <v>101</v>
      </c>
      <c r="E950" s="227" t="s">
        <v>53</v>
      </c>
      <c r="F950" s="227" t="s">
        <v>120</v>
      </c>
      <c r="G950" s="227" t="s">
        <v>84</v>
      </c>
      <c r="H950" s="231">
        <v>1</v>
      </c>
      <c r="I950" s="232">
        <v>1812</v>
      </c>
      <c r="J950" s="230">
        <v>46049</v>
      </c>
      <c r="K950" s="227" t="s">
        <v>93</v>
      </c>
      <c r="L950" s="227" t="s">
        <v>94</v>
      </c>
      <c r="M950" s="233">
        <v>0</v>
      </c>
      <c r="N950" s="231"/>
      <c r="O950" s="231"/>
      <c r="P950" s="234">
        <v>690.48</v>
      </c>
    </row>
    <row r="951" spans="1:16" ht="19.5" customHeight="1">
      <c r="A951" s="227" t="s">
        <v>1310</v>
      </c>
      <c r="B951" s="230">
        <v>46053</v>
      </c>
      <c r="C951" s="227" t="s">
        <v>100</v>
      </c>
      <c r="D951" s="227" t="s">
        <v>102</v>
      </c>
      <c r="E951" s="227" t="s">
        <v>53</v>
      </c>
      <c r="F951" s="227" t="s">
        <v>120</v>
      </c>
      <c r="G951" s="227" t="s">
        <v>84</v>
      </c>
      <c r="H951" s="231">
        <v>1</v>
      </c>
      <c r="I951" s="232">
        <v>1812</v>
      </c>
      <c r="J951" s="230">
        <v>46049</v>
      </c>
      <c r="K951" s="227" t="s">
        <v>93</v>
      </c>
      <c r="L951" s="227" t="s">
        <v>94</v>
      </c>
      <c r="M951" s="233">
        <v>0</v>
      </c>
      <c r="N951" s="231"/>
      <c r="O951" s="231"/>
      <c r="P951" s="234">
        <v>0</v>
      </c>
    </row>
    <row r="952" spans="1:16" ht="19.5" customHeight="1">
      <c r="A952" s="227" t="s">
        <v>1310</v>
      </c>
      <c r="B952" s="230">
        <v>46053</v>
      </c>
      <c r="C952" s="227" t="s">
        <v>100</v>
      </c>
      <c r="D952" s="227" t="s">
        <v>103</v>
      </c>
      <c r="E952" s="227" t="s">
        <v>53</v>
      </c>
      <c r="F952" s="227" t="s">
        <v>120</v>
      </c>
      <c r="G952" s="227" t="s">
        <v>84</v>
      </c>
      <c r="H952" s="231">
        <v>1</v>
      </c>
      <c r="I952" s="232">
        <v>1812</v>
      </c>
      <c r="J952" s="230">
        <v>46049</v>
      </c>
      <c r="K952" s="227" t="s">
        <v>93</v>
      </c>
      <c r="L952" s="227" t="s">
        <v>94</v>
      </c>
      <c r="M952" s="233">
        <v>0</v>
      </c>
      <c r="N952" s="231"/>
      <c r="O952" s="231"/>
      <c r="P952" s="234">
        <v>1121.52</v>
      </c>
    </row>
    <row r="953" spans="1:16" ht="19.5" customHeight="1">
      <c r="A953" s="227" t="s">
        <v>1310</v>
      </c>
      <c r="B953" s="230">
        <v>46053</v>
      </c>
      <c r="C953" s="227" t="s">
        <v>104</v>
      </c>
      <c r="D953" s="227" t="s">
        <v>105</v>
      </c>
      <c r="E953" s="227" t="s">
        <v>53</v>
      </c>
      <c r="F953" s="227" t="s">
        <v>120</v>
      </c>
      <c r="G953" s="227" t="s">
        <v>84</v>
      </c>
      <c r="H953" s="231">
        <v>1</v>
      </c>
      <c r="I953" s="232">
        <v>1812</v>
      </c>
      <c r="J953" s="230">
        <v>46049</v>
      </c>
      <c r="K953" s="227" t="s">
        <v>93</v>
      </c>
      <c r="L953" s="227" t="s">
        <v>94</v>
      </c>
      <c r="M953" s="233">
        <v>0.43</v>
      </c>
      <c r="N953" s="231"/>
      <c r="O953" s="231"/>
      <c r="P953" s="234">
        <v>-779.16</v>
      </c>
    </row>
    <row r="954" spans="1:16" ht="19.5" customHeight="1">
      <c r="A954" s="227" t="s">
        <v>1310</v>
      </c>
      <c r="B954" s="230">
        <v>46053</v>
      </c>
      <c r="C954" s="227" t="s">
        <v>81</v>
      </c>
      <c r="D954" s="227" t="s">
        <v>95</v>
      </c>
      <c r="E954" s="227" t="s">
        <v>53</v>
      </c>
      <c r="F954" s="227" t="s">
        <v>120</v>
      </c>
      <c r="G954" s="227" t="s">
        <v>84</v>
      </c>
      <c r="H954" s="231">
        <v>1</v>
      </c>
      <c r="I954" s="232">
        <v>1812</v>
      </c>
      <c r="J954" s="230">
        <v>46049</v>
      </c>
      <c r="K954" s="227" t="s">
        <v>93</v>
      </c>
      <c r="L954" s="227" t="s">
        <v>94</v>
      </c>
      <c r="M954" s="233">
        <v>0.43</v>
      </c>
      <c r="N954" s="231"/>
      <c r="O954" s="231"/>
      <c r="P954" s="234">
        <v>-9.26</v>
      </c>
    </row>
    <row r="955" spans="1:16" ht="19.5" customHeight="1">
      <c r="A955" s="227" t="s">
        <v>1308</v>
      </c>
      <c r="B955" s="230">
        <v>46053</v>
      </c>
      <c r="C955" s="227" t="s">
        <v>81</v>
      </c>
      <c r="D955" s="227" t="s">
        <v>82</v>
      </c>
      <c r="E955" s="227" t="s">
        <v>43</v>
      </c>
      <c r="F955" s="227" t="s">
        <v>125</v>
      </c>
      <c r="G955" s="227" t="s">
        <v>84</v>
      </c>
      <c r="H955" s="231">
        <v>1</v>
      </c>
      <c r="I955" s="232">
        <v>0</v>
      </c>
      <c r="J955" s="230">
        <v>46051</v>
      </c>
      <c r="K955" s="227" t="s">
        <v>85</v>
      </c>
      <c r="L955" s="227" t="s">
        <v>85</v>
      </c>
      <c r="M955" s="233">
        <v>0</v>
      </c>
      <c r="N955" s="231"/>
      <c r="O955" s="231"/>
      <c r="P955" s="234">
        <v>-11.74</v>
      </c>
    </row>
    <row r="956" spans="1:16" ht="19.5" customHeight="1">
      <c r="A956" s="227" t="s">
        <v>1311</v>
      </c>
      <c r="B956" s="230">
        <v>46053</v>
      </c>
      <c r="C956" s="227" t="s">
        <v>92</v>
      </c>
      <c r="D956" s="227" t="s">
        <v>24</v>
      </c>
      <c r="E956" s="227" t="s">
        <v>53</v>
      </c>
      <c r="F956" s="227" t="s">
        <v>120</v>
      </c>
      <c r="G956" s="227" t="s">
        <v>84</v>
      </c>
      <c r="H956" s="231">
        <v>1</v>
      </c>
      <c r="I956" s="232">
        <v>0</v>
      </c>
      <c r="J956" s="230">
        <v>46049</v>
      </c>
      <c r="K956" s="227" t="s">
        <v>93</v>
      </c>
      <c r="L956" s="227" t="s">
        <v>94</v>
      </c>
      <c r="M956" s="233">
        <v>0</v>
      </c>
      <c r="N956" s="231"/>
      <c r="O956" s="231">
        <v>45</v>
      </c>
      <c r="P956" s="234">
        <v>-56</v>
      </c>
    </row>
    <row r="957" spans="1:16" ht="19.5" customHeight="1">
      <c r="A957" s="227" t="s">
        <v>1311</v>
      </c>
      <c r="B957" s="230">
        <v>46053</v>
      </c>
      <c r="C957" s="227" t="s">
        <v>81</v>
      </c>
      <c r="D957" s="227" t="s">
        <v>95</v>
      </c>
      <c r="E957" s="227" t="s">
        <v>53</v>
      </c>
      <c r="F957" s="227" t="s">
        <v>120</v>
      </c>
      <c r="G957" s="227" t="s">
        <v>84</v>
      </c>
      <c r="H957" s="231">
        <v>1</v>
      </c>
      <c r="I957" s="232">
        <v>0</v>
      </c>
      <c r="J957" s="230">
        <v>46049</v>
      </c>
      <c r="K957" s="227" t="s">
        <v>93</v>
      </c>
      <c r="L957" s="227" t="s">
        <v>94</v>
      </c>
      <c r="M957" s="233">
        <v>0</v>
      </c>
      <c r="N957" s="231"/>
      <c r="O957" s="231"/>
      <c r="P957" s="234">
        <v>-10.15</v>
      </c>
    </row>
    <row r="958" spans="1:16" ht="19.5" customHeight="1">
      <c r="A958" s="227" t="s">
        <v>1312</v>
      </c>
      <c r="B958" s="230">
        <v>46053</v>
      </c>
      <c r="C958" s="227" t="s">
        <v>81</v>
      </c>
      <c r="D958" s="227" t="s">
        <v>82</v>
      </c>
      <c r="E958" s="227" t="s">
        <v>42</v>
      </c>
      <c r="F958" s="227" t="s">
        <v>89</v>
      </c>
      <c r="G958" s="227" t="s">
        <v>84</v>
      </c>
      <c r="H958" s="231">
        <v>1</v>
      </c>
      <c r="I958" s="232">
        <v>0</v>
      </c>
      <c r="J958" s="230">
        <v>46053</v>
      </c>
      <c r="K958" s="227" t="s">
        <v>85</v>
      </c>
      <c r="L958" s="227" t="s">
        <v>85</v>
      </c>
      <c r="M958" s="233">
        <v>0</v>
      </c>
      <c r="N958" s="231"/>
      <c r="O958" s="231"/>
      <c r="P958" s="234">
        <v>-11.58</v>
      </c>
    </row>
    <row r="959" spans="1:16" ht="19.5" customHeight="1">
      <c r="A959" s="227" t="s">
        <v>1311</v>
      </c>
      <c r="B959" s="230">
        <v>46053</v>
      </c>
      <c r="C959" s="227" t="s">
        <v>92</v>
      </c>
      <c r="D959" s="227" t="s">
        <v>96</v>
      </c>
      <c r="E959" s="227" t="s">
        <v>53</v>
      </c>
      <c r="F959" s="227" t="s">
        <v>120</v>
      </c>
      <c r="G959" s="227" t="s">
        <v>84</v>
      </c>
      <c r="H959" s="231">
        <v>1</v>
      </c>
      <c r="I959" s="232">
        <v>0</v>
      </c>
      <c r="J959" s="230">
        <v>46049</v>
      </c>
      <c r="K959" s="227" t="s">
        <v>93</v>
      </c>
      <c r="L959" s="227" t="s">
        <v>94</v>
      </c>
      <c r="M959" s="233">
        <v>0</v>
      </c>
      <c r="N959" s="231"/>
      <c r="O959" s="231"/>
      <c r="P959" s="234">
        <v>0</v>
      </c>
    </row>
    <row r="960" spans="1:16" ht="19.5" customHeight="1">
      <c r="A960" s="227" t="s">
        <v>1311</v>
      </c>
      <c r="B960" s="230">
        <v>46053</v>
      </c>
      <c r="C960" s="227" t="s">
        <v>92</v>
      </c>
      <c r="D960" s="227" t="s">
        <v>97</v>
      </c>
      <c r="E960" s="227" t="s">
        <v>53</v>
      </c>
      <c r="F960" s="227" t="s">
        <v>120</v>
      </c>
      <c r="G960" s="227" t="s">
        <v>84</v>
      </c>
      <c r="H960" s="231">
        <v>1</v>
      </c>
      <c r="I960" s="232">
        <v>0</v>
      </c>
      <c r="J960" s="230">
        <v>46049</v>
      </c>
      <c r="K960" s="227" t="s">
        <v>93</v>
      </c>
      <c r="L960" s="227" t="s">
        <v>94</v>
      </c>
      <c r="M960" s="233">
        <v>0</v>
      </c>
      <c r="N960" s="231"/>
      <c r="O960" s="231"/>
      <c r="P960" s="234">
        <v>-56</v>
      </c>
    </row>
    <row r="961" spans="1:16" ht="19.5" customHeight="1">
      <c r="A961" s="227" t="s">
        <v>1311</v>
      </c>
      <c r="B961" s="230">
        <v>46053</v>
      </c>
      <c r="C961" s="227" t="s">
        <v>81</v>
      </c>
      <c r="D961" s="227" t="s">
        <v>98</v>
      </c>
      <c r="E961" s="227" t="s">
        <v>53</v>
      </c>
      <c r="F961" s="227" t="s">
        <v>120</v>
      </c>
      <c r="G961" s="227" t="s">
        <v>84</v>
      </c>
      <c r="H961" s="231">
        <v>1</v>
      </c>
      <c r="I961" s="232">
        <v>0</v>
      </c>
      <c r="J961" s="230">
        <v>46049</v>
      </c>
      <c r="K961" s="227" t="s">
        <v>93</v>
      </c>
      <c r="L961" s="227" t="s">
        <v>94</v>
      </c>
      <c r="M961" s="233">
        <v>0</v>
      </c>
      <c r="N961" s="231"/>
      <c r="O961" s="231"/>
      <c r="P961" s="234">
        <v>-15</v>
      </c>
    </row>
    <row r="962" spans="1:16" ht="19.5" customHeight="1">
      <c r="A962" s="227" t="s">
        <v>1289</v>
      </c>
      <c r="B962" s="230">
        <v>46053</v>
      </c>
      <c r="C962" s="227" t="s">
        <v>166</v>
      </c>
      <c r="D962" s="227" t="s">
        <v>167</v>
      </c>
      <c r="E962" s="227" t="s">
        <v>42</v>
      </c>
      <c r="F962" s="227" t="s">
        <v>89</v>
      </c>
      <c r="G962" s="227" t="s">
        <v>84</v>
      </c>
      <c r="H962" s="231">
        <v>1</v>
      </c>
      <c r="I962" s="232">
        <v>-1750</v>
      </c>
      <c r="J962" s="230">
        <v>46051</v>
      </c>
      <c r="K962" s="227" t="s">
        <v>93</v>
      </c>
      <c r="L962" s="227" t="s">
        <v>94</v>
      </c>
      <c r="M962" s="233">
        <v>0</v>
      </c>
      <c r="N962" s="231"/>
      <c r="O962" s="231"/>
      <c r="P962" s="234">
        <v>-609.52</v>
      </c>
    </row>
    <row r="963" spans="1:16" ht="19.5" customHeight="1">
      <c r="A963" s="227" t="s">
        <v>1289</v>
      </c>
      <c r="B963" s="230">
        <v>46053</v>
      </c>
      <c r="C963" s="227" t="s">
        <v>166</v>
      </c>
      <c r="D963" s="227" t="s">
        <v>102</v>
      </c>
      <c r="E963" s="227" t="s">
        <v>42</v>
      </c>
      <c r="F963" s="227" t="s">
        <v>89</v>
      </c>
      <c r="G963" s="227" t="s">
        <v>84</v>
      </c>
      <c r="H963" s="231">
        <v>1</v>
      </c>
      <c r="I963" s="232">
        <v>-1750</v>
      </c>
      <c r="J963" s="230">
        <v>46051</v>
      </c>
      <c r="K963" s="227" t="s">
        <v>93</v>
      </c>
      <c r="L963" s="227" t="s">
        <v>94</v>
      </c>
      <c r="M963" s="233">
        <v>0</v>
      </c>
      <c r="N963" s="231"/>
      <c r="O963" s="231"/>
      <c r="P963" s="234">
        <v>-6.1</v>
      </c>
    </row>
    <row r="964" spans="1:16" ht="19.5" customHeight="1">
      <c r="A964" s="227" t="s">
        <v>1289</v>
      </c>
      <c r="B964" s="230">
        <v>46053</v>
      </c>
      <c r="C964" s="227" t="s">
        <v>166</v>
      </c>
      <c r="D964" s="227" t="s">
        <v>103</v>
      </c>
      <c r="E964" s="227" t="s">
        <v>42</v>
      </c>
      <c r="F964" s="227" t="s">
        <v>89</v>
      </c>
      <c r="G964" s="227" t="s">
        <v>84</v>
      </c>
      <c r="H964" s="231">
        <v>1</v>
      </c>
      <c r="I964" s="232">
        <v>-1750</v>
      </c>
      <c r="J964" s="230">
        <v>46051</v>
      </c>
      <c r="K964" s="227" t="s">
        <v>93</v>
      </c>
      <c r="L964" s="227" t="s">
        <v>94</v>
      </c>
      <c r="M964" s="233">
        <v>0</v>
      </c>
      <c r="N964" s="231"/>
      <c r="O964" s="231"/>
      <c r="P964" s="234">
        <v>-1134.3800000000001</v>
      </c>
    </row>
    <row r="965" spans="1:16" ht="19.5" customHeight="1">
      <c r="A965" s="227" t="s">
        <v>1289</v>
      </c>
      <c r="B965" s="230">
        <v>46053</v>
      </c>
      <c r="C965" s="227" t="s">
        <v>104</v>
      </c>
      <c r="D965" s="227" t="s">
        <v>168</v>
      </c>
      <c r="E965" s="227" t="s">
        <v>42</v>
      </c>
      <c r="F965" s="227" t="s">
        <v>89</v>
      </c>
      <c r="G965" s="227" t="s">
        <v>84</v>
      </c>
      <c r="H965" s="231">
        <v>1</v>
      </c>
      <c r="I965" s="232">
        <v>-1750</v>
      </c>
      <c r="J965" s="230">
        <v>46051</v>
      </c>
      <c r="K965" s="227" t="s">
        <v>93</v>
      </c>
      <c r="L965" s="227" t="s">
        <v>94</v>
      </c>
      <c r="M965" s="233">
        <v>0.43</v>
      </c>
      <c r="N965" s="231"/>
      <c r="O965" s="231"/>
      <c r="P965" s="234">
        <v>752.5</v>
      </c>
    </row>
    <row r="966" spans="1:16" ht="19.5" customHeight="1">
      <c r="A966" s="227" t="s">
        <v>1313</v>
      </c>
      <c r="B966" s="230">
        <v>46053</v>
      </c>
      <c r="C966" s="227" t="s">
        <v>81</v>
      </c>
      <c r="D966" s="227" t="s">
        <v>82</v>
      </c>
      <c r="E966" s="227" t="s">
        <v>40</v>
      </c>
      <c r="F966" s="227" t="s">
        <v>197</v>
      </c>
      <c r="G966" s="227" t="s">
        <v>84</v>
      </c>
      <c r="H966" s="231">
        <v>1</v>
      </c>
      <c r="I966" s="232">
        <v>0</v>
      </c>
      <c r="J966" s="230">
        <v>46053</v>
      </c>
      <c r="K966" s="227" t="s">
        <v>85</v>
      </c>
      <c r="L966" s="227" t="s">
        <v>85</v>
      </c>
      <c r="M966" s="233">
        <v>0</v>
      </c>
      <c r="N966" s="231"/>
      <c r="O966" s="231"/>
      <c r="P966" s="234">
        <v>-7.18</v>
      </c>
    </row>
    <row r="967" spans="1:16" ht="19.5" customHeight="1">
      <c r="A967" s="227" t="s">
        <v>1240</v>
      </c>
      <c r="B967" s="230">
        <v>46053</v>
      </c>
      <c r="C967" s="227" t="s">
        <v>81</v>
      </c>
      <c r="D967" s="227" t="s">
        <v>82</v>
      </c>
      <c r="E967" s="227" t="s">
        <v>42</v>
      </c>
      <c r="F967" s="227" t="s">
        <v>89</v>
      </c>
      <c r="G967" s="227" t="s">
        <v>84</v>
      </c>
      <c r="H967" s="231">
        <v>1</v>
      </c>
      <c r="I967" s="232">
        <v>0</v>
      </c>
      <c r="J967" s="230">
        <v>46051</v>
      </c>
      <c r="K967" s="227" t="s">
        <v>85</v>
      </c>
      <c r="L967" s="227" t="s">
        <v>85</v>
      </c>
      <c r="M967" s="233">
        <v>0</v>
      </c>
      <c r="N967" s="231"/>
      <c r="O967" s="231"/>
      <c r="P967" s="234">
        <v>11.58</v>
      </c>
    </row>
    <row r="968" spans="1:16" ht="19.5" customHeight="1">
      <c r="A968" s="227" t="s">
        <v>1314</v>
      </c>
      <c r="B968" s="230">
        <v>46053</v>
      </c>
      <c r="C968" s="227" t="s">
        <v>81</v>
      </c>
      <c r="D968" s="227" t="s">
        <v>82</v>
      </c>
      <c r="E968" s="227" t="s">
        <v>53</v>
      </c>
      <c r="F968" s="227" t="s">
        <v>120</v>
      </c>
      <c r="G968" s="227" t="s">
        <v>84</v>
      </c>
      <c r="H968" s="231">
        <v>1</v>
      </c>
      <c r="I968" s="232">
        <v>0</v>
      </c>
      <c r="J968" s="230">
        <v>46053</v>
      </c>
      <c r="K968" s="227" t="s">
        <v>85</v>
      </c>
      <c r="L968" s="227" t="s">
        <v>85</v>
      </c>
      <c r="M968" s="233">
        <v>0</v>
      </c>
      <c r="N968" s="231"/>
      <c r="O968" s="231"/>
      <c r="P968" s="234">
        <v>-12</v>
      </c>
    </row>
    <row r="969" spans="1:16" ht="19.5" customHeight="1">
      <c r="A969" s="227" t="s">
        <v>1315</v>
      </c>
      <c r="B969" s="230">
        <v>46053</v>
      </c>
      <c r="C969" s="227" t="s">
        <v>92</v>
      </c>
      <c r="D969" s="227" t="s">
        <v>24</v>
      </c>
      <c r="E969" s="227" t="s">
        <v>43</v>
      </c>
      <c r="F969" s="227" t="s">
        <v>125</v>
      </c>
      <c r="G969" s="227" t="s">
        <v>84</v>
      </c>
      <c r="H969" s="231">
        <v>1</v>
      </c>
      <c r="I969" s="232">
        <v>0</v>
      </c>
      <c r="J969" s="230">
        <v>46049</v>
      </c>
      <c r="K969" s="227" t="s">
        <v>93</v>
      </c>
      <c r="L969" s="227" t="s">
        <v>94</v>
      </c>
      <c r="M969" s="233">
        <v>0</v>
      </c>
      <c r="N969" s="231"/>
      <c r="O969" s="231">
        <v>45</v>
      </c>
      <c r="P969" s="234">
        <v>-46.77</v>
      </c>
    </row>
    <row r="970" spans="1:16" ht="19.5" customHeight="1">
      <c r="A970" s="227" t="s">
        <v>1315</v>
      </c>
      <c r="B970" s="230">
        <v>46053</v>
      </c>
      <c r="C970" s="227" t="s">
        <v>81</v>
      </c>
      <c r="D970" s="227" t="s">
        <v>95</v>
      </c>
      <c r="E970" s="227" t="s">
        <v>43</v>
      </c>
      <c r="F970" s="227" t="s">
        <v>125</v>
      </c>
      <c r="G970" s="227" t="s">
        <v>84</v>
      </c>
      <c r="H970" s="231">
        <v>1</v>
      </c>
      <c r="I970" s="232">
        <v>0</v>
      </c>
      <c r="J970" s="230">
        <v>46049</v>
      </c>
      <c r="K970" s="227" t="s">
        <v>93</v>
      </c>
      <c r="L970" s="227" t="s">
        <v>94</v>
      </c>
      <c r="M970" s="233">
        <v>0</v>
      </c>
      <c r="N970" s="231"/>
      <c r="O970" s="231"/>
      <c r="P970" s="234">
        <v>-25</v>
      </c>
    </row>
    <row r="971" spans="1:16" ht="19.5" customHeight="1">
      <c r="A971" s="227" t="s">
        <v>1316</v>
      </c>
      <c r="B971" s="230">
        <v>46053</v>
      </c>
      <c r="C971" s="227" t="s">
        <v>81</v>
      </c>
      <c r="D971" s="227" t="s">
        <v>82</v>
      </c>
      <c r="E971" s="227" t="s">
        <v>52</v>
      </c>
      <c r="F971" s="227" t="s">
        <v>90</v>
      </c>
      <c r="G971" s="227" t="s">
        <v>84</v>
      </c>
      <c r="H971" s="231">
        <v>1</v>
      </c>
      <c r="I971" s="232">
        <v>0</v>
      </c>
      <c r="J971" s="230">
        <v>46053</v>
      </c>
      <c r="K971" s="227" t="s">
        <v>85</v>
      </c>
      <c r="L971" s="227" t="s">
        <v>85</v>
      </c>
      <c r="M971" s="233">
        <v>0</v>
      </c>
      <c r="N971" s="231"/>
      <c r="O971" s="231"/>
      <c r="P971" s="234">
        <v>-11.92</v>
      </c>
    </row>
    <row r="972" spans="1:16" ht="19.5" customHeight="1">
      <c r="A972" s="227" t="s">
        <v>1315</v>
      </c>
      <c r="B972" s="230">
        <v>46053</v>
      </c>
      <c r="C972" s="227" t="s">
        <v>92</v>
      </c>
      <c r="D972" s="227" t="s">
        <v>96</v>
      </c>
      <c r="E972" s="227" t="s">
        <v>43</v>
      </c>
      <c r="F972" s="227" t="s">
        <v>125</v>
      </c>
      <c r="G972" s="227" t="s">
        <v>84</v>
      </c>
      <c r="H972" s="231">
        <v>1</v>
      </c>
      <c r="I972" s="232">
        <v>0</v>
      </c>
      <c r="J972" s="230">
        <v>46049</v>
      </c>
      <c r="K972" s="227" t="s">
        <v>93</v>
      </c>
      <c r="L972" s="227" t="s">
        <v>94</v>
      </c>
      <c r="M972" s="233">
        <v>0</v>
      </c>
      <c r="N972" s="231"/>
      <c r="O972" s="231"/>
      <c r="P972" s="234">
        <v>0</v>
      </c>
    </row>
    <row r="973" spans="1:16" ht="19.5" customHeight="1">
      <c r="A973" s="227" t="s">
        <v>1315</v>
      </c>
      <c r="B973" s="230">
        <v>46053</v>
      </c>
      <c r="C973" s="227" t="s">
        <v>92</v>
      </c>
      <c r="D973" s="227" t="s">
        <v>97</v>
      </c>
      <c r="E973" s="227" t="s">
        <v>43</v>
      </c>
      <c r="F973" s="227" t="s">
        <v>125</v>
      </c>
      <c r="G973" s="227" t="s">
        <v>84</v>
      </c>
      <c r="H973" s="231">
        <v>1</v>
      </c>
      <c r="I973" s="232">
        <v>0</v>
      </c>
      <c r="J973" s="230">
        <v>46049</v>
      </c>
      <c r="K973" s="227" t="s">
        <v>93</v>
      </c>
      <c r="L973" s="227" t="s">
        <v>94</v>
      </c>
      <c r="M973" s="233">
        <v>0</v>
      </c>
      <c r="N973" s="231"/>
      <c r="O973" s="231"/>
      <c r="P973" s="234">
        <v>-46.77</v>
      </c>
    </row>
    <row r="974" spans="1:16" ht="19.5" customHeight="1">
      <c r="A974" s="227" t="s">
        <v>1315</v>
      </c>
      <c r="B974" s="230">
        <v>46053</v>
      </c>
      <c r="C974" s="227" t="s">
        <v>81</v>
      </c>
      <c r="D974" s="227" t="s">
        <v>98</v>
      </c>
      <c r="E974" s="227" t="s">
        <v>43</v>
      </c>
      <c r="F974" s="227" t="s">
        <v>125</v>
      </c>
      <c r="G974" s="227" t="s">
        <v>84</v>
      </c>
      <c r="H974" s="231">
        <v>1</v>
      </c>
      <c r="I974" s="232">
        <v>0</v>
      </c>
      <c r="J974" s="230">
        <v>46049</v>
      </c>
      <c r="K974" s="227" t="s">
        <v>93</v>
      </c>
      <c r="L974" s="227" t="s">
        <v>94</v>
      </c>
      <c r="M974" s="233">
        <v>0</v>
      </c>
      <c r="N974" s="231"/>
      <c r="O974" s="231"/>
      <c r="P974" s="234">
        <v>-15</v>
      </c>
    </row>
    <row r="975" spans="1:16" ht="19.5" customHeight="1">
      <c r="A975" s="227" t="s">
        <v>1317</v>
      </c>
      <c r="B975" s="230">
        <v>46053</v>
      </c>
      <c r="C975" s="227" t="s">
        <v>81</v>
      </c>
      <c r="D975" s="227" t="s">
        <v>82</v>
      </c>
      <c r="E975" s="227" t="s">
        <v>52</v>
      </c>
      <c r="F975" s="227" t="s">
        <v>90</v>
      </c>
      <c r="G975" s="227" t="s">
        <v>84</v>
      </c>
      <c r="H975" s="231">
        <v>1</v>
      </c>
      <c r="I975" s="232">
        <v>0</v>
      </c>
      <c r="J975" s="230">
        <v>46053</v>
      </c>
      <c r="K975" s="227" t="s">
        <v>85</v>
      </c>
      <c r="L975" s="227" t="s">
        <v>85</v>
      </c>
      <c r="M975" s="233">
        <v>0</v>
      </c>
      <c r="N975" s="231"/>
      <c r="O975" s="231"/>
      <c r="P975" s="234">
        <v>-11.92</v>
      </c>
    </row>
    <row r="976" spans="1:16" ht="19.5" customHeight="1">
      <c r="A976" s="227" t="s">
        <v>1318</v>
      </c>
      <c r="B976" s="230">
        <v>46053</v>
      </c>
      <c r="C976" s="227" t="s">
        <v>92</v>
      </c>
      <c r="D976" s="227" t="s">
        <v>24</v>
      </c>
      <c r="E976" s="227" t="s">
        <v>41</v>
      </c>
      <c r="F976" s="227" t="s">
        <v>83</v>
      </c>
      <c r="G976" s="227" t="s">
        <v>84</v>
      </c>
      <c r="H976" s="231">
        <v>1</v>
      </c>
      <c r="I976" s="232">
        <v>1750</v>
      </c>
      <c r="J976" s="230">
        <v>46050</v>
      </c>
      <c r="K976" s="227" t="s">
        <v>93</v>
      </c>
      <c r="L976" s="227" t="s">
        <v>94</v>
      </c>
      <c r="M976" s="233">
        <v>0.43</v>
      </c>
      <c r="N976" s="231"/>
      <c r="O976" s="231">
        <v>44</v>
      </c>
      <c r="P976" s="234">
        <v>-131.37</v>
      </c>
    </row>
    <row r="977" spans="1:16" ht="19.5" customHeight="1">
      <c r="A977" s="227" t="s">
        <v>1318</v>
      </c>
      <c r="B977" s="230">
        <v>46053</v>
      </c>
      <c r="C977" s="227" t="s">
        <v>100</v>
      </c>
      <c r="D977" s="227" t="s">
        <v>101</v>
      </c>
      <c r="E977" s="227" t="s">
        <v>41</v>
      </c>
      <c r="F977" s="227" t="s">
        <v>83</v>
      </c>
      <c r="G977" s="227" t="s">
        <v>84</v>
      </c>
      <c r="H977" s="231">
        <v>1</v>
      </c>
      <c r="I977" s="232">
        <v>1750</v>
      </c>
      <c r="J977" s="230">
        <v>46050</v>
      </c>
      <c r="K977" s="227" t="s">
        <v>93</v>
      </c>
      <c r="L977" s="227" t="s">
        <v>94</v>
      </c>
      <c r="M977" s="233">
        <v>0</v>
      </c>
      <c r="N977" s="231"/>
      <c r="O977" s="231"/>
      <c r="P977" s="234">
        <v>645.71</v>
      </c>
    </row>
    <row r="978" spans="1:16" ht="19.5" customHeight="1">
      <c r="A978" s="227" t="s">
        <v>1318</v>
      </c>
      <c r="B978" s="230">
        <v>46053</v>
      </c>
      <c r="C978" s="227" t="s">
        <v>100</v>
      </c>
      <c r="D978" s="227" t="s">
        <v>102</v>
      </c>
      <c r="E978" s="227" t="s">
        <v>41</v>
      </c>
      <c r="F978" s="227" t="s">
        <v>83</v>
      </c>
      <c r="G978" s="227" t="s">
        <v>84</v>
      </c>
      <c r="H978" s="231">
        <v>1</v>
      </c>
      <c r="I978" s="232">
        <v>1750</v>
      </c>
      <c r="J978" s="230">
        <v>46050</v>
      </c>
      <c r="K978" s="227" t="s">
        <v>93</v>
      </c>
      <c r="L978" s="227" t="s">
        <v>94</v>
      </c>
      <c r="M978" s="233">
        <v>0</v>
      </c>
      <c r="N978" s="231"/>
      <c r="O978" s="231"/>
      <c r="P978" s="234">
        <v>6.46</v>
      </c>
    </row>
    <row r="979" spans="1:16" ht="19.5" customHeight="1">
      <c r="A979" s="227" t="s">
        <v>1318</v>
      </c>
      <c r="B979" s="230">
        <v>46053</v>
      </c>
      <c r="C979" s="227" t="s">
        <v>100</v>
      </c>
      <c r="D979" s="227" t="s">
        <v>103</v>
      </c>
      <c r="E979" s="227" t="s">
        <v>41</v>
      </c>
      <c r="F979" s="227" t="s">
        <v>83</v>
      </c>
      <c r="G979" s="227" t="s">
        <v>84</v>
      </c>
      <c r="H979" s="231">
        <v>1</v>
      </c>
      <c r="I979" s="232">
        <v>1750</v>
      </c>
      <c r="J979" s="230">
        <v>46050</v>
      </c>
      <c r="K979" s="227" t="s">
        <v>93</v>
      </c>
      <c r="L979" s="227" t="s">
        <v>94</v>
      </c>
      <c r="M979" s="233">
        <v>0</v>
      </c>
      <c r="N979" s="231"/>
      <c r="O979" s="231"/>
      <c r="P979" s="234">
        <v>1097.83</v>
      </c>
    </row>
    <row r="980" spans="1:16" ht="19.5" customHeight="1">
      <c r="A980" s="227" t="s">
        <v>1318</v>
      </c>
      <c r="B980" s="230">
        <v>46053</v>
      </c>
      <c r="C980" s="227" t="s">
        <v>104</v>
      </c>
      <c r="D980" s="227" t="s">
        <v>105</v>
      </c>
      <c r="E980" s="227" t="s">
        <v>41</v>
      </c>
      <c r="F980" s="227" t="s">
        <v>83</v>
      </c>
      <c r="G980" s="227" t="s">
        <v>84</v>
      </c>
      <c r="H980" s="231">
        <v>1</v>
      </c>
      <c r="I980" s="232">
        <v>1750</v>
      </c>
      <c r="J980" s="230">
        <v>46050</v>
      </c>
      <c r="K980" s="227" t="s">
        <v>93</v>
      </c>
      <c r="L980" s="227" t="s">
        <v>94</v>
      </c>
      <c r="M980" s="233">
        <v>0.43</v>
      </c>
      <c r="N980" s="231"/>
      <c r="O980" s="231"/>
      <c r="P980" s="234">
        <v>-752.5</v>
      </c>
    </row>
    <row r="981" spans="1:16" ht="19.5" customHeight="1">
      <c r="A981" s="227" t="s">
        <v>1318</v>
      </c>
      <c r="B981" s="230">
        <v>46053</v>
      </c>
      <c r="C981" s="227" t="s">
        <v>81</v>
      </c>
      <c r="D981" s="227" t="s">
        <v>95</v>
      </c>
      <c r="E981" s="227" t="s">
        <v>41</v>
      </c>
      <c r="F981" s="227" t="s">
        <v>83</v>
      </c>
      <c r="G981" s="227" t="s">
        <v>84</v>
      </c>
      <c r="H981" s="231">
        <v>1</v>
      </c>
      <c r="I981" s="232">
        <v>1750</v>
      </c>
      <c r="J981" s="230">
        <v>46050</v>
      </c>
      <c r="K981" s="227" t="s">
        <v>93</v>
      </c>
      <c r="L981" s="227" t="s">
        <v>94</v>
      </c>
      <c r="M981" s="233">
        <v>0.43</v>
      </c>
      <c r="N981" s="231"/>
      <c r="O981" s="231"/>
      <c r="P981" s="234">
        <v>-9.7200000000000006</v>
      </c>
    </row>
    <row r="982" spans="1:16" ht="19.5" customHeight="1">
      <c r="A982" s="227" t="s">
        <v>1319</v>
      </c>
      <c r="B982" s="230">
        <v>46053</v>
      </c>
      <c r="C982" s="227" t="s">
        <v>92</v>
      </c>
      <c r="D982" s="227" t="s">
        <v>24</v>
      </c>
      <c r="E982" s="227" t="s">
        <v>53</v>
      </c>
      <c r="F982" s="227" t="s">
        <v>120</v>
      </c>
      <c r="G982" s="227" t="s">
        <v>84</v>
      </c>
      <c r="H982" s="231">
        <v>1</v>
      </c>
      <c r="I982" s="232">
        <v>0</v>
      </c>
      <c r="J982" s="230">
        <v>46048</v>
      </c>
      <c r="K982" s="227" t="s">
        <v>93</v>
      </c>
      <c r="L982" s="227" t="s">
        <v>94</v>
      </c>
      <c r="M982" s="233">
        <v>0</v>
      </c>
      <c r="N982" s="231"/>
      <c r="O982" s="231">
        <v>44</v>
      </c>
      <c r="P982" s="234">
        <v>-56.94</v>
      </c>
    </row>
    <row r="983" spans="1:16" ht="19.5" customHeight="1">
      <c r="A983" s="227" t="s">
        <v>1319</v>
      </c>
      <c r="B983" s="230">
        <v>46053</v>
      </c>
      <c r="C983" s="227" t="s">
        <v>81</v>
      </c>
      <c r="D983" s="227" t="s">
        <v>95</v>
      </c>
      <c r="E983" s="227" t="s">
        <v>53</v>
      </c>
      <c r="F983" s="227" t="s">
        <v>120</v>
      </c>
      <c r="G983" s="227" t="s">
        <v>84</v>
      </c>
      <c r="H983" s="231">
        <v>1</v>
      </c>
      <c r="I983" s="232">
        <v>0</v>
      </c>
      <c r="J983" s="230">
        <v>46048</v>
      </c>
      <c r="K983" s="227" t="s">
        <v>93</v>
      </c>
      <c r="L983" s="227" t="s">
        <v>94</v>
      </c>
      <c r="M983" s="233">
        <v>0</v>
      </c>
      <c r="N983" s="231"/>
      <c r="O983" s="231"/>
      <c r="P983" s="234">
        <v>-9.26</v>
      </c>
    </row>
    <row r="984" spans="1:16" ht="19.5" customHeight="1">
      <c r="A984" s="227" t="s">
        <v>1319</v>
      </c>
      <c r="B984" s="230">
        <v>46053</v>
      </c>
      <c r="C984" s="227" t="s">
        <v>92</v>
      </c>
      <c r="D984" s="227" t="s">
        <v>96</v>
      </c>
      <c r="E984" s="227" t="s">
        <v>53</v>
      </c>
      <c r="F984" s="227" t="s">
        <v>120</v>
      </c>
      <c r="G984" s="227" t="s">
        <v>84</v>
      </c>
      <c r="H984" s="231">
        <v>1</v>
      </c>
      <c r="I984" s="232">
        <v>0</v>
      </c>
      <c r="J984" s="230">
        <v>46048</v>
      </c>
      <c r="K984" s="227" t="s">
        <v>93</v>
      </c>
      <c r="L984" s="227" t="s">
        <v>94</v>
      </c>
      <c r="M984" s="233">
        <v>0</v>
      </c>
      <c r="N984" s="231"/>
      <c r="O984" s="231"/>
      <c r="P984" s="234">
        <v>0</v>
      </c>
    </row>
    <row r="985" spans="1:16" ht="19.5" customHeight="1">
      <c r="A985" s="227" t="s">
        <v>1319</v>
      </c>
      <c r="B985" s="230">
        <v>46053</v>
      </c>
      <c r="C985" s="227" t="s">
        <v>92</v>
      </c>
      <c r="D985" s="227" t="s">
        <v>97</v>
      </c>
      <c r="E985" s="227" t="s">
        <v>53</v>
      </c>
      <c r="F985" s="227" t="s">
        <v>120</v>
      </c>
      <c r="G985" s="227" t="s">
        <v>84</v>
      </c>
      <c r="H985" s="231">
        <v>1</v>
      </c>
      <c r="I985" s="232">
        <v>0</v>
      </c>
      <c r="J985" s="230">
        <v>46048</v>
      </c>
      <c r="K985" s="227" t="s">
        <v>93</v>
      </c>
      <c r="L985" s="227" t="s">
        <v>94</v>
      </c>
      <c r="M985" s="233">
        <v>0</v>
      </c>
      <c r="N985" s="231"/>
      <c r="O985" s="231"/>
      <c r="P985" s="234">
        <v>-56.94</v>
      </c>
    </row>
    <row r="986" spans="1:16" ht="19.5" customHeight="1">
      <c r="A986" s="227" t="s">
        <v>1319</v>
      </c>
      <c r="B986" s="230">
        <v>46053</v>
      </c>
      <c r="C986" s="227" t="s">
        <v>81</v>
      </c>
      <c r="D986" s="227" t="s">
        <v>98</v>
      </c>
      <c r="E986" s="227" t="s">
        <v>53</v>
      </c>
      <c r="F986" s="227" t="s">
        <v>120</v>
      </c>
      <c r="G986" s="227" t="s">
        <v>84</v>
      </c>
      <c r="H986" s="231">
        <v>1</v>
      </c>
      <c r="I986" s="232">
        <v>0</v>
      </c>
      <c r="J986" s="230">
        <v>46048</v>
      </c>
      <c r="K986" s="227" t="s">
        <v>93</v>
      </c>
      <c r="L986" s="227" t="s">
        <v>94</v>
      </c>
      <c r="M986" s="233">
        <v>0</v>
      </c>
      <c r="N986" s="231"/>
      <c r="O986" s="231"/>
      <c r="P986" s="234">
        <v>-15</v>
      </c>
    </row>
    <row r="987" spans="1:16" ht="19.5" customHeight="1">
      <c r="A987" s="227" t="s">
        <v>1320</v>
      </c>
      <c r="B987" s="230">
        <v>46053</v>
      </c>
      <c r="C987" s="227" t="s">
        <v>81</v>
      </c>
      <c r="D987" s="227" t="s">
        <v>82</v>
      </c>
      <c r="E987" s="227" t="s">
        <v>52</v>
      </c>
      <c r="F987" s="227" t="s">
        <v>90</v>
      </c>
      <c r="G987" s="227" t="s">
        <v>84</v>
      </c>
      <c r="H987" s="231">
        <v>1</v>
      </c>
      <c r="I987" s="232">
        <v>0</v>
      </c>
      <c r="J987" s="230">
        <v>46053</v>
      </c>
      <c r="K987" s="227" t="s">
        <v>85</v>
      </c>
      <c r="L987" s="227" t="s">
        <v>85</v>
      </c>
      <c r="M987" s="233">
        <v>0</v>
      </c>
      <c r="N987" s="231"/>
      <c r="O987" s="231"/>
      <c r="P987" s="234">
        <v>-11.92</v>
      </c>
    </row>
    <row r="988" spans="1:16" ht="19.5" customHeight="1">
      <c r="A988" s="227" t="s">
        <v>1321</v>
      </c>
      <c r="B988" s="230">
        <v>46053</v>
      </c>
      <c r="C988" s="227" t="s">
        <v>92</v>
      </c>
      <c r="D988" s="227" t="s">
        <v>24</v>
      </c>
      <c r="E988" s="227" t="s">
        <v>52</v>
      </c>
      <c r="F988" s="227" t="s">
        <v>90</v>
      </c>
      <c r="G988" s="227" t="s">
        <v>84</v>
      </c>
      <c r="H988" s="231">
        <v>1</v>
      </c>
      <c r="I988" s="232">
        <v>1800</v>
      </c>
      <c r="J988" s="230">
        <v>46051</v>
      </c>
      <c r="K988" s="227" t="s">
        <v>93</v>
      </c>
      <c r="L988" s="227" t="s">
        <v>94</v>
      </c>
      <c r="M988" s="233">
        <v>0.43</v>
      </c>
      <c r="N988" s="231"/>
      <c r="O988" s="231">
        <v>44</v>
      </c>
      <c r="P988" s="234">
        <v>-147.97999999999999</v>
      </c>
    </row>
    <row r="989" spans="1:16" ht="19.5" customHeight="1">
      <c r="A989" s="227" t="s">
        <v>1321</v>
      </c>
      <c r="B989" s="230">
        <v>46053</v>
      </c>
      <c r="C989" s="227" t="s">
        <v>100</v>
      </c>
      <c r="D989" s="227" t="s">
        <v>101</v>
      </c>
      <c r="E989" s="227" t="s">
        <v>52</v>
      </c>
      <c r="F989" s="227" t="s">
        <v>90</v>
      </c>
      <c r="G989" s="227" t="s">
        <v>84</v>
      </c>
      <c r="H989" s="231">
        <v>1</v>
      </c>
      <c r="I989" s="232">
        <v>1800</v>
      </c>
      <c r="J989" s="230">
        <v>46051</v>
      </c>
      <c r="K989" s="227" t="s">
        <v>93</v>
      </c>
      <c r="L989" s="227" t="s">
        <v>94</v>
      </c>
      <c r="M989" s="233">
        <v>0</v>
      </c>
      <c r="N989" s="231"/>
      <c r="O989" s="231"/>
      <c r="P989" s="234">
        <v>627.02</v>
      </c>
    </row>
    <row r="990" spans="1:16" ht="19.5" customHeight="1">
      <c r="A990" s="227" t="s">
        <v>1321</v>
      </c>
      <c r="B990" s="230">
        <v>46053</v>
      </c>
      <c r="C990" s="227" t="s">
        <v>100</v>
      </c>
      <c r="D990" s="227" t="s">
        <v>102</v>
      </c>
      <c r="E990" s="227" t="s">
        <v>52</v>
      </c>
      <c r="F990" s="227" t="s">
        <v>90</v>
      </c>
      <c r="G990" s="227" t="s">
        <v>84</v>
      </c>
      <c r="H990" s="231">
        <v>1</v>
      </c>
      <c r="I990" s="232">
        <v>1800</v>
      </c>
      <c r="J990" s="230">
        <v>46051</v>
      </c>
      <c r="K990" s="227" t="s">
        <v>93</v>
      </c>
      <c r="L990" s="227" t="s">
        <v>94</v>
      </c>
      <c r="M990" s="233">
        <v>0</v>
      </c>
      <c r="N990" s="231"/>
      <c r="O990" s="231"/>
      <c r="P990" s="234">
        <v>6.27</v>
      </c>
    </row>
    <row r="991" spans="1:16" ht="19.5" customHeight="1">
      <c r="A991" s="227" t="s">
        <v>1321</v>
      </c>
      <c r="B991" s="230">
        <v>46053</v>
      </c>
      <c r="C991" s="227" t="s">
        <v>100</v>
      </c>
      <c r="D991" s="227" t="s">
        <v>103</v>
      </c>
      <c r="E991" s="227" t="s">
        <v>52</v>
      </c>
      <c r="F991" s="227" t="s">
        <v>90</v>
      </c>
      <c r="G991" s="227" t="s">
        <v>84</v>
      </c>
      <c r="H991" s="231">
        <v>1</v>
      </c>
      <c r="I991" s="232">
        <v>1800</v>
      </c>
      <c r="J991" s="230">
        <v>46051</v>
      </c>
      <c r="K991" s="227" t="s">
        <v>93</v>
      </c>
      <c r="L991" s="227" t="s">
        <v>94</v>
      </c>
      <c r="M991" s="233">
        <v>0</v>
      </c>
      <c r="N991" s="231"/>
      <c r="O991" s="231"/>
      <c r="P991" s="234">
        <v>1166.71</v>
      </c>
    </row>
    <row r="992" spans="1:16" ht="19.5" customHeight="1">
      <c r="A992" s="227" t="s">
        <v>1321</v>
      </c>
      <c r="B992" s="230">
        <v>46053</v>
      </c>
      <c r="C992" s="227" t="s">
        <v>104</v>
      </c>
      <c r="D992" s="227" t="s">
        <v>105</v>
      </c>
      <c r="E992" s="227" t="s">
        <v>52</v>
      </c>
      <c r="F992" s="227" t="s">
        <v>90</v>
      </c>
      <c r="G992" s="227" t="s">
        <v>84</v>
      </c>
      <c r="H992" s="231">
        <v>1</v>
      </c>
      <c r="I992" s="232">
        <v>1800</v>
      </c>
      <c r="J992" s="230">
        <v>46051</v>
      </c>
      <c r="K992" s="227" t="s">
        <v>93</v>
      </c>
      <c r="L992" s="227" t="s">
        <v>94</v>
      </c>
      <c r="M992" s="233">
        <v>0.43</v>
      </c>
      <c r="N992" s="231"/>
      <c r="O992" s="231"/>
      <c r="P992" s="234">
        <v>-774</v>
      </c>
    </row>
    <row r="993" spans="1:16" ht="19.5" customHeight="1">
      <c r="A993" s="227" t="s">
        <v>1321</v>
      </c>
      <c r="B993" s="230">
        <v>46053</v>
      </c>
      <c r="C993" s="227" t="s">
        <v>81</v>
      </c>
      <c r="D993" s="227" t="s">
        <v>95</v>
      </c>
      <c r="E993" s="227" t="s">
        <v>52</v>
      </c>
      <c r="F993" s="227" t="s">
        <v>90</v>
      </c>
      <c r="G993" s="227" t="s">
        <v>84</v>
      </c>
      <c r="H993" s="231">
        <v>1</v>
      </c>
      <c r="I993" s="232">
        <v>1800</v>
      </c>
      <c r="J993" s="230">
        <v>46051</v>
      </c>
      <c r="K993" s="227" t="s">
        <v>93</v>
      </c>
      <c r="L993" s="227" t="s">
        <v>94</v>
      </c>
      <c r="M993" s="233">
        <v>0.43</v>
      </c>
      <c r="N993" s="231"/>
      <c r="O993" s="231"/>
      <c r="P993" s="234">
        <v>-17.25</v>
      </c>
    </row>
    <row r="994" spans="1:16" ht="19.5" customHeight="1">
      <c r="A994" s="227" t="s">
        <v>1321</v>
      </c>
      <c r="B994" s="230">
        <v>46053</v>
      </c>
      <c r="C994" s="227" t="s">
        <v>81</v>
      </c>
      <c r="D994" s="227" t="s">
        <v>82</v>
      </c>
      <c r="E994" s="227" t="s">
        <v>52</v>
      </c>
      <c r="F994" s="227" t="s">
        <v>90</v>
      </c>
      <c r="G994" s="227" t="s">
        <v>84</v>
      </c>
      <c r="H994" s="231">
        <v>1</v>
      </c>
      <c r="I994" s="232">
        <v>0</v>
      </c>
      <c r="J994" s="230">
        <v>46051</v>
      </c>
      <c r="K994" s="227" t="s">
        <v>85</v>
      </c>
      <c r="L994" s="227" t="s">
        <v>85</v>
      </c>
      <c r="M994" s="233">
        <v>0</v>
      </c>
      <c r="N994" s="231"/>
      <c r="O994" s="231"/>
      <c r="P994" s="234">
        <v>-11.91</v>
      </c>
    </row>
    <row r="995" spans="1:16" ht="19.5" customHeight="1">
      <c r="A995" s="227" t="s">
        <v>1322</v>
      </c>
      <c r="B995" s="230">
        <v>46053</v>
      </c>
      <c r="C995" s="227" t="s">
        <v>81</v>
      </c>
      <c r="D995" s="227" t="s">
        <v>82</v>
      </c>
      <c r="E995" s="227" t="s">
        <v>41</v>
      </c>
      <c r="F995" s="227" t="s">
        <v>83</v>
      </c>
      <c r="G995" s="227" t="s">
        <v>84</v>
      </c>
      <c r="H995" s="231">
        <v>1</v>
      </c>
      <c r="I995" s="232">
        <v>0</v>
      </c>
      <c r="J995" s="230">
        <v>46053</v>
      </c>
      <c r="K995" s="227" t="s">
        <v>85</v>
      </c>
      <c r="L995" s="227" t="s">
        <v>85</v>
      </c>
      <c r="M995" s="233">
        <v>0</v>
      </c>
      <c r="N995" s="231"/>
      <c r="O995" s="231"/>
      <c r="P995" s="234">
        <v>-12.94</v>
      </c>
    </row>
    <row r="996" spans="1:16" ht="19.5" customHeight="1">
      <c r="A996" s="227" t="s">
        <v>1323</v>
      </c>
      <c r="B996" s="230">
        <v>46053</v>
      </c>
      <c r="C996" s="227" t="s">
        <v>92</v>
      </c>
      <c r="D996" s="227" t="s">
        <v>24</v>
      </c>
      <c r="E996" s="227" t="s">
        <v>53</v>
      </c>
      <c r="F996" s="227" t="s">
        <v>120</v>
      </c>
      <c r="G996" s="227" t="s">
        <v>84</v>
      </c>
      <c r="H996" s="231">
        <v>1</v>
      </c>
      <c r="I996" s="232">
        <v>1812</v>
      </c>
      <c r="J996" s="230">
        <v>46048</v>
      </c>
      <c r="K996" s="227" t="s">
        <v>93</v>
      </c>
      <c r="L996" s="227" t="s">
        <v>94</v>
      </c>
      <c r="M996" s="233">
        <v>0.43</v>
      </c>
      <c r="N996" s="231"/>
      <c r="O996" s="231">
        <v>44</v>
      </c>
      <c r="P996" s="234">
        <v>-148.36000000000001</v>
      </c>
    </row>
    <row r="997" spans="1:16" ht="19.5" customHeight="1">
      <c r="A997" s="227" t="s">
        <v>1323</v>
      </c>
      <c r="B997" s="230">
        <v>46053</v>
      </c>
      <c r="C997" s="227" t="s">
        <v>100</v>
      </c>
      <c r="D997" s="227" t="s">
        <v>101</v>
      </c>
      <c r="E997" s="227" t="s">
        <v>53</v>
      </c>
      <c r="F997" s="227" t="s">
        <v>120</v>
      </c>
      <c r="G997" s="227" t="s">
        <v>84</v>
      </c>
      <c r="H997" s="231">
        <v>1</v>
      </c>
      <c r="I997" s="232">
        <v>1812</v>
      </c>
      <c r="J997" s="230">
        <v>46048</v>
      </c>
      <c r="K997" s="227" t="s">
        <v>93</v>
      </c>
      <c r="L997" s="227" t="s">
        <v>94</v>
      </c>
      <c r="M997" s="233">
        <v>0</v>
      </c>
      <c r="N997" s="231"/>
      <c r="O997" s="231"/>
      <c r="P997" s="234">
        <v>666.98</v>
      </c>
    </row>
    <row r="998" spans="1:16" ht="19.5" customHeight="1">
      <c r="A998" s="227" t="s">
        <v>1323</v>
      </c>
      <c r="B998" s="230">
        <v>46053</v>
      </c>
      <c r="C998" s="227" t="s">
        <v>100</v>
      </c>
      <c r="D998" s="227" t="s">
        <v>102</v>
      </c>
      <c r="E998" s="227" t="s">
        <v>53</v>
      </c>
      <c r="F998" s="227" t="s">
        <v>120</v>
      </c>
      <c r="G998" s="227" t="s">
        <v>84</v>
      </c>
      <c r="H998" s="231">
        <v>1</v>
      </c>
      <c r="I998" s="232">
        <v>1812</v>
      </c>
      <c r="J998" s="230">
        <v>46048</v>
      </c>
      <c r="K998" s="227" t="s">
        <v>93</v>
      </c>
      <c r="L998" s="227" t="s">
        <v>94</v>
      </c>
      <c r="M998" s="233">
        <v>0</v>
      </c>
      <c r="N998" s="231"/>
      <c r="O998" s="231"/>
      <c r="P998" s="234">
        <v>6.67</v>
      </c>
    </row>
    <row r="999" spans="1:16" ht="19.5" customHeight="1">
      <c r="A999" s="227" t="s">
        <v>1323</v>
      </c>
      <c r="B999" s="230">
        <v>46053</v>
      </c>
      <c r="C999" s="227" t="s">
        <v>100</v>
      </c>
      <c r="D999" s="227" t="s">
        <v>103</v>
      </c>
      <c r="E999" s="227" t="s">
        <v>53</v>
      </c>
      <c r="F999" s="227" t="s">
        <v>120</v>
      </c>
      <c r="G999" s="227" t="s">
        <v>84</v>
      </c>
      <c r="H999" s="231">
        <v>1</v>
      </c>
      <c r="I999" s="232">
        <v>1812</v>
      </c>
      <c r="J999" s="230">
        <v>46048</v>
      </c>
      <c r="K999" s="227" t="s">
        <v>93</v>
      </c>
      <c r="L999" s="227" t="s">
        <v>94</v>
      </c>
      <c r="M999" s="233">
        <v>0</v>
      </c>
      <c r="N999" s="231"/>
      <c r="O999" s="231"/>
      <c r="P999" s="234">
        <v>1138.3499999999999</v>
      </c>
    </row>
    <row r="1000" spans="1:16" ht="19.5" customHeight="1">
      <c r="A1000" s="227" t="s">
        <v>1323</v>
      </c>
      <c r="B1000" s="230">
        <v>46053</v>
      </c>
      <c r="C1000" s="227" t="s">
        <v>104</v>
      </c>
      <c r="D1000" s="227" t="s">
        <v>105</v>
      </c>
      <c r="E1000" s="227" t="s">
        <v>53</v>
      </c>
      <c r="F1000" s="227" t="s">
        <v>120</v>
      </c>
      <c r="G1000" s="227" t="s">
        <v>84</v>
      </c>
      <c r="H1000" s="231">
        <v>1</v>
      </c>
      <c r="I1000" s="232">
        <v>1812</v>
      </c>
      <c r="J1000" s="230">
        <v>46048</v>
      </c>
      <c r="K1000" s="227" t="s">
        <v>93</v>
      </c>
      <c r="L1000" s="227" t="s">
        <v>94</v>
      </c>
      <c r="M1000" s="233">
        <v>0.43</v>
      </c>
      <c r="N1000" s="231"/>
      <c r="O1000" s="231"/>
      <c r="P1000" s="234">
        <v>-779.16</v>
      </c>
    </row>
    <row r="1001" spans="1:16" ht="19.5" customHeight="1">
      <c r="A1001" s="227" t="s">
        <v>1323</v>
      </c>
      <c r="B1001" s="230">
        <v>46053</v>
      </c>
      <c r="C1001" s="227" t="s">
        <v>81</v>
      </c>
      <c r="D1001" s="227" t="s">
        <v>95</v>
      </c>
      <c r="E1001" s="227" t="s">
        <v>53</v>
      </c>
      <c r="F1001" s="227" t="s">
        <v>120</v>
      </c>
      <c r="G1001" s="227" t="s">
        <v>84</v>
      </c>
      <c r="H1001" s="231">
        <v>1</v>
      </c>
      <c r="I1001" s="232">
        <v>1812</v>
      </c>
      <c r="J1001" s="230">
        <v>46048</v>
      </c>
      <c r="K1001" s="227" t="s">
        <v>93</v>
      </c>
      <c r="L1001" s="227" t="s">
        <v>94</v>
      </c>
      <c r="M1001" s="233">
        <v>0.43</v>
      </c>
      <c r="N1001" s="231"/>
      <c r="O1001" s="231"/>
      <c r="P1001" s="234">
        <v>-20.18</v>
      </c>
    </row>
    <row r="1002" spans="1:16" ht="19.5" customHeight="1">
      <c r="A1002" s="227" t="s">
        <v>1324</v>
      </c>
      <c r="B1002" s="230">
        <v>46053</v>
      </c>
      <c r="C1002" s="227" t="s">
        <v>92</v>
      </c>
      <c r="D1002" s="227" t="s">
        <v>24</v>
      </c>
      <c r="E1002" s="227" t="s">
        <v>53</v>
      </c>
      <c r="F1002" s="227" t="s">
        <v>120</v>
      </c>
      <c r="G1002" s="227" t="s">
        <v>84</v>
      </c>
      <c r="H1002" s="231">
        <v>1</v>
      </c>
      <c r="I1002" s="232">
        <v>1812</v>
      </c>
      <c r="J1002" s="230">
        <v>46050</v>
      </c>
      <c r="K1002" s="227" t="s">
        <v>93</v>
      </c>
      <c r="L1002" s="227" t="s">
        <v>94</v>
      </c>
      <c r="M1002" s="233">
        <v>0.43</v>
      </c>
      <c r="N1002" s="231"/>
      <c r="O1002" s="231">
        <v>44</v>
      </c>
      <c r="P1002" s="234">
        <v>-149.88999999999999</v>
      </c>
    </row>
    <row r="1003" spans="1:16" ht="19.5" customHeight="1">
      <c r="A1003" s="227" t="s">
        <v>1324</v>
      </c>
      <c r="B1003" s="230">
        <v>46053</v>
      </c>
      <c r="C1003" s="227" t="s">
        <v>100</v>
      </c>
      <c r="D1003" s="227" t="s">
        <v>101</v>
      </c>
      <c r="E1003" s="227" t="s">
        <v>53</v>
      </c>
      <c r="F1003" s="227" t="s">
        <v>120</v>
      </c>
      <c r="G1003" s="227" t="s">
        <v>84</v>
      </c>
      <c r="H1003" s="231">
        <v>1</v>
      </c>
      <c r="I1003" s="232">
        <v>1812</v>
      </c>
      <c r="J1003" s="230">
        <v>46050</v>
      </c>
      <c r="K1003" s="227" t="s">
        <v>93</v>
      </c>
      <c r="L1003" s="227" t="s">
        <v>94</v>
      </c>
      <c r="M1003" s="233">
        <v>0</v>
      </c>
      <c r="N1003" s="231"/>
      <c r="O1003" s="231"/>
      <c r="P1003" s="234">
        <v>631.42999999999995</v>
      </c>
    </row>
    <row r="1004" spans="1:16" ht="19.5" customHeight="1">
      <c r="A1004" s="227" t="s">
        <v>1324</v>
      </c>
      <c r="B1004" s="230">
        <v>46053</v>
      </c>
      <c r="C1004" s="227" t="s">
        <v>100</v>
      </c>
      <c r="D1004" s="227" t="s">
        <v>102</v>
      </c>
      <c r="E1004" s="227" t="s">
        <v>53</v>
      </c>
      <c r="F1004" s="227" t="s">
        <v>120</v>
      </c>
      <c r="G1004" s="227" t="s">
        <v>84</v>
      </c>
      <c r="H1004" s="231">
        <v>1</v>
      </c>
      <c r="I1004" s="232">
        <v>1812</v>
      </c>
      <c r="J1004" s="230">
        <v>46050</v>
      </c>
      <c r="K1004" s="227" t="s">
        <v>93</v>
      </c>
      <c r="L1004" s="227" t="s">
        <v>94</v>
      </c>
      <c r="M1004" s="233">
        <v>0</v>
      </c>
      <c r="N1004" s="231"/>
      <c r="O1004" s="231"/>
      <c r="P1004" s="234">
        <v>6.31</v>
      </c>
    </row>
    <row r="1005" spans="1:16" ht="19.5" customHeight="1">
      <c r="A1005" s="227" t="s">
        <v>1324</v>
      </c>
      <c r="B1005" s="230">
        <v>46053</v>
      </c>
      <c r="C1005" s="227" t="s">
        <v>100</v>
      </c>
      <c r="D1005" s="227" t="s">
        <v>103</v>
      </c>
      <c r="E1005" s="227" t="s">
        <v>53</v>
      </c>
      <c r="F1005" s="227" t="s">
        <v>120</v>
      </c>
      <c r="G1005" s="227" t="s">
        <v>84</v>
      </c>
      <c r="H1005" s="231">
        <v>1</v>
      </c>
      <c r="I1005" s="232">
        <v>1812</v>
      </c>
      <c r="J1005" s="230">
        <v>46050</v>
      </c>
      <c r="K1005" s="227" t="s">
        <v>93</v>
      </c>
      <c r="L1005" s="227" t="s">
        <v>94</v>
      </c>
      <c r="M1005" s="233">
        <v>0</v>
      </c>
      <c r="N1005" s="231"/>
      <c r="O1005" s="231"/>
      <c r="P1005" s="234">
        <v>1174.26</v>
      </c>
    </row>
    <row r="1006" spans="1:16" ht="19.5" customHeight="1">
      <c r="A1006" s="227" t="s">
        <v>1324</v>
      </c>
      <c r="B1006" s="230">
        <v>46053</v>
      </c>
      <c r="C1006" s="227" t="s">
        <v>104</v>
      </c>
      <c r="D1006" s="227" t="s">
        <v>105</v>
      </c>
      <c r="E1006" s="227" t="s">
        <v>53</v>
      </c>
      <c r="F1006" s="227" t="s">
        <v>120</v>
      </c>
      <c r="G1006" s="227" t="s">
        <v>84</v>
      </c>
      <c r="H1006" s="231">
        <v>1</v>
      </c>
      <c r="I1006" s="232">
        <v>1812</v>
      </c>
      <c r="J1006" s="230">
        <v>46050</v>
      </c>
      <c r="K1006" s="227" t="s">
        <v>93</v>
      </c>
      <c r="L1006" s="227" t="s">
        <v>94</v>
      </c>
      <c r="M1006" s="233">
        <v>0.43</v>
      </c>
      <c r="N1006" s="231"/>
      <c r="O1006" s="231"/>
      <c r="P1006" s="234">
        <v>-779.16</v>
      </c>
    </row>
    <row r="1007" spans="1:16" ht="19.5" customHeight="1">
      <c r="A1007" s="227" t="s">
        <v>1324</v>
      </c>
      <c r="B1007" s="230">
        <v>46053</v>
      </c>
      <c r="C1007" s="227" t="s">
        <v>81</v>
      </c>
      <c r="D1007" s="227" t="s">
        <v>95</v>
      </c>
      <c r="E1007" s="227" t="s">
        <v>53</v>
      </c>
      <c r="F1007" s="227" t="s">
        <v>120</v>
      </c>
      <c r="G1007" s="227" t="s">
        <v>84</v>
      </c>
      <c r="H1007" s="231">
        <v>1</v>
      </c>
      <c r="I1007" s="232">
        <v>1812</v>
      </c>
      <c r="J1007" s="230">
        <v>46050</v>
      </c>
      <c r="K1007" s="227" t="s">
        <v>93</v>
      </c>
      <c r="L1007" s="227" t="s">
        <v>94</v>
      </c>
      <c r="M1007" s="233">
        <v>0.43</v>
      </c>
      <c r="N1007" s="231"/>
      <c r="O1007" s="231"/>
      <c r="P1007" s="234">
        <v>-9.86</v>
      </c>
    </row>
    <row r="1008" spans="1:16" ht="19.5" customHeight="1">
      <c r="A1008" s="227" t="s">
        <v>1325</v>
      </c>
      <c r="B1008" s="230">
        <v>46053</v>
      </c>
      <c r="C1008" s="227" t="s">
        <v>92</v>
      </c>
      <c r="D1008" s="227" t="s">
        <v>24</v>
      </c>
      <c r="E1008" s="227" t="s">
        <v>58</v>
      </c>
      <c r="F1008" s="227" t="s">
        <v>1302</v>
      </c>
      <c r="G1008" s="227" t="s">
        <v>84</v>
      </c>
      <c r="H1008" s="231">
        <v>1</v>
      </c>
      <c r="I1008" s="232">
        <v>2000</v>
      </c>
      <c r="J1008" s="230">
        <v>46053</v>
      </c>
      <c r="K1008" s="227" t="s">
        <v>93</v>
      </c>
      <c r="L1008" s="227" t="s">
        <v>94</v>
      </c>
      <c r="M1008" s="233">
        <v>0.43</v>
      </c>
      <c r="N1008" s="231"/>
      <c r="O1008" s="231">
        <v>44</v>
      </c>
      <c r="P1008" s="234">
        <v>-155.81</v>
      </c>
    </row>
    <row r="1009" spans="1:16" ht="19.5" customHeight="1">
      <c r="A1009" s="227" t="s">
        <v>1325</v>
      </c>
      <c r="B1009" s="230">
        <v>46053</v>
      </c>
      <c r="C1009" s="227" t="s">
        <v>100</v>
      </c>
      <c r="D1009" s="227" t="s">
        <v>101</v>
      </c>
      <c r="E1009" s="227" t="s">
        <v>58</v>
      </c>
      <c r="F1009" s="227" t="s">
        <v>1302</v>
      </c>
      <c r="G1009" s="227" t="s">
        <v>84</v>
      </c>
      <c r="H1009" s="231">
        <v>1</v>
      </c>
      <c r="I1009" s="232">
        <v>2000</v>
      </c>
      <c r="J1009" s="230">
        <v>46053</v>
      </c>
      <c r="K1009" s="227" t="s">
        <v>93</v>
      </c>
      <c r="L1009" s="227" t="s">
        <v>94</v>
      </c>
      <c r="M1009" s="233">
        <v>0</v>
      </c>
      <c r="N1009" s="231"/>
      <c r="O1009" s="231"/>
      <c r="P1009" s="234">
        <v>734.29</v>
      </c>
    </row>
    <row r="1010" spans="1:16" ht="19.5" customHeight="1">
      <c r="A1010" s="227" t="s">
        <v>1325</v>
      </c>
      <c r="B1010" s="230">
        <v>46053</v>
      </c>
      <c r="C1010" s="227" t="s">
        <v>100</v>
      </c>
      <c r="D1010" s="227" t="s">
        <v>102</v>
      </c>
      <c r="E1010" s="227" t="s">
        <v>58</v>
      </c>
      <c r="F1010" s="227" t="s">
        <v>1302</v>
      </c>
      <c r="G1010" s="227" t="s">
        <v>84</v>
      </c>
      <c r="H1010" s="231">
        <v>1</v>
      </c>
      <c r="I1010" s="232">
        <v>2000</v>
      </c>
      <c r="J1010" s="230">
        <v>46053</v>
      </c>
      <c r="K1010" s="227" t="s">
        <v>93</v>
      </c>
      <c r="L1010" s="227" t="s">
        <v>94</v>
      </c>
      <c r="M1010" s="233">
        <v>0</v>
      </c>
      <c r="N1010" s="231"/>
      <c r="O1010" s="231"/>
      <c r="P1010" s="234">
        <v>7.34</v>
      </c>
    </row>
    <row r="1011" spans="1:16" ht="19.5" customHeight="1">
      <c r="A1011" s="227" t="s">
        <v>1325</v>
      </c>
      <c r="B1011" s="230">
        <v>46053</v>
      </c>
      <c r="C1011" s="227" t="s">
        <v>100</v>
      </c>
      <c r="D1011" s="227" t="s">
        <v>103</v>
      </c>
      <c r="E1011" s="227" t="s">
        <v>58</v>
      </c>
      <c r="F1011" s="227" t="s">
        <v>1302</v>
      </c>
      <c r="G1011" s="227" t="s">
        <v>84</v>
      </c>
      <c r="H1011" s="231">
        <v>1</v>
      </c>
      <c r="I1011" s="232">
        <v>2000</v>
      </c>
      <c r="J1011" s="230">
        <v>46053</v>
      </c>
      <c r="K1011" s="227" t="s">
        <v>93</v>
      </c>
      <c r="L1011" s="227" t="s">
        <v>94</v>
      </c>
      <c r="M1011" s="233">
        <v>0</v>
      </c>
      <c r="N1011" s="231"/>
      <c r="O1011" s="231"/>
      <c r="P1011" s="234">
        <v>1258.3699999999999</v>
      </c>
    </row>
    <row r="1012" spans="1:16" ht="19.5" customHeight="1">
      <c r="A1012" s="227" t="s">
        <v>1325</v>
      </c>
      <c r="B1012" s="230">
        <v>46053</v>
      </c>
      <c r="C1012" s="227" t="s">
        <v>104</v>
      </c>
      <c r="D1012" s="227" t="s">
        <v>105</v>
      </c>
      <c r="E1012" s="227" t="s">
        <v>58</v>
      </c>
      <c r="F1012" s="227" t="s">
        <v>1302</v>
      </c>
      <c r="G1012" s="227" t="s">
        <v>84</v>
      </c>
      <c r="H1012" s="231">
        <v>1</v>
      </c>
      <c r="I1012" s="232">
        <v>2000</v>
      </c>
      <c r="J1012" s="230">
        <v>46053</v>
      </c>
      <c r="K1012" s="227" t="s">
        <v>93</v>
      </c>
      <c r="L1012" s="227" t="s">
        <v>94</v>
      </c>
      <c r="M1012" s="233">
        <v>0.43</v>
      </c>
      <c r="N1012" s="231"/>
      <c r="O1012" s="231"/>
      <c r="P1012" s="234">
        <v>-860</v>
      </c>
    </row>
    <row r="1013" spans="1:16" ht="19.5" customHeight="1">
      <c r="A1013" s="227" t="s">
        <v>1325</v>
      </c>
      <c r="B1013" s="230">
        <v>46053</v>
      </c>
      <c r="C1013" s="227" t="s">
        <v>81</v>
      </c>
      <c r="D1013" s="227" t="s">
        <v>95</v>
      </c>
      <c r="E1013" s="227" t="s">
        <v>58</v>
      </c>
      <c r="F1013" s="227" t="s">
        <v>1302</v>
      </c>
      <c r="G1013" s="227" t="s">
        <v>84</v>
      </c>
      <c r="H1013" s="231">
        <v>1</v>
      </c>
      <c r="I1013" s="232">
        <v>2000</v>
      </c>
      <c r="J1013" s="230">
        <v>46053</v>
      </c>
      <c r="K1013" s="227" t="s">
        <v>93</v>
      </c>
      <c r="L1013" s="227" t="s">
        <v>94</v>
      </c>
      <c r="M1013" s="233">
        <v>0.43</v>
      </c>
      <c r="N1013" s="231"/>
      <c r="O1013" s="231"/>
      <c r="P1013" s="234">
        <v>-15.44</v>
      </c>
    </row>
    <row r="1014" spans="1:16" ht="19.5" customHeight="1">
      <c r="A1014" s="227" t="s">
        <v>1326</v>
      </c>
      <c r="B1014" s="230">
        <v>46053</v>
      </c>
      <c r="C1014" s="227" t="s">
        <v>81</v>
      </c>
      <c r="D1014" s="227" t="s">
        <v>82</v>
      </c>
      <c r="E1014" s="227" t="s">
        <v>43</v>
      </c>
      <c r="F1014" s="227" t="s">
        <v>125</v>
      </c>
      <c r="G1014" s="227" t="s">
        <v>84</v>
      </c>
      <c r="H1014" s="231">
        <v>1</v>
      </c>
      <c r="I1014" s="232">
        <v>0</v>
      </c>
      <c r="J1014" s="230">
        <v>46053</v>
      </c>
      <c r="K1014" s="227" t="s">
        <v>85</v>
      </c>
      <c r="L1014" s="227" t="s">
        <v>85</v>
      </c>
      <c r="M1014" s="233">
        <v>0</v>
      </c>
      <c r="N1014" s="231"/>
      <c r="O1014" s="231"/>
      <c r="P1014" s="234">
        <v>-11.58</v>
      </c>
    </row>
    <row r="1015" spans="1:16" ht="19.5" customHeight="1">
      <c r="A1015" s="227" t="s">
        <v>1327</v>
      </c>
      <c r="B1015" s="230">
        <v>46053</v>
      </c>
      <c r="C1015" s="227" t="s">
        <v>92</v>
      </c>
      <c r="D1015" s="227" t="s">
        <v>24</v>
      </c>
      <c r="E1015" s="227" t="s">
        <v>42</v>
      </c>
      <c r="F1015" s="227" t="s">
        <v>89</v>
      </c>
      <c r="G1015" s="227" t="s">
        <v>84</v>
      </c>
      <c r="H1015" s="231">
        <v>1</v>
      </c>
      <c r="I1015" s="232">
        <v>1750</v>
      </c>
      <c r="J1015" s="230">
        <v>46048</v>
      </c>
      <c r="K1015" s="227" t="s">
        <v>93</v>
      </c>
      <c r="L1015" s="227" t="s">
        <v>94</v>
      </c>
      <c r="M1015" s="233">
        <v>0.43</v>
      </c>
      <c r="N1015" s="231"/>
      <c r="O1015" s="231">
        <v>44</v>
      </c>
      <c r="P1015" s="234">
        <v>-131.37</v>
      </c>
    </row>
    <row r="1016" spans="1:16" ht="19.5" customHeight="1">
      <c r="A1016" s="227" t="s">
        <v>1327</v>
      </c>
      <c r="B1016" s="230">
        <v>46053</v>
      </c>
      <c r="C1016" s="227" t="s">
        <v>100</v>
      </c>
      <c r="D1016" s="227" t="s">
        <v>101</v>
      </c>
      <c r="E1016" s="227" t="s">
        <v>42</v>
      </c>
      <c r="F1016" s="227" t="s">
        <v>89</v>
      </c>
      <c r="G1016" s="227" t="s">
        <v>84</v>
      </c>
      <c r="H1016" s="231">
        <v>1</v>
      </c>
      <c r="I1016" s="232">
        <v>1750</v>
      </c>
      <c r="J1016" s="230">
        <v>46048</v>
      </c>
      <c r="K1016" s="227" t="s">
        <v>93</v>
      </c>
      <c r="L1016" s="227" t="s">
        <v>94</v>
      </c>
      <c r="M1016" s="233">
        <v>0</v>
      </c>
      <c r="N1016" s="231"/>
      <c r="O1016" s="231"/>
      <c r="P1016" s="234">
        <v>666.67</v>
      </c>
    </row>
    <row r="1017" spans="1:16" ht="19.5" customHeight="1">
      <c r="A1017" s="227" t="s">
        <v>1327</v>
      </c>
      <c r="B1017" s="230">
        <v>46053</v>
      </c>
      <c r="C1017" s="227" t="s">
        <v>100</v>
      </c>
      <c r="D1017" s="227" t="s">
        <v>102</v>
      </c>
      <c r="E1017" s="227" t="s">
        <v>42</v>
      </c>
      <c r="F1017" s="227" t="s">
        <v>89</v>
      </c>
      <c r="G1017" s="227" t="s">
        <v>84</v>
      </c>
      <c r="H1017" s="231">
        <v>1</v>
      </c>
      <c r="I1017" s="232">
        <v>1750</v>
      </c>
      <c r="J1017" s="230">
        <v>46048</v>
      </c>
      <c r="K1017" s="227" t="s">
        <v>93</v>
      </c>
      <c r="L1017" s="227" t="s">
        <v>94</v>
      </c>
      <c r="M1017" s="233">
        <v>0</v>
      </c>
      <c r="N1017" s="231"/>
      <c r="O1017" s="231"/>
      <c r="P1017" s="234">
        <v>0</v>
      </c>
    </row>
    <row r="1018" spans="1:16" ht="19.5" customHeight="1">
      <c r="A1018" s="227" t="s">
        <v>1327</v>
      </c>
      <c r="B1018" s="230">
        <v>46053</v>
      </c>
      <c r="C1018" s="227" t="s">
        <v>100</v>
      </c>
      <c r="D1018" s="227" t="s">
        <v>103</v>
      </c>
      <c r="E1018" s="227" t="s">
        <v>42</v>
      </c>
      <c r="F1018" s="227" t="s">
        <v>89</v>
      </c>
      <c r="G1018" s="227" t="s">
        <v>84</v>
      </c>
      <c r="H1018" s="231">
        <v>1</v>
      </c>
      <c r="I1018" s="232">
        <v>1750</v>
      </c>
      <c r="J1018" s="230">
        <v>46048</v>
      </c>
      <c r="K1018" s="227" t="s">
        <v>93</v>
      </c>
      <c r="L1018" s="227" t="s">
        <v>94</v>
      </c>
      <c r="M1018" s="233">
        <v>0</v>
      </c>
      <c r="N1018" s="231"/>
      <c r="O1018" s="231"/>
      <c r="P1018" s="234">
        <v>1083.33</v>
      </c>
    </row>
    <row r="1019" spans="1:16" ht="19.5" customHeight="1">
      <c r="A1019" s="227" t="s">
        <v>1327</v>
      </c>
      <c r="B1019" s="230">
        <v>46053</v>
      </c>
      <c r="C1019" s="227" t="s">
        <v>104</v>
      </c>
      <c r="D1019" s="227" t="s">
        <v>105</v>
      </c>
      <c r="E1019" s="227" t="s">
        <v>42</v>
      </c>
      <c r="F1019" s="227" t="s">
        <v>89</v>
      </c>
      <c r="G1019" s="227" t="s">
        <v>84</v>
      </c>
      <c r="H1019" s="231">
        <v>1</v>
      </c>
      <c r="I1019" s="232">
        <v>1750</v>
      </c>
      <c r="J1019" s="230">
        <v>46048</v>
      </c>
      <c r="K1019" s="227" t="s">
        <v>93</v>
      </c>
      <c r="L1019" s="227" t="s">
        <v>94</v>
      </c>
      <c r="M1019" s="233">
        <v>0.43</v>
      </c>
      <c r="N1019" s="231"/>
      <c r="O1019" s="231"/>
      <c r="P1019" s="234">
        <v>-752.5</v>
      </c>
    </row>
    <row r="1020" spans="1:16" ht="19.5" customHeight="1">
      <c r="A1020" s="227" t="s">
        <v>1328</v>
      </c>
      <c r="B1020" s="230">
        <v>46053</v>
      </c>
      <c r="C1020" s="227" t="s">
        <v>92</v>
      </c>
      <c r="D1020" s="227" t="s">
        <v>24</v>
      </c>
      <c r="E1020" s="227" t="s">
        <v>53</v>
      </c>
      <c r="F1020" s="227" t="s">
        <v>120</v>
      </c>
      <c r="G1020" s="227" t="s">
        <v>84</v>
      </c>
      <c r="H1020" s="231">
        <v>1</v>
      </c>
      <c r="I1020" s="232">
        <v>0</v>
      </c>
      <c r="J1020" s="230">
        <v>46049</v>
      </c>
      <c r="K1020" s="227" t="s">
        <v>93</v>
      </c>
      <c r="L1020" s="227" t="s">
        <v>94</v>
      </c>
      <c r="M1020" s="233">
        <v>0</v>
      </c>
      <c r="N1020" s="231"/>
      <c r="O1020" s="231">
        <v>45</v>
      </c>
      <c r="P1020" s="234">
        <v>-56</v>
      </c>
    </row>
    <row r="1021" spans="1:16" ht="19.5" customHeight="1">
      <c r="A1021" s="227" t="s">
        <v>1328</v>
      </c>
      <c r="B1021" s="230">
        <v>46053</v>
      </c>
      <c r="C1021" s="227" t="s">
        <v>92</v>
      </c>
      <c r="D1021" s="227" t="s">
        <v>96</v>
      </c>
      <c r="E1021" s="227" t="s">
        <v>53</v>
      </c>
      <c r="F1021" s="227" t="s">
        <v>120</v>
      </c>
      <c r="G1021" s="227" t="s">
        <v>84</v>
      </c>
      <c r="H1021" s="231">
        <v>1</v>
      </c>
      <c r="I1021" s="232">
        <v>0</v>
      </c>
      <c r="J1021" s="230">
        <v>46049</v>
      </c>
      <c r="K1021" s="227" t="s">
        <v>93</v>
      </c>
      <c r="L1021" s="227" t="s">
        <v>94</v>
      </c>
      <c r="M1021" s="233">
        <v>0</v>
      </c>
      <c r="N1021" s="231"/>
      <c r="O1021" s="231"/>
      <c r="P1021" s="234">
        <v>0</v>
      </c>
    </row>
    <row r="1022" spans="1:16" ht="19.5" customHeight="1">
      <c r="A1022" s="227" t="s">
        <v>1328</v>
      </c>
      <c r="B1022" s="230">
        <v>46053</v>
      </c>
      <c r="C1022" s="227" t="s">
        <v>92</v>
      </c>
      <c r="D1022" s="227" t="s">
        <v>97</v>
      </c>
      <c r="E1022" s="227" t="s">
        <v>53</v>
      </c>
      <c r="F1022" s="227" t="s">
        <v>120</v>
      </c>
      <c r="G1022" s="227" t="s">
        <v>84</v>
      </c>
      <c r="H1022" s="231">
        <v>1</v>
      </c>
      <c r="I1022" s="232">
        <v>0</v>
      </c>
      <c r="J1022" s="230">
        <v>46049</v>
      </c>
      <c r="K1022" s="227" t="s">
        <v>93</v>
      </c>
      <c r="L1022" s="227" t="s">
        <v>94</v>
      </c>
      <c r="M1022" s="233">
        <v>0</v>
      </c>
      <c r="N1022" s="231"/>
      <c r="O1022" s="231"/>
      <c r="P1022" s="234">
        <v>-56</v>
      </c>
    </row>
    <row r="1023" spans="1:16" ht="19.5" customHeight="1">
      <c r="A1023" s="227" t="s">
        <v>1329</v>
      </c>
      <c r="B1023" s="230">
        <v>46053</v>
      </c>
      <c r="C1023" s="227" t="s">
        <v>92</v>
      </c>
      <c r="D1023" s="227" t="s">
        <v>24</v>
      </c>
      <c r="E1023" s="227" t="s">
        <v>41</v>
      </c>
      <c r="F1023" s="227" t="s">
        <v>83</v>
      </c>
      <c r="G1023" s="227" t="s">
        <v>84</v>
      </c>
      <c r="H1023" s="231">
        <v>1</v>
      </c>
      <c r="I1023" s="232">
        <v>1750</v>
      </c>
      <c r="J1023" s="230">
        <v>46050</v>
      </c>
      <c r="K1023" s="227" t="s">
        <v>93</v>
      </c>
      <c r="L1023" s="227" t="s">
        <v>94</v>
      </c>
      <c r="M1023" s="233">
        <v>0.43</v>
      </c>
      <c r="N1023" s="231"/>
      <c r="O1023" s="231">
        <v>44</v>
      </c>
      <c r="P1023" s="234">
        <v>-131.37</v>
      </c>
    </row>
    <row r="1024" spans="1:16" ht="19.5" customHeight="1">
      <c r="A1024" s="227" t="s">
        <v>1329</v>
      </c>
      <c r="B1024" s="230">
        <v>46053</v>
      </c>
      <c r="C1024" s="227" t="s">
        <v>100</v>
      </c>
      <c r="D1024" s="227" t="s">
        <v>101</v>
      </c>
      <c r="E1024" s="227" t="s">
        <v>41</v>
      </c>
      <c r="F1024" s="227" t="s">
        <v>83</v>
      </c>
      <c r="G1024" s="227" t="s">
        <v>84</v>
      </c>
      <c r="H1024" s="231">
        <v>1</v>
      </c>
      <c r="I1024" s="232">
        <v>1750</v>
      </c>
      <c r="J1024" s="230">
        <v>46050</v>
      </c>
      <c r="K1024" s="227" t="s">
        <v>93</v>
      </c>
      <c r="L1024" s="227" t="s">
        <v>94</v>
      </c>
      <c r="M1024" s="233">
        <v>0</v>
      </c>
      <c r="N1024" s="231"/>
      <c r="O1024" s="231"/>
      <c r="P1024" s="234">
        <v>608.94000000000005</v>
      </c>
    </row>
    <row r="1025" spans="1:16" ht="19.5" customHeight="1">
      <c r="A1025" s="227" t="s">
        <v>1329</v>
      </c>
      <c r="B1025" s="230">
        <v>46053</v>
      </c>
      <c r="C1025" s="227" t="s">
        <v>100</v>
      </c>
      <c r="D1025" s="227" t="s">
        <v>102</v>
      </c>
      <c r="E1025" s="227" t="s">
        <v>41</v>
      </c>
      <c r="F1025" s="227" t="s">
        <v>83</v>
      </c>
      <c r="G1025" s="227" t="s">
        <v>84</v>
      </c>
      <c r="H1025" s="231">
        <v>1</v>
      </c>
      <c r="I1025" s="232">
        <v>1750</v>
      </c>
      <c r="J1025" s="230">
        <v>46050</v>
      </c>
      <c r="K1025" s="227" t="s">
        <v>93</v>
      </c>
      <c r="L1025" s="227" t="s">
        <v>94</v>
      </c>
      <c r="M1025" s="233">
        <v>0</v>
      </c>
      <c r="N1025" s="231"/>
      <c r="O1025" s="231"/>
      <c r="P1025" s="234">
        <v>6.09</v>
      </c>
    </row>
    <row r="1026" spans="1:16" ht="19.5" customHeight="1">
      <c r="A1026" s="227" t="s">
        <v>1329</v>
      </c>
      <c r="B1026" s="230">
        <v>46053</v>
      </c>
      <c r="C1026" s="227" t="s">
        <v>100</v>
      </c>
      <c r="D1026" s="227" t="s">
        <v>103</v>
      </c>
      <c r="E1026" s="227" t="s">
        <v>41</v>
      </c>
      <c r="F1026" s="227" t="s">
        <v>83</v>
      </c>
      <c r="G1026" s="227" t="s">
        <v>84</v>
      </c>
      <c r="H1026" s="231">
        <v>1</v>
      </c>
      <c r="I1026" s="232">
        <v>1750</v>
      </c>
      <c r="J1026" s="230">
        <v>46050</v>
      </c>
      <c r="K1026" s="227" t="s">
        <v>93</v>
      </c>
      <c r="L1026" s="227" t="s">
        <v>94</v>
      </c>
      <c r="M1026" s="233">
        <v>0</v>
      </c>
      <c r="N1026" s="231"/>
      <c r="O1026" s="231"/>
      <c r="P1026" s="234">
        <v>1134.97</v>
      </c>
    </row>
    <row r="1027" spans="1:16" ht="19.5" customHeight="1">
      <c r="A1027" s="227" t="s">
        <v>1329</v>
      </c>
      <c r="B1027" s="230">
        <v>46053</v>
      </c>
      <c r="C1027" s="227" t="s">
        <v>104</v>
      </c>
      <c r="D1027" s="227" t="s">
        <v>105</v>
      </c>
      <c r="E1027" s="227" t="s">
        <v>41</v>
      </c>
      <c r="F1027" s="227" t="s">
        <v>83</v>
      </c>
      <c r="G1027" s="227" t="s">
        <v>84</v>
      </c>
      <c r="H1027" s="231">
        <v>1</v>
      </c>
      <c r="I1027" s="232">
        <v>1750</v>
      </c>
      <c r="J1027" s="230">
        <v>46050</v>
      </c>
      <c r="K1027" s="227" t="s">
        <v>93</v>
      </c>
      <c r="L1027" s="227" t="s">
        <v>94</v>
      </c>
      <c r="M1027" s="233">
        <v>0.43</v>
      </c>
      <c r="N1027" s="231"/>
      <c r="O1027" s="231"/>
      <c r="P1027" s="234">
        <v>-752.5</v>
      </c>
    </row>
    <row r="1028" spans="1:16" ht="19.5" customHeight="1">
      <c r="A1028" s="227" t="s">
        <v>1330</v>
      </c>
      <c r="B1028" s="230">
        <v>46053</v>
      </c>
      <c r="C1028" s="227" t="s">
        <v>81</v>
      </c>
      <c r="D1028" s="227" t="s">
        <v>82</v>
      </c>
      <c r="E1028" s="227" t="s">
        <v>52</v>
      </c>
      <c r="F1028" s="227" t="s">
        <v>90</v>
      </c>
      <c r="G1028" s="227" t="s">
        <v>84</v>
      </c>
      <c r="H1028" s="231">
        <v>1</v>
      </c>
      <c r="I1028" s="232">
        <v>0</v>
      </c>
      <c r="J1028" s="230">
        <v>46053</v>
      </c>
      <c r="K1028" s="227" t="s">
        <v>85</v>
      </c>
      <c r="L1028" s="227" t="s">
        <v>85</v>
      </c>
      <c r="M1028" s="233">
        <v>0</v>
      </c>
      <c r="N1028" s="231"/>
      <c r="O1028" s="231"/>
      <c r="P1028" s="234">
        <v>-11.92</v>
      </c>
    </row>
    <row r="1029" spans="1:16" ht="19.5" customHeight="1">
      <c r="A1029" s="227" t="s">
        <v>1331</v>
      </c>
      <c r="B1029" s="230">
        <v>46053</v>
      </c>
      <c r="C1029" s="227" t="s">
        <v>92</v>
      </c>
      <c r="D1029" s="227" t="s">
        <v>24</v>
      </c>
      <c r="E1029" s="227" t="s">
        <v>43</v>
      </c>
      <c r="F1029" s="227" t="s">
        <v>125</v>
      </c>
      <c r="G1029" s="227" t="s">
        <v>84</v>
      </c>
      <c r="H1029" s="231">
        <v>1</v>
      </c>
      <c r="I1029" s="232">
        <v>0</v>
      </c>
      <c r="J1029" s="230">
        <v>46017</v>
      </c>
      <c r="K1029" s="227" t="s">
        <v>93</v>
      </c>
      <c r="L1029" s="227" t="s">
        <v>94</v>
      </c>
      <c r="M1029" s="233">
        <v>0</v>
      </c>
      <c r="N1029" s="231"/>
      <c r="O1029" s="231">
        <v>43</v>
      </c>
      <c r="P1029" s="234">
        <v>-46.77</v>
      </c>
    </row>
    <row r="1030" spans="1:16" ht="19.5" customHeight="1">
      <c r="A1030" s="227" t="s">
        <v>1331</v>
      </c>
      <c r="B1030" s="230">
        <v>46053</v>
      </c>
      <c r="C1030" s="227" t="s">
        <v>81</v>
      </c>
      <c r="D1030" s="227" t="s">
        <v>95</v>
      </c>
      <c r="E1030" s="227" t="s">
        <v>43</v>
      </c>
      <c r="F1030" s="227" t="s">
        <v>125</v>
      </c>
      <c r="G1030" s="227" t="s">
        <v>84</v>
      </c>
      <c r="H1030" s="231">
        <v>1</v>
      </c>
      <c r="I1030" s="232">
        <v>0</v>
      </c>
      <c r="J1030" s="230">
        <v>46017</v>
      </c>
      <c r="K1030" s="227" t="s">
        <v>93</v>
      </c>
      <c r="L1030" s="227" t="s">
        <v>94</v>
      </c>
      <c r="M1030" s="233">
        <v>0</v>
      </c>
      <c r="N1030" s="231"/>
      <c r="O1030" s="231"/>
      <c r="P1030" s="234">
        <v>-6.05</v>
      </c>
    </row>
    <row r="1031" spans="1:16" ht="19.5" customHeight="1">
      <c r="A1031" s="227" t="s">
        <v>1332</v>
      </c>
      <c r="B1031" s="230">
        <v>46053</v>
      </c>
      <c r="C1031" s="227" t="s">
        <v>92</v>
      </c>
      <c r="D1031" s="227" t="s">
        <v>24</v>
      </c>
      <c r="E1031" s="227" t="s">
        <v>41</v>
      </c>
      <c r="F1031" s="227" t="s">
        <v>83</v>
      </c>
      <c r="G1031" s="227" t="s">
        <v>84</v>
      </c>
      <c r="H1031" s="231">
        <v>1</v>
      </c>
      <c r="I1031" s="232">
        <v>0</v>
      </c>
      <c r="J1031" s="230">
        <v>46048</v>
      </c>
      <c r="K1031" s="227" t="s">
        <v>93</v>
      </c>
      <c r="L1031" s="227" t="s">
        <v>94</v>
      </c>
      <c r="M1031" s="233">
        <v>0</v>
      </c>
      <c r="N1031" s="231"/>
      <c r="O1031" s="231">
        <v>44</v>
      </c>
      <c r="P1031" s="234">
        <v>-46.77</v>
      </c>
    </row>
    <row r="1032" spans="1:16" ht="19.5" customHeight="1">
      <c r="A1032" s="227" t="s">
        <v>1332</v>
      </c>
      <c r="B1032" s="230">
        <v>46053</v>
      </c>
      <c r="C1032" s="227" t="s">
        <v>81</v>
      </c>
      <c r="D1032" s="227" t="s">
        <v>95</v>
      </c>
      <c r="E1032" s="227" t="s">
        <v>41</v>
      </c>
      <c r="F1032" s="227" t="s">
        <v>83</v>
      </c>
      <c r="G1032" s="227" t="s">
        <v>84</v>
      </c>
      <c r="H1032" s="231">
        <v>1</v>
      </c>
      <c r="I1032" s="232">
        <v>0</v>
      </c>
      <c r="J1032" s="230">
        <v>46048</v>
      </c>
      <c r="K1032" s="227" t="s">
        <v>93</v>
      </c>
      <c r="L1032" s="227" t="s">
        <v>94</v>
      </c>
      <c r="M1032" s="233">
        <v>0</v>
      </c>
      <c r="N1032" s="231"/>
      <c r="O1032" s="231"/>
      <c r="P1032" s="234">
        <v>-8.9499999999999993</v>
      </c>
    </row>
    <row r="1033" spans="1:16" ht="19.5" customHeight="1">
      <c r="A1033" s="227" t="s">
        <v>1332</v>
      </c>
      <c r="B1033" s="230">
        <v>46053</v>
      </c>
      <c r="C1033" s="227" t="s">
        <v>92</v>
      </c>
      <c r="D1033" s="227" t="s">
        <v>96</v>
      </c>
      <c r="E1033" s="227" t="s">
        <v>41</v>
      </c>
      <c r="F1033" s="227" t="s">
        <v>83</v>
      </c>
      <c r="G1033" s="227" t="s">
        <v>84</v>
      </c>
      <c r="H1033" s="231">
        <v>1</v>
      </c>
      <c r="I1033" s="232">
        <v>0</v>
      </c>
      <c r="J1033" s="230">
        <v>46048</v>
      </c>
      <c r="K1033" s="227" t="s">
        <v>93</v>
      </c>
      <c r="L1033" s="227" t="s">
        <v>94</v>
      </c>
      <c r="M1033" s="233">
        <v>0</v>
      </c>
      <c r="N1033" s="231"/>
      <c r="O1033" s="231"/>
      <c r="P1033" s="234">
        <v>0</v>
      </c>
    </row>
    <row r="1034" spans="1:16" ht="19.5" customHeight="1">
      <c r="A1034" s="227" t="s">
        <v>1332</v>
      </c>
      <c r="B1034" s="230">
        <v>46053</v>
      </c>
      <c r="C1034" s="227" t="s">
        <v>92</v>
      </c>
      <c r="D1034" s="227" t="s">
        <v>97</v>
      </c>
      <c r="E1034" s="227" t="s">
        <v>41</v>
      </c>
      <c r="F1034" s="227" t="s">
        <v>83</v>
      </c>
      <c r="G1034" s="227" t="s">
        <v>84</v>
      </c>
      <c r="H1034" s="231">
        <v>1</v>
      </c>
      <c r="I1034" s="232">
        <v>0</v>
      </c>
      <c r="J1034" s="230">
        <v>46048</v>
      </c>
      <c r="K1034" s="227" t="s">
        <v>93</v>
      </c>
      <c r="L1034" s="227" t="s">
        <v>94</v>
      </c>
      <c r="M1034" s="233">
        <v>0</v>
      </c>
      <c r="N1034" s="231"/>
      <c r="O1034" s="231"/>
      <c r="P1034" s="234">
        <v>-46.77</v>
      </c>
    </row>
    <row r="1035" spans="1:16" ht="19.5" customHeight="1">
      <c r="A1035" s="227" t="s">
        <v>1332</v>
      </c>
      <c r="B1035" s="230">
        <v>46053</v>
      </c>
      <c r="C1035" s="227" t="s">
        <v>81</v>
      </c>
      <c r="D1035" s="227" t="s">
        <v>98</v>
      </c>
      <c r="E1035" s="227" t="s">
        <v>41</v>
      </c>
      <c r="F1035" s="227" t="s">
        <v>83</v>
      </c>
      <c r="G1035" s="227" t="s">
        <v>84</v>
      </c>
      <c r="H1035" s="231">
        <v>1</v>
      </c>
      <c r="I1035" s="232">
        <v>0</v>
      </c>
      <c r="J1035" s="230">
        <v>46048</v>
      </c>
      <c r="K1035" s="227" t="s">
        <v>93</v>
      </c>
      <c r="L1035" s="227" t="s">
        <v>94</v>
      </c>
      <c r="M1035" s="233">
        <v>0</v>
      </c>
      <c r="N1035" s="231"/>
      <c r="O1035" s="231"/>
      <c r="P1035" s="234">
        <v>-15</v>
      </c>
    </row>
    <row r="1036" spans="1:16" ht="19.5" customHeight="1">
      <c r="A1036" s="227" t="s">
        <v>1331</v>
      </c>
      <c r="B1036" s="230">
        <v>46053</v>
      </c>
      <c r="C1036" s="227" t="s">
        <v>92</v>
      </c>
      <c r="D1036" s="227" t="s">
        <v>96</v>
      </c>
      <c r="E1036" s="227" t="s">
        <v>43</v>
      </c>
      <c r="F1036" s="227" t="s">
        <v>125</v>
      </c>
      <c r="G1036" s="227" t="s">
        <v>84</v>
      </c>
      <c r="H1036" s="231">
        <v>1</v>
      </c>
      <c r="I1036" s="232">
        <v>0</v>
      </c>
      <c r="J1036" s="230">
        <v>46017</v>
      </c>
      <c r="K1036" s="227" t="s">
        <v>93</v>
      </c>
      <c r="L1036" s="227" t="s">
        <v>94</v>
      </c>
      <c r="M1036" s="233">
        <v>0</v>
      </c>
      <c r="N1036" s="231"/>
      <c r="O1036" s="231"/>
      <c r="P1036" s="234">
        <v>0</v>
      </c>
    </row>
    <row r="1037" spans="1:16" ht="19.5" customHeight="1">
      <c r="A1037" s="227" t="s">
        <v>1331</v>
      </c>
      <c r="B1037" s="230">
        <v>46053</v>
      </c>
      <c r="C1037" s="227" t="s">
        <v>92</v>
      </c>
      <c r="D1037" s="227" t="s">
        <v>97</v>
      </c>
      <c r="E1037" s="227" t="s">
        <v>43</v>
      </c>
      <c r="F1037" s="227" t="s">
        <v>125</v>
      </c>
      <c r="G1037" s="227" t="s">
        <v>84</v>
      </c>
      <c r="H1037" s="231">
        <v>1</v>
      </c>
      <c r="I1037" s="232">
        <v>0</v>
      </c>
      <c r="J1037" s="230">
        <v>46017</v>
      </c>
      <c r="K1037" s="227" t="s">
        <v>93</v>
      </c>
      <c r="L1037" s="227" t="s">
        <v>94</v>
      </c>
      <c r="M1037" s="233">
        <v>0</v>
      </c>
      <c r="N1037" s="231"/>
      <c r="O1037" s="231"/>
      <c r="P1037" s="234">
        <v>-46.77</v>
      </c>
    </row>
    <row r="1038" spans="1:16" ht="19.5" customHeight="1">
      <c r="A1038" s="227" t="s">
        <v>1333</v>
      </c>
      <c r="B1038" s="230">
        <v>46053</v>
      </c>
      <c r="C1038" s="227" t="s">
        <v>92</v>
      </c>
      <c r="D1038" s="227" t="s">
        <v>24</v>
      </c>
      <c r="E1038" s="227" t="s">
        <v>53</v>
      </c>
      <c r="F1038" s="227" t="s">
        <v>120</v>
      </c>
      <c r="G1038" s="227" t="s">
        <v>84</v>
      </c>
      <c r="H1038" s="231">
        <v>1</v>
      </c>
      <c r="I1038" s="232">
        <v>0</v>
      </c>
      <c r="J1038" s="230">
        <v>46045</v>
      </c>
      <c r="K1038" s="227" t="s">
        <v>93</v>
      </c>
      <c r="L1038" s="227" t="s">
        <v>94</v>
      </c>
      <c r="M1038" s="233">
        <v>0</v>
      </c>
      <c r="N1038" s="231"/>
      <c r="O1038" s="231">
        <v>40</v>
      </c>
      <c r="P1038" s="234">
        <v>-56</v>
      </c>
    </row>
    <row r="1039" spans="1:16" ht="19.5" customHeight="1">
      <c r="A1039" s="227" t="s">
        <v>1333</v>
      </c>
      <c r="B1039" s="230">
        <v>46053</v>
      </c>
      <c r="C1039" s="227" t="s">
        <v>81</v>
      </c>
      <c r="D1039" s="227" t="s">
        <v>95</v>
      </c>
      <c r="E1039" s="227" t="s">
        <v>53</v>
      </c>
      <c r="F1039" s="227" t="s">
        <v>120</v>
      </c>
      <c r="G1039" s="227" t="s">
        <v>84</v>
      </c>
      <c r="H1039" s="231">
        <v>1</v>
      </c>
      <c r="I1039" s="232">
        <v>0</v>
      </c>
      <c r="J1039" s="230">
        <v>46045</v>
      </c>
      <c r="K1039" s="227" t="s">
        <v>93</v>
      </c>
      <c r="L1039" s="227" t="s">
        <v>94</v>
      </c>
      <c r="M1039" s="233">
        <v>0</v>
      </c>
      <c r="N1039" s="231"/>
      <c r="O1039" s="231"/>
      <c r="P1039" s="234">
        <v>-9.6999999999999993</v>
      </c>
    </row>
    <row r="1040" spans="1:16" ht="19.5" customHeight="1">
      <c r="A1040" s="227" t="s">
        <v>1333</v>
      </c>
      <c r="B1040" s="230">
        <v>46053</v>
      </c>
      <c r="C1040" s="227" t="s">
        <v>92</v>
      </c>
      <c r="D1040" s="227" t="s">
        <v>96</v>
      </c>
      <c r="E1040" s="227" t="s">
        <v>53</v>
      </c>
      <c r="F1040" s="227" t="s">
        <v>120</v>
      </c>
      <c r="G1040" s="227" t="s">
        <v>84</v>
      </c>
      <c r="H1040" s="231">
        <v>1</v>
      </c>
      <c r="I1040" s="232">
        <v>0</v>
      </c>
      <c r="J1040" s="230">
        <v>46045</v>
      </c>
      <c r="K1040" s="227" t="s">
        <v>93</v>
      </c>
      <c r="L1040" s="227" t="s">
        <v>94</v>
      </c>
      <c r="M1040" s="233">
        <v>0</v>
      </c>
      <c r="N1040" s="231"/>
      <c r="O1040" s="231"/>
      <c r="P1040" s="234">
        <v>0</v>
      </c>
    </row>
    <row r="1041" spans="1:16" ht="19.5" customHeight="1">
      <c r="A1041" s="227" t="s">
        <v>1333</v>
      </c>
      <c r="B1041" s="230">
        <v>46053</v>
      </c>
      <c r="C1041" s="227" t="s">
        <v>92</v>
      </c>
      <c r="D1041" s="227" t="s">
        <v>97</v>
      </c>
      <c r="E1041" s="227" t="s">
        <v>53</v>
      </c>
      <c r="F1041" s="227" t="s">
        <v>120</v>
      </c>
      <c r="G1041" s="227" t="s">
        <v>84</v>
      </c>
      <c r="H1041" s="231">
        <v>1</v>
      </c>
      <c r="I1041" s="232">
        <v>0</v>
      </c>
      <c r="J1041" s="230">
        <v>46045</v>
      </c>
      <c r="K1041" s="227" t="s">
        <v>93</v>
      </c>
      <c r="L1041" s="227" t="s">
        <v>94</v>
      </c>
      <c r="M1041" s="233">
        <v>0</v>
      </c>
      <c r="N1041" s="231"/>
      <c r="O1041" s="231"/>
      <c r="P1041" s="234">
        <v>-56</v>
      </c>
    </row>
    <row r="1042" spans="1:16" ht="19.5" customHeight="1">
      <c r="A1042" s="227" t="s">
        <v>1333</v>
      </c>
      <c r="B1042" s="230">
        <v>46053</v>
      </c>
      <c r="C1042" s="227" t="s">
        <v>81</v>
      </c>
      <c r="D1042" s="227" t="s">
        <v>98</v>
      </c>
      <c r="E1042" s="227" t="s">
        <v>53</v>
      </c>
      <c r="F1042" s="227" t="s">
        <v>120</v>
      </c>
      <c r="G1042" s="227" t="s">
        <v>84</v>
      </c>
      <c r="H1042" s="231">
        <v>1</v>
      </c>
      <c r="I1042" s="232">
        <v>0</v>
      </c>
      <c r="J1042" s="230">
        <v>46045</v>
      </c>
      <c r="K1042" s="227" t="s">
        <v>93</v>
      </c>
      <c r="L1042" s="227" t="s">
        <v>94</v>
      </c>
      <c r="M1042" s="233">
        <v>0</v>
      </c>
      <c r="N1042" s="231"/>
      <c r="O1042" s="231"/>
      <c r="P1042" s="234">
        <v>-15</v>
      </c>
    </row>
    <row r="1043" spans="1:16" ht="19.5" customHeight="1">
      <c r="A1043" s="227" t="s">
        <v>1334</v>
      </c>
      <c r="B1043" s="230">
        <v>46053</v>
      </c>
      <c r="C1043" s="227" t="s">
        <v>92</v>
      </c>
      <c r="D1043" s="227" t="s">
        <v>24</v>
      </c>
      <c r="E1043" s="227" t="s">
        <v>41</v>
      </c>
      <c r="F1043" s="227" t="s">
        <v>83</v>
      </c>
      <c r="G1043" s="227" t="s">
        <v>84</v>
      </c>
      <c r="H1043" s="231">
        <v>1</v>
      </c>
      <c r="I1043" s="232">
        <v>1750</v>
      </c>
      <c r="J1043" s="230">
        <v>46052</v>
      </c>
      <c r="K1043" s="227" t="s">
        <v>93</v>
      </c>
      <c r="L1043" s="227" t="s">
        <v>94</v>
      </c>
      <c r="M1043" s="233">
        <v>0.43</v>
      </c>
      <c r="N1043" s="231"/>
      <c r="O1043" s="231">
        <v>44</v>
      </c>
      <c r="P1043" s="234">
        <v>-130.11000000000001</v>
      </c>
    </row>
    <row r="1044" spans="1:16" ht="19.5" customHeight="1">
      <c r="A1044" s="227" t="s">
        <v>1334</v>
      </c>
      <c r="B1044" s="230">
        <v>46053</v>
      </c>
      <c r="C1044" s="227" t="s">
        <v>100</v>
      </c>
      <c r="D1044" s="227" t="s">
        <v>101</v>
      </c>
      <c r="E1044" s="227" t="s">
        <v>41</v>
      </c>
      <c r="F1044" s="227" t="s">
        <v>83</v>
      </c>
      <c r="G1044" s="227" t="s">
        <v>84</v>
      </c>
      <c r="H1044" s="231">
        <v>1</v>
      </c>
      <c r="I1044" s="232">
        <v>1750</v>
      </c>
      <c r="J1044" s="230">
        <v>46052</v>
      </c>
      <c r="K1044" s="227" t="s">
        <v>93</v>
      </c>
      <c r="L1044" s="227" t="s">
        <v>94</v>
      </c>
      <c r="M1044" s="233">
        <v>0</v>
      </c>
      <c r="N1044" s="231"/>
      <c r="O1044" s="231"/>
      <c r="P1044" s="234">
        <v>609.52</v>
      </c>
    </row>
    <row r="1045" spans="1:16" ht="19.5" customHeight="1">
      <c r="A1045" s="227" t="s">
        <v>1334</v>
      </c>
      <c r="B1045" s="230">
        <v>46053</v>
      </c>
      <c r="C1045" s="227" t="s">
        <v>100</v>
      </c>
      <c r="D1045" s="227" t="s">
        <v>102</v>
      </c>
      <c r="E1045" s="227" t="s">
        <v>41</v>
      </c>
      <c r="F1045" s="227" t="s">
        <v>83</v>
      </c>
      <c r="G1045" s="227" t="s">
        <v>84</v>
      </c>
      <c r="H1045" s="231">
        <v>1</v>
      </c>
      <c r="I1045" s="232">
        <v>1750</v>
      </c>
      <c r="J1045" s="230">
        <v>46052</v>
      </c>
      <c r="K1045" s="227" t="s">
        <v>93</v>
      </c>
      <c r="L1045" s="227" t="s">
        <v>94</v>
      </c>
      <c r="M1045" s="233">
        <v>0</v>
      </c>
      <c r="N1045" s="231"/>
      <c r="O1045" s="231"/>
      <c r="P1045" s="234">
        <v>6.1</v>
      </c>
    </row>
    <row r="1046" spans="1:16" ht="19.5" customHeight="1">
      <c r="A1046" s="227" t="s">
        <v>1334</v>
      </c>
      <c r="B1046" s="230">
        <v>46053</v>
      </c>
      <c r="C1046" s="227" t="s">
        <v>100</v>
      </c>
      <c r="D1046" s="227" t="s">
        <v>103</v>
      </c>
      <c r="E1046" s="227" t="s">
        <v>41</v>
      </c>
      <c r="F1046" s="227" t="s">
        <v>83</v>
      </c>
      <c r="G1046" s="227" t="s">
        <v>84</v>
      </c>
      <c r="H1046" s="231">
        <v>1</v>
      </c>
      <c r="I1046" s="232">
        <v>1750</v>
      </c>
      <c r="J1046" s="230">
        <v>46052</v>
      </c>
      <c r="K1046" s="227" t="s">
        <v>93</v>
      </c>
      <c r="L1046" s="227" t="s">
        <v>94</v>
      </c>
      <c r="M1046" s="233">
        <v>0</v>
      </c>
      <c r="N1046" s="231"/>
      <c r="O1046" s="231"/>
      <c r="P1046" s="234">
        <v>1134.3800000000001</v>
      </c>
    </row>
    <row r="1047" spans="1:16" ht="19.5" customHeight="1">
      <c r="A1047" s="227" t="s">
        <v>1334</v>
      </c>
      <c r="B1047" s="230">
        <v>46053</v>
      </c>
      <c r="C1047" s="227" t="s">
        <v>104</v>
      </c>
      <c r="D1047" s="227" t="s">
        <v>105</v>
      </c>
      <c r="E1047" s="227" t="s">
        <v>41</v>
      </c>
      <c r="F1047" s="227" t="s">
        <v>83</v>
      </c>
      <c r="G1047" s="227" t="s">
        <v>84</v>
      </c>
      <c r="H1047" s="231">
        <v>1</v>
      </c>
      <c r="I1047" s="232">
        <v>1750</v>
      </c>
      <c r="J1047" s="230">
        <v>46052</v>
      </c>
      <c r="K1047" s="227" t="s">
        <v>93</v>
      </c>
      <c r="L1047" s="227" t="s">
        <v>94</v>
      </c>
      <c r="M1047" s="233">
        <v>0.43</v>
      </c>
      <c r="N1047" s="231"/>
      <c r="O1047" s="231"/>
      <c r="P1047" s="234">
        <v>-752.5</v>
      </c>
    </row>
    <row r="1048" spans="1:16" ht="19.5" customHeight="1">
      <c r="A1048" s="227" t="s">
        <v>1334</v>
      </c>
      <c r="B1048" s="230">
        <v>46053</v>
      </c>
      <c r="C1048" s="227" t="s">
        <v>81</v>
      </c>
      <c r="D1048" s="227" t="s">
        <v>95</v>
      </c>
      <c r="E1048" s="227" t="s">
        <v>41</v>
      </c>
      <c r="F1048" s="227" t="s">
        <v>83</v>
      </c>
      <c r="G1048" s="227" t="s">
        <v>84</v>
      </c>
      <c r="H1048" s="231">
        <v>1</v>
      </c>
      <c r="I1048" s="232">
        <v>1750</v>
      </c>
      <c r="J1048" s="230">
        <v>46052</v>
      </c>
      <c r="K1048" s="227" t="s">
        <v>93</v>
      </c>
      <c r="L1048" s="227" t="s">
        <v>94</v>
      </c>
      <c r="M1048" s="233">
        <v>0.43</v>
      </c>
      <c r="N1048" s="231"/>
      <c r="O1048" s="231"/>
      <c r="P1048" s="234">
        <v>-15.81</v>
      </c>
    </row>
    <row r="1049" spans="1:16" ht="19.5" customHeight="1">
      <c r="A1049" s="227" t="s">
        <v>1335</v>
      </c>
      <c r="B1049" s="230">
        <v>46053</v>
      </c>
      <c r="C1049" s="227" t="s">
        <v>92</v>
      </c>
      <c r="D1049" s="227" t="s">
        <v>24</v>
      </c>
      <c r="E1049" s="227" t="s">
        <v>53</v>
      </c>
      <c r="F1049" s="227" t="s">
        <v>120</v>
      </c>
      <c r="G1049" s="227" t="s">
        <v>84</v>
      </c>
      <c r="H1049" s="231">
        <v>1</v>
      </c>
      <c r="I1049" s="232">
        <v>1812</v>
      </c>
      <c r="J1049" s="230">
        <v>46049</v>
      </c>
      <c r="K1049" s="227" t="s">
        <v>93</v>
      </c>
      <c r="L1049" s="227" t="s">
        <v>94</v>
      </c>
      <c r="M1049" s="233">
        <v>0.43</v>
      </c>
      <c r="N1049" s="231"/>
      <c r="O1049" s="231">
        <v>45</v>
      </c>
      <c r="P1049" s="234">
        <v>-154.32</v>
      </c>
    </row>
    <row r="1050" spans="1:16" ht="19.5" customHeight="1">
      <c r="A1050" s="227" t="s">
        <v>1335</v>
      </c>
      <c r="B1050" s="230">
        <v>46053</v>
      </c>
      <c r="C1050" s="227" t="s">
        <v>100</v>
      </c>
      <c r="D1050" s="227" t="s">
        <v>101</v>
      </c>
      <c r="E1050" s="227" t="s">
        <v>53</v>
      </c>
      <c r="F1050" s="227" t="s">
        <v>120</v>
      </c>
      <c r="G1050" s="227" t="s">
        <v>84</v>
      </c>
      <c r="H1050" s="231">
        <v>1</v>
      </c>
      <c r="I1050" s="232">
        <v>1812</v>
      </c>
      <c r="J1050" s="230">
        <v>46049</v>
      </c>
      <c r="K1050" s="227" t="s">
        <v>93</v>
      </c>
      <c r="L1050" s="227" t="s">
        <v>94</v>
      </c>
      <c r="M1050" s="233">
        <v>0</v>
      </c>
      <c r="N1050" s="231"/>
      <c r="O1050" s="231"/>
      <c r="P1050" s="234">
        <v>687.2</v>
      </c>
    </row>
    <row r="1051" spans="1:16" ht="19.5" customHeight="1">
      <c r="A1051" s="227" t="s">
        <v>1335</v>
      </c>
      <c r="B1051" s="230">
        <v>46053</v>
      </c>
      <c r="C1051" s="227" t="s">
        <v>100</v>
      </c>
      <c r="D1051" s="227" t="s">
        <v>102</v>
      </c>
      <c r="E1051" s="227" t="s">
        <v>53</v>
      </c>
      <c r="F1051" s="227" t="s">
        <v>120</v>
      </c>
      <c r="G1051" s="227" t="s">
        <v>84</v>
      </c>
      <c r="H1051" s="231">
        <v>1</v>
      </c>
      <c r="I1051" s="232">
        <v>1812</v>
      </c>
      <c r="J1051" s="230">
        <v>46049</v>
      </c>
      <c r="K1051" s="227" t="s">
        <v>93</v>
      </c>
      <c r="L1051" s="227" t="s">
        <v>94</v>
      </c>
      <c r="M1051" s="233">
        <v>0</v>
      </c>
      <c r="N1051" s="231"/>
      <c r="O1051" s="231"/>
      <c r="P1051" s="234">
        <v>0</v>
      </c>
    </row>
    <row r="1052" spans="1:16" ht="19.5" customHeight="1">
      <c r="A1052" s="227" t="s">
        <v>1335</v>
      </c>
      <c r="B1052" s="230">
        <v>46053</v>
      </c>
      <c r="C1052" s="227" t="s">
        <v>100</v>
      </c>
      <c r="D1052" s="227" t="s">
        <v>103</v>
      </c>
      <c r="E1052" s="227" t="s">
        <v>53</v>
      </c>
      <c r="F1052" s="227" t="s">
        <v>120</v>
      </c>
      <c r="G1052" s="227" t="s">
        <v>84</v>
      </c>
      <c r="H1052" s="231">
        <v>1</v>
      </c>
      <c r="I1052" s="232">
        <v>1812</v>
      </c>
      <c r="J1052" s="230">
        <v>46049</v>
      </c>
      <c r="K1052" s="227" t="s">
        <v>93</v>
      </c>
      <c r="L1052" s="227" t="s">
        <v>94</v>
      </c>
      <c r="M1052" s="233">
        <v>0</v>
      </c>
      <c r="N1052" s="231"/>
      <c r="O1052" s="231"/>
      <c r="P1052" s="234">
        <v>1124.8</v>
      </c>
    </row>
    <row r="1053" spans="1:16" ht="19.5" customHeight="1">
      <c r="A1053" s="227" t="s">
        <v>1335</v>
      </c>
      <c r="B1053" s="230">
        <v>46053</v>
      </c>
      <c r="C1053" s="227" t="s">
        <v>104</v>
      </c>
      <c r="D1053" s="227" t="s">
        <v>105</v>
      </c>
      <c r="E1053" s="227" t="s">
        <v>53</v>
      </c>
      <c r="F1053" s="227" t="s">
        <v>120</v>
      </c>
      <c r="G1053" s="227" t="s">
        <v>84</v>
      </c>
      <c r="H1053" s="231">
        <v>1</v>
      </c>
      <c r="I1053" s="232">
        <v>1812</v>
      </c>
      <c r="J1053" s="230">
        <v>46049</v>
      </c>
      <c r="K1053" s="227" t="s">
        <v>93</v>
      </c>
      <c r="L1053" s="227" t="s">
        <v>94</v>
      </c>
      <c r="M1053" s="233">
        <v>0.43</v>
      </c>
      <c r="N1053" s="231"/>
      <c r="O1053" s="231"/>
      <c r="P1053" s="234">
        <v>-779.16</v>
      </c>
    </row>
    <row r="1054" spans="1:16" ht="19.5" customHeight="1">
      <c r="A1054" s="227" t="s">
        <v>1335</v>
      </c>
      <c r="B1054" s="230">
        <v>46053</v>
      </c>
      <c r="C1054" s="227" t="s">
        <v>81</v>
      </c>
      <c r="D1054" s="227" t="s">
        <v>95</v>
      </c>
      <c r="E1054" s="227" t="s">
        <v>53</v>
      </c>
      <c r="F1054" s="227" t="s">
        <v>120</v>
      </c>
      <c r="G1054" s="227" t="s">
        <v>84</v>
      </c>
      <c r="H1054" s="231">
        <v>1</v>
      </c>
      <c r="I1054" s="232">
        <v>1812</v>
      </c>
      <c r="J1054" s="230">
        <v>46049</v>
      </c>
      <c r="K1054" s="227" t="s">
        <v>93</v>
      </c>
      <c r="L1054" s="227" t="s">
        <v>94</v>
      </c>
      <c r="M1054" s="233">
        <v>0.43</v>
      </c>
      <c r="N1054" s="231"/>
      <c r="O1054" s="231"/>
      <c r="P1054" s="234">
        <v>-10.01</v>
      </c>
    </row>
    <row r="1055" spans="1:16" ht="19.5" customHeight="1">
      <c r="A1055" s="227" t="s">
        <v>1336</v>
      </c>
      <c r="B1055" s="230">
        <v>46053</v>
      </c>
      <c r="C1055" s="227" t="s">
        <v>92</v>
      </c>
      <c r="D1055" s="227" t="s">
        <v>24</v>
      </c>
      <c r="E1055" s="227" t="s">
        <v>53</v>
      </c>
      <c r="F1055" s="227" t="s">
        <v>120</v>
      </c>
      <c r="G1055" s="227" t="s">
        <v>84</v>
      </c>
      <c r="H1055" s="231">
        <v>1</v>
      </c>
      <c r="I1055" s="232">
        <v>1812</v>
      </c>
      <c r="J1055" s="230">
        <v>46045</v>
      </c>
      <c r="K1055" s="227" t="s">
        <v>93</v>
      </c>
      <c r="L1055" s="227" t="s">
        <v>94</v>
      </c>
      <c r="M1055" s="233">
        <v>0.43</v>
      </c>
      <c r="N1055" s="231"/>
      <c r="O1055" s="231">
        <v>40</v>
      </c>
      <c r="P1055" s="234">
        <v>-130.77000000000001</v>
      </c>
    </row>
    <row r="1056" spans="1:16" ht="19.5" customHeight="1">
      <c r="A1056" s="227" t="s">
        <v>1336</v>
      </c>
      <c r="B1056" s="230">
        <v>46053</v>
      </c>
      <c r="C1056" s="227" t="s">
        <v>100</v>
      </c>
      <c r="D1056" s="227" t="s">
        <v>101</v>
      </c>
      <c r="E1056" s="227" t="s">
        <v>53</v>
      </c>
      <c r="F1056" s="227" t="s">
        <v>120</v>
      </c>
      <c r="G1056" s="227" t="s">
        <v>84</v>
      </c>
      <c r="H1056" s="231">
        <v>1</v>
      </c>
      <c r="I1056" s="232">
        <v>1812</v>
      </c>
      <c r="J1056" s="230">
        <v>46045</v>
      </c>
      <c r="K1056" s="227" t="s">
        <v>93</v>
      </c>
      <c r="L1056" s="227" t="s">
        <v>94</v>
      </c>
      <c r="M1056" s="233">
        <v>0</v>
      </c>
      <c r="N1056" s="231"/>
      <c r="O1056" s="231"/>
      <c r="P1056" s="234">
        <v>683.41</v>
      </c>
    </row>
    <row r="1057" spans="1:16" ht="19.5" customHeight="1">
      <c r="A1057" s="227" t="s">
        <v>1336</v>
      </c>
      <c r="B1057" s="230">
        <v>46053</v>
      </c>
      <c r="C1057" s="227" t="s">
        <v>100</v>
      </c>
      <c r="D1057" s="227" t="s">
        <v>102</v>
      </c>
      <c r="E1057" s="227" t="s">
        <v>53</v>
      </c>
      <c r="F1057" s="227" t="s">
        <v>120</v>
      </c>
      <c r="G1057" s="227" t="s">
        <v>84</v>
      </c>
      <c r="H1057" s="231">
        <v>1</v>
      </c>
      <c r="I1057" s="232">
        <v>1812</v>
      </c>
      <c r="J1057" s="230">
        <v>46045</v>
      </c>
      <c r="K1057" s="227" t="s">
        <v>93</v>
      </c>
      <c r="L1057" s="227" t="s">
        <v>94</v>
      </c>
      <c r="M1057" s="233">
        <v>0</v>
      </c>
      <c r="N1057" s="231"/>
      <c r="O1057" s="231"/>
      <c r="P1057" s="234">
        <v>6.83</v>
      </c>
    </row>
    <row r="1058" spans="1:16" ht="19.5" customHeight="1">
      <c r="A1058" s="227" t="s">
        <v>1336</v>
      </c>
      <c r="B1058" s="230">
        <v>46053</v>
      </c>
      <c r="C1058" s="227" t="s">
        <v>100</v>
      </c>
      <c r="D1058" s="227" t="s">
        <v>103</v>
      </c>
      <c r="E1058" s="227" t="s">
        <v>53</v>
      </c>
      <c r="F1058" s="227" t="s">
        <v>120</v>
      </c>
      <c r="G1058" s="227" t="s">
        <v>84</v>
      </c>
      <c r="H1058" s="231">
        <v>1</v>
      </c>
      <c r="I1058" s="232">
        <v>1812</v>
      </c>
      <c r="J1058" s="230">
        <v>46045</v>
      </c>
      <c r="K1058" s="227" t="s">
        <v>93</v>
      </c>
      <c r="L1058" s="227" t="s">
        <v>94</v>
      </c>
      <c r="M1058" s="233">
        <v>0</v>
      </c>
      <c r="N1058" s="231"/>
      <c r="O1058" s="231"/>
      <c r="P1058" s="234">
        <v>1121.76</v>
      </c>
    </row>
    <row r="1059" spans="1:16" ht="19.5" customHeight="1">
      <c r="A1059" s="227" t="s">
        <v>1336</v>
      </c>
      <c r="B1059" s="230">
        <v>46053</v>
      </c>
      <c r="C1059" s="227" t="s">
        <v>104</v>
      </c>
      <c r="D1059" s="227" t="s">
        <v>105</v>
      </c>
      <c r="E1059" s="227" t="s">
        <v>53</v>
      </c>
      <c r="F1059" s="227" t="s">
        <v>120</v>
      </c>
      <c r="G1059" s="227" t="s">
        <v>84</v>
      </c>
      <c r="H1059" s="231">
        <v>1</v>
      </c>
      <c r="I1059" s="232">
        <v>1812</v>
      </c>
      <c r="J1059" s="230">
        <v>46045</v>
      </c>
      <c r="K1059" s="227" t="s">
        <v>93</v>
      </c>
      <c r="L1059" s="227" t="s">
        <v>94</v>
      </c>
      <c r="M1059" s="233">
        <v>0.43</v>
      </c>
      <c r="N1059" s="231"/>
      <c r="O1059" s="231"/>
      <c r="P1059" s="234">
        <v>-779.16</v>
      </c>
    </row>
    <row r="1060" spans="1:16" ht="19.5" customHeight="1">
      <c r="A1060" s="227" t="s">
        <v>1336</v>
      </c>
      <c r="B1060" s="230">
        <v>46053</v>
      </c>
      <c r="C1060" s="227" t="s">
        <v>81</v>
      </c>
      <c r="D1060" s="227" t="s">
        <v>95</v>
      </c>
      <c r="E1060" s="227" t="s">
        <v>53</v>
      </c>
      <c r="F1060" s="227" t="s">
        <v>120</v>
      </c>
      <c r="G1060" s="227" t="s">
        <v>84</v>
      </c>
      <c r="H1060" s="231">
        <v>1</v>
      </c>
      <c r="I1060" s="232">
        <v>1812</v>
      </c>
      <c r="J1060" s="230">
        <v>46045</v>
      </c>
      <c r="K1060" s="227" t="s">
        <v>93</v>
      </c>
      <c r="L1060" s="227" t="s">
        <v>94</v>
      </c>
      <c r="M1060" s="233">
        <v>0.43</v>
      </c>
      <c r="N1060" s="231"/>
      <c r="O1060" s="231"/>
      <c r="P1060" s="234">
        <v>-8.76</v>
      </c>
    </row>
    <row r="1061" spans="1:16" ht="19.5" customHeight="1">
      <c r="A1061" s="227" t="s">
        <v>1337</v>
      </c>
      <c r="B1061" s="230">
        <v>46053</v>
      </c>
      <c r="C1061" s="227" t="s">
        <v>92</v>
      </c>
      <c r="D1061" s="227" t="s">
        <v>24</v>
      </c>
      <c r="E1061" s="227" t="s">
        <v>52</v>
      </c>
      <c r="F1061" s="227" t="s">
        <v>90</v>
      </c>
      <c r="G1061" s="227" t="s">
        <v>84</v>
      </c>
      <c r="H1061" s="231">
        <v>1</v>
      </c>
      <c r="I1061" s="232">
        <v>1800</v>
      </c>
      <c r="J1061" s="230">
        <v>46048</v>
      </c>
      <c r="K1061" s="227" t="s">
        <v>93</v>
      </c>
      <c r="L1061" s="227" t="s">
        <v>94</v>
      </c>
      <c r="M1061" s="233">
        <v>0.43</v>
      </c>
      <c r="N1061" s="231"/>
      <c r="O1061" s="231">
        <v>44</v>
      </c>
      <c r="P1061" s="234">
        <v>-147.97999999999999</v>
      </c>
    </row>
    <row r="1062" spans="1:16" ht="19.5" customHeight="1">
      <c r="A1062" s="227" t="s">
        <v>1337</v>
      </c>
      <c r="B1062" s="230">
        <v>46053</v>
      </c>
      <c r="C1062" s="227" t="s">
        <v>100</v>
      </c>
      <c r="D1062" s="227" t="s">
        <v>101</v>
      </c>
      <c r="E1062" s="227" t="s">
        <v>52</v>
      </c>
      <c r="F1062" s="227" t="s">
        <v>90</v>
      </c>
      <c r="G1062" s="227" t="s">
        <v>84</v>
      </c>
      <c r="H1062" s="231">
        <v>1</v>
      </c>
      <c r="I1062" s="232">
        <v>1800</v>
      </c>
      <c r="J1062" s="230">
        <v>46048</v>
      </c>
      <c r="K1062" s="227" t="s">
        <v>93</v>
      </c>
      <c r="L1062" s="227" t="s">
        <v>94</v>
      </c>
      <c r="M1062" s="233">
        <v>0</v>
      </c>
      <c r="N1062" s="231"/>
      <c r="O1062" s="231"/>
      <c r="P1062" s="234">
        <v>640</v>
      </c>
    </row>
    <row r="1063" spans="1:16" ht="19.5" customHeight="1">
      <c r="A1063" s="227" t="s">
        <v>1337</v>
      </c>
      <c r="B1063" s="230">
        <v>46053</v>
      </c>
      <c r="C1063" s="227" t="s">
        <v>100</v>
      </c>
      <c r="D1063" s="227" t="s">
        <v>102</v>
      </c>
      <c r="E1063" s="227" t="s">
        <v>52</v>
      </c>
      <c r="F1063" s="227" t="s">
        <v>90</v>
      </c>
      <c r="G1063" s="227" t="s">
        <v>84</v>
      </c>
      <c r="H1063" s="231">
        <v>1</v>
      </c>
      <c r="I1063" s="232">
        <v>1800</v>
      </c>
      <c r="J1063" s="230">
        <v>46048</v>
      </c>
      <c r="K1063" s="227" t="s">
        <v>93</v>
      </c>
      <c r="L1063" s="227" t="s">
        <v>94</v>
      </c>
      <c r="M1063" s="233">
        <v>0</v>
      </c>
      <c r="N1063" s="231"/>
      <c r="O1063" s="231"/>
      <c r="P1063" s="234">
        <v>6.4</v>
      </c>
    </row>
    <row r="1064" spans="1:16" ht="19.5" customHeight="1">
      <c r="A1064" s="227" t="s">
        <v>1337</v>
      </c>
      <c r="B1064" s="230">
        <v>46053</v>
      </c>
      <c r="C1064" s="227" t="s">
        <v>100</v>
      </c>
      <c r="D1064" s="227" t="s">
        <v>103</v>
      </c>
      <c r="E1064" s="227" t="s">
        <v>52</v>
      </c>
      <c r="F1064" s="227" t="s">
        <v>90</v>
      </c>
      <c r="G1064" s="227" t="s">
        <v>84</v>
      </c>
      <c r="H1064" s="231">
        <v>1</v>
      </c>
      <c r="I1064" s="232">
        <v>1800</v>
      </c>
      <c r="J1064" s="230">
        <v>46048</v>
      </c>
      <c r="K1064" s="227" t="s">
        <v>93</v>
      </c>
      <c r="L1064" s="227" t="s">
        <v>94</v>
      </c>
      <c r="M1064" s="233">
        <v>0</v>
      </c>
      <c r="N1064" s="231"/>
      <c r="O1064" s="231"/>
      <c r="P1064" s="234">
        <v>1153.5999999999999</v>
      </c>
    </row>
    <row r="1065" spans="1:16" ht="19.5" customHeight="1">
      <c r="A1065" s="227" t="s">
        <v>1337</v>
      </c>
      <c r="B1065" s="230">
        <v>46053</v>
      </c>
      <c r="C1065" s="227" t="s">
        <v>104</v>
      </c>
      <c r="D1065" s="227" t="s">
        <v>105</v>
      </c>
      <c r="E1065" s="227" t="s">
        <v>52</v>
      </c>
      <c r="F1065" s="227" t="s">
        <v>90</v>
      </c>
      <c r="G1065" s="227" t="s">
        <v>84</v>
      </c>
      <c r="H1065" s="231">
        <v>1</v>
      </c>
      <c r="I1065" s="232">
        <v>1800</v>
      </c>
      <c r="J1065" s="230">
        <v>46048</v>
      </c>
      <c r="K1065" s="227" t="s">
        <v>93</v>
      </c>
      <c r="L1065" s="227" t="s">
        <v>94</v>
      </c>
      <c r="M1065" s="233">
        <v>0.43</v>
      </c>
      <c r="N1065" s="231"/>
      <c r="O1065" s="231"/>
      <c r="P1065" s="234">
        <v>-774</v>
      </c>
    </row>
    <row r="1066" spans="1:16" ht="19.5" customHeight="1">
      <c r="A1066" s="227" t="s">
        <v>1337</v>
      </c>
      <c r="B1066" s="230">
        <v>46053</v>
      </c>
      <c r="C1066" s="227" t="s">
        <v>81</v>
      </c>
      <c r="D1066" s="227" t="s">
        <v>95</v>
      </c>
      <c r="E1066" s="227" t="s">
        <v>52</v>
      </c>
      <c r="F1066" s="227" t="s">
        <v>90</v>
      </c>
      <c r="G1066" s="227" t="s">
        <v>84</v>
      </c>
      <c r="H1066" s="231">
        <v>1</v>
      </c>
      <c r="I1066" s="232">
        <v>1800</v>
      </c>
      <c r="J1066" s="230">
        <v>46048</v>
      </c>
      <c r="K1066" s="227" t="s">
        <v>93</v>
      </c>
      <c r="L1066" s="227" t="s">
        <v>94</v>
      </c>
      <c r="M1066" s="233">
        <v>0.43</v>
      </c>
      <c r="N1066" s="231"/>
      <c r="O1066" s="231"/>
      <c r="P1066" s="234">
        <v>-10.66</v>
      </c>
    </row>
    <row r="1067" spans="1:16" ht="19.5" customHeight="1">
      <c r="A1067" s="227" t="s">
        <v>1336</v>
      </c>
      <c r="B1067" s="230">
        <v>46053</v>
      </c>
      <c r="C1067" s="227" t="s">
        <v>81</v>
      </c>
      <c r="D1067" s="227" t="s">
        <v>82</v>
      </c>
      <c r="E1067" s="227" t="s">
        <v>53</v>
      </c>
      <c r="F1067" s="227" t="s">
        <v>120</v>
      </c>
      <c r="G1067" s="227" t="s">
        <v>84</v>
      </c>
      <c r="H1067" s="231">
        <v>1</v>
      </c>
      <c r="I1067" s="232">
        <v>0</v>
      </c>
      <c r="J1067" s="230">
        <v>46045</v>
      </c>
      <c r="K1067" s="227" t="s">
        <v>85</v>
      </c>
      <c r="L1067" s="227" t="s">
        <v>85</v>
      </c>
      <c r="M1067" s="233">
        <v>0</v>
      </c>
      <c r="N1067" s="231"/>
      <c r="O1067" s="231"/>
      <c r="P1067" s="234">
        <v>-12.98</v>
      </c>
    </row>
    <row r="1068" spans="1:16" ht="19.5" customHeight="1">
      <c r="A1068" s="227" t="s">
        <v>1338</v>
      </c>
      <c r="B1068" s="230">
        <v>46053</v>
      </c>
      <c r="C1068" s="227" t="s">
        <v>92</v>
      </c>
      <c r="D1068" s="227" t="s">
        <v>24</v>
      </c>
      <c r="E1068" s="227" t="s">
        <v>42</v>
      </c>
      <c r="F1068" s="227" t="s">
        <v>89</v>
      </c>
      <c r="G1068" s="227" t="s">
        <v>84</v>
      </c>
      <c r="H1068" s="231">
        <v>1</v>
      </c>
      <c r="I1068" s="232">
        <v>1750</v>
      </c>
      <c r="J1068" s="230">
        <v>46052</v>
      </c>
      <c r="K1068" s="227" t="s">
        <v>93</v>
      </c>
      <c r="L1068" s="227" t="s">
        <v>94</v>
      </c>
      <c r="M1068" s="233">
        <v>0.43</v>
      </c>
      <c r="N1068" s="231"/>
      <c r="O1068" s="231">
        <v>44</v>
      </c>
      <c r="P1068" s="234">
        <v>-131.37</v>
      </c>
    </row>
    <row r="1069" spans="1:16" ht="19.5" customHeight="1">
      <c r="A1069" s="227" t="s">
        <v>1338</v>
      </c>
      <c r="B1069" s="230">
        <v>46053</v>
      </c>
      <c r="C1069" s="227" t="s">
        <v>100</v>
      </c>
      <c r="D1069" s="227" t="s">
        <v>101</v>
      </c>
      <c r="E1069" s="227" t="s">
        <v>42</v>
      </c>
      <c r="F1069" s="227" t="s">
        <v>89</v>
      </c>
      <c r="G1069" s="227" t="s">
        <v>84</v>
      </c>
      <c r="H1069" s="231">
        <v>1</v>
      </c>
      <c r="I1069" s="232">
        <v>1750</v>
      </c>
      <c r="J1069" s="230">
        <v>46052</v>
      </c>
      <c r="K1069" s="227" t="s">
        <v>93</v>
      </c>
      <c r="L1069" s="227" t="s">
        <v>94</v>
      </c>
      <c r="M1069" s="233">
        <v>0</v>
      </c>
      <c r="N1069" s="231"/>
      <c r="O1069" s="231"/>
      <c r="P1069" s="234">
        <v>623.80999999999995</v>
      </c>
    </row>
    <row r="1070" spans="1:16" ht="19.5" customHeight="1">
      <c r="A1070" s="227" t="s">
        <v>1338</v>
      </c>
      <c r="B1070" s="230">
        <v>46053</v>
      </c>
      <c r="C1070" s="227" t="s">
        <v>100</v>
      </c>
      <c r="D1070" s="227" t="s">
        <v>102</v>
      </c>
      <c r="E1070" s="227" t="s">
        <v>42</v>
      </c>
      <c r="F1070" s="227" t="s">
        <v>89</v>
      </c>
      <c r="G1070" s="227" t="s">
        <v>84</v>
      </c>
      <c r="H1070" s="231">
        <v>1</v>
      </c>
      <c r="I1070" s="232">
        <v>1750</v>
      </c>
      <c r="J1070" s="230">
        <v>46052</v>
      </c>
      <c r="K1070" s="227" t="s">
        <v>93</v>
      </c>
      <c r="L1070" s="227" t="s">
        <v>94</v>
      </c>
      <c r="M1070" s="233">
        <v>0</v>
      </c>
      <c r="N1070" s="231"/>
      <c r="O1070" s="231"/>
      <c r="P1070" s="234">
        <v>6.24</v>
      </c>
    </row>
    <row r="1071" spans="1:16" ht="19.5" customHeight="1">
      <c r="A1071" s="227" t="s">
        <v>1338</v>
      </c>
      <c r="B1071" s="230">
        <v>46053</v>
      </c>
      <c r="C1071" s="227" t="s">
        <v>100</v>
      </c>
      <c r="D1071" s="227" t="s">
        <v>103</v>
      </c>
      <c r="E1071" s="227" t="s">
        <v>42</v>
      </c>
      <c r="F1071" s="227" t="s">
        <v>89</v>
      </c>
      <c r="G1071" s="227" t="s">
        <v>84</v>
      </c>
      <c r="H1071" s="231">
        <v>1</v>
      </c>
      <c r="I1071" s="232">
        <v>1750</v>
      </c>
      <c r="J1071" s="230">
        <v>46052</v>
      </c>
      <c r="K1071" s="227" t="s">
        <v>93</v>
      </c>
      <c r="L1071" s="227" t="s">
        <v>94</v>
      </c>
      <c r="M1071" s="233">
        <v>0</v>
      </c>
      <c r="N1071" s="231"/>
      <c r="O1071" s="231"/>
      <c r="P1071" s="234">
        <v>1119.95</v>
      </c>
    </row>
    <row r="1072" spans="1:16" ht="19.5" customHeight="1">
      <c r="A1072" s="227" t="s">
        <v>1338</v>
      </c>
      <c r="B1072" s="230">
        <v>46053</v>
      </c>
      <c r="C1072" s="227" t="s">
        <v>104</v>
      </c>
      <c r="D1072" s="227" t="s">
        <v>105</v>
      </c>
      <c r="E1072" s="227" t="s">
        <v>42</v>
      </c>
      <c r="F1072" s="227" t="s">
        <v>89</v>
      </c>
      <c r="G1072" s="227" t="s">
        <v>84</v>
      </c>
      <c r="H1072" s="231">
        <v>1</v>
      </c>
      <c r="I1072" s="232">
        <v>1750</v>
      </c>
      <c r="J1072" s="230">
        <v>46052</v>
      </c>
      <c r="K1072" s="227" t="s">
        <v>93</v>
      </c>
      <c r="L1072" s="227" t="s">
        <v>94</v>
      </c>
      <c r="M1072" s="233">
        <v>0.43</v>
      </c>
      <c r="N1072" s="231"/>
      <c r="O1072" s="231"/>
      <c r="P1072" s="234">
        <v>-752.5</v>
      </c>
    </row>
    <row r="1073" spans="1:16" ht="19.5" customHeight="1">
      <c r="A1073" s="227" t="s">
        <v>1338</v>
      </c>
      <c r="B1073" s="230">
        <v>46053</v>
      </c>
      <c r="C1073" s="227" t="s">
        <v>81</v>
      </c>
      <c r="D1073" s="227" t="s">
        <v>95</v>
      </c>
      <c r="E1073" s="227" t="s">
        <v>42</v>
      </c>
      <c r="F1073" s="227" t="s">
        <v>89</v>
      </c>
      <c r="G1073" s="227" t="s">
        <v>84</v>
      </c>
      <c r="H1073" s="231">
        <v>1</v>
      </c>
      <c r="I1073" s="232">
        <v>1750</v>
      </c>
      <c r="J1073" s="230">
        <v>46052</v>
      </c>
      <c r="K1073" s="227" t="s">
        <v>93</v>
      </c>
      <c r="L1073" s="227" t="s">
        <v>94</v>
      </c>
      <c r="M1073" s="233">
        <v>0.43</v>
      </c>
      <c r="N1073" s="231"/>
      <c r="O1073" s="231"/>
      <c r="P1073" s="234">
        <v>-13.25</v>
      </c>
    </row>
    <row r="1074" spans="1:16" ht="19.5" customHeight="1">
      <c r="A1074" s="227" t="s">
        <v>1338</v>
      </c>
      <c r="B1074" s="230">
        <v>46053</v>
      </c>
      <c r="C1074" s="227" t="s">
        <v>81</v>
      </c>
      <c r="D1074" s="227" t="s">
        <v>82</v>
      </c>
      <c r="E1074" s="227" t="s">
        <v>42</v>
      </c>
      <c r="F1074" s="227" t="s">
        <v>89</v>
      </c>
      <c r="G1074" s="227" t="s">
        <v>84</v>
      </c>
      <c r="H1074" s="231">
        <v>1</v>
      </c>
      <c r="I1074" s="232">
        <v>0</v>
      </c>
      <c r="J1074" s="230">
        <v>46052</v>
      </c>
      <c r="K1074" s="227" t="s">
        <v>85</v>
      </c>
      <c r="L1074" s="227" t="s">
        <v>85</v>
      </c>
      <c r="M1074" s="233">
        <v>0</v>
      </c>
      <c r="N1074" s="231"/>
      <c r="O1074" s="231"/>
      <c r="P1074" s="234">
        <v>-11.85</v>
      </c>
    </row>
    <row r="1075" spans="1:16" ht="19.5" customHeight="1">
      <c r="A1075" s="227" t="s">
        <v>1339</v>
      </c>
      <c r="B1075" s="230">
        <v>46053</v>
      </c>
      <c r="C1075" s="227" t="s">
        <v>92</v>
      </c>
      <c r="D1075" s="227" t="s">
        <v>24</v>
      </c>
      <c r="E1075" s="227" t="s">
        <v>55</v>
      </c>
      <c r="F1075" s="227" t="s">
        <v>1274</v>
      </c>
      <c r="G1075" s="227" t="s">
        <v>84</v>
      </c>
      <c r="H1075" s="231">
        <v>1</v>
      </c>
      <c r="I1075" s="232">
        <v>2000</v>
      </c>
      <c r="J1075" s="230">
        <v>46052</v>
      </c>
      <c r="K1075" s="227" t="s">
        <v>93</v>
      </c>
      <c r="L1075" s="227" t="s">
        <v>94</v>
      </c>
      <c r="M1075" s="233">
        <v>0.43</v>
      </c>
      <c r="N1075" s="231"/>
      <c r="O1075" s="231">
        <v>44</v>
      </c>
      <c r="P1075" s="234">
        <v>-155.81</v>
      </c>
    </row>
    <row r="1076" spans="1:16" ht="19.5" customHeight="1">
      <c r="A1076" s="227" t="s">
        <v>1339</v>
      </c>
      <c r="B1076" s="230">
        <v>46053</v>
      </c>
      <c r="C1076" s="227" t="s">
        <v>100</v>
      </c>
      <c r="D1076" s="227" t="s">
        <v>101</v>
      </c>
      <c r="E1076" s="227" t="s">
        <v>55</v>
      </c>
      <c r="F1076" s="227" t="s">
        <v>1274</v>
      </c>
      <c r="G1076" s="227" t="s">
        <v>84</v>
      </c>
      <c r="H1076" s="231">
        <v>1</v>
      </c>
      <c r="I1076" s="232">
        <v>2000</v>
      </c>
      <c r="J1076" s="230">
        <v>46052</v>
      </c>
      <c r="K1076" s="227" t="s">
        <v>93</v>
      </c>
      <c r="L1076" s="227" t="s">
        <v>94</v>
      </c>
      <c r="M1076" s="233">
        <v>0</v>
      </c>
      <c r="N1076" s="231"/>
      <c r="O1076" s="231"/>
      <c r="P1076" s="234">
        <v>1224.6400000000001</v>
      </c>
    </row>
    <row r="1077" spans="1:16" ht="19.5" customHeight="1">
      <c r="A1077" s="227" t="s">
        <v>1339</v>
      </c>
      <c r="B1077" s="230">
        <v>46053</v>
      </c>
      <c r="C1077" s="227" t="s">
        <v>100</v>
      </c>
      <c r="D1077" s="227" t="s">
        <v>102</v>
      </c>
      <c r="E1077" s="227" t="s">
        <v>55</v>
      </c>
      <c r="F1077" s="227" t="s">
        <v>1274</v>
      </c>
      <c r="G1077" s="227" t="s">
        <v>84</v>
      </c>
      <c r="H1077" s="231">
        <v>1</v>
      </c>
      <c r="I1077" s="232">
        <v>2000</v>
      </c>
      <c r="J1077" s="230">
        <v>46052</v>
      </c>
      <c r="K1077" s="227" t="s">
        <v>93</v>
      </c>
      <c r="L1077" s="227" t="s">
        <v>94</v>
      </c>
      <c r="M1077" s="233">
        <v>0</v>
      </c>
      <c r="N1077" s="231"/>
      <c r="O1077" s="231"/>
      <c r="P1077" s="234">
        <v>0</v>
      </c>
    </row>
    <row r="1078" spans="1:16" ht="19.5" customHeight="1">
      <c r="A1078" s="227" t="s">
        <v>1339</v>
      </c>
      <c r="B1078" s="230">
        <v>46053</v>
      </c>
      <c r="C1078" s="227" t="s">
        <v>100</v>
      </c>
      <c r="D1078" s="227" t="s">
        <v>103</v>
      </c>
      <c r="E1078" s="227" t="s">
        <v>55</v>
      </c>
      <c r="F1078" s="227" t="s">
        <v>1274</v>
      </c>
      <c r="G1078" s="227" t="s">
        <v>84</v>
      </c>
      <c r="H1078" s="231">
        <v>1</v>
      </c>
      <c r="I1078" s="232">
        <v>2000</v>
      </c>
      <c r="J1078" s="230">
        <v>46052</v>
      </c>
      <c r="K1078" s="227" t="s">
        <v>93</v>
      </c>
      <c r="L1078" s="227" t="s">
        <v>94</v>
      </c>
      <c r="M1078" s="233">
        <v>0</v>
      </c>
      <c r="N1078" s="231"/>
      <c r="O1078" s="231"/>
      <c r="P1078" s="234">
        <v>775.36</v>
      </c>
    </row>
    <row r="1079" spans="1:16" ht="19.5" customHeight="1">
      <c r="A1079" s="227" t="s">
        <v>1339</v>
      </c>
      <c r="B1079" s="230">
        <v>46053</v>
      </c>
      <c r="C1079" s="227" t="s">
        <v>104</v>
      </c>
      <c r="D1079" s="227" t="s">
        <v>105</v>
      </c>
      <c r="E1079" s="227" t="s">
        <v>55</v>
      </c>
      <c r="F1079" s="227" t="s">
        <v>1274</v>
      </c>
      <c r="G1079" s="227" t="s">
        <v>84</v>
      </c>
      <c r="H1079" s="231">
        <v>1</v>
      </c>
      <c r="I1079" s="232">
        <v>2000</v>
      </c>
      <c r="J1079" s="230">
        <v>46052</v>
      </c>
      <c r="K1079" s="227" t="s">
        <v>93</v>
      </c>
      <c r="L1079" s="227" t="s">
        <v>94</v>
      </c>
      <c r="M1079" s="233">
        <v>0.43</v>
      </c>
      <c r="N1079" s="231"/>
      <c r="O1079" s="231"/>
      <c r="P1079" s="234">
        <v>-860</v>
      </c>
    </row>
    <row r="1080" spans="1:16" ht="19.5" customHeight="1">
      <c r="A1080" s="227" t="s">
        <v>1339</v>
      </c>
      <c r="B1080" s="230">
        <v>46053</v>
      </c>
      <c r="C1080" s="227" t="s">
        <v>81</v>
      </c>
      <c r="D1080" s="227" t="s">
        <v>95</v>
      </c>
      <c r="E1080" s="227" t="s">
        <v>55</v>
      </c>
      <c r="F1080" s="227" t="s">
        <v>1274</v>
      </c>
      <c r="G1080" s="227" t="s">
        <v>84</v>
      </c>
      <c r="H1080" s="231">
        <v>1</v>
      </c>
      <c r="I1080" s="232">
        <v>2000</v>
      </c>
      <c r="J1080" s="230">
        <v>46052</v>
      </c>
      <c r="K1080" s="227" t="s">
        <v>93</v>
      </c>
      <c r="L1080" s="227" t="s">
        <v>94</v>
      </c>
      <c r="M1080" s="233">
        <v>0.43</v>
      </c>
      <c r="N1080" s="231"/>
      <c r="O1080" s="231"/>
      <c r="P1080" s="234">
        <v>-9.52</v>
      </c>
    </row>
    <row r="1081" spans="1:16" ht="19.5" customHeight="1">
      <c r="A1081" s="227" t="s">
        <v>1340</v>
      </c>
      <c r="B1081" s="230">
        <v>46053</v>
      </c>
      <c r="C1081" s="227" t="s">
        <v>81</v>
      </c>
      <c r="D1081" s="227" t="s">
        <v>82</v>
      </c>
      <c r="E1081" s="227" t="s">
        <v>53</v>
      </c>
      <c r="F1081" s="227" t="s">
        <v>120</v>
      </c>
      <c r="G1081" s="227" t="s">
        <v>84</v>
      </c>
      <c r="H1081" s="231">
        <v>1</v>
      </c>
      <c r="I1081" s="232">
        <v>0</v>
      </c>
      <c r="J1081" s="230">
        <v>46053</v>
      </c>
      <c r="K1081" s="227" t="s">
        <v>85</v>
      </c>
      <c r="L1081" s="227" t="s">
        <v>85</v>
      </c>
      <c r="M1081" s="233">
        <v>0</v>
      </c>
      <c r="N1081" s="231"/>
      <c r="O1081" s="231"/>
      <c r="P1081" s="234">
        <v>-11.97</v>
      </c>
    </row>
    <row r="1082" spans="1:16" ht="19.5" customHeight="1">
      <c r="A1082" s="227" t="s">
        <v>1341</v>
      </c>
      <c r="B1082" s="230">
        <v>46053</v>
      </c>
      <c r="C1082" s="227" t="s">
        <v>92</v>
      </c>
      <c r="D1082" s="227" t="s">
        <v>24</v>
      </c>
      <c r="E1082" s="227" t="s">
        <v>53</v>
      </c>
      <c r="F1082" s="227" t="s">
        <v>120</v>
      </c>
      <c r="G1082" s="227" t="s">
        <v>84</v>
      </c>
      <c r="H1082" s="231">
        <v>1</v>
      </c>
      <c r="I1082" s="232">
        <v>0</v>
      </c>
      <c r="J1082" s="230">
        <v>46016</v>
      </c>
      <c r="K1082" s="227" t="s">
        <v>93</v>
      </c>
      <c r="L1082" s="227" t="s">
        <v>94</v>
      </c>
      <c r="M1082" s="233">
        <v>0</v>
      </c>
      <c r="N1082" s="231"/>
      <c r="O1082" s="231">
        <v>43</v>
      </c>
      <c r="P1082" s="234">
        <v>-56</v>
      </c>
    </row>
    <row r="1083" spans="1:16" ht="19.5" customHeight="1">
      <c r="A1083" s="227" t="s">
        <v>1341</v>
      </c>
      <c r="B1083" s="230">
        <v>46053</v>
      </c>
      <c r="C1083" s="227" t="s">
        <v>92</v>
      </c>
      <c r="D1083" s="227" t="s">
        <v>96</v>
      </c>
      <c r="E1083" s="227" t="s">
        <v>53</v>
      </c>
      <c r="F1083" s="227" t="s">
        <v>120</v>
      </c>
      <c r="G1083" s="227" t="s">
        <v>84</v>
      </c>
      <c r="H1083" s="231">
        <v>1</v>
      </c>
      <c r="I1083" s="232">
        <v>0</v>
      </c>
      <c r="J1083" s="230">
        <v>46016</v>
      </c>
      <c r="K1083" s="227" t="s">
        <v>93</v>
      </c>
      <c r="L1083" s="227" t="s">
        <v>94</v>
      </c>
      <c r="M1083" s="233">
        <v>0</v>
      </c>
      <c r="N1083" s="231"/>
      <c r="O1083" s="231"/>
      <c r="P1083" s="234">
        <v>0</v>
      </c>
    </row>
    <row r="1084" spans="1:16" ht="19.5" customHeight="1">
      <c r="A1084" s="227" t="s">
        <v>1341</v>
      </c>
      <c r="B1084" s="230">
        <v>46053</v>
      </c>
      <c r="C1084" s="227" t="s">
        <v>92</v>
      </c>
      <c r="D1084" s="227" t="s">
        <v>97</v>
      </c>
      <c r="E1084" s="227" t="s">
        <v>53</v>
      </c>
      <c r="F1084" s="227" t="s">
        <v>120</v>
      </c>
      <c r="G1084" s="227" t="s">
        <v>84</v>
      </c>
      <c r="H1084" s="231">
        <v>1</v>
      </c>
      <c r="I1084" s="232">
        <v>0</v>
      </c>
      <c r="J1084" s="230">
        <v>46016</v>
      </c>
      <c r="K1084" s="227" t="s">
        <v>93</v>
      </c>
      <c r="L1084" s="227" t="s">
        <v>94</v>
      </c>
      <c r="M1084" s="233">
        <v>0</v>
      </c>
      <c r="N1084" s="231"/>
      <c r="O1084" s="231"/>
      <c r="P1084" s="234">
        <v>-56</v>
      </c>
    </row>
    <row r="1085" spans="1:16" ht="19.5" customHeight="1">
      <c r="A1085" s="227" t="s">
        <v>1342</v>
      </c>
      <c r="B1085" s="230">
        <v>46053</v>
      </c>
      <c r="C1085" s="227" t="s">
        <v>81</v>
      </c>
      <c r="D1085" s="227" t="s">
        <v>82</v>
      </c>
      <c r="E1085" s="227" t="s">
        <v>56</v>
      </c>
      <c r="F1085" s="227" t="s">
        <v>1215</v>
      </c>
      <c r="G1085" s="227" t="s">
        <v>84</v>
      </c>
      <c r="H1085" s="231">
        <v>1</v>
      </c>
      <c r="I1085" s="232">
        <v>0</v>
      </c>
      <c r="J1085" s="230">
        <v>46053</v>
      </c>
      <c r="K1085" s="227" t="s">
        <v>85</v>
      </c>
      <c r="L1085" s="227" t="s">
        <v>85</v>
      </c>
      <c r="M1085" s="233">
        <v>0</v>
      </c>
      <c r="N1085" s="231"/>
      <c r="O1085" s="231"/>
      <c r="P1085" s="234">
        <v>-14.24</v>
      </c>
    </row>
    <row r="1086" spans="1:16" ht="19.5" customHeight="1">
      <c r="A1086" s="227" t="s">
        <v>1343</v>
      </c>
      <c r="B1086" s="230">
        <v>46053</v>
      </c>
      <c r="C1086" s="227" t="s">
        <v>92</v>
      </c>
      <c r="D1086" s="227" t="s">
        <v>96</v>
      </c>
      <c r="E1086" s="227" t="s">
        <v>52</v>
      </c>
      <c r="F1086" s="227" t="s">
        <v>90</v>
      </c>
      <c r="G1086" s="227" t="s">
        <v>84</v>
      </c>
      <c r="H1086" s="231">
        <v>1</v>
      </c>
      <c r="I1086" s="232">
        <v>0</v>
      </c>
      <c r="J1086" s="230">
        <v>46047</v>
      </c>
      <c r="K1086" s="227" t="s">
        <v>93</v>
      </c>
      <c r="L1086" s="227" t="s">
        <v>94</v>
      </c>
      <c r="M1086" s="233">
        <v>0</v>
      </c>
      <c r="N1086" s="231"/>
      <c r="O1086" s="231"/>
      <c r="P1086" s="234">
        <v>0</v>
      </c>
    </row>
    <row r="1087" spans="1:16" ht="19.5" customHeight="1">
      <c r="A1087" s="227" t="s">
        <v>1343</v>
      </c>
      <c r="B1087" s="230">
        <v>46053</v>
      </c>
      <c r="C1087" s="227" t="s">
        <v>92</v>
      </c>
      <c r="D1087" s="227" t="s">
        <v>97</v>
      </c>
      <c r="E1087" s="227" t="s">
        <v>52</v>
      </c>
      <c r="F1087" s="227" t="s">
        <v>90</v>
      </c>
      <c r="G1087" s="227" t="s">
        <v>84</v>
      </c>
      <c r="H1087" s="231">
        <v>1</v>
      </c>
      <c r="I1087" s="232">
        <v>0</v>
      </c>
      <c r="J1087" s="230">
        <v>46047</v>
      </c>
      <c r="K1087" s="227" t="s">
        <v>93</v>
      </c>
      <c r="L1087" s="227" t="s">
        <v>94</v>
      </c>
      <c r="M1087" s="233">
        <v>0</v>
      </c>
      <c r="N1087" s="231"/>
      <c r="O1087" s="231"/>
      <c r="P1087" s="234">
        <v>-56</v>
      </c>
    </row>
    <row r="1088" spans="1:16" ht="19.5" customHeight="1">
      <c r="A1088" s="227" t="s">
        <v>1343</v>
      </c>
      <c r="B1088" s="230">
        <v>46053</v>
      </c>
      <c r="C1088" s="227" t="s">
        <v>81</v>
      </c>
      <c r="D1088" s="227" t="s">
        <v>98</v>
      </c>
      <c r="E1088" s="227" t="s">
        <v>52</v>
      </c>
      <c r="F1088" s="227" t="s">
        <v>90</v>
      </c>
      <c r="G1088" s="227" t="s">
        <v>84</v>
      </c>
      <c r="H1088" s="231">
        <v>1</v>
      </c>
      <c r="I1088" s="232">
        <v>0</v>
      </c>
      <c r="J1088" s="230">
        <v>46047</v>
      </c>
      <c r="K1088" s="227" t="s">
        <v>93</v>
      </c>
      <c r="L1088" s="227" t="s">
        <v>94</v>
      </c>
      <c r="M1088" s="233">
        <v>0</v>
      </c>
      <c r="N1088" s="231"/>
      <c r="O1088" s="231"/>
      <c r="P1088" s="234">
        <v>-15</v>
      </c>
    </row>
    <row r="1089" spans="1:16" ht="19.5" customHeight="1">
      <c r="A1089" s="227" t="s">
        <v>1343</v>
      </c>
      <c r="B1089" s="230">
        <v>46053</v>
      </c>
      <c r="C1089" s="227" t="s">
        <v>92</v>
      </c>
      <c r="D1089" s="227" t="s">
        <v>24</v>
      </c>
      <c r="E1089" s="227" t="s">
        <v>52</v>
      </c>
      <c r="F1089" s="227" t="s">
        <v>90</v>
      </c>
      <c r="G1089" s="227" t="s">
        <v>84</v>
      </c>
      <c r="H1089" s="231">
        <v>1</v>
      </c>
      <c r="I1089" s="232">
        <v>0</v>
      </c>
      <c r="J1089" s="230">
        <v>46047</v>
      </c>
      <c r="K1089" s="227" t="s">
        <v>93</v>
      </c>
      <c r="L1089" s="227" t="s">
        <v>94</v>
      </c>
      <c r="M1089" s="233">
        <v>0</v>
      </c>
      <c r="N1089" s="231"/>
      <c r="O1089" s="231">
        <v>41</v>
      </c>
      <c r="P1089" s="234">
        <v>-56</v>
      </c>
    </row>
    <row r="1090" spans="1:16" ht="19.5" customHeight="1">
      <c r="A1090" s="227" t="s">
        <v>1343</v>
      </c>
      <c r="B1090" s="230">
        <v>46053</v>
      </c>
      <c r="C1090" s="227" t="s">
        <v>81</v>
      </c>
      <c r="D1090" s="227" t="s">
        <v>95</v>
      </c>
      <c r="E1090" s="227" t="s">
        <v>52</v>
      </c>
      <c r="F1090" s="227" t="s">
        <v>90</v>
      </c>
      <c r="G1090" s="227" t="s">
        <v>84</v>
      </c>
      <c r="H1090" s="231">
        <v>1</v>
      </c>
      <c r="I1090" s="232">
        <v>0</v>
      </c>
      <c r="J1090" s="230">
        <v>46047</v>
      </c>
      <c r="K1090" s="227" t="s">
        <v>93</v>
      </c>
      <c r="L1090" s="227" t="s">
        <v>94</v>
      </c>
      <c r="M1090" s="233">
        <v>0</v>
      </c>
      <c r="N1090" s="231"/>
      <c r="O1090" s="231"/>
      <c r="P1090" s="234">
        <v>-13.67</v>
      </c>
    </row>
    <row r="1091" spans="1:16" ht="19.5" customHeight="1">
      <c r="A1091" s="227" t="s">
        <v>1344</v>
      </c>
      <c r="B1091" s="230">
        <v>46053</v>
      </c>
      <c r="C1091" s="227" t="s">
        <v>92</v>
      </c>
      <c r="D1091" s="227" t="s">
        <v>96</v>
      </c>
      <c r="E1091" s="227" t="s">
        <v>42</v>
      </c>
      <c r="F1091" s="227" t="s">
        <v>89</v>
      </c>
      <c r="G1091" s="227" t="s">
        <v>84</v>
      </c>
      <c r="H1091" s="231">
        <v>1</v>
      </c>
      <c r="I1091" s="232">
        <v>0</v>
      </c>
      <c r="J1091" s="230">
        <v>46037</v>
      </c>
      <c r="K1091" s="227" t="s">
        <v>93</v>
      </c>
      <c r="L1091" s="227" t="s">
        <v>94</v>
      </c>
      <c r="M1091" s="233">
        <v>0</v>
      </c>
      <c r="N1091" s="231"/>
      <c r="O1091" s="231"/>
      <c r="P1091" s="234">
        <v>0</v>
      </c>
    </row>
    <row r="1092" spans="1:16" ht="19.5" customHeight="1">
      <c r="A1092" s="227" t="s">
        <v>1344</v>
      </c>
      <c r="B1092" s="230">
        <v>46053</v>
      </c>
      <c r="C1092" s="227" t="s">
        <v>92</v>
      </c>
      <c r="D1092" s="227" t="s">
        <v>97</v>
      </c>
      <c r="E1092" s="227" t="s">
        <v>42</v>
      </c>
      <c r="F1092" s="227" t="s">
        <v>89</v>
      </c>
      <c r="G1092" s="227" t="s">
        <v>84</v>
      </c>
      <c r="H1092" s="231">
        <v>1</v>
      </c>
      <c r="I1092" s="232">
        <v>0</v>
      </c>
      <c r="J1092" s="230">
        <v>46037</v>
      </c>
      <c r="K1092" s="227" t="s">
        <v>93</v>
      </c>
      <c r="L1092" s="227" t="s">
        <v>94</v>
      </c>
      <c r="M1092" s="233">
        <v>0</v>
      </c>
      <c r="N1092" s="231"/>
      <c r="O1092" s="231"/>
      <c r="P1092" s="234">
        <v>-46.77</v>
      </c>
    </row>
    <row r="1093" spans="1:16" ht="19.5" customHeight="1">
      <c r="A1093" s="227" t="s">
        <v>1344</v>
      </c>
      <c r="B1093" s="230">
        <v>46053</v>
      </c>
      <c r="C1093" s="227" t="s">
        <v>81</v>
      </c>
      <c r="D1093" s="227" t="s">
        <v>98</v>
      </c>
      <c r="E1093" s="227" t="s">
        <v>42</v>
      </c>
      <c r="F1093" s="227" t="s">
        <v>89</v>
      </c>
      <c r="G1093" s="227" t="s">
        <v>84</v>
      </c>
      <c r="H1093" s="231">
        <v>1</v>
      </c>
      <c r="I1093" s="232">
        <v>0</v>
      </c>
      <c r="J1093" s="230">
        <v>46037</v>
      </c>
      <c r="K1093" s="227" t="s">
        <v>93</v>
      </c>
      <c r="L1093" s="227" t="s">
        <v>94</v>
      </c>
      <c r="M1093" s="233">
        <v>0</v>
      </c>
      <c r="N1093" s="231"/>
      <c r="O1093" s="231"/>
      <c r="P1093" s="234">
        <v>-15</v>
      </c>
    </row>
    <row r="1094" spans="1:16" ht="19.5" customHeight="1">
      <c r="A1094" s="227" t="s">
        <v>1344</v>
      </c>
      <c r="B1094" s="230">
        <v>46053</v>
      </c>
      <c r="C1094" s="227" t="s">
        <v>92</v>
      </c>
      <c r="D1094" s="227" t="s">
        <v>24</v>
      </c>
      <c r="E1094" s="227" t="s">
        <v>42</v>
      </c>
      <c r="F1094" s="227" t="s">
        <v>89</v>
      </c>
      <c r="G1094" s="227" t="s">
        <v>84</v>
      </c>
      <c r="H1094" s="231">
        <v>1</v>
      </c>
      <c r="I1094" s="232">
        <v>0</v>
      </c>
      <c r="J1094" s="230">
        <v>46037</v>
      </c>
      <c r="K1094" s="227" t="s">
        <v>93</v>
      </c>
      <c r="L1094" s="227" t="s">
        <v>94</v>
      </c>
      <c r="M1094" s="233">
        <v>0</v>
      </c>
      <c r="N1094" s="231"/>
      <c r="O1094" s="231">
        <v>45</v>
      </c>
      <c r="P1094" s="234">
        <v>-46.77</v>
      </c>
    </row>
    <row r="1095" spans="1:16" ht="19.5" customHeight="1">
      <c r="A1095" s="227" t="s">
        <v>1344</v>
      </c>
      <c r="B1095" s="230">
        <v>46053</v>
      </c>
      <c r="C1095" s="227" t="s">
        <v>81</v>
      </c>
      <c r="D1095" s="227" t="s">
        <v>95</v>
      </c>
      <c r="E1095" s="227" t="s">
        <v>42</v>
      </c>
      <c r="F1095" s="227" t="s">
        <v>89</v>
      </c>
      <c r="G1095" s="227" t="s">
        <v>84</v>
      </c>
      <c r="H1095" s="231">
        <v>1</v>
      </c>
      <c r="I1095" s="232">
        <v>0</v>
      </c>
      <c r="J1095" s="230">
        <v>46037</v>
      </c>
      <c r="K1095" s="227" t="s">
        <v>93</v>
      </c>
      <c r="L1095" s="227" t="s">
        <v>94</v>
      </c>
      <c r="M1095" s="233">
        <v>0</v>
      </c>
      <c r="N1095" s="231"/>
      <c r="O1095" s="231"/>
      <c r="P1095" s="234">
        <v>-14</v>
      </c>
    </row>
    <row r="1096" spans="1:16" ht="19.5" customHeight="1">
      <c r="A1096" s="227" t="s">
        <v>1345</v>
      </c>
      <c r="B1096" s="230">
        <v>46053</v>
      </c>
      <c r="C1096" s="227" t="s">
        <v>81</v>
      </c>
      <c r="D1096" s="227" t="s">
        <v>82</v>
      </c>
      <c r="E1096" s="227" t="s">
        <v>42</v>
      </c>
      <c r="F1096" s="227" t="s">
        <v>89</v>
      </c>
      <c r="G1096" s="227" t="s">
        <v>84</v>
      </c>
      <c r="H1096" s="231">
        <v>1</v>
      </c>
      <c r="I1096" s="232">
        <v>0</v>
      </c>
      <c r="J1096" s="230">
        <v>46053</v>
      </c>
      <c r="K1096" s="227" t="s">
        <v>85</v>
      </c>
      <c r="L1096" s="227" t="s">
        <v>85</v>
      </c>
      <c r="M1096" s="233">
        <v>0</v>
      </c>
      <c r="N1096" s="231"/>
      <c r="O1096" s="231"/>
      <c r="P1096" s="234">
        <v>-11.58</v>
      </c>
    </row>
    <row r="1097" spans="1:16" ht="19.5" customHeight="1">
      <c r="A1097" s="227" t="s">
        <v>1346</v>
      </c>
      <c r="B1097" s="230">
        <v>46053</v>
      </c>
      <c r="C1097" s="227" t="s">
        <v>81</v>
      </c>
      <c r="D1097" s="227" t="s">
        <v>82</v>
      </c>
      <c r="E1097" s="227" t="s">
        <v>43</v>
      </c>
      <c r="F1097" s="227" t="s">
        <v>125</v>
      </c>
      <c r="G1097" s="227" t="s">
        <v>84</v>
      </c>
      <c r="H1097" s="231">
        <v>1</v>
      </c>
      <c r="I1097" s="232">
        <v>0</v>
      </c>
      <c r="J1097" s="230">
        <v>46053</v>
      </c>
      <c r="K1097" s="227" t="s">
        <v>85</v>
      </c>
      <c r="L1097" s="227" t="s">
        <v>85</v>
      </c>
      <c r="M1097" s="233">
        <v>0</v>
      </c>
      <c r="N1097" s="231"/>
      <c r="O1097" s="231"/>
      <c r="P1097" s="234">
        <v>-11.58</v>
      </c>
    </row>
    <row r="1098" spans="1:16" ht="19.5" customHeight="1">
      <c r="A1098" s="227" t="s">
        <v>1207</v>
      </c>
      <c r="B1098" s="230">
        <v>46053</v>
      </c>
      <c r="C1098" s="227" t="s">
        <v>109</v>
      </c>
      <c r="D1098" s="227" t="s">
        <v>139</v>
      </c>
      <c r="E1098" s="227" t="s">
        <v>85</v>
      </c>
      <c r="F1098" s="227" t="s">
        <v>85</v>
      </c>
      <c r="G1098" s="227" t="s">
        <v>85</v>
      </c>
      <c r="H1098" s="231">
        <v>0</v>
      </c>
      <c r="I1098" s="232">
        <v>0</v>
      </c>
      <c r="J1098" s="230">
        <v>46053</v>
      </c>
      <c r="K1098" s="227" t="s">
        <v>85</v>
      </c>
      <c r="L1098" s="227" t="s">
        <v>85</v>
      </c>
      <c r="M1098" s="233">
        <v>0</v>
      </c>
      <c r="N1098" s="231"/>
      <c r="O1098" s="231"/>
      <c r="P1098" s="234">
        <v>-284.45999999999998</v>
      </c>
    </row>
    <row r="1099" spans="1:16" ht="19.5" customHeight="1">
      <c r="A1099" s="227" t="s">
        <v>1208</v>
      </c>
      <c r="B1099" s="230">
        <v>46053</v>
      </c>
      <c r="C1099" s="227" t="s">
        <v>109</v>
      </c>
      <c r="D1099" s="227" t="s">
        <v>139</v>
      </c>
      <c r="E1099" s="227" t="s">
        <v>85</v>
      </c>
      <c r="F1099" s="227" t="s">
        <v>85</v>
      </c>
      <c r="G1099" s="227" t="s">
        <v>85</v>
      </c>
      <c r="H1099" s="231">
        <v>0</v>
      </c>
      <c r="I1099" s="232">
        <v>0</v>
      </c>
      <c r="J1099" s="230">
        <v>46053</v>
      </c>
      <c r="K1099" s="227" t="s">
        <v>85</v>
      </c>
      <c r="L1099" s="227" t="s">
        <v>85</v>
      </c>
      <c r="M1099" s="233">
        <v>0</v>
      </c>
      <c r="N1099" s="231"/>
      <c r="O1099" s="231"/>
      <c r="P1099" s="234">
        <v>-292.86</v>
      </c>
    </row>
    <row r="1100" spans="1:16" ht="19.5" customHeight="1">
      <c r="A1100" s="227" t="s">
        <v>141</v>
      </c>
      <c r="B1100" s="230">
        <v>46053</v>
      </c>
      <c r="C1100" s="227" t="s">
        <v>109</v>
      </c>
      <c r="D1100" s="227" t="s">
        <v>139</v>
      </c>
      <c r="E1100" s="227" t="s">
        <v>85</v>
      </c>
      <c r="F1100" s="227" t="s">
        <v>85</v>
      </c>
      <c r="G1100" s="227" t="s">
        <v>85</v>
      </c>
      <c r="H1100" s="231">
        <v>0</v>
      </c>
      <c r="I1100" s="232">
        <v>0</v>
      </c>
      <c r="J1100" s="230">
        <v>46053</v>
      </c>
      <c r="K1100" s="227" t="s">
        <v>85</v>
      </c>
      <c r="L1100" s="227" t="s">
        <v>85</v>
      </c>
      <c r="M1100" s="233">
        <v>0</v>
      </c>
      <c r="N1100" s="231"/>
      <c r="O1100" s="231"/>
      <c r="P1100" s="234">
        <v>-452.57</v>
      </c>
    </row>
    <row r="1101" spans="1:16" ht="19.5" customHeight="1">
      <c r="A1101" s="227" t="s">
        <v>145</v>
      </c>
      <c r="B1101" s="230">
        <v>46053</v>
      </c>
      <c r="C1101" s="227" t="s">
        <v>109</v>
      </c>
      <c r="D1101" s="227" t="s">
        <v>139</v>
      </c>
      <c r="E1101" s="227" t="s">
        <v>85</v>
      </c>
      <c r="F1101" s="227" t="s">
        <v>85</v>
      </c>
      <c r="G1101" s="227" t="s">
        <v>85</v>
      </c>
      <c r="H1101" s="231">
        <v>0</v>
      </c>
      <c r="I1101" s="232">
        <v>0</v>
      </c>
      <c r="J1101" s="230">
        <v>46053</v>
      </c>
      <c r="K1101" s="227" t="s">
        <v>85</v>
      </c>
      <c r="L1101" s="227" t="s">
        <v>85</v>
      </c>
      <c r="M1101" s="233">
        <v>0</v>
      </c>
      <c r="N1101" s="231"/>
      <c r="O1101" s="231"/>
      <c r="P1101" s="234">
        <v>-1000.02</v>
      </c>
    </row>
    <row r="1102" spans="1:16" ht="19.5" customHeight="1">
      <c r="A1102" s="227" t="s">
        <v>138</v>
      </c>
      <c r="B1102" s="230">
        <v>46053</v>
      </c>
      <c r="C1102" s="227" t="s">
        <v>109</v>
      </c>
      <c r="D1102" s="227" t="s">
        <v>139</v>
      </c>
      <c r="E1102" s="227" t="s">
        <v>85</v>
      </c>
      <c r="F1102" s="227" t="s">
        <v>85</v>
      </c>
      <c r="G1102" s="227" t="s">
        <v>85</v>
      </c>
      <c r="H1102" s="231">
        <v>0</v>
      </c>
      <c r="I1102" s="232">
        <v>0</v>
      </c>
      <c r="J1102" s="230">
        <v>46053</v>
      </c>
      <c r="K1102" s="227" t="s">
        <v>85</v>
      </c>
      <c r="L1102" s="227" t="s">
        <v>85</v>
      </c>
      <c r="M1102" s="233">
        <v>0</v>
      </c>
      <c r="N1102" s="231"/>
      <c r="O1102" s="231"/>
      <c r="P1102" s="234">
        <v>-1155.5</v>
      </c>
    </row>
    <row r="1103" spans="1:16" ht="19.5" customHeight="1">
      <c r="A1103" s="227" t="s">
        <v>144</v>
      </c>
      <c r="B1103" s="230">
        <v>46053</v>
      </c>
      <c r="C1103" s="227" t="s">
        <v>109</v>
      </c>
      <c r="D1103" s="227" t="s">
        <v>139</v>
      </c>
      <c r="E1103" s="227" t="s">
        <v>85</v>
      </c>
      <c r="F1103" s="227" t="s">
        <v>85</v>
      </c>
      <c r="G1103" s="227" t="s">
        <v>85</v>
      </c>
      <c r="H1103" s="231">
        <v>0</v>
      </c>
      <c r="I1103" s="232">
        <v>0</v>
      </c>
      <c r="J1103" s="230">
        <v>46053</v>
      </c>
      <c r="K1103" s="227" t="s">
        <v>85</v>
      </c>
      <c r="L1103" s="227" t="s">
        <v>85</v>
      </c>
      <c r="M1103" s="233">
        <v>0</v>
      </c>
      <c r="N1103" s="231"/>
      <c r="O1103" s="231"/>
      <c r="P1103" s="234">
        <v>-1176.9000000000001</v>
      </c>
    </row>
    <row r="1104" spans="1:16" ht="19.5" customHeight="1">
      <c r="A1104" s="227" t="s">
        <v>142</v>
      </c>
      <c r="B1104" s="230">
        <v>46053</v>
      </c>
      <c r="C1104" s="227" t="s">
        <v>109</v>
      </c>
      <c r="D1104" s="227" t="s">
        <v>143</v>
      </c>
      <c r="E1104" s="227" t="s">
        <v>85</v>
      </c>
      <c r="F1104" s="227" t="s">
        <v>85</v>
      </c>
      <c r="G1104" s="227" t="s">
        <v>85</v>
      </c>
      <c r="H1104" s="231">
        <v>0</v>
      </c>
      <c r="I1104" s="232">
        <v>0</v>
      </c>
      <c r="J1104" s="230">
        <v>46053</v>
      </c>
      <c r="K1104" s="227" t="s">
        <v>85</v>
      </c>
      <c r="L1104" s="227" t="s">
        <v>85</v>
      </c>
      <c r="M1104" s="233">
        <v>0</v>
      </c>
      <c r="N1104" s="231"/>
      <c r="O1104" s="231"/>
      <c r="P1104" s="234">
        <v>-2764.9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370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371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371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371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371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371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372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372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373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373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372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372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372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373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373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373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374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374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375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375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375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375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375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376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376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376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376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376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377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377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377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377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377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378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378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378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378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379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380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381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382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382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382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382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382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382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383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384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385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385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385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385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385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385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386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387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387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387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387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387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387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388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387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389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390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390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390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390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390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391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391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391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391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391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391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392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392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392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392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392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392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393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393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393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393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393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393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394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394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394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394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394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393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395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395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395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395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395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396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396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396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396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396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396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397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397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397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397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397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397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396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398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399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399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399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399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399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399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400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399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401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401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401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401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401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401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401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401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401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401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402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403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403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403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403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403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404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404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404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404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404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404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405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406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406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406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406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406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406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407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407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407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407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407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407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406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407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408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408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408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408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408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409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410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411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412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413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413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413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413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413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414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415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415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415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416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417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418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419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419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419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419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419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419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419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420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420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421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421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420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420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420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421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421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421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422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422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422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422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422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422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423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424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424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425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425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425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425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425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425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426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426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426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426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426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426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424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424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424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427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427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427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427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427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427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426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425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428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428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428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428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428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428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429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429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429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429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429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429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430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430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430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430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430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430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431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432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433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433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433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433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433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433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434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434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435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435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435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433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434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434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434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436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436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436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436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436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436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437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437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437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437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437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437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438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438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438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438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438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438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439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440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440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440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440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440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440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441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440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442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443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444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411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412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410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445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446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446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446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446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446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446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447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447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447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447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447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448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449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448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450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450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450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401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401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401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451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452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453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453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453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453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453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453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454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454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454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454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454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454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455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455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455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455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455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455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454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455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456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456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456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457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457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457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457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457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458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458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458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458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458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459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460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460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460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460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460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461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461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461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461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461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461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462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463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464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464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465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465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465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465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465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464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464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464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466</v>
      </c>
      <c r="B389" s="176">
        <v>46036</v>
      </c>
      <c r="C389" s="172" t="s">
        <v>354</v>
      </c>
      <c r="D389" s="172" t="s">
        <v>467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468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468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468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468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468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468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469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469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469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469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469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469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470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470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470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471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472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472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472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472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472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472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473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473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473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473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473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473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472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473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474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474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474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474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474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475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476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476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476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476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476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476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477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477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477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477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478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478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478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478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478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478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479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480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480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480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481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481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481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481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481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481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482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482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482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482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482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482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481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482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483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483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483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483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483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410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412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411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484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484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484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484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484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485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485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485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485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485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486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486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486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486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486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486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487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487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487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487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487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488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488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488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488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488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489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489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489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490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490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490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491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491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491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491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492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493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494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494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494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494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494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495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495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495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495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495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495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496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496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496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496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496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496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497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497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497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497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497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498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496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499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499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499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499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499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499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499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500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500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500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500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500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500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501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501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501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501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502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502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502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502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502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503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503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503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503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503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503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504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504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504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504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504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504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503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505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506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506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507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507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507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507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507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506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506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506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508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508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508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508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508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508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509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509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509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509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509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509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510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510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510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510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510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510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511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512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512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512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512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512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512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512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513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513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513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513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513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513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513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514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514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514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515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515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515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515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515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515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516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516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516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516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516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516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517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517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517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517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517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517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518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519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519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519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519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519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519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520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520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520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520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520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520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521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521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521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521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521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521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520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519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521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522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522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522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522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522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522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522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523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410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524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524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525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525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524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524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525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525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526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526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526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526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527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527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527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527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528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529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529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529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529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529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530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530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530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530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530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530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530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531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531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531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531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531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532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532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532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532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532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533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534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534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534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535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535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535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535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535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535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536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536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536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536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536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536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537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537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537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537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537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537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538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538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538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538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538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538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539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539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539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539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540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540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540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540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540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540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541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541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541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541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541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541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540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542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542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542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542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542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542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543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542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544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544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544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544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544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544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545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545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545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545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545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545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545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546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546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546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546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546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546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547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546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548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548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548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548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548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548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549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549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549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549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549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549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548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550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551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551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551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551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551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551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552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552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552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552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552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552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552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553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553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553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553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553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553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554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555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555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555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555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555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555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553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555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556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557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557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557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557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557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557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558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558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558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558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558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558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559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559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559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559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559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559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559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558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560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561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562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563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563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563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563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563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477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477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477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564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564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564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564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564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564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565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566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567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568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568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568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568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568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569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569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569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570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570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570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570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570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571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572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572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572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572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572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572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573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573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573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573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573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574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574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575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575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575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575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575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574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574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574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576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576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576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576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576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576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577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577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577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577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577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577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578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578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578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578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578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578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577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579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579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579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579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579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579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580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580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580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580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580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580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579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581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581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581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581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581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581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581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582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582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583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583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583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583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583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582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582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582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584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584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584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584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584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584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585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585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585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585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585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585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586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586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586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586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586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586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584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587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587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587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587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587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587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588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588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588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588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588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588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588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589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589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589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589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589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589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590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590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590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590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590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590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591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591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591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591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591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591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589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590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592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592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592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592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592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592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593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593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593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593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593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593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594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593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595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596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596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596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596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596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596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597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597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597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597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597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597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598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598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599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596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598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598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598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600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600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600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600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600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600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600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601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601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601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601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601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601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602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602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602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602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602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603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603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603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603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603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604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604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604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604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604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604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605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606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606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607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607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607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607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607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607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606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606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608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608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608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608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608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608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609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609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609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609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609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609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609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610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610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610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610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610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611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612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613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613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613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613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613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613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614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614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614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614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614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615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615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616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615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615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615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617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617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617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617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617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617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618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618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618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618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618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618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617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618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619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619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619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619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619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619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619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620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620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620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620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620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620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621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622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623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622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622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622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623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623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623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624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624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624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624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624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624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625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625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625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625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625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625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626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627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627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627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627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627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627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628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628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628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628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628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628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628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629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630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630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630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630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630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630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631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631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631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631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631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631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630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632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632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632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632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632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631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770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771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772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772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772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772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772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773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773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773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773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773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774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774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774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774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774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774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775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776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776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776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776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776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776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776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777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777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777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777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777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777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778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778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778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778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778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778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777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779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779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779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779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779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779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779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780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781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782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782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782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782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782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783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784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785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785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785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785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785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785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786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786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785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786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786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786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787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787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787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787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787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787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788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788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788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788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788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788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788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789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789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789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789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789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789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790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790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790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790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790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753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753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753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753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753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791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791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791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791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791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792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793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793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793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793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793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793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793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794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794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794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794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794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794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795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796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797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797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797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797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797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797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798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798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798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798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798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798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764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764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764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764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799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797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764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800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800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800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800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800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800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801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802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803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804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804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804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804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804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762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805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806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806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807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806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806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806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808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808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808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808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808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410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809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810</v>
      </c>
      <c r="B170" s="176">
        <v>46028</v>
      </c>
      <c r="C170" s="172" t="s">
        <v>354</v>
      </c>
      <c r="D170" s="172" t="s">
        <v>467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811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812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812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812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812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812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813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813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813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813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813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814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815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815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815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815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815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815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816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816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816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816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816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816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817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817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817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817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817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816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818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819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819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819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819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819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819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820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821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821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821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821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821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821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821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822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823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823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823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823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823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823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824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824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825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824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824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824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826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826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826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826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826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826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826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827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827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827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827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827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827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828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829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829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829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829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830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831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832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832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832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832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832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832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833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833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833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833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833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834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834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834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834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834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834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835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835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835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835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835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835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836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836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836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836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836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836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837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836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838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838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838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838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838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838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839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839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839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839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839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839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840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840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840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840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840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840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841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841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841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841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841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841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840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841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842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842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842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842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842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842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843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843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843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843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843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843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844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843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845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845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845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845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845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845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846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846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846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846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846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847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847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847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847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847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847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848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848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848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848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848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849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849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849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849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849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849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850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850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850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850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850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850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847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851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851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851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851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851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851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851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852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853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749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854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855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855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855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855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855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856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856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856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856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856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857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857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857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857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857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858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858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858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858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858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858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858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859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859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859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859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859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859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859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860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860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860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860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860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860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861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862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862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862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862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863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863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863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863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863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863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864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865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865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865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865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866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867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867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867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867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867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867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868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868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868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868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868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868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869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869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869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869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869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869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870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870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870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870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870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870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871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871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871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871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871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871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479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870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871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872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872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872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872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872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872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872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873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873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873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873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873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873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873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410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874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875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875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875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875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876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876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877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877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877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877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877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876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876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876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878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878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878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878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878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878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878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879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880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880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880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880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880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880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881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881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881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881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881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881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882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882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882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882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882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882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883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883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883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883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883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884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884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884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884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884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435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435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435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435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435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435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885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885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885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885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885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435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886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886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886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886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886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886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887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887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887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887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887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887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888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888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888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888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888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888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889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889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889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889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889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889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890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891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888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466</v>
      </c>
      <c r="B559" s="176">
        <v>46029</v>
      </c>
      <c r="C559" s="172" t="s">
        <v>354</v>
      </c>
      <c r="D559" s="172" t="s">
        <v>892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893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893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894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893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893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893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895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896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896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896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896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896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896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897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897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897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897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897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897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898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897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899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899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899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899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899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900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901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901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901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901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901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901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902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903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903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903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903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903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903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904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905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906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906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906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906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906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906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906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907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907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907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907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907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907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908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908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908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908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908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908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909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909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909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909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909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909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456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456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456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456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910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639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911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911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911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911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911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912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410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913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914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914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914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914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915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916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917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917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917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917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917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918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918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918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918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918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919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919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919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919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919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920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920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920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920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920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920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921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922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923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923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923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923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923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923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923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924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924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924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924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924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924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925</v>
      </c>
      <c r="B686" s="176">
        <v>46030</v>
      </c>
      <c r="C686" s="172" t="s">
        <v>128</v>
      </c>
      <c r="D686" s="172" t="s">
        <v>926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924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927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927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927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927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927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927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928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928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928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928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928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928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929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929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929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929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929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929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927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928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930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930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930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930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930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931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931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931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931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931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931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931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932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932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932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933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933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933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933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933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933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934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934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934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934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934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935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935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935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935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935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936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936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936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936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936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936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937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937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937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937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937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937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938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939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939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939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939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939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939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940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940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940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940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940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940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941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941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941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941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941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941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942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942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942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942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942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942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943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943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943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943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943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943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944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944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944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944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944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944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480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480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480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480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480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480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945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943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946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946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946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946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946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946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947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947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477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477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477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477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477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477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947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947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947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946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948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948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948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948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948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949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950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951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951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951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951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951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951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952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952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952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952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952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952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953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953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953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953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953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951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954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954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954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954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954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954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954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955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955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955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955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955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955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956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956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956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956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956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955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957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958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959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960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410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961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962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962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962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962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962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963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963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963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963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963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964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964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964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964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964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965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966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967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967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967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967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967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967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968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969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969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969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969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969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969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970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970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970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970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970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970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969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971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971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971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971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971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971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972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973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973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973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973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973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973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973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974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975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975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975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975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975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975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976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977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977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977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977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977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977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978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979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979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979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979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977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980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981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981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981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981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981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982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982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982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982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982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982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983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983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983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983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983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983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984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985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986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986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986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986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986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986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985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985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987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987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987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987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987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987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986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987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988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988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988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988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988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988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989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989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989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989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989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989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990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990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990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990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990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990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991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991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991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991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991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991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992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992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992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992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992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992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993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993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993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993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993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993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991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990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435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435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435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435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994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994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994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994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994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994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995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995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995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995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995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995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996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996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996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996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996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435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997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997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994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997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997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997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480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480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480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480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801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998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998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998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764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764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764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490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490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490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490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490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490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910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490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999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999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999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1000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1000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1000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1000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1000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1000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802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802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410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1001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1002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1003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1003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1003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1003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1003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1003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1003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1004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1004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1004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1004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1004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1005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1006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1006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1006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1006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1006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1007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1007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1007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1007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1007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1007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1008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1008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1008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1008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1008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1008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1007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1009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1009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1009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1009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1009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490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490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490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490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1010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1010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1010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1010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1010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1010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1011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1011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1011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1011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1011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490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1010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1012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1012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1012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1012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1012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737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1013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1013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1013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1013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1013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1013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1014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1014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1014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1014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1014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1014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402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1015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1015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1015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1015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1015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594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1016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1017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1017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1017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1017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1017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1017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1018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1018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1018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1018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1018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1019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1019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1019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1019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1019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1019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1020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1020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1020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1020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1020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1019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717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1021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1021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1021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1021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1021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1021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1022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1022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1022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1022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1022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1022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1023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1021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1024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1024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1024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1024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1024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1024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1025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1026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1027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1027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1027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1027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1027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1027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1027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1028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1028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1028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1028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1028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1028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1028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1029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1030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1030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1030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1030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1030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1030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1031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1031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1031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1031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1031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1031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1032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1032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1032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1032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1032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1032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1031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1032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1033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1033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1033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1033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1033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1033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1034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1034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1034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1034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1034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1034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1035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1035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1035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1035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1035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1035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1023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1033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1034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514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514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514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514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514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514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1036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1037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1037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1037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1037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1037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1037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514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1038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1038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1038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1038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1038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1039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410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411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412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1040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1040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1040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1040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1040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1041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1042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1042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1042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1042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1042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1042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1043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1044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1044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1044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1044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1044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1045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1045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1045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1045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1045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1045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1046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1046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1046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1046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1046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1046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1047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1048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1048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1048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1048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1048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1048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1047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1047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1047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1046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1049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1049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1049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1049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1049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1049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1050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1050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1050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1050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1050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1050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1049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1050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1051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1051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1051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1051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1051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1051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1052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1053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1053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1053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1053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1053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1053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1051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1054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1054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1054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1054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1054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1054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1053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1055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1055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1055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1055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1055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1055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1056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1056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1056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1056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1056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1056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1057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1055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569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569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569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569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569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569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569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569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569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569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1058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1059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1059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1059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1059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1059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1059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1060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1060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1060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1060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1060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898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1061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1061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1061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1061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1061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1061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1060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1061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1062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1062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1062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1062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1062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1062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1062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1063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1064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1064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1065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1064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1064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1064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1066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1067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1067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1067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1067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1067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1067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514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514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514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514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514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1068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1068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1068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1068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1068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1068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1069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1069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1069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1069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1069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1069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1070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1071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411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412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410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634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635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636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637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637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637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637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637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638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639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640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640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640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640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640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641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642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643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643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643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643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643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644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645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646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647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410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648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649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650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651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651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651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651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651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652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652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652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652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652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652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652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653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653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653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653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653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653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654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654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654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654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654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654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653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655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655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655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655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655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655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655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656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657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657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657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657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657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658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659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660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661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662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663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664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665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665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665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665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665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666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667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667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667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667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667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668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668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668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668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668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668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669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670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670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670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670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670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671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672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672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672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672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672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672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672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673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673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673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673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673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673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673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674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675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675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675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675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675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676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676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676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676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676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677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677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677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677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677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677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678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679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677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680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681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682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683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410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684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685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685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685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685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685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685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685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686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687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688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689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689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689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689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689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689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690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690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691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691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691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691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692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692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692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692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692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692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691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693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693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693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694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694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694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694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694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694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695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695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695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695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695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695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696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696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696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696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696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696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697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698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698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698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699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700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700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700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700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700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700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701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701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701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701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701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701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702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702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702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702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702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702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703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703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703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703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703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703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704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703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705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705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705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705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705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705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705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706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707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707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707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707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707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707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708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708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708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708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708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707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709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710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711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711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711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711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711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711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712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712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712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712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712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712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712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713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713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713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713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713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713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714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714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714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714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714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715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715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715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715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715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715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716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716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716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716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716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716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717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718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719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720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410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721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721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721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721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721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722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723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723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723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723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724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724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724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724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724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724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725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725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726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726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726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725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725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725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724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727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728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729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730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731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731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731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731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731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731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732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731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733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733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733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733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733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733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734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734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734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734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734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735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736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736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736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736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736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737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738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738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738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738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738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738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739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739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739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739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739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740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741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741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741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741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741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742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742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742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742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742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742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742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743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744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744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744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744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744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744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745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746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746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746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746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746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746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746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747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747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747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747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747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748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749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750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456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456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456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456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456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751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751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751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751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751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751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752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753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753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753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753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753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753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753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754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754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754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754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754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754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755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755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755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755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755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755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756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756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756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756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756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756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754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757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757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757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757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757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757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756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758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758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758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758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758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758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759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759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759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759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759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759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760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761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691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691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691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762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763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763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763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763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763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763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764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764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764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764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764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764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763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682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765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764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766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766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766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766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766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766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767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768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410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Сводная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2026-02-09T13:27:08Z</dcterms:modified>
</cp:coreProperties>
</file>