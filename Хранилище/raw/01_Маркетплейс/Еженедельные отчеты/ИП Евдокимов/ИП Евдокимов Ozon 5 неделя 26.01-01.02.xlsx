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730"/>
  <workbookPr/>
  <mc:AlternateContent xmlns:mc="http://schemas.openxmlformats.org/markup-compatibility/2006">
    <mc:Choice Requires="x15">
      <x15ac:absPath xmlns:x15ac="http://schemas.microsoft.com/office/spreadsheetml/2010/11/ac" url="C:\Users\Гульнара\Desktop\КОЛЕСО ЖИЗНИ\4 КАРЬЕРА, ФИНАНСЫ, ДОКУМЕНТЫ\КАРЬЕРА\Ridges\ОТЧЕТЫ, АНАЛИТИКА\3. ИП Евдокимов\ИП Евдокимов OZON\Е_5 нед\"/>
    </mc:Choice>
  </mc:AlternateContent>
  <xr:revisionPtr revIDLastSave="0" documentId="13_ncr:1_{F9734538-2766-4498-848E-361073915ECA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Сводная" sheetId="7" r:id="rId1"/>
    <sheet name="АВС 02-08.02" sheetId="23" state="hidden" r:id="rId2"/>
    <sheet name="АВС ЯНВАРЬ" sheetId="22" r:id="rId3"/>
    <sheet name="АВС 26.01-01.02" sheetId="21" r:id="rId4"/>
    <sheet name="АВС 19-25.01" sheetId="20" state="hidden" r:id="rId5"/>
    <sheet name="АВС 12-18.01" sheetId="19" state="hidden" r:id="rId6"/>
    <sheet name="АВС 05-11.01" sheetId="18" state="hidden" r:id="rId7"/>
    <sheet name="АВС 01-04.01" sheetId="17" state="hidden" r:id="rId8"/>
    <sheet name="Юнит 02-08.02" sheetId="25" state="hidden" r:id="rId9"/>
    <sheet name="Юнит 01.02" sheetId="15" state="hidden" r:id="rId10"/>
    <sheet name="ЯНВАРЬ" sheetId="16" r:id="rId11"/>
    <sheet name="Юнит 26.01-01.02" sheetId="24" r:id="rId12"/>
    <sheet name="Юнит 26-31.01" sheetId="14" state="hidden" r:id="rId13"/>
    <sheet name="Юнит 19-25.01" sheetId="4" state="hidden" r:id="rId14"/>
    <sheet name="Юнит 12-18.01" sheetId="3" state="hidden" r:id="rId15"/>
    <sheet name="Юнит 05-11.01" sheetId="13" state="hidden" r:id="rId16"/>
    <sheet name="Юнит 01-04.01" sheetId="12" state="hidden" r:id="rId17"/>
    <sheet name="Отчет 02-08.02" sheetId="26" state="hidden" r:id="rId18"/>
    <sheet name="Отчет 01.02" sheetId="9" state="hidden" r:id="rId19"/>
    <sheet name="Отчет 26-31.01" sheetId="8" state="hidden" r:id="rId20"/>
    <sheet name="Отчет 19-25.01" sheetId="6" state="hidden" r:id="rId21"/>
    <sheet name="Отчет 12-18.01" sheetId="5" state="hidden" r:id="rId22"/>
    <sheet name="Отчет 05-11.01" sheetId="10" state="hidden" r:id="rId23"/>
    <sheet name="Отчет 01-04.01" sheetId="11" state="hidden" r:id="rId2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B7" i="7" l="1"/>
  <c r="AD6" i="7"/>
  <c r="AD7" i="7"/>
  <c r="AA7" i="7"/>
  <c r="I15" i="7"/>
  <c r="J9" i="22"/>
  <c r="J11" i="22"/>
  <c r="J6" i="22"/>
  <c r="J7" i="22"/>
  <c r="J8" i="22"/>
  <c r="J12" i="22"/>
  <c r="J14" i="22"/>
  <c r="J4" i="22"/>
  <c r="J15" i="22"/>
  <c r="J13" i="22"/>
  <c r="J16" i="22"/>
  <c r="J5" i="22"/>
  <c r="J17" i="22"/>
  <c r="J10" i="22"/>
  <c r="C7" i="22"/>
  <c r="C10" i="22"/>
  <c r="C6" i="22"/>
  <c r="C8" i="22"/>
  <c r="C11" i="22"/>
  <c r="C12" i="22"/>
  <c r="C17" i="22"/>
  <c r="C5" i="22"/>
  <c r="C14" i="22"/>
  <c r="C13" i="22"/>
  <c r="C15" i="22"/>
  <c r="C4" i="22"/>
  <c r="C16" i="22"/>
  <c r="C9" i="22"/>
  <c r="Y3" i="7"/>
  <c r="X17" i="7"/>
  <c r="AE24" i="16"/>
  <c r="J9" i="21"/>
  <c r="J15" i="21"/>
  <c r="J8" i="21"/>
  <c r="J6" i="21"/>
  <c r="J7" i="21"/>
  <c r="J11" i="21"/>
  <c r="J12" i="21"/>
  <c r="J4" i="21"/>
  <c r="J13" i="21"/>
  <c r="J14" i="21"/>
  <c r="J16" i="21"/>
  <c r="J5" i="21"/>
  <c r="J17" i="21"/>
  <c r="J10" i="21"/>
  <c r="C6" i="21"/>
  <c r="C13" i="21"/>
  <c r="C8" i="21"/>
  <c r="C14" i="21"/>
  <c r="C7" i="21"/>
  <c r="C10" i="21"/>
  <c r="C16" i="21"/>
  <c r="C4" i="21"/>
  <c r="C9" i="21"/>
  <c r="C11" i="21"/>
  <c r="C15" i="21"/>
  <c r="C5" i="21"/>
  <c r="C17" i="21"/>
  <c r="C12" i="21"/>
  <c r="AA24" i="24"/>
  <c r="AA18" i="24"/>
  <c r="AA16" i="24"/>
  <c r="AA15" i="24"/>
  <c r="AA14" i="24"/>
  <c r="AA13" i="24"/>
  <c r="AA12" i="24"/>
  <c r="AA11" i="24"/>
  <c r="AA10" i="24"/>
  <c r="AA9" i="24"/>
  <c r="AA8" i="24"/>
  <c r="AA7" i="24"/>
  <c r="AA6" i="24"/>
  <c r="AA5" i="24"/>
  <c r="AA4" i="24"/>
  <c r="AA3" i="24"/>
  <c r="Z16" i="24"/>
  <c r="Z15" i="24"/>
  <c r="Z14" i="24"/>
  <c r="Z13" i="24"/>
  <c r="Z12" i="24"/>
  <c r="Z11" i="24"/>
  <c r="Z10" i="24"/>
  <c r="Z9" i="24"/>
  <c r="Z8" i="24"/>
  <c r="Z7" i="24"/>
  <c r="Z6" i="24"/>
  <c r="Z5" i="24"/>
  <c r="Z4" i="24"/>
  <c r="Z3" i="24"/>
  <c r="X16" i="24"/>
  <c r="X15" i="24"/>
  <c r="X14" i="24"/>
  <c r="X13" i="24"/>
  <c r="X12" i="24"/>
  <c r="X11" i="24"/>
  <c r="X10" i="24"/>
  <c r="X9" i="24"/>
  <c r="X8" i="24"/>
  <c r="X7" i="24"/>
  <c r="X6" i="24"/>
  <c r="X5" i="24"/>
  <c r="X4" i="24"/>
  <c r="X3" i="24"/>
  <c r="T16" i="24"/>
  <c r="T15" i="24"/>
  <c r="T14" i="24"/>
  <c r="T13" i="24"/>
  <c r="T12" i="24"/>
  <c r="T11" i="24"/>
  <c r="T10" i="24"/>
  <c r="T9" i="24"/>
  <c r="T8" i="24"/>
  <c r="T7" i="24"/>
  <c r="T6" i="24"/>
  <c r="T5" i="24"/>
  <c r="T4" i="24"/>
  <c r="T3" i="24"/>
  <c r="S16" i="24"/>
  <c r="S15" i="24"/>
  <c r="S14" i="24"/>
  <c r="S13" i="24"/>
  <c r="S12" i="24"/>
  <c r="S11" i="24"/>
  <c r="S10" i="24"/>
  <c r="S9" i="24"/>
  <c r="S8" i="24"/>
  <c r="S7" i="24"/>
  <c r="S6" i="24"/>
  <c r="S5" i="24"/>
  <c r="S4" i="24"/>
  <c r="S3" i="24"/>
  <c r="Q16" i="24"/>
  <c r="Q15" i="24"/>
  <c r="Q14" i="24"/>
  <c r="Q13" i="24"/>
  <c r="Q12" i="24"/>
  <c r="Q11" i="24"/>
  <c r="Q10" i="24"/>
  <c r="Q9" i="24"/>
  <c r="Q8" i="24"/>
  <c r="Q7" i="24"/>
  <c r="Q6" i="24"/>
  <c r="Q5" i="24"/>
  <c r="Q4" i="24"/>
  <c r="Q3" i="24"/>
  <c r="P16" i="24"/>
  <c r="P15" i="24"/>
  <c r="P14" i="24"/>
  <c r="P13" i="24"/>
  <c r="P12" i="24"/>
  <c r="P11" i="24"/>
  <c r="P10" i="24"/>
  <c r="P9" i="24"/>
  <c r="P8" i="24"/>
  <c r="P7" i="24"/>
  <c r="P6" i="24"/>
  <c r="P5" i="24"/>
  <c r="P4" i="24"/>
  <c r="P3" i="24"/>
  <c r="K4" i="24"/>
  <c r="K5" i="24"/>
  <c r="K6" i="24"/>
  <c r="K7" i="24"/>
  <c r="K8" i="24"/>
  <c r="K9" i="24"/>
  <c r="K10" i="24"/>
  <c r="K11" i="24"/>
  <c r="K12" i="24"/>
  <c r="K13" i="24"/>
  <c r="K14" i="24"/>
  <c r="K15" i="24"/>
  <c r="K16" i="24"/>
  <c r="K3" i="24"/>
  <c r="D7" i="7"/>
  <c r="D17" i="7" s="1"/>
  <c r="F17" i="7"/>
  <c r="G17" i="7"/>
  <c r="H17" i="7"/>
  <c r="I17" i="7"/>
  <c r="J17" i="7"/>
  <c r="K17" i="7"/>
  <c r="L17" i="7"/>
  <c r="M17" i="7"/>
  <c r="N17" i="7"/>
  <c r="O17" i="7"/>
  <c r="P17" i="7"/>
  <c r="Q17" i="7"/>
  <c r="R17" i="7"/>
  <c r="S17" i="7"/>
  <c r="T17" i="7"/>
  <c r="U17" i="7"/>
  <c r="V17" i="7"/>
  <c r="W17" i="7"/>
  <c r="E17" i="7"/>
  <c r="Y8" i="7" l="1"/>
  <c r="Z8" i="7" s="1"/>
  <c r="Q8" i="7"/>
  <c r="M8" i="7"/>
  <c r="L8" i="7"/>
  <c r="K8" i="7"/>
  <c r="I8" i="7"/>
  <c r="J8" i="7" s="1"/>
  <c r="H8" i="7"/>
  <c r="G8" i="7"/>
  <c r="F8" i="7"/>
  <c r="E8" i="7"/>
  <c r="E3" i="7"/>
  <c r="E5" i="7"/>
  <c r="AA12" i="7"/>
  <c r="AB12" i="7"/>
  <c r="AC12" i="7"/>
  <c r="AD12" i="7"/>
  <c r="AA9" i="7"/>
  <c r="AB9" i="7"/>
  <c r="AC9" i="7"/>
  <c r="AD9" i="7"/>
  <c r="AA10" i="7"/>
  <c r="AB10" i="7"/>
  <c r="AC10" i="7"/>
  <c r="AD10" i="7"/>
  <c r="AA11" i="7"/>
  <c r="AB11" i="7"/>
  <c r="AC11" i="7"/>
  <c r="AD11" i="7"/>
  <c r="W13" i="7"/>
  <c r="V13" i="7"/>
  <c r="U13" i="7"/>
  <c r="T13" i="7"/>
  <c r="S13" i="7"/>
  <c r="R13" i="7"/>
  <c r="P13" i="7"/>
  <c r="O13" i="7"/>
  <c r="N13" i="7"/>
  <c r="X8" i="7" l="1"/>
  <c r="D8" i="7"/>
  <c r="AA19" i="16"/>
  <c r="AA19" i="12"/>
  <c r="AA19" i="13"/>
  <c r="AA19" i="3"/>
  <c r="AA19" i="4"/>
  <c r="AA19" i="14"/>
  <c r="AA19" i="25"/>
  <c r="AA19" i="24"/>
  <c r="AA19" i="15"/>
  <c r="AA18" i="15"/>
  <c r="N4" i="15"/>
  <c r="N5" i="15"/>
  <c r="N6" i="15"/>
  <c r="N9" i="15"/>
  <c r="N11" i="15"/>
  <c r="N12" i="15"/>
  <c r="N13" i="15"/>
  <c r="N14" i="15"/>
  <c r="N3" i="15"/>
  <c r="N7" i="15"/>
  <c r="N8" i="15"/>
  <c r="N10" i="15"/>
  <c r="N15" i="15"/>
  <c r="N16" i="15"/>
  <c r="K33" i="25" l="1"/>
  <c r="L33" i="25" s="1"/>
  <c r="I33" i="25"/>
  <c r="K31" i="25"/>
  <c r="L31" i="25" s="1"/>
  <c r="I31" i="25"/>
  <c r="J24" i="25"/>
  <c r="G24" i="25"/>
  <c r="F24" i="25"/>
  <c r="E24" i="25"/>
  <c r="D24" i="25"/>
  <c r="AA23" i="25"/>
  <c r="AP22" i="25"/>
  <c r="AE22" i="25"/>
  <c r="AD22" i="25"/>
  <c r="AC22" i="25"/>
  <c r="AB22" i="25"/>
  <c r="Z22" i="25"/>
  <c r="X22" i="25"/>
  <c r="W22" i="25"/>
  <c r="V22" i="25"/>
  <c r="U22" i="25"/>
  <c r="Y22" i="25" s="1"/>
  <c r="T22" i="25"/>
  <c r="S22" i="25"/>
  <c r="R22" i="25"/>
  <c r="Q22" i="25"/>
  <c r="P22" i="25"/>
  <c r="K22" i="25"/>
  <c r="I22" i="25"/>
  <c r="C22" i="25"/>
  <c r="AN21" i="25"/>
  <c r="AM21" i="25"/>
  <c r="AL21" i="25"/>
  <c r="AK21" i="25"/>
  <c r="AJ21" i="25"/>
  <c r="AI21" i="25"/>
  <c r="AH21" i="25"/>
  <c r="AG21" i="25"/>
  <c r="AA26" i="25"/>
  <c r="AC18" i="25"/>
  <c r="AC24" i="25" s="1"/>
  <c r="AB18" i="25"/>
  <c r="K18" i="25"/>
  <c r="K24" i="25" s="1"/>
  <c r="C18" i="25"/>
  <c r="C24" i="25" s="1"/>
  <c r="AH16" i="25"/>
  <c r="Z16" i="25"/>
  <c r="X16" i="25"/>
  <c r="T16" i="25"/>
  <c r="S16" i="25"/>
  <c r="Q16" i="25"/>
  <c r="P16" i="25"/>
  <c r="N16" i="25"/>
  <c r="I16" i="25"/>
  <c r="AH15" i="25"/>
  <c r="Z15" i="25"/>
  <c r="X15" i="25"/>
  <c r="T15" i="25"/>
  <c r="S15" i="25"/>
  <c r="Q15" i="25"/>
  <c r="P15" i="25"/>
  <c r="AK15" i="25" s="1"/>
  <c r="N15" i="25"/>
  <c r="I15" i="25"/>
  <c r="AH14" i="25"/>
  <c r="Z14" i="25"/>
  <c r="X14" i="25"/>
  <c r="T14" i="25"/>
  <c r="S14" i="25"/>
  <c r="Q14" i="25"/>
  <c r="P14" i="25"/>
  <c r="N14" i="25"/>
  <c r="I14" i="25"/>
  <c r="AH13" i="25"/>
  <c r="Z13" i="25"/>
  <c r="X13" i="25"/>
  <c r="T13" i="25"/>
  <c r="S13" i="25"/>
  <c r="Q13" i="25"/>
  <c r="P13" i="25"/>
  <c r="AK13" i="25" s="1"/>
  <c r="N13" i="25"/>
  <c r="I13" i="25"/>
  <c r="AH12" i="25"/>
  <c r="Z12" i="25"/>
  <c r="X12" i="25"/>
  <c r="T12" i="25"/>
  <c r="S12" i="25"/>
  <c r="Q12" i="25"/>
  <c r="P12" i="25"/>
  <c r="N12" i="25"/>
  <c r="I12" i="25"/>
  <c r="AH11" i="25"/>
  <c r="Z11" i="25"/>
  <c r="X11" i="25"/>
  <c r="T11" i="25"/>
  <c r="S11" i="25"/>
  <c r="Q11" i="25"/>
  <c r="P11" i="25"/>
  <c r="N11" i="25"/>
  <c r="I11" i="25"/>
  <c r="AH10" i="25"/>
  <c r="Z10" i="25"/>
  <c r="X10" i="25"/>
  <c r="T10" i="25"/>
  <c r="S10" i="25"/>
  <c r="Q10" i="25"/>
  <c r="P10" i="25"/>
  <c r="N10" i="25"/>
  <c r="I10" i="25"/>
  <c r="AH9" i="25"/>
  <c r="Z9" i="25"/>
  <c r="X9" i="25"/>
  <c r="T9" i="25"/>
  <c r="S9" i="25"/>
  <c r="Q9" i="25"/>
  <c r="P9" i="25"/>
  <c r="AK9" i="25" s="1"/>
  <c r="N9" i="25"/>
  <c r="I9" i="25"/>
  <c r="AH8" i="25"/>
  <c r="Z8" i="25"/>
  <c r="X8" i="25"/>
  <c r="T8" i="25"/>
  <c r="S8" i="25"/>
  <c r="Q8" i="25"/>
  <c r="P8" i="25"/>
  <c r="N8" i="25"/>
  <c r="I8" i="25"/>
  <c r="AH7" i="25"/>
  <c r="Z7" i="25"/>
  <c r="X7" i="25"/>
  <c r="T7" i="25"/>
  <c r="S7" i="25"/>
  <c r="Q7" i="25"/>
  <c r="P7" i="25"/>
  <c r="N7" i="25"/>
  <c r="I7" i="25"/>
  <c r="AH6" i="25"/>
  <c r="Z6" i="25"/>
  <c r="X6" i="25"/>
  <c r="T6" i="25"/>
  <c r="S6" i="25"/>
  <c r="Q6" i="25"/>
  <c r="P6" i="25"/>
  <c r="N6" i="25"/>
  <c r="I6" i="25"/>
  <c r="AH5" i="25"/>
  <c r="Z5" i="25"/>
  <c r="X5" i="25"/>
  <c r="T5" i="25"/>
  <c r="S5" i="25"/>
  <c r="Q5" i="25"/>
  <c r="P5" i="25"/>
  <c r="AK5" i="25" s="1"/>
  <c r="N5" i="25"/>
  <c r="I5" i="25"/>
  <c r="AH4" i="25"/>
  <c r="Z4" i="25"/>
  <c r="X4" i="25"/>
  <c r="T4" i="25"/>
  <c r="S4" i="25"/>
  <c r="Q4" i="25"/>
  <c r="P4" i="25"/>
  <c r="N4" i="25"/>
  <c r="I4" i="25"/>
  <c r="AH3" i="25"/>
  <c r="AH17" i="25" s="1"/>
  <c r="Z3" i="25"/>
  <c r="X3" i="25"/>
  <c r="T3" i="25"/>
  <c r="S3" i="25"/>
  <c r="Q3" i="25"/>
  <c r="P3" i="25"/>
  <c r="N3" i="25"/>
  <c r="I3" i="25"/>
  <c r="I18" i="25" s="1"/>
  <c r="I24" i="25" s="1"/>
  <c r="K33" i="24"/>
  <c r="L33" i="24" s="1"/>
  <c r="I33" i="24"/>
  <c r="K31" i="24"/>
  <c r="L31" i="24" s="1"/>
  <c r="I31" i="24"/>
  <c r="J24" i="24"/>
  <c r="G24" i="24"/>
  <c r="F24" i="24"/>
  <c r="E24" i="24"/>
  <c r="D24" i="24"/>
  <c r="AA23" i="24"/>
  <c r="AP22" i="24"/>
  <c r="AE22" i="24"/>
  <c r="AD22" i="24"/>
  <c r="AC22" i="24"/>
  <c r="AB22" i="24"/>
  <c r="Z22" i="24"/>
  <c r="X22" i="24"/>
  <c r="W22" i="24"/>
  <c r="V22" i="24"/>
  <c r="U22" i="24"/>
  <c r="Y22" i="24" s="1"/>
  <c r="T22" i="24"/>
  <c r="S22" i="24"/>
  <c r="R22" i="24"/>
  <c r="Q22" i="24"/>
  <c r="P22" i="24"/>
  <c r="K22" i="24"/>
  <c r="I22" i="24"/>
  <c r="C22" i="24"/>
  <c r="AN21" i="24"/>
  <c r="AM21" i="24"/>
  <c r="AL21" i="24"/>
  <c r="AK21" i="24"/>
  <c r="AJ21" i="24"/>
  <c r="AI21" i="24"/>
  <c r="AH21" i="24"/>
  <c r="AG21" i="24"/>
  <c r="AA26" i="24"/>
  <c r="AC18" i="24"/>
  <c r="AC24" i="24" s="1"/>
  <c r="AB18" i="24"/>
  <c r="K18" i="24"/>
  <c r="K24" i="24" s="1"/>
  <c r="C18" i="24"/>
  <c r="C24" i="24" s="1"/>
  <c r="AH16" i="24"/>
  <c r="N16" i="24"/>
  <c r="I16" i="24"/>
  <c r="AH15" i="24"/>
  <c r="AK15" i="24"/>
  <c r="N15" i="24"/>
  <c r="I15" i="24"/>
  <c r="AH14" i="24"/>
  <c r="N14" i="24"/>
  <c r="I14" i="24"/>
  <c r="AH13" i="24"/>
  <c r="AK13" i="24"/>
  <c r="N13" i="24"/>
  <c r="I13" i="24"/>
  <c r="AH12" i="24"/>
  <c r="N12" i="24"/>
  <c r="I12" i="24"/>
  <c r="AH11" i="24"/>
  <c r="AK11" i="24"/>
  <c r="N11" i="24"/>
  <c r="I11" i="24"/>
  <c r="AH10" i="24"/>
  <c r="N10" i="24"/>
  <c r="I10" i="24"/>
  <c r="AH9" i="24"/>
  <c r="AK9" i="24"/>
  <c r="N9" i="24"/>
  <c r="I9" i="24"/>
  <c r="AH8" i="24"/>
  <c r="N8" i="24"/>
  <c r="I8" i="24"/>
  <c r="AH7" i="24"/>
  <c r="AK7" i="24"/>
  <c r="N7" i="24"/>
  <c r="I7" i="24"/>
  <c r="AH6" i="24"/>
  <c r="N6" i="24"/>
  <c r="I6" i="24"/>
  <c r="AH5" i="24"/>
  <c r="AK5" i="24"/>
  <c r="N5" i="24"/>
  <c r="I5" i="24"/>
  <c r="AH4" i="24"/>
  <c r="N4" i="24"/>
  <c r="I4" i="24"/>
  <c r="AH3" i="24"/>
  <c r="AH17" i="24" s="1"/>
  <c r="N3" i="24"/>
  <c r="I3" i="24"/>
  <c r="I18" i="24" s="1"/>
  <c r="I24" i="24" s="1"/>
  <c r="I32" i="24" s="1"/>
  <c r="J32" i="24" s="1"/>
  <c r="U15" i="24" l="1"/>
  <c r="Y15" i="24" s="1"/>
  <c r="R16" i="25"/>
  <c r="O16" i="25" s="1"/>
  <c r="U9" i="25"/>
  <c r="AD9" i="25" s="1"/>
  <c r="R4" i="25"/>
  <c r="AG4" i="25" s="1"/>
  <c r="U4" i="24"/>
  <c r="Y4" i="24" s="1"/>
  <c r="R6" i="24"/>
  <c r="AI6" i="24" s="1"/>
  <c r="U8" i="24"/>
  <c r="AD8" i="24" s="1"/>
  <c r="R10" i="24"/>
  <c r="W10" i="24" s="1"/>
  <c r="AJ3" i="24"/>
  <c r="U11" i="24"/>
  <c r="Y11" i="24" s="1"/>
  <c r="U3" i="25"/>
  <c r="Y3" i="25" s="1"/>
  <c r="U15" i="25"/>
  <c r="AD15" i="25" s="1"/>
  <c r="R9" i="25"/>
  <c r="O9" i="25" s="1"/>
  <c r="R12" i="24"/>
  <c r="O12" i="24" s="1"/>
  <c r="U13" i="25"/>
  <c r="Y13" i="25" s="1"/>
  <c r="AJ11" i="25"/>
  <c r="U4" i="25"/>
  <c r="AD4" i="25" s="1"/>
  <c r="U10" i="25"/>
  <c r="Y10" i="25" s="1"/>
  <c r="R12" i="25"/>
  <c r="W12" i="25" s="1"/>
  <c r="U5" i="25"/>
  <c r="AD5" i="25" s="1"/>
  <c r="AJ7" i="25"/>
  <c r="U11" i="25"/>
  <c r="Y11" i="25" s="1"/>
  <c r="U6" i="25"/>
  <c r="Y6" i="25" s="1"/>
  <c r="U12" i="25"/>
  <c r="AD12" i="25" s="1"/>
  <c r="R14" i="25"/>
  <c r="O14" i="25" s="1"/>
  <c r="P18" i="25"/>
  <c r="P24" i="25" s="1"/>
  <c r="AA18" i="25" s="1"/>
  <c r="U9" i="24"/>
  <c r="AD9" i="24" s="1"/>
  <c r="R11" i="24"/>
  <c r="O11" i="24" s="1"/>
  <c r="Q18" i="25"/>
  <c r="Q24" i="25" s="1"/>
  <c r="U7" i="25"/>
  <c r="AD7" i="25" s="1"/>
  <c r="R8" i="25"/>
  <c r="O8" i="25" s="1"/>
  <c r="U16" i="25"/>
  <c r="AD16" i="25" s="1"/>
  <c r="S18" i="25"/>
  <c r="S24" i="25" s="1"/>
  <c r="Z18" i="25"/>
  <c r="Z24" i="25" s="1"/>
  <c r="T18" i="25"/>
  <c r="T24" i="25" s="1"/>
  <c r="U8" i="25"/>
  <c r="AD8" i="25" s="1"/>
  <c r="R13" i="25"/>
  <c r="O13" i="25" s="1"/>
  <c r="U7" i="24"/>
  <c r="Y7" i="24" s="1"/>
  <c r="R8" i="24"/>
  <c r="W8" i="24" s="1"/>
  <c r="X18" i="25"/>
  <c r="X24" i="25" s="1"/>
  <c r="R5" i="25"/>
  <c r="AG5" i="25" s="1"/>
  <c r="AM5" i="25" s="1"/>
  <c r="R10" i="25"/>
  <c r="AI10" i="25" s="1"/>
  <c r="AK11" i="25"/>
  <c r="AJ15" i="25"/>
  <c r="R16" i="24"/>
  <c r="AI16" i="24" s="1"/>
  <c r="R6" i="25"/>
  <c r="W6" i="25" s="1"/>
  <c r="AK7" i="25"/>
  <c r="U14" i="25"/>
  <c r="AD14" i="25" s="1"/>
  <c r="J33" i="25"/>
  <c r="J31" i="25"/>
  <c r="I32" i="25"/>
  <c r="J32" i="25" s="1"/>
  <c r="AK3" i="25"/>
  <c r="AJ4" i="25"/>
  <c r="R7" i="25"/>
  <c r="AJ8" i="25"/>
  <c r="R11" i="25"/>
  <c r="AJ12" i="25"/>
  <c r="R15" i="25"/>
  <c r="AJ16" i="25"/>
  <c r="U5" i="24"/>
  <c r="AD5" i="24" s="1"/>
  <c r="R7" i="24"/>
  <c r="W7" i="24" s="1"/>
  <c r="U12" i="24"/>
  <c r="AD12" i="24" s="1"/>
  <c r="R3" i="25"/>
  <c r="AK4" i="25"/>
  <c r="AK8" i="25"/>
  <c r="AK12" i="25"/>
  <c r="AK16" i="25"/>
  <c r="AJ6" i="25"/>
  <c r="T18" i="24"/>
  <c r="T24" i="24" s="1"/>
  <c r="AJ3" i="25"/>
  <c r="AJ5" i="25"/>
  <c r="AJ9" i="25"/>
  <c r="AJ13" i="25"/>
  <c r="X18" i="24"/>
  <c r="X24" i="24" s="1"/>
  <c r="U13" i="24"/>
  <c r="Y13" i="24" s="1"/>
  <c r="R15" i="24"/>
  <c r="W15" i="24" s="1"/>
  <c r="AJ10" i="25"/>
  <c r="AJ14" i="25"/>
  <c r="R4" i="24"/>
  <c r="AI4" i="24" s="1"/>
  <c r="AK6" i="25"/>
  <c r="AK10" i="25"/>
  <c r="AK14" i="25"/>
  <c r="U16" i="24"/>
  <c r="AD16" i="24" s="1"/>
  <c r="R5" i="24"/>
  <c r="AG5" i="24" s="1"/>
  <c r="AM5" i="24" s="1"/>
  <c r="R9" i="24"/>
  <c r="AG9" i="24" s="1"/>
  <c r="R13" i="24"/>
  <c r="AG13" i="24" s="1"/>
  <c r="Z18" i="24"/>
  <c r="Z24" i="24" s="1"/>
  <c r="U3" i="24"/>
  <c r="Y3" i="24" s="1"/>
  <c r="R14" i="24"/>
  <c r="W14" i="24" s="1"/>
  <c r="Q18" i="24"/>
  <c r="Q24" i="24" s="1"/>
  <c r="AJ7" i="24"/>
  <c r="AJ11" i="24"/>
  <c r="AJ15" i="24"/>
  <c r="S18" i="24"/>
  <c r="S24" i="24" s="1"/>
  <c r="U6" i="24"/>
  <c r="AD6" i="24" s="1"/>
  <c r="U10" i="24"/>
  <c r="AD10" i="24" s="1"/>
  <c r="U14" i="24"/>
  <c r="Y14" i="24" s="1"/>
  <c r="J31" i="24"/>
  <c r="J33" i="24"/>
  <c r="AJ16" i="24"/>
  <c r="AJ8" i="24"/>
  <c r="R3" i="24"/>
  <c r="AK4" i="24"/>
  <c r="AK8" i="24"/>
  <c r="AK12" i="24"/>
  <c r="AK16" i="24"/>
  <c r="AJ4" i="24"/>
  <c r="AJ12" i="24"/>
  <c r="AJ5" i="24"/>
  <c r="AJ9" i="24"/>
  <c r="AJ13" i="24"/>
  <c r="P18" i="24"/>
  <c r="AK3" i="24"/>
  <c r="AJ14" i="24"/>
  <c r="AJ10" i="24"/>
  <c r="AK6" i="24"/>
  <c r="AK10" i="24"/>
  <c r="AK14" i="24"/>
  <c r="AJ6" i="24"/>
  <c r="AI8" i="24" l="1"/>
  <c r="AI16" i="25"/>
  <c r="AD15" i="24"/>
  <c r="AE15" i="24" s="1"/>
  <c r="AL15" i="24" s="1" a="1"/>
  <c r="AL15" i="24" s="1"/>
  <c r="AP15" i="24" s="1"/>
  <c r="AG16" i="25"/>
  <c r="AM16" i="25" s="1"/>
  <c r="Y8" i="24"/>
  <c r="AG10" i="24"/>
  <c r="AI10" i="24"/>
  <c r="W16" i="25"/>
  <c r="AE16" i="25" s="1"/>
  <c r="AL16" i="25" s="1" a="1"/>
  <c r="AL16" i="25" s="1"/>
  <c r="AP16" i="25" s="1"/>
  <c r="Y9" i="25"/>
  <c r="AD11" i="24"/>
  <c r="AD10" i="25"/>
  <c r="W13" i="25"/>
  <c r="AG6" i="24"/>
  <c r="O6" i="24"/>
  <c r="AG9" i="25"/>
  <c r="AM9" i="25" s="1"/>
  <c r="W6" i="24"/>
  <c r="AE6" i="24" s="1"/>
  <c r="AL6" i="24" s="1" a="1"/>
  <c r="AL6" i="24" s="1"/>
  <c r="AP6" i="24" s="1"/>
  <c r="W9" i="25"/>
  <c r="AE9" i="25" s="1"/>
  <c r="AL9" i="25" s="1" a="1"/>
  <c r="AL9" i="25" s="1"/>
  <c r="AP9" i="25" s="1"/>
  <c r="AD4" i="24"/>
  <c r="O13" i="24"/>
  <c r="AG16" i="24"/>
  <c r="AM16" i="24" s="1"/>
  <c r="AG12" i="24"/>
  <c r="O12" i="25"/>
  <c r="W12" i="24"/>
  <c r="AE12" i="24" s="1"/>
  <c r="AL12" i="24" s="1" a="1"/>
  <c r="AL12" i="24" s="1"/>
  <c r="AP12" i="24" s="1"/>
  <c r="AI4" i="25"/>
  <c r="AG14" i="25"/>
  <c r="AM14" i="25" s="1"/>
  <c r="AI14" i="25"/>
  <c r="O4" i="25"/>
  <c r="O10" i="24"/>
  <c r="AD3" i="25"/>
  <c r="W4" i="25"/>
  <c r="AE4" i="25" s="1"/>
  <c r="AL4" i="25" s="1" a="1"/>
  <c r="AL4" i="25" s="1"/>
  <c r="AP4" i="25" s="1"/>
  <c r="AG10" i="25"/>
  <c r="AG11" i="24"/>
  <c r="O10" i="25"/>
  <c r="AI13" i="24"/>
  <c r="W10" i="25"/>
  <c r="AE10" i="25" s="1"/>
  <c r="AL10" i="25" s="1" a="1"/>
  <c r="AL10" i="25" s="1"/>
  <c r="AN10" i="25" s="1"/>
  <c r="W16" i="24"/>
  <c r="AE16" i="24" s="1"/>
  <c r="AL16" i="24" s="1" a="1"/>
  <c r="AL16" i="24" s="1"/>
  <c r="AI9" i="25"/>
  <c r="W14" i="25"/>
  <c r="AE14" i="25" s="1"/>
  <c r="AL14" i="25" s="1" a="1"/>
  <c r="AL14" i="25" s="1"/>
  <c r="AP14" i="25" s="1"/>
  <c r="Y4" i="25"/>
  <c r="O16" i="24"/>
  <c r="AG13" i="25"/>
  <c r="AM13" i="25" s="1"/>
  <c r="AI13" i="25"/>
  <c r="AI12" i="25"/>
  <c r="AI12" i="24"/>
  <c r="AD11" i="25"/>
  <c r="W9" i="24"/>
  <c r="AE9" i="24" s="1"/>
  <c r="AL9" i="24" s="1" a="1"/>
  <c r="AL9" i="24" s="1"/>
  <c r="AM9" i="24" s="1"/>
  <c r="AI6" i="25"/>
  <c r="AG8" i="24"/>
  <c r="AG12" i="25"/>
  <c r="AM12" i="25" s="1"/>
  <c r="AI8" i="25"/>
  <c r="W11" i="24"/>
  <c r="Y14" i="25"/>
  <c r="O7" i="24"/>
  <c r="Y9" i="24"/>
  <c r="AD13" i="25"/>
  <c r="Y5" i="25"/>
  <c r="Y12" i="25"/>
  <c r="AE12" i="25"/>
  <c r="AL12" i="25" s="1" a="1"/>
  <c r="AL12" i="25" s="1"/>
  <c r="AP12" i="25" s="1"/>
  <c r="AD7" i="24"/>
  <c r="AE7" i="24" s="1"/>
  <c r="AL7" i="24" s="1" a="1"/>
  <c r="AL7" i="24" s="1"/>
  <c r="AN7" i="24" s="1"/>
  <c r="AG6" i="25"/>
  <c r="AM6" i="25" s="1"/>
  <c r="Y15" i="25"/>
  <c r="AI11" i="24"/>
  <c r="O6" i="25"/>
  <c r="Y7" i="25"/>
  <c r="AD13" i="24"/>
  <c r="W13" i="24"/>
  <c r="AG7" i="24"/>
  <c r="AI15" i="24"/>
  <c r="AI14" i="24"/>
  <c r="Y8" i="25"/>
  <c r="O9" i="24"/>
  <c r="AG8" i="25"/>
  <c r="AM8" i="25" s="1"/>
  <c r="AD6" i="25"/>
  <c r="O8" i="24"/>
  <c r="AA22" i="25"/>
  <c r="AA25" i="25" s="1"/>
  <c r="AK24" i="25" s="1"/>
  <c r="W8" i="25"/>
  <c r="AE8" i="25" s="1"/>
  <c r="AL8" i="25" s="1" a="1"/>
  <c r="AL8" i="25" s="1"/>
  <c r="AP8" i="25" s="1"/>
  <c r="AI9" i="24"/>
  <c r="W4" i="24"/>
  <c r="AG4" i="24"/>
  <c r="AI7" i="24"/>
  <c r="O4" i="24"/>
  <c r="Y16" i="24"/>
  <c r="AI5" i="25"/>
  <c r="Y16" i="25"/>
  <c r="AJ17" i="24"/>
  <c r="W5" i="25"/>
  <c r="AE5" i="25" s="1"/>
  <c r="AL5" i="25" s="1" a="1"/>
  <c r="AL5" i="25" s="1"/>
  <c r="AN5" i="25" s="1"/>
  <c r="AI5" i="24"/>
  <c r="Y12" i="24"/>
  <c r="O5" i="25"/>
  <c r="U18" i="25"/>
  <c r="U24" i="25" s="1"/>
  <c r="AE10" i="24"/>
  <c r="AL10" i="24" s="1" a="1"/>
  <c r="AL10" i="24" s="1"/>
  <c r="AP10" i="24" s="1"/>
  <c r="Y6" i="24"/>
  <c r="AI15" i="25"/>
  <c r="W15" i="25"/>
  <c r="AE15" i="25" s="1"/>
  <c r="AL15" i="25" s="1" a="1"/>
  <c r="AL15" i="25" s="1"/>
  <c r="O15" i="25"/>
  <c r="AG15" i="25"/>
  <c r="AI7" i="25"/>
  <c r="W7" i="25"/>
  <c r="AE7" i="25" s="1"/>
  <c r="AL7" i="25" s="1" a="1"/>
  <c r="AL7" i="25" s="1"/>
  <c r="O7" i="25"/>
  <c r="AG7" i="25"/>
  <c r="AM7" i="25" s="1"/>
  <c r="AK17" i="25"/>
  <c r="AK17" i="24"/>
  <c r="AG14" i="24"/>
  <c r="AM14" i="24" s="1"/>
  <c r="AG15" i="24"/>
  <c r="U18" i="24"/>
  <c r="U24" i="24" s="1"/>
  <c r="AJ17" i="25"/>
  <c r="AI3" i="25"/>
  <c r="W3" i="25"/>
  <c r="O3" i="25"/>
  <c r="R18" i="25"/>
  <c r="R24" i="25" s="1"/>
  <c r="AG3" i="25"/>
  <c r="AD14" i="24"/>
  <c r="AE14" i="24" s="1"/>
  <c r="AL14" i="24" s="1" a="1"/>
  <c r="AL14" i="24" s="1"/>
  <c r="Y5" i="24"/>
  <c r="AD3" i="24"/>
  <c r="O14" i="24"/>
  <c r="O15" i="24"/>
  <c r="Y10" i="24"/>
  <c r="AI11" i="25"/>
  <c r="W11" i="25"/>
  <c r="O11" i="25"/>
  <c r="AG11" i="25"/>
  <c r="AE8" i="24"/>
  <c r="AL8" i="24" s="1" a="1"/>
  <c r="AL8" i="24" s="1"/>
  <c r="AP8" i="24" s="1"/>
  <c r="W5" i="24"/>
  <c r="AE5" i="24" s="1"/>
  <c r="AL5" i="24" s="1" a="1"/>
  <c r="AL5" i="24" s="1"/>
  <c r="AP5" i="24" s="1"/>
  <c r="O5" i="24"/>
  <c r="AI3" i="24"/>
  <c r="W3" i="24"/>
  <c r="O3" i="24"/>
  <c r="AG3" i="24"/>
  <c r="R18" i="24"/>
  <c r="R24" i="24" s="1"/>
  <c r="P24" i="24"/>
  <c r="AA22" i="24" s="1"/>
  <c r="N3" i="14"/>
  <c r="AM15" i="24" l="1"/>
  <c r="AM6" i="24"/>
  <c r="AM7" i="24"/>
  <c r="AM10" i="25"/>
  <c r="AM10" i="24"/>
  <c r="AM12" i="24"/>
  <c r="AM15" i="25"/>
  <c r="AM8" i="24"/>
  <c r="AM4" i="25"/>
  <c r="AE11" i="24"/>
  <c r="AL11" i="24" s="1" a="1"/>
  <c r="AL11" i="24" s="1"/>
  <c r="AP11" i="24" s="1"/>
  <c r="AE13" i="25"/>
  <c r="AL13" i="25" s="1" a="1"/>
  <c r="AL13" i="25" s="1"/>
  <c r="AP13" i="25" s="1"/>
  <c r="AP10" i="25"/>
  <c r="AE11" i="25"/>
  <c r="AL11" i="25" s="1" a="1"/>
  <c r="AL11" i="25" s="1"/>
  <c r="AP11" i="25" s="1"/>
  <c r="AE4" i="24"/>
  <c r="AL4" i="24" s="1" a="1"/>
  <c r="AL4" i="24" s="1"/>
  <c r="AP4" i="24" s="1"/>
  <c r="Y18" i="25"/>
  <c r="AN9" i="24"/>
  <c r="AP9" i="24"/>
  <c r="AN12" i="25"/>
  <c r="AN4" i="25"/>
  <c r="AP16" i="24"/>
  <c r="AN16" i="24"/>
  <c r="AN9" i="25"/>
  <c r="AE13" i="24"/>
  <c r="AL13" i="24" s="1" a="1"/>
  <c r="AL13" i="24" s="1"/>
  <c r="AN10" i="24"/>
  <c r="AI17" i="24"/>
  <c r="AD18" i="25"/>
  <c r="AD24" i="25" s="1"/>
  <c r="AD18" i="24"/>
  <c r="AD24" i="24" s="1"/>
  <c r="AN8" i="25"/>
  <c r="AP7" i="24"/>
  <c r="AE6" i="25"/>
  <c r="AL6" i="25" s="1" a="1"/>
  <c r="AL6" i="25" s="1"/>
  <c r="AP6" i="25" s="1"/>
  <c r="AP5" i="25"/>
  <c r="AN16" i="25"/>
  <c r="AN15" i="24"/>
  <c r="AN14" i="25"/>
  <c r="AN5" i="24"/>
  <c r="AN12" i="24"/>
  <c r="AP14" i="24"/>
  <c r="AN14" i="24"/>
  <c r="AP7" i="25"/>
  <c r="AN7" i="25"/>
  <c r="AP15" i="25"/>
  <c r="AN15" i="25"/>
  <c r="V4" i="25"/>
  <c r="Y24" i="25"/>
  <c r="V7" i="25"/>
  <c r="V9" i="25"/>
  <c r="V10" i="25"/>
  <c r="V8" i="25"/>
  <c r="V14" i="25"/>
  <c r="V16" i="25"/>
  <c r="V5" i="25"/>
  <c r="V12" i="25"/>
  <c r="V6" i="25"/>
  <c r="V13" i="25"/>
  <c r="V3" i="25"/>
  <c r="V11" i="25"/>
  <c r="V15" i="25"/>
  <c r="AM3" i="25"/>
  <c r="AG17" i="25"/>
  <c r="Y18" i="24"/>
  <c r="AN8" i="24"/>
  <c r="W18" i="25"/>
  <c r="W24" i="25" s="1"/>
  <c r="AE3" i="25"/>
  <c r="AI17" i="25"/>
  <c r="AN6" i="24"/>
  <c r="AG17" i="24"/>
  <c r="V4" i="24"/>
  <c r="V14" i="24"/>
  <c r="V11" i="24"/>
  <c r="V12" i="24"/>
  <c r="V13" i="24"/>
  <c r="Y24" i="24"/>
  <c r="V10" i="24"/>
  <c r="V9" i="24"/>
  <c r="V5" i="24"/>
  <c r="V16" i="24"/>
  <c r="V3" i="24"/>
  <c r="V6" i="24"/>
  <c r="V15" i="24"/>
  <c r="V8" i="24"/>
  <c r="V7" i="24"/>
  <c r="W18" i="24"/>
  <c r="W24" i="24" s="1"/>
  <c r="AE3" i="24"/>
  <c r="AA25" i="24"/>
  <c r="AK24" i="24" s="1"/>
  <c r="AD22" i="15"/>
  <c r="AD22" i="16"/>
  <c r="AD22" i="14"/>
  <c r="AD22" i="4"/>
  <c r="AD16" i="4"/>
  <c r="AD15" i="4"/>
  <c r="AD14" i="4"/>
  <c r="AD13" i="4"/>
  <c r="AD12" i="4"/>
  <c r="AD11" i="4"/>
  <c r="AD10" i="4"/>
  <c r="AD9" i="4"/>
  <c r="AD8" i="4"/>
  <c r="AD7" i="4"/>
  <c r="AD6" i="4"/>
  <c r="AD5" i="4"/>
  <c r="AD4" i="4"/>
  <c r="AD3" i="4"/>
  <c r="AD18" i="4" s="1"/>
  <c r="AD24" i="4" s="1"/>
  <c r="AD22" i="3"/>
  <c r="AD16" i="3"/>
  <c r="AD15" i="3"/>
  <c r="AD14" i="3"/>
  <c r="AD13" i="3"/>
  <c r="AD12" i="3"/>
  <c r="AD11" i="3"/>
  <c r="AD10" i="3"/>
  <c r="AD9" i="3"/>
  <c r="AD8" i="3"/>
  <c r="AD7" i="3"/>
  <c r="AD6" i="3"/>
  <c r="AD5" i="3"/>
  <c r="AD4" i="3"/>
  <c r="AD3" i="3"/>
  <c r="AD18" i="3" s="1"/>
  <c r="AD24" i="3" s="1"/>
  <c r="AD22" i="13"/>
  <c r="AD16" i="13"/>
  <c r="AD15" i="13"/>
  <c r="AD14" i="13"/>
  <c r="AD13" i="13"/>
  <c r="AD12" i="13"/>
  <c r="AD11" i="13"/>
  <c r="AD10" i="13"/>
  <c r="AD9" i="13"/>
  <c r="AD8" i="13"/>
  <c r="AD7" i="13"/>
  <c r="AD6" i="13"/>
  <c r="AD5" i="13"/>
  <c r="AD4" i="13"/>
  <c r="AD3" i="13"/>
  <c r="AD18" i="13" s="1"/>
  <c r="AD24" i="13" s="1"/>
  <c r="AD16" i="12"/>
  <c r="AD15" i="12"/>
  <c r="AD14" i="12"/>
  <c r="AD13" i="12"/>
  <c r="AD12" i="12"/>
  <c r="AD11" i="12"/>
  <c r="AD10" i="12"/>
  <c r="AD9" i="12"/>
  <c r="AD8" i="12"/>
  <c r="AD7" i="12"/>
  <c r="AD6" i="12"/>
  <c r="AD5" i="12"/>
  <c r="AD4" i="12"/>
  <c r="AD3" i="12"/>
  <c r="AM11" i="24" l="1"/>
  <c r="AN13" i="24"/>
  <c r="AM13" i="24"/>
  <c r="V18" i="25"/>
  <c r="V24" i="25" s="1"/>
  <c r="V18" i="24"/>
  <c r="V24" i="24" s="1"/>
  <c r="AM11" i="25"/>
  <c r="AM17" i="25"/>
  <c r="AM4" i="24"/>
  <c r="AM17" i="24" s="1"/>
  <c r="AN11" i="24"/>
  <c r="AN13" i="25"/>
  <c r="AN4" i="24"/>
  <c r="AN11" i="25"/>
  <c r="AP13" i="24"/>
  <c r="AN6" i="25"/>
  <c r="AE18" i="25"/>
  <c r="AE24" i="25" s="1"/>
  <c r="AL3" i="25"/>
  <c r="AE18" i="24"/>
  <c r="AE24" i="24" s="1"/>
  <c r="AL3" i="24"/>
  <c r="AM3" i="24" s="1"/>
  <c r="J8" i="20"/>
  <c r="J10" i="20"/>
  <c r="J5" i="20"/>
  <c r="J7" i="20"/>
  <c r="J11" i="20"/>
  <c r="J12" i="20"/>
  <c r="J13" i="20"/>
  <c r="J4" i="20"/>
  <c r="J14" i="20"/>
  <c r="J15" i="20"/>
  <c r="J16" i="20"/>
  <c r="J6" i="20"/>
  <c r="J17" i="20"/>
  <c r="J9" i="20"/>
  <c r="J9" i="19"/>
  <c r="J10" i="19"/>
  <c r="J6" i="19"/>
  <c r="J7" i="19"/>
  <c r="J8" i="19"/>
  <c r="J12" i="19"/>
  <c r="J13" i="19"/>
  <c r="J5" i="19"/>
  <c r="J14" i="19"/>
  <c r="J15" i="19"/>
  <c r="J16" i="19"/>
  <c r="J4" i="19"/>
  <c r="J17" i="19"/>
  <c r="J11" i="19"/>
  <c r="J10" i="18"/>
  <c r="J11" i="18"/>
  <c r="J6" i="18"/>
  <c r="J8" i="18"/>
  <c r="J7" i="18"/>
  <c r="J12" i="18"/>
  <c r="J13" i="18"/>
  <c r="J4" i="18"/>
  <c r="J14" i="18"/>
  <c r="J15" i="18"/>
  <c r="J16" i="18"/>
  <c r="J5" i="18"/>
  <c r="J17" i="18"/>
  <c r="J9" i="18"/>
  <c r="J10" i="17"/>
  <c r="J11" i="17"/>
  <c r="J6" i="17"/>
  <c r="J7" i="17"/>
  <c r="J8" i="17"/>
  <c r="J12" i="17"/>
  <c r="J13" i="17"/>
  <c r="J5" i="17"/>
  <c r="K5" i="17" s="1"/>
  <c r="J14" i="17"/>
  <c r="J15" i="17"/>
  <c r="J16" i="17"/>
  <c r="J4" i="17"/>
  <c r="J17" i="17"/>
  <c r="J9" i="17"/>
  <c r="J42" i="23"/>
  <c r="K35" i="23" s="1"/>
  <c r="C42" i="23"/>
  <c r="D39" i="23" s="1"/>
  <c r="K41" i="23"/>
  <c r="G41" i="23"/>
  <c r="G40" i="23"/>
  <c r="D40" i="23"/>
  <c r="G39" i="23"/>
  <c r="K38" i="23"/>
  <c r="G38" i="23"/>
  <c r="D38" i="23"/>
  <c r="G37" i="23"/>
  <c r="D37" i="23"/>
  <c r="K36" i="23"/>
  <c r="G36" i="23"/>
  <c r="G35" i="23"/>
  <c r="K34" i="23"/>
  <c r="G34" i="23"/>
  <c r="D34" i="23"/>
  <c r="K33" i="23"/>
  <c r="G33" i="23"/>
  <c r="G32" i="23"/>
  <c r="D32" i="23"/>
  <c r="G31" i="23"/>
  <c r="K30" i="23"/>
  <c r="G30" i="23"/>
  <c r="D30" i="23"/>
  <c r="G29" i="23"/>
  <c r="D29" i="23"/>
  <c r="K28" i="23"/>
  <c r="G28" i="23"/>
  <c r="G27" i="23"/>
  <c r="K26" i="23"/>
  <c r="G26" i="23"/>
  <c r="D26" i="23"/>
  <c r="K25" i="23"/>
  <c r="G25" i="23"/>
  <c r="G24" i="23"/>
  <c r="D24" i="23"/>
  <c r="G23" i="23"/>
  <c r="K22" i="23"/>
  <c r="K42" i="23" s="1"/>
  <c r="G22" i="23"/>
  <c r="D22" i="23"/>
  <c r="D42" i="23" s="1"/>
  <c r="J18" i="23"/>
  <c r="K11" i="23" s="1"/>
  <c r="C18" i="23"/>
  <c r="D15" i="23" s="1"/>
  <c r="K17" i="23"/>
  <c r="K14" i="23"/>
  <c r="D14" i="23"/>
  <c r="D13" i="23"/>
  <c r="K12" i="23"/>
  <c r="K10" i="23"/>
  <c r="D10" i="23"/>
  <c r="K9" i="23"/>
  <c r="D8" i="23"/>
  <c r="K6" i="23"/>
  <c r="D6" i="23"/>
  <c r="D5" i="23"/>
  <c r="K4" i="23"/>
  <c r="K18" i="23" s="1"/>
  <c r="J42" i="22"/>
  <c r="C42" i="22"/>
  <c r="K41" i="22"/>
  <c r="G41" i="22"/>
  <c r="D41" i="22"/>
  <c r="K40" i="22"/>
  <c r="G40" i="22"/>
  <c r="D40" i="22"/>
  <c r="K39" i="22"/>
  <c r="G39" i="22"/>
  <c r="D39" i="22"/>
  <c r="K38" i="22"/>
  <c r="G38" i="22"/>
  <c r="D38" i="22"/>
  <c r="K37" i="22"/>
  <c r="G37" i="22"/>
  <c r="D37" i="22"/>
  <c r="K36" i="22"/>
  <c r="G36" i="22"/>
  <c r="D36" i="22"/>
  <c r="K35" i="22"/>
  <c r="G35" i="22"/>
  <c r="D35" i="22"/>
  <c r="K34" i="22"/>
  <c r="G34" i="22"/>
  <c r="D34" i="22"/>
  <c r="K33" i="22"/>
  <c r="G33" i="22"/>
  <c r="D33" i="22"/>
  <c r="K32" i="22"/>
  <c r="G32" i="22"/>
  <c r="D32" i="22"/>
  <c r="K31" i="22"/>
  <c r="G31" i="22"/>
  <c r="D31" i="22"/>
  <c r="K30" i="22"/>
  <c r="G30" i="22"/>
  <c r="D30" i="22"/>
  <c r="K29" i="22"/>
  <c r="G29" i="22"/>
  <c r="D29" i="22"/>
  <c r="K28" i="22"/>
  <c r="G28" i="22"/>
  <c r="D28" i="22"/>
  <c r="K27" i="22"/>
  <c r="G27" i="22"/>
  <c r="D27" i="22"/>
  <c r="K26" i="22"/>
  <c r="G26" i="22"/>
  <c r="D26" i="22"/>
  <c r="K25" i="22"/>
  <c r="G25" i="22"/>
  <c r="D25" i="22"/>
  <c r="K24" i="22"/>
  <c r="G24" i="22"/>
  <c r="D24" i="22"/>
  <c r="K23" i="22"/>
  <c r="G23" i="22"/>
  <c r="D23" i="22"/>
  <c r="K22" i="22"/>
  <c r="K42" i="22" s="1"/>
  <c r="G22" i="22"/>
  <c r="D22" i="22"/>
  <c r="D42" i="22" s="1"/>
  <c r="J18" i="22"/>
  <c r="K12" i="22" s="1"/>
  <c r="C18" i="22"/>
  <c r="D15" i="22" s="1"/>
  <c r="K7" i="22"/>
  <c r="K5" i="22"/>
  <c r="J42" i="21"/>
  <c r="C42" i="21"/>
  <c r="D39" i="21" s="1"/>
  <c r="K41" i="21"/>
  <c r="G41" i="21"/>
  <c r="K40" i="21"/>
  <c r="G40" i="21"/>
  <c r="K39" i="21"/>
  <c r="G39" i="21"/>
  <c r="K38" i="21"/>
  <c r="G38" i="21"/>
  <c r="K37" i="21"/>
  <c r="G37" i="21"/>
  <c r="D37" i="21"/>
  <c r="K36" i="21"/>
  <c r="G36" i="21"/>
  <c r="D36" i="21"/>
  <c r="K35" i="21"/>
  <c r="G35" i="21"/>
  <c r="K34" i="21"/>
  <c r="G34" i="21"/>
  <c r="D34" i="21"/>
  <c r="K33" i="21"/>
  <c r="G33" i="21"/>
  <c r="K32" i="21"/>
  <c r="G32" i="21"/>
  <c r="K31" i="21"/>
  <c r="G31" i="21"/>
  <c r="K30" i="21"/>
  <c r="G30" i="21"/>
  <c r="K29" i="21"/>
  <c r="G29" i="21"/>
  <c r="D29" i="21"/>
  <c r="K28" i="21"/>
  <c r="G28" i="21"/>
  <c r="D28" i="21"/>
  <c r="K27" i="21"/>
  <c r="G27" i="21"/>
  <c r="K26" i="21"/>
  <c r="G26" i="21"/>
  <c r="D26" i="21"/>
  <c r="K25" i="21"/>
  <c r="G25" i="21"/>
  <c r="K24" i="21"/>
  <c r="G24" i="21"/>
  <c r="K23" i="21"/>
  <c r="G23" i="21"/>
  <c r="K22" i="21"/>
  <c r="K42" i="21" s="1"/>
  <c r="G22" i="21"/>
  <c r="J18" i="21"/>
  <c r="K16" i="21" s="1"/>
  <c r="C18" i="21"/>
  <c r="D15" i="21" s="1"/>
  <c r="J42" i="20"/>
  <c r="C42" i="20"/>
  <c r="D39" i="20" s="1"/>
  <c r="K41" i="20"/>
  <c r="G41" i="20"/>
  <c r="K40" i="20"/>
  <c r="G40" i="20"/>
  <c r="K39" i="20"/>
  <c r="G39" i="20"/>
  <c r="K38" i="20"/>
  <c r="G38" i="20"/>
  <c r="K37" i="20"/>
  <c r="G37" i="20"/>
  <c r="K36" i="20"/>
  <c r="G36" i="20"/>
  <c r="D36" i="20"/>
  <c r="K35" i="20"/>
  <c r="G35" i="20"/>
  <c r="D35" i="20"/>
  <c r="K34" i="20"/>
  <c r="G34" i="20"/>
  <c r="D34" i="20"/>
  <c r="K33" i="20"/>
  <c r="G33" i="20"/>
  <c r="K32" i="20"/>
  <c r="G32" i="20"/>
  <c r="K31" i="20"/>
  <c r="G31" i="20"/>
  <c r="K30" i="20"/>
  <c r="G30" i="20"/>
  <c r="K29" i="20"/>
  <c r="G29" i="20"/>
  <c r="K28" i="20"/>
  <c r="G28" i="20"/>
  <c r="D28" i="20"/>
  <c r="K27" i="20"/>
  <c r="G27" i="20"/>
  <c r="D27" i="20"/>
  <c r="K26" i="20"/>
  <c r="G26" i="20"/>
  <c r="D26" i="20"/>
  <c r="K25" i="20"/>
  <c r="G25" i="20"/>
  <c r="K24" i="20"/>
  <c r="G24" i="20"/>
  <c r="K23" i="20"/>
  <c r="G23" i="20"/>
  <c r="K22" i="20"/>
  <c r="K42" i="20" s="1"/>
  <c r="G22" i="20"/>
  <c r="J42" i="19"/>
  <c r="C42" i="19"/>
  <c r="K41" i="19"/>
  <c r="G41" i="19"/>
  <c r="D41" i="19"/>
  <c r="K40" i="19"/>
  <c r="G40" i="19"/>
  <c r="D40" i="19"/>
  <c r="K39" i="19"/>
  <c r="G39" i="19"/>
  <c r="D39" i="19"/>
  <c r="K38" i="19"/>
  <c r="G38" i="19"/>
  <c r="D38" i="19"/>
  <c r="K37" i="19"/>
  <c r="G37" i="19"/>
  <c r="D37" i="19"/>
  <c r="K36" i="19"/>
  <c r="G36" i="19"/>
  <c r="D36" i="19"/>
  <c r="K35" i="19"/>
  <c r="G35" i="19"/>
  <c r="D35" i="19"/>
  <c r="K34" i="19"/>
  <c r="G34" i="19"/>
  <c r="D34" i="19"/>
  <c r="K33" i="19"/>
  <c r="G33" i="19"/>
  <c r="D33" i="19"/>
  <c r="K32" i="19"/>
  <c r="G32" i="19"/>
  <c r="D32" i="19"/>
  <c r="K31" i="19"/>
  <c r="G31" i="19"/>
  <c r="D31" i="19"/>
  <c r="K30" i="19"/>
  <c r="G30" i="19"/>
  <c r="D30" i="19"/>
  <c r="K29" i="19"/>
  <c r="G29" i="19"/>
  <c r="D29" i="19"/>
  <c r="K28" i="19"/>
  <c r="G28" i="19"/>
  <c r="D28" i="19"/>
  <c r="K27" i="19"/>
  <c r="G27" i="19"/>
  <c r="D27" i="19"/>
  <c r="K26" i="19"/>
  <c r="G26" i="19"/>
  <c r="D26" i="19"/>
  <c r="K25" i="19"/>
  <c r="G25" i="19"/>
  <c r="D25" i="19"/>
  <c r="K24" i="19"/>
  <c r="G24" i="19"/>
  <c r="D24" i="19"/>
  <c r="K23" i="19"/>
  <c r="G23" i="19"/>
  <c r="D23" i="19"/>
  <c r="E23" i="19" s="1"/>
  <c r="K22" i="19"/>
  <c r="K42" i="19" s="1"/>
  <c r="G22" i="19"/>
  <c r="E22" i="19"/>
  <c r="F22" i="19" s="1"/>
  <c r="D22" i="19"/>
  <c r="D42" i="19" s="1"/>
  <c r="J18" i="19"/>
  <c r="K17" i="19" s="1"/>
  <c r="J42" i="18"/>
  <c r="C42" i="18"/>
  <c r="D39" i="18" s="1"/>
  <c r="K41" i="18"/>
  <c r="G41" i="18"/>
  <c r="D41" i="18"/>
  <c r="K40" i="18"/>
  <c r="G40" i="18"/>
  <c r="K39" i="18"/>
  <c r="G39" i="18"/>
  <c r="K38" i="18"/>
  <c r="G38" i="18"/>
  <c r="D38" i="18"/>
  <c r="K37" i="18"/>
  <c r="G37" i="18"/>
  <c r="D37" i="18"/>
  <c r="K36" i="18"/>
  <c r="G36" i="18"/>
  <c r="K35" i="18"/>
  <c r="G35" i="18"/>
  <c r="D35" i="18"/>
  <c r="K34" i="18"/>
  <c r="G34" i="18"/>
  <c r="D34" i="18"/>
  <c r="K33" i="18"/>
  <c r="G33" i="18"/>
  <c r="D33" i="18"/>
  <c r="K32" i="18"/>
  <c r="G32" i="18"/>
  <c r="K31" i="18"/>
  <c r="G31" i="18"/>
  <c r="K30" i="18"/>
  <c r="G30" i="18"/>
  <c r="D30" i="18"/>
  <c r="K29" i="18"/>
  <c r="G29" i="18"/>
  <c r="D29" i="18"/>
  <c r="K28" i="18"/>
  <c r="G28" i="18"/>
  <c r="K27" i="18"/>
  <c r="G27" i="18"/>
  <c r="D27" i="18"/>
  <c r="K26" i="18"/>
  <c r="G26" i="18"/>
  <c r="D26" i="18"/>
  <c r="K25" i="18"/>
  <c r="G25" i="18"/>
  <c r="D25" i="18"/>
  <c r="K24" i="18"/>
  <c r="G24" i="18"/>
  <c r="K23" i="18"/>
  <c r="G23" i="18"/>
  <c r="K22" i="18"/>
  <c r="K42" i="18" s="1"/>
  <c r="G22" i="18"/>
  <c r="D22" i="18"/>
  <c r="D42" i="18" s="1"/>
  <c r="K42" i="17"/>
  <c r="J42" i="17"/>
  <c r="C42" i="17"/>
  <c r="K41" i="17"/>
  <c r="G41" i="17"/>
  <c r="D41" i="17"/>
  <c r="K40" i="17"/>
  <c r="G40" i="17"/>
  <c r="D40" i="17"/>
  <c r="K39" i="17"/>
  <c r="G39" i="17"/>
  <c r="D39" i="17"/>
  <c r="K38" i="17"/>
  <c r="G38" i="17"/>
  <c r="D38" i="17"/>
  <c r="K37" i="17"/>
  <c r="G37" i="17"/>
  <c r="D37" i="17"/>
  <c r="K36" i="17"/>
  <c r="G36" i="17"/>
  <c r="D36" i="17"/>
  <c r="K35" i="17"/>
  <c r="G35" i="17"/>
  <c r="D35" i="17"/>
  <c r="K34" i="17"/>
  <c r="G34" i="17"/>
  <c r="D34" i="17"/>
  <c r="K33" i="17"/>
  <c r="G33" i="17"/>
  <c r="D33" i="17"/>
  <c r="K32" i="17"/>
  <c r="G32" i="17"/>
  <c r="D32" i="17"/>
  <c r="K31" i="17"/>
  <c r="G31" i="17"/>
  <c r="D31" i="17"/>
  <c r="K30" i="17"/>
  <c r="G30" i="17"/>
  <c r="D30" i="17"/>
  <c r="K29" i="17"/>
  <c r="G29" i="17"/>
  <c r="D29" i="17"/>
  <c r="K28" i="17"/>
  <c r="G28" i="17"/>
  <c r="D28" i="17"/>
  <c r="K27" i="17"/>
  <c r="G27" i="17"/>
  <c r="D27" i="17"/>
  <c r="K26" i="17"/>
  <c r="G26" i="17"/>
  <c r="D26" i="17"/>
  <c r="K25" i="17"/>
  <c r="G25" i="17"/>
  <c r="D25" i="17"/>
  <c r="K24" i="17"/>
  <c r="G24" i="17"/>
  <c r="D24" i="17"/>
  <c r="K23" i="17"/>
  <c r="G23" i="17"/>
  <c r="D23" i="17"/>
  <c r="E23" i="17" s="1"/>
  <c r="K22" i="17"/>
  <c r="L22" i="17" s="1"/>
  <c r="M22" i="17" s="1"/>
  <c r="G22" i="17"/>
  <c r="E22" i="17"/>
  <c r="F22" i="17" s="1"/>
  <c r="D22" i="17"/>
  <c r="D42" i="17" s="1"/>
  <c r="J18" i="17"/>
  <c r="K6" i="17" s="1"/>
  <c r="D5" i="22" l="1"/>
  <c r="D6" i="22"/>
  <c r="D12" i="22"/>
  <c r="D4" i="22"/>
  <c r="K4" i="22"/>
  <c r="K9" i="22"/>
  <c r="K10" i="22"/>
  <c r="K13" i="22"/>
  <c r="K15" i="22"/>
  <c r="K6" i="22"/>
  <c r="K8" i="22"/>
  <c r="K14" i="22"/>
  <c r="K16" i="22"/>
  <c r="K17" i="22"/>
  <c r="K11" i="22"/>
  <c r="D9" i="22"/>
  <c r="D10" i="22"/>
  <c r="D7" i="22"/>
  <c r="D8" i="22"/>
  <c r="D13" i="22"/>
  <c r="D11" i="22"/>
  <c r="D17" i="22"/>
  <c r="D14" i="22"/>
  <c r="K8" i="21"/>
  <c r="K5" i="21"/>
  <c r="K17" i="21"/>
  <c r="K4" i="21"/>
  <c r="K6" i="21"/>
  <c r="K7" i="21"/>
  <c r="K9" i="21"/>
  <c r="K11" i="21"/>
  <c r="K10" i="21"/>
  <c r="K12" i="21"/>
  <c r="K13" i="21"/>
  <c r="K14" i="21"/>
  <c r="K15" i="21"/>
  <c r="D11" i="21"/>
  <c r="D4" i="21"/>
  <c r="D8" i="21"/>
  <c r="D5" i="21"/>
  <c r="D9" i="21"/>
  <c r="D7" i="21"/>
  <c r="D6" i="21"/>
  <c r="D10" i="21"/>
  <c r="AL17" i="25"/>
  <c r="AP3" i="25"/>
  <c r="AN3" i="25"/>
  <c r="AN17" i="25" s="1"/>
  <c r="AP3" i="24"/>
  <c r="AL17" i="24"/>
  <c r="AN3" i="24"/>
  <c r="AN17" i="24" s="1"/>
  <c r="D12" i="21"/>
  <c r="D13" i="21"/>
  <c r="D14" i="21"/>
  <c r="J18" i="20"/>
  <c r="K5" i="20" s="1"/>
  <c r="K9" i="20"/>
  <c r="K17" i="20"/>
  <c r="K9" i="19"/>
  <c r="K8" i="19"/>
  <c r="K10" i="19"/>
  <c r="K5" i="19"/>
  <c r="K4" i="19"/>
  <c r="L4" i="19" s="1"/>
  <c r="M4" i="19" s="1"/>
  <c r="K12" i="19"/>
  <c r="K13" i="19"/>
  <c r="K7" i="19"/>
  <c r="K6" i="19"/>
  <c r="K11" i="19"/>
  <c r="K14" i="19"/>
  <c r="K15" i="19"/>
  <c r="K16" i="19"/>
  <c r="J18" i="18"/>
  <c r="K8" i="18" s="1"/>
  <c r="K13" i="18"/>
  <c r="K4" i="18"/>
  <c r="L4" i="18" s="1"/>
  <c r="K11" i="18"/>
  <c r="K14" i="18"/>
  <c r="K17" i="18"/>
  <c r="K6" i="18"/>
  <c r="K12" i="18"/>
  <c r="K8" i="17"/>
  <c r="K4" i="17"/>
  <c r="L4" i="17" s="1"/>
  <c r="M4" i="17" s="1"/>
  <c r="K9" i="17"/>
  <c r="K12" i="17"/>
  <c r="K13" i="17"/>
  <c r="K14" i="17"/>
  <c r="K15" i="17"/>
  <c r="K16" i="17"/>
  <c r="K17" i="17"/>
  <c r="K11" i="17"/>
  <c r="K10" i="17"/>
  <c r="K7" i="17"/>
  <c r="D4" i="23"/>
  <c r="K8" i="23"/>
  <c r="D12" i="23"/>
  <c r="K16" i="23"/>
  <c r="K24" i="23"/>
  <c r="D28" i="23"/>
  <c r="K32" i="23"/>
  <c r="D36" i="23"/>
  <c r="K40" i="23"/>
  <c r="E22" i="23"/>
  <c r="F22" i="23" s="1"/>
  <c r="K7" i="23"/>
  <c r="D11" i="23"/>
  <c r="K15" i="23"/>
  <c r="K23" i="23"/>
  <c r="L23" i="23" s="1"/>
  <c r="M23" i="23" s="1"/>
  <c r="D27" i="23"/>
  <c r="K31" i="23"/>
  <c r="D35" i="23"/>
  <c r="K39" i="23"/>
  <c r="K5" i="23"/>
  <c r="L5" i="23" s="1"/>
  <c r="M5" i="23" s="1"/>
  <c r="G5" i="23" s="1"/>
  <c r="D9" i="23"/>
  <c r="K13" i="23"/>
  <c r="D17" i="23"/>
  <c r="L22" i="23"/>
  <c r="M22" i="23" s="1"/>
  <c r="D25" i="23"/>
  <c r="K29" i="23"/>
  <c r="D33" i="23"/>
  <c r="K37" i="23"/>
  <c r="D41" i="23"/>
  <c r="D16" i="23"/>
  <c r="L4" i="23"/>
  <c r="M4" i="23" s="1"/>
  <c r="G4" i="23" s="1"/>
  <c r="D7" i="23"/>
  <c r="D23" i="23"/>
  <c r="K27" i="23"/>
  <c r="D31" i="23"/>
  <c r="E22" i="22"/>
  <c r="E4" i="22"/>
  <c r="L22" i="22"/>
  <c r="M22" i="22" s="1"/>
  <c r="D16" i="22"/>
  <c r="L4" i="22"/>
  <c r="M4" i="22" s="1"/>
  <c r="D22" i="21"/>
  <c r="D30" i="21"/>
  <c r="D38" i="21"/>
  <c r="E4" i="21"/>
  <c r="F4" i="21" s="1"/>
  <c r="D27" i="21"/>
  <c r="D35" i="21"/>
  <c r="D17" i="21"/>
  <c r="L22" i="21"/>
  <c r="D25" i="21"/>
  <c r="D33" i="21"/>
  <c r="D41" i="21"/>
  <c r="D16" i="21"/>
  <c r="D24" i="21"/>
  <c r="D32" i="21"/>
  <c r="D40" i="21"/>
  <c r="L4" i="21"/>
  <c r="D23" i="21"/>
  <c r="D31" i="21"/>
  <c r="D22" i="20"/>
  <c r="D30" i="20"/>
  <c r="D38" i="20"/>
  <c r="D29" i="20"/>
  <c r="D37" i="20"/>
  <c r="L22" i="20"/>
  <c r="M22" i="20" s="1"/>
  <c r="D24" i="20"/>
  <c r="D32" i="20"/>
  <c r="D40" i="20"/>
  <c r="D25" i="20"/>
  <c r="D33" i="20"/>
  <c r="D41" i="20"/>
  <c r="D23" i="20"/>
  <c r="D31" i="20"/>
  <c r="E24" i="19"/>
  <c r="F24" i="19" s="1"/>
  <c r="F23" i="19"/>
  <c r="L23" i="19"/>
  <c r="L22" i="19"/>
  <c r="M22" i="19" s="1"/>
  <c r="L23" i="18"/>
  <c r="E22" i="18"/>
  <c r="F22" i="18" s="1"/>
  <c r="D28" i="18"/>
  <c r="D36" i="18"/>
  <c r="D24" i="18"/>
  <c r="D32" i="18"/>
  <c r="D40" i="18"/>
  <c r="L22" i="18"/>
  <c r="M22" i="18" s="1"/>
  <c r="D23" i="18"/>
  <c r="D31" i="18"/>
  <c r="L24" i="17"/>
  <c r="M24" i="17" s="1"/>
  <c r="E24" i="17"/>
  <c r="F24" i="17" s="1"/>
  <c r="F23" i="17"/>
  <c r="L25" i="17"/>
  <c r="L23" i="17"/>
  <c r="M23" i="17" s="1"/>
  <c r="K18" i="22" l="1"/>
  <c r="D18" i="22"/>
  <c r="K18" i="21"/>
  <c r="D18" i="21"/>
  <c r="AP18" i="25"/>
  <c r="AP24" i="25" s="1"/>
  <c r="K32" i="25" s="1"/>
  <c r="L32" i="25" s="1"/>
  <c r="AP18" i="24"/>
  <c r="AP24" i="24" s="1"/>
  <c r="K32" i="24" s="1"/>
  <c r="L32" i="24" s="1"/>
  <c r="K15" i="20"/>
  <c r="K14" i="20"/>
  <c r="K6" i="20"/>
  <c r="K13" i="20"/>
  <c r="K11" i="20"/>
  <c r="K4" i="20"/>
  <c r="L4" i="20" s="1"/>
  <c r="M4" i="20" s="1"/>
  <c r="K12" i="20"/>
  <c r="K16" i="20"/>
  <c r="K7" i="20"/>
  <c r="K8" i="20"/>
  <c r="K10" i="20"/>
  <c r="K18" i="19"/>
  <c r="L5" i="19"/>
  <c r="M5" i="19" s="1"/>
  <c r="K9" i="18"/>
  <c r="K15" i="18"/>
  <c r="K10" i="18"/>
  <c r="K5" i="18"/>
  <c r="K18" i="18" s="1"/>
  <c r="K16" i="18"/>
  <c r="K7" i="18"/>
  <c r="M4" i="18"/>
  <c r="L5" i="18"/>
  <c r="M5" i="18" s="1"/>
  <c r="K18" i="17"/>
  <c r="L24" i="23"/>
  <c r="D18" i="23"/>
  <c r="E4" i="23"/>
  <c r="E23" i="23"/>
  <c r="L6" i="23"/>
  <c r="M6" i="23" s="1"/>
  <c r="G6" i="23" s="1"/>
  <c r="L12" i="23"/>
  <c r="M12" i="23" s="1"/>
  <c r="G12" i="23" s="1"/>
  <c r="F4" i="22"/>
  <c r="E5" i="22"/>
  <c r="F22" i="22"/>
  <c r="E23" i="22"/>
  <c r="L23" i="22"/>
  <c r="L5" i="22"/>
  <c r="L5" i="21"/>
  <c r="M4" i="21"/>
  <c r="M22" i="21"/>
  <c r="L23" i="21"/>
  <c r="E5" i="21"/>
  <c r="D42" i="21"/>
  <c r="E22" i="21"/>
  <c r="F22" i="21" s="1"/>
  <c r="D42" i="20"/>
  <c r="E22" i="20"/>
  <c r="F22" i="20" s="1"/>
  <c r="E23" i="20"/>
  <c r="F23" i="20" s="1"/>
  <c r="L23" i="20"/>
  <c r="E25" i="19"/>
  <c r="M23" i="19"/>
  <c r="L24" i="19"/>
  <c r="L24" i="18"/>
  <c r="M23" i="18"/>
  <c r="E23" i="18"/>
  <c r="F23" i="18" s="1"/>
  <c r="E24" i="18"/>
  <c r="L5" i="17"/>
  <c r="L6" i="17" s="1"/>
  <c r="M6" i="17" s="1"/>
  <c r="E25" i="17"/>
  <c r="M25" i="17"/>
  <c r="L26" i="17"/>
  <c r="L5" i="20" l="1"/>
  <c r="K18" i="20"/>
  <c r="L12" i="19"/>
  <c r="L6" i="19"/>
  <c r="L12" i="18"/>
  <c r="M12" i="18" s="1"/>
  <c r="G12" i="18" s="1"/>
  <c r="L6" i="18"/>
  <c r="M6" i="18" s="1"/>
  <c r="L7" i="17"/>
  <c r="F23" i="23"/>
  <c r="E24" i="23"/>
  <c r="F4" i="23"/>
  <c r="E5" i="23"/>
  <c r="M24" i="23"/>
  <c r="L25" i="23"/>
  <c r="L13" i="23"/>
  <c r="L7" i="23"/>
  <c r="F23" i="22"/>
  <c r="E24" i="22"/>
  <c r="F5" i="22"/>
  <c r="E12" i="22"/>
  <c r="E6" i="22"/>
  <c r="M5" i="22"/>
  <c r="L12" i="22"/>
  <c r="L6" i="22"/>
  <c r="M23" i="22"/>
  <c r="L24" i="22"/>
  <c r="M23" i="21"/>
  <c r="L24" i="21"/>
  <c r="E6" i="21"/>
  <c r="F5" i="21"/>
  <c r="E12" i="21"/>
  <c r="E23" i="21"/>
  <c r="M5" i="21"/>
  <c r="L12" i="21"/>
  <c r="L6" i="21"/>
  <c r="L12" i="20"/>
  <c r="M5" i="20"/>
  <c r="L6" i="20"/>
  <c r="E24" i="20"/>
  <c r="M23" i="20"/>
  <c r="L24" i="20"/>
  <c r="M24" i="19"/>
  <c r="L25" i="19"/>
  <c r="F25" i="19"/>
  <c r="E26" i="19"/>
  <c r="F24" i="18"/>
  <c r="E25" i="18"/>
  <c r="M24" i="18"/>
  <c r="L25" i="18"/>
  <c r="L13" i="18"/>
  <c r="M5" i="17"/>
  <c r="L12" i="17"/>
  <c r="M26" i="17"/>
  <c r="L27" i="17"/>
  <c r="F25" i="17"/>
  <c r="E26" i="17"/>
  <c r="M6" i="19" l="1"/>
  <c r="L7" i="19"/>
  <c r="M12" i="19"/>
  <c r="G12" i="19" s="1"/>
  <c r="L13" i="19"/>
  <c r="L7" i="18"/>
  <c r="L8" i="17"/>
  <c r="M7" i="17"/>
  <c r="G7" i="17" s="1"/>
  <c r="F24" i="23"/>
  <c r="E25" i="23"/>
  <c r="M13" i="23"/>
  <c r="G13" i="23" s="1"/>
  <c r="L14" i="23"/>
  <c r="M25" i="23"/>
  <c r="L26" i="23"/>
  <c r="M7" i="23"/>
  <c r="G7" i="23" s="1"/>
  <c r="L8" i="23"/>
  <c r="F5" i="23"/>
  <c r="E6" i="23"/>
  <c r="E12" i="23"/>
  <c r="E13" i="22"/>
  <c r="F12" i="22"/>
  <c r="M6" i="22"/>
  <c r="L7" i="22"/>
  <c r="M12" i="22"/>
  <c r="G12" i="22" s="1"/>
  <c r="L13" i="22"/>
  <c r="F6" i="22"/>
  <c r="E7" i="22"/>
  <c r="L25" i="22"/>
  <c r="M24" i="22"/>
  <c r="F24" i="22"/>
  <c r="E25" i="22"/>
  <c r="F23" i="21"/>
  <c r="E24" i="21"/>
  <c r="F12" i="21"/>
  <c r="E13" i="21"/>
  <c r="L13" i="21"/>
  <c r="M12" i="21"/>
  <c r="G12" i="21" s="1"/>
  <c r="F6" i="21"/>
  <c r="E7" i="21"/>
  <c r="M24" i="21"/>
  <c r="L25" i="21"/>
  <c r="M6" i="21"/>
  <c r="L7" i="21"/>
  <c r="F24" i="20"/>
  <c r="E25" i="20"/>
  <c r="M6" i="20"/>
  <c r="L7" i="20"/>
  <c r="M24" i="20"/>
  <c r="L25" i="20"/>
  <c r="M12" i="20"/>
  <c r="G12" i="20" s="1"/>
  <c r="L13" i="20"/>
  <c r="M25" i="19"/>
  <c r="L26" i="19"/>
  <c r="F26" i="19"/>
  <c r="E27" i="19"/>
  <c r="L8" i="18"/>
  <c r="M7" i="18"/>
  <c r="G7" i="18" s="1"/>
  <c r="F25" i="18"/>
  <c r="E26" i="18"/>
  <c r="M13" i="18"/>
  <c r="L14" i="18"/>
  <c r="M25" i="18"/>
  <c r="L26" i="18"/>
  <c r="M12" i="17"/>
  <c r="G12" i="17" s="1"/>
  <c r="L13" i="17"/>
  <c r="F26" i="17"/>
  <c r="E27" i="17"/>
  <c r="M27" i="17"/>
  <c r="L28" i="17"/>
  <c r="M13" i="19" l="1"/>
  <c r="L14" i="19"/>
  <c r="M7" i="19"/>
  <c r="G7" i="19" s="1"/>
  <c r="L8" i="19"/>
  <c r="M8" i="17"/>
  <c r="G8" i="17" s="1"/>
  <c r="L9" i="17"/>
  <c r="M8" i="23"/>
  <c r="G8" i="23" s="1"/>
  <c r="L9" i="23"/>
  <c r="M26" i="23"/>
  <c r="L27" i="23"/>
  <c r="M14" i="23"/>
  <c r="G14" i="23" s="1"/>
  <c r="L17" i="23"/>
  <c r="M17" i="23" s="1"/>
  <c r="G17" i="23" s="1"/>
  <c r="L15" i="23"/>
  <c r="F12" i="23"/>
  <c r="E13" i="23"/>
  <c r="F6" i="23"/>
  <c r="E7" i="23"/>
  <c r="F25" i="23"/>
  <c r="E26" i="23"/>
  <c r="M13" i="22"/>
  <c r="L14" i="22"/>
  <c r="M7" i="22"/>
  <c r="G7" i="22" s="1"/>
  <c r="L8" i="22"/>
  <c r="F7" i="22"/>
  <c r="E8" i="22"/>
  <c r="F25" i="22"/>
  <c r="E26" i="22"/>
  <c r="M25" i="22"/>
  <c r="L26" i="22"/>
  <c r="F13" i="22"/>
  <c r="E14" i="22"/>
  <c r="F7" i="21"/>
  <c r="E8" i="21"/>
  <c r="M13" i="21"/>
  <c r="G13" i="21" s="1"/>
  <c r="L14" i="21"/>
  <c r="M7" i="21"/>
  <c r="L8" i="21"/>
  <c r="F13" i="21"/>
  <c r="E14" i="21"/>
  <c r="L26" i="21"/>
  <c r="M25" i="21"/>
  <c r="F24" i="21"/>
  <c r="E25" i="21"/>
  <c r="M7" i="20"/>
  <c r="G7" i="20" s="1"/>
  <c r="L8" i="20"/>
  <c r="F25" i="20"/>
  <c r="E26" i="20"/>
  <c r="M25" i="20"/>
  <c r="L26" i="20"/>
  <c r="M13" i="20"/>
  <c r="L14" i="20"/>
  <c r="F27" i="19"/>
  <c r="E28" i="19"/>
  <c r="M26" i="19"/>
  <c r="L27" i="19"/>
  <c r="F26" i="18"/>
  <c r="E27" i="18"/>
  <c r="M26" i="18"/>
  <c r="L27" i="18"/>
  <c r="M14" i="18"/>
  <c r="L17" i="18"/>
  <c r="M17" i="18" s="1"/>
  <c r="G17" i="18" s="1"/>
  <c r="L15" i="18"/>
  <c r="M8" i="18"/>
  <c r="G8" i="18" s="1"/>
  <c r="L9" i="18"/>
  <c r="M13" i="17"/>
  <c r="L14" i="17"/>
  <c r="M28" i="17"/>
  <c r="L29" i="17"/>
  <c r="F27" i="17"/>
  <c r="E28" i="17"/>
  <c r="M8" i="19" l="1"/>
  <c r="G8" i="19" s="1"/>
  <c r="L9" i="19"/>
  <c r="M14" i="19"/>
  <c r="L17" i="19"/>
  <c r="M17" i="19" s="1"/>
  <c r="G17" i="19" s="1"/>
  <c r="L15" i="19"/>
  <c r="G13" i="18"/>
  <c r="M9" i="17"/>
  <c r="L10" i="17"/>
  <c r="F26" i="23"/>
  <c r="E27" i="23"/>
  <c r="M27" i="23"/>
  <c r="L28" i="23"/>
  <c r="F7" i="23"/>
  <c r="E8" i="23"/>
  <c r="M9" i="23"/>
  <c r="G9" i="23" s="1"/>
  <c r="L10" i="23"/>
  <c r="M15" i="23"/>
  <c r="G15" i="23" s="1"/>
  <c r="L16" i="23"/>
  <c r="M16" i="23" s="1"/>
  <c r="G16" i="23" s="1"/>
  <c r="F13" i="23"/>
  <c r="E14" i="23"/>
  <c r="F26" i="22"/>
  <c r="E27" i="22"/>
  <c r="F8" i="22"/>
  <c r="E9" i="22"/>
  <c r="F14" i="22"/>
  <c r="E15" i="22"/>
  <c r="E17" i="22"/>
  <c r="F17" i="22" s="1"/>
  <c r="L9" i="22"/>
  <c r="M8" i="22"/>
  <c r="G8" i="22" s="1"/>
  <c r="M26" i="22"/>
  <c r="L27" i="22"/>
  <c r="M14" i="22"/>
  <c r="G14" i="22" s="1"/>
  <c r="L17" i="22"/>
  <c r="M17" i="22" s="1"/>
  <c r="G17" i="22" s="1"/>
  <c r="L15" i="22"/>
  <c r="F25" i="21"/>
  <c r="E26" i="21"/>
  <c r="M14" i="21"/>
  <c r="G14" i="21" s="1"/>
  <c r="L15" i="21"/>
  <c r="L17" i="21"/>
  <c r="M17" i="21" s="1"/>
  <c r="G17" i="21" s="1"/>
  <c r="F14" i="21"/>
  <c r="E15" i="21"/>
  <c r="E17" i="21"/>
  <c r="F17" i="21" s="1"/>
  <c r="M8" i="21"/>
  <c r="G8" i="21" s="1"/>
  <c r="L9" i="21"/>
  <c r="E9" i="21"/>
  <c r="F8" i="21"/>
  <c r="M26" i="21"/>
  <c r="L27" i="21"/>
  <c r="M26" i="20"/>
  <c r="L27" i="20"/>
  <c r="F26" i="20"/>
  <c r="E27" i="20"/>
  <c r="M14" i="20"/>
  <c r="L17" i="20"/>
  <c r="M17" i="20" s="1"/>
  <c r="G17" i="20" s="1"/>
  <c r="L15" i="20"/>
  <c r="M8" i="20"/>
  <c r="L9" i="20"/>
  <c r="L28" i="19"/>
  <c r="M27" i="19"/>
  <c r="F28" i="19"/>
  <c r="E29" i="19"/>
  <c r="M9" i="18"/>
  <c r="L10" i="18"/>
  <c r="M15" i="18"/>
  <c r="G15" i="18" s="1"/>
  <c r="L16" i="18"/>
  <c r="M16" i="18" s="1"/>
  <c r="G16" i="18" s="1"/>
  <c r="M27" i="18"/>
  <c r="L28" i="18"/>
  <c r="F27" i="18"/>
  <c r="E28" i="18"/>
  <c r="M14" i="17"/>
  <c r="L15" i="17"/>
  <c r="L17" i="17"/>
  <c r="M17" i="17" s="1"/>
  <c r="G17" i="17" s="1"/>
  <c r="F28" i="17"/>
  <c r="E29" i="17"/>
  <c r="M29" i="17"/>
  <c r="L30" i="17"/>
  <c r="G7" i="21" l="1"/>
  <c r="G8" i="20"/>
  <c r="G5" i="20"/>
  <c r="G13" i="20"/>
  <c r="G13" i="19"/>
  <c r="M15" i="19"/>
  <c r="G15" i="19" s="1"/>
  <c r="L16" i="19"/>
  <c r="M16" i="19" s="1"/>
  <c r="G16" i="19" s="1"/>
  <c r="M9" i="19"/>
  <c r="L10" i="19"/>
  <c r="G9" i="18"/>
  <c r="G4" i="18"/>
  <c r="G14" i="18"/>
  <c r="G9" i="17"/>
  <c r="G4" i="17"/>
  <c r="G13" i="17"/>
  <c r="L11" i="17"/>
  <c r="M11" i="17" s="1"/>
  <c r="M10" i="17"/>
  <c r="M10" i="23"/>
  <c r="G10" i="23" s="1"/>
  <c r="L11" i="23"/>
  <c r="M11" i="23" s="1"/>
  <c r="G11" i="23" s="1"/>
  <c r="F8" i="23"/>
  <c r="E9" i="23"/>
  <c r="F14" i="23"/>
  <c r="E15" i="23"/>
  <c r="E17" i="23"/>
  <c r="F17" i="23" s="1"/>
  <c r="M28" i="23"/>
  <c r="L29" i="23"/>
  <c r="F27" i="23"/>
  <c r="E28" i="23"/>
  <c r="M9" i="22"/>
  <c r="L10" i="22"/>
  <c r="M15" i="22"/>
  <c r="L16" i="22"/>
  <c r="M16" i="22" s="1"/>
  <c r="G16" i="22" s="1"/>
  <c r="F15" i="22"/>
  <c r="E16" i="22"/>
  <c r="F16" i="22" s="1"/>
  <c r="L28" i="22"/>
  <c r="M27" i="22"/>
  <c r="F9" i="22"/>
  <c r="E10" i="22"/>
  <c r="F27" i="22"/>
  <c r="E28" i="22"/>
  <c r="M15" i="21"/>
  <c r="L16" i="21"/>
  <c r="M16" i="21" s="1"/>
  <c r="G16" i="21" s="1"/>
  <c r="F9" i="21"/>
  <c r="E10" i="21"/>
  <c r="M9" i="21"/>
  <c r="L10" i="21"/>
  <c r="F26" i="21"/>
  <c r="E27" i="21"/>
  <c r="F15" i="21"/>
  <c r="E16" i="21"/>
  <c r="F16" i="21" s="1"/>
  <c r="M27" i="21"/>
  <c r="L28" i="21"/>
  <c r="M27" i="20"/>
  <c r="L28" i="20"/>
  <c r="M15" i="20"/>
  <c r="G15" i="20" s="1"/>
  <c r="L16" i="20"/>
  <c r="M16" i="20" s="1"/>
  <c r="G16" i="20" s="1"/>
  <c r="M9" i="20"/>
  <c r="L10" i="20"/>
  <c r="F27" i="20"/>
  <c r="E28" i="20"/>
  <c r="E30" i="19"/>
  <c r="F29" i="19"/>
  <c r="M28" i="19"/>
  <c r="L29" i="19"/>
  <c r="F28" i="18"/>
  <c r="E29" i="18"/>
  <c r="L11" i="18"/>
  <c r="M11" i="18" s="1"/>
  <c r="M10" i="18"/>
  <c r="M28" i="18"/>
  <c r="L29" i="18"/>
  <c r="M15" i="17"/>
  <c r="G15" i="17" s="1"/>
  <c r="L16" i="17"/>
  <c r="M16" i="17" s="1"/>
  <c r="G16" i="17" s="1"/>
  <c r="M30" i="17"/>
  <c r="L31" i="17"/>
  <c r="E30" i="17"/>
  <c r="F29" i="17"/>
  <c r="G9" i="22" l="1"/>
  <c r="G5" i="22"/>
  <c r="G15" i="22"/>
  <c r="G13" i="22"/>
  <c r="G9" i="21"/>
  <c r="G5" i="21"/>
  <c r="G15" i="21"/>
  <c r="G6" i="21"/>
  <c r="G4" i="20"/>
  <c r="G14" i="20"/>
  <c r="G9" i="19"/>
  <c r="G5" i="19"/>
  <c r="G14" i="19"/>
  <c r="L11" i="19"/>
  <c r="M11" i="19" s="1"/>
  <c r="M10" i="19"/>
  <c r="G11" i="18"/>
  <c r="G6" i="18"/>
  <c r="G10" i="18"/>
  <c r="G5" i="18"/>
  <c r="G10" i="17"/>
  <c r="G5" i="17"/>
  <c r="G11" i="17"/>
  <c r="G6" i="17"/>
  <c r="G14" i="17"/>
  <c r="F15" i="23"/>
  <c r="E16" i="23"/>
  <c r="F16" i="23" s="1"/>
  <c r="F9" i="23"/>
  <c r="E10" i="23"/>
  <c r="F28" i="23"/>
  <c r="E29" i="23"/>
  <c r="M29" i="23"/>
  <c r="L30" i="23"/>
  <c r="M28" i="22"/>
  <c r="L29" i="22"/>
  <c r="E29" i="22"/>
  <c r="F28" i="22"/>
  <c r="F10" i="22"/>
  <c r="E11" i="22"/>
  <c r="F11" i="22" s="1"/>
  <c r="M10" i="22"/>
  <c r="L11" i="22"/>
  <c r="M11" i="22" s="1"/>
  <c r="F27" i="21"/>
  <c r="E28" i="21"/>
  <c r="M10" i="21"/>
  <c r="L11" i="21"/>
  <c r="M11" i="21" s="1"/>
  <c r="G11" i="21" s="1"/>
  <c r="M28" i="21"/>
  <c r="L29" i="21"/>
  <c r="E11" i="21"/>
  <c r="F11" i="21" s="1"/>
  <c r="F10" i="21"/>
  <c r="F28" i="20"/>
  <c r="E29" i="20"/>
  <c r="M10" i="20"/>
  <c r="L11" i="20"/>
  <c r="M11" i="20" s="1"/>
  <c r="G11" i="20" s="1"/>
  <c r="M28" i="20"/>
  <c r="L29" i="20"/>
  <c r="M29" i="19"/>
  <c r="L30" i="19"/>
  <c r="F30" i="19"/>
  <c r="E31" i="19"/>
  <c r="F29" i="18"/>
  <c r="E30" i="18"/>
  <c r="M29" i="18"/>
  <c r="L30" i="18"/>
  <c r="F30" i="17"/>
  <c r="E31" i="17"/>
  <c r="M31" i="17"/>
  <c r="L32" i="17"/>
  <c r="G11" i="22" l="1"/>
  <c r="G6" i="22"/>
  <c r="G10" i="22"/>
  <c r="G4" i="22"/>
  <c r="G10" i="21"/>
  <c r="G4" i="21"/>
  <c r="G10" i="20"/>
  <c r="G6" i="20"/>
  <c r="G9" i="20"/>
  <c r="G10" i="19"/>
  <c r="G6" i="19"/>
  <c r="G11" i="19"/>
  <c r="G4" i="19"/>
  <c r="M30" i="23"/>
  <c r="L31" i="23"/>
  <c r="F10" i="23"/>
  <c r="E11" i="23"/>
  <c r="F11" i="23" s="1"/>
  <c r="F29" i="23"/>
  <c r="E30" i="23"/>
  <c r="F29" i="22"/>
  <c r="E30" i="22"/>
  <c r="M29" i="22"/>
  <c r="L30" i="22"/>
  <c r="M29" i="21"/>
  <c r="L30" i="21"/>
  <c r="F28" i="21"/>
  <c r="E29" i="21"/>
  <c r="M29" i="20"/>
  <c r="L30" i="20"/>
  <c r="F29" i="20"/>
  <c r="E30" i="20"/>
  <c r="E32" i="19"/>
  <c r="F31" i="19"/>
  <c r="M30" i="19"/>
  <c r="L31" i="19"/>
  <c r="M30" i="18"/>
  <c r="L31" i="18"/>
  <c r="F30" i="18"/>
  <c r="E31" i="18"/>
  <c r="M32" i="17"/>
  <c r="L33" i="17"/>
  <c r="F31" i="17"/>
  <c r="E32" i="17"/>
  <c r="F30" i="23" l="1"/>
  <c r="E31" i="23"/>
  <c r="M31" i="23"/>
  <c r="L32" i="23"/>
  <c r="M30" i="22"/>
  <c r="L31" i="22"/>
  <c r="F30" i="22"/>
  <c r="E31" i="22"/>
  <c r="F29" i="21"/>
  <c r="E30" i="21"/>
  <c r="M30" i="21"/>
  <c r="L31" i="21"/>
  <c r="F30" i="20"/>
  <c r="E31" i="20"/>
  <c r="M30" i="20"/>
  <c r="L31" i="20"/>
  <c r="M31" i="19"/>
  <c r="L32" i="19"/>
  <c r="F32" i="19"/>
  <c r="E33" i="19"/>
  <c r="F31" i="18"/>
  <c r="E32" i="18"/>
  <c r="M31" i="18"/>
  <c r="L32" i="18"/>
  <c r="F32" i="17"/>
  <c r="E33" i="17"/>
  <c r="M33" i="17"/>
  <c r="L34" i="17"/>
  <c r="M32" i="23" l="1"/>
  <c r="L33" i="23"/>
  <c r="F31" i="23"/>
  <c r="E32" i="23"/>
  <c r="F31" i="22"/>
  <c r="E32" i="22"/>
  <c r="M31" i="22"/>
  <c r="L32" i="22"/>
  <c r="F30" i="21"/>
  <c r="E31" i="21"/>
  <c r="M31" i="21"/>
  <c r="L32" i="21"/>
  <c r="F31" i="20"/>
  <c r="E32" i="20"/>
  <c r="M31" i="20"/>
  <c r="L32" i="20"/>
  <c r="F33" i="19"/>
  <c r="E34" i="19"/>
  <c r="M32" i="19"/>
  <c r="L33" i="19"/>
  <c r="M32" i="18"/>
  <c r="L33" i="18"/>
  <c r="F32" i="18"/>
  <c r="E33" i="18"/>
  <c r="M34" i="17"/>
  <c r="L35" i="17"/>
  <c r="F33" i="17"/>
  <c r="E34" i="17"/>
  <c r="F32" i="23" l="1"/>
  <c r="E33" i="23"/>
  <c r="M33" i="23"/>
  <c r="L34" i="23"/>
  <c r="M32" i="22"/>
  <c r="L33" i="22"/>
  <c r="F32" i="22"/>
  <c r="E33" i="22"/>
  <c r="M32" i="21"/>
  <c r="L33" i="21"/>
  <c r="F31" i="21"/>
  <c r="E32" i="21"/>
  <c r="F32" i="20"/>
  <c r="E33" i="20"/>
  <c r="M32" i="20"/>
  <c r="L33" i="20"/>
  <c r="M33" i="19"/>
  <c r="L34" i="19"/>
  <c r="F34" i="19"/>
  <c r="E35" i="19"/>
  <c r="F33" i="18"/>
  <c r="E34" i="18"/>
  <c r="M33" i="18"/>
  <c r="L34" i="18"/>
  <c r="F34" i="17"/>
  <c r="E35" i="17"/>
  <c r="M35" i="17"/>
  <c r="L36" i="17"/>
  <c r="F33" i="23" l="1"/>
  <c r="E34" i="23"/>
  <c r="M34" i="23"/>
  <c r="L35" i="23"/>
  <c r="F33" i="22"/>
  <c r="E34" i="22"/>
  <c r="M33" i="22"/>
  <c r="L34" i="22"/>
  <c r="F32" i="21"/>
  <c r="E33" i="21"/>
  <c r="M33" i="21"/>
  <c r="L34" i="21"/>
  <c r="F33" i="20"/>
  <c r="E34" i="20"/>
  <c r="M33" i="20"/>
  <c r="L34" i="20"/>
  <c r="F35" i="19"/>
  <c r="E36" i="19"/>
  <c r="M34" i="19"/>
  <c r="L35" i="19"/>
  <c r="M34" i="18"/>
  <c r="L35" i="18"/>
  <c r="F34" i="18"/>
  <c r="E35" i="18"/>
  <c r="F35" i="17"/>
  <c r="E36" i="17"/>
  <c r="M36" i="17"/>
  <c r="L37" i="17"/>
  <c r="M35" i="23" l="1"/>
  <c r="L36" i="23"/>
  <c r="F34" i="23"/>
  <c r="E35" i="23"/>
  <c r="F34" i="22"/>
  <c r="E35" i="22"/>
  <c r="M34" i="22"/>
  <c r="L35" i="22"/>
  <c r="M34" i="21"/>
  <c r="L35" i="21"/>
  <c r="F33" i="21"/>
  <c r="E34" i="21"/>
  <c r="L35" i="20"/>
  <c r="M34" i="20"/>
  <c r="F34" i="20"/>
  <c r="E35" i="20"/>
  <c r="M35" i="19"/>
  <c r="L36" i="19"/>
  <c r="F36" i="19"/>
  <c r="E37" i="19"/>
  <c r="F35" i="18"/>
  <c r="E36" i="18"/>
  <c r="M35" i="18"/>
  <c r="L36" i="18"/>
  <c r="F36" i="17"/>
  <c r="E37" i="17"/>
  <c r="L38" i="17"/>
  <c r="M37" i="17"/>
  <c r="M36" i="23" l="1"/>
  <c r="L37" i="23"/>
  <c r="F35" i="23"/>
  <c r="E36" i="23"/>
  <c r="M35" i="22"/>
  <c r="L36" i="22"/>
  <c r="F35" i="22"/>
  <c r="E36" i="22"/>
  <c r="F34" i="21"/>
  <c r="E35" i="21"/>
  <c r="M35" i="21"/>
  <c r="L36" i="21"/>
  <c r="F35" i="20"/>
  <c r="E36" i="20"/>
  <c r="M35" i="20"/>
  <c r="L36" i="20"/>
  <c r="M36" i="19"/>
  <c r="L37" i="19"/>
  <c r="E38" i="19"/>
  <c r="F37" i="19"/>
  <c r="M36" i="18"/>
  <c r="L37" i="18"/>
  <c r="F36" i="18"/>
  <c r="E37" i="18"/>
  <c r="M38" i="17"/>
  <c r="L39" i="17"/>
  <c r="E38" i="17"/>
  <c r="F37" i="17"/>
  <c r="F36" i="23" l="1"/>
  <c r="E37" i="23"/>
  <c r="M37" i="23"/>
  <c r="L38" i="23"/>
  <c r="M36" i="22"/>
  <c r="L37" i="22"/>
  <c r="F36" i="22"/>
  <c r="E37" i="22"/>
  <c r="F35" i="21"/>
  <c r="E36" i="21"/>
  <c r="M36" i="21"/>
  <c r="L37" i="21"/>
  <c r="M36" i="20"/>
  <c r="L37" i="20"/>
  <c r="F36" i="20"/>
  <c r="E37" i="20"/>
  <c r="F38" i="19"/>
  <c r="E39" i="19"/>
  <c r="M37" i="19"/>
  <c r="L38" i="19"/>
  <c r="F37" i="18"/>
  <c r="E38" i="18"/>
  <c r="M37" i="18"/>
  <c r="L38" i="18"/>
  <c r="F38" i="17"/>
  <c r="E39" i="17"/>
  <c r="M39" i="17"/>
  <c r="L40" i="17"/>
  <c r="M38" i="23" l="1"/>
  <c r="L39" i="23"/>
  <c r="F37" i="23"/>
  <c r="E38" i="23"/>
  <c r="M37" i="22"/>
  <c r="L38" i="22"/>
  <c r="F37" i="22"/>
  <c r="E38" i="22"/>
  <c r="F36" i="21"/>
  <c r="E37" i="21"/>
  <c r="M37" i="21"/>
  <c r="L38" i="21"/>
  <c r="F37" i="20"/>
  <c r="E38" i="20"/>
  <c r="M37" i="20"/>
  <c r="L38" i="20"/>
  <c r="M38" i="19"/>
  <c r="L39" i="19"/>
  <c r="F39" i="19"/>
  <c r="E40" i="19"/>
  <c r="M38" i="18"/>
  <c r="L39" i="18"/>
  <c r="F38" i="18"/>
  <c r="E39" i="18"/>
  <c r="M40" i="17"/>
  <c r="L41" i="17"/>
  <c r="M41" i="17" s="1"/>
  <c r="F39" i="17"/>
  <c r="E40" i="17"/>
  <c r="M39" i="23" l="1"/>
  <c r="L40" i="23"/>
  <c r="F38" i="23"/>
  <c r="E39" i="23"/>
  <c r="M38" i="22"/>
  <c r="L39" i="22"/>
  <c r="F38" i="22"/>
  <c r="E39" i="22"/>
  <c r="F37" i="21"/>
  <c r="E38" i="21"/>
  <c r="M38" i="21"/>
  <c r="L39" i="21"/>
  <c r="M38" i="20"/>
  <c r="L39" i="20"/>
  <c r="F38" i="20"/>
  <c r="E39" i="20"/>
  <c r="M39" i="19"/>
  <c r="L40" i="19"/>
  <c r="F40" i="19"/>
  <c r="E41" i="19"/>
  <c r="F41" i="19" s="1"/>
  <c r="F39" i="18"/>
  <c r="E40" i="18"/>
  <c r="L40" i="18"/>
  <c r="M39" i="18"/>
  <c r="F40" i="17"/>
  <c r="E41" i="17"/>
  <c r="F41" i="17" s="1"/>
  <c r="M40" i="23" l="1"/>
  <c r="L41" i="23"/>
  <c r="M41" i="23" s="1"/>
  <c r="F39" i="23"/>
  <c r="E40" i="23"/>
  <c r="M39" i="22"/>
  <c r="L40" i="22"/>
  <c r="F39" i="22"/>
  <c r="E40" i="22"/>
  <c r="M39" i="21"/>
  <c r="L40" i="21"/>
  <c r="F38" i="21"/>
  <c r="E39" i="21"/>
  <c r="F39" i="20"/>
  <c r="E40" i="20"/>
  <c r="M39" i="20"/>
  <c r="L40" i="20"/>
  <c r="M40" i="19"/>
  <c r="L41" i="19"/>
  <c r="M41" i="19" s="1"/>
  <c r="M40" i="18"/>
  <c r="L41" i="18"/>
  <c r="M41" i="18" s="1"/>
  <c r="F40" i="18"/>
  <c r="E41" i="18"/>
  <c r="F41" i="18" s="1"/>
  <c r="F40" i="23" l="1"/>
  <c r="E41" i="23"/>
  <c r="F41" i="23" s="1"/>
  <c r="L41" i="22"/>
  <c r="M41" i="22" s="1"/>
  <c r="M40" i="22"/>
  <c r="F40" i="22"/>
  <c r="E41" i="22"/>
  <c r="F41" i="22" s="1"/>
  <c r="M40" i="21"/>
  <c r="L41" i="21"/>
  <c r="M41" i="21" s="1"/>
  <c r="F39" i="21"/>
  <c r="E40" i="21"/>
  <c r="F40" i="20"/>
  <c r="E41" i="20"/>
  <c r="F41" i="20" s="1"/>
  <c r="M40" i="20"/>
  <c r="L41" i="20"/>
  <c r="M41" i="20" s="1"/>
  <c r="F40" i="21" l="1"/>
  <c r="E41" i="21"/>
  <c r="F41" i="21" s="1"/>
  <c r="AA24" i="16" l="1"/>
  <c r="AA16" i="16"/>
  <c r="AA15" i="16"/>
  <c r="AA14" i="16"/>
  <c r="AA13" i="16"/>
  <c r="AA12" i="16"/>
  <c r="AA11" i="16"/>
  <c r="AA10" i="16"/>
  <c r="AA9" i="16"/>
  <c r="AA8" i="16"/>
  <c r="AA7" i="16"/>
  <c r="AA6" i="16"/>
  <c r="AA5" i="16"/>
  <c r="AA4" i="16"/>
  <c r="AA3" i="16"/>
  <c r="K4" i="16"/>
  <c r="K5" i="16"/>
  <c r="K6" i="16"/>
  <c r="N6" i="16" s="1"/>
  <c r="K7" i="16"/>
  <c r="K8" i="16"/>
  <c r="N8" i="16" s="1"/>
  <c r="K9" i="16"/>
  <c r="K10" i="16"/>
  <c r="K11" i="16"/>
  <c r="N11" i="16" s="1"/>
  <c r="K12" i="16"/>
  <c r="K13" i="16"/>
  <c r="K14" i="16"/>
  <c r="N14" i="16" s="1"/>
  <c r="K15" i="16"/>
  <c r="N15" i="16" s="1"/>
  <c r="K16" i="16"/>
  <c r="N16" i="16" s="1"/>
  <c r="K3" i="16"/>
  <c r="N3" i="16" s="1"/>
  <c r="N4" i="16"/>
  <c r="N5" i="16"/>
  <c r="N9" i="16"/>
  <c r="N10" i="16"/>
  <c r="N12" i="16"/>
  <c r="N13" i="16"/>
  <c r="C4" i="16"/>
  <c r="C5" i="16"/>
  <c r="C6" i="16"/>
  <c r="C7" i="16"/>
  <c r="I7" i="16" s="1"/>
  <c r="C8" i="16"/>
  <c r="I8" i="16" s="1"/>
  <c r="C9" i="16"/>
  <c r="C10" i="16"/>
  <c r="I10" i="16" s="1"/>
  <c r="C11" i="16"/>
  <c r="C12" i="16"/>
  <c r="C13" i="16"/>
  <c r="C14" i="16"/>
  <c r="C15" i="16"/>
  <c r="I15" i="16" s="1"/>
  <c r="C16" i="16"/>
  <c r="I16" i="16" s="1"/>
  <c r="C3" i="16"/>
  <c r="K33" i="16"/>
  <c r="L33" i="16" s="1"/>
  <c r="I33" i="16"/>
  <c r="K31" i="16"/>
  <c r="I31" i="16"/>
  <c r="J24" i="16"/>
  <c r="G24" i="16"/>
  <c r="F24" i="16"/>
  <c r="E24" i="16"/>
  <c r="D24" i="16"/>
  <c r="AA23" i="16"/>
  <c r="AP22" i="16"/>
  <c r="AE22" i="16"/>
  <c r="AC22" i="16"/>
  <c r="AB22" i="16"/>
  <c r="Z22" i="16"/>
  <c r="X22" i="16"/>
  <c r="W22" i="16"/>
  <c r="V22" i="16"/>
  <c r="U22" i="16"/>
  <c r="Y22" i="16" s="1"/>
  <c r="T22" i="16"/>
  <c r="S22" i="16"/>
  <c r="R22" i="16"/>
  <c r="Q22" i="16"/>
  <c r="P22" i="16"/>
  <c r="K22" i="16"/>
  <c r="I22" i="16"/>
  <c r="C22" i="16"/>
  <c r="AN21" i="16"/>
  <c r="AM21" i="16"/>
  <c r="AL21" i="16"/>
  <c r="AK21" i="16"/>
  <c r="AJ21" i="16"/>
  <c r="AI21" i="16"/>
  <c r="AH21" i="16"/>
  <c r="AG21" i="16"/>
  <c r="AC18" i="16"/>
  <c r="AC24" i="16" s="1"/>
  <c r="AB18" i="16"/>
  <c r="AH16" i="16"/>
  <c r="AH15" i="16"/>
  <c r="AH14" i="16"/>
  <c r="I14" i="16"/>
  <c r="AH13" i="16"/>
  <c r="I13" i="16"/>
  <c r="AH12" i="16"/>
  <c r="I12" i="16"/>
  <c r="AH11" i="16"/>
  <c r="I11" i="16"/>
  <c r="AH10" i="16"/>
  <c r="AH9" i="16"/>
  <c r="I9" i="16"/>
  <c r="AH8" i="16"/>
  <c r="AH7" i="16"/>
  <c r="AH6" i="16"/>
  <c r="I6" i="16"/>
  <c r="AH5" i="16"/>
  <c r="I5" i="16"/>
  <c r="AH4" i="16"/>
  <c r="I4" i="16"/>
  <c r="AH3" i="16"/>
  <c r="AH17" i="16" s="1"/>
  <c r="I3" i="16"/>
  <c r="N4" i="12"/>
  <c r="N6" i="12"/>
  <c r="N7" i="12"/>
  <c r="N8" i="12"/>
  <c r="N9" i="12"/>
  <c r="N11" i="12"/>
  <c r="N12" i="12"/>
  <c r="N16" i="12"/>
  <c r="N3" i="12"/>
  <c r="N5" i="12"/>
  <c r="N13" i="12"/>
  <c r="N14" i="12"/>
  <c r="O4" i="12"/>
  <c r="O5" i="12"/>
  <c r="O6" i="12"/>
  <c r="O7" i="12"/>
  <c r="O8" i="12"/>
  <c r="O9" i="12"/>
  <c r="N10" i="12"/>
  <c r="O10" i="12"/>
  <c r="O11" i="12"/>
  <c r="O12" i="12"/>
  <c r="O13" i="12"/>
  <c r="O14" i="12"/>
  <c r="N15" i="12"/>
  <c r="O15" i="12"/>
  <c r="O16" i="12"/>
  <c r="O3" i="12"/>
  <c r="K18" i="16" l="1"/>
  <c r="K24" i="16" s="1"/>
  <c r="AA26" i="16"/>
  <c r="N7" i="16"/>
  <c r="C18" i="16"/>
  <c r="C24" i="16" s="1"/>
  <c r="I18" i="16"/>
  <c r="I24" i="16" s="1"/>
  <c r="I32" i="16" s="1"/>
  <c r="J32" i="16" s="1"/>
  <c r="L31" i="16"/>
  <c r="J31" i="16"/>
  <c r="J33" i="16"/>
  <c r="AA18" i="3"/>
  <c r="X4" i="14" l="1"/>
  <c r="X4" i="16" s="1"/>
  <c r="Z4" i="14"/>
  <c r="Z4" i="16" s="1"/>
  <c r="X5" i="14"/>
  <c r="X5" i="16" s="1"/>
  <c r="Z5" i="14"/>
  <c r="Z5" i="16" s="1"/>
  <c r="X6" i="14"/>
  <c r="X6" i="16" s="1"/>
  <c r="Z6" i="14"/>
  <c r="Z6" i="16" s="1"/>
  <c r="X7" i="14"/>
  <c r="X7" i="16" s="1"/>
  <c r="Z7" i="14"/>
  <c r="Z7" i="16" s="1"/>
  <c r="X8" i="14"/>
  <c r="X8" i="16" s="1"/>
  <c r="Z8" i="14"/>
  <c r="Z8" i="16" s="1"/>
  <c r="X9" i="14"/>
  <c r="X9" i="16" s="1"/>
  <c r="Z9" i="14"/>
  <c r="Z9" i="16" s="1"/>
  <c r="X10" i="14"/>
  <c r="X10" i="16" s="1"/>
  <c r="Z10" i="14"/>
  <c r="Z10" i="16" s="1"/>
  <c r="X11" i="14"/>
  <c r="X11" i="16" s="1"/>
  <c r="Z11" i="14"/>
  <c r="Z11" i="16" s="1"/>
  <c r="X12" i="14"/>
  <c r="X12" i="16" s="1"/>
  <c r="Z12" i="14"/>
  <c r="Z12" i="16" s="1"/>
  <c r="X13" i="14"/>
  <c r="X13" i="16" s="1"/>
  <c r="Z13" i="14"/>
  <c r="Z13" i="16" s="1"/>
  <c r="X14" i="14"/>
  <c r="X14" i="16" s="1"/>
  <c r="Z14" i="14"/>
  <c r="Z14" i="16" s="1"/>
  <c r="X15" i="14"/>
  <c r="X15" i="16" s="1"/>
  <c r="Z15" i="14"/>
  <c r="Z15" i="16" s="1"/>
  <c r="X16" i="14"/>
  <c r="X16" i="16" s="1"/>
  <c r="Z16" i="14"/>
  <c r="Z16" i="16" s="1"/>
  <c r="Z3" i="14"/>
  <c r="Z3" i="16" s="1"/>
  <c r="X3" i="14"/>
  <c r="X3" i="16" s="1"/>
  <c r="X4" i="15"/>
  <c r="Z4" i="15"/>
  <c r="X5" i="15"/>
  <c r="Z5" i="15"/>
  <c r="X6" i="15"/>
  <c r="Z6" i="15"/>
  <c r="X7" i="15"/>
  <c r="Z7" i="15"/>
  <c r="X8" i="15"/>
  <c r="Z8" i="15"/>
  <c r="X9" i="15"/>
  <c r="Z9" i="15"/>
  <c r="X10" i="15"/>
  <c r="Z10" i="15"/>
  <c r="X11" i="15"/>
  <c r="Z11" i="15"/>
  <c r="X12" i="15"/>
  <c r="Z12" i="15"/>
  <c r="X13" i="15"/>
  <c r="Z13" i="15"/>
  <c r="X14" i="15"/>
  <c r="Z14" i="15"/>
  <c r="X15" i="15"/>
  <c r="Z15" i="15"/>
  <c r="X16" i="15"/>
  <c r="Z16" i="15"/>
  <c r="Z3" i="15"/>
  <c r="X3" i="15"/>
  <c r="X4" i="12"/>
  <c r="Z4" i="12"/>
  <c r="X5" i="12"/>
  <c r="Z5" i="12"/>
  <c r="X6" i="12"/>
  <c r="Z6" i="12"/>
  <c r="X7" i="12"/>
  <c r="Z7" i="12"/>
  <c r="X8" i="12"/>
  <c r="Z8" i="12"/>
  <c r="X9" i="12"/>
  <c r="Z9" i="12"/>
  <c r="X10" i="12"/>
  <c r="Z10" i="12"/>
  <c r="X11" i="12"/>
  <c r="Z11" i="12"/>
  <c r="X12" i="12"/>
  <c r="Z12" i="12"/>
  <c r="X13" i="12"/>
  <c r="Z13" i="12"/>
  <c r="X14" i="12"/>
  <c r="Z14" i="12"/>
  <c r="X15" i="12"/>
  <c r="Z15" i="12"/>
  <c r="X16" i="12"/>
  <c r="Z16" i="12"/>
  <c r="Z3" i="12"/>
  <c r="X3" i="12"/>
  <c r="X4" i="13"/>
  <c r="Z4" i="13"/>
  <c r="X5" i="13"/>
  <c r="Z5" i="13"/>
  <c r="X6" i="13"/>
  <c r="Z6" i="13"/>
  <c r="X7" i="13"/>
  <c r="Z7" i="13"/>
  <c r="X8" i="13"/>
  <c r="Z8" i="13"/>
  <c r="X9" i="13"/>
  <c r="Z9" i="13"/>
  <c r="X10" i="13"/>
  <c r="Z10" i="13"/>
  <c r="X11" i="13"/>
  <c r="Z11" i="13"/>
  <c r="X12" i="13"/>
  <c r="Z12" i="13"/>
  <c r="X13" i="13"/>
  <c r="Z13" i="13"/>
  <c r="X14" i="13"/>
  <c r="Z14" i="13"/>
  <c r="X15" i="13"/>
  <c r="Z15" i="13"/>
  <c r="X16" i="13"/>
  <c r="Z16" i="13"/>
  <c r="Z3" i="13"/>
  <c r="X3" i="13"/>
  <c r="X4" i="3"/>
  <c r="Z4" i="3"/>
  <c r="X5" i="3"/>
  <c r="Z5" i="3"/>
  <c r="X6" i="3"/>
  <c r="Z6" i="3"/>
  <c r="X7" i="3"/>
  <c r="Z7" i="3"/>
  <c r="X8" i="3"/>
  <c r="Z8" i="3"/>
  <c r="X9" i="3"/>
  <c r="Z9" i="3"/>
  <c r="X10" i="3"/>
  <c r="Z10" i="3"/>
  <c r="X11" i="3"/>
  <c r="Z11" i="3"/>
  <c r="X12" i="3"/>
  <c r="Z12" i="3"/>
  <c r="X13" i="3"/>
  <c r="Z13" i="3"/>
  <c r="X14" i="3"/>
  <c r="Z14" i="3"/>
  <c r="X15" i="3"/>
  <c r="Z15" i="3"/>
  <c r="X16" i="3"/>
  <c r="Z16" i="3"/>
  <c r="Z3" i="3"/>
  <c r="X3" i="3"/>
  <c r="X4" i="4"/>
  <c r="Y4" i="4" s="1"/>
  <c r="Z4" i="4"/>
  <c r="X5" i="4"/>
  <c r="Y5" i="4" s="1"/>
  <c r="Z5" i="4"/>
  <c r="X6" i="4"/>
  <c r="Y6" i="4" s="1"/>
  <c r="Z6" i="4"/>
  <c r="X7" i="4"/>
  <c r="Y7" i="4"/>
  <c r="Z7" i="4"/>
  <c r="X8" i="4"/>
  <c r="Y8" i="4"/>
  <c r="Z8" i="4"/>
  <c r="X9" i="4"/>
  <c r="Y9" i="4"/>
  <c r="Z9" i="4"/>
  <c r="X10" i="4"/>
  <c r="Y10" i="4"/>
  <c r="Z10" i="4"/>
  <c r="X11" i="4"/>
  <c r="Y11" i="4" s="1"/>
  <c r="Z11" i="4"/>
  <c r="X12" i="4"/>
  <c r="Y12" i="4"/>
  <c r="Z12" i="4"/>
  <c r="X13" i="4"/>
  <c r="Y13" i="4"/>
  <c r="Z13" i="4"/>
  <c r="X14" i="4"/>
  <c r="Y14" i="4"/>
  <c r="Z14" i="4"/>
  <c r="X15" i="4"/>
  <c r="Y15" i="4" s="1"/>
  <c r="Z15" i="4"/>
  <c r="X16" i="4"/>
  <c r="Y16" i="4"/>
  <c r="Z16" i="4"/>
  <c r="X3" i="4"/>
  <c r="Z3" i="4"/>
  <c r="Q7" i="7"/>
  <c r="Q6" i="7"/>
  <c r="K6" i="7"/>
  <c r="I6" i="7"/>
  <c r="H6" i="7"/>
  <c r="G6" i="7"/>
  <c r="F6" i="7"/>
  <c r="E6" i="7"/>
  <c r="Q5" i="7"/>
  <c r="Q4" i="7"/>
  <c r="Q3" i="7"/>
  <c r="Q13" i="7" s="1"/>
  <c r="Z18" i="16" l="1"/>
  <c r="Z24" i="16" s="1"/>
  <c r="X18" i="16"/>
  <c r="X24" i="16" s="1"/>
  <c r="J6" i="7"/>
  <c r="X6" i="7" l="1"/>
  <c r="AA6" i="7"/>
  <c r="T16" i="12" l="1"/>
  <c r="S16" i="12"/>
  <c r="Q16" i="12"/>
  <c r="P16" i="12"/>
  <c r="T15" i="12"/>
  <c r="S15" i="12"/>
  <c r="Q15" i="12"/>
  <c r="P15" i="12"/>
  <c r="AK15" i="12" s="1"/>
  <c r="T14" i="12"/>
  <c r="S14" i="12"/>
  <c r="Q14" i="12"/>
  <c r="P14" i="12"/>
  <c r="AK14" i="12" s="1"/>
  <c r="T13" i="12"/>
  <c r="S13" i="12"/>
  <c r="Q13" i="12"/>
  <c r="P13" i="12"/>
  <c r="AK13" i="12" s="1"/>
  <c r="T12" i="12"/>
  <c r="S12" i="12"/>
  <c r="Q12" i="12"/>
  <c r="P12" i="12"/>
  <c r="T11" i="12"/>
  <c r="S11" i="12"/>
  <c r="Q11" i="12"/>
  <c r="P11" i="12"/>
  <c r="AK11" i="12" s="1"/>
  <c r="T10" i="12"/>
  <c r="S10" i="12"/>
  <c r="Q10" i="12"/>
  <c r="P10" i="12"/>
  <c r="AK10" i="12" s="1"/>
  <c r="T9" i="12"/>
  <c r="S9" i="12"/>
  <c r="Q9" i="12"/>
  <c r="P9" i="12"/>
  <c r="AK9" i="12" s="1"/>
  <c r="T8" i="12"/>
  <c r="S8" i="12"/>
  <c r="Q8" i="12"/>
  <c r="P8" i="12"/>
  <c r="T7" i="12"/>
  <c r="S7" i="12"/>
  <c r="Q7" i="12"/>
  <c r="P7" i="12"/>
  <c r="T6" i="12"/>
  <c r="S6" i="12"/>
  <c r="Q6" i="12"/>
  <c r="P6" i="12"/>
  <c r="AK6" i="12" s="1"/>
  <c r="T5" i="12"/>
  <c r="S5" i="12"/>
  <c r="Q5" i="12"/>
  <c r="P5" i="12"/>
  <c r="AK5" i="12" s="1"/>
  <c r="T4" i="12"/>
  <c r="S4" i="12"/>
  <c r="Q4" i="12"/>
  <c r="P4" i="12"/>
  <c r="T3" i="12"/>
  <c r="S3" i="12"/>
  <c r="Q3" i="12"/>
  <c r="P3" i="12"/>
  <c r="AK3" i="12" s="1"/>
  <c r="T16" i="13"/>
  <c r="S16" i="13"/>
  <c r="Q16" i="13"/>
  <c r="P16" i="13"/>
  <c r="AK16" i="13" s="1"/>
  <c r="T15" i="13"/>
  <c r="S15" i="13"/>
  <c r="Q15" i="13"/>
  <c r="P15" i="13"/>
  <c r="T14" i="13"/>
  <c r="S14" i="13"/>
  <c r="Q14" i="13"/>
  <c r="P14" i="13"/>
  <c r="T13" i="13"/>
  <c r="S13" i="13"/>
  <c r="Q13" i="13"/>
  <c r="P13" i="13"/>
  <c r="T12" i="13"/>
  <c r="S12" i="13"/>
  <c r="Q12" i="13"/>
  <c r="P12" i="13"/>
  <c r="AK12" i="13" s="1"/>
  <c r="T11" i="13"/>
  <c r="S11" i="13"/>
  <c r="Q11" i="13"/>
  <c r="P11" i="13"/>
  <c r="T10" i="13"/>
  <c r="S10" i="13"/>
  <c r="Q10" i="13"/>
  <c r="P10" i="13"/>
  <c r="T9" i="13"/>
  <c r="S9" i="13"/>
  <c r="Q9" i="13"/>
  <c r="P9" i="13"/>
  <c r="T8" i="13"/>
  <c r="S8" i="13"/>
  <c r="Q8" i="13"/>
  <c r="P8" i="13"/>
  <c r="T7" i="13"/>
  <c r="S7" i="13"/>
  <c r="Q7" i="13"/>
  <c r="P7" i="13"/>
  <c r="T6" i="13"/>
  <c r="S6" i="13"/>
  <c r="Q6" i="13"/>
  <c r="P6" i="13"/>
  <c r="T5" i="13"/>
  <c r="S5" i="13"/>
  <c r="Q5" i="13"/>
  <c r="P5" i="13"/>
  <c r="T4" i="13"/>
  <c r="S4" i="13"/>
  <c r="Q4" i="13"/>
  <c r="P4" i="13"/>
  <c r="AK4" i="13" s="1"/>
  <c r="T3" i="13"/>
  <c r="S3" i="13"/>
  <c r="Q3" i="13"/>
  <c r="P3" i="13"/>
  <c r="AK3" i="13" s="1"/>
  <c r="T16" i="14"/>
  <c r="T16" i="16" s="1"/>
  <c r="S16" i="14"/>
  <c r="S16" i="16" s="1"/>
  <c r="Q16" i="14"/>
  <c r="Q16" i="16" s="1"/>
  <c r="P16" i="14"/>
  <c r="P16" i="16" s="1"/>
  <c r="T15" i="14"/>
  <c r="T15" i="16" s="1"/>
  <c r="S15" i="14"/>
  <c r="S15" i="16" s="1"/>
  <c r="Q15" i="14"/>
  <c r="Q15" i="16" s="1"/>
  <c r="P15" i="14"/>
  <c r="P15" i="16" s="1"/>
  <c r="T14" i="14"/>
  <c r="T14" i="16" s="1"/>
  <c r="S14" i="14"/>
  <c r="S14" i="16" s="1"/>
  <c r="Q14" i="14"/>
  <c r="Q14" i="16" s="1"/>
  <c r="P14" i="14"/>
  <c r="P14" i="16" s="1"/>
  <c r="T13" i="14"/>
  <c r="T13" i="16" s="1"/>
  <c r="S13" i="14"/>
  <c r="S13" i="16" s="1"/>
  <c r="Q13" i="14"/>
  <c r="Q13" i="16" s="1"/>
  <c r="P13" i="14"/>
  <c r="P13" i="16" s="1"/>
  <c r="T12" i="14"/>
  <c r="T12" i="16" s="1"/>
  <c r="S12" i="14"/>
  <c r="S12" i="16" s="1"/>
  <c r="Q12" i="14"/>
  <c r="Q12" i="16" s="1"/>
  <c r="P12" i="14"/>
  <c r="P12" i="16" s="1"/>
  <c r="T11" i="14"/>
  <c r="T11" i="16" s="1"/>
  <c r="S11" i="14"/>
  <c r="S11" i="16" s="1"/>
  <c r="Q11" i="14"/>
  <c r="Q11" i="16" s="1"/>
  <c r="P11" i="14"/>
  <c r="P11" i="16" s="1"/>
  <c r="T10" i="14"/>
  <c r="T10" i="16" s="1"/>
  <c r="S10" i="14"/>
  <c r="S10" i="16" s="1"/>
  <c r="Q10" i="14"/>
  <c r="Q10" i="16" s="1"/>
  <c r="P10" i="14"/>
  <c r="P10" i="16" s="1"/>
  <c r="T9" i="14"/>
  <c r="T9" i="16" s="1"/>
  <c r="S9" i="14"/>
  <c r="S9" i="16" s="1"/>
  <c r="Q9" i="14"/>
  <c r="Q9" i="16" s="1"/>
  <c r="P9" i="14"/>
  <c r="P9" i="16" s="1"/>
  <c r="T8" i="14"/>
  <c r="T8" i="16" s="1"/>
  <c r="S8" i="14"/>
  <c r="S8" i="16" s="1"/>
  <c r="Q8" i="14"/>
  <c r="Q8" i="16" s="1"/>
  <c r="P8" i="14"/>
  <c r="P8" i="16" s="1"/>
  <c r="T7" i="14"/>
  <c r="T7" i="16" s="1"/>
  <c r="S7" i="14"/>
  <c r="S7" i="16" s="1"/>
  <c r="Q7" i="14"/>
  <c r="Q7" i="16" s="1"/>
  <c r="P7" i="14"/>
  <c r="P7" i="16" s="1"/>
  <c r="T6" i="14"/>
  <c r="T6" i="16" s="1"/>
  <c r="S6" i="14"/>
  <c r="S6" i="16" s="1"/>
  <c r="Q6" i="14"/>
  <c r="Q6" i="16" s="1"/>
  <c r="P6" i="14"/>
  <c r="P6" i="16" s="1"/>
  <c r="T5" i="14"/>
  <c r="T5" i="16" s="1"/>
  <c r="S5" i="14"/>
  <c r="S5" i="16" s="1"/>
  <c r="Q5" i="14"/>
  <c r="Q5" i="16" s="1"/>
  <c r="P5" i="14"/>
  <c r="P5" i="16" s="1"/>
  <c r="T4" i="14"/>
  <c r="T4" i="16" s="1"/>
  <c r="S4" i="14"/>
  <c r="S4" i="16" s="1"/>
  <c r="Q4" i="14"/>
  <c r="Q4" i="16" s="1"/>
  <c r="P4" i="14"/>
  <c r="P4" i="16" s="1"/>
  <c r="T3" i="14"/>
  <c r="T3" i="16" s="1"/>
  <c r="S3" i="14"/>
  <c r="S3" i="16" s="1"/>
  <c r="Q3" i="14"/>
  <c r="Q3" i="16" s="1"/>
  <c r="P3" i="14"/>
  <c r="I14" i="15"/>
  <c r="T16" i="15"/>
  <c r="S16" i="15"/>
  <c r="Q16" i="15"/>
  <c r="P16" i="15"/>
  <c r="T15" i="15"/>
  <c r="S15" i="15"/>
  <c r="Q15" i="15"/>
  <c r="P15" i="15"/>
  <c r="T14" i="15"/>
  <c r="S14" i="15"/>
  <c r="Q14" i="15"/>
  <c r="P14" i="15"/>
  <c r="T13" i="15"/>
  <c r="S13" i="15"/>
  <c r="Q13" i="15"/>
  <c r="P13" i="15"/>
  <c r="T12" i="15"/>
  <c r="S12" i="15"/>
  <c r="Q12" i="15"/>
  <c r="P12" i="15"/>
  <c r="AK12" i="15" s="1"/>
  <c r="T11" i="15"/>
  <c r="S11" i="15"/>
  <c r="Q11" i="15"/>
  <c r="P11" i="15"/>
  <c r="T10" i="15"/>
  <c r="S10" i="15"/>
  <c r="Q10" i="15"/>
  <c r="P10" i="15"/>
  <c r="T9" i="15"/>
  <c r="S9" i="15"/>
  <c r="Q9" i="15"/>
  <c r="P9" i="15"/>
  <c r="T8" i="15"/>
  <c r="S8" i="15"/>
  <c r="Q8" i="15"/>
  <c r="P8" i="15"/>
  <c r="AK8" i="15" s="1"/>
  <c r="T7" i="15"/>
  <c r="S7" i="15"/>
  <c r="Q7" i="15"/>
  <c r="P7" i="15"/>
  <c r="T6" i="15"/>
  <c r="S6" i="15"/>
  <c r="Q6" i="15"/>
  <c r="P6" i="15"/>
  <c r="T5" i="15"/>
  <c r="S5" i="15"/>
  <c r="Q5" i="15"/>
  <c r="P5" i="15"/>
  <c r="T4" i="15"/>
  <c r="S4" i="15"/>
  <c r="Q4" i="15"/>
  <c r="P4" i="15"/>
  <c r="T3" i="15"/>
  <c r="S3" i="15"/>
  <c r="Q3" i="15"/>
  <c r="P3" i="15"/>
  <c r="AK3" i="15" s="1"/>
  <c r="K33" i="15"/>
  <c r="I33" i="15"/>
  <c r="K31" i="15"/>
  <c r="I31" i="15"/>
  <c r="J24" i="15"/>
  <c r="G24" i="15"/>
  <c r="F24" i="15"/>
  <c r="E24" i="15"/>
  <c r="D24" i="15"/>
  <c r="AA23" i="15"/>
  <c r="AP22" i="15"/>
  <c r="AE22" i="15"/>
  <c r="AC22" i="15"/>
  <c r="AB22" i="15"/>
  <c r="Z22" i="15"/>
  <c r="Y22" i="15"/>
  <c r="X22" i="15"/>
  <c r="W22" i="15"/>
  <c r="V22" i="15"/>
  <c r="U22" i="15"/>
  <c r="T22" i="15"/>
  <c r="S22" i="15"/>
  <c r="R22" i="15"/>
  <c r="Q22" i="15"/>
  <c r="P22" i="15"/>
  <c r="K22" i="15"/>
  <c r="I22" i="15"/>
  <c r="C22" i="15"/>
  <c r="AN21" i="15"/>
  <c r="AM21" i="15"/>
  <c r="AL21" i="15"/>
  <c r="AK21" i="15"/>
  <c r="AJ21" i="15"/>
  <c r="AI21" i="15"/>
  <c r="AH21" i="15"/>
  <c r="AG21" i="15"/>
  <c r="AA26" i="15"/>
  <c r="AC18" i="15"/>
  <c r="AC24" i="15" s="1"/>
  <c r="AB18" i="15"/>
  <c r="AH16" i="15"/>
  <c r="I16" i="15"/>
  <c r="AH15" i="15"/>
  <c r="I15" i="15"/>
  <c r="AH14" i="15"/>
  <c r="AH13" i="15"/>
  <c r="I13" i="15"/>
  <c r="AH12" i="15"/>
  <c r="I12" i="15"/>
  <c r="AH11" i="15"/>
  <c r="I11" i="15"/>
  <c r="AH10" i="15"/>
  <c r="I10" i="15"/>
  <c r="AH9" i="15"/>
  <c r="I9" i="15"/>
  <c r="AH8" i="15"/>
  <c r="I8" i="15"/>
  <c r="AH7" i="15"/>
  <c r="I7" i="15"/>
  <c r="AH6" i="15"/>
  <c r="I6" i="15"/>
  <c r="AH5" i="15"/>
  <c r="C18" i="15"/>
  <c r="C24" i="15" s="1"/>
  <c r="AH4" i="15"/>
  <c r="I4" i="15"/>
  <c r="AH3" i="15"/>
  <c r="AH17" i="15" s="1"/>
  <c r="I3" i="15"/>
  <c r="K33" i="14"/>
  <c r="I33" i="14"/>
  <c r="K31" i="14"/>
  <c r="I31" i="14"/>
  <c r="J24" i="14"/>
  <c r="G24" i="14"/>
  <c r="F24" i="14"/>
  <c r="E24" i="14"/>
  <c r="D24" i="14"/>
  <c r="AA23" i="14"/>
  <c r="AP22" i="14"/>
  <c r="AE22" i="14"/>
  <c r="AC22" i="14"/>
  <c r="AB22" i="14"/>
  <c r="Z22" i="14"/>
  <c r="Y22" i="14"/>
  <c r="X22" i="14"/>
  <c r="W22" i="14"/>
  <c r="V22" i="14"/>
  <c r="U22" i="14"/>
  <c r="T22" i="14"/>
  <c r="S22" i="14"/>
  <c r="R22" i="14"/>
  <c r="Q22" i="14"/>
  <c r="P22" i="14"/>
  <c r="K22" i="14"/>
  <c r="I22" i="14"/>
  <c r="C22" i="14"/>
  <c r="AN21" i="14"/>
  <c r="AM21" i="14"/>
  <c r="AL21" i="14"/>
  <c r="AK21" i="14"/>
  <c r="AJ21" i="14"/>
  <c r="AI21" i="14"/>
  <c r="AH21" i="14"/>
  <c r="AG21" i="14"/>
  <c r="AA26" i="14"/>
  <c r="AC18" i="14"/>
  <c r="AC24" i="14" s="1"/>
  <c r="AB18" i="14"/>
  <c r="AH16" i="14"/>
  <c r="N16" i="14"/>
  <c r="I16" i="14"/>
  <c r="AH15" i="14"/>
  <c r="N15" i="14"/>
  <c r="I15" i="14"/>
  <c r="AH14" i="14"/>
  <c r="N14" i="14"/>
  <c r="I14" i="14"/>
  <c r="AH13" i="14"/>
  <c r="N13" i="14"/>
  <c r="I13" i="14"/>
  <c r="AH12" i="14"/>
  <c r="N12" i="14"/>
  <c r="I12" i="14"/>
  <c r="AH11" i="14"/>
  <c r="N11" i="14"/>
  <c r="I11" i="14"/>
  <c r="AH10" i="14"/>
  <c r="N10" i="14"/>
  <c r="I10" i="14"/>
  <c r="AH9" i="14"/>
  <c r="N9" i="14"/>
  <c r="I9" i="14"/>
  <c r="AH8" i="14"/>
  <c r="N8" i="14"/>
  <c r="I8" i="14"/>
  <c r="AH7" i="14"/>
  <c r="N7" i="14"/>
  <c r="I7" i="14"/>
  <c r="AH6" i="14"/>
  <c r="N6" i="14"/>
  <c r="I6" i="14"/>
  <c r="AH5" i="14"/>
  <c r="N5" i="14"/>
  <c r="I5" i="14"/>
  <c r="AH4" i="14"/>
  <c r="N4" i="14"/>
  <c r="I4" i="14"/>
  <c r="AH3" i="14"/>
  <c r="I3" i="14"/>
  <c r="K33" i="13"/>
  <c r="I33" i="13"/>
  <c r="K31" i="13"/>
  <c r="I31" i="13"/>
  <c r="J24" i="13"/>
  <c r="G24" i="13"/>
  <c r="F24" i="13"/>
  <c r="E24" i="13"/>
  <c r="D24" i="13"/>
  <c r="AA23" i="13"/>
  <c r="AP22" i="13"/>
  <c r="AE22" i="13"/>
  <c r="AC22" i="13"/>
  <c r="AB22" i="13"/>
  <c r="Z22" i="13"/>
  <c r="Y22" i="13"/>
  <c r="X22" i="13"/>
  <c r="W22" i="13"/>
  <c r="V22" i="13"/>
  <c r="U22" i="13"/>
  <c r="T22" i="13"/>
  <c r="S22" i="13"/>
  <c r="R22" i="13"/>
  <c r="Q22" i="13"/>
  <c r="P22" i="13"/>
  <c r="K22" i="13"/>
  <c r="I22" i="13"/>
  <c r="C22" i="13"/>
  <c r="AN21" i="13"/>
  <c r="AM21" i="13"/>
  <c r="AL21" i="13"/>
  <c r="AK21" i="13"/>
  <c r="AJ21" i="13"/>
  <c r="AI21" i="13"/>
  <c r="AH21" i="13"/>
  <c r="AG21" i="13"/>
  <c r="AA26" i="13"/>
  <c r="AC18" i="13"/>
  <c r="AC24" i="13" s="1"/>
  <c r="AB18" i="13"/>
  <c r="AH17" i="13"/>
  <c r="AH16" i="13"/>
  <c r="N16" i="13"/>
  <c r="I16" i="13"/>
  <c r="AH15" i="13"/>
  <c r="N15" i="13"/>
  <c r="I15" i="13"/>
  <c r="AH14" i="13"/>
  <c r="AK14" i="13"/>
  <c r="N14" i="13"/>
  <c r="I14" i="13"/>
  <c r="AH13" i="13"/>
  <c r="N13" i="13"/>
  <c r="I13" i="13"/>
  <c r="AH12" i="13"/>
  <c r="N12" i="13"/>
  <c r="I12" i="13"/>
  <c r="AH11" i="13"/>
  <c r="N11" i="13"/>
  <c r="I11" i="13"/>
  <c r="AH10" i="13"/>
  <c r="N10" i="13"/>
  <c r="I10" i="13"/>
  <c r="AH9" i="13"/>
  <c r="N9" i="13"/>
  <c r="I9" i="13"/>
  <c r="AH8" i="13"/>
  <c r="N8" i="13"/>
  <c r="I8" i="13"/>
  <c r="AH7" i="13"/>
  <c r="N7" i="13"/>
  <c r="I7" i="13"/>
  <c r="AH6" i="13"/>
  <c r="N6" i="13"/>
  <c r="I6" i="13"/>
  <c r="AH5" i="13"/>
  <c r="N5" i="13"/>
  <c r="I5" i="13"/>
  <c r="AH4" i="13"/>
  <c r="N4" i="13"/>
  <c r="I4" i="13"/>
  <c r="AH3" i="13"/>
  <c r="N3" i="13"/>
  <c r="I3" i="13"/>
  <c r="K33" i="12"/>
  <c r="I33" i="12"/>
  <c r="K31" i="12"/>
  <c r="I31" i="12"/>
  <c r="J24" i="12"/>
  <c r="G24" i="12"/>
  <c r="F24" i="12"/>
  <c r="E24" i="12"/>
  <c r="D24" i="12"/>
  <c r="AA23" i="12"/>
  <c r="AP22" i="12"/>
  <c r="AE22" i="12"/>
  <c r="AD22" i="12"/>
  <c r="AC22" i="12"/>
  <c r="AB22" i="12"/>
  <c r="Z22" i="12"/>
  <c r="X22" i="12"/>
  <c r="W22" i="12"/>
  <c r="V22" i="12"/>
  <c r="U22" i="12"/>
  <c r="Y22" i="12" s="1"/>
  <c r="T22" i="12"/>
  <c r="S22" i="12"/>
  <c r="R22" i="12"/>
  <c r="Q22" i="12"/>
  <c r="P22" i="12"/>
  <c r="K22" i="12"/>
  <c r="I22" i="12"/>
  <c r="C22" i="12"/>
  <c r="AN21" i="12"/>
  <c r="AM21" i="12"/>
  <c r="AL21" i="12"/>
  <c r="AK21" i="12"/>
  <c r="AJ21" i="12"/>
  <c r="AI21" i="12"/>
  <c r="AH21" i="12"/>
  <c r="AG21" i="12"/>
  <c r="AA26" i="12"/>
  <c r="AC18" i="12"/>
  <c r="AC24" i="12" s="1"/>
  <c r="AB18" i="12"/>
  <c r="AH16" i="12"/>
  <c r="AK16" i="12"/>
  <c r="I16" i="12"/>
  <c r="AH15" i="12"/>
  <c r="I15" i="12"/>
  <c r="AH14" i="12"/>
  <c r="I14" i="12"/>
  <c r="AH13" i="12"/>
  <c r="I13" i="12"/>
  <c r="AH12" i="12"/>
  <c r="I12" i="12"/>
  <c r="AH11" i="12"/>
  <c r="I11" i="12"/>
  <c r="AH10" i="12"/>
  <c r="I10" i="12"/>
  <c r="AH9" i="12"/>
  <c r="I9" i="12"/>
  <c r="AH8" i="12"/>
  <c r="I8" i="12"/>
  <c r="AH7" i="12"/>
  <c r="AK7" i="12"/>
  <c r="I7" i="12"/>
  <c r="AH6" i="12"/>
  <c r="I6" i="12"/>
  <c r="AH5" i="12"/>
  <c r="I5" i="12"/>
  <c r="AH4" i="12"/>
  <c r="I4" i="12"/>
  <c r="AH3" i="12"/>
  <c r="K18" i="12"/>
  <c r="K24" i="12" s="1"/>
  <c r="I3" i="12"/>
  <c r="U4" i="16" l="1"/>
  <c r="U6" i="16"/>
  <c r="U8" i="16"/>
  <c r="U10" i="16"/>
  <c r="AD10" i="16" s="1"/>
  <c r="U12" i="16"/>
  <c r="AD12" i="16" s="1"/>
  <c r="U14" i="16"/>
  <c r="AD14" i="16" s="1"/>
  <c r="U16" i="16"/>
  <c r="AD16" i="16" s="1"/>
  <c r="U5" i="16"/>
  <c r="AD5" i="16" s="1"/>
  <c r="U7" i="16"/>
  <c r="AD7" i="16" s="1"/>
  <c r="U9" i="16"/>
  <c r="AD9" i="16" s="1"/>
  <c r="U11" i="16"/>
  <c r="AD11" i="16" s="1"/>
  <c r="U13" i="16"/>
  <c r="U15" i="16"/>
  <c r="T18" i="16"/>
  <c r="T24" i="16" s="1"/>
  <c r="U3" i="16"/>
  <c r="AD3" i="16" s="1"/>
  <c r="S18" i="16"/>
  <c r="S24" i="16" s="1"/>
  <c r="Q18" i="16"/>
  <c r="Q24" i="16" s="1"/>
  <c r="AK5" i="16"/>
  <c r="R5" i="16"/>
  <c r="AJ5" i="16"/>
  <c r="AK11" i="16"/>
  <c r="R11" i="16"/>
  <c r="AJ11" i="16"/>
  <c r="AK15" i="16"/>
  <c r="R15" i="16"/>
  <c r="AJ15" i="16"/>
  <c r="AK3" i="14"/>
  <c r="P3" i="16"/>
  <c r="AK9" i="16"/>
  <c r="R9" i="16"/>
  <c r="AJ9" i="16"/>
  <c r="AK13" i="16"/>
  <c r="AJ13" i="16"/>
  <c r="R13" i="16"/>
  <c r="AJ7" i="16"/>
  <c r="R7" i="16"/>
  <c r="AK7" i="16"/>
  <c r="AK4" i="16"/>
  <c r="AJ4" i="16"/>
  <c r="R4" i="16"/>
  <c r="AK6" i="16"/>
  <c r="R6" i="16"/>
  <c r="AJ6" i="16"/>
  <c r="AJ8" i="16"/>
  <c r="AK8" i="16"/>
  <c r="R8" i="16"/>
  <c r="AK10" i="16"/>
  <c r="R10" i="16"/>
  <c r="AJ10" i="16"/>
  <c r="AJ12" i="16"/>
  <c r="R12" i="16"/>
  <c r="AK12" i="16"/>
  <c r="R14" i="16"/>
  <c r="AJ14" i="16"/>
  <c r="AK14" i="16"/>
  <c r="AJ16" i="16"/>
  <c r="AK16" i="16"/>
  <c r="R16" i="16"/>
  <c r="I18" i="12"/>
  <c r="I24" i="12" s="1"/>
  <c r="I32" i="12" s="1"/>
  <c r="J32" i="12" s="1"/>
  <c r="L31" i="12"/>
  <c r="L33" i="12"/>
  <c r="L33" i="13"/>
  <c r="L31" i="13"/>
  <c r="AJ16" i="15"/>
  <c r="L33" i="14"/>
  <c r="AH17" i="14"/>
  <c r="L31" i="14"/>
  <c r="U8" i="13"/>
  <c r="R9" i="13"/>
  <c r="O9" i="13" s="1"/>
  <c r="U15" i="15"/>
  <c r="AD15" i="15" s="1"/>
  <c r="L31" i="15"/>
  <c r="L33" i="15"/>
  <c r="R8" i="15"/>
  <c r="O8" i="15" s="1"/>
  <c r="AJ10" i="15"/>
  <c r="U10" i="15"/>
  <c r="AD10" i="15" s="1"/>
  <c r="U7" i="15"/>
  <c r="AD7" i="15" s="1"/>
  <c r="R10" i="15"/>
  <c r="O10" i="15" s="1"/>
  <c r="R11" i="15"/>
  <c r="O11" i="15" s="1"/>
  <c r="U4" i="15"/>
  <c r="AD4" i="15" s="1"/>
  <c r="AJ6" i="15"/>
  <c r="U5" i="15"/>
  <c r="AD5" i="15" s="1"/>
  <c r="AJ14" i="15"/>
  <c r="Q18" i="15"/>
  <c r="Q24" i="15" s="1"/>
  <c r="U8" i="15"/>
  <c r="AD8" i="15" s="1"/>
  <c r="R9" i="15"/>
  <c r="O9" i="15" s="1"/>
  <c r="AK10" i="15"/>
  <c r="U13" i="15"/>
  <c r="AD13" i="15" s="1"/>
  <c r="R14" i="15"/>
  <c r="R3" i="15"/>
  <c r="R4" i="15"/>
  <c r="O4" i="15" s="1"/>
  <c r="U14" i="15"/>
  <c r="AD14" i="15" s="1"/>
  <c r="R15" i="15"/>
  <c r="S18" i="15"/>
  <c r="S24" i="15" s="1"/>
  <c r="R5" i="15"/>
  <c r="O5" i="15" s="1"/>
  <c r="AK6" i="15"/>
  <c r="U9" i="15"/>
  <c r="AD9" i="15" s="1"/>
  <c r="T18" i="15"/>
  <c r="T24" i="15" s="1"/>
  <c r="X18" i="15"/>
  <c r="X24" i="15" s="1"/>
  <c r="R6" i="15"/>
  <c r="O6" i="15" s="1"/>
  <c r="AJ12" i="15"/>
  <c r="Z18" i="15"/>
  <c r="Z24" i="15" s="1"/>
  <c r="U6" i="15"/>
  <c r="AD6" i="15" s="1"/>
  <c r="R7" i="15"/>
  <c r="O7" i="15" s="1"/>
  <c r="U11" i="15"/>
  <c r="AD11" i="15" s="1"/>
  <c r="R12" i="15"/>
  <c r="O12" i="15" s="1"/>
  <c r="R16" i="15"/>
  <c r="O16" i="15" s="1"/>
  <c r="AK16" i="15"/>
  <c r="AJ8" i="15"/>
  <c r="U12" i="15"/>
  <c r="AD12" i="15" s="1"/>
  <c r="R13" i="15"/>
  <c r="AK14" i="15"/>
  <c r="U16" i="15"/>
  <c r="AD16" i="15" s="1"/>
  <c r="AJ16" i="14"/>
  <c r="AJ4" i="15"/>
  <c r="I5" i="15"/>
  <c r="I18" i="15" s="1"/>
  <c r="I24" i="15" s="1"/>
  <c r="AK4" i="15"/>
  <c r="K18" i="15"/>
  <c r="K24" i="15" s="1"/>
  <c r="AJ10" i="14"/>
  <c r="U3" i="15"/>
  <c r="AD3" i="15" s="1"/>
  <c r="P18" i="15"/>
  <c r="AJ5" i="15"/>
  <c r="AJ7" i="15"/>
  <c r="AJ9" i="15"/>
  <c r="AJ11" i="15"/>
  <c r="AJ13" i="15"/>
  <c r="AJ15" i="15"/>
  <c r="AK5" i="15"/>
  <c r="AK7" i="15"/>
  <c r="AK9" i="15"/>
  <c r="AK11" i="15"/>
  <c r="AK13" i="15"/>
  <c r="AK15" i="15"/>
  <c r="AJ3" i="15"/>
  <c r="U4" i="14"/>
  <c r="AD4" i="14" s="1"/>
  <c r="U8" i="14"/>
  <c r="AD8" i="14" s="1"/>
  <c r="R4" i="14"/>
  <c r="U12" i="14"/>
  <c r="AD12" i="14" s="1"/>
  <c r="AJ8" i="14"/>
  <c r="U7" i="14"/>
  <c r="AD7" i="14" s="1"/>
  <c r="U15" i="14"/>
  <c r="AD15" i="14" s="1"/>
  <c r="R8" i="13"/>
  <c r="AG8" i="13" s="1"/>
  <c r="U12" i="13"/>
  <c r="R13" i="13"/>
  <c r="AI13" i="13" s="1"/>
  <c r="U9" i="14"/>
  <c r="AD9" i="14" s="1"/>
  <c r="R11" i="14"/>
  <c r="AG11" i="14" s="1"/>
  <c r="X18" i="14"/>
  <c r="X24" i="14" s="1"/>
  <c r="M7" i="7" s="1"/>
  <c r="AJ6" i="14"/>
  <c r="AJ14" i="14"/>
  <c r="Z18" i="14"/>
  <c r="Z24" i="14" s="1"/>
  <c r="L7" i="7" s="1"/>
  <c r="U5" i="14"/>
  <c r="AD5" i="14" s="1"/>
  <c r="R7" i="14"/>
  <c r="AG7" i="14" s="1"/>
  <c r="U13" i="14"/>
  <c r="AD13" i="14" s="1"/>
  <c r="R14" i="14"/>
  <c r="AI14" i="14" s="1"/>
  <c r="U6" i="14"/>
  <c r="AD6" i="14" s="1"/>
  <c r="U14" i="14"/>
  <c r="AD14" i="14" s="1"/>
  <c r="R15" i="14"/>
  <c r="W15" i="14" s="1"/>
  <c r="R9" i="14"/>
  <c r="O9" i="14" s="1"/>
  <c r="Q18" i="14"/>
  <c r="Q24" i="14" s="1"/>
  <c r="G7" i="7" s="1"/>
  <c r="R3" i="14"/>
  <c r="AI3" i="14" s="1"/>
  <c r="S18" i="14"/>
  <c r="S24" i="14" s="1"/>
  <c r="H7" i="7" s="1"/>
  <c r="U10" i="14"/>
  <c r="AD10" i="14" s="1"/>
  <c r="R12" i="14"/>
  <c r="O12" i="14" s="1"/>
  <c r="R16" i="14"/>
  <c r="AK16" i="14"/>
  <c r="T18" i="14"/>
  <c r="T24" i="14" s="1"/>
  <c r="I7" i="7" s="1"/>
  <c r="R5" i="14"/>
  <c r="AI5" i="14" s="1"/>
  <c r="U11" i="14"/>
  <c r="AD11" i="14" s="1"/>
  <c r="R13" i="14"/>
  <c r="AI13" i="14" s="1"/>
  <c r="AK14" i="14"/>
  <c r="U16" i="14"/>
  <c r="AD16" i="14" s="1"/>
  <c r="I18" i="14"/>
  <c r="I24" i="14" s="1"/>
  <c r="I32" i="14" s="1"/>
  <c r="J32" i="14" s="1"/>
  <c r="AJ12" i="14"/>
  <c r="AK4" i="14"/>
  <c r="AK6" i="14"/>
  <c r="AK8" i="14"/>
  <c r="AK10" i="14"/>
  <c r="AK12" i="14"/>
  <c r="K18" i="14"/>
  <c r="K24" i="14" s="1"/>
  <c r="E7" i="7" s="1"/>
  <c r="AJ4" i="14"/>
  <c r="U3" i="14"/>
  <c r="AD3" i="14" s="1"/>
  <c r="R6" i="14"/>
  <c r="R8" i="14"/>
  <c r="R10" i="14"/>
  <c r="P18" i="14"/>
  <c r="C18" i="14"/>
  <c r="C24" i="14" s="1"/>
  <c r="U7" i="12"/>
  <c r="AJ5" i="14"/>
  <c r="AJ7" i="14"/>
  <c r="AJ9" i="14"/>
  <c r="AJ11" i="14"/>
  <c r="AJ13" i="14"/>
  <c r="AJ15" i="14"/>
  <c r="U9" i="13"/>
  <c r="AJ3" i="14"/>
  <c r="AK5" i="14"/>
  <c r="AK7" i="14"/>
  <c r="AK9" i="14"/>
  <c r="AK11" i="14"/>
  <c r="AK13" i="14"/>
  <c r="AK15" i="14"/>
  <c r="U5" i="12"/>
  <c r="U16" i="12"/>
  <c r="U11" i="13"/>
  <c r="R7" i="12"/>
  <c r="AI7" i="12" s="1"/>
  <c r="AJ6" i="13"/>
  <c r="U10" i="13"/>
  <c r="R11" i="13"/>
  <c r="W11" i="13" s="1"/>
  <c r="X18" i="13"/>
  <c r="X24" i="13" s="1"/>
  <c r="M4" i="7" s="1"/>
  <c r="U7" i="13"/>
  <c r="U5" i="13"/>
  <c r="U6" i="13"/>
  <c r="R7" i="13"/>
  <c r="O7" i="13" s="1"/>
  <c r="U15" i="13"/>
  <c r="U16" i="13"/>
  <c r="R3" i="13"/>
  <c r="U9" i="12"/>
  <c r="S18" i="13"/>
  <c r="S24" i="13" s="1"/>
  <c r="H4" i="7" s="1"/>
  <c r="T18" i="13"/>
  <c r="T24" i="13" s="1"/>
  <c r="I4" i="7" s="1"/>
  <c r="Q18" i="13"/>
  <c r="Q24" i="13" s="1"/>
  <c r="G4" i="7" s="1"/>
  <c r="AJ10" i="13"/>
  <c r="U13" i="13"/>
  <c r="Z18" i="13"/>
  <c r="Z24" i="13" s="1"/>
  <c r="L4" i="7" s="1"/>
  <c r="U4" i="13"/>
  <c r="R5" i="13"/>
  <c r="W5" i="13" s="1"/>
  <c r="U14" i="13"/>
  <c r="R15" i="13"/>
  <c r="J33" i="13"/>
  <c r="I18" i="13"/>
  <c r="I24" i="13" s="1"/>
  <c r="I32" i="13" s="1"/>
  <c r="J32" i="13" s="1"/>
  <c r="AJ14" i="13"/>
  <c r="AK8" i="13"/>
  <c r="AK10" i="13"/>
  <c r="R9" i="12"/>
  <c r="W9" i="12" s="1"/>
  <c r="R13" i="12"/>
  <c r="AI13" i="12" s="1"/>
  <c r="C18" i="13"/>
  <c r="C24" i="13" s="1"/>
  <c r="AJ4" i="13"/>
  <c r="AJ8" i="13"/>
  <c r="AJ16" i="13"/>
  <c r="AK6" i="13"/>
  <c r="K18" i="13"/>
  <c r="K24" i="13" s="1"/>
  <c r="E4" i="7" s="1"/>
  <c r="R15" i="12"/>
  <c r="W15" i="12" s="1"/>
  <c r="U3" i="13"/>
  <c r="R4" i="13"/>
  <c r="R6" i="13"/>
  <c r="R10" i="13"/>
  <c r="R12" i="13"/>
  <c r="R14" i="13"/>
  <c r="R16" i="13"/>
  <c r="P18" i="13"/>
  <c r="AJ12" i="13"/>
  <c r="AJ5" i="13"/>
  <c r="AJ7" i="13"/>
  <c r="AJ9" i="13"/>
  <c r="AJ11" i="13"/>
  <c r="AJ13" i="13"/>
  <c r="AJ15" i="13"/>
  <c r="AJ12" i="12"/>
  <c r="AJ3" i="13"/>
  <c r="AK5" i="13"/>
  <c r="AK7" i="13"/>
  <c r="AK9" i="13"/>
  <c r="AK11" i="13"/>
  <c r="AK13" i="13"/>
  <c r="AK15" i="13"/>
  <c r="R11" i="12"/>
  <c r="W11" i="12" s="1"/>
  <c r="U13" i="12"/>
  <c r="U11" i="12"/>
  <c r="R16" i="12"/>
  <c r="W16" i="12" s="1"/>
  <c r="AJ8" i="12"/>
  <c r="AJ14" i="12"/>
  <c r="R3" i="12"/>
  <c r="AG3" i="12" s="1"/>
  <c r="AJ4" i="12"/>
  <c r="AJ10" i="12"/>
  <c r="R5" i="12"/>
  <c r="AG5" i="12" s="1"/>
  <c r="AM5" i="12" s="1"/>
  <c r="U15" i="12"/>
  <c r="X18" i="12"/>
  <c r="X24" i="12" s="1"/>
  <c r="M3" i="7" s="1"/>
  <c r="R6" i="12"/>
  <c r="AI6" i="12" s="1"/>
  <c r="R10" i="12"/>
  <c r="R14" i="12"/>
  <c r="W14" i="12" s="1"/>
  <c r="T18" i="12"/>
  <c r="T24" i="12" s="1"/>
  <c r="I3" i="7" s="1"/>
  <c r="Z18" i="12"/>
  <c r="Z24" i="12" s="1"/>
  <c r="L3" i="7" s="1"/>
  <c r="AJ6" i="12"/>
  <c r="U6" i="12"/>
  <c r="AJ7" i="12"/>
  <c r="U10" i="12"/>
  <c r="AJ11" i="12"/>
  <c r="U14" i="12"/>
  <c r="AJ15" i="12"/>
  <c r="AK4" i="12"/>
  <c r="AK8" i="12"/>
  <c r="AK12" i="12"/>
  <c r="R4" i="12"/>
  <c r="AG4" i="12" s="1"/>
  <c r="R8" i="12"/>
  <c r="R12" i="12"/>
  <c r="AG12" i="12" s="1"/>
  <c r="AM12" i="12" s="1"/>
  <c r="AJ16" i="12"/>
  <c r="S18" i="12"/>
  <c r="S24" i="12" s="1"/>
  <c r="H3" i="7" s="1"/>
  <c r="AJ5" i="12"/>
  <c r="U8" i="12"/>
  <c r="AJ9" i="12"/>
  <c r="U12" i="12"/>
  <c r="AJ13" i="12"/>
  <c r="J31" i="12"/>
  <c r="J33" i="12"/>
  <c r="C18" i="12"/>
  <c r="C24" i="12" s="1"/>
  <c r="AH17" i="12"/>
  <c r="U3" i="12"/>
  <c r="P18" i="12"/>
  <c r="Q18" i="12"/>
  <c r="Q24" i="12" s="1"/>
  <c r="G3" i="7" s="1"/>
  <c r="AJ3" i="12"/>
  <c r="U4" i="12"/>
  <c r="N11" i="4"/>
  <c r="C18" i="4"/>
  <c r="C24" i="4" s="1"/>
  <c r="T16" i="3"/>
  <c r="S16" i="3"/>
  <c r="Q16" i="3"/>
  <c r="P16" i="3"/>
  <c r="T15" i="3"/>
  <c r="S15" i="3"/>
  <c r="Q15" i="3"/>
  <c r="P15" i="3"/>
  <c r="T14" i="3"/>
  <c r="S14" i="3"/>
  <c r="Q14" i="3"/>
  <c r="P14" i="3"/>
  <c r="T13" i="3"/>
  <c r="S13" i="3"/>
  <c r="Q13" i="3"/>
  <c r="P13" i="3"/>
  <c r="T12" i="3"/>
  <c r="S12" i="3"/>
  <c r="Q12" i="3"/>
  <c r="P12" i="3"/>
  <c r="T11" i="3"/>
  <c r="S11" i="3"/>
  <c r="Q11" i="3"/>
  <c r="P11" i="3"/>
  <c r="T10" i="3"/>
  <c r="S10" i="3"/>
  <c r="Q10" i="3"/>
  <c r="P10" i="3"/>
  <c r="T9" i="3"/>
  <c r="S9" i="3"/>
  <c r="Q9" i="3"/>
  <c r="P9" i="3"/>
  <c r="T8" i="3"/>
  <c r="S8" i="3"/>
  <c r="Q8" i="3"/>
  <c r="P8" i="3"/>
  <c r="T7" i="3"/>
  <c r="S7" i="3"/>
  <c r="Q7" i="3"/>
  <c r="P7" i="3"/>
  <c r="T6" i="3"/>
  <c r="S6" i="3"/>
  <c r="Q6" i="3"/>
  <c r="P6" i="3"/>
  <c r="T5" i="3"/>
  <c r="S5" i="3"/>
  <c r="Q5" i="3"/>
  <c r="P5" i="3"/>
  <c r="T4" i="3"/>
  <c r="S4" i="3"/>
  <c r="Q4" i="3"/>
  <c r="P4" i="3"/>
  <c r="T3" i="3"/>
  <c r="S3" i="3"/>
  <c r="U3" i="3" s="1"/>
  <c r="Q3" i="3"/>
  <c r="P3" i="3"/>
  <c r="AJ11" i="4"/>
  <c r="T3" i="4"/>
  <c r="T4" i="4"/>
  <c r="U4" i="4" s="1"/>
  <c r="T5" i="4"/>
  <c r="T6" i="4"/>
  <c r="T7" i="4"/>
  <c r="T8" i="4"/>
  <c r="U8" i="4" s="1"/>
  <c r="T9" i="4"/>
  <c r="T10" i="4"/>
  <c r="T11" i="4"/>
  <c r="U11" i="4" s="1"/>
  <c r="T12" i="4"/>
  <c r="T13" i="4"/>
  <c r="T14" i="4"/>
  <c r="T15" i="4"/>
  <c r="T16" i="4"/>
  <c r="S3" i="4"/>
  <c r="S4" i="4"/>
  <c r="S5" i="4"/>
  <c r="S6" i="4"/>
  <c r="S7" i="4"/>
  <c r="S8" i="4"/>
  <c r="S9" i="4"/>
  <c r="S10" i="4"/>
  <c r="S11" i="4"/>
  <c r="S12" i="4"/>
  <c r="S13" i="4"/>
  <c r="S14" i="4"/>
  <c r="S15" i="4"/>
  <c r="S16" i="4"/>
  <c r="Q4" i="4"/>
  <c r="Q5" i="4"/>
  <c r="Q6" i="4"/>
  <c r="Q7" i="4"/>
  <c r="Q8" i="4"/>
  <c r="Q9" i="4"/>
  <c r="Q10" i="4"/>
  <c r="Q11" i="4"/>
  <c r="Q12" i="4"/>
  <c r="Q13" i="4"/>
  <c r="Q14" i="4"/>
  <c r="Q15" i="4"/>
  <c r="Q16" i="4"/>
  <c r="Q3" i="4"/>
  <c r="P3" i="4"/>
  <c r="P4" i="4"/>
  <c r="AK4" i="4" s="1"/>
  <c r="P5" i="4"/>
  <c r="AK5" i="4" s="1"/>
  <c r="P6" i="4"/>
  <c r="P7" i="4"/>
  <c r="AK7" i="4" s="1"/>
  <c r="P8" i="4"/>
  <c r="AK8" i="4" s="1"/>
  <c r="P9" i="4"/>
  <c r="P10" i="4"/>
  <c r="P11" i="4"/>
  <c r="P12" i="4"/>
  <c r="AK12" i="4" s="1"/>
  <c r="P13" i="4"/>
  <c r="AK13" i="4" s="1"/>
  <c r="P14" i="4"/>
  <c r="P15" i="4"/>
  <c r="AK15" i="4" s="1"/>
  <c r="P16" i="4"/>
  <c r="K33" i="4"/>
  <c r="I33" i="4"/>
  <c r="K31" i="4"/>
  <c r="L31" i="4" s="1"/>
  <c r="I31" i="4"/>
  <c r="AC24" i="4"/>
  <c r="J24" i="4"/>
  <c r="G24" i="4"/>
  <c r="F24" i="4"/>
  <c r="E24" i="4"/>
  <c r="D24" i="4"/>
  <c r="AA23" i="4"/>
  <c r="AP22" i="4"/>
  <c r="AE22" i="4"/>
  <c r="AC22" i="4"/>
  <c r="AB22" i="4"/>
  <c r="Z22" i="4"/>
  <c r="Y22" i="4"/>
  <c r="X22" i="4"/>
  <c r="W22" i="4"/>
  <c r="V22" i="4"/>
  <c r="U22" i="4"/>
  <c r="T22" i="4"/>
  <c r="S22" i="4"/>
  <c r="R22" i="4"/>
  <c r="Q22" i="4"/>
  <c r="P22" i="4"/>
  <c r="K22" i="4"/>
  <c r="I22" i="4"/>
  <c r="C22" i="4"/>
  <c r="AN21" i="4"/>
  <c r="AM21" i="4"/>
  <c r="AL21" i="4"/>
  <c r="AK21" i="4"/>
  <c r="AJ21" i="4"/>
  <c r="AI21" i="4"/>
  <c r="AH21" i="4"/>
  <c r="AG21" i="4"/>
  <c r="AA26" i="4"/>
  <c r="AC18" i="4"/>
  <c r="AB18" i="4"/>
  <c r="K18" i="4"/>
  <c r="K24" i="4" s="1"/>
  <c r="AH17" i="4"/>
  <c r="AH16" i="4"/>
  <c r="N16" i="4"/>
  <c r="I16" i="4"/>
  <c r="AH15" i="4"/>
  <c r="N15" i="4"/>
  <c r="I15" i="4"/>
  <c r="AH14" i="4"/>
  <c r="N14" i="4"/>
  <c r="I14" i="4"/>
  <c r="AH13" i="4"/>
  <c r="N13" i="4"/>
  <c r="I13" i="4"/>
  <c r="AH12" i="4"/>
  <c r="N12" i="4"/>
  <c r="I12" i="4"/>
  <c r="AK11" i="4"/>
  <c r="AH11" i="4"/>
  <c r="I11" i="4"/>
  <c r="AK10" i="4"/>
  <c r="AJ10" i="4"/>
  <c r="AH10" i="4"/>
  <c r="U10" i="4"/>
  <c r="R10" i="4"/>
  <c r="AG10" i="4" s="1"/>
  <c r="AM10" i="4" s="1"/>
  <c r="N10" i="4"/>
  <c r="I10" i="4"/>
  <c r="AK9" i="4"/>
  <c r="AJ9" i="4"/>
  <c r="AH9" i="4"/>
  <c r="W9" i="4"/>
  <c r="U9" i="4"/>
  <c r="R9" i="4"/>
  <c r="AG9" i="4" s="1"/>
  <c r="AM9" i="4" s="1"/>
  <c r="N9" i="4"/>
  <c r="I9" i="4"/>
  <c r="AH8" i="4"/>
  <c r="N8" i="4"/>
  <c r="I8" i="4"/>
  <c r="AJ7" i="4"/>
  <c r="AH7" i="4"/>
  <c r="U7" i="4"/>
  <c r="R7" i="4"/>
  <c r="N7" i="4"/>
  <c r="I7" i="4"/>
  <c r="AK6" i="4"/>
  <c r="AJ6" i="4"/>
  <c r="AH6" i="4"/>
  <c r="U6" i="4"/>
  <c r="R6" i="4"/>
  <c r="N6" i="4"/>
  <c r="I6" i="4"/>
  <c r="AH5" i="4"/>
  <c r="U5" i="4"/>
  <c r="N5" i="4"/>
  <c r="I5" i="4"/>
  <c r="AH4" i="4"/>
  <c r="N4" i="4"/>
  <c r="I4" i="4"/>
  <c r="AH3" i="4"/>
  <c r="N3" i="4"/>
  <c r="I3" i="4"/>
  <c r="AG13" i="15" l="1"/>
  <c r="AM13" i="15" s="1"/>
  <c r="O13" i="15"/>
  <c r="AI15" i="15"/>
  <c r="O15" i="15"/>
  <c r="AG14" i="15"/>
  <c r="AM14" i="15" s="1"/>
  <c r="O14" i="15"/>
  <c r="AG3" i="15"/>
  <c r="O3" i="15"/>
  <c r="AG4" i="14"/>
  <c r="AD18" i="15"/>
  <c r="AD24" i="15" s="1"/>
  <c r="Y15" i="16"/>
  <c r="AD15" i="16"/>
  <c r="Y13" i="16"/>
  <c r="AD13" i="16"/>
  <c r="Y8" i="16"/>
  <c r="AD8" i="16"/>
  <c r="Y6" i="16"/>
  <c r="AD6" i="16"/>
  <c r="Y4" i="16"/>
  <c r="AD4" i="16"/>
  <c r="AD18" i="14"/>
  <c r="AD24" i="14" s="1"/>
  <c r="Y7" i="16"/>
  <c r="Y9" i="16"/>
  <c r="Y10" i="16"/>
  <c r="Y5" i="16"/>
  <c r="Y12" i="16"/>
  <c r="Y14" i="16"/>
  <c r="Y16" i="16"/>
  <c r="Y11" i="16"/>
  <c r="Y3" i="16"/>
  <c r="U18" i="16"/>
  <c r="O15" i="16"/>
  <c r="AI15" i="16"/>
  <c r="AG15" i="16"/>
  <c r="W15" i="16"/>
  <c r="O8" i="16"/>
  <c r="AI8" i="16"/>
  <c r="W8" i="16"/>
  <c r="AG8" i="16"/>
  <c r="AI9" i="16"/>
  <c r="AG9" i="16"/>
  <c r="O9" i="16"/>
  <c r="W9" i="16"/>
  <c r="AE9" i="16" s="1"/>
  <c r="AL9" i="16" s="1" a="1"/>
  <c r="AL9" i="16" s="1"/>
  <c r="O11" i="16"/>
  <c r="AI11" i="16"/>
  <c r="W11" i="16"/>
  <c r="AE11" i="16" s="1"/>
  <c r="AL11" i="16" s="1" a="1"/>
  <c r="AL11" i="16" s="1"/>
  <c r="AG11" i="16"/>
  <c r="O14" i="16"/>
  <c r="AI14" i="16"/>
  <c r="W14" i="16"/>
  <c r="AE14" i="16" s="1"/>
  <c r="AL14" i="16" s="1" a="1"/>
  <c r="AL14" i="16" s="1"/>
  <c r="AG14" i="16"/>
  <c r="AM14" i="16" s="1"/>
  <c r="AG4" i="16"/>
  <c r="AI4" i="16"/>
  <c r="W4" i="16"/>
  <c r="O4" i="16"/>
  <c r="O7" i="16"/>
  <c r="AG7" i="16"/>
  <c r="AI7" i="16"/>
  <c r="W7" i="16"/>
  <c r="AE7" i="16" s="1"/>
  <c r="AL7" i="16" s="1" a="1"/>
  <c r="AL7" i="16" s="1"/>
  <c r="P18" i="16"/>
  <c r="AK3" i="16"/>
  <c r="AK17" i="16" s="1"/>
  <c r="R3" i="16"/>
  <c r="AJ3" i="16"/>
  <c r="AJ17" i="16" s="1"/>
  <c r="W12" i="16"/>
  <c r="AE12" i="16" s="1"/>
  <c r="AL12" i="16" s="1" a="1"/>
  <c r="AL12" i="16" s="1"/>
  <c r="O12" i="16"/>
  <c r="AG12" i="16"/>
  <c r="AM12" i="16" s="1"/>
  <c r="AI12" i="16"/>
  <c r="AG5" i="16"/>
  <c r="W5" i="16"/>
  <c r="AE5" i="16" s="1"/>
  <c r="AL5" i="16" s="1" a="1"/>
  <c r="AL5" i="16" s="1"/>
  <c r="O5" i="16"/>
  <c r="AI5" i="16"/>
  <c r="AG10" i="16"/>
  <c r="AM10" i="16" s="1"/>
  <c r="W10" i="16"/>
  <c r="AE10" i="16" s="1"/>
  <c r="AL10" i="16" s="1" a="1"/>
  <c r="AL10" i="16" s="1"/>
  <c r="AI10" i="16"/>
  <c r="O10" i="16"/>
  <c r="O16" i="16"/>
  <c r="AI16" i="16"/>
  <c r="AG16" i="16"/>
  <c r="AM16" i="16" s="1"/>
  <c r="W16" i="16"/>
  <c r="AE16" i="16" s="1"/>
  <c r="AL16" i="16" s="1" a="1"/>
  <c r="AL16" i="16" s="1"/>
  <c r="AI6" i="16"/>
  <c r="W6" i="16"/>
  <c r="AG6" i="16"/>
  <c r="O6" i="16"/>
  <c r="AI13" i="16"/>
  <c r="O13" i="16"/>
  <c r="W13" i="16"/>
  <c r="AG13" i="16"/>
  <c r="AG15" i="13"/>
  <c r="AG3" i="13"/>
  <c r="Y16" i="15"/>
  <c r="Y9" i="15"/>
  <c r="Y13" i="15"/>
  <c r="Y7" i="15"/>
  <c r="Y15" i="15"/>
  <c r="Y10" i="15"/>
  <c r="Y12" i="14"/>
  <c r="Y9" i="14"/>
  <c r="Y5" i="14"/>
  <c r="Y16" i="14"/>
  <c r="Y15" i="14"/>
  <c r="AE15" i="14"/>
  <c r="AL15" i="14" s="1" a="1"/>
  <c r="AL15" i="14" s="1"/>
  <c r="AP15" i="14" s="1"/>
  <c r="Y7" i="12"/>
  <c r="Y8" i="12"/>
  <c r="Y5" i="12"/>
  <c r="Y9" i="12"/>
  <c r="AE9" i="12"/>
  <c r="Y4" i="12"/>
  <c r="Y5" i="13"/>
  <c r="Y7" i="13"/>
  <c r="Y9" i="13"/>
  <c r="Y13" i="13"/>
  <c r="Y15" i="13"/>
  <c r="Y6" i="14"/>
  <c r="Y10" i="14"/>
  <c r="Y13" i="14"/>
  <c r="Y11" i="14"/>
  <c r="Y8" i="14"/>
  <c r="Y4" i="14"/>
  <c r="Y14" i="14"/>
  <c r="Y7" i="14"/>
  <c r="Y5" i="15"/>
  <c r="Y11" i="15"/>
  <c r="Y4" i="15"/>
  <c r="Y6" i="15"/>
  <c r="Y12" i="15"/>
  <c r="Y8" i="15"/>
  <c r="Y14" i="15"/>
  <c r="Y6" i="12"/>
  <c r="AE15" i="12"/>
  <c r="Y15" i="12"/>
  <c r="AE11" i="12"/>
  <c r="Y11" i="12"/>
  <c r="AE16" i="12"/>
  <c r="Y16" i="12"/>
  <c r="Y13" i="12"/>
  <c r="AE14" i="12"/>
  <c r="Y14" i="12"/>
  <c r="Y10" i="12"/>
  <c r="Y12" i="12"/>
  <c r="Y14" i="13"/>
  <c r="Y4" i="13"/>
  <c r="Y16" i="13"/>
  <c r="Y10" i="13"/>
  <c r="Y12" i="13"/>
  <c r="Y8" i="13"/>
  <c r="Y6" i="13"/>
  <c r="AE11" i="13"/>
  <c r="Y11" i="13"/>
  <c r="J7" i="7"/>
  <c r="J4" i="7"/>
  <c r="J3" i="7"/>
  <c r="AG9" i="13"/>
  <c r="AM9" i="13" s="1"/>
  <c r="J31" i="13"/>
  <c r="W9" i="13"/>
  <c r="AI9" i="13"/>
  <c r="J33" i="14"/>
  <c r="J31" i="14"/>
  <c r="W15" i="15"/>
  <c r="W7" i="15"/>
  <c r="AG11" i="15"/>
  <c r="AG12" i="15"/>
  <c r="W3" i="15"/>
  <c r="W12" i="15"/>
  <c r="W8" i="15"/>
  <c r="AI9" i="15"/>
  <c r="AG15" i="15"/>
  <c r="AI8" i="15"/>
  <c r="AG8" i="15"/>
  <c r="AG10" i="15"/>
  <c r="AI14" i="15"/>
  <c r="AI3" i="15"/>
  <c r="W10" i="15"/>
  <c r="AG9" i="15"/>
  <c r="AM9" i="15" s="1"/>
  <c r="AI10" i="15"/>
  <c r="W9" i="15"/>
  <c r="AI13" i="15"/>
  <c r="AI11" i="15"/>
  <c r="W5" i="15"/>
  <c r="W11" i="15"/>
  <c r="W13" i="15"/>
  <c r="AI6" i="15"/>
  <c r="AI12" i="15"/>
  <c r="AI7" i="15"/>
  <c r="AI5" i="15"/>
  <c r="W6" i="15"/>
  <c r="AG6" i="15"/>
  <c r="AM6" i="15" s="1"/>
  <c r="O4" i="14"/>
  <c r="AG7" i="15"/>
  <c r="AG5" i="15"/>
  <c r="AM5" i="15" s="1"/>
  <c r="W14" i="15"/>
  <c r="O11" i="14"/>
  <c r="W9" i="14"/>
  <c r="O7" i="14"/>
  <c r="W4" i="15"/>
  <c r="W7" i="14"/>
  <c r="AJ17" i="15"/>
  <c r="R18" i="15"/>
  <c r="R24" i="15" s="1"/>
  <c r="AI4" i="15"/>
  <c r="AG16" i="15"/>
  <c r="AM16" i="15" s="1"/>
  <c r="AI16" i="15"/>
  <c r="W16" i="15"/>
  <c r="O13" i="13"/>
  <c r="AI7" i="14"/>
  <c r="AG4" i="15"/>
  <c r="AG13" i="13"/>
  <c r="AM13" i="13" s="1"/>
  <c r="AG12" i="14"/>
  <c r="AM12" i="14" s="1"/>
  <c r="W3" i="14"/>
  <c r="AG3" i="14"/>
  <c r="O3" i="14"/>
  <c r="AK17" i="15"/>
  <c r="I32" i="15"/>
  <c r="J32" i="15" s="1"/>
  <c r="J31" i="15"/>
  <c r="J33" i="15"/>
  <c r="O5" i="14"/>
  <c r="W4" i="14"/>
  <c r="AI9" i="14"/>
  <c r="AI4" i="14"/>
  <c r="AG13" i="14"/>
  <c r="O13" i="14"/>
  <c r="P24" i="15"/>
  <c r="AA22" i="15" s="1"/>
  <c r="O8" i="13"/>
  <c r="W13" i="14"/>
  <c r="W8" i="13"/>
  <c r="AM3" i="15"/>
  <c r="AG9" i="14"/>
  <c r="Y3" i="15"/>
  <c r="U18" i="15"/>
  <c r="AI12" i="14"/>
  <c r="AG5" i="14"/>
  <c r="AM5" i="14" s="1"/>
  <c r="W12" i="14"/>
  <c r="W11" i="14"/>
  <c r="AI11" i="14"/>
  <c r="AG14" i="14"/>
  <c r="AM14" i="14" s="1"/>
  <c r="O14" i="14"/>
  <c r="W13" i="13"/>
  <c r="AI8" i="13"/>
  <c r="W5" i="14"/>
  <c r="W14" i="14"/>
  <c r="AE14" i="14" s="1"/>
  <c r="AL14" i="14" s="1" a="1"/>
  <c r="AL14" i="14" s="1"/>
  <c r="AP14" i="14" s="1"/>
  <c r="AG16" i="14"/>
  <c r="AM16" i="14" s="1"/>
  <c r="AI16" i="14"/>
  <c r="O16" i="14"/>
  <c r="W16" i="14"/>
  <c r="AK17" i="14"/>
  <c r="AG15" i="14"/>
  <c r="AI15" i="14"/>
  <c r="O15" i="14"/>
  <c r="AG13" i="12"/>
  <c r="AM13" i="12" s="1"/>
  <c r="AJ17" i="14"/>
  <c r="AG10" i="14"/>
  <c r="AM10" i="14" s="1"/>
  <c r="W10" i="14"/>
  <c r="AI10" i="14"/>
  <c r="O10" i="14"/>
  <c r="AI6" i="14"/>
  <c r="AG6" i="14"/>
  <c r="O6" i="14"/>
  <c r="W6" i="14"/>
  <c r="AI15" i="13"/>
  <c r="Y3" i="14"/>
  <c r="U18" i="14"/>
  <c r="AG10" i="12"/>
  <c r="AM10" i="12" s="1"/>
  <c r="W8" i="14"/>
  <c r="O8" i="14"/>
  <c r="AG8" i="14"/>
  <c r="AI8" i="14"/>
  <c r="O3" i="13"/>
  <c r="P24" i="14"/>
  <c r="R18" i="14"/>
  <c r="R24" i="14" s="1"/>
  <c r="AG7" i="12"/>
  <c r="W7" i="12"/>
  <c r="AI15" i="12"/>
  <c r="AI7" i="13"/>
  <c r="W3" i="12"/>
  <c r="AG14" i="12"/>
  <c r="AM14" i="12" s="1"/>
  <c r="O5" i="13"/>
  <c r="AE5" i="13"/>
  <c r="AK17" i="13"/>
  <c r="W15" i="13"/>
  <c r="W3" i="13"/>
  <c r="O15" i="13"/>
  <c r="AI11" i="13"/>
  <c r="AI3" i="12"/>
  <c r="AG15" i="12"/>
  <c r="AI3" i="13"/>
  <c r="AG7" i="13"/>
  <c r="AG11" i="13"/>
  <c r="AG11" i="12"/>
  <c r="W13" i="12"/>
  <c r="O11" i="13"/>
  <c r="AI11" i="12"/>
  <c r="W7" i="13"/>
  <c r="AG5" i="13"/>
  <c r="AI5" i="13"/>
  <c r="W12" i="12"/>
  <c r="W10" i="12"/>
  <c r="AI10" i="12"/>
  <c r="AG9" i="12"/>
  <c r="AM9" i="12" s="1"/>
  <c r="P24" i="13"/>
  <c r="W8" i="12"/>
  <c r="AG14" i="13"/>
  <c r="AM14" i="13" s="1"/>
  <c r="AI14" i="13"/>
  <c r="W14" i="13"/>
  <c r="AE14" i="13" s="1"/>
  <c r="O14" i="13"/>
  <c r="AG16" i="13"/>
  <c r="AM16" i="13" s="1"/>
  <c r="AI16" i="13"/>
  <c r="W16" i="13"/>
  <c r="O16" i="13"/>
  <c r="AG12" i="13"/>
  <c r="AM12" i="13" s="1"/>
  <c r="AI12" i="13"/>
  <c r="W12" i="13"/>
  <c r="AE12" i="13" s="1"/>
  <c r="O12" i="13"/>
  <c r="AG8" i="12"/>
  <c r="AJ17" i="13"/>
  <c r="AG10" i="13"/>
  <c r="AM10" i="13" s="1"/>
  <c r="AI10" i="13"/>
  <c r="W10" i="13"/>
  <c r="O10" i="13"/>
  <c r="AI9" i="12"/>
  <c r="AG6" i="13"/>
  <c r="AI6" i="13"/>
  <c r="W6" i="13"/>
  <c r="O6" i="13"/>
  <c r="AI8" i="12"/>
  <c r="W6" i="12"/>
  <c r="AG4" i="13"/>
  <c r="AI4" i="13"/>
  <c r="W4" i="13"/>
  <c r="AE4" i="13" s="1"/>
  <c r="O4" i="13"/>
  <c r="Y3" i="13"/>
  <c r="U18" i="13"/>
  <c r="R18" i="13"/>
  <c r="R24" i="13" s="1"/>
  <c r="AG6" i="12"/>
  <c r="AK17" i="12"/>
  <c r="W4" i="12"/>
  <c r="AG16" i="12"/>
  <c r="AM16" i="12" s="1"/>
  <c r="R18" i="12"/>
  <c r="R24" i="12" s="1"/>
  <c r="W5" i="12"/>
  <c r="AI5" i="12"/>
  <c r="AJ17" i="12"/>
  <c r="AI16" i="12"/>
  <c r="AI12" i="12"/>
  <c r="AI4" i="12"/>
  <c r="AI14" i="12"/>
  <c r="Y3" i="12"/>
  <c r="U18" i="12"/>
  <c r="P24" i="12"/>
  <c r="R15" i="3"/>
  <c r="W15" i="3" s="1"/>
  <c r="R16" i="3"/>
  <c r="W16" i="3" s="1"/>
  <c r="L33" i="4"/>
  <c r="R14" i="3"/>
  <c r="W14" i="3" s="1"/>
  <c r="U4" i="3"/>
  <c r="Y4" i="3" s="1"/>
  <c r="R7" i="3"/>
  <c r="W7" i="3" s="1"/>
  <c r="U8" i="3"/>
  <c r="Y8" i="3" s="1"/>
  <c r="R11" i="3"/>
  <c r="W11" i="3" s="1"/>
  <c r="U12" i="3"/>
  <c r="Y12" i="3" s="1"/>
  <c r="U16" i="3"/>
  <c r="Y16" i="3" s="1"/>
  <c r="R6" i="3"/>
  <c r="W6" i="3" s="1"/>
  <c r="U7" i="3"/>
  <c r="Y7" i="3" s="1"/>
  <c r="R10" i="3"/>
  <c r="W10" i="3" s="1"/>
  <c r="U11" i="3"/>
  <c r="Y11" i="3" s="1"/>
  <c r="U15" i="3"/>
  <c r="Y15" i="3" s="1"/>
  <c r="R4" i="3"/>
  <c r="W4" i="3" s="1"/>
  <c r="U5" i="3"/>
  <c r="Y5" i="3" s="1"/>
  <c r="R8" i="3"/>
  <c r="W8" i="3" s="1"/>
  <c r="U9" i="3"/>
  <c r="Y9" i="3" s="1"/>
  <c r="R12" i="3"/>
  <c r="W12" i="3" s="1"/>
  <c r="U13" i="3"/>
  <c r="Y13" i="3" s="1"/>
  <c r="R5" i="3"/>
  <c r="W5" i="3" s="1"/>
  <c r="U6" i="3"/>
  <c r="Y6" i="3" s="1"/>
  <c r="R9" i="3"/>
  <c r="W9" i="3" s="1"/>
  <c r="U10" i="3"/>
  <c r="Y10" i="3" s="1"/>
  <c r="R13" i="3"/>
  <c r="W13" i="3" s="1"/>
  <c r="U14" i="3"/>
  <c r="Y14" i="3" s="1"/>
  <c r="R3" i="3"/>
  <c r="W3" i="3" s="1"/>
  <c r="Y3" i="3"/>
  <c r="Z18" i="4"/>
  <c r="Z24" i="4" s="1"/>
  <c r="L6" i="7" s="1"/>
  <c r="Y6" i="7" s="1"/>
  <c r="AJ14" i="4"/>
  <c r="X18" i="4"/>
  <c r="X24" i="4" s="1"/>
  <c r="M6" i="7" s="1"/>
  <c r="U12" i="4"/>
  <c r="T18" i="4"/>
  <c r="T24" i="4" s="1"/>
  <c r="U16" i="4"/>
  <c r="U15" i="4"/>
  <c r="U14" i="4"/>
  <c r="U13" i="4"/>
  <c r="AG7" i="4"/>
  <c r="AE9" i="4"/>
  <c r="S18" i="4"/>
  <c r="S24" i="4" s="1"/>
  <c r="U3" i="4"/>
  <c r="R16" i="4"/>
  <c r="O16" i="4" s="1"/>
  <c r="AI9" i="4"/>
  <c r="R11" i="4"/>
  <c r="AG11" i="4" s="1"/>
  <c r="Q18" i="4"/>
  <c r="Q24" i="4" s="1"/>
  <c r="O11" i="4"/>
  <c r="AG16" i="4"/>
  <c r="AM16" i="4" s="1"/>
  <c r="W16" i="4"/>
  <c r="AI16" i="4"/>
  <c r="R14" i="4"/>
  <c r="AK14" i="4"/>
  <c r="R4" i="4"/>
  <c r="AI4" i="4" s="1"/>
  <c r="AJ4" i="4"/>
  <c r="W7" i="4"/>
  <c r="AE7" i="4" s="1"/>
  <c r="O9" i="4"/>
  <c r="R12" i="4"/>
  <c r="AG12" i="4" s="1"/>
  <c r="AM12" i="4" s="1"/>
  <c r="AJ12" i="4"/>
  <c r="AJ5" i="4"/>
  <c r="AJ13" i="4"/>
  <c r="R15" i="4"/>
  <c r="R8" i="4"/>
  <c r="AG8" i="4" s="1"/>
  <c r="AJ8" i="4"/>
  <c r="AJ15" i="4"/>
  <c r="AJ16" i="4"/>
  <c r="R5" i="4"/>
  <c r="AI7" i="4"/>
  <c r="R13" i="4"/>
  <c r="AK16" i="4"/>
  <c r="O7" i="4"/>
  <c r="P18" i="4"/>
  <c r="P24" i="4" s="1"/>
  <c r="AA22" i="4" s="1"/>
  <c r="AK3" i="4"/>
  <c r="AJ3" i="4"/>
  <c r="R3" i="4"/>
  <c r="I18" i="4"/>
  <c r="I24" i="4" s="1"/>
  <c r="J33" i="4" s="1"/>
  <c r="O6" i="4"/>
  <c r="AI6" i="4"/>
  <c r="AI8" i="4"/>
  <c r="O10" i="4"/>
  <c r="W10" i="4"/>
  <c r="AE10" i="4" s="1"/>
  <c r="AI10" i="4"/>
  <c r="O12" i="4"/>
  <c r="AG4" i="4"/>
  <c r="AG6" i="4"/>
  <c r="W6" i="4"/>
  <c r="D3" i="7" l="1"/>
  <c r="X3" i="7"/>
  <c r="X4" i="7"/>
  <c r="X7" i="7"/>
  <c r="AM9" i="16"/>
  <c r="AM15" i="14"/>
  <c r="AE6" i="16"/>
  <c r="AL6" i="16" s="1" a="1"/>
  <c r="AL6" i="16" s="1"/>
  <c r="AM6" i="16" s="1"/>
  <c r="AD18" i="16"/>
  <c r="AD24" i="16" s="1"/>
  <c r="AE8" i="16"/>
  <c r="AL8" i="16" s="1" a="1"/>
  <c r="AL8" i="16" s="1"/>
  <c r="AN8" i="16" s="1"/>
  <c r="AL10" i="4" a="1"/>
  <c r="AL10" i="4" s="1"/>
  <c r="AP10" i="4" s="1"/>
  <c r="C11" i="20"/>
  <c r="AL9" i="4" a="1"/>
  <c r="AL9" i="4" s="1"/>
  <c r="C10" i="20"/>
  <c r="AL7" i="4" a="1"/>
  <c r="AL7" i="4" s="1"/>
  <c r="AN7" i="4" s="1"/>
  <c r="C8" i="20"/>
  <c r="AL4" i="13" a="1"/>
  <c r="AL4" i="13" s="1"/>
  <c r="C10" i="18"/>
  <c r="AL11" i="13" a="1"/>
  <c r="AL11" i="13" s="1"/>
  <c r="AP11" i="13" s="1"/>
  <c r="C4" i="18"/>
  <c r="AL12" i="13" a="1"/>
  <c r="AL12" i="13" s="1"/>
  <c r="C14" i="18"/>
  <c r="AL14" i="13" a="1"/>
  <c r="AL14" i="13" s="1"/>
  <c r="C16" i="18"/>
  <c r="AL5" i="13" a="1"/>
  <c r="AL5" i="13" s="1"/>
  <c r="C11" i="18"/>
  <c r="AL15" i="12" a="1"/>
  <c r="AL15" i="12" s="1"/>
  <c r="AN15" i="12" s="1"/>
  <c r="C4" i="17"/>
  <c r="AL14" i="12" a="1"/>
  <c r="AL14" i="12" s="1"/>
  <c r="AP14" i="12" s="1"/>
  <c r="C13" i="17"/>
  <c r="AL16" i="12" a="1"/>
  <c r="AL16" i="12" s="1"/>
  <c r="AP16" i="12" s="1"/>
  <c r="C14" i="17"/>
  <c r="AL9" i="12" a="1"/>
  <c r="AL9" i="12" s="1"/>
  <c r="AP9" i="12" s="1"/>
  <c r="C9" i="17"/>
  <c r="AL11" i="12" a="1"/>
  <c r="AL11" i="12" s="1"/>
  <c r="AN11" i="12" s="1"/>
  <c r="C17" i="17"/>
  <c r="AE4" i="16"/>
  <c r="AL4" i="16" s="1" a="1"/>
  <c r="AL4" i="16" s="1"/>
  <c r="AM4" i="16" s="1"/>
  <c r="AE13" i="16"/>
  <c r="AL13" i="16" s="1" a="1"/>
  <c r="AL13" i="16" s="1"/>
  <c r="AP13" i="16" s="1"/>
  <c r="AE15" i="16"/>
  <c r="AL15" i="16" s="1" a="1"/>
  <c r="AL15" i="16" s="1"/>
  <c r="AP15" i="16" s="1"/>
  <c r="AM11" i="16"/>
  <c r="AM7" i="16"/>
  <c r="U24" i="16"/>
  <c r="Y18" i="16"/>
  <c r="AM5" i="16"/>
  <c r="AP16" i="16"/>
  <c r="AN16" i="16"/>
  <c r="O3" i="16"/>
  <c r="W3" i="16"/>
  <c r="AI3" i="16"/>
  <c r="AI17" i="16" s="1"/>
  <c r="AG3" i="16"/>
  <c r="R18" i="16"/>
  <c r="R24" i="16" s="1"/>
  <c r="AP11" i="16"/>
  <c r="AN11" i="16"/>
  <c r="AN5" i="16"/>
  <c r="AP5" i="16"/>
  <c r="AP8" i="16"/>
  <c r="P24" i="16"/>
  <c r="AA22" i="16" s="1"/>
  <c r="AP7" i="16"/>
  <c r="AN7" i="16"/>
  <c r="AN9" i="16"/>
  <c r="AP9" i="16"/>
  <c r="AP14" i="16"/>
  <c r="AN14" i="16"/>
  <c r="AP6" i="16"/>
  <c r="AP10" i="16"/>
  <c r="AN10" i="16"/>
  <c r="AP12" i="16"/>
  <c r="AN12" i="16"/>
  <c r="AM11" i="13"/>
  <c r="AM5" i="13"/>
  <c r="AM15" i="12"/>
  <c r="AM11" i="12"/>
  <c r="AE12" i="15"/>
  <c r="AL12" i="15" s="1" a="1"/>
  <c r="AL12" i="15" s="1"/>
  <c r="AP12" i="15" s="1"/>
  <c r="AE4" i="14"/>
  <c r="AL4" i="14" s="1" a="1"/>
  <c r="AL4" i="14" s="1"/>
  <c r="AP4" i="14" s="1"/>
  <c r="AE10" i="12"/>
  <c r="AE5" i="15"/>
  <c r="AL5" i="15" s="1" a="1"/>
  <c r="AL5" i="15" s="1"/>
  <c r="AN5" i="15" s="1"/>
  <c r="AE8" i="14"/>
  <c r="AL8" i="14" s="1" a="1"/>
  <c r="AL8" i="14" s="1"/>
  <c r="AN8" i="14" s="1"/>
  <c r="AE11" i="15"/>
  <c r="AL11" i="15" s="1" a="1"/>
  <c r="AL11" i="15" s="1"/>
  <c r="AP11" i="15" s="1"/>
  <c r="AE6" i="14"/>
  <c r="AL6" i="14" s="1" a="1"/>
  <c r="AL6" i="14" s="1"/>
  <c r="AP6" i="14" s="1"/>
  <c r="AE6" i="15"/>
  <c r="AL6" i="15" s="1" a="1"/>
  <c r="AL6" i="15" s="1"/>
  <c r="AP6" i="15" s="1"/>
  <c r="AE11" i="14"/>
  <c r="AL11" i="14" s="1" a="1"/>
  <c r="AL11" i="14" s="1"/>
  <c r="AE7" i="14"/>
  <c r="AL7" i="14" s="1" a="1"/>
  <c r="AL7" i="14" s="1"/>
  <c r="AE4" i="15"/>
  <c r="AL4" i="15" s="1" a="1"/>
  <c r="AL4" i="15" s="1"/>
  <c r="AP4" i="15" s="1"/>
  <c r="AE12" i="12"/>
  <c r="AE13" i="14"/>
  <c r="AL13" i="14" s="1" a="1"/>
  <c r="AL13" i="14" s="1"/>
  <c r="AP13" i="14" s="1"/>
  <c r="AE8" i="15"/>
  <c r="AL8" i="15" s="1" a="1"/>
  <c r="AL8" i="15" s="1"/>
  <c r="AP8" i="15" s="1"/>
  <c r="AE14" i="15"/>
  <c r="AL14" i="15" s="1" a="1"/>
  <c r="AL14" i="15" s="1"/>
  <c r="AN14" i="15" s="1"/>
  <c r="AE10" i="14"/>
  <c r="AL10" i="14" s="1" a="1"/>
  <c r="AL10" i="14" s="1"/>
  <c r="AN10" i="14" s="1"/>
  <c r="AE10" i="13"/>
  <c r="AE13" i="12"/>
  <c r="AE8" i="13"/>
  <c r="AE6" i="13"/>
  <c r="AE16" i="13"/>
  <c r="D6" i="7"/>
  <c r="AA22" i="14"/>
  <c r="F7" i="7"/>
  <c r="AA22" i="13"/>
  <c r="F4" i="7"/>
  <c r="D4" i="7"/>
  <c r="AD4" i="7"/>
  <c r="AA22" i="12"/>
  <c r="F3" i="7"/>
  <c r="AD3" i="7"/>
  <c r="AK17" i="4"/>
  <c r="AE9" i="13"/>
  <c r="AE10" i="15"/>
  <c r="AL10" i="15" s="1" a="1"/>
  <c r="AL10" i="15" s="1"/>
  <c r="AN10" i="15" s="1"/>
  <c r="AE7" i="15"/>
  <c r="AL7" i="15" s="1" a="1"/>
  <c r="AL7" i="15" s="1"/>
  <c r="AN7" i="15" s="1"/>
  <c r="AE15" i="15"/>
  <c r="AL15" i="15" s="1" a="1"/>
  <c r="AL15" i="15" s="1"/>
  <c r="AN15" i="15" s="1"/>
  <c r="AE16" i="15"/>
  <c r="AL16" i="15" s="1" a="1"/>
  <c r="AL16" i="15" s="1"/>
  <c r="AP16" i="15" s="1"/>
  <c r="AE5" i="12"/>
  <c r="AE12" i="14"/>
  <c r="AL12" i="14" s="1" a="1"/>
  <c r="AL12" i="14" s="1"/>
  <c r="AP12" i="14" s="1"/>
  <c r="AE9" i="14"/>
  <c r="AL9" i="14" s="1" a="1"/>
  <c r="AL9" i="14" s="1"/>
  <c r="AN9" i="14" s="1"/>
  <c r="AI17" i="15"/>
  <c r="AE13" i="15"/>
  <c r="AL13" i="15" s="1" a="1"/>
  <c r="AL13" i="15" s="1"/>
  <c r="AP13" i="15" s="1"/>
  <c r="AE9" i="15"/>
  <c r="AL9" i="15" s="1" a="1"/>
  <c r="AL9" i="15" s="1"/>
  <c r="AP9" i="15" s="1"/>
  <c r="W18" i="15"/>
  <c r="W24" i="15" s="1"/>
  <c r="AE16" i="14"/>
  <c r="AL16" i="14" s="1" a="1"/>
  <c r="AL16" i="14" s="1"/>
  <c r="AP16" i="14" s="1"/>
  <c r="AE7" i="12"/>
  <c r="AE3" i="15"/>
  <c r="AE5" i="14"/>
  <c r="AL5" i="14" s="1" a="1"/>
  <c r="AL5" i="14" s="1"/>
  <c r="AP5" i="14" s="1"/>
  <c r="AG17" i="15"/>
  <c r="AE8" i="12"/>
  <c r="AA25" i="15"/>
  <c r="AK24" i="15" s="1"/>
  <c r="U24" i="15"/>
  <c r="Y18" i="15"/>
  <c r="AI17" i="14"/>
  <c r="AE13" i="13"/>
  <c r="AN14" i="14"/>
  <c r="AA18" i="14"/>
  <c r="AN15" i="14"/>
  <c r="AE7" i="13"/>
  <c r="U24" i="14"/>
  <c r="Y18" i="14"/>
  <c r="AN11" i="13"/>
  <c r="AE15" i="13"/>
  <c r="W18" i="14"/>
  <c r="W24" i="14" s="1"/>
  <c r="K7" i="7" s="1"/>
  <c r="AG17" i="14"/>
  <c r="AE3" i="14"/>
  <c r="AP5" i="13"/>
  <c r="AN5" i="13"/>
  <c r="AE4" i="12"/>
  <c r="AI17" i="13"/>
  <c r="AG17" i="12"/>
  <c r="W18" i="12"/>
  <c r="W24" i="12" s="1"/>
  <c r="K3" i="7" s="1"/>
  <c r="AI17" i="12"/>
  <c r="AE6" i="12"/>
  <c r="AA18" i="13"/>
  <c r="W18" i="13"/>
  <c r="W24" i="13" s="1"/>
  <c r="K4" i="7" s="1"/>
  <c r="AA4" i="7" s="1"/>
  <c r="AP14" i="13"/>
  <c r="AN14" i="13"/>
  <c r="AN14" i="12"/>
  <c r="U24" i="13"/>
  <c r="Y18" i="13"/>
  <c r="AP4" i="13"/>
  <c r="AN4" i="13"/>
  <c r="AP12" i="13"/>
  <c r="AN12" i="13"/>
  <c r="AE3" i="13"/>
  <c r="C9" i="18" s="1"/>
  <c r="AM4" i="13"/>
  <c r="AG17" i="13"/>
  <c r="AP15" i="12"/>
  <c r="AP11" i="12"/>
  <c r="AN9" i="12"/>
  <c r="AD18" i="12"/>
  <c r="AD24" i="12" s="1"/>
  <c r="AN16" i="12"/>
  <c r="AA18" i="12"/>
  <c r="U24" i="12"/>
  <c r="Y18" i="12"/>
  <c r="AE3" i="12"/>
  <c r="C7" i="17" s="1"/>
  <c r="AJ17" i="4"/>
  <c r="AE16" i="4"/>
  <c r="U18" i="4"/>
  <c r="Y18" i="4" s="1"/>
  <c r="AM7" i="4"/>
  <c r="Y3" i="4"/>
  <c r="AE6" i="4"/>
  <c r="AP7" i="4"/>
  <c r="AI12" i="4"/>
  <c r="W12" i="4"/>
  <c r="W4" i="4"/>
  <c r="AE4" i="4" s="1"/>
  <c r="W11" i="4"/>
  <c r="AE11" i="4" s="1"/>
  <c r="O4" i="4"/>
  <c r="AI11" i="4"/>
  <c r="AG13" i="4"/>
  <c r="AM13" i="4" s="1"/>
  <c r="W13" i="4"/>
  <c r="AE13" i="4" s="1"/>
  <c r="O13" i="4"/>
  <c r="AI13" i="4"/>
  <c r="AG15" i="4"/>
  <c r="W15" i="4"/>
  <c r="AE15" i="4" s="1"/>
  <c r="AI15" i="4"/>
  <c r="O15" i="4"/>
  <c r="W8" i="4"/>
  <c r="AE8" i="4" s="1"/>
  <c r="O8" i="4"/>
  <c r="AG5" i="4"/>
  <c r="W5" i="4"/>
  <c r="AE5" i="4" s="1"/>
  <c r="O5" i="4"/>
  <c r="AI5" i="4"/>
  <c r="O14" i="4"/>
  <c r="AI14" i="4"/>
  <c r="W14" i="4"/>
  <c r="AE14" i="4" s="1"/>
  <c r="AG14" i="4"/>
  <c r="AM14" i="4" s="1"/>
  <c r="AI3" i="4"/>
  <c r="AG3" i="4"/>
  <c r="O3" i="4"/>
  <c r="W3" i="4"/>
  <c r="R18" i="4"/>
  <c r="R24" i="4" s="1"/>
  <c r="I32" i="4"/>
  <c r="J32" i="4" s="1"/>
  <c r="J31" i="4"/>
  <c r="AN9" i="4"/>
  <c r="AP9" i="4"/>
  <c r="AA18" i="4"/>
  <c r="AA25" i="4" s="1"/>
  <c r="AK24" i="4" s="1"/>
  <c r="AG9" i="3"/>
  <c r="AM9" i="3" s="1"/>
  <c r="AH9" i="3"/>
  <c r="AI9" i="3"/>
  <c r="AJ9" i="3"/>
  <c r="AK9" i="3"/>
  <c r="AG10" i="3"/>
  <c r="AM10" i="3" s="1"/>
  <c r="AH10" i="3"/>
  <c r="AI10" i="3"/>
  <c r="AJ10" i="3"/>
  <c r="AK10" i="3"/>
  <c r="AG11" i="3"/>
  <c r="AH11" i="3"/>
  <c r="AI11" i="3"/>
  <c r="AJ11" i="3"/>
  <c r="AK11" i="3"/>
  <c r="AG12" i="3"/>
  <c r="AM12" i="3" s="1"/>
  <c r="AH12" i="3"/>
  <c r="AI12" i="3"/>
  <c r="AJ12" i="3"/>
  <c r="AK12" i="3"/>
  <c r="AG13" i="3"/>
  <c r="AM13" i="3" s="1"/>
  <c r="AH13" i="3"/>
  <c r="AI13" i="3"/>
  <c r="AJ13" i="3"/>
  <c r="AK13" i="3"/>
  <c r="AG14" i="3"/>
  <c r="AM14" i="3" s="1"/>
  <c r="AH14" i="3"/>
  <c r="AI14" i="3"/>
  <c r="AJ14" i="3"/>
  <c r="AK14" i="3"/>
  <c r="O11" i="3"/>
  <c r="O14" i="3"/>
  <c r="AH16" i="3"/>
  <c r="I16" i="3"/>
  <c r="N4" i="3"/>
  <c r="N8" i="3"/>
  <c r="N9" i="3"/>
  <c r="N10" i="3"/>
  <c r="N11" i="3"/>
  <c r="N12" i="3"/>
  <c r="N13" i="3"/>
  <c r="N14" i="3"/>
  <c r="N16" i="3"/>
  <c r="N3" i="3"/>
  <c r="I4" i="3"/>
  <c r="I5" i="3"/>
  <c r="I9" i="3"/>
  <c r="I10" i="3"/>
  <c r="I11" i="3"/>
  <c r="I12" i="3"/>
  <c r="I13" i="3"/>
  <c r="I14" i="3"/>
  <c r="AC18" i="3"/>
  <c r="AC24" i="3" s="1"/>
  <c r="AB18" i="3"/>
  <c r="K33" i="3"/>
  <c r="I33" i="3"/>
  <c r="K31" i="3"/>
  <c r="I31" i="3"/>
  <c r="J24" i="3"/>
  <c r="G24" i="3"/>
  <c r="F24" i="3"/>
  <c r="E24" i="3"/>
  <c r="D24" i="3"/>
  <c r="AA23" i="3"/>
  <c r="AP22" i="3"/>
  <c r="AE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K22" i="3"/>
  <c r="I22" i="3"/>
  <c r="C22" i="3"/>
  <c r="AN21" i="3"/>
  <c r="AM21" i="3"/>
  <c r="AL21" i="3"/>
  <c r="AK21" i="3"/>
  <c r="AJ21" i="3"/>
  <c r="AI21" i="3"/>
  <c r="AH21" i="3"/>
  <c r="AG21" i="3"/>
  <c r="AA26" i="3"/>
  <c r="AH8" i="3"/>
  <c r="I8" i="3"/>
  <c r="AH15" i="3"/>
  <c r="N15" i="3"/>
  <c r="I15" i="3"/>
  <c r="AH7" i="3"/>
  <c r="N7" i="3"/>
  <c r="I7" i="3"/>
  <c r="AH6" i="3"/>
  <c r="N6" i="3"/>
  <c r="I6" i="3"/>
  <c r="AH5" i="3"/>
  <c r="N5" i="3"/>
  <c r="AH4" i="3"/>
  <c r="AK4" i="3"/>
  <c r="AH3" i="3"/>
  <c r="AK3" i="3"/>
  <c r="Y7" i="7" l="1"/>
  <c r="Y4" i="7"/>
  <c r="AM12" i="15"/>
  <c r="AM10" i="15"/>
  <c r="AM4" i="15"/>
  <c r="AM7" i="15"/>
  <c r="AM15" i="15"/>
  <c r="AM11" i="15"/>
  <c r="AM8" i="15"/>
  <c r="AM13" i="14"/>
  <c r="AM4" i="14"/>
  <c r="AN7" i="14"/>
  <c r="AM7" i="14"/>
  <c r="AN11" i="14"/>
  <c r="AM11" i="14"/>
  <c r="AM6" i="14"/>
  <c r="AM8" i="14"/>
  <c r="AM13" i="16"/>
  <c r="AM9" i="14"/>
  <c r="AM8" i="16"/>
  <c r="AN6" i="16"/>
  <c r="AN10" i="4"/>
  <c r="AL15" i="4" a="1"/>
  <c r="AL15" i="4" s="1"/>
  <c r="C17" i="20"/>
  <c r="AL11" i="4" a="1"/>
  <c r="AL11" i="4" s="1"/>
  <c r="AP11" i="4" s="1"/>
  <c r="C9" i="20"/>
  <c r="AL4" i="4" a="1"/>
  <c r="AL4" i="4" s="1"/>
  <c r="AM4" i="4" s="1"/>
  <c r="C5" i="20"/>
  <c r="AL16" i="4" a="1"/>
  <c r="AL16" i="4" s="1"/>
  <c r="AP16" i="4" s="1"/>
  <c r="C15" i="20"/>
  <c r="AL5" i="4" a="1"/>
  <c r="AL5" i="4" s="1"/>
  <c r="AN5" i="4" s="1"/>
  <c r="C7" i="20"/>
  <c r="AL13" i="4" a="1"/>
  <c r="AL13" i="4" s="1"/>
  <c r="AP13" i="4" s="1"/>
  <c r="C13" i="20"/>
  <c r="AL14" i="4" a="1"/>
  <c r="AL14" i="4" s="1"/>
  <c r="AN14" i="4" s="1"/>
  <c r="C14" i="20"/>
  <c r="AL8" i="4" a="1"/>
  <c r="AL8" i="4" s="1"/>
  <c r="AP8" i="4" s="1"/>
  <c r="C16" i="20"/>
  <c r="AL6" i="4" a="1"/>
  <c r="AL6" i="4" s="1"/>
  <c r="AP6" i="4" s="1"/>
  <c r="C4" i="20"/>
  <c r="AL8" i="13" a="1"/>
  <c r="AL8" i="13" s="1"/>
  <c r="C8" i="18"/>
  <c r="AL7" i="13" a="1"/>
  <c r="AL7" i="13" s="1"/>
  <c r="AN7" i="13" s="1"/>
  <c r="C7" i="18"/>
  <c r="AL10" i="13" a="1"/>
  <c r="AL10" i="13" s="1"/>
  <c r="AN10" i="13" s="1"/>
  <c r="C13" i="18"/>
  <c r="AL15" i="13" a="1"/>
  <c r="AL15" i="13" s="1"/>
  <c r="AP15" i="13" s="1"/>
  <c r="C5" i="18"/>
  <c r="AL13" i="13" a="1"/>
  <c r="AL13" i="13" s="1"/>
  <c r="AP13" i="13" s="1"/>
  <c r="C15" i="18"/>
  <c r="AL9" i="13" a="1"/>
  <c r="AL9" i="13" s="1"/>
  <c r="AP9" i="13" s="1"/>
  <c r="C12" i="18"/>
  <c r="AL16" i="13" a="1"/>
  <c r="AL16" i="13" s="1"/>
  <c r="AN16" i="13" s="1"/>
  <c r="C17" i="18"/>
  <c r="AL6" i="13" a="1"/>
  <c r="AL6" i="13" s="1"/>
  <c r="AN6" i="13" s="1"/>
  <c r="C6" i="18"/>
  <c r="AL12" i="12" a="1"/>
  <c r="AL12" i="12" s="1"/>
  <c r="AP12" i="12" s="1"/>
  <c r="C11" i="17"/>
  <c r="AL6" i="12" a="1"/>
  <c r="AL6" i="12" s="1"/>
  <c r="AP6" i="12" s="1"/>
  <c r="C16" i="17"/>
  <c r="AL7" i="12" a="1"/>
  <c r="AL7" i="12" s="1"/>
  <c r="AP7" i="12" s="1"/>
  <c r="C6" i="17"/>
  <c r="AL10" i="12" a="1"/>
  <c r="AL10" i="12" s="1"/>
  <c r="AP10" i="12" s="1"/>
  <c r="C10" i="17"/>
  <c r="AL5" i="12" a="1"/>
  <c r="AL5" i="12" s="1"/>
  <c r="AP5" i="12" s="1"/>
  <c r="C8" i="17"/>
  <c r="AL13" i="12" a="1"/>
  <c r="AL13" i="12" s="1"/>
  <c r="AP13" i="12" s="1"/>
  <c r="C12" i="17"/>
  <c r="D13" i="17"/>
  <c r="AL8" i="12" a="1"/>
  <c r="AL8" i="12" s="1"/>
  <c r="AP8" i="12" s="1"/>
  <c r="C15" i="17"/>
  <c r="C18" i="17"/>
  <c r="D12" i="17" s="1"/>
  <c r="AL4" i="12" a="1"/>
  <c r="AL4" i="12" s="1"/>
  <c r="AP4" i="12" s="1"/>
  <c r="C5" i="17"/>
  <c r="AN15" i="16"/>
  <c r="AN4" i="16"/>
  <c r="AP4" i="16"/>
  <c r="AN13" i="16"/>
  <c r="AM15" i="16"/>
  <c r="Y24" i="16"/>
  <c r="V8" i="16"/>
  <c r="V7" i="16"/>
  <c r="V14" i="16"/>
  <c r="V13" i="16"/>
  <c r="V6" i="16"/>
  <c r="V4" i="16"/>
  <c r="V9" i="16"/>
  <c r="V15" i="16"/>
  <c r="V16" i="16"/>
  <c r="V5" i="16"/>
  <c r="V10" i="16"/>
  <c r="V11" i="16"/>
  <c r="V12" i="16"/>
  <c r="V3" i="16"/>
  <c r="AA18" i="16"/>
  <c r="AA25" i="16" s="1"/>
  <c r="AG17" i="16"/>
  <c r="AE3" i="16"/>
  <c r="W18" i="16"/>
  <c r="W24" i="16" s="1"/>
  <c r="AM7" i="13"/>
  <c r="AP8" i="13"/>
  <c r="AM8" i="13"/>
  <c r="AM15" i="13"/>
  <c r="AN4" i="14"/>
  <c r="AM7" i="12"/>
  <c r="AM4" i="12"/>
  <c r="AM8" i="12"/>
  <c r="AM6" i="12"/>
  <c r="AN12" i="15"/>
  <c r="AP8" i="14"/>
  <c r="AP5" i="15"/>
  <c r="AN11" i="15"/>
  <c r="AN6" i="14"/>
  <c r="AP10" i="13"/>
  <c r="AN6" i="15"/>
  <c r="AP10" i="14"/>
  <c r="AP11" i="14"/>
  <c r="AN13" i="14"/>
  <c r="AN12" i="12"/>
  <c r="AP7" i="14"/>
  <c r="AN4" i="15"/>
  <c r="AN8" i="13"/>
  <c r="AP14" i="15"/>
  <c r="AN13" i="12"/>
  <c r="AN8" i="15"/>
  <c r="AA25" i="14"/>
  <c r="AK24" i="14" s="1"/>
  <c r="AI17" i="4"/>
  <c r="AB6" i="7"/>
  <c r="AC6" i="7"/>
  <c r="AA25" i="13"/>
  <c r="AK24" i="13" s="1"/>
  <c r="AB3" i="7"/>
  <c r="AA25" i="12"/>
  <c r="AK24" i="12" s="1"/>
  <c r="AA3" i="7"/>
  <c r="AN16" i="4"/>
  <c r="AP10" i="15"/>
  <c r="AP15" i="15"/>
  <c r="AP7" i="15"/>
  <c r="AN16" i="15"/>
  <c r="AN5" i="12"/>
  <c r="AN12" i="14"/>
  <c r="AP9" i="14"/>
  <c r="AN9" i="15"/>
  <c r="AN13" i="15"/>
  <c r="AE18" i="15"/>
  <c r="AE24" i="15" s="1"/>
  <c r="AN5" i="14"/>
  <c r="AN16" i="14"/>
  <c r="AN7" i="12"/>
  <c r="AL3" i="15"/>
  <c r="AL17" i="15" s="1"/>
  <c r="AN8" i="12"/>
  <c r="AP7" i="13"/>
  <c r="Y24" i="15"/>
  <c r="V8" i="15"/>
  <c r="V15" i="15"/>
  <c r="V7" i="15"/>
  <c r="V9" i="15"/>
  <c r="V4" i="15"/>
  <c r="V6" i="15"/>
  <c r="V13" i="15"/>
  <c r="V11" i="15"/>
  <c r="V5" i="15"/>
  <c r="V10" i="15"/>
  <c r="V12" i="15"/>
  <c r="V14" i="15"/>
  <c r="V16" i="15"/>
  <c r="V3" i="15"/>
  <c r="AN13" i="13"/>
  <c r="AN4" i="12"/>
  <c r="AN15" i="13"/>
  <c r="V12" i="14"/>
  <c r="V8" i="14"/>
  <c r="V14" i="14"/>
  <c r="V11" i="14"/>
  <c r="V4" i="14"/>
  <c r="V7" i="14"/>
  <c r="V15" i="14"/>
  <c r="Y24" i="14"/>
  <c r="V5" i="14"/>
  <c r="V13" i="14"/>
  <c r="V6" i="14"/>
  <c r="V10" i="14"/>
  <c r="V9" i="14"/>
  <c r="V16" i="14"/>
  <c r="V3" i="14"/>
  <c r="AE18" i="14"/>
  <c r="AE24" i="14" s="1"/>
  <c r="AL3" i="14"/>
  <c r="AM3" i="14" s="1"/>
  <c r="AN6" i="12"/>
  <c r="V11" i="13"/>
  <c r="V15" i="13"/>
  <c r="V4" i="13"/>
  <c r="V8" i="13"/>
  <c r="Y24" i="13"/>
  <c r="V12" i="13"/>
  <c r="V14" i="13"/>
  <c r="V6" i="13"/>
  <c r="V9" i="13"/>
  <c r="V5" i="13"/>
  <c r="V16" i="13"/>
  <c r="V13" i="13"/>
  <c r="V10" i="13"/>
  <c r="V7" i="13"/>
  <c r="V3" i="13"/>
  <c r="AE18" i="13"/>
  <c r="AE24" i="13" s="1"/>
  <c r="AL3" i="13"/>
  <c r="AM3" i="13" s="1"/>
  <c r="V13" i="12"/>
  <c r="V9" i="12"/>
  <c r="V15" i="12"/>
  <c r="V10" i="12"/>
  <c r="V7" i="12"/>
  <c r="V14" i="12"/>
  <c r="V12" i="12"/>
  <c r="V5" i="12"/>
  <c r="V8" i="12"/>
  <c r="V6" i="12"/>
  <c r="V16" i="12"/>
  <c r="Y24" i="12"/>
  <c r="V11" i="12"/>
  <c r="V4" i="12"/>
  <c r="V3" i="12"/>
  <c r="V18" i="12" s="1"/>
  <c r="V24" i="12" s="1"/>
  <c r="AE18" i="12"/>
  <c r="AE24" i="12" s="1"/>
  <c r="AL3" i="12"/>
  <c r="AM3" i="12" s="1"/>
  <c r="AM15" i="4"/>
  <c r="AN11" i="4"/>
  <c r="AM5" i="4"/>
  <c r="AP4" i="4"/>
  <c r="U24" i="4"/>
  <c r="AN6" i="4"/>
  <c r="AE12" i="4"/>
  <c r="AM6" i="4"/>
  <c r="AM11" i="4"/>
  <c r="AM8" i="4"/>
  <c r="AN13" i="4"/>
  <c r="W18" i="4"/>
  <c r="W24" i="4" s="1"/>
  <c r="AE3" i="4"/>
  <c r="C6" i="20" s="1"/>
  <c r="AN15" i="4"/>
  <c r="AP15" i="4"/>
  <c r="AN8" i="4"/>
  <c r="AP5" i="4"/>
  <c r="AG17" i="4"/>
  <c r="V15" i="4"/>
  <c r="V13" i="4"/>
  <c r="V11" i="4"/>
  <c r="V9" i="4"/>
  <c r="V7" i="4"/>
  <c r="V5" i="4"/>
  <c r="V16" i="4"/>
  <c r="V4" i="4"/>
  <c r="V3" i="4"/>
  <c r="V6" i="4"/>
  <c r="V10" i="4"/>
  <c r="Y24" i="4"/>
  <c r="V8" i="4"/>
  <c r="V12" i="4"/>
  <c r="V14" i="4"/>
  <c r="AE12" i="3"/>
  <c r="AE11" i="3"/>
  <c r="AE9" i="3"/>
  <c r="AE13" i="3"/>
  <c r="O12" i="3"/>
  <c r="O13" i="3"/>
  <c r="O9" i="3"/>
  <c r="O10" i="3"/>
  <c r="T18" i="3"/>
  <c r="T24" i="3" s="1"/>
  <c r="I5" i="7" s="1"/>
  <c r="I13" i="7" s="1"/>
  <c r="AE10" i="3"/>
  <c r="Z18" i="3"/>
  <c r="Z24" i="3" s="1"/>
  <c r="L5" i="7" s="1"/>
  <c r="L13" i="7" s="1"/>
  <c r="AE14" i="3"/>
  <c r="X18" i="3"/>
  <c r="X24" i="3" s="1"/>
  <c r="M5" i="7" s="1"/>
  <c r="M13" i="7" s="1"/>
  <c r="Q18" i="3"/>
  <c r="Q24" i="3" s="1"/>
  <c r="G5" i="7" s="1"/>
  <c r="G13" i="7" s="1"/>
  <c r="O16" i="3"/>
  <c r="AI16" i="3"/>
  <c r="AG16" i="3"/>
  <c r="AM16" i="3" s="1"/>
  <c r="R18" i="3"/>
  <c r="AE16" i="3"/>
  <c r="C17" i="19" s="1"/>
  <c r="U18" i="3"/>
  <c r="AK16" i="3"/>
  <c r="P18" i="3"/>
  <c r="AJ16" i="3"/>
  <c r="S18" i="3"/>
  <c r="S24" i="3" s="1"/>
  <c r="H5" i="7" s="1"/>
  <c r="H13" i="7" s="1"/>
  <c r="K18" i="3"/>
  <c r="K24" i="3" s="1"/>
  <c r="E13" i="7" s="1"/>
  <c r="C18" i="3"/>
  <c r="C24" i="3" s="1"/>
  <c r="I3" i="3"/>
  <c r="I18" i="3" s="1"/>
  <c r="I24" i="3" s="1"/>
  <c r="I32" i="3" s="1"/>
  <c r="J32" i="3" s="1"/>
  <c r="L33" i="3"/>
  <c r="O4" i="3"/>
  <c r="O6" i="3"/>
  <c r="AH17" i="3"/>
  <c r="O7" i="3"/>
  <c r="AJ4" i="3"/>
  <c r="AJ15" i="3"/>
  <c r="AG8" i="3"/>
  <c r="L31" i="3"/>
  <c r="AI6" i="3"/>
  <c r="AI4" i="3"/>
  <c r="AI5" i="3"/>
  <c r="O5" i="3"/>
  <c r="AG5" i="3"/>
  <c r="AK5" i="3"/>
  <c r="AK15" i="3"/>
  <c r="AG3" i="3"/>
  <c r="AJ8" i="3"/>
  <c r="AK6" i="3"/>
  <c r="AK8" i="3"/>
  <c r="AJ7" i="3"/>
  <c r="AJ3" i="3"/>
  <c r="AK7" i="3"/>
  <c r="AJ5" i="3"/>
  <c r="AJ6" i="3"/>
  <c r="O3" i="3"/>
  <c r="AI3" i="3"/>
  <c r="Y17" i="7" l="1"/>
  <c r="AE25" i="16" s="1"/>
  <c r="AC7" i="7"/>
  <c r="V18" i="15"/>
  <c r="V24" i="15" s="1"/>
  <c r="AM17" i="15"/>
  <c r="AM17" i="14"/>
  <c r="V18" i="14"/>
  <c r="V24" i="14" s="1"/>
  <c r="AP14" i="4"/>
  <c r="AL12" i="4" a="1"/>
  <c r="AL12" i="4" s="1"/>
  <c r="AP12" i="4" s="1"/>
  <c r="C12" i="20"/>
  <c r="AN4" i="4"/>
  <c r="AL13" i="3" a="1"/>
  <c r="AL13" i="3" s="1"/>
  <c r="AP13" i="3" s="1"/>
  <c r="C15" i="19"/>
  <c r="AL9" i="3" a="1"/>
  <c r="AL9" i="3" s="1"/>
  <c r="AP9" i="3" s="1"/>
  <c r="C12" i="19"/>
  <c r="AL14" i="3" a="1"/>
  <c r="AL14" i="3" s="1"/>
  <c r="AP14" i="3" s="1"/>
  <c r="C16" i="19"/>
  <c r="AL10" i="3" a="1"/>
  <c r="AL10" i="3" s="1"/>
  <c r="AP10" i="3" s="1"/>
  <c r="C13" i="19"/>
  <c r="AL11" i="3" a="1"/>
  <c r="AL11" i="3" s="1"/>
  <c r="AM11" i="3" s="1"/>
  <c r="C9" i="19"/>
  <c r="AL12" i="3" a="1"/>
  <c r="AL12" i="3" s="1"/>
  <c r="AP12" i="3" s="1"/>
  <c r="C14" i="19"/>
  <c r="D13" i="18"/>
  <c r="AP16" i="13"/>
  <c r="AP6" i="13"/>
  <c r="AM6" i="13"/>
  <c r="D5" i="18"/>
  <c r="AN9" i="13"/>
  <c r="D12" i="18"/>
  <c r="C18" i="18"/>
  <c r="D7" i="18" s="1"/>
  <c r="D5" i="17"/>
  <c r="D6" i="17"/>
  <c r="D4" i="17"/>
  <c r="D8" i="17"/>
  <c r="D16" i="17"/>
  <c r="AN10" i="12"/>
  <c r="D17" i="17"/>
  <c r="D7" i="17"/>
  <c r="D11" i="17"/>
  <c r="D15" i="17"/>
  <c r="D14" i="17"/>
  <c r="D10" i="17"/>
  <c r="D9" i="17"/>
  <c r="AM17" i="13"/>
  <c r="AK24" i="16"/>
  <c r="V18" i="16"/>
  <c r="V24" i="16" s="1"/>
  <c r="AE18" i="16"/>
  <c r="AL3" i="16"/>
  <c r="AM3" i="16" s="1"/>
  <c r="AM17" i="16" s="1"/>
  <c r="V18" i="13"/>
  <c r="V24" i="13" s="1"/>
  <c r="AM17" i="12"/>
  <c r="AC3" i="7"/>
  <c r="J5" i="7"/>
  <c r="J13" i="7" s="1"/>
  <c r="AC4" i="7"/>
  <c r="AB4" i="7"/>
  <c r="AE18" i="4"/>
  <c r="AE24" i="4" s="1"/>
  <c r="AN3" i="15"/>
  <c r="AN17" i="15" s="1"/>
  <c r="AP3" i="15"/>
  <c r="AP18" i="15" s="1"/>
  <c r="AP24" i="15" s="1"/>
  <c r="K32" i="15" s="1"/>
  <c r="L32" i="15" s="1"/>
  <c r="AL17" i="14"/>
  <c r="AP3" i="14"/>
  <c r="AN3" i="14"/>
  <c r="AN17" i="14" s="1"/>
  <c r="AL17" i="13"/>
  <c r="AP3" i="13"/>
  <c r="AN3" i="13"/>
  <c r="AN17" i="13" s="1"/>
  <c r="AL17" i="12"/>
  <c r="AP3" i="12"/>
  <c r="AN3" i="12"/>
  <c r="AN17" i="12" s="1"/>
  <c r="AN11" i="3"/>
  <c r="AP11" i="3"/>
  <c r="V18" i="4"/>
  <c r="V24" i="4" s="1"/>
  <c r="AN12" i="4"/>
  <c r="AL3" i="4"/>
  <c r="AL17" i="4" s="1"/>
  <c r="AN14" i="3"/>
  <c r="AN13" i="3"/>
  <c r="AN12" i="3"/>
  <c r="AN10" i="3"/>
  <c r="AN9" i="3"/>
  <c r="W18" i="3"/>
  <c r="AL16" i="3" a="1"/>
  <c r="AL16" i="3" s="1"/>
  <c r="AG4" i="3"/>
  <c r="AG6" i="3"/>
  <c r="AG7" i="3"/>
  <c r="AE4" i="3"/>
  <c r="AI7" i="3"/>
  <c r="AE7" i="3"/>
  <c r="R24" i="3"/>
  <c r="O8" i="3"/>
  <c r="AE8" i="3"/>
  <c r="AI8" i="3"/>
  <c r="AE5" i="3"/>
  <c r="AK17" i="3"/>
  <c r="AE6" i="3"/>
  <c r="J31" i="3"/>
  <c r="J33" i="3"/>
  <c r="P24" i="3"/>
  <c r="AJ17" i="3"/>
  <c r="AI15" i="3"/>
  <c r="AE15" i="3"/>
  <c r="O15" i="3"/>
  <c r="AG15" i="3"/>
  <c r="X5" i="7" l="1"/>
  <c r="X13" i="7" s="1"/>
  <c r="C18" i="20"/>
  <c r="AL15" i="3" a="1"/>
  <c r="AL15" i="3" s="1"/>
  <c r="C4" i="19"/>
  <c r="AL8" i="3" a="1"/>
  <c r="AL8" i="3" s="1"/>
  <c r="AM8" i="3" s="1"/>
  <c r="C11" i="19"/>
  <c r="AL4" i="3" a="1"/>
  <c r="AL4" i="3" s="1"/>
  <c r="AN4" i="3" s="1"/>
  <c r="C10" i="19"/>
  <c r="AL6" i="3" a="1"/>
  <c r="AL6" i="3" s="1"/>
  <c r="AP6" i="3" s="1"/>
  <c r="C5" i="19"/>
  <c r="AL7" i="3" a="1"/>
  <c r="AL7" i="3" s="1"/>
  <c r="AM7" i="3" s="1"/>
  <c r="C6" i="19"/>
  <c r="AL5" i="3" a="1"/>
  <c r="AL5" i="3" s="1"/>
  <c r="AN5" i="3" s="1"/>
  <c r="C7" i="19"/>
  <c r="D15" i="18"/>
  <c r="D4" i="18"/>
  <c r="D16" i="18"/>
  <c r="D9" i="18"/>
  <c r="D11" i="18"/>
  <c r="D14" i="18"/>
  <c r="D10" i="18"/>
  <c r="D8" i="18"/>
  <c r="D6" i="18"/>
  <c r="D17" i="18"/>
  <c r="E4" i="17"/>
  <c r="F4" i="17" s="1"/>
  <c r="D18" i="17"/>
  <c r="AP3" i="16"/>
  <c r="AP18" i="16" s="1"/>
  <c r="AP24" i="16" s="1"/>
  <c r="K32" i="16" s="1"/>
  <c r="L32" i="16" s="1"/>
  <c r="AL17" i="16"/>
  <c r="AN3" i="16"/>
  <c r="AN17" i="16" s="1"/>
  <c r="AD5" i="7"/>
  <c r="D5" i="7"/>
  <c r="D13" i="7" s="1"/>
  <c r="AA22" i="3"/>
  <c r="F5" i="7"/>
  <c r="F13" i="7" s="1"/>
  <c r="AP18" i="14"/>
  <c r="AP24" i="14" s="1"/>
  <c r="K32" i="14" s="1"/>
  <c r="L32" i="14" s="1"/>
  <c r="AP18" i="13"/>
  <c r="AP24" i="13" s="1"/>
  <c r="K32" i="13" s="1"/>
  <c r="L32" i="13" s="1"/>
  <c r="AP18" i="12"/>
  <c r="AP24" i="12" s="1"/>
  <c r="K32" i="12" s="1"/>
  <c r="L32" i="12" s="1"/>
  <c r="AN3" i="4"/>
  <c r="AN17" i="4" s="1"/>
  <c r="AM3" i="4"/>
  <c r="AM17" i="4" s="1"/>
  <c r="AP3" i="4"/>
  <c r="AP16" i="3"/>
  <c r="AN16" i="3"/>
  <c r="AG17" i="3"/>
  <c r="AP4" i="3"/>
  <c r="AM4" i="3"/>
  <c r="AI17" i="3"/>
  <c r="AN7" i="3"/>
  <c r="AM6" i="3"/>
  <c r="AP15" i="3"/>
  <c r="AN15" i="3"/>
  <c r="AM15" i="3"/>
  <c r="AE3" i="3"/>
  <c r="W24" i="3"/>
  <c r="K5" i="7" s="1"/>
  <c r="U24" i="3"/>
  <c r="Y18" i="3"/>
  <c r="Y5" i="7" l="1"/>
  <c r="Y13" i="7" s="1"/>
  <c r="K13" i="7"/>
  <c r="R15" i="7"/>
  <c r="S15" i="7"/>
  <c r="T15" i="7"/>
  <c r="U15" i="7"/>
  <c r="V15" i="7"/>
  <c r="D8" i="20"/>
  <c r="D10" i="20"/>
  <c r="D11" i="20"/>
  <c r="D13" i="20"/>
  <c r="D7" i="20"/>
  <c r="D5" i="20"/>
  <c r="D4" i="20"/>
  <c r="D16" i="20"/>
  <c r="D17" i="20"/>
  <c r="D9" i="20"/>
  <c r="D6" i="20"/>
  <c r="D14" i="20"/>
  <c r="D15" i="20"/>
  <c r="D12" i="20"/>
  <c r="AP5" i="3"/>
  <c r="AE18" i="3"/>
  <c r="AE24" i="3" s="1"/>
  <c r="C8" i="19"/>
  <c r="AP7" i="3"/>
  <c r="AN8" i="3"/>
  <c r="AP8" i="3"/>
  <c r="AN6" i="3"/>
  <c r="AM5" i="3"/>
  <c r="E4" i="18"/>
  <c r="D18" i="18"/>
  <c r="E5" i="17"/>
  <c r="AA25" i="3"/>
  <c r="AK24" i="3" s="1"/>
  <c r="Q15" i="7"/>
  <c r="AD13" i="7"/>
  <c r="M15" i="7"/>
  <c r="L15" i="7"/>
  <c r="X15" i="7"/>
  <c r="AA5" i="7"/>
  <c r="V6" i="3"/>
  <c r="V5" i="3"/>
  <c r="V3" i="3"/>
  <c r="V8" i="3"/>
  <c r="V9" i="3"/>
  <c r="V12" i="3"/>
  <c r="V10" i="3"/>
  <c r="V7" i="3"/>
  <c r="V13" i="3"/>
  <c r="V4" i="3"/>
  <c r="V11" i="3"/>
  <c r="V16" i="3"/>
  <c r="V15" i="3"/>
  <c r="V14" i="3"/>
  <c r="AP18" i="4"/>
  <c r="AP24" i="4" s="1"/>
  <c r="K32" i="4" s="1"/>
  <c r="L32" i="4" s="1"/>
  <c r="AL3" i="3"/>
  <c r="Y24" i="3"/>
  <c r="E4" i="20" l="1"/>
  <c r="F4" i="20" s="1"/>
  <c r="D18" i="20"/>
  <c r="E5" i="20"/>
  <c r="E13" i="20"/>
  <c r="F13" i="20" s="1"/>
  <c r="E12" i="20"/>
  <c r="F12" i="20" s="1"/>
  <c r="D8" i="19"/>
  <c r="C18" i="19"/>
  <c r="F4" i="18"/>
  <c r="E5" i="18"/>
  <c r="F5" i="17"/>
  <c r="E12" i="17"/>
  <c r="E6" i="17"/>
  <c r="AC5" i="7"/>
  <c r="AB5" i="7"/>
  <c r="Z3" i="7"/>
  <c r="AA15" i="7"/>
  <c r="K15" i="7"/>
  <c r="AA13" i="7"/>
  <c r="V18" i="3"/>
  <c r="V24" i="3" s="1"/>
  <c r="AL17" i="3"/>
  <c r="AP3" i="3"/>
  <c r="AP18" i="3" s="1"/>
  <c r="AN3" i="3"/>
  <c r="AN17" i="3" s="1"/>
  <c r="AM3" i="3"/>
  <c r="AM17" i="3" s="1"/>
  <c r="Z13" i="7" l="1"/>
  <c r="Z17" i="7"/>
  <c r="Y15" i="7"/>
  <c r="E14" i="20"/>
  <c r="E6" i="20"/>
  <c r="F5" i="20"/>
  <c r="D10" i="19"/>
  <c r="D17" i="19"/>
  <c r="D12" i="19"/>
  <c r="D9" i="19"/>
  <c r="D13" i="19"/>
  <c r="D16" i="19"/>
  <c r="D15" i="19"/>
  <c r="D14" i="19"/>
  <c r="D6" i="19"/>
  <c r="D4" i="19"/>
  <c r="D7" i="19"/>
  <c r="D5" i="19"/>
  <c r="D11" i="19"/>
  <c r="F5" i="18"/>
  <c r="E12" i="18"/>
  <c r="E6" i="18"/>
  <c r="F6" i="17"/>
  <c r="E7" i="17"/>
  <c r="E13" i="17"/>
  <c r="F12" i="17"/>
  <c r="AC13" i="7"/>
  <c r="AB13" i="7"/>
  <c r="AP24" i="3"/>
  <c r="K32" i="3" s="1"/>
  <c r="L32" i="3" s="1"/>
  <c r="F6" i="20" l="1"/>
  <c r="E7" i="20"/>
  <c r="F14" i="20"/>
  <c r="E15" i="20"/>
  <c r="E17" i="20"/>
  <c r="F17" i="20" s="1"/>
  <c r="E4" i="19"/>
  <c r="F4" i="19" s="1"/>
  <c r="D18" i="19"/>
  <c r="E5" i="19"/>
  <c r="F5" i="19" s="1"/>
  <c r="F6" i="18"/>
  <c r="E7" i="18"/>
  <c r="F12" i="18"/>
  <c r="E13" i="18"/>
  <c r="F13" i="17"/>
  <c r="E14" i="17"/>
  <c r="F7" i="17"/>
  <c r="E8" i="17"/>
  <c r="F15" i="20" l="1"/>
  <c r="E16" i="20"/>
  <c r="F16" i="20" s="1"/>
  <c r="F7" i="20"/>
  <c r="E8" i="20"/>
  <c r="E6" i="19"/>
  <c r="E12" i="19"/>
  <c r="F13" i="18"/>
  <c r="E14" i="18"/>
  <c r="F7" i="18"/>
  <c r="E8" i="18"/>
  <c r="F8" i="17"/>
  <c r="E9" i="17"/>
  <c r="F14" i="17"/>
  <c r="E17" i="17"/>
  <c r="F17" i="17" s="1"/>
  <c r="E15" i="17"/>
  <c r="F8" i="20" l="1"/>
  <c r="E9" i="20"/>
  <c r="F12" i="19"/>
  <c r="E13" i="19"/>
  <c r="F6" i="19"/>
  <c r="E7" i="19"/>
  <c r="F8" i="18"/>
  <c r="E9" i="18"/>
  <c r="F14" i="18"/>
  <c r="E15" i="18"/>
  <c r="E17" i="18"/>
  <c r="F17" i="18" s="1"/>
  <c r="F15" i="17"/>
  <c r="E16" i="17"/>
  <c r="F16" i="17" s="1"/>
  <c r="F9" i="17"/>
  <c r="E10" i="17"/>
  <c r="F9" i="20" l="1"/>
  <c r="E10" i="20"/>
  <c r="F7" i="19"/>
  <c r="E8" i="19"/>
  <c r="F13" i="19"/>
  <c r="E14" i="19"/>
  <c r="F15" i="18"/>
  <c r="E16" i="18"/>
  <c r="F16" i="18" s="1"/>
  <c r="F9" i="18"/>
  <c r="E10" i="18"/>
  <c r="F10" i="17"/>
  <c r="E11" i="17"/>
  <c r="F11" i="17" s="1"/>
  <c r="F10" i="20" l="1"/>
  <c r="E11" i="20"/>
  <c r="F11" i="20" s="1"/>
  <c r="F14" i="19"/>
  <c r="E17" i="19"/>
  <c r="F17" i="19" s="1"/>
  <c r="E15" i="19"/>
  <c r="F8" i="19"/>
  <c r="E9" i="19"/>
  <c r="F10" i="18"/>
  <c r="E11" i="18"/>
  <c r="F11" i="18" s="1"/>
  <c r="F9" i="19" l="1"/>
  <c r="E10" i="19"/>
  <c r="F15" i="19"/>
  <c r="E16" i="19"/>
  <c r="F16" i="19" s="1"/>
  <c r="F10" i="19" l="1"/>
  <c r="E11" i="19"/>
  <c r="F11" i="1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3B11550-3801-41ED-93FF-068BF0723BBC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29CDC37-0070-4021-A4AF-8DE88E00EBF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8E19D9-2ABE-46C6-A86B-8D0636CBF691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71AADD70-CABC-460F-B4A6-ADBC7AE56C3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A93D411D-6D79-4AE7-879F-43D0C870562B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D5D3C90B-3E5D-4B39-84B9-E31C5AC8AD80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F1D1069C-0F38-4A63-9538-0D3C569DF74E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50D2D7C7-0EBF-40E8-A09C-7D1BBF5BEE19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72D43CF-CFD8-4D21-9C8A-94BC82A88BF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4AF3489F-EBBB-43F7-9147-C5FFF64BAB2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ECBB67BB-8D0B-4B6B-AA31-BB5D8CF90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84007DE-C798-4D96-9B5F-9049AC6BCE3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3CDCD0F0-BF20-4244-B420-B535A95CB7C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3BD59CA-F3B9-443B-8ACF-C87DC32DA8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85E0FA8C-A0A5-4713-A536-688C392E714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8E3C717-7AB0-4219-A435-A133D2C742D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C5360A88-05D0-4BF4-AF59-C7E34773C7E1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06C23B9-9DAC-45FC-A0F7-D39168959A9A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2598D3AF-308B-4F9A-83DE-2E41674CFDA8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F9220CCD-CF80-4713-B278-C60565E64E7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4DC083E4-5EB7-4AAB-8178-F161F853A89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3F682DC-9972-4516-ADED-F3155FB52F2C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948447B6-7E92-4891-B821-26D3E16D7285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5ABC0212-D5E9-4D57-BA3C-37EADBCB2A53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BC5B08A-8D5E-4DCD-B7AF-B13246B5208B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66EF7E3-5B8C-4930-A8F0-EA08394CD891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8FF7D578-0CC2-4CB5-A7E2-B6B30741AD8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8FD25B3-898B-4E3F-8057-4C563BF9856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AF8365FB-7D70-48BD-9C2A-DF1EED1BC16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866BFEEB-0716-4DF7-93BF-C1F17875757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E00DC731-86CF-493A-A185-98BD42DDF5E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79D99DF9-145E-485C-A6AA-0409591BF1F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AC1DBA4-6722-4E3A-8228-4B729C928AA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DCABF73-3E5B-4F74-8EF3-FE327EACC5ED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B127BA4B-00CA-432B-B689-077D0FF5B95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A2383BC2-9D6F-4AD2-94EF-AECCC9E59C6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75A1E03-C0FB-48E1-8807-153C96A5D4E0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77156DC1-B763-4D8B-A8CD-1F6D1372768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3F9CE81-0D05-4B38-8EF2-086E74A1CAA6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E1540E5-49C3-41C4-A192-DACE88F6BD08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006A41F7-2020-4F79-A465-6D0AE3C26C5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8CE5F034-6F47-4D58-8E0C-436E9A986622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88B162B9-88ED-4667-9278-E4AAFEA626F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7F4AAC92-90E3-49EA-9027-0ACB1570CA9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5B02CCF7-6B36-4185-9365-77EF9CE52CA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395D223D-71F9-4646-A380-C25B34AF93B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893009F8-223C-4FDE-8796-C0EE5871BD4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7F624F9-2357-4E8B-8933-EA66B68E276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0DE6A18-DF60-49E1-A04E-E55E0BA29EC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F9349DE2-FBB6-46D6-AADB-2807EC87874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FA0AB0C0-D61B-41FB-9763-9F3BE673A44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E452BB25-CD73-4883-B315-78F7875535C9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9FA42562-84D9-437B-AB47-2231F35419B2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7917941A-7931-4B48-9314-1A739DFBCA2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386EF0B5-C77F-4892-A974-A121266DBF49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8B8F17D-C1BA-4B67-8BB5-F026EE367D5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657D56AD-3688-4BBD-836E-910DEBE2688C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4B0619ED-3B43-4FF1-94D4-303E4994E324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D86FDBAC-4714-44C6-8D9D-C3CF03FCBE61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32D7A37-8565-4C14-959B-80849340A2A1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9477A645-5F9B-4AFC-A0A6-D862489B5735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1925DCFE-70B9-464D-BE31-2A6724D051E5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77EB66AB-AC49-440C-A54D-2A6DEA4B1C0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AC3D0EC4-926F-4CE4-A339-4F7B593EF517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F337A6D4-C738-436E-9C93-3572942C917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F9A292EA-8EEB-4A20-88CE-F11E1455AF4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CC4FBE1B-8B84-4A25-B550-4C4FC7D4126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19E351B-19D3-4C4C-90A9-B47C9CA8C6B5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5F7A086F-468F-4F32-9656-6C44307CD5EE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032E1F44-DDCA-4EE8-93FD-7E40C40F143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644D51BF-46B9-4AF1-B6F0-5EFBB1CE155E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4FE58168-DA0D-4B4B-A382-41E5DB4A0E58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58B0A7B3-C41C-4274-9FDF-4D08D62F870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39B71EB9-F7DC-411F-B599-B07A98E2EAF7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8BB1DC34-32D0-4A87-B369-AD293E323600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56A9CCB0-D627-40CE-909B-7C956A1FC13B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6AFE6F31-9B32-4C64-9FFB-0D4FF48FAE17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59AF713-BB96-46B2-85B4-08243E849DE5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E5828B2-34DE-4057-89BC-F81E9677F990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B5C2FDC4-774D-4C46-B664-7D8F61D0F08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0EFF5271-3D39-46B3-AAB3-854144002EF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4453A8E-3B83-48CD-92A2-9AA60F92AF2C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448919BF-5D09-49A3-86BB-774A54750C0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04B48586-8776-4F45-958B-0B66F793872E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08411939-049A-4AD4-A366-2511F2BEB2C9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6BF53540-A227-454B-933A-74A8BCD74F7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74A2E35-76C8-441D-9883-2E72E4713780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86D158E2-F3F3-41F3-BC2C-8C0752EEDD25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7C5008B-B44D-4DC7-880F-FBEAAE228664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22AC0E0F-A8FB-4CCF-98CC-45787EBB1830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A186A6E2-7C8E-434C-B4B9-459C2275CB54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C8F77379-C9B8-4381-AC65-466C53A00C45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AEBB9D43-B528-4C29-A25E-64AE16E2AD8E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B8569962-22ED-4E66-9623-83C2295AC1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FE838F87-525E-4042-A872-C1F546C41529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1529DCDA-EB62-44BA-8671-5B805CD3564E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5D214BF2-1869-4FD7-87AB-4C57B84F5E14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6155AFA9-E471-47CE-990B-1C8F3166D258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B8A0AFFC-150E-409C-BD99-C96EDD101B50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2D717B93-F430-42C1-9FCA-31638E957C3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EE75EA2-2CF3-43B5-93FD-57367483910C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68FDAA82-4F21-402F-A6B8-A35C2763345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F9DDD943-9D78-4116-B0E4-860FCD4F09E2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95A6D5FE-C3B1-4B66-A924-C3BB96FC68F6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DEF3FDC8-F38A-4CA1-AF32-7D5EE6C47418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5137B33B-01D2-4B46-85DB-2891AE3BA61E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FCD5C828-1E71-42C8-ACA0-872125F1834F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BBA22C1A-FAE5-4DA3-BC9C-C64B8B298EF9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E637508-6CBB-4F83-92B4-B7B38214A0EF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4A1EE5E3-1672-4816-9CE5-4DAACEE6CBAF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BB511F36-2451-4E1F-AB5D-BB05C22932E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E4B256D3-A591-4FD7-99E9-F0C68DB9964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5804B5C-2EB8-424C-BFCF-987BC6885E6F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E4FAE707-DC0E-47B2-B8B9-69C4D71DFAA4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DF80E1A9-714C-4173-8B1D-389412520EB2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92D325FD-69C3-40A4-8181-139D28900D77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4BC0A6A5-E960-47A0-9A85-5A4DD570801E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F7D5C388-3F62-4971-9C25-7D38981F5965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6B9A2BCE-9FAB-41D8-A160-510173349DE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1095DE0B-59A0-4633-9C60-08B2FE35698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9036C601-EB0F-4514-9F4C-E1F4E8F27597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5ED10B11-213F-464C-84D7-46DE9BC3BE33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01956F0D-4DB3-4087-9B04-8A0FAFED43EF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95C5E997-66B1-4165-B21D-3E5C2316EDB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A39C7FE1-17A1-461C-90FE-33C30066E767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8C9014C-BC35-4A49-BA73-08352AFC956B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45F4A909-FC89-41E1-969D-BD498BB31702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960A4088-C31D-44E8-97E8-76833D0C44F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0E56CF79-ED17-4461-B179-46E5565F7ACB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14852781-4237-42C2-983D-16223A9515DE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E9718E1B-6032-49B4-9A11-06D5058DDA2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AB3D7913-81A6-4144-BB1C-17450289118C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060F78C4-596B-444C-B78C-221DAFEC5749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EDA774C2-9EC5-4E8B-8609-D00A8D32D363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9A24EA68-D5A8-4FCB-AEFE-5F9E17B3EB9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BCB679D4-4E81-45DD-837E-A251692ACA14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B3B817B5-04E0-4641-85E0-5B1D3F401394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2D79FF42-2931-4663-B3BC-A1165AFBBD91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DB21AAD6-A88E-4B81-B41C-7913FAC3575A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CFB60DA9-4E23-4FD4-B30D-FAF00A3CBF3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6C679C4E-6A04-45B7-95C5-7A31B362C98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EB1EED8-0C88-4BDD-A5FB-898F1A554E48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581743F8-BEDA-47B2-8D85-8BE8C5ED8DD9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5F2C4B0B-48BD-4E6B-B51C-7B9FB3BAB1FC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svet_</author>
    <author>Гульнара</author>
  </authors>
  <commentList>
    <comment ref="D2" authorId="0" shapeId="0" xr:uid="{D3A1684A-F4F0-494D-B8EE-4346C18400F7}">
      <text>
        <r>
          <rPr>
            <sz val="9"/>
            <color indexed="81"/>
            <rFont val="Tahoma"/>
            <family val="2"/>
            <charset val="204"/>
          </rPr>
          <t>Отчет по остаткам</t>
        </r>
      </text>
    </comment>
    <comment ref="E2" authorId="0" shapeId="0" xr:uid="{BE5F98A1-55AD-4056-8EFD-FBB19A0D4F52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F2" authorId="0" shapeId="0" xr:uid="{DDE05F35-2577-4F40-9AEC-93EF621559CA}">
      <text>
        <r>
          <rPr>
            <sz val="9"/>
            <color indexed="81"/>
            <rFont val="Tahoma"/>
            <family val="2"/>
            <charset val="204"/>
          </rPr>
          <t xml:space="preserve">Отчет по остаткам
</t>
        </r>
      </text>
    </comment>
    <comment ref="J2" authorId="0" shapeId="0" xr:uid="{A3B6985A-ADF1-43F9-A2FC-A9575DE13A60}">
      <text>
        <r>
          <rPr>
            <sz val="9"/>
            <color indexed="81"/>
            <rFont val="Tahoma"/>
            <family val="2"/>
            <charset val="204"/>
          </rPr>
          <t>&gt;120 выделяется красным
0 - нет остатков или товар на сайте менее 30 дней
Оборачиваемость – это тот период времени, за который продаётся средний запас товара, находящегося на складе. Чем ниже оборачиваемость в днях, тем за меньшее время средний остаток товара реализуется, тем лучше этот показатель.
Оборачиваемость по количеству (дни) = Остаток, доступный для продажи, в шт. / (Продажи – Возвраты), в шт.
отчет Цены и Скидки</t>
        </r>
      </text>
    </comment>
    <comment ref="K2" authorId="0" shapeId="0" xr:uid="{78C7769A-3528-459E-8D94-E481121E3FA2}">
      <text>
        <r>
          <rPr>
            <sz val="9"/>
            <color indexed="81"/>
            <rFont val="Tahoma"/>
            <family val="2"/>
            <charset val="204"/>
          </rPr>
          <t xml:space="preserve">Отчет Воронка продаж
</t>
        </r>
      </text>
    </comment>
    <comment ref="L2" authorId="0" shapeId="0" xr:uid="{2C2C3600-97AD-4FC6-B27F-905BD6BACAD9}">
      <text>
        <r>
          <rPr>
            <b/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M2" authorId="0" shapeId="0" xr:uid="{2F9ECA38-3405-41B3-947F-BF30C39D2323}">
      <text>
        <r>
          <rPr>
            <sz val="9"/>
            <color indexed="81"/>
            <rFont val="Tahoma"/>
            <family val="2"/>
            <charset val="204"/>
          </rPr>
          <t>Отчет Воронка продаж</t>
        </r>
      </text>
    </comment>
    <comment ref="N2" authorId="0" shapeId="0" xr:uid="{8C5800A3-B9E8-4F81-B8DB-12B7E48E41E2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заказов в день
</t>
        </r>
      </text>
    </comment>
    <comment ref="O2" authorId="0" shapeId="0" xr:uid="{E9F96B66-66A7-463F-9946-35DA54AE6716}">
      <text>
        <r>
          <rPr>
            <sz val="9"/>
            <color indexed="81"/>
            <rFont val="Tahoma"/>
            <family val="2"/>
            <charset val="204"/>
          </rPr>
          <t xml:space="preserve">Среднее кол-во продаж (выкупов) в день
</t>
        </r>
      </text>
    </comment>
    <comment ref="P2" authorId="0" shapeId="0" xr:uid="{1E269F2F-50E3-420D-97F4-943CFFD7EB01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Q2" authorId="0" shapeId="0" xr:uid="{503B623B-EF79-4F9D-8B55-BE11BDF2F82B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S2" authorId="0" shapeId="0" xr:uid="{9A734EC1-378B-4DF6-8B11-ADD998DFF770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T2" authorId="0" shapeId="0" xr:uid="{7EC87635-5CFA-4E91-BF0E-2A19EA8C61A8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  <r>
          <rPr>
            <sz val="9"/>
            <color indexed="81"/>
            <rFont val="Tahoma"/>
            <family val="2"/>
            <charset val="204"/>
          </rPr>
          <t xml:space="preserve">
</t>
        </r>
      </text>
    </comment>
    <comment ref="X2" authorId="0" shapeId="0" xr:uid="{173A296E-E4AA-4139-B0BC-2A1F2C48245F}">
      <text>
        <r>
          <rPr>
            <sz val="9"/>
            <color indexed="81"/>
            <rFont val="Tahoma"/>
            <family val="2"/>
            <charset val="204"/>
          </rPr>
          <t>из Детализации</t>
        </r>
        <r>
          <rPr>
            <b/>
            <sz val="9"/>
            <color indexed="81"/>
            <rFont val="Tahoma"/>
            <family val="2"/>
            <charset val="204"/>
          </rPr>
          <t xml:space="preserve">
</t>
        </r>
      </text>
    </comment>
    <comment ref="Z2" authorId="0" shapeId="0" xr:uid="{9CF8E837-14FD-4830-88F0-B69B60868A32}">
      <text>
        <r>
          <rPr>
            <sz val="9"/>
            <color indexed="81"/>
            <rFont val="Tahoma"/>
            <family val="2"/>
            <charset val="204"/>
          </rPr>
          <t xml:space="preserve">из Детализации
</t>
        </r>
      </text>
    </comment>
    <comment ref="AA2" authorId="1" shapeId="0" xr:uid="{F75147C3-8482-403D-A23E-10DF605FE97C}">
      <text>
        <r>
          <rPr>
            <sz val="9"/>
            <color indexed="81"/>
            <rFont val="Tahoma"/>
            <family val="2"/>
            <charset val="204"/>
          </rPr>
          <t>Поартикульно из Продвижение-Аналитика Продвижения
Итоговая сумма из Экономики магазина/Отчета по начислениям</t>
        </r>
      </text>
    </comment>
    <comment ref="AB2" authorId="0" shapeId="0" xr:uid="{04B3FC30-B36A-467A-8D5C-C9295023818D}">
      <text>
        <r>
          <rPr>
            <sz val="9"/>
            <color indexed="81"/>
            <rFont val="Tahoma"/>
            <family val="2"/>
            <charset val="204"/>
          </rPr>
          <t xml:space="preserve">Распределяем пропорционально остаткам на складе ВБ
</t>
        </r>
      </text>
    </comment>
    <comment ref="AC2" authorId="0" shapeId="0" xr:uid="{6A99E9EE-6D83-4B55-8F75-FF76675CF7D1}">
      <text>
        <r>
          <rPr>
            <b/>
            <sz val="9"/>
            <color indexed="81"/>
            <rFont val="Tahoma"/>
            <family val="2"/>
          </rPr>
          <t>из Детализации</t>
        </r>
      </text>
    </comment>
  </commentList>
</comments>
</file>

<file path=xl/sharedStrings.xml><?xml version="1.0" encoding="utf-8"?>
<sst xmlns="http://schemas.openxmlformats.org/spreadsheetml/2006/main" count="43680" uniqueCount="1397">
  <si>
    <t>на 1 единицу проданного товара</t>
  </si>
  <si>
    <t>Артикул поставщика</t>
  </si>
  <si>
    <t>В пути до клиента</t>
  </si>
  <si>
    <t>В пути от клиента</t>
  </si>
  <si>
    <t>Итого по складам ВБ</t>
  </si>
  <si>
    <t>Остаток на нашем складе на 02.09</t>
  </si>
  <si>
    <t>Себетоимость на 1 ед на 29.09.25</t>
  </si>
  <si>
    <t>Себестоимость остатков</t>
  </si>
  <si>
    <t>Оборачиваемость, дн</t>
  </si>
  <si>
    <t>Заказы, шт
7 дней</t>
  </si>
  <si>
    <t>Средняя цена, руб
(столбец 32, AG)</t>
  </si>
  <si>
    <t>% выкупа
за 7 дней
(столбец 23, X)</t>
  </si>
  <si>
    <t>Скорость заказов</t>
  </si>
  <si>
    <t>Скорость продаж</t>
  </si>
  <si>
    <t>Кол-во 
ПРОДАЖИ</t>
  </si>
  <si>
    <t>Кол-во 
ВОЗВРАТЫ</t>
  </si>
  <si>
    <t>Кол-во
ПРОДАЖИ-ВОЗВРАТЫ</t>
  </si>
  <si>
    <t>Выручка 
ПРОДАЖИ</t>
  </si>
  <si>
    <t>Выручка 
ВОЗВРАТЫ</t>
  </si>
  <si>
    <t>Выручка с учетом согласованной скидки 
ПРОДАЖИ - ВОЗВРАТЫ</t>
  </si>
  <si>
    <t>Доля выручки, % от общего объема</t>
  </si>
  <si>
    <t>Себестоимость продаж</t>
  </si>
  <si>
    <t>Комиссия, руб</t>
  </si>
  <si>
    <t>Комиссия, %</t>
  </si>
  <si>
    <t>Логистика</t>
  </si>
  <si>
    <t>Реклама</t>
  </si>
  <si>
    <t>Хранение</t>
  </si>
  <si>
    <t>Штрафы</t>
  </si>
  <si>
    <t>Прибыль</t>
  </si>
  <si>
    <t>Выручка на 1 ед (средняя цена продажи со скидкой)</t>
  </si>
  <si>
    <t>Себестоимость на 1 ед</t>
  </si>
  <si>
    <t>Комиссия на 1 ед</t>
  </si>
  <si>
    <t>Логистика на 1 ед</t>
  </si>
  <si>
    <t>Реклама на 1 ед</t>
  </si>
  <si>
    <t>Прибыль на 1 ед</t>
  </si>
  <si>
    <t>Маржинальность, %</t>
  </si>
  <si>
    <t>Рентабельность, %</t>
  </si>
  <si>
    <t>Прибыль с остатков</t>
  </si>
  <si>
    <t>черные с железкой классика</t>
  </si>
  <si>
    <t>qs черные</t>
  </si>
  <si>
    <t>qs синие</t>
  </si>
  <si>
    <t>qs желтые</t>
  </si>
  <si>
    <t>qs коричневые</t>
  </si>
  <si>
    <t>MR8854 C2</t>
  </si>
  <si>
    <t>Итого очки</t>
  </si>
  <si>
    <t>ИТОГО</t>
  </si>
  <si>
    <t>Рентабельность товарных остатков</t>
  </si>
  <si>
    <t>до 60 дн</t>
  </si>
  <si>
    <t>60-120 дн</t>
  </si>
  <si>
    <t>&gt; 120 дн</t>
  </si>
  <si>
    <t>Если товар на сайте менее 30 дней - оборачиваемость 0</t>
  </si>
  <si>
    <t>12-18.01</t>
  </si>
  <si>
    <t>th желт</t>
  </si>
  <si>
    <t>flip жел</t>
  </si>
  <si>
    <t xml:space="preserve">Остаток на 19.01
</t>
  </si>
  <si>
    <t>th черн</t>
  </si>
  <si>
    <t>th син</t>
  </si>
  <si>
    <t>th коричн</t>
  </si>
  <si>
    <t>flip черный</t>
  </si>
  <si>
    <t>flip синий</t>
  </si>
  <si>
    <t>flip коричневый</t>
  </si>
  <si>
    <t>19-25.01</t>
  </si>
  <si>
    <t xml:space="preserve">Остаток на 26.01
</t>
  </si>
  <si>
    <t>Период: 19.01.2026-25.01.2026</t>
  </si>
  <si>
    <t>ID начисления</t>
  </si>
  <si>
    <t>Дата начисления</t>
  </si>
  <si>
    <t>Группа услуг</t>
  </si>
  <si>
    <t>Тип начисления</t>
  </si>
  <si>
    <t>Артикул</t>
  </si>
  <si>
    <t>SKU</t>
  </si>
  <si>
    <t>Название товара</t>
  </si>
  <si>
    <t>Количество</t>
  </si>
  <si>
    <t>Цена продавца</t>
  </si>
  <si>
    <t>Дата принятия заказа в обработку или оказания услуги</t>
  </si>
  <si>
    <t>Платформа продажи</t>
  </si>
  <si>
    <t>Схема работы</t>
  </si>
  <si>
    <t>Вознаграждение Ozon, %</t>
  </si>
  <si>
    <t>Индекс локализации, %</t>
  </si>
  <si>
    <t>Среднее время доставки, часы</t>
  </si>
  <si>
    <t>Сумма итого, руб.</t>
  </si>
  <si>
    <t>59080528-0083</t>
  </si>
  <si>
    <t>Услуги агентов</t>
  </si>
  <si>
    <t>Эквайринг</t>
  </si>
  <si>
    <t>2676784514</t>
  </si>
  <si>
    <t>Очки солнцезащитные</t>
  </si>
  <si>
    <t/>
  </si>
  <si>
    <t>06202590-0090</t>
  </si>
  <si>
    <t>2676784153</t>
  </si>
  <si>
    <t>0118449878-0039</t>
  </si>
  <si>
    <t>2676784181</t>
  </si>
  <si>
    <t>3064346962</t>
  </si>
  <si>
    <t>40097935-0087-7</t>
  </si>
  <si>
    <t>Услуги доставки</t>
  </si>
  <si>
    <t>Ozon</t>
  </si>
  <si>
    <t>FBO</t>
  </si>
  <si>
    <t>Доставка до места выдачи</t>
  </si>
  <si>
    <t>Обработка отменённых и невостребованных товаров</t>
  </si>
  <si>
    <t>Обратная логистика</t>
  </si>
  <si>
    <t>Обработка возвратов, отмен и невыкупов партнёрами</t>
  </si>
  <si>
    <t>0149644233-0134-1</t>
  </si>
  <si>
    <t>Продажи</t>
  </si>
  <si>
    <t>Выручка</t>
  </si>
  <si>
    <t>Программы партнёров</t>
  </si>
  <si>
    <t>Баллы за скидки</t>
  </si>
  <si>
    <t>Вознаграждение Ozon</t>
  </si>
  <si>
    <t>Вознаграждение за продажу</t>
  </si>
  <si>
    <t>0149644233-0133-1</t>
  </si>
  <si>
    <t>0188003351-0142-1</t>
  </si>
  <si>
    <t>0176276792-0225-1</t>
  </si>
  <si>
    <t>Продвижение и реклама</t>
  </si>
  <si>
    <t>Закрепление отзыва</t>
  </si>
  <si>
    <t>За товары с закрепленным отзывом 18.01.2026</t>
  </si>
  <si>
    <t>03635556-0376-1</t>
  </si>
  <si>
    <t>64787281-0673</t>
  </si>
  <si>
    <t>0208957498-0024-1</t>
  </si>
  <si>
    <t>0193711946-0026-1</t>
  </si>
  <si>
    <t>0126062046-0233-1</t>
  </si>
  <si>
    <t>2676784638</t>
  </si>
  <si>
    <t>0127135047-0326-1</t>
  </si>
  <si>
    <t>46578753-0300-1</t>
  </si>
  <si>
    <t>3064346642</t>
  </si>
  <si>
    <t>0210730541-0056-1</t>
  </si>
  <si>
    <t>42048464-0306-1</t>
  </si>
  <si>
    <t>91936616-0140-1</t>
  </si>
  <si>
    <t>0142278819-1075-1</t>
  </si>
  <si>
    <t>2676783005</t>
  </si>
  <si>
    <t>51759949-0115-1</t>
  </si>
  <si>
    <t>26201085742</t>
  </si>
  <si>
    <t>Другие услуги</t>
  </si>
  <si>
    <t>Утилизация товара: Автоутилизация со стока</t>
  </si>
  <si>
    <t>58337072-0359-1</t>
  </si>
  <si>
    <t>0202102908-0028-1</t>
  </si>
  <si>
    <t>52654429-0575-1</t>
  </si>
  <si>
    <t>26008349-0119-1</t>
  </si>
  <si>
    <t>0180199885-0055-1</t>
  </si>
  <si>
    <t>36494922-0170-1</t>
  </si>
  <si>
    <t>49221415-0153</t>
  </si>
  <si>
    <t>38560795-0103-3</t>
  </si>
  <si>
    <t>18894532</t>
  </si>
  <si>
    <t>Оплата за клик</t>
  </si>
  <si>
    <t>20618205</t>
  </si>
  <si>
    <t>21211280</t>
  </si>
  <si>
    <t>15091742</t>
  </si>
  <si>
    <t>Продвижение с оплатой за заказ</t>
  </si>
  <si>
    <t>18894508</t>
  </si>
  <si>
    <t>20618178</t>
  </si>
  <si>
    <t>20618216</t>
  </si>
  <si>
    <t>42441034-0414-2</t>
  </si>
  <si>
    <t>07281454-0894</t>
  </si>
  <si>
    <t>71992540-0047-1</t>
  </si>
  <si>
    <t>0130243135-0470-1</t>
  </si>
  <si>
    <t>41506965-0185-5</t>
  </si>
  <si>
    <t>41506965-0185-3</t>
  </si>
  <si>
    <t>0113618473-0022</t>
  </si>
  <si>
    <t>За товары с закрепленным отзывом 19.01.2026</t>
  </si>
  <si>
    <t>34551611-0575-7</t>
  </si>
  <si>
    <t>89287421-0148-3</t>
  </si>
  <si>
    <t>25075309-0465-1</t>
  </si>
  <si>
    <t>0128696687-0035-1</t>
  </si>
  <si>
    <t>0191529627-0019-5</t>
  </si>
  <si>
    <t>84440021-0179</t>
  </si>
  <si>
    <t>0173439490-0028-1</t>
  </si>
  <si>
    <t>77590996-0030-1</t>
  </si>
  <si>
    <t>30069313-0161-1</t>
  </si>
  <si>
    <t>49421815-0254-1</t>
  </si>
  <si>
    <t>89681777-0219-5</t>
  </si>
  <si>
    <t>Возвраты</t>
  </si>
  <si>
    <t>Возврат выручки</t>
  </si>
  <si>
    <t>Возврат вознаграждения</t>
  </si>
  <si>
    <t>50767799-0113-1</t>
  </si>
  <si>
    <t>0146647165-0161</t>
  </si>
  <si>
    <t>36780076-0394-5</t>
  </si>
  <si>
    <t>0103771996-0330-2</t>
  </si>
  <si>
    <t>41461422-0116-1</t>
  </si>
  <si>
    <t>0147531582-0008-1</t>
  </si>
  <si>
    <t>0151461938-0021</t>
  </si>
  <si>
    <t>06202590-0090-1</t>
  </si>
  <si>
    <t>92000354-0084-1</t>
  </si>
  <si>
    <t>76091586-0521-1</t>
  </si>
  <si>
    <t>02640122-0132</t>
  </si>
  <si>
    <t>42805695-0027</t>
  </si>
  <si>
    <t>0180898396-0016-1</t>
  </si>
  <si>
    <t>0180898396-0021-1</t>
  </si>
  <si>
    <t>За товары с закрепленным отзывом 20.01.2026</t>
  </si>
  <si>
    <t>55336066-0104-1</t>
  </si>
  <si>
    <t>89032364-0025-4</t>
  </si>
  <si>
    <t>0140462738-2203-13</t>
  </si>
  <si>
    <t>46949510-0649-1</t>
  </si>
  <si>
    <t>30748132-0071</t>
  </si>
  <si>
    <t>0146647165-0161-1</t>
  </si>
  <si>
    <t>0229856834-0001</t>
  </si>
  <si>
    <t>0160760037-0102</t>
  </si>
  <si>
    <t>0185188330-0158-1</t>
  </si>
  <si>
    <t>71364244-0769</t>
  </si>
  <si>
    <t>74704248-0475-1</t>
  </si>
  <si>
    <t>0128672682-0046</t>
  </si>
  <si>
    <t>0127987241-0023-1</t>
  </si>
  <si>
    <t>2676784504</t>
  </si>
  <si>
    <t>0220144191-0010-1</t>
  </si>
  <si>
    <t>07281454-0894-1</t>
  </si>
  <si>
    <t>59080528-0083-25</t>
  </si>
  <si>
    <t>0238641207-0027</t>
  </si>
  <si>
    <t>0131395481-0161</t>
  </si>
  <si>
    <t>0225493966-0005</t>
  </si>
  <si>
    <t>0144453152-0046</t>
  </si>
  <si>
    <t>10638710-0696</t>
  </si>
  <si>
    <t>0225009017-0001-1</t>
  </si>
  <si>
    <t>0173891967-0090</t>
  </si>
  <si>
    <t>За товары с закрепленным отзывом 21.01.2026</t>
  </si>
  <si>
    <t>89585122-0388-1</t>
  </si>
  <si>
    <t>0129570271-0086</t>
  </si>
  <si>
    <t>0191181530-0014-1</t>
  </si>
  <si>
    <t>0232377134-0004</t>
  </si>
  <si>
    <t>0153963524-0014</t>
  </si>
  <si>
    <t>0238218939-0019-1</t>
  </si>
  <si>
    <t>0129773242-0153</t>
  </si>
  <si>
    <t>47828401-0136</t>
  </si>
  <si>
    <t>36337147-0357</t>
  </si>
  <si>
    <t>0155542973-0051</t>
  </si>
  <si>
    <t>0131395481-0161-1</t>
  </si>
  <si>
    <t>99861605-0240</t>
  </si>
  <si>
    <t>0162575371-0095-1</t>
  </si>
  <si>
    <t>64787281-0673-1</t>
  </si>
  <si>
    <t>43542909-0781-1</t>
  </si>
  <si>
    <t>33638331-0103</t>
  </si>
  <si>
    <t>0224146508-0120</t>
  </si>
  <si>
    <t>25147955-1330</t>
  </si>
  <si>
    <t>63853380-0418-1</t>
  </si>
  <si>
    <t>За товары с закрепленным отзывом 22.01.2026</t>
  </si>
  <si>
    <t>0174363790-0038</t>
  </si>
  <si>
    <t>0111423357-0503-1</t>
  </si>
  <si>
    <t>0104604014-0158-1</t>
  </si>
  <si>
    <t>49221415-0153-1</t>
  </si>
  <si>
    <t>0100014059-0184-1</t>
  </si>
  <si>
    <t>71364244-0769-1</t>
  </si>
  <si>
    <t>64760257-0594-1</t>
  </si>
  <si>
    <t>0157970882-0071-1</t>
  </si>
  <si>
    <t>59067797-0115</t>
  </si>
  <si>
    <t>73402433-0023</t>
  </si>
  <si>
    <t>0206468094-0048-1</t>
  </si>
  <si>
    <t>0160579181-0014-1</t>
  </si>
  <si>
    <t>64829203-0185-1</t>
  </si>
  <si>
    <t>33403075-0425</t>
  </si>
  <si>
    <t>0182855293-0029-1</t>
  </si>
  <si>
    <t>0140354728-0079</t>
  </si>
  <si>
    <t>40890346-0232-4</t>
  </si>
  <si>
    <t>47572075-0077</t>
  </si>
  <si>
    <t>17833210-0395-4</t>
  </si>
  <si>
    <t>71169540-0043-2</t>
  </si>
  <si>
    <t>17833210-0395</t>
  </si>
  <si>
    <t>69639216-0012</t>
  </si>
  <si>
    <t>0129773242-0153-1</t>
  </si>
  <si>
    <t>47828401-0136-1</t>
  </si>
  <si>
    <t>85705992-0866-1</t>
  </si>
  <si>
    <t>0225493966-0005-1</t>
  </si>
  <si>
    <t>0115365927-0055</t>
  </si>
  <si>
    <t>36571736-0223-2</t>
  </si>
  <si>
    <t>0143943837-0080</t>
  </si>
  <si>
    <t>07780042-0432-1</t>
  </si>
  <si>
    <t>0212402236-0004-1</t>
  </si>
  <si>
    <t>72286113-0142</t>
  </si>
  <si>
    <t>0171050853-0059-1</t>
  </si>
  <si>
    <t>02957255-0177-3</t>
  </si>
  <si>
    <t>0216739151-0005-1</t>
  </si>
  <si>
    <t>0173624388-0030-1</t>
  </si>
  <si>
    <t>39807138-0417</t>
  </si>
  <si>
    <t>За товары с закрепленным отзывом 23.01.2026</t>
  </si>
  <si>
    <t>62067851-0181</t>
  </si>
  <si>
    <t>0200939871-0073-1</t>
  </si>
  <si>
    <t>34992009-0209-1</t>
  </si>
  <si>
    <t>0115088205-0097-1</t>
  </si>
  <si>
    <t>0167475335-0132-1</t>
  </si>
  <si>
    <t>Обработка возвратов Ozon</t>
  </si>
  <si>
    <t>33638331-0103-2</t>
  </si>
  <si>
    <t>0151461938-0021-1</t>
  </si>
  <si>
    <t>26395856687</t>
  </si>
  <si>
    <t>Временное размещение товара партнерами</t>
  </si>
  <si>
    <t>27157754308</t>
  </si>
  <si>
    <t>0113618473-0022-2</t>
  </si>
  <si>
    <t>0113618473-0022-1</t>
  </si>
  <si>
    <t>43966252-0021</t>
  </si>
  <si>
    <t>02640122-0132-5</t>
  </si>
  <si>
    <t>0155542973-0051-1</t>
  </si>
  <si>
    <t>30748132-0071-1</t>
  </si>
  <si>
    <t>0128672682-0046-7</t>
  </si>
  <si>
    <t>94706228-0959-1</t>
  </si>
  <si>
    <t>56252499-0183-2</t>
  </si>
  <si>
    <t>36337147-0357-1</t>
  </si>
  <si>
    <t>39360888-0288-1</t>
  </si>
  <si>
    <t>0229856834-0001-2</t>
  </si>
  <si>
    <t>44362504-0228</t>
  </si>
  <si>
    <t>0232377134-0004-1</t>
  </si>
  <si>
    <t>0160409316-0027</t>
  </si>
  <si>
    <t>0102875144-0126</t>
  </si>
  <si>
    <t>0143943837-0080-1</t>
  </si>
  <si>
    <t>73402433-0026</t>
  </si>
  <si>
    <t>49497180-0176-1</t>
  </si>
  <si>
    <t>0176092893-0202</t>
  </si>
  <si>
    <t>40668750-1207</t>
  </si>
  <si>
    <t>62362901-0097</t>
  </si>
  <si>
    <t>42590372-0812-1</t>
  </si>
  <si>
    <t>0217008471-0016</t>
  </si>
  <si>
    <t>57651257-0154</t>
  </si>
  <si>
    <t>0183977646-0019</t>
  </si>
  <si>
    <t>70060356-0043</t>
  </si>
  <si>
    <t>23007254-0055-1</t>
  </si>
  <si>
    <t>63444359-0206</t>
  </si>
  <si>
    <t>За товары с закрепленным отзывом 24.01.2026</t>
  </si>
  <si>
    <t>0126228958-0569-2</t>
  </si>
  <si>
    <t>38559490-0107-1</t>
  </si>
  <si>
    <t>0118449878-0039-1</t>
  </si>
  <si>
    <t>68411029-0441-1</t>
  </si>
  <si>
    <t>0118449878-0039-3</t>
  </si>
  <si>
    <t>38819677-0027-1</t>
  </si>
  <si>
    <t>99861605-0240-1</t>
  </si>
  <si>
    <t>97143097-0235-1</t>
  </si>
  <si>
    <t>0125767785-0188-1</t>
  </si>
  <si>
    <t>78352000-0026-1</t>
  </si>
  <si>
    <t>37040800-0255</t>
  </si>
  <si>
    <t>28698692-0079-1</t>
  </si>
  <si>
    <t>0135331549-0126</t>
  </si>
  <si>
    <t>47572075-0077-1</t>
  </si>
  <si>
    <t>23997790-1344-2</t>
  </si>
  <si>
    <t>0104973358-0066</t>
  </si>
  <si>
    <t>46444729-0248</t>
  </si>
  <si>
    <t>0108525529-0039</t>
  </si>
  <si>
    <t>0225009017-0002-1</t>
  </si>
  <si>
    <t>20934900-0528</t>
  </si>
  <si>
    <t>0135429053-0075</t>
  </si>
  <si>
    <t>42181376-0270</t>
  </si>
  <si>
    <t>83971736-0228-1</t>
  </si>
  <si>
    <t>0129570271-0086-1</t>
  </si>
  <si>
    <t>0104523832-0191</t>
  </si>
  <si>
    <t>60051699-0267-1</t>
  </si>
  <si>
    <t>39807138-0417-1</t>
  </si>
  <si>
    <t>10638710-0696-1</t>
  </si>
  <si>
    <t>49113472-0226</t>
  </si>
  <si>
    <t>05-11.01</t>
  </si>
  <si>
    <t>01-04.01</t>
  </si>
  <si>
    <t>26-31.01</t>
  </si>
  <si>
    <t>01.02</t>
  </si>
  <si>
    <t xml:space="preserve">Остаток на 
</t>
  </si>
  <si>
    <t xml:space="preserve">Остаток на 01.02
</t>
  </si>
  <si>
    <t xml:space="preserve">Остаток на
</t>
  </si>
  <si>
    <t>Период</t>
  </si>
  <si>
    <t>Итого к перечислению на счет, руб</t>
  </si>
  <si>
    <t>шт.</t>
  </si>
  <si>
    <t xml:space="preserve">Логистика </t>
  </si>
  <si>
    <t xml:space="preserve">Комиссия </t>
  </si>
  <si>
    <t xml:space="preserve">Хранение </t>
  </si>
  <si>
    <t>Платная приемка</t>
  </si>
  <si>
    <t>Реклама Ozon</t>
  </si>
  <si>
    <t>Прочее</t>
  </si>
  <si>
    <t>Доп. услуги</t>
  </si>
  <si>
    <t>Услуги FBO</t>
  </si>
  <si>
    <t>Компенсировано</t>
  </si>
  <si>
    <t xml:space="preserve"> Налог</t>
  </si>
  <si>
    <t>Итого</t>
  </si>
  <si>
    <t>Итог месяц</t>
  </si>
  <si>
    <t>% Cебестоимости</t>
  </si>
  <si>
    <t>Доля рекламы, %</t>
  </si>
  <si>
    <t>Месяц</t>
  </si>
  <si>
    <t>Даты</t>
  </si>
  <si>
    <t>Нед</t>
  </si>
  <si>
    <t>Заказы</t>
  </si>
  <si>
    <t>Общая</t>
  </si>
  <si>
    <t>Январь</t>
  </si>
  <si>
    <t>% от выручки за весь период</t>
  </si>
  <si>
    <t xml:space="preserve">01-04.01 </t>
  </si>
  <si>
    <t xml:space="preserve">19-25.01 </t>
  </si>
  <si>
    <t>Период: 12.01.2026-18.01.2026</t>
  </si>
  <si>
    <t>0137743959-0388-1</t>
  </si>
  <si>
    <t>0110443358-0030-2</t>
  </si>
  <si>
    <t>30578186-0268-1</t>
  </si>
  <si>
    <t>0134937493-1102</t>
  </si>
  <si>
    <t>0189536898-0033-1</t>
  </si>
  <si>
    <t>97927522-0040-5</t>
  </si>
  <si>
    <t>0141215376-0117-1</t>
  </si>
  <si>
    <t>0102133888-0045-1</t>
  </si>
  <si>
    <t>42048464-0306</t>
  </si>
  <si>
    <t>За товары с закрепленным отзывом 11.01.2026</t>
  </si>
  <si>
    <t>92448965-0291</t>
  </si>
  <si>
    <t>93098532-0126-1</t>
  </si>
  <si>
    <t>23997790-1344</t>
  </si>
  <si>
    <t>0128696687-0035</t>
  </si>
  <si>
    <t>39033937-0158-2</t>
  </si>
  <si>
    <t>36731370-0212</t>
  </si>
  <si>
    <t>42073942-0116-1</t>
  </si>
  <si>
    <t>85840796-0218</t>
  </si>
  <si>
    <t>79413963-0039-1</t>
  </si>
  <si>
    <t>34919886-0067-3</t>
  </si>
  <si>
    <t>0191519133-0252-1</t>
  </si>
  <si>
    <t>72741648-0193-1</t>
  </si>
  <si>
    <t>0100213717-0154-2</t>
  </si>
  <si>
    <t>0110217512-0086-5</t>
  </si>
  <si>
    <t>36538441-0686-1</t>
  </si>
  <si>
    <t>0115088205-0096-1</t>
  </si>
  <si>
    <t>48327041-0190-3</t>
  </si>
  <si>
    <t>0136601251-0628</t>
  </si>
  <si>
    <t>0179436061-0028-1</t>
  </si>
  <si>
    <t>0102675378-0587</t>
  </si>
  <si>
    <t>18129531-0357-1</t>
  </si>
  <si>
    <t>18129531-0357</t>
  </si>
  <si>
    <t>0228226181-0080-1</t>
  </si>
  <si>
    <t>33655952-0352-1</t>
  </si>
  <si>
    <t>07455611-0632</t>
  </si>
  <si>
    <t>90600281-0038-1</t>
  </si>
  <si>
    <t>0126170303-0124-1</t>
  </si>
  <si>
    <t>44507505-0141-1</t>
  </si>
  <si>
    <t>97531970-0192</t>
  </si>
  <si>
    <t>18894548</t>
  </si>
  <si>
    <t>20618218</t>
  </si>
  <si>
    <t>20618220</t>
  </si>
  <si>
    <t>62879294-0124-1</t>
  </si>
  <si>
    <t>87075711-0164</t>
  </si>
  <si>
    <t>98879169-0026-1</t>
  </si>
  <si>
    <t>42453689-0077</t>
  </si>
  <si>
    <t>За товары с закрепленным отзывом 12.01.2026</t>
  </si>
  <si>
    <t>0123995332-0227</t>
  </si>
  <si>
    <t>0139040615-0084-1</t>
  </si>
  <si>
    <t>33071438-0640-1</t>
  </si>
  <si>
    <t>33071438-0640-2</t>
  </si>
  <si>
    <t>09028365-0689-1</t>
  </si>
  <si>
    <t>0153950185-0279</t>
  </si>
  <si>
    <t>0170337336-0165-1</t>
  </si>
  <si>
    <t>34470563-0080-3</t>
  </si>
  <si>
    <t>34470563-0080-1</t>
  </si>
  <si>
    <t>60294125-0055-1</t>
  </si>
  <si>
    <t>0146874733-0256-3</t>
  </si>
  <si>
    <t>96997792-0225-1</t>
  </si>
  <si>
    <t>07455611-0632-5</t>
  </si>
  <si>
    <t>81891201-0009-1</t>
  </si>
  <si>
    <t>0213389931-0004</t>
  </si>
  <si>
    <t>0136165306-0015-1</t>
  </si>
  <si>
    <t>33071438-0638-1</t>
  </si>
  <si>
    <t>76339220-0397-1</t>
  </si>
  <si>
    <t>0102948451-0092-1</t>
  </si>
  <si>
    <t>51560599-0397-1</t>
  </si>
  <si>
    <t>36731370-0212-1</t>
  </si>
  <si>
    <t>35650009-0036</t>
  </si>
  <si>
    <t>86419954-0139-3</t>
  </si>
  <si>
    <t>74586881-0036-2</t>
  </si>
  <si>
    <t>0145222827-0514</t>
  </si>
  <si>
    <t>0118399287-0093</t>
  </si>
  <si>
    <t>0236777695-0005</t>
  </si>
  <si>
    <t>34992009-0209</t>
  </si>
  <si>
    <t>0130673644-0166-1</t>
  </si>
  <si>
    <t>62886179-0076-2</t>
  </si>
  <si>
    <t>0182855293-0030</t>
  </si>
  <si>
    <t>0182855293-0029</t>
  </si>
  <si>
    <t>0216579070-0042-1</t>
  </si>
  <si>
    <t>За товары с закрепленным отзывом 13.01.2026</t>
  </si>
  <si>
    <t>48022651-0168</t>
  </si>
  <si>
    <t>47019922-0257-1</t>
  </si>
  <si>
    <t>40830946-1089-1</t>
  </si>
  <si>
    <t>0123534679-0266-1</t>
  </si>
  <si>
    <t>36405377-0180-1</t>
  </si>
  <si>
    <t>17005874-0284-1</t>
  </si>
  <si>
    <t>38927321-0017-1</t>
  </si>
  <si>
    <t>0100925979-0187</t>
  </si>
  <si>
    <t>61586538-0261-4</t>
  </si>
  <si>
    <t>0102675378-0587-1</t>
  </si>
  <si>
    <t>0157235507-0027</t>
  </si>
  <si>
    <t>0153991038-0361</t>
  </si>
  <si>
    <t>05350380-0910-2</t>
  </si>
  <si>
    <t>0165768300-0071-1</t>
  </si>
  <si>
    <t>2000036753333</t>
  </si>
  <si>
    <t>Обработка товара в составе грузоместа: Поштучная приёмка</t>
  </si>
  <si>
    <t>0197951724-0107-1</t>
  </si>
  <si>
    <t>61502151-0246-1</t>
  </si>
  <si>
    <t>82633029-0097-1</t>
  </si>
  <si>
    <t>0128823339-0186</t>
  </si>
  <si>
    <t>67000201-0015-1</t>
  </si>
  <si>
    <t>0127591051-0025-1</t>
  </si>
  <si>
    <t>0214301663-0027-1</t>
  </si>
  <si>
    <t>0185188330-0158</t>
  </si>
  <si>
    <t>60255639-0110-1</t>
  </si>
  <si>
    <t>68416857-0297-1</t>
  </si>
  <si>
    <t>0136601251-0628-1</t>
  </si>
  <si>
    <t>68416857-0297</t>
  </si>
  <si>
    <t>10516374-0386-1</t>
  </si>
  <si>
    <t>28113359-0154-1</t>
  </si>
  <si>
    <t>28113359-0154-2</t>
  </si>
  <si>
    <t>87257444-0031-1</t>
  </si>
  <si>
    <t>45453809-0132-1</t>
  </si>
  <si>
    <t>38559490-0095-1</t>
  </si>
  <si>
    <t>0167420715-0062-1</t>
  </si>
  <si>
    <t>55451855-0291-1</t>
  </si>
  <si>
    <t>42737304-0050-1</t>
  </si>
  <si>
    <t>65278864-0021-1</t>
  </si>
  <si>
    <t>0123713416-0131-1</t>
  </si>
  <si>
    <t>0101448043-0056-1</t>
  </si>
  <si>
    <t>0104604014-0158</t>
  </si>
  <si>
    <t>За товары с закрепленным отзывом 14.01.2026</t>
  </si>
  <si>
    <t>0169593894-0177-1</t>
  </si>
  <si>
    <t>72452502-0069-1</t>
  </si>
  <si>
    <t>79235304-0044-1</t>
  </si>
  <si>
    <t>0149676986-0108-5</t>
  </si>
  <si>
    <t>0181987522-0033</t>
  </si>
  <si>
    <t>30434974-0083-5</t>
  </si>
  <si>
    <t>92448965-0291-1</t>
  </si>
  <si>
    <t>06317762-0105-3</t>
  </si>
  <si>
    <t>08050578-0318-5</t>
  </si>
  <si>
    <t>0115433972-0215-1</t>
  </si>
  <si>
    <t>0123995332-0227-4</t>
  </si>
  <si>
    <t>0192228445-0016</t>
  </si>
  <si>
    <t>32304596-0965-3</t>
  </si>
  <si>
    <t>32304596-0955-5</t>
  </si>
  <si>
    <t>0236777695-0005-1</t>
  </si>
  <si>
    <t>42453689-0077-2</t>
  </si>
  <si>
    <t>97531970-0192-1</t>
  </si>
  <si>
    <t>0123995332-0232</t>
  </si>
  <si>
    <t>0179496526-0040-2</t>
  </si>
  <si>
    <t>16830259-0464-3</t>
  </si>
  <si>
    <t>34114205-0117-1</t>
  </si>
  <si>
    <t>39930890-0037-1</t>
  </si>
  <si>
    <t>63662889-0377-1</t>
  </si>
  <si>
    <t>0153950185-0279-1</t>
  </si>
  <si>
    <t>89032364-0025</t>
  </si>
  <si>
    <t>71326710-0171-3</t>
  </si>
  <si>
    <t>71326710-0171-1</t>
  </si>
  <si>
    <t>0131644489-0036-1</t>
  </si>
  <si>
    <t>45212205-0297-1</t>
  </si>
  <si>
    <t>0142278819-1075</t>
  </si>
  <si>
    <t>88009037-0068-1</t>
  </si>
  <si>
    <t>0111859261-0247-3</t>
  </si>
  <si>
    <t>0149602864-0104-1</t>
  </si>
  <si>
    <t>0149602864-0104-7</t>
  </si>
  <si>
    <t>За товары с закрепленным отзывом 15.01.2026</t>
  </si>
  <si>
    <t>62214567-0323-1</t>
  </si>
  <si>
    <t>0222269525-0001-1</t>
  </si>
  <si>
    <t>0129713891-0797-3</t>
  </si>
  <si>
    <t>0137675181-0075-1</t>
  </si>
  <si>
    <t>52722273-0029</t>
  </si>
  <si>
    <t>0100135957-0131-1</t>
  </si>
  <si>
    <t>0157235507-0027-1</t>
  </si>
  <si>
    <t>35650009-0036-1</t>
  </si>
  <si>
    <t>0166119314-0034-1</t>
  </si>
  <si>
    <t>0127574626-0114-1</t>
  </si>
  <si>
    <t>0205965657-0013-1</t>
  </si>
  <si>
    <t>37413959-0209-3</t>
  </si>
  <si>
    <t>0126466511-0043-5</t>
  </si>
  <si>
    <t>62582495-0074-1</t>
  </si>
  <si>
    <t>41647730-0014</t>
  </si>
  <si>
    <t>0213389931-0004-1</t>
  </si>
  <si>
    <t>78784658-0160-1</t>
  </si>
  <si>
    <t>55336066-0104-5</t>
  </si>
  <si>
    <t>0140462738-2203</t>
  </si>
  <si>
    <t>0125943745-0086-1</t>
  </si>
  <si>
    <t>95601345-0182-27</t>
  </si>
  <si>
    <t>0115088205-0097</t>
  </si>
  <si>
    <t>0100925979-0187-2</t>
  </si>
  <si>
    <t>29544311-0276-1</t>
  </si>
  <si>
    <t>0120101468-0036-1</t>
  </si>
  <si>
    <t>0157434739-0044-1</t>
  </si>
  <si>
    <t>67005819-0222-1</t>
  </si>
  <si>
    <t>0149566294-0309</t>
  </si>
  <si>
    <t>0118399287-0093-1</t>
  </si>
  <si>
    <t>0161796835-0102-1</t>
  </si>
  <si>
    <t>59738720-0008-1</t>
  </si>
  <si>
    <t>50397412-0210</t>
  </si>
  <si>
    <t>90348338-0010</t>
  </si>
  <si>
    <t>91936616-0140</t>
  </si>
  <si>
    <t>88200078-0368-2</t>
  </si>
  <si>
    <t>0181987522-0033-1</t>
  </si>
  <si>
    <t>74704248-0475</t>
  </si>
  <si>
    <t>0210730541-0056</t>
  </si>
  <si>
    <t>За товары с закрепленным отзывом 16.01.2026</t>
  </si>
  <si>
    <t>30559855-0280-1</t>
  </si>
  <si>
    <t>36584179-0128-1</t>
  </si>
  <si>
    <t>70520202-0226-1</t>
  </si>
  <si>
    <t>0208957498-0024</t>
  </si>
  <si>
    <t>85840796-0218-1</t>
  </si>
  <si>
    <t>56658496-0014-1</t>
  </si>
  <si>
    <t>69282504-0677-1</t>
  </si>
  <si>
    <t>0128823339-0186-1</t>
  </si>
  <si>
    <t>0123995332-0232-1</t>
  </si>
  <si>
    <t>43750983-0176-1</t>
  </si>
  <si>
    <t>0203919408-0011-1</t>
  </si>
  <si>
    <t>44270537-0260-1</t>
  </si>
  <si>
    <t>0145222827-0514-1</t>
  </si>
  <si>
    <t>90131438-0034-2</t>
  </si>
  <si>
    <t>0105522036-0155-1</t>
  </si>
  <si>
    <t>0105522036-0154-1</t>
  </si>
  <si>
    <t>0141767859-0187-1</t>
  </si>
  <si>
    <t>87075711-0164-1</t>
  </si>
  <si>
    <t>48022651-0168-3</t>
  </si>
  <si>
    <t>0117084371-0167-1</t>
  </si>
  <si>
    <t>10782326-0285-1</t>
  </si>
  <si>
    <t>52822942-0206-2</t>
  </si>
  <si>
    <t>73693678-0498-1</t>
  </si>
  <si>
    <t>0120380839-0550-1</t>
  </si>
  <si>
    <t>91646421-0145-1</t>
  </si>
  <si>
    <t>0133165345-0035-1</t>
  </si>
  <si>
    <t>0148708060-0384</t>
  </si>
  <si>
    <t>66405385-0654</t>
  </si>
  <si>
    <t>57733071-0062-1</t>
  </si>
  <si>
    <t>0149566294-0309-1</t>
  </si>
  <si>
    <t>83586535-0245-2</t>
  </si>
  <si>
    <t>0162575371-0095</t>
  </si>
  <si>
    <t>38112072-0388-1</t>
  </si>
  <si>
    <t>11262361-0089-1</t>
  </si>
  <si>
    <t>0126841554-0050-1</t>
  </si>
  <si>
    <t>0126841554-0052-1</t>
  </si>
  <si>
    <t>41647730-0014-2</t>
  </si>
  <si>
    <t>49421815-0254</t>
  </si>
  <si>
    <t>45269974-0134-3</t>
  </si>
  <si>
    <t>0128696687-0034-1</t>
  </si>
  <si>
    <t>0160224818-0088-1</t>
  </si>
  <si>
    <t>0100632509-0237-1</t>
  </si>
  <si>
    <t>0143674046-0002-1</t>
  </si>
  <si>
    <t>За товары с закрепленным отзывом 17.01.2026</t>
  </si>
  <si>
    <t>0191181530-0014</t>
  </si>
  <si>
    <t>90348338-0010-1</t>
  </si>
  <si>
    <t>0163113393-0014-3</t>
  </si>
  <si>
    <t>69076096-0335-1</t>
  </si>
  <si>
    <t>0103771996-0330</t>
  </si>
  <si>
    <t>0159624876-0030-1</t>
  </si>
  <si>
    <t>57250449-0265-1</t>
  </si>
  <si>
    <t>33262779-0465-1</t>
  </si>
  <si>
    <t>50397412-0210-1</t>
  </si>
  <si>
    <t>41461422-0116</t>
  </si>
  <si>
    <t>14839853-0472-3</t>
  </si>
  <si>
    <t>14839853-0472-1</t>
  </si>
  <si>
    <t>52722273-0029-1</t>
  </si>
  <si>
    <t>0192228445-0016-1</t>
  </si>
  <si>
    <t>46949510-0649</t>
  </si>
  <si>
    <t>66405385-0654-4</t>
  </si>
  <si>
    <t>34769768-0967-1</t>
  </si>
  <si>
    <t>92000354-0084</t>
  </si>
  <si>
    <t>30488043-0138-1</t>
  </si>
  <si>
    <t>0193711946-0033-1</t>
  </si>
  <si>
    <t>82176838-0359-1</t>
  </si>
  <si>
    <t>Период: 01.01.2026-04.01.2026</t>
  </si>
  <si>
    <t>49959013-1076</t>
  </si>
  <si>
    <t>За товары с закрепленным отзывом 31.12.2025</t>
  </si>
  <si>
    <t>0162479556-0048</t>
  </si>
  <si>
    <t>82410925-0587-1</t>
  </si>
  <si>
    <t>45552102-0084</t>
  </si>
  <si>
    <t>36405377-0180</t>
  </si>
  <si>
    <t>01600492-0409-1</t>
  </si>
  <si>
    <t>0143492227-0075</t>
  </si>
  <si>
    <t>0210200107-0022</t>
  </si>
  <si>
    <t>62601742-0347-3</t>
  </si>
  <si>
    <t>09673714-0566</t>
  </si>
  <si>
    <t>0140943958-0062</t>
  </si>
  <si>
    <t>07192292-0730</t>
  </si>
  <si>
    <t>0139415500-0013</t>
  </si>
  <si>
    <t>0128710625-0056</t>
  </si>
  <si>
    <t>77437291-0193</t>
  </si>
  <si>
    <t>55294667-0300</t>
  </si>
  <si>
    <t>0169395032-0061-1</t>
  </si>
  <si>
    <t>0137335491-0013-1</t>
  </si>
  <si>
    <t>62859877-0155-1</t>
  </si>
  <si>
    <t>0144777083-0034-1</t>
  </si>
  <si>
    <t>0187219051-0009-1</t>
  </si>
  <si>
    <t>За товары с закрепленным отзывом 01.01.2026</t>
  </si>
  <si>
    <t>0139797495-0037-1</t>
  </si>
  <si>
    <t>0123246183-0082</t>
  </si>
  <si>
    <t>57333340-0566</t>
  </si>
  <si>
    <t>11262361-0089</t>
  </si>
  <si>
    <t>37055784-0250</t>
  </si>
  <si>
    <t>0180169237-0207</t>
  </si>
  <si>
    <t>19106927-0120</t>
  </si>
  <si>
    <t>0212105092-0110</t>
  </si>
  <si>
    <t>0128442066-0015-1</t>
  </si>
  <si>
    <t>0191482710-0164</t>
  </si>
  <si>
    <t>83038747-0213-3</t>
  </si>
  <si>
    <t>56437018-0059-1</t>
  </si>
  <si>
    <t>0217100491-0008</t>
  </si>
  <si>
    <t>0199091226-0047-1</t>
  </si>
  <si>
    <t>0106495989-0200</t>
  </si>
  <si>
    <t>0116982308-0009-1</t>
  </si>
  <si>
    <t>70961541-0066-1</t>
  </si>
  <si>
    <t>0198968876-0047</t>
  </si>
  <si>
    <t>0105464925-0058-1</t>
  </si>
  <si>
    <t>0105464925-0059-1</t>
  </si>
  <si>
    <t>37417513-0847-1</t>
  </si>
  <si>
    <t>32733100-0322</t>
  </si>
  <si>
    <t>0106495989-0204</t>
  </si>
  <si>
    <t>89054391-0046</t>
  </si>
  <si>
    <t>41806180-0197</t>
  </si>
  <si>
    <t>90244221-1037</t>
  </si>
  <si>
    <t>0113535803-0344</t>
  </si>
  <si>
    <t>0124617343-0235</t>
  </si>
  <si>
    <t>0142983404-0087-1</t>
  </si>
  <si>
    <t>48381176-0127</t>
  </si>
  <si>
    <t>81428059-0180</t>
  </si>
  <si>
    <t>За товары с закрепленным отзывом 02.01.2026</t>
  </si>
  <si>
    <t>0196259957-0026-1</t>
  </si>
  <si>
    <t>32079699-0106</t>
  </si>
  <si>
    <t>44435817-0240-1</t>
  </si>
  <si>
    <t>78549187-0141-1</t>
  </si>
  <si>
    <t>0125187253-0193-1</t>
  </si>
  <si>
    <t>0132463641-0050-1</t>
  </si>
  <si>
    <t>44002928-0214-1</t>
  </si>
  <si>
    <t>0188815434-0165-1</t>
  </si>
  <si>
    <t>0137733085-0067</t>
  </si>
  <si>
    <t>34792397-0297-1</t>
  </si>
  <si>
    <t>68759857-0241</t>
  </si>
  <si>
    <t>49959013-1076-1</t>
  </si>
  <si>
    <t>14699394-0046-1</t>
  </si>
  <si>
    <t>0113535803-0344-1</t>
  </si>
  <si>
    <t>0130708405-0348-1</t>
  </si>
  <si>
    <t>0117388386-0040</t>
  </si>
  <si>
    <t>35833286-0391-1</t>
  </si>
  <si>
    <t>56582850-0148</t>
  </si>
  <si>
    <t>0135476885-0103-1</t>
  </si>
  <si>
    <t>0203270545-0115-1</t>
  </si>
  <si>
    <t>0137675181-0075</t>
  </si>
  <si>
    <t>0135261964-0020</t>
  </si>
  <si>
    <t>0237901409-0006-1</t>
  </si>
  <si>
    <t>0104872150-0140-2</t>
  </si>
  <si>
    <t>23655523-0014-1</t>
  </si>
  <si>
    <t>22267474-0369-1</t>
  </si>
  <si>
    <t>0143492227-0075-2</t>
  </si>
  <si>
    <t>0140943958-0062-1</t>
  </si>
  <si>
    <t>45453809-0132</t>
  </si>
  <si>
    <t>64550666-0062</t>
  </si>
  <si>
    <t>64042232-0129</t>
  </si>
  <si>
    <t>06328014-0272</t>
  </si>
  <si>
    <t>35686660-0107-1</t>
  </si>
  <si>
    <t>0141215376-0117</t>
  </si>
  <si>
    <t>0170593831-0067-1</t>
  </si>
  <si>
    <t>0180942897-0010-3</t>
  </si>
  <si>
    <t>44441203-0436-2</t>
  </si>
  <si>
    <t>46611467-0608-3</t>
  </si>
  <si>
    <t>0200939871-0073</t>
  </si>
  <si>
    <t>0131037550-0190</t>
  </si>
  <si>
    <t>За товары с закрепленным отзывом 03.01.2026</t>
  </si>
  <si>
    <t>0118645555-0379</t>
  </si>
  <si>
    <t>19693670-0062-1</t>
  </si>
  <si>
    <t>49158585-0152</t>
  </si>
  <si>
    <t>72425467-0091-1</t>
  </si>
  <si>
    <t>0127943948-0782-1</t>
  </si>
  <si>
    <t>36956517-0338</t>
  </si>
  <si>
    <t>45552102-0084-1</t>
  </si>
  <si>
    <t>0106265942-0085</t>
  </si>
  <si>
    <t>77437291-0193-2</t>
  </si>
  <si>
    <t>0150124634-0011-1</t>
  </si>
  <si>
    <t>48600483-0341</t>
  </si>
  <si>
    <t>56522554-0298-1</t>
  </si>
  <si>
    <t>62588024-0084-1</t>
  </si>
  <si>
    <t>72452502-0069</t>
  </si>
  <si>
    <t>0139415500-0013-1</t>
  </si>
  <si>
    <t>40477921-0196</t>
  </si>
  <si>
    <t>52955164-0153-1</t>
  </si>
  <si>
    <t>0134352642-0060-1</t>
  </si>
  <si>
    <t>0126817097-0163</t>
  </si>
  <si>
    <t>0217051804-0004</t>
  </si>
  <si>
    <t>65822914-0041</t>
  </si>
  <si>
    <t>0210200107-0022-1</t>
  </si>
  <si>
    <t>0119584703-0042-1</t>
  </si>
  <si>
    <t>10516374-0382-1</t>
  </si>
  <si>
    <t>0144632048-0020-1</t>
  </si>
  <si>
    <t>07192292-0730-1</t>
  </si>
  <si>
    <t>49135523-0021-1</t>
  </si>
  <si>
    <t>64042232-0129-2</t>
  </si>
  <si>
    <t>32079699-0106-3</t>
  </si>
  <si>
    <t>32079699-0106-1</t>
  </si>
  <si>
    <t>42967107-0026</t>
  </si>
  <si>
    <t>96671335-0336</t>
  </si>
  <si>
    <t>33071438-0638</t>
  </si>
  <si>
    <t>41063261-0546-2</t>
  </si>
  <si>
    <t>43351013-0217-1</t>
  </si>
  <si>
    <t>88650398-0074</t>
  </si>
  <si>
    <t>19106927-0120-5</t>
  </si>
  <si>
    <t>0126286488-0281</t>
  </si>
  <si>
    <t>46598283-0473</t>
  </si>
  <si>
    <t>Заказы, шт
4 дня</t>
  </si>
  <si>
    <t>Период: 05.01.2026-11.01.2026</t>
  </si>
  <si>
    <t>0230993261-0002</t>
  </si>
  <si>
    <t>0196726338-0004-1</t>
  </si>
  <si>
    <t>05068907-0030-5</t>
  </si>
  <si>
    <t>48381176-0127-1</t>
  </si>
  <si>
    <t>За товары с закрепленным отзывом 04.01.2026</t>
  </si>
  <si>
    <t>0124521490-0069-1</t>
  </si>
  <si>
    <t>35256057-1098-1</t>
  </si>
  <si>
    <t>09673714-0566-3</t>
  </si>
  <si>
    <t>37503702-0262-5</t>
  </si>
  <si>
    <t>08182303-0303</t>
  </si>
  <si>
    <t>03439155-0969</t>
  </si>
  <si>
    <t>65693714-0129-7</t>
  </si>
  <si>
    <t>0163974441-0257</t>
  </si>
  <si>
    <t>72741648-0193</t>
  </si>
  <si>
    <t>39038107-0440-1</t>
  </si>
  <si>
    <t>0206247962-0035-1</t>
  </si>
  <si>
    <t>0123246183-0082-3</t>
  </si>
  <si>
    <t>0141940643-0011-1</t>
  </si>
  <si>
    <t>56582850-0148-1</t>
  </si>
  <si>
    <t>0180169237-0207-1</t>
  </si>
  <si>
    <t>70961541-0065-1</t>
  </si>
  <si>
    <t>0101794796-0083</t>
  </si>
  <si>
    <t>70482178-0128-1</t>
  </si>
  <si>
    <t>0212105092-0110-1</t>
  </si>
  <si>
    <t>0238419421-0006</t>
  </si>
  <si>
    <t>11500213-0536</t>
  </si>
  <si>
    <t>55503617-0372-1</t>
  </si>
  <si>
    <t>93086564-0116-1</t>
  </si>
  <si>
    <t>0148023170-0069</t>
  </si>
  <si>
    <t>0106495989-0204-1</t>
  </si>
  <si>
    <t>10516374-0386</t>
  </si>
  <si>
    <t>33071438-0640</t>
  </si>
  <si>
    <t>33071438-0641</t>
  </si>
  <si>
    <t>71318128-0233-1</t>
  </si>
  <si>
    <t>53010118-0315</t>
  </si>
  <si>
    <t>0185342191-0809-1</t>
  </si>
  <si>
    <t>90907812-0135</t>
  </si>
  <si>
    <t>0127631147-0081-1</t>
  </si>
  <si>
    <t>0181758116-0021</t>
  </si>
  <si>
    <t>2000036749740</t>
  </si>
  <si>
    <t>0156770238-0015</t>
  </si>
  <si>
    <t>35710436-0453-1</t>
  </si>
  <si>
    <t>47497017-0283-3</t>
  </si>
  <si>
    <t>0144702939-0182</t>
  </si>
  <si>
    <t>0182547567-0005-1</t>
  </si>
  <si>
    <t>0161988707-0113-1</t>
  </si>
  <si>
    <t>0146618018-0006-1</t>
  </si>
  <si>
    <t>За товары с закрепленным отзывом 05.01.2026</t>
  </si>
  <si>
    <t>88650398-0074-1</t>
  </si>
  <si>
    <t>0172266234-0073</t>
  </si>
  <si>
    <t>60493823-0149-1</t>
  </si>
  <si>
    <t>0141190615-0183</t>
  </si>
  <si>
    <t>55294667-0300-1</t>
  </si>
  <si>
    <t>0106495989-0200-1</t>
  </si>
  <si>
    <t>39631336-0318</t>
  </si>
  <si>
    <t>55436798-0138-1</t>
  </si>
  <si>
    <t>46598283-0473-1</t>
  </si>
  <si>
    <t>0180165925-0180</t>
  </si>
  <si>
    <t>15486693-0471-1</t>
  </si>
  <si>
    <t>0130673644-0166</t>
  </si>
  <si>
    <t>0146154780-0036</t>
  </si>
  <si>
    <t>96671335-0336-1</t>
  </si>
  <si>
    <t>0169300566-0014-1</t>
  </si>
  <si>
    <t>81428059-0180-1</t>
  </si>
  <si>
    <t>0126286488-0281-1</t>
  </si>
  <si>
    <t>42174760-0541-1</t>
  </si>
  <si>
    <t>91646421-0145</t>
  </si>
  <si>
    <t>0123846293-0126-1</t>
  </si>
  <si>
    <t>41806180-0197-1</t>
  </si>
  <si>
    <t>0189536898-0033-3</t>
  </si>
  <si>
    <t>64999995-0279-1</t>
  </si>
  <si>
    <t>0128710625-0056-1</t>
  </si>
  <si>
    <t>45360435-0364-1</t>
  </si>
  <si>
    <t>42438956-0287</t>
  </si>
  <si>
    <t>0198968876-0047-1</t>
  </si>
  <si>
    <t>0156238058-0042-3</t>
  </si>
  <si>
    <t>69961550-0081-1</t>
  </si>
  <si>
    <t>64550666-0062-9</t>
  </si>
  <si>
    <t>37055784-0250-1</t>
  </si>
  <si>
    <t>03439155-0969-1</t>
  </si>
  <si>
    <t>0123925262-0003-15</t>
  </si>
  <si>
    <t>0149584384-0035-1</t>
  </si>
  <si>
    <t>29537429-0250</t>
  </si>
  <si>
    <t>0100229437-0026</t>
  </si>
  <si>
    <t>40526787-0325-3</t>
  </si>
  <si>
    <t>11500213-0536-21</t>
  </si>
  <si>
    <t>36956517-0338-1</t>
  </si>
  <si>
    <t>62987159-0116-1</t>
  </si>
  <si>
    <t>49954498-0060-2</t>
  </si>
  <si>
    <t>40477921-0196-1</t>
  </si>
  <si>
    <t>0102962117-0037</t>
  </si>
  <si>
    <t>67726328-0284-6</t>
  </si>
  <si>
    <t>0217100491-0008-1</t>
  </si>
  <si>
    <t>0137915184-0108-1</t>
  </si>
  <si>
    <t>67726328-0284-9</t>
  </si>
  <si>
    <t>0128272499-0043</t>
  </si>
  <si>
    <t>0238514551-0001-1</t>
  </si>
  <si>
    <t>0238419421-0006-1</t>
  </si>
  <si>
    <t>33024387-0859-1</t>
  </si>
  <si>
    <t>47906568-0103-1</t>
  </si>
  <si>
    <t>52636321-0312-1</t>
  </si>
  <si>
    <t>67107811-0084-3</t>
  </si>
  <si>
    <t>79881449-0235-1</t>
  </si>
  <si>
    <t>40010881-0215</t>
  </si>
  <si>
    <t>26712209-0195-5</t>
  </si>
  <si>
    <t>45149432-0033-2</t>
  </si>
  <si>
    <t>42920203-0167-1</t>
  </si>
  <si>
    <t>0143668372-0041-1</t>
  </si>
  <si>
    <t>За товары с закрепленным отзывом 06.01.2026</t>
  </si>
  <si>
    <t>68759857-0241-1</t>
  </si>
  <si>
    <t>68759857-0241-3</t>
  </si>
  <si>
    <t>0144702939-0182-1</t>
  </si>
  <si>
    <t>0109072957-0146-2</t>
  </si>
  <si>
    <t>0109072957-0146-6</t>
  </si>
  <si>
    <t>25087538-0106-1</t>
  </si>
  <si>
    <t>0163974441-0257-1</t>
  </si>
  <si>
    <t>48600483-0341-1</t>
  </si>
  <si>
    <t>25686927-0119-1</t>
  </si>
  <si>
    <t>0101794796-0083-1</t>
  </si>
  <si>
    <t>0127574626-0114</t>
  </si>
  <si>
    <t>0134427027-0183</t>
  </si>
  <si>
    <t>Кросс-докинг</t>
  </si>
  <si>
    <t>60692491-0593-5</t>
  </si>
  <si>
    <t>96997792-0223</t>
  </si>
  <si>
    <t>58985216-0287</t>
  </si>
  <si>
    <t>0117388386-0040-1</t>
  </si>
  <si>
    <t>0211330720-0025-1</t>
  </si>
  <si>
    <t>36584179-0128</t>
  </si>
  <si>
    <t>0118645555-0379-2</t>
  </si>
  <si>
    <t>81428059-0181</t>
  </si>
  <si>
    <t>30959164-0231-1</t>
  </si>
  <si>
    <t>0166119314-0034</t>
  </si>
  <si>
    <t>90907812-0135-1</t>
  </si>
  <si>
    <t>31363406-0895</t>
  </si>
  <si>
    <t>85058294-0454</t>
  </si>
  <si>
    <t>29490869-0055-1</t>
  </si>
  <si>
    <t>06328014-0272-1</t>
  </si>
  <si>
    <t>0146154780-0036-1</t>
  </si>
  <si>
    <t>32733100-0322-2</t>
  </si>
  <si>
    <t>17005874-0284</t>
  </si>
  <si>
    <t>89848547-0192-1</t>
  </si>
  <si>
    <t>48327041-0190</t>
  </si>
  <si>
    <t>0160224818-0088</t>
  </si>
  <si>
    <t>0156770238-0015-1</t>
  </si>
  <si>
    <t>64134789-0421</t>
  </si>
  <si>
    <t>14777072-0657</t>
  </si>
  <si>
    <t>0217051804-0004-1</t>
  </si>
  <si>
    <t>33242345-0322-3</t>
  </si>
  <si>
    <t>68651605-0015-2</t>
  </si>
  <si>
    <t>44466132-0072-1</t>
  </si>
  <si>
    <t>0100661637-0028</t>
  </si>
  <si>
    <t>За товары с закрепленным отзывом 07.01.2026</t>
  </si>
  <si>
    <t>0104566183-0099-1</t>
  </si>
  <si>
    <t>72889636-0091-1</t>
  </si>
  <si>
    <t>22403878726</t>
  </si>
  <si>
    <t>Утилизация товара: Вы не забрали в срок</t>
  </si>
  <si>
    <t>0125836947-0128-1</t>
  </si>
  <si>
    <t>0186483773-0004-1</t>
  </si>
  <si>
    <t>89054391-0046-2</t>
  </si>
  <si>
    <t>19573898-0866-1</t>
  </si>
  <si>
    <t>0124858112-0030-3</t>
  </si>
  <si>
    <t>29279465-0167-3</t>
  </si>
  <si>
    <t>0141190615-0183-1</t>
  </si>
  <si>
    <t>60563021-0260-1</t>
  </si>
  <si>
    <t>0191482710-0164-1</t>
  </si>
  <si>
    <t>42438956-0287-1</t>
  </si>
  <si>
    <t>0128272499-0043-1</t>
  </si>
  <si>
    <t>0169687507-0066</t>
  </si>
  <si>
    <t>42967107-0026-1</t>
  </si>
  <si>
    <t>0230993261-0002-3</t>
  </si>
  <si>
    <t>0135261964-0020-1</t>
  </si>
  <si>
    <t>0172266234-0073-1</t>
  </si>
  <si>
    <t>0212306826-0097-1</t>
  </si>
  <si>
    <t>0126817097-0163-1</t>
  </si>
  <si>
    <t>30180601-0187</t>
  </si>
  <si>
    <t>51017134-0718-1</t>
  </si>
  <si>
    <t>84330165-0214-2</t>
  </si>
  <si>
    <t>53083732-0278-1</t>
  </si>
  <si>
    <t>0117084371-0167</t>
  </si>
  <si>
    <t>0196903239-0038</t>
  </si>
  <si>
    <t>60563021-0264-1</t>
  </si>
  <si>
    <t>96997792-0223-1</t>
  </si>
  <si>
    <t>0147137102-0121-1</t>
  </si>
  <si>
    <t>46047654-0296-1</t>
  </si>
  <si>
    <t>82966972-0015-1</t>
  </si>
  <si>
    <t>0109163061-0123-1</t>
  </si>
  <si>
    <t>0183176302-0186</t>
  </si>
  <si>
    <t>0191519133-0252</t>
  </si>
  <si>
    <t>50982247-0104</t>
  </si>
  <si>
    <t>0146874733-0256</t>
  </si>
  <si>
    <t>0133784320-0126</t>
  </si>
  <si>
    <t>37503702-0262-7</t>
  </si>
  <si>
    <t>0162479556-0048-3</t>
  </si>
  <si>
    <t>38833076-0030-7</t>
  </si>
  <si>
    <t>0127549849-0123</t>
  </si>
  <si>
    <t>56658496-0014</t>
  </si>
  <si>
    <t>39631336-0318-1</t>
  </si>
  <si>
    <t>За товары с закрепленным отзывом 08.01.2026</t>
  </si>
  <si>
    <t>85851882-0070-1</t>
  </si>
  <si>
    <t>0137733085-0067-1</t>
  </si>
  <si>
    <t>31363406-0895-1</t>
  </si>
  <si>
    <t>39033937-0158</t>
  </si>
  <si>
    <t>35256057-1098-3</t>
  </si>
  <si>
    <t>84327533-0124</t>
  </si>
  <si>
    <t>65822914-0041-2</t>
  </si>
  <si>
    <t>64468255-0103</t>
  </si>
  <si>
    <t>0143485634-0043-1</t>
  </si>
  <si>
    <t>93098532-0126</t>
  </si>
  <si>
    <t>38175247-0655-1</t>
  </si>
  <si>
    <t>0203919408-0011</t>
  </si>
  <si>
    <t>0148023170-0069-1</t>
  </si>
  <si>
    <t>53010118-0315-1</t>
  </si>
  <si>
    <t>29537429-0250-1</t>
  </si>
  <si>
    <t>42556275-0100</t>
  </si>
  <si>
    <t>0163687769-0101-1</t>
  </si>
  <si>
    <t>52999195-0098-5</t>
  </si>
  <si>
    <t>29472943-0617-1</t>
  </si>
  <si>
    <t>40010881-0215-1</t>
  </si>
  <si>
    <t>78041409-0148-1</t>
  </si>
  <si>
    <t>44781423-0344-5</t>
  </si>
  <si>
    <t>44781423-0344-1</t>
  </si>
  <si>
    <t>0169687507-0066-1</t>
  </si>
  <si>
    <t>0100229437-0026-1</t>
  </si>
  <si>
    <t>76339220-0399-1</t>
  </si>
  <si>
    <t>08182303-0303-2</t>
  </si>
  <si>
    <t>14777072-0657-1</t>
  </si>
  <si>
    <t>0206932802-0013-2</t>
  </si>
  <si>
    <t>90244221-1037-1</t>
  </si>
  <si>
    <t>78969687-0316-5</t>
  </si>
  <si>
    <t>33071438-0641-1</t>
  </si>
  <si>
    <t>46701252-0430</t>
  </si>
  <si>
    <t>0128696687-0034</t>
  </si>
  <si>
    <t>0125162256-0215-1</t>
  </si>
  <si>
    <t>0102962117-0037-2</t>
  </si>
  <si>
    <t>За товары с закрепленным отзывом 09.01.2026</t>
  </si>
  <si>
    <t>20256255-0648-4</t>
  </si>
  <si>
    <t>0128625679-0091-1</t>
  </si>
  <si>
    <t>49158585-0152-1</t>
  </si>
  <si>
    <t>0180165925-0180-1</t>
  </si>
  <si>
    <t>44735975-0090-1</t>
  </si>
  <si>
    <t>0134427027-0183-1</t>
  </si>
  <si>
    <t>55361286-0965-1</t>
  </si>
  <si>
    <t>58985216-0287-1</t>
  </si>
  <si>
    <t>50982247-0104-1</t>
  </si>
  <si>
    <t>56399491-0598-1</t>
  </si>
  <si>
    <t>0216739151-0005</t>
  </si>
  <si>
    <t>0196903239-0038-1</t>
  </si>
  <si>
    <t>04455686-0418-1</t>
  </si>
  <si>
    <t>0138547611-0240-1</t>
  </si>
  <si>
    <t>0183176302-0186-1</t>
  </si>
  <si>
    <t>80496309-0275-2</t>
  </si>
  <si>
    <t>64134789-0421-1</t>
  </si>
  <si>
    <t>98879169-0026</t>
  </si>
  <si>
    <t>30180601-0187-1</t>
  </si>
  <si>
    <t>0126466511-0043</t>
  </si>
  <si>
    <t>60255639-0110</t>
  </si>
  <si>
    <t>0113160230-0204-7</t>
  </si>
  <si>
    <t>82825361-0586-1</t>
  </si>
  <si>
    <t>61502151-0246</t>
  </si>
  <si>
    <t>0181758116-0021-1</t>
  </si>
  <si>
    <t>42660111-0005-1</t>
  </si>
  <si>
    <t>98466313-0078-3</t>
  </si>
  <si>
    <t>62886179-0076-13</t>
  </si>
  <si>
    <t>0114539670-0073-2</t>
  </si>
  <si>
    <t>84327533-0124-1</t>
  </si>
  <si>
    <t>63662889-0377</t>
  </si>
  <si>
    <t>90018408-0119-1</t>
  </si>
  <si>
    <t>49819991-0271-1</t>
  </si>
  <si>
    <t>33655952-0352</t>
  </si>
  <si>
    <t>0154273454-0020-1</t>
  </si>
  <si>
    <t>За товары с закрепленным отзывом 10.01.2026</t>
  </si>
  <si>
    <t>68262835-0153-1</t>
  </si>
  <si>
    <t>51560599-0397</t>
  </si>
  <si>
    <t>51017134-0717-1</t>
  </si>
  <si>
    <t>46701252-0430-2</t>
  </si>
  <si>
    <t>08303178-0027-1</t>
  </si>
  <si>
    <t>0172087784-0005-1</t>
  </si>
  <si>
    <t>0133784320-0126-4</t>
  </si>
  <si>
    <t>56407296-0549-1</t>
  </si>
  <si>
    <t>21500738-0074-1</t>
  </si>
  <si>
    <t>44287919-0228-1</t>
  </si>
  <si>
    <t>0120380839-0550</t>
  </si>
  <si>
    <t>0152708410-0117-1</t>
  </si>
  <si>
    <t>81428059-0181-1</t>
  </si>
  <si>
    <t>0126841554-0051-1</t>
  </si>
  <si>
    <t>64468255-0103-1</t>
  </si>
  <si>
    <t>0173439490-0028</t>
  </si>
  <si>
    <t>09028365-0689</t>
  </si>
  <si>
    <t>57333340-0566-1</t>
  </si>
  <si>
    <t>85420501-0085-1</t>
  </si>
  <si>
    <t>25303713-0311-1</t>
  </si>
  <si>
    <t>05321692-0329-3</t>
  </si>
  <si>
    <t>60294125-0055</t>
  </si>
  <si>
    <t>51017134-0716-1</t>
  </si>
  <si>
    <t>0197951724-0107</t>
  </si>
  <si>
    <t>96997792-0225</t>
  </si>
  <si>
    <t>0127549849-0123-1</t>
  </si>
  <si>
    <t>42556275-0100-1</t>
  </si>
  <si>
    <t>0100661637-0028-1</t>
  </si>
  <si>
    <t>0102948451-0092</t>
  </si>
  <si>
    <t>95601345-0182</t>
  </si>
  <si>
    <t>Заказы, шт
31 день</t>
  </si>
  <si>
    <t>01-31.01</t>
  </si>
  <si>
    <t>ОЧКИ</t>
  </si>
  <si>
    <t>%
прибыль</t>
  </si>
  <si>
    <t>Доля</t>
  </si>
  <si>
    <t>ABC прибыль</t>
  </si>
  <si>
    <t>ABC
 кол-во</t>
  </si>
  <si>
    <t>Кол-во</t>
  </si>
  <si>
    <t>%
кол-во</t>
  </si>
  <si>
    <t>Налог 1%</t>
  </si>
  <si>
    <t>Период: 26.01.2026-31.01.2026</t>
  </si>
  <si>
    <t>28446044-0489</t>
  </si>
  <si>
    <t>0221366710-0086-1</t>
  </si>
  <si>
    <t>0100353759-0142-1</t>
  </si>
  <si>
    <t>0133314377-0071</t>
  </si>
  <si>
    <t>0127740082-0486</t>
  </si>
  <si>
    <t>За товары с закрепленным отзывом 25.01.2026</t>
  </si>
  <si>
    <t>95104348-0102-1</t>
  </si>
  <si>
    <t>44382979-0032-1</t>
  </si>
  <si>
    <t>30368227-0146-1</t>
  </si>
  <si>
    <t>91256394-0158-1</t>
  </si>
  <si>
    <t>86005778-0018</t>
  </si>
  <si>
    <t>0111301203-0142</t>
  </si>
  <si>
    <t>0135331549-0126-1</t>
  </si>
  <si>
    <t>0175192634-0046</t>
  </si>
  <si>
    <t>43202687-0338-4</t>
  </si>
  <si>
    <t>0174363790-0043</t>
  </si>
  <si>
    <t>36868991-0289</t>
  </si>
  <si>
    <t>0124677707-0041</t>
  </si>
  <si>
    <t>0115365927-0055-1</t>
  </si>
  <si>
    <t>0238019869-0007-1</t>
  </si>
  <si>
    <t>62362901-0097-5</t>
  </si>
  <si>
    <t>0240359845-0008</t>
  </si>
  <si>
    <t>35256057-1138-2</t>
  </si>
  <si>
    <t>0135429053-0075-3</t>
  </si>
  <si>
    <t>43966252-0021-1</t>
  </si>
  <si>
    <t>65845565-0317-1</t>
  </si>
  <si>
    <t>44362504-0228-1</t>
  </si>
  <si>
    <t>84440021-0179-4</t>
  </si>
  <si>
    <t>73754281-0037-2</t>
  </si>
  <si>
    <t>20934900-0528-1</t>
  </si>
  <si>
    <t>0140354728-0079-1</t>
  </si>
  <si>
    <t>0146847772-0077</t>
  </si>
  <si>
    <t>83213599-0072</t>
  </si>
  <si>
    <t>62067851-0181-1</t>
  </si>
  <si>
    <t>0126566299-0097</t>
  </si>
  <si>
    <t>68206245-0310-1</t>
  </si>
  <si>
    <t>0187073278-0005-1</t>
  </si>
  <si>
    <t>58215394-0294</t>
  </si>
  <si>
    <t>2000040472242</t>
  </si>
  <si>
    <t>48227876-0243</t>
  </si>
  <si>
    <t>36337147-0362</t>
  </si>
  <si>
    <t>0214108625-0093</t>
  </si>
  <si>
    <t>64447310-0503-1</t>
  </si>
  <si>
    <t>0100576167-0284-13</t>
  </si>
  <si>
    <t>47252854-0488-4</t>
  </si>
  <si>
    <t>49558649-0303-1</t>
  </si>
  <si>
    <t>За товары с закрепленным отзывом 26.01.2026</t>
  </si>
  <si>
    <t>0183300103-0040</t>
  </si>
  <si>
    <t>33403075-0425-1</t>
  </si>
  <si>
    <t>80258598-0197</t>
  </si>
  <si>
    <t>37387381-0656-1</t>
  </si>
  <si>
    <t>0239688345-0011-1</t>
  </si>
  <si>
    <t>0138527605-0062-1</t>
  </si>
  <si>
    <t>93327011-0081-1</t>
  </si>
  <si>
    <t>63840098-0311-1</t>
  </si>
  <si>
    <t>0240359845-0008-1</t>
  </si>
  <si>
    <t>0152055138-0092-1</t>
  </si>
  <si>
    <t>72286113-0142-1</t>
  </si>
  <si>
    <t>0104973358-0066-1</t>
  </si>
  <si>
    <t>32493514-0250-1</t>
  </si>
  <si>
    <t>0107667958-0033-1</t>
  </si>
  <si>
    <t>0211821207-0050-1</t>
  </si>
  <si>
    <t>46444729-0248-1</t>
  </si>
  <si>
    <t>69639216-0012-2</t>
  </si>
  <si>
    <t>0217008471-0016-1</t>
  </si>
  <si>
    <t>20021576-0328</t>
  </si>
  <si>
    <t>2000040761696</t>
  </si>
  <si>
    <t>0224146508-0120-2</t>
  </si>
  <si>
    <t>34441979-0277</t>
  </si>
  <si>
    <t>0100154393-0420</t>
  </si>
  <si>
    <t>91119514-0171</t>
  </si>
  <si>
    <t>0178662837-0091-1</t>
  </si>
  <si>
    <t>0131841360-0311-1</t>
  </si>
  <si>
    <t>37040800-0255-1</t>
  </si>
  <si>
    <t>81113954-0171-1</t>
  </si>
  <si>
    <t>25271798-0607-2</t>
  </si>
  <si>
    <t>75529072-0263-1</t>
  </si>
  <si>
    <t>81113954-0171-3</t>
  </si>
  <si>
    <t>0239680303-0010</t>
  </si>
  <si>
    <t>0136107925-0315</t>
  </si>
  <si>
    <t>04024362-0122</t>
  </si>
  <si>
    <t>93682504-0122-1</t>
  </si>
  <si>
    <t>17500912-0232-1</t>
  </si>
  <si>
    <t>56399491-0595-1</t>
  </si>
  <si>
    <t>35979341-0673</t>
  </si>
  <si>
    <t>85971066-0204</t>
  </si>
  <si>
    <t>За товары с закрепленным отзывом 27.01.2026</t>
  </si>
  <si>
    <t>0105916858-0047</t>
  </si>
  <si>
    <t>0196173879-1076</t>
  </si>
  <si>
    <t>86005778-0018-1</t>
  </si>
  <si>
    <t>0124677707-0041-1</t>
  </si>
  <si>
    <t>0144056737-0202</t>
  </si>
  <si>
    <t>74482625-0322</t>
  </si>
  <si>
    <t>43561091-0140-1</t>
  </si>
  <si>
    <t>0153963524-0014-3</t>
  </si>
  <si>
    <t>37305168-0176</t>
  </si>
  <si>
    <t>0115208660-0082</t>
  </si>
  <si>
    <t>0111301203-0142-1</t>
  </si>
  <si>
    <t>0217236487-0028</t>
  </si>
  <si>
    <t>73402433-0023-1</t>
  </si>
  <si>
    <t>72407371-0155</t>
  </si>
  <si>
    <t>81033756-0244-1</t>
  </si>
  <si>
    <t>0108525529-0039-1</t>
  </si>
  <si>
    <t>0173891967-0090-4</t>
  </si>
  <si>
    <t>0104523832-0191-1</t>
  </si>
  <si>
    <t>0171306870-0109-4</t>
  </si>
  <si>
    <t>90446912-0195</t>
  </si>
  <si>
    <t>95588020-0014-1</t>
  </si>
  <si>
    <t>0160760037-0102-1</t>
  </si>
  <si>
    <t>0237725489-0024</t>
  </si>
  <si>
    <t>66512165-0054-1</t>
  </si>
  <si>
    <t>0125469236-0351</t>
  </si>
  <si>
    <t>39870352-0417-1</t>
  </si>
  <si>
    <t>97060523-0084-2</t>
  </si>
  <si>
    <t>48227876-0243-1</t>
  </si>
  <si>
    <t>0138758213-0156</t>
  </si>
  <si>
    <t>42538901-0357-1</t>
  </si>
  <si>
    <t>0179291383-0042-3</t>
  </si>
  <si>
    <t>0151364883-0155</t>
  </si>
  <si>
    <t>0213131011-0018</t>
  </si>
  <si>
    <t>38794786-0120</t>
  </si>
  <si>
    <t>0124470443-0153</t>
  </si>
  <si>
    <t>0136671605-0072</t>
  </si>
  <si>
    <t>22159421</t>
  </si>
  <si>
    <t>22159404</t>
  </si>
  <si>
    <t>22159352</t>
  </si>
  <si>
    <t>22159322</t>
  </si>
  <si>
    <t>22159306</t>
  </si>
  <si>
    <t>22159332</t>
  </si>
  <si>
    <t>0102133888-0047-1</t>
  </si>
  <si>
    <t>73482430-0296-1</t>
  </si>
  <si>
    <t>56318187-0091</t>
  </si>
  <si>
    <t>3405092836</t>
  </si>
  <si>
    <t>87715247-0097</t>
  </si>
  <si>
    <t>35785761-0189</t>
  </si>
  <si>
    <t>70802545-0011</t>
  </si>
  <si>
    <t>За товары с закрепленным отзывом 28.01.2026</t>
  </si>
  <si>
    <t>0124557625-0190-1</t>
  </si>
  <si>
    <t>84010781-0281</t>
  </si>
  <si>
    <t>0156792574-0006-1</t>
  </si>
  <si>
    <t>39041808-0172-1</t>
  </si>
  <si>
    <t>17459661-0232-1</t>
  </si>
  <si>
    <t>58215394-0294-1</t>
  </si>
  <si>
    <t>83213599-0072-1</t>
  </si>
  <si>
    <t>72407371-0155-1</t>
  </si>
  <si>
    <t>73468801-0010-1</t>
  </si>
  <si>
    <t>0127740082-0486-3</t>
  </si>
  <si>
    <t>0127740082-0486-1</t>
  </si>
  <si>
    <t>0238641207-0027-3</t>
  </si>
  <si>
    <t>37305168-0176-1</t>
  </si>
  <si>
    <t>20021576-0328-1</t>
  </si>
  <si>
    <t>58152778-0271</t>
  </si>
  <si>
    <t>0175192634-0046-1</t>
  </si>
  <si>
    <t>0211149148-0020-7</t>
  </si>
  <si>
    <t>41572407-0247-1</t>
  </si>
  <si>
    <t>40668750-1207-2</t>
  </si>
  <si>
    <t>0142295435-0063-3</t>
  </si>
  <si>
    <t>52800694-0359</t>
  </si>
  <si>
    <t>71177233-0083-1</t>
  </si>
  <si>
    <t>0150085229-0205-3</t>
  </si>
  <si>
    <t>47377101-0265-1</t>
  </si>
  <si>
    <t>0214108625-0093-1</t>
  </si>
  <si>
    <t>76841353-0257</t>
  </si>
  <si>
    <t>0134960029-0076-3</t>
  </si>
  <si>
    <t>91119514-0171-1</t>
  </si>
  <si>
    <t>64214118-0468-1</t>
  </si>
  <si>
    <t>0144056737-0202-1</t>
  </si>
  <si>
    <t>0187650442-0039</t>
  </si>
  <si>
    <t>0132144566-0160</t>
  </si>
  <si>
    <t>68118166-0045-1</t>
  </si>
  <si>
    <t>97226198-0538-1</t>
  </si>
  <si>
    <t>0150318444-0104-1</t>
  </si>
  <si>
    <t>0129374321-0065-1</t>
  </si>
  <si>
    <t>0176092893-0202-1</t>
  </si>
  <si>
    <t>39560344-0077-1</t>
  </si>
  <si>
    <t>40861550-0586-1</t>
  </si>
  <si>
    <t>0133990931-0159-1</t>
  </si>
  <si>
    <t>34441979-0277-2</t>
  </si>
  <si>
    <t>46578753-0299-1</t>
  </si>
  <si>
    <t>40436139-0153-1</t>
  </si>
  <si>
    <t>0178662837-0090-1</t>
  </si>
  <si>
    <t>0201479061-0848</t>
  </si>
  <si>
    <t>3405092873</t>
  </si>
  <si>
    <t>За товары с закрепленным отзывом 29.01.2026</t>
  </si>
  <si>
    <t>40846190-0079</t>
  </si>
  <si>
    <t>0115208660-0082-1</t>
  </si>
  <si>
    <t>2000040474720</t>
  </si>
  <si>
    <t>0132144566-0160-1</t>
  </si>
  <si>
    <t>0208759272-0018</t>
  </si>
  <si>
    <t>43680283-0155-1</t>
  </si>
  <si>
    <t>48002064-0062</t>
  </si>
  <si>
    <t>3405092860</t>
  </si>
  <si>
    <t>0136107925-0315-1</t>
  </si>
  <si>
    <t>73467485-0092-1</t>
  </si>
  <si>
    <t>42141639-0170</t>
  </si>
  <si>
    <t>2000040760282</t>
  </si>
  <si>
    <t>80258598-0197-7</t>
  </si>
  <si>
    <t>72606631-0536</t>
  </si>
  <si>
    <t>0151364883-0155-1</t>
  </si>
  <si>
    <t>74482625-0322-1</t>
  </si>
  <si>
    <t>38794786-0120-1</t>
  </si>
  <si>
    <t>76841353-0257-1</t>
  </si>
  <si>
    <t>35785761-0189-1</t>
  </si>
  <si>
    <t>94904036-0058</t>
  </si>
  <si>
    <t>0213131011-0018-1</t>
  </si>
  <si>
    <t>45678760-0442-1</t>
  </si>
  <si>
    <t>52800694-0359-1</t>
  </si>
  <si>
    <t>72247279-0229</t>
  </si>
  <si>
    <t>0124470443-0153-1</t>
  </si>
  <si>
    <t>0179938435-0055</t>
  </si>
  <si>
    <t>35132980-0958-1</t>
  </si>
  <si>
    <t>0161959549-0062-1</t>
  </si>
  <si>
    <t>0176484364-0006-1</t>
  </si>
  <si>
    <t>2000040762342</t>
  </si>
  <si>
    <t>0176484364-0007-1</t>
  </si>
  <si>
    <t>2000040476904</t>
  </si>
  <si>
    <t>04024362-0122-1</t>
  </si>
  <si>
    <t>83702578-0218-5</t>
  </si>
  <si>
    <t>0128425523-0086</t>
  </si>
  <si>
    <t>3405092993</t>
  </si>
  <si>
    <t>2000040760879</t>
  </si>
  <si>
    <t>0163237584-0087-1</t>
  </si>
  <si>
    <t>За товары с закрепленным отзывом 30.01.2026</t>
  </si>
  <si>
    <t>34685127-0582-9</t>
  </si>
  <si>
    <t>0124005606-0254</t>
  </si>
  <si>
    <t>60804525-0131-1</t>
  </si>
  <si>
    <t>0174363790-0038-2</t>
  </si>
  <si>
    <t>0239680303-0010-1</t>
  </si>
  <si>
    <t>42723580-0190-1</t>
  </si>
  <si>
    <t>0126802043-0079</t>
  </si>
  <si>
    <t>02523961-0277</t>
  </si>
  <si>
    <t>42043082-0209</t>
  </si>
  <si>
    <t>0150475757-0064-1</t>
  </si>
  <si>
    <t>79061245-0327</t>
  </si>
  <si>
    <t>0196618431-0031</t>
  </si>
  <si>
    <t>0138758213-0156-1</t>
  </si>
  <si>
    <t>41690069-0160-2</t>
  </si>
  <si>
    <t>0180967768-0061</t>
  </si>
  <si>
    <t>63486792-0352-1</t>
  </si>
  <si>
    <t>0156562105-0223</t>
  </si>
  <si>
    <t>36337147-0362-1</t>
  </si>
  <si>
    <t>85971066-0204-1</t>
  </si>
  <si>
    <t>0128425523-0086-1</t>
  </si>
  <si>
    <t>51728231-0315</t>
  </si>
  <si>
    <t>0133314377-0071-1</t>
  </si>
  <si>
    <t>0183300103-0040-1</t>
  </si>
  <si>
    <t>0237725489-0024-1</t>
  </si>
  <si>
    <t>0102392769-0377</t>
  </si>
  <si>
    <t>56261294-0036-1</t>
  </si>
  <si>
    <t>41690069-0160-1</t>
  </si>
  <si>
    <t>0239971772-0007-1</t>
  </si>
  <si>
    <t>72606631-0536-1</t>
  </si>
  <si>
    <t>0100154393-0420-1</t>
  </si>
  <si>
    <t>34456790-0346-2</t>
  </si>
  <si>
    <t>0146847772-0077-1</t>
  </si>
  <si>
    <t>57392861-0702-3</t>
  </si>
  <si>
    <t>48002064-0062-1</t>
  </si>
  <si>
    <t>61711020-0329</t>
  </si>
  <si>
    <t>24742007-1139-1</t>
  </si>
  <si>
    <t>0133107584-0260</t>
  </si>
  <si>
    <t>50396174-0784-1</t>
  </si>
  <si>
    <t>0146467963-0303-1</t>
  </si>
  <si>
    <t>56120780-1197</t>
  </si>
  <si>
    <t>86873485-0091</t>
  </si>
  <si>
    <t>Заказы, шт
6 дней</t>
  </si>
  <si>
    <t>Пополнение рекламного кабинета</t>
  </si>
  <si>
    <t>ЕАЭС</t>
  </si>
  <si>
    <t>02-08.02</t>
  </si>
  <si>
    <t>26.01-01.02</t>
  </si>
  <si>
    <t xml:space="preserve">Остаток на 02.02
</t>
  </si>
  <si>
    <t>число дней</t>
  </si>
  <si>
    <t>Заказы, шт
01.02</t>
  </si>
  <si>
    <t>Период: 01.02.2026-01.02.2026</t>
  </si>
  <si>
    <t>За товары с закрепленным отзывом 31.01.2026</t>
  </si>
  <si>
    <t>0129306088-0011-1</t>
  </si>
  <si>
    <t>0160409316-0027-1</t>
  </si>
  <si>
    <t>98242137-0047</t>
  </si>
  <si>
    <t>88892391-0346-1</t>
  </si>
  <si>
    <t>58152778-0271-3</t>
  </si>
  <si>
    <t>0201479061-0848-1</t>
  </si>
  <si>
    <t>0139797495-0041</t>
  </si>
  <si>
    <t>0223216770-0053-1</t>
  </si>
  <si>
    <t>0193927772-0079-1</t>
  </si>
  <si>
    <t>28446044-0489-1</t>
  </si>
  <si>
    <t>0213968317-0011-1</t>
  </si>
  <si>
    <t>24795171-0451-1</t>
  </si>
  <si>
    <t>0120023130-0353</t>
  </si>
  <si>
    <t>0125469236-0351-1</t>
  </si>
  <si>
    <t>0102392769-0377-1</t>
  </si>
  <si>
    <t>0156216261-0030</t>
  </si>
  <si>
    <t>49113472-0226-1</t>
  </si>
  <si>
    <t>0146370195-0438-1</t>
  </si>
  <si>
    <t>84010781-0281-1</t>
  </si>
  <si>
    <t>34542217-0222-2</t>
  </si>
  <si>
    <t>98782256-0190</t>
  </si>
  <si>
    <t>42141639-0170-1</t>
  </si>
  <si>
    <t>0196618431-0031-1</t>
  </si>
  <si>
    <t>07633200-0556-2</t>
  </si>
  <si>
    <t>0115365927-0071</t>
  </si>
  <si>
    <t>99004643-0149</t>
  </si>
  <si>
    <t>95274026-0297-2</t>
  </si>
  <si>
    <t>37983956-0196-2</t>
  </si>
  <si>
    <t>64999995-0287-1</t>
  </si>
  <si>
    <t>0146694506-0026</t>
  </si>
  <si>
    <t>77846782-0315-1</t>
  </si>
  <si>
    <t>71909998-0129</t>
  </si>
  <si>
    <t>3405092868</t>
  </si>
  <si>
    <t>0179695129-0060</t>
  </si>
  <si>
    <t>01.02-01.02</t>
  </si>
  <si>
    <t>09-15.02</t>
  </si>
  <si>
    <t>16-22.02</t>
  </si>
  <si>
    <t>23-28.02</t>
  </si>
  <si>
    <t>02.02-08.02</t>
  </si>
  <si>
    <t>январь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</si>
</sst>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4" formatCode="_-* #,##0.00\ &quot;₽&quot;_-;\-* #,##0.00\ &quot;₽&quot;_-;_-* &quot;-&quot;??\ &quot;₽&quot;_-;_-@_-"/>
    <numFmt numFmtId="43" formatCode="_-* #,##0.00_-;\-* #,##0.00_-;_-* &quot;-&quot;??_-;_-@_-"/>
    <numFmt numFmtId="164" formatCode="_-* #,##0_-;\-* #,##0_-;_-* &quot;-&quot;??_-;_-@_-"/>
    <numFmt numFmtId="165" formatCode="_-* #,##0.00\ _₽_-;\-* #,##0.00\ _₽_-;_-* &quot;-&quot;??\ _₽_-;_-@_-"/>
    <numFmt numFmtId="166" formatCode="_-* #,##0\ _₽_-;\-* #,##0\ _₽_-;_-* &quot;-&quot;??\ _₽_-;_-@_-"/>
    <numFmt numFmtId="167" formatCode="dd\.mm\.yyyy"/>
    <numFmt numFmtId="168" formatCode="#,##0.00\ &quot;₽&quot;"/>
    <numFmt numFmtId="170" formatCode="#,##0.00_ ;\-#,##0.00\ "/>
    <numFmt numFmtId="171" formatCode="#,##0_ ;\-#,##0\ "/>
    <numFmt numFmtId="172" formatCode="_-* #,##0\ &quot;₽&quot;_-;\-* #,##0\ &quot;₽&quot;_-;_-* &quot;-&quot;??\ &quot;₽&quot;_-;_-@_-"/>
  </numFmts>
  <fonts count="46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charset val="204"/>
      <scheme val="minor"/>
    </font>
    <font>
      <sz val="11"/>
      <color theme="1"/>
      <name val="Calibri"/>
      <family val="2"/>
    </font>
    <font>
      <b/>
      <sz val="12"/>
      <name val="Calibri"/>
      <family val="2"/>
    </font>
    <font>
      <sz val="12"/>
      <color rgb="FFFF0000"/>
      <name val="Calibri"/>
      <family val="2"/>
    </font>
    <font>
      <sz val="11"/>
      <name val="Calibri"/>
      <family val="2"/>
    </font>
    <font>
      <b/>
      <sz val="9"/>
      <name val="Calibri"/>
      <family val="2"/>
    </font>
    <font>
      <sz val="11"/>
      <color rgb="FF000000"/>
      <name val="Calibri"/>
      <family val="2"/>
    </font>
    <font>
      <b/>
      <sz val="9"/>
      <name val="Calibri"/>
      <family val="2"/>
      <charset val="204"/>
    </font>
    <font>
      <sz val="11"/>
      <name val="Arial"/>
      <family val="2"/>
      <charset val="204"/>
    </font>
    <font>
      <sz val="11"/>
      <name val="Calibri"/>
      <family val="2"/>
      <charset val="204"/>
    </font>
    <font>
      <sz val="12"/>
      <name val="Verdana"/>
      <family val="2"/>
      <charset val="204"/>
    </font>
    <font>
      <sz val="11"/>
      <name val="Calibri"/>
      <family val="2"/>
      <charset val="204"/>
      <scheme val="minor"/>
    </font>
    <font>
      <b/>
      <sz val="11"/>
      <name val="Calibri"/>
      <family val="2"/>
      <charset val="204"/>
    </font>
    <font>
      <sz val="12"/>
      <name val="Verdana"/>
      <family val="2"/>
    </font>
    <font>
      <b/>
      <i/>
      <sz val="11"/>
      <name val="Calibri"/>
      <family val="2"/>
      <charset val="204"/>
      <scheme val="minor"/>
    </font>
    <font>
      <b/>
      <sz val="11"/>
      <name val="Arial"/>
      <family val="2"/>
      <charset val="204"/>
    </font>
    <font>
      <b/>
      <sz val="1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i/>
      <sz val="11"/>
      <name val="Calibri"/>
      <family val="2"/>
      <charset val="204"/>
    </font>
    <font>
      <i/>
      <sz val="11"/>
      <name val="Calibri"/>
      <family val="2"/>
      <charset val="204"/>
      <scheme val="minor"/>
    </font>
    <font>
      <sz val="11"/>
      <color rgb="FFFF0000"/>
      <name val="Calibri"/>
      <family val="2"/>
    </font>
    <font>
      <b/>
      <sz val="11"/>
      <color rgb="FFFF0000"/>
      <name val="Calibri"/>
      <family val="2"/>
      <charset val="204"/>
    </font>
    <font>
      <sz val="11"/>
      <color rgb="FF00B050"/>
      <name val="Calibri"/>
      <family val="2"/>
    </font>
    <font>
      <sz val="11"/>
      <color rgb="FF7030A0"/>
      <name val="Calibri"/>
      <family val="2"/>
    </font>
    <font>
      <i/>
      <sz val="11"/>
      <color theme="9"/>
      <name val="Calibri"/>
      <family val="2"/>
      <charset val="204"/>
    </font>
    <font>
      <sz val="9"/>
      <color indexed="81"/>
      <name val="Tahoma"/>
      <family val="2"/>
      <charset val="204"/>
    </font>
    <font>
      <b/>
      <sz val="9"/>
      <color indexed="81"/>
      <name val="Tahoma"/>
      <family val="2"/>
      <charset val="204"/>
    </font>
    <font>
      <b/>
      <sz val="9"/>
      <color indexed="81"/>
      <name val="Tahoma"/>
      <family val="2"/>
    </font>
    <font>
      <sz val="10"/>
      <color theme="1"/>
      <name val="Arial"/>
      <family val="2"/>
      <charset val="204"/>
    </font>
    <font>
      <sz val="12"/>
      <color rgb="FF48525A"/>
      <name val="Arial"/>
      <family val="2"/>
      <charset val="204"/>
    </font>
    <font>
      <b/>
      <sz val="12"/>
      <color rgb="FF48525A"/>
      <name val="Arial"/>
      <family val="2"/>
      <charset val="204"/>
    </font>
    <font>
      <b/>
      <sz val="12"/>
      <color rgb="FF255AF6"/>
      <name val="Arial"/>
      <family val="2"/>
      <charset val="204"/>
    </font>
    <font>
      <b/>
      <sz val="10"/>
      <name val="Verdana"/>
      <family val="2"/>
      <charset val="204"/>
    </font>
    <font>
      <b/>
      <sz val="8"/>
      <name val="Verdana"/>
      <family val="2"/>
      <charset val="204"/>
    </font>
    <font>
      <sz val="10"/>
      <name val="Verdana"/>
      <family val="2"/>
      <charset val="204"/>
    </font>
    <font>
      <sz val="10"/>
      <color rgb="FF00B050"/>
      <name val="Verdana"/>
      <family val="2"/>
      <charset val="204"/>
    </font>
    <font>
      <sz val="10"/>
      <color rgb="FFFF0000"/>
      <name val="Verdana"/>
      <family val="2"/>
      <charset val="204"/>
    </font>
    <font>
      <b/>
      <sz val="10"/>
      <name val="Arial"/>
      <family val="2"/>
      <charset val="204"/>
    </font>
    <font>
      <b/>
      <sz val="9"/>
      <color rgb="FFFFFFFF"/>
      <name val="Comfortaa"/>
    </font>
    <font>
      <b/>
      <sz val="10"/>
      <name val="Calibri"/>
      <family val="2"/>
      <charset val="204"/>
      <scheme val="minor"/>
    </font>
    <font>
      <sz val="10"/>
      <name val="Calibri"/>
      <family val="2"/>
      <charset val="204"/>
      <scheme val="minor"/>
    </font>
    <font>
      <sz val="12"/>
      <color rgb="FF48525A"/>
      <name val="Arial"/>
    </font>
    <font>
      <b/>
      <sz val="12"/>
      <color rgb="FF48525A"/>
      <name val="Arial"/>
    </font>
    <font>
      <b/>
      <sz val="12"/>
      <color rgb="FF255AF6"/>
      <name val="Arial"/>
    </font>
  </fonts>
  <fills count="2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FF"/>
        <bgColor auto="1"/>
      </patternFill>
    </fill>
    <fill>
      <patternFill patternType="solid">
        <fgColor rgb="FFF5F8FB"/>
        <bgColor auto="1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46BDC6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00B050"/>
        <bgColor indexed="64"/>
      </patternFill>
    </fill>
  </fills>
  <borders count="4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indexed="64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indexed="64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 style="thin">
        <color theme="2" tint="-9.9978637043366805E-2"/>
      </top>
      <bottom style="thin">
        <color theme="2" tint="-9.9978637043366805E-2"/>
      </bottom>
      <diagonal/>
    </border>
    <border>
      <left/>
      <right/>
      <top/>
      <bottom style="thin">
        <color rgb="FFD0D7DE"/>
      </bottom>
      <diagonal/>
    </border>
    <border>
      <left style="thin">
        <color rgb="FFD0D7DE"/>
      </left>
      <right style="thin">
        <color rgb="FFD0D7DE"/>
      </right>
      <top/>
      <bottom style="thin">
        <color rgb="FFD0D7DE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theme="6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/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theme="2" tint="-9.9978637043366805E-2"/>
      </left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/>
      <top style="medium">
        <color theme="2" tint="-9.9978637043366805E-2"/>
      </top>
      <bottom style="medium">
        <color theme="2" tint="-9.9978637043366805E-2"/>
      </bottom>
      <diagonal/>
    </border>
    <border>
      <left/>
      <right style="medium">
        <color theme="2" tint="-9.9978637043366805E-2"/>
      </right>
      <top style="medium">
        <color theme="2" tint="-9.9978637043366805E-2"/>
      </top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 style="medium">
        <color theme="2" tint="-9.9978637043366805E-2"/>
      </left>
      <right style="medium">
        <color theme="2" tint="-9.9978637043366805E-2"/>
      </right>
      <top/>
      <bottom style="medium">
        <color theme="2" tint="-9.9978637043366805E-2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indexed="64"/>
      </left>
      <right style="thin">
        <color indexed="64"/>
      </right>
      <top style="thin">
        <color theme="6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thin">
        <color indexed="64"/>
      </top>
      <bottom/>
      <diagonal/>
    </border>
  </borders>
  <cellStyleXfs count="1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9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43" fontId="12" fillId="0" borderId="0" applyFont="0" applyFill="0" applyBorder="0" applyAlignment="0" applyProtection="0"/>
    <xf numFmtId="165" fontId="15" fillId="0" borderId="0" applyFont="0" applyFill="0" applyBorder="0" applyAlignment="0" applyProtection="0"/>
    <xf numFmtId="165" fontId="8" fillId="0" borderId="0" applyFont="0" applyFill="0" applyBorder="0" applyAlignment="0" applyProtection="0"/>
    <xf numFmtId="43" fontId="12" fillId="0" borderId="0" applyFont="0" applyFill="0" applyBorder="0" applyAlignment="0" applyProtection="0"/>
    <xf numFmtId="9" fontId="15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15" fillId="0" borderId="0"/>
  </cellStyleXfs>
  <cellXfs count="293">
    <xf numFmtId="0" fontId="0" fillId="0" borderId="0" xfId="0"/>
    <xf numFmtId="0" fontId="4" fillId="0" borderId="0" xfId="3" applyFont="1" applyAlignment="1">
      <alignment vertical="center"/>
    </xf>
    <xf numFmtId="49" fontId="4" fillId="0" borderId="0" xfId="3" applyNumberFormat="1" applyFont="1" applyAlignment="1">
      <alignment horizontal="left" vertical="center"/>
    </xf>
    <xf numFmtId="2" fontId="5" fillId="0" borderId="0" xfId="3" applyNumberFormat="1" applyFont="1" applyAlignment="1">
      <alignment vertical="center"/>
    </xf>
    <xf numFmtId="0" fontId="5" fillId="0" borderId="0" xfId="3" applyFont="1" applyAlignment="1">
      <alignment vertical="center"/>
    </xf>
    <xf numFmtId="0" fontId="4" fillId="2" borderId="0" xfId="3" applyFont="1" applyFill="1" applyAlignment="1">
      <alignment vertical="center" wrapText="1"/>
    </xf>
    <xf numFmtId="164" fontId="6" fillId="0" borderId="0" xfId="1" applyNumberFormat="1" applyFont="1" applyFill="1" applyAlignment="1">
      <alignment horizontal="center" vertical="center"/>
    </xf>
    <xf numFmtId="0" fontId="4" fillId="0" borderId="0" xfId="3" applyFont="1" applyAlignment="1">
      <alignment vertical="center" wrapText="1"/>
    </xf>
    <xf numFmtId="164" fontId="4" fillId="0" borderId="0" xfId="1" applyNumberFormat="1" applyFont="1" applyAlignment="1">
      <alignment vertical="center"/>
    </xf>
    <xf numFmtId="0" fontId="4" fillId="0" borderId="1" xfId="3" applyFont="1" applyBorder="1" applyAlignment="1">
      <alignment vertical="center"/>
    </xf>
    <xf numFmtId="0" fontId="7" fillId="0" borderId="0" xfId="3" applyFont="1" applyAlignment="1">
      <alignment horizontal="center" vertical="center" wrapText="1"/>
    </xf>
    <xf numFmtId="0" fontId="7" fillId="0" borderId="2" xfId="3" applyFont="1" applyBorder="1" applyAlignment="1">
      <alignment horizontal="center" vertical="center" wrapText="1"/>
    </xf>
    <xf numFmtId="2" fontId="7" fillId="0" borderId="3" xfId="3" applyNumberFormat="1" applyFont="1" applyBorder="1" applyAlignment="1">
      <alignment horizontal="center" vertical="center" wrapText="1"/>
    </xf>
    <xf numFmtId="0" fontId="7" fillId="3" borderId="3" xfId="3" applyFont="1" applyFill="1" applyBorder="1" applyAlignment="1">
      <alignment horizontal="center" vertical="center" wrapText="1"/>
    </xf>
    <xf numFmtId="1" fontId="7" fillId="3" borderId="3" xfId="3" applyNumberFormat="1" applyFont="1" applyFill="1" applyBorder="1" applyAlignment="1">
      <alignment horizontal="center" vertical="center" wrapText="1"/>
    </xf>
    <xf numFmtId="1" fontId="7" fillId="0" borderId="3" xfId="3" applyNumberFormat="1" applyFont="1" applyBorder="1" applyAlignment="1">
      <alignment horizontal="center" vertical="center" wrapText="1"/>
    </xf>
    <xf numFmtId="1" fontId="7" fillId="3" borderId="4" xfId="3" applyNumberFormat="1" applyFont="1" applyFill="1" applyBorder="1" applyAlignment="1">
      <alignment horizontal="center" vertical="center" wrapText="1"/>
    </xf>
    <xf numFmtId="0" fontId="7" fillId="3" borderId="4" xfId="3" applyFont="1" applyFill="1" applyBorder="1" applyAlignment="1">
      <alignment horizontal="center" vertical="center" wrapText="1"/>
    </xf>
    <xf numFmtId="0" fontId="7" fillId="3" borderId="2" xfId="3" applyFont="1" applyFill="1" applyBorder="1" applyAlignment="1">
      <alignment horizontal="center" vertical="center" wrapText="1"/>
    </xf>
    <xf numFmtId="164" fontId="7" fillId="3" borderId="4" xfId="4" applyNumberFormat="1" applyFont="1" applyFill="1" applyBorder="1" applyAlignment="1">
      <alignment horizontal="center" vertical="center" wrapText="1"/>
    </xf>
    <xf numFmtId="164" fontId="7" fillId="3" borderId="5" xfId="4" applyNumberFormat="1" applyFont="1" applyFill="1" applyBorder="1" applyAlignment="1">
      <alignment horizontal="center" vertical="center" wrapText="1"/>
    </xf>
    <xf numFmtId="164" fontId="7" fillId="3" borderId="3" xfId="4" applyNumberFormat="1" applyFont="1" applyFill="1" applyBorder="1" applyAlignment="1">
      <alignment horizontal="center" vertical="center" wrapText="1"/>
    </xf>
    <xf numFmtId="9" fontId="7" fillId="3" borderId="3" xfId="5" applyFont="1" applyFill="1" applyBorder="1" applyAlignment="1">
      <alignment horizontal="center" vertical="center" wrapText="1"/>
    </xf>
    <xf numFmtId="0" fontId="7" fillId="4" borderId="3" xfId="3" applyFont="1" applyFill="1" applyBorder="1" applyAlignment="1">
      <alignment horizontal="center" vertical="center" wrapText="1"/>
    </xf>
    <xf numFmtId="0" fontId="9" fillId="3" borderId="5" xfId="3" applyFont="1" applyFill="1" applyBorder="1" applyAlignment="1">
      <alignment horizontal="center" vertical="center" wrapText="1"/>
    </xf>
    <xf numFmtId="164" fontId="7" fillId="0" borderId="6" xfId="1" applyNumberFormat="1" applyFont="1" applyBorder="1" applyAlignment="1">
      <alignment horizontal="center" vertical="center" wrapText="1"/>
    </xf>
    <xf numFmtId="9" fontId="7" fillId="3" borderId="2" xfId="5" applyFont="1" applyFill="1" applyBorder="1" applyAlignment="1">
      <alignment horizontal="center" vertical="center" wrapText="1"/>
    </xf>
    <xf numFmtId="9" fontId="7" fillId="4" borderId="3" xfId="5" applyFont="1" applyFill="1" applyBorder="1" applyAlignment="1">
      <alignment horizontal="center" vertical="center" wrapText="1"/>
    </xf>
    <xf numFmtId="9" fontId="7" fillId="4" borderId="4" xfId="5" applyFont="1" applyFill="1" applyBorder="1" applyAlignment="1">
      <alignment horizontal="center" vertical="center" wrapText="1"/>
    </xf>
    <xf numFmtId="0" fontId="7" fillId="3" borderId="5" xfId="3" applyFont="1" applyFill="1" applyBorder="1" applyAlignment="1">
      <alignment horizontal="center" vertical="center" wrapText="1"/>
    </xf>
    <xf numFmtId="0" fontId="10" fillId="0" borderId="7" xfId="0" applyFont="1" applyBorder="1" applyAlignment="1">
      <alignment horizontal="center" vertical="center"/>
    </xf>
    <xf numFmtId="0" fontId="10" fillId="0" borderId="0" xfId="0" applyFont="1" applyAlignment="1">
      <alignment horizontal="left" vertical="top"/>
    </xf>
    <xf numFmtId="1" fontId="11" fillId="0" borderId="0" xfId="1" applyNumberFormat="1" applyFont="1" applyFill="1" applyBorder="1"/>
    <xf numFmtId="164" fontId="11" fillId="0" borderId="0" xfId="1" applyNumberFormat="1" applyFont="1"/>
    <xf numFmtId="164" fontId="11" fillId="0" borderId="0" xfId="1" applyNumberFormat="1" applyFont="1" applyFill="1"/>
    <xf numFmtId="164" fontId="13" fillId="0" borderId="8" xfId="6" applyNumberFormat="1" applyFont="1" applyBorder="1"/>
    <xf numFmtId="0" fontId="11" fillId="0" borderId="0" xfId="0" applyFont="1"/>
    <xf numFmtId="43" fontId="11" fillId="0" borderId="0" xfId="1" applyFont="1"/>
    <xf numFmtId="164" fontId="11" fillId="0" borderId="7" xfId="1" applyNumberFormat="1" applyFont="1" applyBorder="1"/>
    <xf numFmtId="164" fontId="11" fillId="0" borderId="0" xfId="1" applyNumberFormat="1" applyFont="1" applyFill="1" applyBorder="1"/>
    <xf numFmtId="164" fontId="6" fillId="0" borderId="7" xfId="1" applyNumberFormat="1" applyFont="1" applyBorder="1"/>
    <xf numFmtId="164" fontId="6" fillId="0" borderId="9" xfId="1" applyNumberFormat="1" applyFont="1" applyFill="1" applyBorder="1"/>
    <xf numFmtId="164" fontId="6" fillId="0" borderId="0" xfId="1" applyNumberFormat="1" applyFont="1" applyFill="1"/>
    <xf numFmtId="9" fontId="6" fillId="0" borderId="6" xfId="2" applyFont="1" applyBorder="1"/>
    <xf numFmtId="164" fontId="6" fillId="0" borderId="0" xfId="1" applyNumberFormat="1" applyFont="1"/>
    <xf numFmtId="9" fontId="6" fillId="0" borderId="0" xfId="2" applyFont="1"/>
    <xf numFmtId="164" fontId="6" fillId="0" borderId="0" xfId="7" applyNumberFormat="1" applyFont="1"/>
    <xf numFmtId="164" fontId="14" fillId="0" borderId="6" xfId="7" applyNumberFormat="1" applyFont="1" applyBorder="1"/>
    <xf numFmtId="1" fontId="6" fillId="0" borderId="9" xfId="8" applyNumberFormat="1" applyFont="1" applyBorder="1"/>
    <xf numFmtId="1" fontId="6" fillId="0" borderId="0" xfId="3" applyNumberFormat="1" applyFont="1"/>
    <xf numFmtId="9" fontId="6" fillId="0" borderId="0" xfId="2" applyFont="1" applyBorder="1"/>
    <xf numFmtId="9" fontId="6" fillId="0" borderId="7" xfId="2" applyFont="1" applyBorder="1"/>
    <xf numFmtId="0" fontId="6" fillId="0" borderId="0" xfId="3" applyFont="1"/>
    <xf numFmtId="164" fontId="6" fillId="0" borderId="6" xfId="7" applyNumberFormat="1" applyFont="1" applyBorder="1"/>
    <xf numFmtId="164" fontId="11" fillId="0" borderId="0" xfId="1" applyNumberFormat="1" applyFont="1" applyBorder="1"/>
    <xf numFmtId="164" fontId="6" fillId="0" borderId="0" xfId="1" applyNumberFormat="1" applyFont="1" applyFill="1" applyBorder="1"/>
    <xf numFmtId="164" fontId="13" fillId="0" borderId="0" xfId="6" applyNumberFormat="1" applyFont="1" applyBorder="1"/>
    <xf numFmtId="166" fontId="16" fillId="5" borderId="9" xfId="8" applyNumberFormat="1" applyFont="1" applyFill="1" applyBorder="1"/>
    <xf numFmtId="166" fontId="16" fillId="5" borderId="0" xfId="8" applyNumberFormat="1" applyFont="1" applyFill="1" applyBorder="1"/>
    <xf numFmtId="9" fontId="16" fillId="5" borderId="0" xfId="2" applyFont="1" applyFill="1" applyBorder="1"/>
    <xf numFmtId="0" fontId="2" fillId="0" borderId="10" xfId="3" applyFont="1" applyBorder="1"/>
    <xf numFmtId="164" fontId="2" fillId="0" borderId="10" xfId="7" applyNumberFormat="1" applyFont="1" applyBorder="1"/>
    <xf numFmtId="0" fontId="17" fillId="6" borderId="7" xfId="0" applyFont="1" applyFill="1" applyBorder="1" applyAlignment="1">
      <alignment horizontal="center" vertical="center"/>
    </xf>
    <xf numFmtId="0" fontId="10" fillId="6" borderId="0" xfId="0" applyFont="1" applyFill="1" applyAlignment="1">
      <alignment horizontal="left" vertical="top"/>
    </xf>
    <xf numFmtId="1" fontId="14" fillId="6" borderId="0" xfId="1" applyNumberFormat="1" applyFont="1" applyFill="1" applyBorder="1"/>
    <xf numFmtId="164" fontId="11" fillId="6" borderId="0" xfId="1" applyNumberFormat="1" applyFont="1" applyFill="1"/>
    <xf numFmtId="164" fontId="13" fillId="6" borderId="0" xfId="6" applyNumberFormat="1" applyFont="1" applyFill="1" applyBorder="1"/>
    <xf numFmtId="0" fontId="11" fillId="6" borderId="0" xfId="0" applyFont="1" applyFill="1"/>
    <xf numFmtId="43" fontId="11" fillId="6" borderId="0" xfId="1" applyFont="1" applyFill="1"/>
    <xf numFmtId="164" fontId="11" fillId="6" borderId="7" xfId="1" applyNumberFormat="1" applyFont="1" applyFill="1" applyBorder="1"/>
    <xf numFmtId="1" fontId="14" fillId="6" borderId="9" xfId="1" applyNumberFormat="1" applyFont="1" applyFill="1" applyBorder="1"/>
    <xf numFmtId="9" fontId="14" fillId="6" borderId="6" xfId="2" applyFont="1" applyFill="1" applyBorder="1"/>
    <xf numFmtId="9" fontId="6" fillId="6" borderId="0" xfId="2" applyFont="1" applyFill="1"/>
    <xf numFmtId="1" fontId="14" fillId="6" borderId="7" xfId="1" applyNumberFormat="1" applyFont="1" applyFill="1" applyBorder="1"/>
    <xf numFmtId="1" fontId="14" fillId="6" borderId="6" xfId="1" applyNumberFormat="1" applyFont="1" applyFill="1" applyBorder="1"/>
    <xf numFmtId="164" fontId="6" fillId="0" borderId="0" xfId="7" applyNumberFormat="1" applyFont="1" applyFill="1"/>
    <xf numFmtId="166" fontId="18" fillId="6" borderId="11" xfId="9" applyNumberFormat="1" applyFont="1" applyFill="1" applyBorder="1" applyAlignment="1">
      <alignment horizontal="center" vertical="center"/>
    </xf>
    <xf numFmtId="166" fontId="18" fillId="6" borderId="12" xfId="9" applyNumberFormat="1" applyFont="1" applyFill="1" applyBorder="1" applyAlignment="1">
      <alignment horizontal="center" vertical="center"/>
    </xf>
    <xf numFmtId="1" fontId="18" fillId="6" borderId="12" xfId="9" applyNumberFormat="1" applyFont="1" applyFill="1" applyBorder="1" applyAlignment="1">
      <alignment horizontal="center" vertical="center"/>
    </xf>
    <xf numFmtId="166" fontId="18" fillId="6" borderId="8" xfId="9" applyNumberFormat="1" applyFont="1" applyFill="1" applyBorder="1" applyAlignment="1">
      <alignment horizontal="center" vertical="center"/>
    </xf>
    <xf numFmtId="166" fontId="18" fillId="6" borderId="13" xfId="9" applyNumberFormat="1" applyFont="1" applyFill="1" applyBorder="1" applyAlignment="1">
      <alignment horizontal="center" vertical="center"/>
    </xf>
    <xf numFmtId="166" fontId="19" fillId="0" borderId="14" xfId="9" applyNumberFormat="1" applyFont="1" applyFill="1" applyBorder="1" applyAlignment="1">
      <alignment horizontal="center" vertical="center"/>
    </xf>
    <xf numFmtId="166" fontId="18" fillId="6" borderId="10" xfId="9" applyNumberFormat="1" applyFont="1" applyFill="1" applyBorder="1" applyAlignment="1">
      <alignment horizontal="center" vertical="center"/>
    </xf>
    <xf numFmtId="1" fontId="20" fillId="0" borderId="0" xfId="1" applyNumberFormat="1" applyFont="1" applyFill="1" applyBorder="1"/>
    <xf numFmtId="164" fontId="11" fillId="0" borderId="0" xfId="6" applyNumberFormat="1" applyFont="1" applyBorder="1"/>
    <xf numFmtId="166" fontId="16" fillId="7" borderId="9" xfId="8" applyNumberFormat="1" applyFont="1" applyFill="1" applyBorder="1"/>
    <xf numFmtId="166" fontId="16" fillId="7" borderId="0" xfId="8" applyNumberFormat="1" applyFont="1" applyFill="1" applyBorder="1"/>
    <xf numFmtId="9" fontId="16" fillId="7" borderId="0" xfId="2" applyFont="1" applyFill="1" applyBorder="1"/>
    <xf numFmtId="0" fontId="17" fillId="8" borderId="7" xfId="0" applyFont="1" applyFill="1" applyBorder="1" applyAlignment="1">
      <alignment horizontal="center" vertical="center"/>
    </xf>
    <xf numFmtId="0" fontId="10" fillId="8" borderId="0" xfId="0" applyFont="1" applyFill="1" applyAlignment="1">
      <alignment horizontal="left" vertical="top"/>
    </xf>
    <xf numFmtId="1" fontId="11" fillId="8" borderId="0" xfId="1" applyNumberFormat="1" applyFont="1" applyFill="1" applyBorder="1"/>
    <xf numFmtId="164" fontId="11" fillId="8" borderId="0" xfId="1" applyNumberFormat="1" applyFont="1" applyFill="1"/>
    <xf numFmtId="164" fontId="11" fillId="8" borderId="0" xfId="6" applyNumberFormat="1" applyFont="1" applyFill="1" applyBorder="1"/>
    <xf numFmtId="0" fontId="11" fillId="8" borderId="0" xfId="0" applyFont="1" applyFill="1"/>
    <xf numFmtId="43" fontId="11" fillId="8" borderId="0" xfId="1" applyFont="1" applyFill="1"/>
    <xf numFmtId="164" fontId="11" fillId="8" borderId="7" xfId="1" applyNumberFormat="1" applyFont="1" applyFill="1" applyBorder="1"/>
    <xf numFmtId="1" fontId="11" fillId="8" borderId="7" xfId="1" applyNumberFormat="1" applyFont="1" applyFill="1" applyBorder="1"/>
    <xf numFmtId="9" fontId="11" fillId="8" borderId="6" xfId="2" applyFont="1" applyFill="1" applyBorder="1"/>
    <xf numFmtId="9" fontId="6" fillId="8" borderId="0" xfId="2" applyFont="1" applyFill="1"/>
    <xf numFmtId="166" fontId="18" fillId="8" borderId="11" xfId="9" applyNumberFormat="1" applyFont="1" applyFill="1" applyBorder="1" applyAlignment="1">
      <alignment horizontal="center" vertical="center"/>
    </xf>
    <xf numFmtId="166" fontId="18" fillId="8" borderId="12" xfId="9" applyNumberFormat="1" applyFont="1" applyFill="1" applyBorder="1" applyAlignment="1">
      <alignment horizontal="center" vertical="center"/>
    </xf>
    <xf numFmtId="1" fontId="18" fillId="8" borderId="12" xfId="9" applyNumberFormat="1" applyFont="1" applyFill="1" applyBorder="1" applyAlignment="1">
      <alignment horizontal="center" vertical="center"/>
    </xf>
    <xf numFmtId="166" fontId="18" fillId="8" borderId="8" xfId="9" applyNumberFormat="1" applyFont="1" applyFill="1" applyBorder="1" applyAlignment="1">
      <alignment horizontal="center" vertical="center"/>
    </xf>
    <xf numFmtId="166" fontId="18" fillId="8" borderId="13" xfId="9" applyNumberFormat="1" applyFont="1" applyFill="1" applyBorder="1" applyAlignment="1">
      <alignment horizontal="center" vertical="center"/>
    </xf>
    <xf numFmtId="166" fontId="18" fillId="8" borderId="10" xfId="9" applyNumberFormat="1" applyFont="1" applyFill="1" applyBorder="1" applyAlignment="1">
      <alignment horizontal="center" vertical="center"/>
    </xf>
    <xf numFmtId="0" fontId="6" fillId="0" borderId="7" xfId="3" applyFont="1" applyBorder="1"/>
    <xf numFmtId="0" fontId="10" fillId="0" borderId="1" xfId="0" applyFont="1" applyBorder="1" applyAlignment="1">
      <alignment horizontal="left" vertical="top"/>
    </xf>
    <xf numFmtId="2" fontId="6" fillId="0" borderId="0" xfId="1" applyNumberFormat="1" applyFont="1" applyFill="1"/>
    <xf numFmtId="0" fontId="6" fillId="0" borderId="0" xfId="1" applyNumberFormat="1" applyFont="1"/>
    <xf numFmtId="0" fontId="6" fillId="0" borderId="0" xfId="1" applyNumberFormat="1" applyFont="1" applyFill="1"/>
    <xf numFmtId="0" fontId="6" fillId="0" borderId="7" xfId="1" applyNumberFormat="1" applyFont="1" applyBorder="1"/>
    <xf numFmtId="0" fontId="6" fillId="0" borderId="7" xfId="1" applyNumberFormat="1" applyFont="1" applyFill="1" applyBorder="1"/>
    <xf numFmtId="0" fontId="6" fillId="0" borderId="6" xfId="1" applyNumberFormat="1" applyFont="1" applyFill="1" applyBorder="1"/>
    <xf numFmtId="164" fontId="21" fillId="0" borderId="0" xfId="1" applyNumberFormat="1" applyFont="1"/>
    <xf numFmtId="166" fontId="6" fillId="0" borderId="9" xfId="8" applyNumberFormat="1" applyFont="1" applyBorder="1"/>
    <xf numFmtId="164" fontId="6" fillId="0" borderId="0" xfId="3" applyNumberFormat="1" applyFont="1"/>
    <xf numFmtId="166" fontId="14" fillId="9" borderId="7" xfId="9" applyNumberFormat="1" applyFont="1" applyFill="1" applyBorder="1" applyAlignment="1">
      <alignment horizontal="center" vertical="center"/>
    </xf>
    <xf numFmtId="166" fontId="14" fillId="9" borderId="3" xfId="9" applyNumberFormat="1" applyFont="1" applyFill="1" applyBorder="1" applyAlignment="1">
      <alignment horizontal="left" indent="1"/>
    </xf>
    <xf numFmtId="2" fontId="14" fillId="9" borderId="3" xfId="9" applyNumberFormat="1" applyFont="1" applyFill="1" applyBorder="1"/>
    <xf numFmtId="166" fontId="14" fillId="9" borderId="3" xfId="9" applyNumberFormat="1" applyFont="1" applyFill="1" applyBorder="1"/>
    <xf numFmtId="2" fontId="14" fillId="9" borderId="2" xfId="9" applyNumberFormat="1" applyFont="1" applyFill="1" applyBorder="1"/>
    <xf numFmtId="2" fontId="14" fillId="9" borderId="4" xfId="9" applyNumberFormat="1" applyFont="1" applyFill="1" applyBorder="1"/>
    <xf numFmtId="9" fontId="14" fillId="9" borderId="5" xfId="2" applyFont="1" applyFill="1" applyBorder="1"/>
    <xf numFmtId="9" fontId="14" fillId="9" borderId="3" xfId="2" applyFont="1" applyFill="1" applyBorder="1"/>
    <xf numFmtId="165" fontId="18" fillId="4" borderId="3" xfId="9" applyFont="1" applyFill="1" applyBorder="1"/>
    <xf numFmtId="166" fontId="14" fillId="0" borderId="3" xfId="9" applyNumberFormat="1" applyFont="1" applyFill="1" applyBorder="1"/>
    <xf numFmtId="166" fontId="14" fillId="9" borderId="5" xfId="9" applyNumberFormat="1" applyFont="1" applyFill="1" applyBorder="1"/>
    <xf numFmtId="164" fontId="14" fillId="0" borderId="0" xfId="1" applyNumberFormat="1" applyFont="1" applyFill="1"/>
    <xf numFmtId="166" fontId="14" fillId="9" borderId="2" xfId="9" applyNumberFormat="1" applyFont="1" applyFill="1" applyBorder="1" applyAlignment="1"/>
    <xf numFmtId="166" fontId="14" fillId="9" borderId="3" xfId="9" applyNumberFormat="1" applyFont="1" applyFill="1" applyBorder="1" applyAlignment="1"/>
    <xf numFmtId="166" fontId="14" fillId="9" borderId="4" xfId="9" applyNumberFormat="1" applyFont="1" applyFill="1" applyBorder="1" applyAlignment="1"/>
    <xf numFmtId="166" fontId="14" fillId="0" borderId="0" xfId="9" applyNumberFormat="1" applyFont="1" applyFill="1"/>
    <xf numFmtId="166" fontId="6" fillId="0" borderId="0" xfId="9" applyNumberFormat="1" applyFont="1" applyAlignment="1">
      <alignment horizontal="center" vertical="center"/>
    </xf>
    <xf numFmtId="166" fontId="6" fillId="0" borderId="0" xfId="9" applyNumberFormat="1" applyFont="1" applyFill="1" applyAlignment="1">
      <alignment horizontal="left" vertical="center" indent="1"/>
    </xf>
    <xf numFmtId="2" fontId="6" fillId="0" borderId="0" xfId="9" applyNumberFormat="1" applyFont="1" applyFill="1" applyAlignment="1">
      <alignment horizontal="center" vertical="center"/>
    </xf>
    <xf numFmtId="166" fontId="6" fillId="0" borderId="0" xfId="9" applyNumberFormat="1" applyFont="1" applyFill="1" applyAlignment="1">
      <alignment horizontal="center" vertical="center"/>
    </xf>
    <xf numFmtId="166" fontId="22" fillId="0" borderId="0" xfId="9" applyNumberFormat="1" applyFont="1" applyAlignment="1">
      <alignment horizontal="center" vertical="center"/>
    </xf>
    <xf numFmtId="166" fontId="23" fillId="0" borderId="0" xfId="9" applyNumberFormat="1" applyFont="1" applyFill="1" applyAlignment="1">
      <alignment horizontal="center" vertical="center"/>
    </xf>
    <xf numFmtId="166" fontId="23" fillId="0" borderId="0" xfId="9" applyNumberFormat="1" applyFont="1" applyAlignment="1">
      <alignment horizontal="center" vertical="center"/>
    </xf>
    <xf numFmtId="165" fontId="23" fillId="0" borderId="0" xfId="9" applyFont="1" applyFill="1" applyAlignment="1">
      <alignment horizontal="center" vertical="center"/>
    </xf>
    <xf numFmtId="166" fontId="21" fillId="0" borderId="0" xfId="9" applyNumberFormat="1" applyFont="1" applyFill="1" applyAlignment="1">
      <alignment horizontal="center" vertical="center"/>
    </xf>
    <xf numFmtId="164" fontId="6" fillId="0" borderId="0" xfId="1" applyNumberFormat="1" applyFont="1" applyAlignment="1">
      <alignment horizontal="center" vertical="center"/>
    </xf>
    <xf numFmtId="164" fontId="22" fillId="0" borderId="0" xfId="1" applyNumberFormat="1" applyFont="1" applyFill="1" applyAlignment="1">
      <alignment horizontal="center" vertical="center"/>
    </xf>
    <xf numFmtId="166" fontId="24" fillId="0" borderId="0" xfId="9" applyNumberFormat="1" applyFont="1" applyAlignment="1">
      <alignment horizontal="center" vertical="center"/>
    </xf>
    <xf numFmtId="166" fontId="22" fillId="0" borderId="0" xfId="9" applyNumberFormat="1" applyFont="1" applyFill="1" applyAlignment="1">
      <alignment horizontal="left" vertical="top"/>
    </xf>
    <xf numFmtId="166" fontId="25" fillId="0" borderId="0" xfId="9" applyNumberFormat="1" applyFont="1" applyFill="1" applyAlignment="1">
      <alignment horizontal="center" vertical="center"/>
    </xf>
    <xf numFmtId="166" fontId="26" fillId="0" borderId="0" xfId="9" applyNumberFormat="1" applyFont="1" applyFill="1" applyAlignment="1">
      <alignment horizontal="center" vertical="center"/>
    </xf>
    <xf numFmtId="166" fontId="25" fillId="0" borderId="0" xfId="9" applyNumberFormat="1" applyFont="1" applyFill="1" applyAlignment="1">
      <alignment horizontal="left" vertical="top"/>
    </xf>
    <xf numFmtId="0" fontId="12" fillId="0" borderId="0" xfId="0" applyFont="1" applyAlignment="1">
      <alignment horizontal="left" indent="1"/>
    </xf>
    <xf numFmtId="2" fontId="6" fillId="0" borderId="0" xfId="3" applyNumberFormat="1" applyFont="1"/>
    <xf numFmtId="166" fontId="14" fillId="0" borderId="0" xfId="9" applyNumberFormat="1" applyFont="1" applyAlignment="1">
      <alignment horizontal="center" vertical="center"/>
    </xf>
    <xf numFmtId="166" fontId="14" fillId="0" borderId="0" xfId="9" applyNumberFormat="1" applyFont="1" applyAlignment="1">
      <alignment horizontal="center" vertical="center" wrapText="1"/>
    </xf>
    <xf numFmtId="166" fontId="14" fillId="0" borderId="0" xfId="9" applyNumberFormat="1" applyFont="1" applyFill="1" applyAlignment="1">
      <alignment horizontal="center" vertical="center" wrapText="1"/>
    </xf>
    <xf numFmtId="164" fontId="6" fillId="0" borderId="0" xfId="4" applyNumberFormat="1" applyFont="1"/>
    <xf numFmtId="9" fontId="6" fillId="0" borderId="0" xfId="5" applyFont="1"/>
    <xf numFmtId="165" fontId="6" fillId="0" borderId="0" xfId="3" applyNumberFormat="1" applyFont="1"/>
    <xf numFmtId="0" fontId="25" fillId="0" borderId="0" xfId="3" applyFont="1"/>
    <xf numFmtId="0" fontId="14" fillId="10" borderId="0" xfId="3" applyFont="1" applyFill="1"/>
    <xf numFmtId="164" fontId="6" fillId="10" borderId="0" xfId="10" applyNumberFormat="1" applyFont="1" applyFill="1"/>
    <xf numFmtId="9" fontId="6" fillId="10" borderId="0" xfId="11" applyFont="1" applyFill="1" applyAlignment="1">
      <alignment horizontal="center"/>
    </xf>
    <xf numFmtId="164" fontId="6" fillId="0" borderId="0" xfId="1" applyNumberFormat="1" applyFont="1" applyFill="1" applyAlignment="1">
      <alignment horizontal="center"/>
    </xf>
    <xf numFmtId="9" fontId="6" fillId="0" borderId="0" xfId="11" applyFont="1" applyFill="1" applyAlignment="1">
      <alignment horizontal="center"/>
    </xf>
    <xf numFmtId="0" fontId="14" fillId="11" borderId="0" xfId="3" applyFont="1" applyFill="1"/>
    <xf numFmtId="164" fontId="6" fillId="11" borderId="0" xfId="10" applyNumberFormat="1" applyFont="1" applyFill="1"/>
    <xf numFmtId="9" fontId="6" fillId="11" borderId="0" xfId="11" applyFont="1" applyFill="1" applyAlignment="1">
      <alignment horizontal="center"/>
    </xf>
    <xf numFmtId="2" fontId="22" fillId="0" borderId="0" xfId="3" applyNumberFormat="1" applyFont="1"/>
    <xf numFmtId="0" fontId="22" fillId="0" borderId="0" xfId="3" applyFont="1"/>
    <xf numFmtId="0" fontId="14" fillId="12" borderId="0" xfId="3" applyFont="1" applyFill="1"/>
    <xf numFmtId="164" fontId="6" fillId="12" borderId="0" xfId="10" applyNumberFormat="1" applyFont="1" applyFill="1"/>
    <xf numFmtId="9" fontId="6" fillId="12" borderId="0" xfId="11" applyFont="1" applyFill="1" applyAlignment="1">
      <alignment horizontal="center"/>
    </xf>
    <xf numFmtId="0" fontId="6" fillId="0" borderId="0" xfId="3" applyFont="1" applyAlignment="1">
      <alignment horizontal="left" indent="1"/>
    </xf>
    <xf numFmtId="0" fontId="30" fillId="0" borderId="0" xfId="0" applyFont="1"/>
    <xf numFmtId="0" fontId="31" fillId="13" borderId="15" xfId="0" applyFont="1" applyFill="1" applyBorder="1" applyAlignment="1">
      <alignment horizontal="left" vertical="top"/>
    </xf>
    <xf numFmtId="2" fontId="0" fillId="0" borderId="0" xfId="0" applyNumberFormat="1"/>
    <xf numFmtId="0" fontId="32" fillId="14" borderId="16" xfId="0" applyFont="1" applyFill="1" applyBorder="1" applyAlignment="1">
      <alignment horizontal="left" vertical="top" wrapText="1"/>
    </xf>
    <xf numFmtId="2" fontId="33" fillId="14" borderId="16" xfId="0" applyNumberFormat="1" applyFont="1" applyFill="1" applyBorder="1" applyAlignment="1">
      <alignment horizontal="left" vertical="top" wrapText="1"/>
    </xf>
    <xf numFmtId="167" fontId="31" fillId="13" borderId="15" xfId="0" applyNumberFormat="1" applyFont="1" applyFill="1" applyBorder="1" applyAlignment="1">
      <alignment horizontal="right" vertical="top"/>
    </xf>
    <xf numFmtId="1" fontId="31" fillId="13" borderId="15" xfId="0" applyNumberFormat="1" applyFont="1" applyFill="1" applyBorder="1" applyAlignment="1">
      <alignment horizontal="right" vertical="top"/>
    </xf>
    <xf numFmtId="168" fontId="31" fillId="13" borderId="15" xfId="0" applyNumberFormat="1" applyFont="1" applyFill="1" applyBorder="1" applyAlignment="1">
      <alignment horizontal="right" vertical="top"/>
    </xf>
    <xf numFmtId="9" fontId="31" fillId="13" borderId="15" xfId="0" applyNumberFormat="1" applyFont="1" applyFill="1" applyBorder="1" applyAlignment="1">
      <alignment horizontal="right" vertical="top"/>
    </xf>
    <xf numFmtId="2" fontId="31" fillId="13" borderId="15" xfId="0" applyNumberFormat="1" applyFont="1" applyFill="1" applyBorder="1" applyAlignment="1">
      <alignment horizontal="right" vertical="top"/>
    </xf>
    <xf numFmtId="0" fontId="34" fillId="0" borderId="0" xfId="0" applyFont="1" applyAlignment="1">
      <alignment horizontal="center" vertical="center" wrapText="1"/>
    </xf>
    <xf numFmtId="0" fontId="34" fillId="0" borderId="0" xfId="0" applyFont="1" applyAlignment="1">
      <alignment horizontal="left" vertical="center"/>
    </xf>
    <xf numFmtId="49" fontId="34" fillId="3" borderId="24" xfId="0" applyNumberFormat="1" applyFont="1" applyFill="1" applyBorder="1" applyAlignment="1">
      <alignment horizontal="center" vertical="center" wrapText="1"/>
    </xf>
    <xf numFmtId="1" fontId="34" fillId="3" borderId="24" xfId="0" applyNumberFormat="1" applyFont="1" applyFill="1" applyBorder="1" applyAlignment="1">
      <alignment horizontal="center" vertical="center" wrapText="1"/>
    </xf>
    <xf numFmtId="0" fontId="34" fillId="15" borderId="24" xfId="0" applyFont="1" applyFill="1" applyBorder="1" applyAlignment="1">
      <alignment horizontal="center" vertical="center" wrapText="1"/>
    </xf>
    <xf numFmtId="0" fontId="34" fillId="7" borderId="24" xfId="0" applyFont="1" applyFill="1" applyBorder="1" applyAlignment="1">
      <alignment horizontal="center" vertical="center" wrapText="1"/>
    </xf>
    <xf numFmtId="171" fontId="36" fillId="0" borderId="28" xfId="6" applyNumberFormat="1" applyFont="1" applyFill="1" applyBorder="1"/>
    <xf numFmtId="3" fontId="36" fillId="0" borderId="28" xfId="6" applyNumberFormat="1" applyFont="1" applyFill="1" applyBorder="1"/>
    <xf numFmtId="3" fontId="36" fillId="0" borderId="28" xfId="6" applyNumberFormat="1" applyFont="1" applyBorder="1"/>
    <xf numFmtId="4" fontId="36" fillId="0" borderId="28" xfId="6" applyNumberFormat="1" applyFont="1" applyBorder="1"/>
    <xf numFmtId="4" fontId="36" fillId="0" borderId="28" xfId="6" applyNumberFormat="1" applyFont="1" applyFill="1" applyBorder="1"/>
    <xf numFmtId="4" fontId="34" fillId="0" borderId="28" xfId="6" applyNumberFormat="1" applyFont="1" applyBorder="1"/>
    <xf numFmtId="4" fontId="36" fillId="2" borderId="28" xfId="6" applyNumberFormat="1" applyFont="1" applyFill="1" applyBorder="1"/>
    <xf numFmtId="4" fontId="36" fillId="4" borderId="28" xfId="6" applyNumberFormat="1" applyFont="1" applyFill="1" applyBorder="1"/>
    <xf numFmtId="9" fontId="36" fillId="0" borderId="0" xfId="11" applyFont="1" applyBorder="1"/>
    <xf numFmtId="172" fontId="36" fillId="0" borderId="0" xfId="12" applyNumberFormat="1" applyFont="1" applyBorder="1"/>
    <xf numFmtId="170" fontId="37" fillId="0" borderId="28" xfId="6" applyNumberFormat="1" applyFont="1" applyFill="1" applyBorder="1"/>
    <xf numFmtId="4" fontId="38" fillId="0" borderId="28" xfId="6" applyNumberFormat="1" applyFont="1" applyFill="1" applyBorder="1"/>
    <xf numFmtId="49" fontId="34" fillId="0" borderId="31" xfId="0" applyNumberFormat="1" applyFont="1" applyBorder="1" applyAlignment="1">
      <alignment horizontal="left" vertical="center"/>
    </xf>
    <xf numFmtId="49" fontId="39" fillId="0" borderId="31" xfId="0" applyNumberFormat="1" applyFont="1" applyBorder="1" applyAlignment="1">
      <alignment horizontal="center" vertical="center"/>
    </xf>
    <xf numFmtId="0" fontId="39" fillId="0" borderId="31" xfId="0" applyFont="1" applyBorder="1" applyAlignment="1">
      <alignment horizontal="center" vertical="center"/>
    </xf>
    <xf numFmtId="172" fontId="34" fillId="0" borderId="31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49" fontId="36" fillId="0" borderId="0" xfId="0" applyNumberFormat="1" applyFont="1"/>
    <xf numFmtId="0" fontId="36" fillId="0" borderId="0" xfId="0" applyFont="1" applyAlignment="1">
      <alignment horizontal="center"/>
    </xf>
    <xf numFmtId="0" fontId="36" fillId="0" borderId="0" xfId="0" applyFont="1"/>
    <xf numFmtId="0" fontId="34" fillId="0" borderId="0" xfId="13" applyFont="1" applyAlignment="1">
      <alignment horizontal="left" vertical="center"/>
    </xf>
    <xf numFmtId="172" fontId="36" fillId="0" borderId="0" xfId="0" applyNumberFormat="1" applyFont="1"/>
    <xf numFmtId="49" fontId="36" fillId="0" borderId="0" xfId="0" applyNumberFormat="1" applyFont="1" applyAlignment="1">
      <alignment horizontal="center"/>
    </xf>
    <xf numFmtId="0" fontId="36" fillId="0" borderId="0" xfId="0" applyFont="1" applyAlignment="1">
      <alignment horizontal="right" vertical="center"/>
    </xf>
    <xf numFmtId="9" fontId="34" fillId="0" borderId="0" xfId="11" applyFont="1" applyAlignment="1">
      <alignment horizontal="center" vertical="center"/>
    </xf>
    <xf numFmtId="164" fontId="36" fillId="0" borderId="0" xfId="11" applyNumberFormat="1" applyFont="1" applyAlignment="1">
      <alignment horizontal="center" vertical="center"/>
    </xf>
    <xf numFmtId="9" fontId="36" fillId="0" borderId="0" xfId="11" applyFont="1" applyBorder="1" applyAlignment="1">
      <alignment horizontal="center"/>
    </xf>
    <xf numFmtId="4" fontId="36" fillId="12" borderId="28" xfId="6" applyNumberFormat="1" applyFont="1" applyFill="1" applyBorder="1"/>
    <xf numFmtId="2" fontId="14" fillId="4" borderId="3" xfId="9" applyNumberFormat="1" applyFont="1" applyFill="1" applyBorder="1"/>
    <xf numFmtId="166" fontId="20" fillId="0" borderId="0" xfId="9" applyNumberFormat="1" applyFont="1" applyAlignment="1">
      <alignment horizontal="center" vertical="center"/>
    </xf>
    <xf numFmtId="0" fontId="41" fillId="0" borderId="35" xfId="0" applyFont="1" applyBorder="1" applyAlignment="1">
      <alignment horizontal="center" vertical="center" wrapText="1"/>
    </xf>
    <xf numFmtId="0" fontId="40" fillId="18" borderId="36" xfId="0" applyFont="1" applyFill="1" applyBorder="1" applyAlignment="1">
      <alignment horizontal="center" vertical="center" wrapText="1"/>
    </xf>
    <xf numFmtId="0" fontId="42" fillId="0" borderId="35" xfId="0" applyFont="1" applyBorder="1" applyAlignment="1">
      <alignment horizontal="center" vertical="center" wrapText="1"/>
    </xf>
    <xf numFmtId="0" fontId="40" fillId="19" borderId="36" xfId="0" applyFont="1" applyFill="1" applyBorder="1" applyAlignment="1">
      <alignment horizontal="center" vertical="center" wrapText="1"/>
    </xf>
    <xf numFmtId="0" fontId="42" fillId="0" borderId="37" xfId="0" applyFont="1" applyBorder="1" applyAlignment="1">
      <alignment vertical="top" wrapText="1"/>
    </xf>
    <xf numFmtId="1" fontId="42" fillId="0" borderId="0" xfId="0" applyNumberFormat="1" applyFont="1" applyAlignment="1">
      <alignment horizontal="center" vertical="center" wrapText="1"/>
    </xf>
    <xf numFmtId="9" fontId="42" fillId="0" borderId="0" xfId="0" applyNumberFormat="1" applyFont="1" applyAlignment="1">
      <alignment horizontal="center" vertical="center" wrapText="1"/>
    </xf>
    <xf numFmtId="0" fontId="42" fillId="0" borderId="0" xfId="0" applyFont="1" applyAlignment="1">
      <alignment horizontal="center" vertical="center"/>
    </xf>
    <xf numFmtId="1" fontId="41" fillId="0" borderId="0" xfId="0" applyNumberFormat="1" applyFont="1" applyAlignment="1">
      <alignment horizontal="center" vertical="center" wrapText="1"/>
    </xf>
    <xf numFmtId="9" fontId="41" fillId="0" borderId="0" xfId="0" applyNumberFormat="1" applyFont="1" applyAlignment="1">
      <alignment horizontal="center" vertical="center" wrapText="1"/>
    </xf>
    <xf numFmtId="0" fontId="43" fillId="13" borderId="15" xfId="0" applyFont="1" applyFill="1" applyBorder="1" applyAlignment="1">
      <alignment horizontal="left" vertical="top"/>
    </xf>
    <xf numFmtId="0" fontId="44" fillId="14" borderId="16" xfId="0" applyFont="1" applyFill="1" applyBorder="1" applyAlignment="1">
      <alignment horizontal="left" vertical="top" wrapText="1"/>
    </xf>
    <xf numFmtId="2" fontId="45" fillId="14" borderId="16" xfId="0" applyNumberFormat="1" applyFont="1" applyFill="1" applyBorder="1" applyAlignment="1">
      <alignment horizontal="left" vertical="top" wrapText="1"/>
    </xf>
    <xf numFmtId="167" fontId="43" fillId="13" borderId="15" xfId="0" applyNumberFormat="1" applyFont="1" applyFill="1" applyBorder="1" applyAlignment="1">
      <alignment horizontal="right" vertical="top"/>
    </xf>
    <xf numFmtId="1" fontId="43" fillId="13" borderId="15" xfId="0" applyNumberFormat="1" applyFont="1" applyFill="1" applyBorder="1" applyAlignment="1">
      <alignment horizontal="right" vertical="top"/>
    </xf>
    <xf numFmtId="168" fontId="43" fillId="13" borderId="15" xfId="0" applyNumberFormat="1" applyFont="1" applyFill="1" applyBorder="1" applyAlignment="1">
      <alignment horizontal="right" vertical="top"/>
    </xf>
    <xf numFmtId="9" fontId="43" fillId="13" borderId="15" xfId="0" applyNumberFormat="1" applyFont="1" applyFill="1" applyBorder="1" applyAlignment="1">
      <alignment horizontal="right" vertical="top"/>
    </xf>
    <xf numFmtId="2" fontId="43" fillId="13" borderId="15" xfId="0" applyNumberFormat="1" applyFont="1" applyFill="1" applyBorder="1" applyAlignment="1">
      <alignment horizontal="right" vertical="top"/>
    </xf>
    <xf numFmtId="10" fontId="34" fillId="0" borderId="0" xfId="11" applyNumberFormat="1" applyFont="1" applyAlignment="1">
      <alignment horizontal="center" vertical="center"/>
    </xf>
    <xf numFmtId="10" fontId="34" fillId="0" borderId="0" xfId="11" applyNumberFormat="1" applyFont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0" fontId="34" fillId="16" borderId="18" xfId="0" applyFont="1" applyFill="1" applyBorder="1" applyAlignment="1">
      <alignment horizontal="center" vertical="center" wrapText="1"/>
    </xf>
    <xf numFmtId="0" fontId="34" fillId="16" borderId="24" xfId="0" applyFont="1" applyFill="1" applyBorder="1" applyAlignment="1">
      <alignment horizontal="center" vertical="center" wrapText="1"/>
    </xf>
    <xf numFmtId="9" fontId="34" fillId="0" borderId="0" xfId="11" applyFont="1" applyBorder="1" applyAlignment="1">
      <alignment horizontal="center" vertical="center" wrapText="1"/>
    </xf>
    <xf numFmtId="0" fontId="34" fillId="17" borderId="22" xfId="0" applyFont="1" applyFill="1" applyBorder="1" applyAlignment="1">
      <alignment horizontal="center" vertical="center" wrapText="1"/>
    </xf>
    <xf numFmtId="0" fontId="34" fillId="17" borderId="25" xfId="0" applyFont="1" applyFill="1" applyBorder="1" applyAlignment="1">
      <alignment horizontal="center" vertical="center" wrapText="1"/>
    </xf>
    <xf numFmtId="0" fontId="34" fillId="17" borderId="18" xfId="0" applyFont="1" applyFill="1" applyBorder="1" applyAlignment="1">
      <alignment horizontal="center" vertical="center" wrapText="1"/>
    </xf>
    <xf numFmtId="0" fontId="34" fillId="17" borderId="24" xfId="0" applyFont="1" applyFill="1" applyBorder="1" applyAlignment="1">
      <alignment horizontal="center" vertical="center" wrapText="1"/>
    </xf>
    <xf numFmtId="49" fontId="36" fillId="2" borderId="27" xfId="0" applyNumberFormat="1" applyFont="1" applyFill="1" applyBorder="1" applyAlignment="1">
      <alignment horizontal="center" vertical="center"/>
    </xf>
    <xf numFmtId="49" fontId="36" fillId="2" borderId="7" xfId="0" applyNumberFormat="1" applyFont="1" applyFill="1" applyBorder="1" applyAlignment="1">
      <alignment horizontal="center" vertical="center"/>
    </xf>
    <xf numFmtId="2" fontId="34" fillId="12" borderId="29" xfId="0" applyNumberFormat="1" applyFont="1" applyFill="1" applyBorder="1" applyAlignment="1">
      <alignment horizontal="center" vertical="center"/>
    </xf>
    <xf numFmtId="2" fontId="34" fillId="12" borderId="30" xfId="0" applyNumberFormat="1" applyFont="1" applyFill="1" applyBorder="1" applyAlignment="1">
      <alignment horizontal="center" vertical="center"/>
    </xf>
    <xf numFmtId="0" fontId="34" fillId="12" borderId="18" xfId="0" applyFont="1" applyFill="1" applyBorder="1" applyAlignment="1">
      <alignment horizontal="center" vertical="center" wrapText="1"/>
    </xf>
    <xf numFmtId="0" fontId="34" fillId="12" borderId="24" xfId="0" applyFont="1" applyFill="1" applyBorder="1" applyAlignment="1">
      <alignment horizontal="center" vertical="center" wrapText="1"/>
    </xf>
    <xf numFmtId="0" fontId="34" fillId="12" borderId="23" xfId="0" applyFont="1" applyFill="1" applyBorder="1" applyAlignment="1">
      <alignment horizontal="center" vertical="center" wrapText="1"/>
    </xf>
    <xf numFmtId="0" fontId="34" fillId="12" borderId="26" xfId="0" applyFont="1" applyFill="1" applyBorder="1" applyAlignment="1">
      <alignment horizontal="center" vertical="center" wrapText="1"/>
    </xf>
    <xf numFmtId="0" fontId="34" fillId="0" borderId="0" xfId="0" applyFont="1" applyAlignment="1">
      <alignment horizontal="center" vertical="center" wrapText="1"/>
    </xf>
    <xf numFmtId="0" fontId="34" fillId="5" borderId="18" xfId="0" applyFont="1" applyFill="1" applyBorder="1" applyAlignment="1">
      <alignment horizontal="center" vertical="center" wrapText="1"/>
    </xf>
    <xf numFmtId="0" fontId="34" fillId="5" borderId="24" xfId="0" applyFont="1" applyFill="1" applyBorder="1" applyAlignment="1">
      <alignment horizontal="center" vertical="center" wrapText="1"/>
    </xf>
    <xf numFmtId="0" fontId="34" fillId="3" borderId="17" xfId="0" applyFont="1" applyFill="1" applyBorder="1" applyAlignment="1">
      <alignment horizontal="center" vertical="center" wrapText="1"/>
    </xf>
    <xf numFmtId="0" fontId="34" fillId="3" borderId="18" xfId="0" applyFont="1" applyFill="1" applyBorder="1" applyAlignment="1">
      <alignment horizontal="center" vertical="center" wrapText="1"/>
    </xf>
    <xf numFmtId="0" fontId="35" fillId="3" borderId="18" xfId="0" applyFont="1" applyFill="1" applyBorder="1" applyAlignment="1">
      <alignment horizontal="center" vertical="center" wrapText="1"/>
    </xf>
    <xf numFmtId="0" fontId="35" fillId="3" borderId="24" xfId="0" applyFont="1" applyFill="1" applyBorder="1" applyAlignment="1">
      <alignment horizontal="center" vertical="center" wrapText="1"/>
    </xf>
    <xf numFmtId="0" fontId="34" fillId="15" borderId="19" xfId="0" applyFont="1" applyFill="1" applyBorder="1" applyAlignment="1">
      <alignment horizontal="center" vertical="center" wrapText="1"/>
    </xf>
    <xf numFmtId="0" fontId="34" fillId="15" borderId="20" xfId="0" applyFont="1" applyFill="1" applyBorder="1" applyAlignment="1">
      <alignment horizontal="center" vertical="center" wrapText="1"/>
    </xf>
    <xf numFmtId="0" fontId="34" fillId="15" borderId="21" xfId="0" applyFont="1" applyFill="1" applyBorder="1" applyAlignment="1">
      <alignment horizontal="center" vertical="center" wrapText="1"/>
    </xf>
    <xf numFmtId="0" fontId="34" fillId="7" borderId="18" xfId="0" applyFont="1" applyFill="1" applyBorder="1" applyAlignment="1">
      <alignment horizontal="center" vertical="center" wrapText="1"/>
    </xf>
    <xf numFmtId="0" fontId="40" fillId="6" borderId="32" xfId="0" applyFont="1" applyFill="1" applyBorder="1" applyAlignment="1">
      <alignment horizontal="center" vertical="center" wrapText="1"/>
    </xf>
    <xf numFmtId="0" fontId="40" fillId="6" borderId="33" xfId="0" applyFont="1" applyFill="1" applyBorder="1" applyAlignment="1">
      <alignment horizontal="center" vertical="center" wrapText="1"/>
    </xf>
    <xf numFmtId="0" fontId="40" fillId="6" borderId="34" xfId="0" applyFont="1" applyFill="1" applyBorder="1" applyAlignment="1">
      <alignment horizontal="center" vertical="center" wrapText="1"/>
    </xf>
    <xf numFmtId="0" fontId="40" fillId="20" borderId="32" xfId="0" applyFont="1" applyFill="1" applyBorder="1" applyAlignment="1">
      <alignment horizontal="center" vertical="center" wrapText="1"/>
    </xf>
    <xf numFmtId="0" fontId="40" fillId="20" borderId="33" xfId="0" applyFont="1" applyFill="1" applyBorder="1" applyAlignment="1">
      <alignment horizontal="center" vertical="center" wrapText="1"/>
    </xf>
    <xf numFmtId="0" fontId="40" fillId="20" borderId="34" xfId="0" applyFont="1" applyFill="1" applyBorder="1" applyAlignment="1">
      <alignment horizontal="center" vertical="center" wrapText="1"/>
    </xf>
    <xf numFmtId="0" fontId="11" fillId="0" borderId="0" xfId="3" applyFont="1" applyAlignment="1">
      <alignment vertical="center"/>
    </xf>
    <xf numFmtId="0" fontId="11" fillId="2" borderId="0" xfId="3" applyFont="1" applyFill="1" applyAlignment="1">
      <alignment horizontal="left" vertical="center" wrapText="1"/>
    </xf>
    <xf numFmtId="171" fontId="36" fillId="0" borderId="38" xfId="6" applyNumberFormat="1" applyFont="1" applyFill="1" applyBorder="1"/>
    <xf numFmtId="170" fontId="37" fillId="0" borderId="38" xfId="6" applyNumberFormat="1" applyFont="1" applyFill="1" applyBorder="1"/>
    <xf numFmtId="3" fontId="36" fillId="0" borderId="38" xfId="6" applyNumberFormat="1" applyFont="1" applyFill="1" applyBorder="1"/>
    <xf numFmtId="3" fontId="36" fillId="0" borderId="38" xfId="6" applyNumberFormat="1" applyFont="1" applyBorder="1"/>
    <xf numFmtId="4" fontId="36" fillId="0" borderId="38" xfId="6" applyNumberFormat="1" applyFont="1" applyBorder="1"/>
    <xf numFmtId="4" fontId="36" fillId="0" borderId="38" xfId="6" applyNumberFormat="1" applyFont="1" applyFill="1" applyBorder="1"/>
    <xf numFmtId="4" fontId="34" fillId="0" borderId="38" xfId="6" applyNumberFormat="1" applyFont="1" applyBorder="1"/>
    <xf numFmtId="4" fontId="36" fillId="2" borderId="38" xfId="6" applyNumberFormat="1" applyFont="1" applyFill="1" applyBorder="1"/>
    <xf numFmtId="4" fontId="36" fillId="4" borderId="38" xfId="6" applyNumberFormat="1" applyFont="1" applyFill="1" applyBorder="1"/>
    <xf numFmtId="4" fontId="36" fillId="12" borderId="38" xfId="6" applyNumberFormat="1" applyFont="1" applyFill="1" applyBorder="1"/>
    <xf numFmtId="2" fontId="34" fillId="12" borderId="39" xfId="0" applyNumberFormat="1" applyFont="1" applyFill="1" applyBorder="1" applyAlignment="1">
      <alignment horizontal="center" vertical="center"/>
    </xf>
    <xf numFmtId="172" fontId="34" fillId="0" borderId="41" xfId="0" applyNumberFormat="1" applyFont="1" applyBorder="1" applyAlignment="1">
      <alignment horizontal="center" vertical="center"/>
    </xf>
    <xf numFmtId="2" fontId="34" fillId="12" borderId="42" xfId="0" applyNumberFormat="1" applyFont="1" applyFill="1" applyBorder="1" applyAlignment="1">
      <alignment horizontal="center" vertical="center"/>
    </xf>
    <xf numFmtId="2" fontId="34" fillId="12" borderId="40" xfId="0" applyNumberFormat="1" applyFont="1" applyFill="1" applyBorder="1" applyAlignment="1">
      <alignment horizontal="center" vertical="center"/>
    </xf>
    <xf numFmtId="171" fontId="34" fillId="0" borderId="31" xfId="0" applyNumberFormat="1" applyFont="1" applyBorder="1" applyAlignment="1">
      <alignment horizontal="center" vertical="center"/>
    </xf>
    <xf numFmtId="10" fontId="36" fillId="0" borderId="0" xfId="11" applyNumberFormat="1" applyFont="1" applyBorder="1"/>
    <xf numFmtId="49" fontId="34" fillId="0" borderId="0" xfId="0" applyNumberFormat="1" applyFont="1"/>
    <xf numFmtId="0" fontId="34" fillId="0" borderId="0" xfId="0" applyFont="1" applyAlignment="1">
      <alignment horizontal="center"/>
    </xf>
    <xf numFmtId="170" fontId="34" fillId="0" borderId="0" xfId="0" applyNumberFormat="1" applyFont="1"/>
    <xf numFmtId="0" fontId="34" fillId="0" borderId="0" xfId="0" applyFont="1"/>
    <xf numFmtId="9" fontId="34" fillId="0" borderId="0" xfId="11" applyFont="1" applyBorder="1"/>
  </cellXfs>
  <cellStyles count="14">
    <cellStyle name="Денежный" xfId="12" builtinId="4"/>
    <cellStyle name="Обычный" xfId="0" builtinId="0"/>
    <cellStyle name="Обычный 2 2" xfId="3" xr:uid="{38DA9CA5-DFD3-4B68-A769-D0502B404420}"/>
    <cellStyle name="Обычный 4" xfId="13" xr:uid="{7714517D-A9B9-439C-B441-322E43993EE3}"/>
    <cellStyle name="Процентный" xfId="2" builtinId="5"/>
    <cellStyle name="Процентный 2" xfId="11" xr:uid="{D21BEA6F-73B2-40AD-98F6-6F9D0232B824}"/>
    <cellStyle name="Процентный 2 2" xfId="5" xr:uid="{BA59E09F-6892-4FF8-A864-628F7D831FED}"/>
    <cellStyle name="Финансовый" xfId="1" builtinId="3"/>
    <cellStyle name="Финансовый 2" xfId="6" xr:uid="{6816A2C3-0C1F-4E9C-BE6D-4666BD4DE44A}"/>
    <cellStyle name="Финансовый 2 2" xfId="4" xr:uid="{DFEC7DC0-63BC-414A-8615-D457EF65F6AA}"/>
    <cellStyle name="Финансовый 3" xfId="8" xr:uid="{411F00A3-9278-4A83-8948-0659CF82BA12}"/>
    <cellStyle name="Финансовый 3 2" xfId="9" xr:uid="{D1C69070-059F-4865-AF14-BD138F01ADF9}"/>
    <cellStyle name="Финансовый 8 2" xfId="7" xr:uid="{4CB5344B-5A02-44CC-A569-5E073C1FEDD3}"/>
    <cellStyle name="Финансовый 8 2 2 2" xfId="10" xr:uid="{09F9421A-D25D-4A9B-882D-BAB14FD7F567}"/>
  </cellStyles>
  <dxfs count="159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  <dxf>
      <fill>
        <patternFill>
          <bgColor theme="9" tint="0.79998168889431442"/>
        </patternFill>
      </fill>
    </dxf>
    <dxf>
      <fill>
        <patternFill>
          <bgColor theme="7" tint="0.79998168889431442"/>
        </patternFill>
      </fill>
    </dxf>
    <dxf>
      <fill>
        <patternFill>
          <bgColor rgb="FFFF999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comments" Target="../comments5.xml"/><Relationship Id="rId2" Type="http://schemas.openxmlformats.org/officeDocument/2006/relationships/vmlDrawing" Target="../drawings/vmlDrawing5.vml"/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comments" Target="../comments6.xml"/><Relationship Id="rId2" Type="http://schemas.openxmlformats.org/officeDocument/2006/relationships/vmlDrawing" Target="../drawings/vmlDrawing6.vml"/><Relationship Id="rId1" Type="http://schemas.openxmlformats.org/officeDocument/2006/relationships/printerSettings" Target="../printerSettings/printerSettings6.bin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7.xml"/><Relationship Id="rId2" Type="http://schemas.openxmlformats.org/officeDocument/2006/relationships/vmlDrawing" Target="../drawings/vmlDrawing7.vml"/><Relationship Id="rId1" Type="http://schemas.openxmlformats.org/officeDocument/2006/relationships/printerSettings" Target="../printerSettings/printerSettings7.bin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comments" Target="../comments8.xml"/><Relationship Id="rId2" Type="http://schemas.openxmlformats.org/officeDocument/2006/relationships/vmlDrawing" Target="../drawings/vmlDrawing8.vml"/><Relationship Id="rId1" Type="http://schemas.openxmlformats.org/officeDocument/2006/relationships/printerSettings" Target="../printerSettings/printerSettings8.bin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comments" Target="../comments9.xml"/><Relationship Id="rId2" Type="http://schemas.openxmlformats.org/officeDocument/2006/relationships/vmlDrawing" Target="../drawings/vmlDrawing9.v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2BE8D8-986A-4CAA-9C79-6C68A948A10B}">
  <dimension ref="A1:AE17"/>
  <sheetViews>
    <sheetView tabSelected="1" zoomScale="60" zoomScaleNormal="60" workbookViewId="0">
      <selection activeCell="H23" sqref="H23"/>
    </sheetView>
  </sheetViews>
  <sheetFormatPr defaultColWidth="12.08984375" defaultRowHeight="13.5" outlineLevelCol="1"/>
  <cols>
    <col min="1" max="1" width="12.453125" style="204" customWidth="1"/>
    <col min="2" max="2" width="13.81640625" style="204" customWidth="1"/>
    <col min="3" max="3" width="5.7265625" style="205" customWidth="1"/>
    <col min="4" max="4" width="17" style="206" customWidth="1"/>
    <col min="5" max="5" width="10.453125" style="206" customWidth="1"/>
    <col min="6" max="6" width="11.1796875" style="206" customWidth="1"/>
    <col min="7" max="7" width="12.08984375" style="206"/>
    <col min="8" max="8" width="14.36328125" style="206" customWidth="1"/>
    <col min="9" max="9" width="13.26953125" style="206" customWidth="1"/>
    <col min="10" max="10" width="16.26953125" style="206" customWidth="1"/>
    <col min="11" max="13" width="16.54296875" style="206" customWidth="1"/>
    <col min="14" max="14" width="11.36328125" style="206" hidden="1" customWidth="1" outlineLevel="1"/>
    <col min="15" max="15" width="19.7265625" style="206" hidden="1" customWidth="1" outlineLevel="1"/>
    <col min="16" max="16" width="10.26953125" style="206" hidden="1" customWidth="1" outlineLevel="1"/>
    <col min="17" max="17" width="15.81640625" style="206" bestFit="1" customWidth="1" collapsed="1"/>
    <col min="18" max="18" width="13.7265625" style="206" customWidth="1"/>
    <col min="19" max="20" width="12.6328125" style="206" customWidth="1"/>
    <col min="21" max="21" width="13.7265625" style="206" customWidth="1"/>
    <col min="22" max="23" width="14.36328125" style="206" customWidth="1"/>
    <col min="24" max="24" width="15.7265625" style="206" customWidth="1"/>
    <col min="25" max="26" width="16.90625" style="206" customWidth="1"/>
    <col min="27" max="27" width="18.26953125" style="206" customWidth="1"/>
    <col min="28" max="28" width="19.54296875" style="195" customWidth="1"/>
    <col min="29" max="30" width="18.26953125" style="195" customWidth="1"/>
    <col min="31" max="16384" width="12.08984375" style="206"/>
  </cols>
  <sheetData>
    <row r="1" spans="1:31" s="181" customFormat="1" ht="22" customHeight="1">
      <c r="A1" s="256" t="s">
        <v>344</v>
      </c>
      <c r="B1" s="257"/>
      <c r="C1" s="257"/>
      <c r="D1" s="258" t="s">
        <v>345</v>
      </c>
      <c r="E1" s="260" t="s">
        <v>346</v>
      </c>
      <c r="F1" s="261"/>
      <c r="G1" s="262"/>
      <c r="H1" s="263" t="s">
        <v>101</v>
      </c>
      <c r="I1" s="263"/>
      <c r="J1" s="263"/>
      <c r="K1" s="238" t="s">
        <v>21</v>
      </c>
      <c r="L1" s="254" t="s">
        <v>347</v>
      </c>
      <c r="M1" s="254" t="s">
        <v>348</v>
      </c>
      <c r="N1" s="254" t="s">
        <v>349</v>
      </c>
      <c r="O1" s="254" t="s">
        <v>350</v>
      </c>
      <c r="P1" s="254" t="s">
        <v>27</v>
      </c>
      <c r="Q1" s="254" t="s">
        <v>351</v>
      </c>
      <c r="R1" s="241" t="s">
        <v>352</v>
      </c>
      <c r="S1" s="243" t="s">
        <v>353</v>
      </c>
      <c r="T1" s="241" t="s">
        <v>354</v>
      </c>
      <c r="U1" s="243" t="s">
        <v>355</v>
      </c>
      <c r="V1" s="241" t="s">
        <v>1348</v>
      </c>
      <c r="W1" s="241" t="s">
        <v>1349</v>
      </c>
      <c r="X1" s="238" t="s">
        <v>356</v>
      </c>
      <c r="Y1" s="249" t="s">
        <v>357</v>
      </c>
      <c r="Z1" s="251" t="s">
        <v>358</v>
      </c>
      <c r="AA1" s="253" t="s">
        <v>359</v>
      </c>
      <c r="AB1" s="240" t="s">
        <v>35</v>
      </c>
      <c r="AC1" s="240" t="s">
        <v>36</v>
      </c>
      <c r="AD1" s="240" t="s">
        <v>360</v>
      </c>
    </row>
    <row r="2" spans="1:31" s="181" customFormat="1" ht="25.5" customHeight="1" thickBot="1">
      <c r="A2" s="183" t="s">
        <v>361</v>
      </c>
      <c r="B2" s="183" t="s">
        <v>362</v>
      </c>
      <c r="C2" s="184" t="s">
        <v>363</v>
      </c>
      <c r="D2" s="259"/>
      <c r="E2" s="185" t="s">
        <v>364</v>
      </c>
      <c r="F2" s="185" t="s">
        <v>100</v>
      </c>
      <c r="G2" s="185" t="s">
        <v>166</v>
      </c>
      <c r="H2" s="186" t="s">
        <v>100</v>
      </c>
      <c r="I2" s="186" t="s">
        <v>166</v>
      </c>
      <c r="J2" s="186" t="s">
        <v>365</v>
      </c>
      <c r="K2" s="239"/>
      <c r="L2" s="255"/>
      <c r="M2" s="255"/>
      <c r="N2" s="255"/>
      <c r="O2" s="255"/>
      <c r="P2" s="255"/>
      <c r="Q2" s="255"/>
      <c r="R2" s="242"/>
      <c r="S2" s="244"/>
      <c r="T2" s="242"/>
      <c r="U2" s="244"/>
      <c r="V2" s="242"/>
      <c r="W2" s="242"/>
      <c r="X2" s="239"/>
      <c r="Y2" s="250"/>
      <c r="Z2" s="252"/>
      <c r="AA2" s="253"/>
      <c r="AB2" s="240"/>
      <c r="AC2" s="240"/>
      <c r="AD2" s="240"/>
    </row>
    <row r="3" spans="1:31" s="196" customFormat="1">
      <c r="A3" s="245" t="s">
        <v>366</v>
      </c>
      <c r="B3" s="187" t="s">
        <v>368</v>
      </c>
      <c r="C3" s="187"/>
      <c r="D3" s="197">
        <f>J3-SUM(L3:T3)+U3+V3</f>
        <v>1074.7100000000064</v>
      </c>
      <c r="E3" s="187">
        <f>'Юнит 01-04.01'!K$24</f>
        <v>122</v>
      </c>
      <c r="F3" s="187">
        <f>'Юнит 01-04.01'!P$24</f>
        <v>51</v>
      </c>
      <c r="G3" s="187">
        <f>'Юнит 01-04.01'!Q$24</f>
        <v>1</v>
      </c>
      <c r="H3" s="188">
        <f>'Юнит 01-04.01'!S$24</f>
        <v>85937</v>
      </c>
      <c r="I3" s="189">
        <f>'Юнит 01-04.01'!T$24</f>
        <v>-1600</v>
      </c>
      <c r="J3" s="189">
        <f>H3+I3</f>
        <v>84337</v>
      </c>
      <c r="K3" s="190">
        <f>'Юнит 01-04.01'!W$24</f>
        <v>6252.96</v>
      </c>
      <c r="L3" s="191">
        <f>'Юнит 01-04.01'!Z$24</f>
        <v>8548.619999999999</v>
      </c>
      <c r="M3" s="190">
        <f>'Юнит 01-04.01'!X$24</f>
        <v>36264.910000000003</v>
      </c>
      <c r="N3" s="190"/>
      <c r="O3" s="192"/>
      <c r="P3" s="190"/>
      <c r="Q3" s="193">
        <f>'Юнит 01-04.01'!AA$24</f>
        <v>36772.949999999997</v>
      </c>
      <c r="R3" s="191">
        <v>1675.81</v>
      </c>
      <c r="S3" s="191">
        <v>0</v>
      </c>
      <c r="T3" s="191">
        <v>0</v>
      </c>
      <c r="U3" s="193"/>
      <c r="V3" s="191"/>
      <c r="W3" s="191">
        <v>5252</v>
      </c>
      <c r="X3" s="194">
        <f>(J3)*0.01</f>
        <v>843.37</v>
      </c>
      <c r="Y3" s="214">
        <f>J3-SUM(L3:T3)-K3-X3+U3-V3+W3</f>
        <v>-769.61999999999352</v>
      </c>
      <c r="Z3" s="247">
        <f>SUM(Y3:Y7)</f>
        <v>43931.01000000014</v>
      </c>
      <c r="AA3" s="287">
        <f t="shared" ref="AA3:AA7" si="0">K3/J3</f>
        <v>7.4142547161981098E-2</v>
      </c>
      <c r="AB3" s="287">
        <f t="shared" ref="AB3:AB7" si="1">Y3/K3</f>
        <v>-0.12308090888155265</v>
      </c>
      <c r="AC3" s="287">
        <f t="shared" ref="AC3:AC7" si="2">Y3/J3</f>
        <v>-9.1255320914900174E-3</v>
      </c>
      <c r="AD3" s="287">
        <f t="shared" ref="AD3:AD13" si="3">Q3/J3</f>
        <v>0.4360239278134152</v>
      </c>
    </row>
    <row r="4" spans="1:31" s="196" customFormat="1">
      <c r="A4" s="246"/>
      <c r="B4" s="187" t="s">
        <v>337</v>
      </c>
      <c r="C4" s="187"/>
      <c r="D4" s="197">
        <f>J4-SUM(L4:T4)+U4+V4</f>
        <v>57707.570000000094</v>
      </c>
      <c r="E4" s="187">
        <f>'Юнит 05-11.01'!K$24</f>
        <v>183</v>
      </c>
      <c r="F4" s="187">
        <f>'Юнит 05-11.01'!P$24</f>
        <v>168</v>
      </c>
      <c r="G4" s="187">
        <f>'Юнит 05-11.01'!Q$24</f>
        <v>8</v>
      </c>
      <c r="H4" s="188">
        <f>'Юнит 05-11.01'!S$24</f>
        <v>277715</v>
      </c>
      <c r="I4" s="189">
        <f>'Юнит 05-11.01'!T$24</f>
        <v>-13822</v>
      </c>
      <c r="J4" s="189">
        <f t="shared" ref="J4:J7" si="4">H4+I4</f>
        <v>263893</v>
      </c>
      <c r="K4" s="190">
        <f>'Юнит 05-11.01'!W$24</f>
        <v>20205.96</v>
      </c>
      <c r="L4" s="191">
        <f>'Юнит 05-11.01'!Z$24</f>
        <v>28076.329999999991</v>
      </c>
      <c r="M4" s="190">
        <f>'Юнит 05-11.01'!X$24</f>
        <v>113473.98999999993</v>
      </c>
      <c r="N4" s="190"/>
      <c r="O4" s="192"/>
      <c r="P4" s="190"/>
      <c r="Q4" s="193">
        <f>'Юнит 05-11.01'!AA$24</f>
        <v>56365.38</v>
      </c>
      <c r="R4" s="191">
        <v>4144.33</v>
      </c>
      <c r="S4" s="191">
        <v>75</v>
      </c>
      <c r="T4" s="191">
        <v>4050.4</v>
      </c>
      <c r="U4" s="193"/>
      <c r="V4" s="191"/>
      <c r="W4" s="191"/>
      <c r="X4" s="194">
        <f>(J4)*0.01</f>
        <v>2638.93</v>
      </c>
      <c r="Y4" s="214">
        <f t="shared" ref="Y4:Y7" si="5">J4-SUM(L4:T4)-K4-X4+U4-V4+W4</f>
        <v>34862.680000000095</v>
      </c>
      <c r="Z4" s="248"/>
      <c r="AA4" s="287">
        <f t="shared" si="0"/>
        <v>7.6568760823515589E-2</v>
      </c>
      <c r="AB4" s="287">
        <f t="shared" si="1"/>
        <v>1.725366179087759</v>
      </c>
      <c r="AC4" s="287">
        <f t="shared" si="2"/>
        <v>0.13210915029955358</v>
      </c>
      <c r="AD4" s="287">
        <f t="shared" si="3"/>
        <v>0.21359179667516759</v>
      </c>
    </row>
    <row r="5" spans="1:31" s="196" customFormat="1">
      <c r="A5" s="246"/>
      <c r="B5" s="187" t="s">
        <v>51</v>
      </c>
      <c r="C5" s="187"/>
      <c r="D5" s="197">
        <f t="shared" ref="D5" si="6">J5-SUM(L5:T5)+U5+V5</f>
        <v>36064.149999999994</v>
      </c>
      <c r="E5" s="187">
        <f>'Юнит 12-18.01'!K$24</f>
        <v>144</v>
      </c>
      <c r="F5" s="187">
        <f>'Юнит 12-18.01'!P$24</f>
        <v>122</v>
      </c>
      <c r="G5" s="187">
        <f>'Юнит 12-18.01'!Q$24</f>
        <v>2</v>
      </c>
      <c r="H5" s="188">
        <f>'Юнит 12-18.01'!S$24</f>
        <v>211029</v>
      </c>
      <c r="I5" s="189">
        <f>'Юнит 12-18.01'!T$24</f>
        <v>-3221</v>
      </c>
      <c r="J5" s="189">
        <f t="shared" si="4"/>
        <v>207808</v>
      </c>
      <c r="K5" s="190">
        <f>'Юнит 12-18.01'!W$24</f>
        <v>15093.09</v>
      </c>
      <c r="L5" s="191">
        <f>'Юнит 12-18.01'!Z$24</f>
        <v>24172.28</v>
      </c>
      <c r="M5" s="190">
        <f>'Юнит 12-18.01'!X$24</f>
        <v>89357.439999999988</v>
      </c>
      <c r="N5" s="190"/>
      <c r="O5" s="192"/>
      <c r="P5" s="190"/>
      <c r="Q5" s="193">
        <f>'Юнит 12-18.01'!AA$24</f>
        <v>53249.120000000003</v>
      </c>
      <c r="R5" s="191">
        <v>4025.01</v>
      </c>
      <c r="S5" s="191">
        <v>0</v>
      </c>
      <c r="T5" s="191">
        <v>940</v>
      </c>
      <c r="U5" s="193"/>
      <c r="V5" s="198"/>
      <c r="W5" s="191">
        <v>5135</v>
      </c>
      <c r="X5" s="194">
        <f>(J5)*0.01</f>
        <v>2078.08</v>
      </c>
      <c r="Y5" s="214">
        <f t="shared" si="5"/>
        <v>24027.979999999996</v>
      </c>
      <c r="Z5" s="248"/>
      <c r="AA5" s="287">
        <f t="shared" si="0"/>
        <v>7.2629975746843239E-2</v>
      </c>
      <c r="AB5" s="287">
        <f t="shared" si="1"/>
        <v>1.5919854714972212</v>
      </c>
      <c r="AC5" s="287">
        <f t="shared" si="2"/>
        <v>0.11562586618416998</v>
      </c>
      <c r="AD5" s="287">
        <f t="shared" si="3"/>
        <v>0.25624191561441334</v>
      </c>
    </row>
    <row r="6" spans="1:31" s="196" customFormat="1">
      <c r="A6" s="246"/>
      <c r="B6" s="187" t="s">
        <v>369</v>
      </c>
      <c r="C6" s="187"/>
      <c r="D6" s="197">
        <f>J6-SUM(L6:T6)+U6+V6</f>
        <v>34413.469999999987</v>
      </c>
      <c r="E6" s="187">
        <f>'Юнит 19-25.01'!K$24</f>
        <v>154</v>
      </c>
      <c r="F6" s="187">
        <f>'Юнит 19-25.01'!P$24</f>
        <v>91</v>
      </c>
      <c r="G6" s="187">
        <f>'Юнит 19-25.01'!Q$24</f>
        <v>2</v>
      </c>
      <c r="H6" s="188">
        <f>'Юнит 19-25.01'!S$24</f>
        <v>161208</v>
      </c>
      <c r="I6" s="189">
        <f>'Юнит 19-25.01'!T$24</f>
        <v>-3229</v>
      </c>
      <c r="J6" s="189">
        <f t="shared" si="4"/>
        <v>157979</v>
      </c>
      <c r="K6" s="190">
        <f>'Юнит 19-25.01'!W$24</f>
        <v>11132.49</v>
      </c>
      <c r="L6" s="191">
        <f>'Юнит 19-25.01'!Z$24</f>
        <v>16989.460000000003</v>
      </c>
      <c r="M6" s="190">
        <f>'Юнит 19-25.01'!X$24</f>
        <v>67930.97</v>
      </c>
      <c r="N6" s="190"/>
      <c r="O6" s="192"/>
      <c r="P6" s="190"/>
      <c r="Q6" s="193">
        <f>'Юнит 19-25.01'!AA$24</f>
        <v>42151.21</v>
      </c>
      <c r="R6" s="191">
        <v>3468.89</v>
      </c>
      <c r="S6" s="191">
        <v>25</v>
      </c>
      <c r="T6" s="191">
        <v>0</v>
      </c>
      <c r="U6" s="193"/>
      <c r="V6" s="198">
        <v>7000</v>
      </c>
      <c r="W6" s="191"/>
      <c r="X6" s="194">
        <f>(J6)*0.01</f>
        <v>1579.79</v>
      </c>
      <c r="Y6" s="214">
        <f t="shared" si="5"/>
        <v>7701.1899999999878</v>
      </c>
      <c r="Z6" s="248"/>
      <c r="AA6" s="287">
        <f t="shared" si="0"/>
        <v>7.0468163490084126E-2</v>
      </c>
      <c r="AB6" s="287">
        <f t="shared" si="1"/>
        <v>0.69177605369508421</v>
      </c>
      <c r="AC6" s="287">
        <f t="shared" si="2"/>
        <v>4.8748188050310406E-2</v>
      </c>
      <c r="AD6" s="287">
        <f>Q6/J6</f>
        <v>0.26681527291602047</v>
      </c>
    </row>
    <row r="7" spans="1:31" s="196" customFormat="1">
      <c r="A7" s="246"/>
      <c r="B7" s="272" t="s">
        <v>339</v>
      </c>
      <c r="C7" s="272"/>
      <c r="D7" s="273">
        <f>J7-SUM(L7:T7)+U7+V7</f>
        <v>-6035.0999999999476</v>
      </c>
      <c r="E7" s="272">
        <f>'Юнит 26-31.01'!K$24</f>
        <v>200</v>
      </c>
      <c r="F7" s="272">
        <f>'Юнит 26-31.01'!P$24</f>
        <v>112</v>
      </c>
      <c r="G7" s="272">
        <f>'Юнит 26-31.01'!Q$24</f>
        <v>2</v>
      </c>
      <c r="H7" s="274">
        <f>'Юнит 26-31.01'!S$24</f>
        <v>200558.00000000006</v>
      </c>
      <c r="I7" s="275">
        <f>'Юнит 26-31.01'!T$24</f>
        <v>-3595</v>
      </c>
      <c r="J7" s="275">
        <f t="shared" si="4"/>
        <v>196963.00000000006</v>
      </c>
      <c r="K7" s="276">
        <f>'Юнит 26-31.01'!W$24</f>
        <v>13886.49</v>
      </c>
      <c r="L7" s="277">
        <f>'Юнит 26-31.01'!Z$24</f>
        <v>20843.549999999992</v>
      </c>
      <c r="M7" s="276">
        <f>'Юнит 26-31.01'!X$24</f>
        <v>84694.09</v>
      </c>
      <c r="N7" s="276"/>
      <c r="O7" s="278"/>
      <c r="P7" s="276"/>
      <c r="Q7" s="279">
        <f>'Юнит 26-31.01'!AA$24</f>
        <v>50770.67</v>
      </c>
      <c r="R7" s="277">
        <v>3661.19</v>
      </c>
      <c r="S7" s="277">
        <v>150</v>
      </c>
      <c r="T7" s="277">
        <v>43993.599999999999</v>
      </c>
      <c r="U7" s="279">
        <v>1115</v>
      </c>
      <c r="V7" s="277"/>
      <c r="W7" s="277"/>
      <c r="X7" s="280">
        <f>(J7)*0.01</f>
        <v>1969.6300000000006</v>
      </c>
      <c r="Y7" s="281">
        <f t="shared" si="5"/>
        <v>-21891.219999999947</v>
      </c>
      <c r="Z7" s="282"/>
      <c r="AA7" s="287">
        <f>(K7+K8)/(J7+J8)</f>
        <v>7.0282074177319923E-2</v>
      </c>
      <c r="AB7" s="287">
        <f>(Y7+Y8)/(K7+K8)</f>
        <v>-0.76300763957705875</v>
      </c>
      <c r="AC7" s="287">
        <f>(Y7+Y8)/(J7+J8)</f>
        <v>-5.3625759522616626E-2</v>
      </c>
      <c r="AD7" s="287">
        <f>(Q7+Q8)/(J7+J8)</f>
        <v>0.25406002134285766</v>
      </c>
      <c r="AE7" s="287"/>
    </row>
    <row r="8" spans="1:31" s="196" customFormat="1">
      <c r="A8" s="237"/>
      <c r="B8" s="187" t="s">
        <v>1391</v>
      </c>
      <c r="C8" s="187"/>
      <c r="D8" s="197">
        <f>J8-SUM(L8:T8)+U8+V8</f>
        <v>7323.9900000000052</v>
      </c>
      <c r="E8" s="187">
        <f>'Юнит 01.02'!K$24</f>
        <v>36</v>
      </c>
      <c r="F8" s="187">
        <f>'Юнит 01.02'!P$24</f>
        <v>19</v>
      </c>
      <c r="G8" s="187">
        <f>'Юнит 01.02'!Q$24</f>
        <v>1</v>
      </c>
      <c r="H8" s="188">
        <f>'Юнит 01.02'!S$24</f>
        <v>34372.000000000007</v>
      </c>
      <c r="I8" s="189">
        <f>'Юнит 01.02'!T$24</f>
        <v>-1750</v>
      </c>
      <c r="J8" s="189">
        <f>H8+I8</f>
        <v>32622.000000000007</v>
      </c>
      <c r="K8" s="190">
        <f>'Юнит 01.02'!W$24</f>
        <v>2249.2200000000003</v>
      </c>
      <c r="L8" s="191">
        <f>'Юнит 01.02'!Z$24</f>
        <v>3179.52</v>
      </c>
      <c r="M8" s="190">
        <f>'Юнит 01.02'!X$24</f>
        <v>14027.46</v>
      </c>
      <c r="N8" s="190"/>
      <c r="O8" s="192"/>
      <c r="P8" s="190"/>
      <c r="Q8" s="193">
        <f>'Юнит 01.02'!AA$24</f>
        <v>7557.7</v>
      </c>
      <c r="R8" s="191">
        <v>533.33000000000004</v>
      </c>
      <c r="S8" s="191"/>
      <c r="T8" s="191"/>
      <c r="U8" s="193"/>
      <c r="V8" s="191"/>
      <c r="W8" s="191">
        <v>4831</v>
      </c>
      <c r="X8" s="194">
        <f>(J8)*0.01</f>
        <v>326.22000000000008</v>
      </c>
      <c r="Y8" s="214">
        <f>J8-SUM(L8:T8)-K8-X8+U8-V8+W8</f>
        <v>9579.5500000000047</v>
      </c>
      <c r="Z8" s="284">
        <f>SUM(Y8:Y12)</f>
        <v>9579.5500000000047</v>
      </c>
      <c r="AA8" s="287"/>
      <c r="AB8" s="287"/>
      <c r="AC8" s="287"/>
      <c r="AD8" s="287"/>
    </row>
    <row r="9" spans="1:31" s="196" customFormat="1">
      <c r="A9" s="237"/>
      <c r="B9" s="187" t="s">
        <v>1395</v>
      </c>
      <c r="C9" s="187"/>
      <c r="D9" s="197"/>
      <c r="E9" s="187"/>
      <c r="F9" s="187"/>
      <c r="G9" s="187"/>
      <c r="H9" s="188"/>
      <c r="I9" s="189"/>
      <c r="J9" s="189"/>
      <c r="K9" s="190"/>
      <c r="L9" s="191"/>
      <c r="M9" s="190"/>
      <c r="N9" s="190"/>
      <c r="O9" s="192"/>
      <c r="P9" s="190"/>
      <c r="Q9" s="193"/>
      <c r="R9" s="191"/>
      <c r="S9" s="191"/>
      <c r="T9" s="191"/>
      <c r="U9" s="193"/>
      <c r="V9" s="191"/>
      <c r="W9" s="191"/>
      <c r="X9" s="194"/>
      <c r="Y9" s="214"/>
      <c r="Z9" s="248"/>
      <c r="AA9" s="287" t="e">
        <f t="shared" ref="AA8:AA12" si="7">K9/J9</f>
        <v>#DIV/0!</v>
      </c>
      <c r="AB9" s="287" t="e">
        <f t="shared" ref="AB8:AB12" si="8">Y9/K9</f>
        <v>#DIV/0!</v>
      </c>
      <c r="AC9" s="287" t="e">
        <f t="shared" ref="AC8:AC12" si="9">Y9/J9</f>
        <v>#DIV/0!</v>
      </c>
      <c r="AD9" s="287" t="e">
        <f t="shared" ref="AD8:AD12" si="10">Q9/J9</f>
        <v>#DIV/0!</v>
      </c>
    </row>
    <row r="10" spans="1:31" s="196" customFormat="1">
      <c r="A10" s="237"/>
      <c r="B10" s="187" t="s">
        <v>1392</v>
      </c>
      <c r="C10" s="187"/>
      <c r="D10" s="197"/>
      <c r="E10" s="187"/>
      <c r="F10" s="187"/>
      <c r="G10" s="187"/>
      <c r="H10" s="188"/>
      <c r="I10" s="189"/>
      <c r="J10" s="189"/>
      <c r="K10" s="190"/>
      <c r="L10" s="191"/>
      <c r="M10" s="190"/>
      <c r="N10" s="190"/>
      <c r="O10" s="192"/>
      <c r="P10" s="190"/>
      <c r="Q10" s="193"/>
      <c r="R10" s="191"/>
      <c r="S10" s="191"/>
      <c r="T10" s="191"/>
      <c r="U10" s="193"/>
      <c r="V10" s="198"/>
      <c r="W10" s="191"/>
      <c r="X10" s="194"/>
      <c r="Y10" s="214"/>
      <c r="Z10" s="248"/>
      <c r="AA10" s="287" t="e">
        <f t="shared" si="7"/>
        <v>#DIV/0!</v>
      </c>
      <c r="AB10" s="287" t="e">
        <f t="shared" si="8"/>
        <v>#DIV/0!</v>
      </c>
      <c r="AC10" s="287" t="e">
        <f t="shared" si="9"/>
        <v>#DIV/0!</v>
      </c>
      <c r="AD10" s="287" t="e">
        <f t="shared" si="10"/>
        <v>#DIV/0!</v>
      </c>
    </row>
    <row r="11" spans="1:31" s="196" customFormat="1">
      <c r="A11" s="237"/>
      <c r="B11" s="187" t="s">
        <v>1393</v>
      </c>
      <c r="C11" s="187"/>
      <c r="D11" s="197"/>
      <c r="E11" s="187"/>
      <c r="F11" s="187"/>
      <c r="G11" s="187"/>
      <c r="H11" s="188"/>
      <c r="I11" s="189"/>
      <c r="J11" s="189"/>
      <c r="K11" s="190"/>
      <c r="L11" s="191"/>
      <c r="M11" s="190"/>
      <c r="N11" s="190"/>
      <c r="O11" s="192"/>
      <c r="P11" s="190"/>
      <c r="Q11" s="193"/>
      <c r="R11" s="191"/>
      <c r="S11" s="191"/>
      <c r="T11" s="191"/>
      <c r="U11" s="193"/>
      <c r="V11" s="198"/>
      <c r="W11" s="191"/>
      <c r="X11" s="194"/>
      <c r="Y11" s="214"/>
      <c r="Z11" s="248"/>
      <c r="AA11" s="287" t="e">
        <f t="shared" si="7"/>
        <v>#DIV/0!</v>
      </c>
      <c r="AB11" s="287" t="e">
        <f t="shared" si="8"/>
        <v>#DIV/0!</v>
      </c>
      <c r="AC11" s="287" t="e">
        <f t="shared" si="9"/>
        <v>#DIV/0!</v>
      </c>
      <c r="AD11" s="287" t="e">
        <f t="shared" si="10"/>
        <v>#DIV/0!</v>
      </c>
    </row>
    <row r="12" spans="1:31" s="196" customFormat="1" ht="14" thickBot="1">
      <c r="A12" s="237"/>
      <c r="B12" s="272" t="s">
        <v>1394</v>
      </c>
      <c r="C12" s="272"/>
      <c r="D12" s="273"/>
      <c r="E12" s="272"/>
      <c r="F12" s="272"/>
      <c r="G12" s="272"/>
      <c r="H12" s="274"/>
      <c r="I12" s="275"/>
      <c r="J12" s="275"/>
      <c r="K12" s="276"/>
      <c r="L12" s="277"/>
      <c r="M12" s="276"/>
      <c r="N12" s="276"/>
      <c r="O12" s="278"/>
      <c r="P12" s="276"/>
      <c r="Q12" s="279"/>
      <c r="R12" s="277"/>
      <c r="S12" s="277"/>
      <c r="T12" s="277"/>
      <c r="U12" s="279"/>
      <c r="V12" s="277"/>
      <c r="W12" s="277"/>
      <c r="X12" s="280"/>
      <c r="Y12" s="281"/>
      <c r="Z12" s="285"/>
      <c r="AA12" s="287" t="e">
        <f t="shared" si="7"/>
        <v>#DIV/0!</v>
      </c>
      <c r="AB12" s="287" t="e">
        <f t="shared" si="8"/>
        <v>#DIV/0!</v>
      </c>
      <c r="AC12" s="287" t="e">
        <f t="shared" si="9"/>
        <v>#DIV/0!</v>
      </c>
      <c r="AD12" s="287" t="e">
        <f t="shared" si="10"/>
        <v>#DIV/0!</v>
      </c>
    </row>
    <row r="13" spans="1:31" s="203" customFormat="1" ht="14" thickBot="1">
      <c r="A13" s="199" t="s">
        <v>357</v>
      </c>
      <c r="B13" s="200"/>
      <c r="C13" s="201"/>
      <c r="D13" s="202">
        <f>SUM(D3:D12)</f>
        <v>130548.79000000014</v>
      </c>
      <c r="E13" s="286">
        <f>SUM(E3:E12)</f>
        <v>839</v>
      </c>
      <c r="F13" s="286">
        <f>SUM(F3:F12)</f>
        <v>563</v>
      </c>
      <c r="G13" s="286">
        <f>SUM(G3:G12)</f>
        <v>16</v>
      </c>
      <c r="H13" s="202">
        <f>SUM(H3:H12)</f>
        <v>970819</v>
      </c>
      <c r="I13" s="202">
        <f>SUM(I3:I12)</f>
        <v>-27217</v>
      </c>
      <c r="J13" s="202">
        <f>SUM(J3:J12)</f>
        <v>943602</v>
      </c>
      <c r="K13" s="202">
        <f>SUM(K3:K12)</f>
        <v>68820.209999999992</v>
      </c>
      <c r="L13" s="202">
        <f>SUM(L3:L12)</f>
        <v>101809.75999999998</v>
      </c>
      <c r="M13" s="202">
        <f>SUM(M3:M12)</f>
        <v>405748.85999999993</v>
      </c>
      <c r="N13" s="202">
        <f>SUM(N3:N12)</f>
        <v>0</v>
      </c>
      <c r="O13" s="202">
        <f>SUM(O3:O12)</f>
        <v>0</v>
      </c>
      <c r="P13" s="202">
        <f>SUM(P3:P12)</f>
        <v>0</v>
      </c>
      <c r="Q13" s="202">
        <f>SUM(Q3:Q12)</f>
        <v>246867.02999999997</v>
      </c>
      <c r="R13" s="202">
        <f>SUM(R3:R12)</f>
        <v>17508.560000000001</v>
      </c>
      <c r="S13" s="202">
        <f>SUM(S3:S12)</f>
        <v>250</v>
      </c>
      <c r="T13" s="202">
        <f>SUM(T3:T12)</f>
        <v>48984</v>
      </c>
      <c r="U13" s="202">
        <f>SUM(U3:U12)</f>
        <v>1115</v>
      </c>
      <c r="V13" s="202">
        <f>SUM(V3:V12)</f>
        <v>7000</v>
      </c>
      <c r="W13" s="202">
        <f>SUM(W3:W12)</f>
        <v>15218</v>
      </c>
      <c r="X13" s="202">
        <f>SUM(X3:X12)</f>
        <v>9436.0199999999986</v>
      </c>
      <c r="Y13" s="202">
        <f>SUM(Y3:Y12)</f>
        <v>53510.560000000143</v>
      </c>
      <c r="Z13" s="283">
        <f>SUM(Z3:Z12)</f>
        <v>53510.560000000143</v>
      </c>
      <c r="AA13" s="236">
        <f>K13/J13</f>
        <v>7.2933514341851746E-2</v>
      </c>
      <c r="AB13" s="236">
        <f>Y13/K13</f>
        <v>0.777541364665992</v>
      </c>
      <c r="AC13" s="236">
        <f>Y13/J13</f>
        <v>5.6708824271250104E-2</v>
      </c>
      <c r="AD13" s="236">
        <f t="shared" si="3"/>
        <v>0.26162198681223647</v>
      </c>
    </row>
    <row r="14" spans="1:31">
      <c r="H14" s="207" t="s">
        <v>367</v>
      </c>
      <c r="J14" s="208"/>
      <c r="M14" s="208"/>
      <c r="R14" s="208"/>
      <c r="S14" s="208"/>
      <c r="T14" s="208"/>
      <c r="X14" s="208"/>
    </row>
    <row r="15" spans="1:31" s="205" customFormat="1">
      <c r="A15" s="209"/>
      <c r="B15" s="209"/>
      <c r="D15" s="210"/>
      <c r="E15" s="210"/>
      <c r="F15" s="210"/>
      <c r="G15" s="210"/>
      <c r="I15" s="211">
        <f>-I13/H13</f>
        <v>2.8035092020242701E-2</v>
      </c>
      <c r="J15" s="212">
        <v>0</v>
      </c>
      <c r="K15" s="235">
        <f>K13/$J$13</f>
        <v>7.2933514341851746E-2</v>
      </c>
      <c r="L15" s="235">
        <f>L13/$J$13</f>
        <v>0.10789481158369735</v>
      </c>
      <c r="M15" s="235">
        <f>M13/$J$13</f>
        <v>0.42999999999999994</v>
      </c>
      <c r="N15" s="235"/>
      <c r="O15" s="235"/>
      <c r="P15" s="235"/>
      <c r="Q15" s="235">
        <f>Q13/$J$13</f>
        <v>0.26162198681223647</v>
      </c>
      <c r="R15" s="235">
        <f t="shared" ref="R15:V15" si="11">R13/$J$13</f>
        <v>1.855502637764651E-2</v>
      </c>
      <c r="S15" s="235">
        <f t="shared" si="11"/>
        <v>2.6494221080497921E-4</v>
      </c>
      <c r="T15" s="235">
        <f t="shared" si="11"/>
        <v>5.1911717016284407E-2</v>
      </c>
      <c r="U15" s="235">
        <f t="shared" si="11"/>
        <v>1.1816422601902074E-3</v>
      </c>
      <c r="V15" s="235">
        <f t="shared" si="11"/>
        <v>7.4183819025394181E-3</v>
      </c>
      <c r="W15" s="235"/>
      <c r="X15" s="235">
        <f>X13/$J$13</f>
        <v>9.9999999999999985E-3</v>
      </c>
      <c r="Y15" s="211">
        <f>Y13/K13</f>
        <v>0.777541364665992</v>
      </c>
      <c r="Z15" s="182" t="s">
        <v>35</v>
      </c>
      <c r="AA15" s="236">
        <f>Y13/J13</f>
        <v>5.6708824271250104E-2</v>
      </c>
      <c r="AB15" s="213"/>
      <c r="AC15" s="213"/>
      <c r="AD15" s="213"/>
    </row>
    <row r="17" spans="1:31" s="291" customFormat="1">
      <c r="A17" s="288" t="s">
        <v>1396</v>
      </c>
      <c r="B17" s="288"/>
      <c r="C17" s="289"/>
      <c r="D17" s="290">
        <f>SUM(D3:D7)</f>
        <v>123224.80000000013</v>
      </c>
      <c r="E17" s="290">
        <f>SUM(E3:E7)</f>
        <v>803</v>
      </c>
      <c r="F17" s="290">
        <f t="shared" ref="F17:Z17" si="12">SUM(F3:F7)</f>
        <v>544</v>
      </c>
      <c r="G17" s="290">
        <f t="shared" si="12"/>
        <v>15</v>
      </c>
      <c r="H17" s="290">
        <f t="shared" si="12"/>
        <v>936447</v>
      </c>
      <c r="I17" s="290">
        <f t="shared" si="12"/>
        <v>-25467</v>
      </c>
      <c r="J17" s="290">
        <f t="shared" si="12"/>
        <v>910980</v>
      </c>
      <c r="K17" s="290">
        <f t="shared" si="12"/>
        <v>66570.989999999991</v>
      </c>
      <c r="L17" s="290">
        <f t="shared" si="12"/>
        <v>98630.239999999976</v>
      </c>
      <c r="M17" s="290">
        <f t="shared" si="12"/>
        <v>391721.39999999991</v>
      </c>
      <c r="N17" s="290">
        <f t="shared" si="12"/>
        <v>0</v>
      </c>
      <c r="O17" s="290">
        <f t="shared" si="12"/>
        <v>0</v>
      </c>
      <c r="P17" s="290">
        <f t="shared" si="12"/>
        <v>0</v>
      </c>
      <c r="Q17" s="290">
        <f t="shared" si="12"/>
        <v>239309.32999999996</v>
      </c>
      <c r="R17" s="290">
        <f t="shared" si="12"/>
        <v>16975.23</v>
      </c>
      <c r="S17" s="290">
        <f t="shared" si="12"/>
        <v>250</v>
      </c>
      <c r="T17" s="290">
        <f t="shared" si="12"/>
        <v>48984</v>
      </c>
      <c r="U17" s="290">
        <f t="shared" si="12"/>
        <v>1115</v>
      </c>
      <c r="V17" s="290">
        <f t="shared" si="12"/>
        <v>7000</v>
      </c>
      <c r="W17" s="290">
        <f t="shared" si="12"/>
        <v>10387</v>
      </c>
      <c r="X17" s="290">
        <f>SUM(X3:X7)</f>
        <v>9109.7999999999993</v>
      </c>
      <c r="Y17" s="290">
        <f>SUM(Y3:Y7)</f>
        <v>43931.01000000014</v>
      </c>
      <c r="Z17" s="290">
        <f t="shared" si="12"/>
        <v>43931.01000000014</v>
      </c>
      <c r="AA17" s="235"/>
      <c r="AC17" s="292"/>
      <c r="AD17" s="292"/>
      <c r="AE17" s="292"/>
    </row>
  </sheetData>
  <mergeCells count="27">
    <mergeCell ref="Z8:Z12"/>
    <mergeCell ref="A3:A7"/>
    <mergeCell ref="Z3:Z7"/>
    <mergeCell ref="Y1:Y2"/>
    <mergeCell ref="Z1:Z2"/>
    <mergeCell ref="AA1:AA2"/>
    <mergeCell ref="L1:L2"/>
    <mergeCell ref="M1:M2"/>
    <mergeCell ref="N1:N2"/>
    <mergeCell ref="O1:O2"/>
    <mergeCell ref="P1:P2"/>
    <mergeCell ref="Q1:Q2"/>
    <mergeCell ref="A1:C1"/>
    <mergeCell ref="D1:D2"/>
    <mergeCell ref="E1:G1"/>
    <mergeCell ref="H1:J1"/>
    <mergeCell ref="K1:K2"/>
    <mergeCell ref="AB1:AB2"/>
    <mergeCell ref="AC1:AC2"/>
    <mergeCell ref="AD1:AD2"/>
    <mergeCell ref="R1:R2"/>
    <mergeCell ref="S1:S2"/>
    <mergeCell ref="T1:T2"/>
    <mergeCell ref="U1:U2"/>
    <mergeCell ref="V1:V2"/>
    <mergeCell ref="X1:X2"/>
    <mergeCell ref="W1:W2"/>
  </mergeCells>
  <conditionalFormatting sqref="J2">
    <cfRule type="dataBar" priority="3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{1F2F356F-79C6-4BE6-957B-D8FF38EA8C81}</x14:id>
        </ext>
      </extLst>
    </cfRule>
  </conditionalFormatting>
  <conditionalFormatting sqref="AB13">
    <cfRule type="dataBar" priority="3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{645870F5-6FD4-4229-AD3B-8A3E33FF4DC6}</x14:id>
        </ext>
      </extLst>
    </cfRule>
  </conditionalFormatting>
  <conditionalFormatting sqref="AC13">
    <cfRule type="dataBar" priority="3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{C9A55042-5723-4A50-940D-25C15516074B}</x14:id>
        </ext>
      </extLst>
    </cfRule>
  </conditionalFormatting>
  <conditionalFormatting sqref="AD13">
    <cfRule type="dataBar" priority="39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{F0A2D929-69E0-4EC2-8114-51EF76F2B225}</x14:id>
        </ext>
      </extLst>
    </cfRule>
  </conditionalFormatting>
  <conditionalFormatting sqref="L5">
    <cfRule type="dataBar" priority="3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{8E1F77BC-31A8-425B-A33E-31BE3809354A}</x14:id>
        </ext>
      </extLst>
    </cfRule>
    <cfRule type="dataBar" priority="3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{7C408056-0141-46BD-9F5C-CBEA2DB53D05}</x14:id>
        </ext>
      </extLst>
    </cfRule>
  </conditionalFormatting>
  <conditionalFormatting sqref="M5">
    <cfRule type="dataBar" priority="3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{4C8FAFC6-6967-4BBA-A7F8-00C98DAB0143}</x14:id>
        </ext>
      </extLst>
    </cfRule>
    <cfRule type="dataBar" priority="38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{FB8C2ADD-2991-464C-B606-C5B6C6CD0F4D}</x14:id>
        </ext>
      </extLst>
    </cfRule>
  </conditionalFormatting>
  <conditionalFormatting sqref="L5">
    <cfRule type="dataBar" priority="3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{F97F402C-1250-47A3-ACCE-2AD68F68F346}</x14:id>
        </ext>
      </extLst>
    </cfRule>
  </conditionalFormatting>
  <conditionalFormatting sqref="M5">
    <cfRule type="dataBar" priority="3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{3FE52AB8-4E58-4B3C-89B8-E6312E735CB6}</x14:id>
        </ext>
      </extLst>
    </cfRule>
  </conditionalFormatting>
  <conditionalFormatting sqref="J5">
    <cfRule type="dataBar" priority="3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{D6E9CE30-228C-40B8-8BD9-FB69C3E814CF}</x14:id>
        </ext>
      </extLst>
    </cfRule>
    <cfRule type="dataBar" priority="3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{6E132232-8A3C-4CF2-A184-1598B17DDB3D}</x14:id>
        </ext>
      </extLst>
    </cfRule>
  </conditionalFormatting>
  <conditionalFormatting sqref="J5">
    <cfRule type="dataBar" priority="37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{E81B704D-07BE-432F-9CDE-8CE5F44FFF46}</x14:id>
        </ext>
      </extLst>
    </cfRule>
  </conditionalFormatting>
  <conditionalFormatting sqref="J5">
    <cfRule type="dataBar" priority="3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{F78F8736-2B96-4E41-B0AA-27578A650911}</x14:id>
        </ext>
      </extLst>
    </cfRule>
  </conditionalFormatting>
  <conditionalFormatting sqref="L5">
    <cfRule type="dataBar" priority="37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{E495321C-15CD-4F68-A5D8-B91B97EA6195}</x14:id>
        </ext>
      </extLst>
    </cfRule>
  </conditionalFormatting>
  <conditionalFormatting sqref="M5">
    <cfRule type="dataBar" priority="37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{F81A18C4-FB6E-449A-AB84-E2EA2AC25EE7}</x14:id>
        </ext>
      </extLst>
    </cfRule>
  </conditionalFormatting>
  <conditionalFormatting sqref="L5">
    <cfRule type="dataBar" priority="3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{5797FB19-F57B-4D96-BB86-AB3D75AA570C}</x14:id>
        </ext>
      </extLst>
    </cfRule>
  </conditionalFormatting>
  <conditionalFormatting sqref="M5">
    <cfRule type="dataBar" priority="3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{D7F1994D-68B6-41C5-BC98-6ADA51777E7A}</x14:id>
        </ext>
      </extLst>
    </cfRule>
  </conditionalFormatting>
  <conditionalFormatting sqref="J5">
    <cfRule type="dataBar" priority="3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{0C8FE368-2218-4A02-B5FF-E28F1D976582}</x14:id>
        </ext>
      </extLst>
    </cfRule>
  </conditionalFormatting>
  <conditionalFormatting sqref="J5">
    <cfRule type="dataBar" priority="36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{E90FE790-C91D-4F0E-888B-B28295A9E055}</x14:id>
        </ext>
      </extLst>
    </cfRule>
  </conditionalFormatting>
  <conditionalFormatting sqref="L5">
    <cfRule type="dataBar" priority="3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{B5510B8C-1535-4AE9-BCFD-3560C8D38F3C}</x14:id>
        </ext>
      </extLst>
    </cfRule>
  </conditionalFormatting>
  <conditionalFormatting sqref="M5">
    <cfRule type="dataBar" priority="3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{83E48341-F996-4CC1-8A01-C92267BAA416}</x14:id>
        </ext>
      </extLst>
    </cfRule>
  </conditionalFormatting>
  <conditionalFormatting sqref="J5">
    <cfRule type="dataBar" priority="3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{4CBDBA11-C32F-4E8A-A08E-7A0F9A36B53A}</x14:id>
        </ext>
      </extLst>
    </cfRule>
  </conditionalFormatting>
  <conditionalFormatting sqref="L5">
    <cfRule type="dataBar" priority="3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{F5E18C39-3A03-430F-8771-4BC93F2EB215}</x14:id>
        </ext>
      </extLst>
    </cfRule>
  </conditionalFormatting>
  <conditionalFormatting sqref="M5">
    <cfRule type="dataBar" priority="36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{F4E33070-F83D-4A91-982E-EE9550BACDB8}</x14:id>
        </ext>
      </extLst>
    </cfRule>
  </conditionalFormatting>
  <conditionalFormatting sqref="L5">
    <cfRule type="dataBar" priority="3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{58D79880-9DBE-4F95-8C74-9814AFEDF9D8}</x14:id>
        </ext>
      </extLst>
    </cfRule>
  </conditionalFormatting>
  <conditionalFormatting sqref="M5">
    <cfRule type="dataBar" priority="38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{B2BBE1D1-C785-4C90-A1D0-F88E7E938E2C}</x14:id>
        </ext>
      </extLst>
    </cfRule>
  </conditionalFormatting>
  <conditionalFormatting sqref="J5">
    <cfRule type="dataBar" priority="3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{E0D63BF9-4013-4233-8B5B-D4BC646B6204}</x14:id>
        </ext>
      </extLst>
    </cfRule>
  </conditionalFormatting>
  <conditionalFormatting sqref="L3">
    <cfRule type="dataBar" priority="3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{421E9CA1-62FD-4B5A-A343-30D5DDA22552}</x14:id>
        </ext>
      </extLst>
    </cfRule>
    <cfRule type="dataBar" priority="3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{8B2A46E9-C014-434F-ABEE-2D8F46FEC12D}</x14:id>
        </ext>
      </extLst>
    </cfRule>
  </conditionalFormatting>
  <conditionalFormatting sqref="M3">
    <cfRule type="dataBar" priority="33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{51E33208-5712-47A0-B0AC-CAE4F376B13A}</x14:id>
        </ext>
      </extLst>
    </cfRule>
    <cfRule type="dataBar" priority="33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{9FF29250-9B63-4D81-BF17-CBC688913EFC}</x14:id>
        </ext>
      </extLst>
    </cfRule>
  </conditionalFormatting>
  <conditionalFormatting sqref="L3">
    <cfRule type="dataBar" priority="3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{46E357F0-B0C9-427C-A741-04F7E679D174}</x14:id>
        </ext>
      </extLst>
    </cfRule>
  </conditionalFormatting>
  <conditionalFormatting sqref="M3">
    <cfRule type="dataBar" priority="3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{FCCDB189-FAA9-451C-A695-CE1299E74F15}</x14:id>
        </ext>
      </extLst>
    </cfRule>
  </conditionalFormatting>
  <conditionalFormatting sqref="J3">
    <cfRule type="dataBar" priority="3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{8A772360-76FB-46B7-96D4-F68FDDD6101A}</x14:id>
        </ext>
      </extLst>
    </cfRule>
    <cfRule type="dataBar" priority="3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{68DDC447-68E7-4792-A5A6-15B797999D32}</x14:id>
        </ext>
      </extLst>
    </cfRule>
  </conditionalFormatting>
  <conditionalFormatting sqref="J3">
    <cfRule type="dataBar" priority="3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{9F8D2AB4-7979-4753-ABFD-57590BB41181}</x14:id>
        </ext>
      </extLst>
    </cfRule>
  </conditionalFormatting>
  <conditionalFormatting sqref="J3">
    <cfRule type="dataBar" priority="3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{FA45F0C9-A0CB-41FB-BF2B-A6AF935D18C3}</x14:id>
        </ext>
      </extLst>
    </cfRule>
  </conditionalFormatting>
  <conditionalFormatting sqref="L3">
    <cfRule type="dataBar" priority="3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{D2C88A86-9109-4290-90D1-75DB9CC2C2CF}</x14:id>
        </ext>
      </extLst>
    </cfRule>
  </conditionalFormatting>
  <conditionalFormatting sqref="M3">
    <cfRule type="dataBar" priority="32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{92A549B3-791F-49A7-838B-6858C8C7E16A}</x14:id>
        </ext>
      </extLst>
    </cfRule>
  </conditionalFormatting>
  <conditionalFormatting sqref="L3">
    <cfRule type="dataBar" priority="3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{F07DF7BB-E23E-4409-BBE2-40A336BA9292}</x14:id>
        </ext>
      </extLst>
    </cfRule>
  </conditionalFormatting>
  <conditionalFormatting sqref="M3">
    <cfRule type="dataBar" priority="3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{CA287756-8F93-43F6-A4C1-C2E691AA6C4F}</x14:id>
        </ext>
      </extLst>
    </cfRule>
  </conditionalFormatting>
  <conditionalFormatting sqref="J3">
    <cfRule type="dataBar" priority="3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{5777368B-4960-4CC4-9844-B8DF401D5A89}</x14:id>
        </ext>
      </extLst>
    </cfRule>
  </conditionalFormatting>
  <conditionalFormatting sqref="J3">
    <cfRule type="dataBar" priority="31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{5BD7C9AB-A588-4D8E-A955-165B96A943A2}</x14:id>
        </ext>
      </extLst>
    </cfRule>
  </conditionalFormatting>
  <conditionalFormatting sqref="L3">
    <cfRule type="dataBar" priority="3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{50334781-9307-4883-82FE-E1D21614370C}</x14:id>
        </ext>
      </extLst>
    </cfRule>
  </conditionalFormatting>
  <conditionalFormatting sqref="M3">
    <cfRule type="dataBar" priority="3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{78D0F66E-D448-456B-BDD5-5DACDD6E5CD5}</x14:id>
        </ext>
      </extLst>
    </cfRule>
  </conditionalFormatting>
  <conditionalFormatting sqref="J3">
    <cfRule type="dataBar" priority="3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{229BC621-2216-47A1-9FF2-A77A9AFBF60B}</x14:id>
        </ext>
      </extLst>
    </cfRule>
  </conditionalFormatting>
  <conditionalFormatting sqref="L3">
    <cfRule type="dataBar" priority="3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{4890AE69-A598-4899-9589-C0019F789F97}</x14:id>
        </ext>
      </extLst>
    </cfRule>
  </conditionalFormatting>
  <conditionalFormatting sqref="M3">
    <cfRule type="dataBar" priority="31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{1FB1A7D3-D617-453E-A19E-2868373830EC}</x14:id>
        </ext>
      </extLst>
    </cfRule>
  </conditionalFormatting>
  <conditionalFormatting sqref="L3">
    <cfRule type="dataBar" priority="33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{D8A6D595-AA47-45DC-9BCF-37CB149742BD}</x14:id>
        </ext>
      </extLst>
    </cfRule>
  </conditionalFormatting>
  <conditionalFormatting sqref="M3">
    <cfRule type="dataBar" priority="33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{FDE065E1-7C92-4C4F-9F29-E2D7201DDE87}</x14:id>
        </ext>
      </extLst>
    </cfRule>
  </conditionalFormatting>
  <conditionalFormatting sqref="J3">
    <cfRule type="dataBar" priority="3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{E40CEA03-F23C-403A-AC17-3FBCC7378AE6}</x14:id>
        </ext>
      </extLst>
    </cfRule>
  </conditionalFormatting>
  <conditionalFormatting sqref="L4">
    <cfRule type="dataBar" priority="2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{9833E4FD-5EF7-4CBC-9B24-7602D025BD86}</x14:id>
        </ext>
      </extLst>
    </cfRule>
    <cfRule type="dataBar" priority="2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{F7531691-5DBD-47A7-AC03-588E805202AE}</x14:id>
        </ext>
      </extLst>
    </cfRule>
  </conditionalFormatting>
  <conditionalFormatting sqref="M4">
    <cfRule type="dataBar" priority="2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{EC9E2C7E-443D-465B-8CCD-1126E47617EE}</x14:id>
        </ext>
      </extLst>
    </cfRule>
    <cfRule type="dataBar" priority="28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{976BC0FF-0D3D-4A01-B330-3051B68FB70C}</x14:id>
        </ext>
      </extLst>
    </cfRule>
  </conditionalFormatting>
  <conditionalFormatting sqref="L4">
    <cfRule type="dataBar" priority="2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{C2AF229A-BF39-45C7-A9D0-96B69DDE84F4}</x14:id>
        </ext>
      </extLst>
    </cfRule>
  </conditionalFormatting>
  <conditionalFormatting sqref="M4">
    <cfRule type="dataBar" priority="2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{63E805B7-8788-4E5A-ABE8-49B3FFEE4604}</x14:id>
        </ext>
      </extLst>
    </cfRule>
  </conditionalFormatting>
  <conditionalFormatting sqref="J4">
    <cfRule type="dataBar" priority="2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{95A2E676-C5D8-4C99-982E-028F2D9163FC}</x14:id>
        </ext>
      </extLst>
    </cfRule>
    <cfRule type="dataBar" priority="2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{9A9DC288-E694-4E02-80CA-AB23D7BF821B}</x14:id>
        </ext>
      </extLst>
    </cfRule>
  </conditionalFormatting>
  <conditionalFormatting sqref="J4">
    <cfRule type="dataBar" priority="27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{8383F943-73F2-42DD-A2F5-344013AE2407}</x14:id>
        </ext>
      </extLst>
    </cfRule>
  </conditionalFormatting>
  <conditionalFormatting sqref="J4">
    <cfRule type="dataBar" priority="2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{FCFB2F72-08AA-47BC-8D23-797A46338E78}</x14:id>
        </ext>
      </extLst>
    </cfRule>
  </conditionalFormatting>
  <conditionalFormatting sqref="L4">
    <cfRule type="dataBar" priority="27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{9E921D6A-8947-423B-A75E-F0F6E78DA885}</x14:id>
        </ext>
      </extLst>
    </cfRule>
  </conditionalFormatting>
  <conditionalFormatting sqref="M4">
    <cfRule type="dataBar" priority="27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{1916C32A-E2A7-4408-AFFB-B93AB1EEBBDA}</x14:id>
        </ext>
      </extLst>
    </cfRule>
  </conditionalFormatting>
  <conditionalFormatting sqref="L4">
    <cfRule type="dataBar" priority="2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{1E96AAB9-02BE-426C-9CB2-1351D5054425}</x14:id>
        </ext>
      </extLst>
    </cfRule>
  </conditionalFormatting>
  <conditionalFormatting sqref="M4">
    <cfRule type="dataBar" priority="2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{0955E141-9363-4A8B-BF84-E5B10808B157}</x14:id>
        </ext>
      </extLst>
    </cfRule>
  </conditionalFormatting>
  <conditionalFormatting sqref="J4">
    <cfRule type="dataBar" priority="2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{06AE5DAA-17AC-4882-ACCD-40566AB426D0}</x14:id>
        </ext>
      </extLst>
    </cfRule>
  </conditionalFormatting>
  <conditionalFormatting sqref="J4">
    <cfRule type="dataBar" priority="27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{2757776D-9ED4-4270-97C9-E3E7047E8A18}</x14:id>
        </ext>
      </extLst>
    </cfRule>
  </conditionalFormatting>
  <conditionalFormatting sqref="L4">
    <cfRule type="dataBar" priority="2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{16C0067B-244C-43E9-BAE2-73AA64C06F75}</x14:id>
        </ext>
      </extLst>
    </cfRule>
  </conditionalFormatting>
  <conditionalFormatting sqref="M4">
    <cfRule type="dataBar" priority="26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{7D6793C4-7B71-43FE-A1D1-D93DA3AAA53C}</x14:id>
        </ext>
      </extLst>
    </cfRule>
  </conditionalFormatting>
  <conditionalFormatting sqref="J4">
    <cfRule type="dataBar" priority="26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{762DA80E-DDF4-40F8-8030-833B4E6BB2F9}</x14:id>
        </ext>
      </extLst>
    </cfRule>
  </conditionalFormatting>
  <conditionalFormatting sqref="L4">
    <cfRule type="dataBar" priority="26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{BC2654B2-E9D7-49A3-BF1A-D12F6587A7D8}</x14:id>
        </ext>
      </extLst>
    </cfRule>
  </conditionalFormatting>
  <conditionalFormatting sqref="M4">
    <cfRule type="dataBar" priority="26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{2D64E966-833F-43FC-AB95-A06F1776F63E}</x14:id>
        </ext>
      </extLst>
    </cfRule>
  </conditionalFormatting>
  <conditionalFormatting sqref="L4">
    <cfRule type="dataBar" priority="2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{E572B997-77C2-4C67-AF4B-CD1B16F5CC00}</x14:id>
        </ext>
      </extLst>
    </cfRule>
  </conditionalFormatting>
  <conditionalFormatting sqref="M4">
    <cfRule type="dataBar" priority="28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{CA9F5D9B-5558-472E-929C-0021FCD26E57}</x14:id>
        </ext>
      </extLst>
    </cfRule>
  </conditionalFormatting>
  <conditionalFormatting sqref="J4">
    <cfRule type="dataBar" priority="2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{4B493163-DA8C-4A7A-910D-D72562BD6E3B}</x14:id>
        </ext>
      </extLst>
    </cfRule>
  </conditionalFormatting>
  <conditionalFormatting sqref="L6">
    <cfRule type="dataBar" priority="2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{0CCC5AF6-6F01-4845-8474-551C6C0C1545}</x14:id>
        </ext>
      </extLst>
    </cfRule>
    <cfRule type="dataBar" priority="2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{BE4E97A1-73F7-484B-B570-1D43BFC6953B}</x14:id>
        </ext>
      </extLst>
    </cfRule>
  </conditionalFormatting>
  <conditionalFormatting sqref="M6">
    <cfRule type="dataBar" priority="2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{3C3ABFFF-BAF2-45C8-A0A9-99D2AE93D258}</x14:id>
        </ext>
      </extLst>
    </cfRule>
    <cfRule type="dataBar" priority="23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{5B29F3D0-9A2C-4B89-83DE-60D13E087427}</x14:id>
        </ext>
      </extLst>
    </cfRule>
  </conditionalFormatting>
  <conditionalFormatting sqref="L6">
    <cfRule type="dataBar" priority="2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{96DA283A-A10B-4F7F-A62D-D1744D13D9D6}</x14:id>
        </ext>
      </extLst>
    </cfRule>
  </conditionalFormatting>
  <conditionalFormatting sqref="M6">
    <cfRule type="dataBar" priority="2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{6850E351-1C53-4585-9386-19461E515921}</x14:id>
        </ext>
      </extLst>
    </cfRule>
  </conditionalFormatting>
  <conditionalFormatting sqref="J6">
    <cfRule type="dataBar" priority="23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{83F2F2F2-F01F-4160-89CE-8EA4BB10AF4C}</x14:id>
        </ext>
      </extLst>
    </cfRule>
    <cfRule type="dataBar" priority="2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{11F98350-3B11-46E7-AC5C-E616B01CC350}</x14:id>
        </ext>
      </extLst>
    </cfRule>
  </conditionalFormatting>
  <conditionalFormatting sqref="J6">
    <cfRule type="dataBar" priority="2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{40D6ED14-976A-4743-9D67-32B81E616E85}</x14:id>
        </ext>
      </extLst>
    </cfRule>
  </conditionalFormatting>
  <conditionalFormatting sqref="J6">
    <cfRule type="dataBar" priority="2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{FC56BF16-A3E6-4667-9FFD-37FECD7E1AB6}</x14:id>
        </ext>
      </extLst>
    </cfRule>
  </conditionalFormatting>
  <conditionalFormatting sqref="L6">
    <cfRule type="dataBar" priority="2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{27CAEE63-0A31-492F-80A7-853E24B32CBC}</x14:id>
        </ext>
      </extLst>
    </cfRule>
  </conditionalFormatting>
  <conditionalFormatting sqref="M6">
    <cfRule type="dataBar" priority="22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{F94E28DD-888B-4973-9009-826410C1D4BB}</x14:id>
        </ext>
      </extLst>
    </cfRule>
  </conditionalFormatting>
  <conditionalFormatting sqref="L6">
    <cfRule type="dataBar" priority="2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{5F39BBB9-FCBD-4C7C-BEB3-D0004428F12D}</x14:id>
        </ext>
      </extLst>
    </cfRule>
  </conditionalFormatting>
  <conditionalFormatting sqref="M6">
    <cfRule type="dataBar" priority="22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{543EEED5-BD62-47E0-AD2F-BC556F68BBCD}</x14:id>
        </ext>
      </extLst>
    </cfRule>
  </conditionalFormatting>
  <conditionalFormatting sqref="J6">
    <cfRule type="dataBar" priority="2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{8A8B07AF-55B3-452D-BBCF-C32BB8EF034C}</x14:id>
        </ext>
      </extLst>
    </cfRule>
  </conditionalFormatting>
  <conditionalFormatting sqref="J6">
    <cfRule type="dataBar" priority="2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{F0BC7F80-0DAF-4A77-B2A2-51AB69AFEBE4}</x14:id>
        </ext>
      </extLst>
    </cfRule>
  </conditionalFormatting>
  <conditionalFormatting sqref="L6">
    <cfRule type="dataBar" priority="2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{9118C948-553E-4E76-B7E2-59B917774B79}</x14:id>
        </ext>
      </extLst>
    </cfRule>
  </conditionalFormatting>
  <conditionalFormatting sqref="M6">
    <cfRule type="dataBar" priority="22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{B28EB518-43F0-4827-A72B-EBAACEF263CB}</x14:id>
        </ext>
      </extLst>
    </cfRule>
  </conditionalFormatting>
  <conditionalFormatting sqref="J6">
    <cfRule type="dataBar" priority="22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{F536F041-56F7-466B-A78F-5A15C5920EFA}</x14:id>
        </ext>
      </extLst>
    </cfRule>
  </conditionalFormatting>
  <conditionalFormatting sqref="L6">
    <cfRule type="dataBar" priority="2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{9F6DF3E4-54B3-4119-87F4-D10C7125DF35}</x14:id>
        </ext>
      </extLst>
    </cfRule>
  </conditionalFormatting>
  <conditionalFormatting sqref="M6">
    <cfRule type="dataBar" priority="21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{D10684CC-C17B-4AC1-9E25-BC747A2F1BC1}</x14:id>
        </ext>
      </extLst>
    </cfRule>
  </conditionalFormatting>
  <conditionalFormatting sqref="L6">
    <cfRule type="dataBar" priority="2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{E116F462-0498-4B38-931E-66C73682F7B2}</x14:id>
        </ext>
      </extLst>
    </cfRule>
  </conditionalFormatting>
  <conditionalFormatting sqref="M6">
    <cfRule type="dataBar" priority="24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{898945EE-1535-45EA-B099-B686E65D16BE}</x14:id>
        </ext>
      </extLst>
    </cfRule>
  </conditionalFormatting>
  <conditionalFormatting sqref="J6">
    <cfRule type="dataBar" priority="24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{499790FF-E459-4BEC-A51A-76E817DCB965}</x14:id>
        </ext>
      </extLst>
    </cfRule>
  </conditionalFormatting>
  <conditionalFormatting sqref="L7">
    <cfRule type="dataBar" priority="18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{DD301C9A-CE21-4CF9-8043-BF50276144C5}</x14:id>
        </ext>
      </extLst>
    </cfRule>
    <cfRule type="dataBar" priority="1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{23998DC8-9B47-41A6-A49C-59CD5E98E12B}</x14:id>
        </ext>
      </extLst>
    </cfRule>
  </conditionalFormatting>
  <conditionalFormatting sqref="M7">
    <cfRule type="dataBar" priority="18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{FAAD0F80-87A7-4836-A624-4B75674470E5}</x14:id>
        </ext>
      </extLst>
    </cfRule>
    <cfRule type="dataBar" priority="18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{1E5F1581-8D54-4D8E-BD56-EB488D21E3E8}</x14:id>
        </ext>
      </extLst>
    </cfRule>
  </conditionalFormatting>
  <conditionalFormatting sqref="L7">
    <cfRule type="dataBar" priority="18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{B4F107BC-E968-49AF-9A44-100AECF48E1F}</x14:id>
        </ext>
      </extLst>
    </cfRule>
  </conditionalFormatting>
  <conditionalFormatting sqref="M7">
    <cfRule type="dataBar" priority="18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{E938CBD4-D839-4ED9-9B9A-D03C913C8BD4}</x14:id>
        </ext>
      </extLst>
    </cfRule>
  </conditionalFormatting>
  <conditionalFormatting sqref="J7">
    <cfRule type="dataBar" priority="18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{767D8A87-363B-441E-87C7-6CBDD4BED0D8}</x14:id>
        </ext>
      </extLst>
    </cfRule>
    <cfRule type="dataBar" priority="18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{2EE39F70-D7DA-48A6-B773-21938A39A1F2}</x14:id>
        </ext>
      </extLst>
    </cfRule>
  </conditionalFormatting>
  <conditionalFormatting sqref="J7">
    <cfRule type="dataBar" priority="18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{84E907A0-AE90-4B21-9798-FA7A1C29272C}</x14:id>
        </ext>
      </extLst>
    </cfRule>
  </conditionalFormatting>
  <conditionalFormatting sqref="J7">
    <cfRule type="dataBar" priority="18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{625ABB77-BBA9-44A8-8C75-C261965E7844}</x14:id>
        </ext>
      </extLst>
    </cfRule>
  </conditionalFormatting>
  <conditionalFormatting sqref="L7">
    <cfRule type="dataBar" priority="18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{5772D15F-DCA6-4BA8-A6C7-69E1498A7E5A}</x14:id>
        </ext>
      </extLst>
    </cfRule>
  </conditionalFormatting>
  <conditionalFormatting sqref="M7">
    <cfRule type="dataBar" priority="17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{8E520804-C761-42C0-A537-E85401F18746}</x14:id>
        </ext>
      </extLst>
    </cfRule>
  </conditionalFormatting>
  <conditionalFormatting sqref="L7">
    <cfRule type="dataBar" priority="1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{29C1EFB6-4C1E-4BB9-B390-BA155DBB6BEA}</x14:id>
        </ext>
      </extLst>
    </cfRule>
  </conditionalFormatting>
  <conditionalFormatting sqref="M7">
    <cfRule type="dataBar" priority="1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{1EA80647-8400-4B5F-A864-C2F2E5CF9DC8}</x14:id>
        </ext>
      </extLst>
    </cfRule>
  </conditionalFormatting>
  <conditionalFormatting sqref="J7">
    <cfRule type="dataBar" priority="1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{934D0DAE-53B8-4929-8B74-5B67803C6C20}</x14:id>
        </ext>
      </extLst>
    </cfRule>
  </conditionalFormatting>
  <conditionalFormatting sqref="J7">
    <cfRule type="dataBar" priority="1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{534FE802-AD1E-45C3-BB18-7D7DD2E35A71}</x14:id>
        </ext>
      </extLst>
    </cfRule>
  </conditionalFormatting>
  <conditionalFormatting sqref="L7">
    <cfRule type="dataBar" priority="17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{4076E135-E60C-43E2-B285-3052910B8525}</x14:id>
        </ext>
      </extLst>
    </cfRule>
  </conditionalFormatting>
  <conditionalFormatting sqref="M7">
    <cfRule type="dataBar" priority="17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{022C3A49-9961-4CFF-BAA5-8680D5C7B864}</x14:id>
        </ext>
      </extLst>
    </cfRule>
  </conditionalFormatting>
  <conditionalFormatting sqref="J7">
    <cfRule type="dataBar" priority="17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{D504F71C-D366-46A4-8144-6A7B50206373}</x14:id>
        </ext>
      </extLst>
    </cfRule>
  </conditionalFormatting>
  <conditionalFormatting sqref="L7">
    <cfRule type="dataBar" priority="1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{DAB9BE38-110C-4F28-9B66-F3A26CD0D49D}</x14:id>
        </ext>
      </extLst>
    </cfRule>
  </conditionalFormatting>
  <conditionalFormatting sqref="M7">
    <cfRule type="dataBar" priority="17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{69B7E19B-0FC9-4875-9966-4B6E8543AE36}</x14:id>
        </ext>
      </extLst>
    </cfRule>
  </conditionalFormatting>
  <conditionalFormatting sqref="L7">
    <cfRule type="dataBar" priority="19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{E8602B5D-A3C4-4F67-8815-EAF3A34C932F}</x14:id>
        </ext>
      </extLst>
    </cfRule>
  </conditionalFormatting>
  <conditionalFormatting sqref="M7">
    <cfRule type="dataBar" priority="19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{CEE6D3BA-3CA8-440A-9728-078399C3ED87}</x14:id>
        </ext>
      </extLst>
    </cfRule>
  </conditionalFormatting>
  <conditionalFormatting sqref="J7">
    <cfRule type="dataBar" priority="1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{C30AA9CB-B6C3-4833-948A-E1D34C708F4D}</x14:id>
        </ext>
      </extLst>
    </cfRule>
  </conditionalFormatting>
  <conditionalFormatting sqref="AB3:AB12">
    <cfRule type="dataBar" priority="41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{02049C15-F1E6-45E1-9A6A-5A000F689531}</x14:id>
        </ext>
      </extLst>
    </cfRule>
  </conditionalFormatting>
  <conditionalFormatting sqref="AC3:AC12">
    <cfRule type="dataBar" priority="41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{61B7E44C-6A97-40A3-B9D2-F0552D98EF0C}</x14:id>
        </ext>
      </extLst>
    </cfRule>
  </conditionalFormatting>
  <conditionalFormatting sqref="AD3:AD12">
    <cfRule type="dataBar" priority="4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{88048533-F8ED-4D21-AD01-5CC103FED6CE}</x14:id>
        </ext>
      </extLst>
    </cfRule>
  </conditionalFormatting>
  <conditionalFormatting sqref="L10">
    <cfRule type="dataBar" priority="1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{7824D937-FB66-4786-8048-5FDAC5424DB1}</x14:id>
        </ext>
      </extLst>
    </cfRule>
    <cfRule type="dataBar" priority="1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{C21FA148-E13A-4154-9572-40B6911F7BDE}</x14:id>
        </ext>
      </extLst>
    </cfRule>
  </conditionalFormatting>
  <conditionalFormatting sqref="M10">
    <cfRule type="dataBar" priority="11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{BEC27E38-AD86-4F68-9809-48B3C42F27C7}</x14:id>
        </ext>
      </extLst>
    </cfRule>
    <cfRule type="dataBar" priority="116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{C4A8F7AD-A867-47BD-BAC5-1D8A4900D2A9}</x14:id>
        </ext>
      </extLst>
    </cfRule>
  </conditionalFormatting>
  <conditionalFormatting sqref="L10">
    <cfRule type="dataBar" priority="11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{915F1AA6-BAE5-4F74-904B-F009EB2EB998}</x14:id>
        </ext>
      </extLst>
    </cfRule>
  </conditionalFormatting>
  <conditionalFormatting sqref="M10">
    <cfRule type="dataBar" priority="11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{0BA7F1F5-5C6C-46DC-82E3-EAD351038811}</x14:id>
        </ext>
      </extLst>
    </cfRule>
  </conditionalFormatting>
  <conditionalFormatting sqref="J10">
    <cfRule type="dataBar" priority="11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{9754B325-5CB1-4ABF-8ACD-C335E5A2138C}</x14:id>
        </ext>
      </extLst>
    </cfRule>
    <cfRule type="dataBar" priority="11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{F6C6F19D-E7E5-4143-BFA9-A6C87DB094DF}</x14:id>
        </ext>
      </extLst>
    </cfRule>
  </conditionalFormatting>
  <conditionalFormatting sqref="J10">
    <cfRule type="dataBar" priority="1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{97EF119A-D3B9-4711-842A-6912F1C6340C}</x14:id>
        </ext>
      </extLst>
    </cfRule>
  </conditionalFormatting>
  <conditionalFormatting sqref="J10">
    <cfRule type="dataBar" priority="10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{D28809B6-0E8C-4EE7-99AB-6CD2B4EAF5FE}</x14:id>
        </ext>
      </extLst>
    </cfRule>
  </conditionalFormatting>
  <conditionalFormatting sqref="L10">
    <cfRule type="dataBar" priority="10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{5D54A91B-E352-450E-B8B7-D052E907FEB7}</x14:id>
        </ext>
      </extLst>
    </cfRule>
  </conditionalFormatting>
  <conditionalFormatting sqref="M10">
    <cfRule type="dataBar" priority="10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{877DEBAF-236D-4328-9212-619579F344CD}</x14:id>
        </ext>
      </extLst>
    </cfRule>
  </conditionalFormatting>
  <conditionalFormatting sqref="L10">
    <cfRule type="dataBar" priority="10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{1E5C5F51-0274-442E-BDF3-90F78DFAA5AC}</x14:id>
        </ext>
      </extLst>
    </cfRule>
  </conditionalFormatting>
  <conditionalFormatting sqref="M10">
    <cfRule type="dataBar" priority="10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{904ED871-92D9-4DD9-9181-A95A93A2FD70}</x14:id>
        </ext>
      </extLst>
    </cfRule>
  </conditionalFormatting>
  <conditionalFormatting sqref="J10">
    <cfRule type="dataBar" priority="10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{76E28ED2-535C-444A-970D-29DD7CEDE369}</x14:id>
        </ext>
      </extLst>
    </cfRule>
  </conditionalFormatting>
  <conditionalFormatting sqref="J10">
    <cfRule type="dataBar" priority="10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{71BB5C42-9706-48C1-9E11-59550AEA9F9D}</x14:id>
        </ext>
      </extLst>
    </cfRule>
  </conditionalFormatting>
  <conditionalFormatting sqref="L10">
    <cfRule type="dataBar" priority="10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{122135E4-9427-42D2-BBCB-CD119535F21A}</x14:id>
        </ext>
      </extLst>
    </cfRule>
  </conditionalFormatting>
  <conditionalFormatting sqref="M10">
    <cfRule type="dataBar" priority="10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{47BA535A-E74A-4CDF-AD28-C17610437EF8}</x14:id>
        </ext>
      </extLst>
    </cfRule>
  </conditionalFormatting>
  <conditionalFormatting sqref="J10">
    <cfRule type="dataBar" priority="10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{525DB3FF-51CB-45C9-88A9-5CD82FCE6AC3}</x14:id>
        </ext>
      </extLst>
    </cfRule>
  </conditionalFormatting>
  <conditionalFormatting sqref="L10">
    <cfRule type="dataBar" priority="9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{C2603634-EAF3-4935-94FD-887C8A646165}</x14:id>
        </ext>
      </extLst>
    </cfRule>
  </conditionalFormatting>
  <conditionalFormatting sqref="M10">
    <cfRule type="dataBar" priority="9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{A9117CAD-A3D1-4DB3-ADAF-F757FE0D545D}</x14:id>
        </ext>
      </extLst>
    </cfRule>
  </conditionalFormatting>
  <conditionalFormatting sqref="L10">
    <cfRule type="dataBar" priority="1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{EC0F5E29-9FE1-4693-9CA4-B71D0FBF7C1A}</x14:id>
        </ext>
      </extLst>
    </cfRule>
  </conditionalFormatting>
  <conditionalFormatting sqref="M10">
    <cfRule type="dataBar" priority="12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{1F94CAED-E860-430D-8F5F-2C5F43782A4C}</x14:id>
        </ext>
      </extLst>
    </cfRule>
  </conditionalFormatting>
  <conditionalFormatting sqref="J10">
    <cfRule type="dataBar" priority="1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{8B710EB1-1410-423C-B756-5395EC846BBB}</x14:id>
        </ext>
      </extLst>
    </cfRule>
  </conditionalFormatting>
  <conditionalFormatting sqref="L8">
    <cfRule type="dataBar" priority="9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{4C14C45B-6B26-4B37-8078-E364440FDADC}</x14:id>
        </ext>
      </extLst>
    </cfRule>
    <cfRule type="dataBar" priority="9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{128EA624-20D4-41BD-AC7D-8369B62E4BF7}</x14:id>
        </ext>
      </extLst>
    </cfRule>
  </conditionalFormatting>
  <conditionalFormatting sqref="M8">
    <cfRule type="dataBar" priority="9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{EF7C090D-3846-487C-9039-A330F253E277}</x14:id>
        </ext>
      </extLst>
    </cfRule>
    <cfRule type="dataBar" priority="92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{9B60EAC7-6EC4-4E50-956C-2CD6D76F7DEA}</x14:id>
        </ext>
      </extLst>
    </cfRule>
  </conditionalFormatting>
  <conditionalFormatting sqref="L8">
    <cfRule type="dataBar" priority="9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{D0C9B7F4-33D9-4404-AD3C-12A94A3E7240}</x14:id>
        </ext>
      </extLst>
    </cfRule>
  </conditionalFormatting>
  <conditionalFormatting sqref="M8">
    <cfRule type="dataBar" priority="8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{1A78E035-EDF2-45AD-960C-7808AB98AF24}</x14:id>
        </ext>
      </extLst>
    </cfRule>
  </conditionalFormatting>
  <conditionalFormatting sqref="J8">
    <cfRule type="dataBar" priority="8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{2DB8A975-7120-4781-A015-6B98058E4082}</x14:id>
        </ext>
      </extLst>
    </cfRule>
    <cfRule type="dataBar" priority="8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{EE74B664-5FA8-4297-BC2B-A77E834E44CC}</x14:id>
        </ext>
      </extLst>
    </cfRule>
  </conditionalFormatting>
  <conditionalFormatting sqref="J8">
    <cfRule type="dataBar" priority="8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{434DFEAB-3060-4FF1-BED1-1D408F378644}</x14:id>
        </ext>
      </extLst>
    </cfRule>
  </conditionalFormatting>
  <conditionalFormatting sqref="J8">
    <cfRule type="dataBar" priority="8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{45289405-ABAB-44B9-B9D2-391CB4A70E94}</x14:id>
        </ext>
      </extLst>
    </cfRule>
  </conditionalFormatting>
  <conditionalFormatting sqref="L8">
    <cfRule type="dataBar" priority="8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{2A490C9A-3A0C-4DEA-B225-B052DE393F84}</x14:id>
        </ext>
      </extLst>
    </cfRule>
  </conditionalFormatting>
  <conditionalFormatting sqref="M8">
    <cfRule type="dataBar" priority="8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{6B70166B-6813-421B-93BE-5C3AA6740B32}</x14:id>
        </ext>
      </extLst>
    </cfRule>
  </conditionalFormatting>
  <conditionalFormatting sqref="L8">
    <cfRule type="dataBar" priority="8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{120D6427-9BA3-483A-9261-30E26070FC78}</x14:id>
        </ext>
      </extLst>
    </cfRule>
  </conditionalFormatting>
  <conditionalFormatting sqref="M8">
    <cfRule type="dataBar" priority="8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{6795F0A5-2F28-4AB8-8BE8-E3E8C4B9FBCD}</x14:id>
        </ext>
      </extLst>
    </cfRule>
  </conditionalFormatting>
  <conditionalFormatting sqref="J8">
    <cfRule type="dataBar" priority="8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{761ABBA4-C522-4ECC-8FD1-9E5E9B40F525}</x14:id>
        </ext>
      </extLst>
    </cfRule>
  </conditionalFormatting>
  <conditionalFormatting sqref="J8">
    <cfRule type="dataBar" priority="7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{FBAE5E56-D3F1-4842-AA25-504D83FF16FC}</x14:id>
        </ext>
      </extLst>
    </cfRule>
  </conditionalFormatting>
  <conditionalFormatting sqref="L8">
    <cfRule type="dataBar" priority="7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{0A61EAE9-47C3-45FA-8E1F-393FFF0E7693}</x14:id>
        </ext>
      </extLst>
    </cfRule>
  </conditionalFormatting>
  <conditionalFormatting sqref="M8">
    <cfRule type="dataBar" priority="7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{3685F9E7-74AD-401B-92E4-96E554E44AB8}</x14:id>
        </ext>
      </extLst>
    </cfRule>
  </conditionalFormatting>
  <conditionalFormatting sqref="J8">
    <cfRule type="dataBar" priority="7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{D4D4A8D5-4FDD-4209-8A8B-A650D4ADC473}</x14:id>
        </ext>
      </extLst>
    </cfRule>
  </conditionalFormatting>
  <conditionalFormatting sqref="L8">
    <cfRule type="dataBar" priority="7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{01AABE41-0CC9-4F23-8E29-654358D21A2B}</x14:id>
        </ext>
      </extLst>
    </cfRule>
  </conditionalFormatting>
  <conditionalFormatting sqref="M8">
    <cfRule type="dataBar" priority="7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{33D6AB64-8D75-4006-B01C-6EBB45289ADE}</x14:id>
        </ext>
      </extLst>
    </cfRule>
  </conditionalFormatting>
  <conditionalFormatting sqref="L8">
    <cfRule type="dataBar" priority="9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{5459FA5F-F6B9-4A64-8950-BFE3CFC0B7BB}</x14:id>
        </ext>
      </extLst>
    </cfRule>
  </conditionalFormatting>
  <conditionalFormatting sqref="M8">
    <cfRule type="dataBar" priority="9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{DE97A897-1998-427D-9C42-F5CA5A514E45}</x14:id>
        </ext>
      </extLst>
    </cfRule>
  </conditionalFormatting>
  <conditionalFormatting sqref="J8">
    <cfRule type="dataBar" priority="9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{FC424850-A6D9-462E-A7E4-0F8FFB8B8583}</x14:id>
        </ext>
      </extLst>
    </cfRule>
  </conditionalFormatting>
  <conditionalFormatting sqref="L9">
    <cfRule type="dataBar" priority="6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{A031E94F-F275-47B4-8EF2-41AEB9F097BB}</x14:id>
        </ext>
      </extLst>
    </cfRule>
    <cfRule type="dataBar" priority="7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{7ACBC17C-E8BE-45DF-81A5-11C8D0EDA45E}</x14:id>
        </ext>
      </extLst>
    </cfRule>
  </conditionalFormatting>
  <conditionalFormatting sqref="M9">
    <cfRule type="dataBar" priority="6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{6D1D1299-05AE-475F-B4C9-ABF92A88B990}</x14:id>
        </ext>
      </extLst>
    </cfRule>
    <cfRule type="dataBar" priority="68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{5EF14AF9-D42F-4146-8783-536060674B62}</x14:id>
        </ext>
      </extLst>
    </cfRule>
  </conditionalFormatting>
  <conditionalFormatting sqref="L9">
    <cfRule type="dataBar" priority="6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{BF8E1D3C-AD32-4F57-BCD6-F617CF71FCF7}</x14:id>
        </ext>
      </extLst>
    </cfRule>
  </conditionalFormatting>
  <conditionalFormatting sqref="M9">
    <cfRule type="dataBar" priority="6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{DE65038A-112B-4C60-8EA3-7B6CC993ABFA}</x14:id>
        </ext>
      </extLst>
    </cfRule>
  </conditionalFormatting>
  <conditionalFormatting sqref="J9">
    <cfRule type="dataBar" priority="6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{D6E5939E-DF78-43DE-8A76-E4FFAEF9DF85}</x14:id>
        </ext>
      </extLst>
    </cfRule>
    <cfRule type="dataBar" priority="6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{2359B7E5-A6DE-47B6-B870-7304A85FF593}</x14:id>
        </ext>
      </extLst>
    </cfRule>
  </conditionalFormatting>
  <conditionalFormatting sqref="J9">
    <cfRule type="dataBar" priority="6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{8A84ABAF-8FE8-4144-A234-56E17357ADA0}</x14:id>
        </ext>
      </extLst>
    </cfRule>
  </conditionalFormatting>
  <conditionalFormatting sqref="J9">
    <cfRule type="dataBar" priority="6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{E72D3A68-9991-4676-8E4C-4D55F16596B6}</x14:id>
        </ext>
      </extLst>
    </cfRule>
  </conditionalFormatting>
  <conditionalFormatting sqref="L9">
    <cfRule type="dataBar" priority="6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{B044FDFB-98F8-4037-B5DB-5AA72E884C31}</x14:id>
        </ext>
      </extLst>
    </cfRule>
  </conditionalFormatting>
  <conditionalFormatting sqref="M9">
    <cfRule type="dataBar" priority="5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{232403D7-748D-4602-99E6-BD9B67E7A0A5}</x14:id>
        </ext>
      </extLst>
    </cfRule>
  </conditionalFormatting>
  <conditionalFormatting sqref="L9">
    <cfRule type="dataBar" priority="5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{255CB172-10B4-4B54-BFDF-17D52DF16983}</x14:id>
        </ext>
      </extLst>
    </cfRule>
  </conditionalFormatting>
  <conditionalFormatting sqref="M9">
    <cfRule type="dataBar" priority="5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{939603CC-5195-41D8-B3AE-F79CD63766F1}</x14:id>
        </ext>
      </extLst>
    </cfRule>
  </conditionalFormatting>
  <conditionalFormatting sqref="J9">
    <cfRule type="dataBar" priority="5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{8ED210E9-68B3-44D3-B145-AA2EC7ED7EBF}</x14:id>
        </ext>
      </extLst>
    </cfRule>
  </conditionalFormatting>
  <conditionalFormatting sqref="J9">
    <cfRule type="dataBar" priority="5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{A7208587-BF7A-4F3F-A8C3-A67E878D783D}</x14:id>
        </ext>
      </extLst>
    </cfRule>
  </conditionalFormatting>
  <conditionalFormatting sqref="L9">
    <cfRule type="dataBar" priority="5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{EB5E27CF-0F18-4124-8E8F-08695B211CE1}</x14:id>
        </ext>
      </extLst>
    </cfRule>
  </conditionalFormatting>
  <conditionalFormatting sqref="M9">
    <cfRule type="dataBar" priority="5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{52692E42-7B97-4AD7-82C1-80F9D9E6923C}</x14:id>
        </ext>
      </extLst>
    </cfRule>
  </conditionalFormatting>
  <conditionalFormatting sqref="J9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{6A896293-6CF8-4282-A57A-8DCE06D20412}</x14:id>
        </ext>
      </extLst>
    </cfRule>
  </conditionalFormatting>
  <conditionalFormatting sqref="L9">
    <cfRule type="dataBar" priority="5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{335E719C-F98A-4A1A-A7A4-7840D9E48AFE}</x14:id>
        </ext>
      </extLst>
    </cfRule>
  </conditionalFormatting>
  <conditionalFormatting sqref="M9">
    <cfRule type="dataBar" priority="50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{55A9DEFA-EDA9-4D77-BB4C-C4AF610B7BE4}</x14:id>
        </ext>
      </extLst>
    </cfRule>
  </conditionalFormatting>
  <conditionalFormatting sqref="L9">
    <cfRule type="dataBar" priority="7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{DAE2F3BE-7257-4EDD-B2D9-79446EC7B4FA}</x14:id>
        </ext>
      </extLst>
    </cfRule>
  </conditionalFormatting>
  <conditionalFormatting sqref="M9">
    <cfRule type="dataBar" priority="7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{A7CBC824-7805-40FE-9EE6-2CE534F10F77}</x14:id>
        </ext>
      </extLst>
    </cfRule>
  </conditionalFormatting>
  <conditionalFormatting sqref="J9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{7C168876-213F-4C1D-A1CE-4D6B492C5A28}</x14:id>
        </ext>
      </extLst>
    </cfRule>
  </conditionalFormatting>
  <conditionalFormatting sqref="L11">
    <cfRule type="dataBar" priority="4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{3170BB6A-78C2-468A-9EE4-6174091CF029}</x14:id>
        </ext>
      </extLst>
    </cfRule>
    <cfRule type="dataBar" priority="4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{AB194F66-B12F-464E-BAF2-F87C80F63231}</x14:id>
        </ext>
      </extLst>
    </cfRule>
  </conditionalFormatting>
  <conditionalFormatting sqref="M11">
    <cfRule type="dataBar" priority="4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{B0299A6B-BB45-4F77-9211-2170AF4E2064}</x14:id>
        </ext>
      </extLst>
    </cfRule>
    <cfRule type="dataBar" priority="44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{71C3851C-F9D9-4CBB-8A8B-1E2840C7F6C8}</x14:id>
        </ext>
      </extLst>
    </cfRule>
  </conditionalFormatting>
  <conditionalFormatting sqref="L11">
    <cfRule type="dataBar" priority="4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{6F04ED4F-90E3-4318-B136-7118CDF348A2}</x14:id>
        </ext>
      </extLst>
    </cfRule>
  </conditionalFormatting>
  <conditionalFormatting sqref="M11">
    <cfRule type="dataBar" priority="4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{5B02DA00-8FBF-4BBA-A80B-EF054E7D77A9}</x14:id>
        </ext>
      </extLst>
    </cfRule>
  </conditionalFormatting>
  <conditionalFormatting sqref="J11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{5D289D6E-5E69-446D-8863-006AF2C4B5D5}</x14:id>
        </ext>
      </extLst>
    </cfRule>
    <cfRule type="dataBar" priority="4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{F7B53B1F-1BEC-4014-9D09-5ABFDA33F700}</x14:id>
        </ext>
      </extLst>
    </cfRule>
  </conditionalFormatting>
  <conditionalFormatting sqref="J11">
    <cfRule type="dataBar" priority="3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{A461868E-6DE0-4BF2-977F-C4F86E9429C3}</x14:id>
        </ext>
      </extLst>
    </cfRule>
  </conditionalFormatting>
  <conditionalFormatting sqref="J11">
    <cfRule type="dataBar" priority="3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{FE3C0BE0-42D9-4BE6-84BF-08975D19875A}</x14:id>
        </ext>
      </extLst>
    </cfRule>
  </conditionalFormatting>
  <conditionalFormatting sqref="L11">
    <cfRule type="dataBar" priority="3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{5779BCFA-EA07-4C35-BA7D-CF8FD3A75312}</x14:id>
        </ext>
      </extLst>
    </cfRule>
  </conditionalFormatting>
  <conditionalFormatting sqref="M11">
    <cfRule type="dataBar" priority="3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{754BA453-7331-45E0-A8AE-6EA306FC1508}</x14:id>
        </ext>
      </extLst>
    </cfRule>
  </conditionalFormatting>
  <conditionalFormatting sqref="L11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{42A6205F-70E4-4425-86F5-4618B7C90BE5}</x14:id>
        </ext>
      </extLst>
    </cfRule>
  </conditionalFormatting>
  <conditionalFormatting sqref="M11">
    <cfRule type="dataBar" priority="33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{5936B88F-8937-43A5-A433-95D5041415FF}</x14:id>
        </ext>
      </extLst>
    </cfRule>
  </conditionalFormatting>
  <conditionalFormatting sqref="J11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{2ED9697F-6449-4ED3-8000-7DCEEA719B5A}</x14:id>
        </ext>
      </extLst>
    </cfRule>
  </conditionalFormatting>
  <conditionalFormatting sqref="J11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{EDCA3D98-FAFD-4253-9359-061C69694D7C}</x14:id>
        </ext>
      </extLst>
    </cfRule>
  </conditionalFormatting>
  <conditionalFormatting sqref="L11">
    <cfRule type="dataBar" priority="3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{2BA6FFC6-3F5D-4863-B657-8BBF94D47497}</x14:id>
        </ext>
      </extLst>
    </cfRule>
  </conditionalFormatting>
  <conditionalFormatting sqref="M11">
    <cfRule type="dataBar" priority="2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{F3E2AAE9-B486-44C5-851C-21632852ABEE}</x14:id>
        </ext>
      </extLst>
    </cfRule>
  </conditionalFormatting>
  <conditionalFormatting sqref="J11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{BEAF6405-DC01-460D-BF00-DFF20A6DEF95}</x14:id>
        </ext>
      </extLst>
    </cfRule>
  </conditionalFormatting>
  <conditionalFormatting sqref="L11">
    <cfRule type="dataBar" priority="2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{E9903653-C8A9-4206-8D7E-12DA5508DCC9}</x14:id>
        </ext>
      </extLst>
    </cfRule>
  </conditionalFormatting>
  <conditionalFormatting sqref="M11">
    <cfRule type="dataBar" priority="26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{01A219D8-65F9-454C-92D8-C486316CD655}</x14:id>
        </ext>
      </extLst>
    </cfRule>
  </conditionalFormatting>
  <conditionalFormatting sqref="L11">
    <cfRule type="dataBar" priority="4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{28C99C03-9834-43F6-B16A-583D87C4822B}</x14:id>
        </ext>
      </extLst>
    </cfRule>
  </conditionalFormatting>
  <conditionalFormatting sqref="M11">
    <cfRule type="dataBar" priority="48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{EC8228DF-11A6-43D2-BA12-B9FE073A902E}</x14:id>
        </ext>
      </extLst>
    </cfRule>
  </conditionalFormatting>
  <conditionalFormatting sqref="J11">
    <cfRule type="dataBar" priority="4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{70F87D61-E29A-4996-8543-795AE9657EAD}</x14:id>
        </ext>
      </extLst>
    </cfRule>
  </conditionalFormatting>
  <conditionalFormatting sqref="L12">
    <cfRule type="dataBar" priority="2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{D982599C-44FD-4A9A-B505-72C835F34E21}</x14:id>
        </ext>
      </extLst>
    </cfRule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{FB61FF37-9095-4F5E-B7E7-54EC87CF44F3}</x14:id>
        </ext>
      </extLst>
    </cfRule>
  </conditionalFormatting>
  <conditionalFormatting sqref="M12">
    <cfRule type="dataBar" priority="1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{BE175885-59EF-46D0-801E-7D6A62F20AD0}</x14:id>
        </ext>
      </extLst>
    </cfRule>
    <cfRule type="dataBar" priority="20">
      <dataBar>
        <cfvo type="min"/>
        <cfvo type="max"/>
        <color rgb="FFD6007B"/>
      </dataBar>
      <extLst>
        <ext xmlns:x14="http://schemas.microsoft.com/office/spreadsheetml/2009/9/main" uri="{B025F937-C7B1-47D3-B67F-A62EFF666E3E}">
          <x14:id>{F29A8F87-B14B-4373-9C9F-C3DB17E65A90}</x14:id>
        </ext>
      </extLst>
    </cfRule>
  </conditionalFormatting>
  <conditionalFormatting sqref="L12">
    <cfRule type="dataBar" priority="1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{06B7BE74-91FD-4A7E-950B-735E51F03418}</x14:id>
        </ext>
      </extLst>
    </cfRule>
  </conditionalFormatting>
  <conditionalFormatting sqref="M12">
    <cfRule type="dataBar" priority="17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{F486DAB6-0631-465F-B701-5975FADF9F53}</x14:id>
        </ext>
      </extLst>
    </cfRule>
  </conditionalFormatting>
  <conditionalFormatting sqref="J12">
    <cfRule type="dataBar" priority="1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{A6832D98-3D44-4DA0-A5E5-CA1FD155CB59}</x14:id>
        </ext>
      </extLst>
    </cfRule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{48AB960B-25A4-4ABC-B796-B77F433DDDB0}</x14:id>
        </ext>
      </extLst>
    </cfRule>
  </conditionalFormatting>
  <conditionalFormatting sqref="J12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{89AE3D60-89E1-4942-A094-941D5D31C16C}</x14:id>
        </ext>
      </extLst>
    </cfRule>
  </conditionalFormatting>
  <conditionalFormatting sqref="J12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{C49924D6-03C2-4BCC-964D-5C0DBDD9D68E}</x14:id>
        </ext>
      </extLst>
    </cfRule>
  </conditionalFormatting>
  <conditionalFormatting sqref="L12">
    <cfRule type="dataBar" priority="1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{C2577D37-F8A0-4CDF-B256-AB8AB272063E}</x14:id>
        </ext>
      </extLst>
    </cfRule>
  </conditionalFormatting>
  <conditionalFormatting sqref="M12">
    <cfRule type="dataBar" priority="11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{90AE0040-B3A2-4C7F-AE9F-34C5DCFEA82F}</x14:id>
        </ext>
      </extLst>
    </cfRule>
  </conditionalFormatting>
  <conditionalFormatting sqref="L12">
    <cfRule type="dataBar" priority="1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{35C5841F-C902-41C7-899C-F5360D1F8163}</x14:id>
        </ext>
      </extLst>
    </cfRule>
  </conditionalFormatting>
  <conditionalFormatting sqref="M12">
    <cfRule type="dataBar" priority="9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{AFBB9F41-DF69-4FDD-B720-7B7ABB4C996E}</x14:id>
        </ext>
      </extLst>
    </cfRule>
  </conditionalFormatting>
  <conditionalFormatting sqref="J12">
    <cfRule type="dataBar" priority="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{878C3B4F-57E0-4826-B428-C57071A8E315}</x14:id>
        </ext>
      </extLst>
    </cfRule>
  </conditionalFormatting>
  <conditionalFormatting sqref="J12">
    <cfRule type="dataBar" priority="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{324AE810-0581-4A06-A6D4-147263421742}</x14:id>
        </ext>
      </extLst>
    </cfRule>
  </conditionalFormatting>
  <conditionalFormatting sqref="L12">
    <cfRule type="dataBar" priority="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{46AB8E77-0E3C-45DC-8068-CCC6CF631E0C}</x14:id>
        </ext>
      </extLst>
    </cfRule>
  </conditionalFormatting>
  <conditionalFormatting sqref="M12">
    <cfRule type="dataBar" priority="5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{680DF83F-4B71-44DC-B285-9F0C23A38596}</x14:id>
        </ext>
      </extLst>
    </cfRule>
  </conditionalFormatting>
  <conditionalFormatting sqref="J12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{6CCDE037-41E5-4955-AAA2-4A13C7813C90}</x14:id>
        </ext>
      </extLst>
    </cfRule>
  </conditionalFormatting>
  <conditionalFormatting sqref="L12">
    <cfRule type="dataBar" priority="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{B43EEDC4-9627-464F-9CF5-EA303060C88C}</x14:id>
        </ext>
      </extLst>
    </cfRule>
  </conditionalFormatting>
  <conditionalFormatting sqref="M12">
    <cfRule type="dataBar" priority="2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{E396DB9B-BC16-4DB4-AA4A-C703AD8500CE}</x14:id>
        </ext>
      </extLst>
    </cfRule>
  </conditionalFormatting>
  <conditionalFormatting sqref="L12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{A45E195D-0D9A-48E3-848D-550B1FA6F0B8}</x14:id>
        </ext>
      </extLst>
    </cfRule>
  </conditionalFormatting>
  <conditionalFormatting sqref="M12">
    <cfRule type="dataBar" priority="24">
      <dataBar>
        <cfvo type="min"/>
        <cfvo type="max"/>
        <color rgb="FFFF555A"/>
      </dataBar>
      <extLst>
        <ext xmlns:x14="http://schemas.microsoft.com/office/spreadsheetml/2009/9/main" uri="{B025F937-C7B1-47D3-B67F-A62EFF666E3E}">
          <x14:id>{DCE39732-9BA4-47C4-B510-28A9684EFD5B}</x14:id>
        </ext>
      </extLst>
    </cfRule>
  </conditionalFormatting>
  <conditionalFormatting sqref="J12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{B21D1902-D6C5-497E-9B71-D5D28CF76850}</x14:id>
        </ext>
      </extLst>
    </cfRule>
  </conditionalFormatting>
  <conditionalFormatting sqref="AE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{CAB78BC6-9721-49A3-92BF-CDAA0205592B}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F2F356F-79C6-4BE6-957B-D8FF38EA8C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J2</xm:sqref>
        </x14:conditionalFormatting>
        <x14:conditionalFormatting xmlns:xm="http://schemas.microsoft.com/office/excel/2006/main">
          <x14:cfRule type="dataBar" id="{645870F5-6FD4-4229-AD3B-8A3E33FF4DC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AB13</xm:sqref>
        </x14:conditionalFormatting>
        <x14:conditionalFormatting xmlns:xm="http://schemas.microsoft.com/office/excel/2006/main">
          <x14:cfRule type="dataBar" id="{C9A55042-5723-4A50-940D-25C15516074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AC13</xm:sqref>
        </x14:conditionalFormatting>
        <x14:conditionalFormatting xmlns:xm="http://schemas.microsoft.com/office/excel/2006/main">
          <x14:cfRule type="dataBar" id="{F0A2D929-69E0-4EC2-8114-51EF76F2B2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AD13</xm:sqref>
        </x14:conditionalFormatting>
        <x14:conditionalFormatting xmlns:xm="http://schemas.microsoft.com/office/excel/2006/main">
          <x14:cfRule type="dataBar" id="{8E1F77BC-31A8-425B-A33E-31BE380935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C408056-0141-46BD-9F5C-CBEA2DB53D0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4C8FAFC6-6967-4BBA-A7F8-00C98DAB014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B8C2ADD-2991-464C-B606-C5B6C6CD0F4D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F97F402C-1250-47A3-ACCE-2AD68F68F34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3FE52AB8-4E58-4B3C-89B8-E6312E735CB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D6E9CE30-228C-40B8-8BD9-FB69C3E814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E132232-8A3C-4CF2-A184-1598B17DDB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81B704D-07BE-432F-9CDE-8CE5F44FFF4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78F8736-2B96-4E41-B0AA-27578A6509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495321C-15CD-4F68-A5D8-B91B97EA619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81A18C4-FB6E-449A-AB84-E2EA2AC25EE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797FB19-F57B-4D96-BB86-AB3D75AA5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D7F1994D-68B6-41C5-BC98-6ADA51777E7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0C8FE368-2218-4A02-B5FF-E28F1D97658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E90FE790-C91D-4F0E-888B-B28295A9E05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B5510B8C-1535-4AE9-BCFD-3560C8D38F3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83E48341-F996-4CC1-8A01-C92267BAA41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4CBDBA11-C32F-4E8A-A08E-7A0F9A36B5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F5E18C39-3A03-430F-8771-4BC93F2EB2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F4E33070-F83D-4A91-982E-EE9550BACD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58D79880-9DBE-4F95-8C74-9814AFEDF9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L5</xm:sqref>
        </x14:conditionalFormatting>
        <x14:conditionalFormatting xmlns:xm="http://schemas.microsoft.com/office/excel/2006/main">
          <x14:cfRule type="dataBar" id="{B2BBE1D1-C785-4C90-A1D0-F88E7E938E2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M5</xm:sqref>
        </x14:conditionalFormatting>
        <x14:conditionalFormatting xmlns:xm="http://schemas.microsoft.com/office/excel/2006/main">
          <x14:cfRule type="dataBar" id="{E0D63BF9-4013-4233-8B5B-D4BC646B620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J5</xm:sqref>
        </x14:conditionalFormatting>
        <x14:conditionalFormatting xmlns:xm="http://schemas.microsoft.com/office/excel/2006/main">
          <x14:cfRule type="dataBar" id="{421E9CA1-62FD-4B5A-A343-30D5DDA2255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8B2A46E9-C014-434F-ABEE-2D8F46FEC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51E33208-5712-47A0-B0AC-CAE4F376B13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FF29250-9B63-4D81-BF17-CBC688913EF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46E357F0-B0C9-427C-A741-04F7E679D17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CCDB189-FAA9-451C-A695-CE1299E74F1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8A772360-76FB-46B7-96D4-F68FDDD610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68DDC447-68E7-4792-A5A6-15B797999D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F8D2AB4-7979-4753-ABFD-57590BB411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FA45F0C9-A0CB-41FB-BF2B-A6AF935D18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D2C88A86-9109-4290-90D1-75DB9CC2C2C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92A549B3-791F-49A7-838B-6858C8C7E16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F07DF7BB-E23E-4409-BBE2-40A336BA92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CA287756-8F93-43F6-A4C1-C2E691AA6C4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5777368B-4960-4CC4-9844-B8DF401D5A8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BD7C9AB-A588-4D8E-A955-165B96A943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50334781-9307-4883-82FE-E1D2161437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78D0F66E-D448-456B-BDD5-5DACDD6E5CD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229BC621-2216-47A1-9FF2-A77A9AFBF6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4890AE69-A598-4899-9589-C0019F789F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1FB1A7D3-D617-453E-A19E-2868373830E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D8A6D595-AA47-45DC-9BCF-37CB149742B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L3</xm:sqref>
        </x14:conditionalFormatting>
        <x14:conditionalFormatting xmlns:xm="http://schemas.microsoft.com/office/excel/2006/main">
          <x14:cfRule type="dataBar" id="{FDE065E1-7C92-4C4F-9F29-E2D7201DDE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M3</xm:sqref>
        </x14:conditionalFormatting>
        <x14:conditionalFormatting xmlns:xm="http://schemas.microsoft.com/office/excel/2006/main">
          <x14:cfRule type="dataBar" id="{E40CEA03-F23C-403A-AC17-3FBCC7378AE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J3</xm:sqref>
        </x14:conditionalFormatting>
        <x14:conditionalFormatting xmlns:xm="http://schemas.microsoft.com/office/excel/2006/main">
          <x14:cfRule type="dataBar" id="{9833E4FD-5EF7-4CBC-9B24-7602D025BD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7531691-5DBD-47A7-AC03-588E805202A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EC9E2C7E-443D-465B-8CCD-1126E47617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76BC0FF-0D3D-4A01-B330-3051B68FB70C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C2AF229A-BF39-45C7-A9D0-96B69DDE84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63E805B7-8788-4E5A-ABE8-49B3FFEE460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95A2E676-C5D8-4C99-982E-028F2D9163F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9A9DC288-E694-4E02-80CA-AB23D7BF821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8383F943-73F2-42DD-A2F5-344013AE24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FCFB2F72-08AA-47BC-8D23-797A46338E7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9E921D6A-8947-423B-A75E-F0F6E78DA8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1916C32A-E2A7-4408-AFFB-B93AB1EEBBD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1E96AAB9-02BE-426C-9CB2-1351D50544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0955E141-9363-4A8B-BF84-E5B10808B1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06AE5DAA-17AC-4882-ACCD-40566AB426D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2757776D-9ED4-4270-97C9-E3E7047E8A1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16C0067B-244C-43E9-BAE2-73AA64C06F7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7D6793C4-7B71-43FE-A1D1-D93DA3AAA5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762DA80E-DDF4-40F8-8030-833B4E6BB2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BC2654B2-E9D7-49A3-BF1A-D12F6587A7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2D64E966-833F-43FC-AB95-A06F1776F63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E572B997-77C2-4C67-AF4B-CD1B16F5CC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L4</xm:sqref>
        </x14:conditionalFormatting>
        <x14:conditionalFormatting xmlns:xm="http://schemas.microsoft.com/office/excel/2006/main">
          <x14:cfRule type="dataBar" id="{CA9F5D9B-5558-472E-929C-0021FCD26E5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M4</xm:sqref>
        </x14:conditionalFormatting>
        <x14:conditionalFormatting xmlns:xm="http://schemas.microsoft.com/office/excel/2006/main">
          <x14:cfRule type="dataBar" id="{4B493163-DA8C-4A7A-910D-D72562BD6E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J4</xm:sqref>
        </x14:conditionalFormatting>
        <x14:conditionalFormatting xmlns:xm="http://schemas.microsoft.com/office/excel/2006/main">
          <x14:cfRule type="dataBar" id="{0CCC5AF6-6F01-4845-8474-551C6C0C154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BE4E97A1-73F7-484B-B570-1D43BFC6953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3C3ABFFF-BAF2-45C8-A0A9-99D2AE93D25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B29F3D0-9A2C-4B89-83DE-60D13E087427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96DA283A-A10B-4F7F-A62D-D1744D13D9D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6850E351-1C53-4585-9386-19461E51592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3F2F2F2-F01F-4160-89CE-8EA4BB10AF4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11F98350-3B11-46E7-AC5C-E616B01CC3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40D6ED14-976A-4743-9D67-32B81E616E8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C56BF16-A3E6-4667-9FFD-37FECD7E1A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27CAEE63-0A31-492F-80A7-853E24B32CB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F94E28DD-888B-4973-9009-826410C1D4B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5F39BBB9-FCBD-4C7C-BEB3-D0004428F12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543EEED5-BD62-47E0-AD2F-BC556F68B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8A8B07AF-55B3-452D-BBCF-C32BB8EF03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F0BC7F80-0DAF-4A77-B2A2-51AB69AFEB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118C948-553E-4E76-B7E2-59B917774B7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B28EB518-43F0-4827-A72B-EBAACEF263C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F536F041-56F7-466B-A78F-5A15C5920E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9F6DF3E4-54B3-4119-87F4-D10C7125DF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D10684CC-C17B-4AC1-9E25-BC747A2F1BC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E116F462-0498-4B38-931E-66C73682F7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L6</xm:sqref>
        </x14:conditionalFormatting>
        <x14:conditionalFormatting xmlns:xm="http://schemas.microsoft.com/office/excel/2006/main">
          <x14:cfRule type="dataBar" id="{898945EE-1535-45EA-B099-B686E65D16B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M6</xm:sqref>
        </x14:conditionalFormatting>
        <x14:conditionalFormatting xmlns:xm="http://schemas.microsoft.com/office/excel/2006/main">
          <x14:cfRule type="dataBar" id="{499790FF-E459-4BEC-A51A-76E817DCB9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J6</xm:sqref>
        </x14:conditionalFormatting>
        <x14:conditionalFormatting xmlns:xm="http://schemas.microsoft.com/office/excel/2006/main">
          <x14:cfRule type="dataBar" id="{DD301C9A-CE21-4CF9-8043-BF50276144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23998DC8-9B47-41A6-A49C-59CD5E98E1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FAAD0F80-87A7-4836-A624-4B75674470E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1E5F1581-8D54-4D8E-BD56-EB488D21E3E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B4F107BC-E968-49AF-9A44-100AECF48E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E938CBD4-D839-4ED9-9B9A-D03C913C8BD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767D8A87-363B-441E-87C7-6CBDD4BED0D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EE39F70-D7DA-48A6-B773-21938A39A1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84E907A0-AE90-4B21-9798-FA7A1C29272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625ABB77-BBA9-44A8-8C75-C261965E78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772D15F-DCA6-4BA8-A6C7-69E1498A7E5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8E520804-C761-42C0-A537-E85401F1874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29C1EFB6-4C1E-4BB9-B390-BA155DBB6BE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1EA80647-8400-4B5F-A864-C2F2E5CF9DC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934D0DAE-53B8-4929-8B74-5B67803C6C2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534FE802-AD1E-45C3-BB18-7D7DD2E35A7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4076E135-E60C-43E2-B285-3052910B85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022C3A49-9961-4CFF-BAA5-8680D5C7B8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D504F71C-D366-46A4-8144-6A7B502063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DAB9BE38-110C-4F28-9B66-F3A26CD0D49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69B7E19B-0FC9-4875-9966-4B6E8543AE3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E8602B5D-A3C4-4F67-8815-EAF3A34C932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L7</xm:sqref>
        </x14:conditionalFormatting>
        <x14:conditionalFormatting xmlns:xm="http://schemas.microsoft.com/office/excel/2006/main">
          <x14:cfRule type="dataBar" id="{CEE6D3BA-3CA8-440A-9728-078399C3ED8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M7</xm:sqref>
        </x14:conditionalFormatting>
        <x14:conditionalFormatting xmlns:xm="http://schemas.microsoft.com/office/excel/2006/main">
          <x14:cfRule type="dataBar" id="{C30AA9CB-B6C3-4833-948A-E1D34C708F4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J7</xm:sqref>
        </x14:conditionalFormatting>
        <x14:conditionalFormatting xmlns:xm="http://schemas.microsoft.com/office/excel/2006/main">
          <x14:cfRule type="dataBar" id="{02049C15-F1E6-45E1-9A6A-5A000F6895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AB3:AB12</xm:sqref>
        </x14:conditionalFormatting>
        <x14:conditionalFormatting xmlns:xm="http://schemas.microsoft.com/office/excel/2006/main">
          <x14:cfRule type="dataBar" id="{61B7E44C-6A97-40A3-B9D2-F0552D98EF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AC3:AC12</xm:sqref>
        </x14:conditionalFormatting>
        <x14:conditionalFormatting xmlns:xm="http://schemas.microsoft.com/office/excel/2006/main">
          <x14:cfRule type="dataBar" id="{88048533-F8ED-4D21-AD01-5CC103FED6C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AD3:AD12</xm:sqref>
        </x14:conditionalFormatting>
        <x14:conditionalFormatting xmlns:xm="http://schemas.microsoft.com/office/excel/2006/main">
          <x14:cfRule type="dataBar" id="{7824D937-FB66-4786-8048-5FDAC5424D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C21FA148-E13A-4154-9572-40B6911F7BD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BEC27E38-AD86-4F68-9809-48B3C42F27C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C4A8F7AD-A867-47BD-BAC5-1D8A4900D2A9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15F1AA6-BAE5-4F74-904B-F009EB2EB99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0BA7F1F5-5C6C-46DC-82E3-EAD35103881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9754B325-5CB1-4ABF-8ACD-C335E5A213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6C6F19D-E7E5-4143-BFA9-A6C87DB094D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97EF119A-D3B9-4711-842A-6912F1C6340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D28809B6-0E8C-4EE7-99AB-6CD2B4EAF5F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5D54A91B-E352-450E-B8B7-D052E907FEB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877DEBAF-236D-4328-9212-619579F344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1E5C5F51-0274-442E-BDF3-90F78DFAA5A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904ED871-92D9-4DD9-9181-A95A93A2FD7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76E28ED2-535C-444A-970D-29DD7CEDE36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71BB5C42-9706-48C1-9E11-59550AEA9F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122135E4-9427-42D2-BBCB-CD119535F2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47BA535A-E74A-4CDF-AD28-C17610437EF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525DB3FF-51CB-45C9-88A9-5CD82FCE6A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C2603634-EAF3-4935-94FD-887C8A64616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A9117CAD-A3D1-4DB3-ADAF-F757FE0D545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EC0F5E29-9FE1-4693-9CA4-B71D0FBF7C1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L10</xm:sqref>
        </x14:conditionalFormatting>
        <x14:conditionalFormatting xmlns:xm="http://schemas.microsoft.com/office/excel/2006/main">
          <x14:cfRule type="dataBar" id="{1F94CAED-E860-430D-8F5F-2C5F43782A4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M10</xm:sqref>
        </x14:conditionalFormatting>
        <x14:conditionalFormatting xmlns:xm="http://schemas.microsoft.com/office/excel/2006/main">
          <x14:cfRule type="dataBar" id="{8B710EB1-1410-423C-B756-5395EC846B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J10</xm:sqref>
        </x14:conditionalFormatting>
        <x14:conditionalFormatting xmlns:xm="http://schemas.microsoft.com/office/excel/2006/main">
          <x14:cfRule type="dataBar" id="{4C14C45B-6B26-4B37-8078-E364440FDAD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128EA624-20D4-41BD-AC7D-8369B62E4B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EF7C090D-3846-487C-9039-A330F253E2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9B60EAC7-6EC4-4E50-956C-2CD6D76F7DEA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0C9B7F4-33D9-4404-AD3C-12A94A3E724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1A78E035-EDF2-45AD-960C-7808AB98AF2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2DB8A975-7120-4781-A015-6B98058E408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EE74B664-5FA8-4297-BC2B-A77E834E44C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34DFEAB-3060-4FF1-BED1-1D408F37864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45289405-ABAB-44B9-B9D2-391CB4A70E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2A490C9A-3A0C-4DEA-B225-B052DE393F8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B70166B-6813-421B-93BE-5C3AA6740B32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120D6427-9BA3-483A-9261-30E26070FC7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6795F0A5-2F28-4AB8-8BE8-E3E8C4B9FBCD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761ABBA4-C522-4ECC-8FD1-9E5E9B40F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FBAE5E56-D3F1-4842-AA25-504D83FF16F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A61EAE9-47C3-45FA-8E1F-393FFF0E769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685F9E7-74AD-401B-92E4-96E554E44AB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D4D4A8D5-4FDD-4209-8A8B-A650D4ADC47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01AABE41-0CC9-4F23-8E29-654358D21A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33D6AB64-8D75-4006-B01C-6EBB45289AD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5459FA5F-F6B9-4A64-8950-BFE3CFC0B7B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L8</xm:sqref>
        </x14:conditionalFormatting>
        <x14:conditionalFormatting xmlns:xm="http://schemas.microsoft.com/office/excel/2006/main">
          <x14:cfRule type="dataBar" id="{DE97A897-1998-427D-9C42-F5CA5A514E4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M8</xm:sqref>
        </x14:conditionalFormatting>
        <x14:conditionalFormatting xmlns:xm="http://schemas.microsoft.com/office/excel/2006/main">
          <x14:cfRule type="dataBar" id="{FC424850-A6D9-462E-A7E4-0F8FFB8B858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J8</xm:sqref>
        </x14:conditionalFormatting>
        <x14:conditionalFormatting xmlns:xm="http://schemas.microsoft.com/office/excel/2006/main">
          <x14:cfRule type="dataBar" id="{A031E94F-F275-47B4-8EF2-41AEB9F097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7ACBC17C-E8BE-45DF-81A5-11C8D0EDA4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6D1D1299-05AE-475F-B4C9-ABF92A88B99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5EF14AF9-D42F-4146-8783-536060674B62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BF8E1D3C-AD32-4F57-BCD6-F617CF71FCF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DE65038A-112B-4C60-8EA3-7B6CC993ABFA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6E5939E-DF78-43DE-8A76-E4FFAEF9DF8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2359B7E5-A6DE-47B6-B870-7304A85FF59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8A84ABAF-8FE8-4144-A234-56E17357ADA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72D3A68-9991-4676-8E4C-4D55F16596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B044FDFB-98F8-4037-B5DB-5AA72E884C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232403D7-748D-4602-99E6-BD9B67E7A0A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255CB172-10B4-4B54-BFDF-17D52DF1698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939603CC-5195-41D8-B3AE-F79CD63766F1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8ED210E9-68B3-44D3-B145-AA2EC7ED7EB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A7208587-BF7A-4F3F-A8C3-A67E878D783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EB5E27CF-0F18-4124-8E8F-08695B211C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2692E42-7B97-4AD7-82C1-80F9D9E6923C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6A896293-6CF8-4282-A57A-8DCE06D2041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35E719C-F98A-4A1A-A7A4-7840D9E48A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55A9DEFA-EDA9-4D77-BB4C-C4AF610B7BE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DAE2F3BE-7257-4EDD-B2D9-79446EC7B4F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L9</xm:sqref>
        </x14:conditionalFormatting>
        <x14:conditionalFormatting xmlns:xm="http://schemas.microsoft.com/office/excel/2006/main">
          <x14:cfRule type="dataBar" id="{A7CBC824-7805-40FE-9EE6-2CE534F10F77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M9</xm:sqref>
        </x14:conditionalFormatting>
        <x14:conditionalFormatting xmlns:xm="http://schemas.microsoft.com/office/excel/2006/main">
          <x14:cfRule type="dataBar" id="{7C168876-213F-4C1D-A1CE-4D6B492C5A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J9</xm:sqref>
        </x14:conditionalFormatting>
        <x14:conditionalFormatting xmlns:xm="http://schemas.microsoft.com/office/excel/2006/main">
          <x14:cfRule type="dataBar" id="{3170BB6A-78C2-468A-9EE4-6174091CF02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AB194F66-B12F-464E-BAF2-F87C80F6323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B0299A6B-BB45-4F77-9211-2170AF4E2064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71C3851C-F9D9-4CBB-8A8B-1E2840C7F6C8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6F04ED4F-90E3-4318-B136-7118CDF348A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B02DA00-8FBF-4BBA-A80B-EF054E7D77A9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5D289D6E-5E69-446D-8863-006AF2C4B5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F7B53B1F-1BEC-4014-9D09-5ABFDA33F7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A461868E-6DE0-4BF2-977F-C4F86E9429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FE3C0BE0-42D9-4BE6-84BF-08975D1987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5779BCFA-EA07-4C35-BA7D-CF8FD3A7531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754BA453-7331-45E0-A8AE-6EA306FC1508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42A6205F-70E4-4425-86F5-4618B7C90BE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5936B88F-8937-43A5-A433-95D5041415F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ED9697F-6449-4ED3-8000-7DCEEA719B5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DCA3D98-FAFD-4253-9359-061C69694D7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2BA6FFC6-3F5D-4863-B657-8BBF94D4749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F3E2AAE9-B486-44C5-851C-21632852ABE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BEAF6405-DC01-460D-BF00-DFF20A6DEF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E9903653-C8A9-4206-8D7E-12DA5508DC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01A219D8-65F9-454C-92D8-C486316CD655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28C99C03-9834-43F6-B16A-583D87C482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L11</xm:sqref>
        </x14:conditionalFormatting>
        <x14:conditionalFormatting xmlns:xm="http://schemas.microsoft.com/office/excel/2006/main">
          <x14:cfRule type="dataBar" id="{EC8228DF-11A6-43D2-BA12-B9FE073A902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M11</xm:sqref>
        </x14:conditionalFormatting>
        <x14:conditionalFormatting xmlns:xm="http://schemas.microsoft.com/office/excel/2006/main">
          <x14:cfRule type="dataBar" id="{70F87D61-E29A-4996-8543-795AE9657EA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J11</xm:sqref>
        </x14:conditionalFormatting>
        <x14:conditionalFormatting xmlns:xm="http://schemas.microsoft.com/office/excel/2006/main">
          <x14:cfRule type="dataBar" id="{D982599C-44FD-4A9A-B505-72C835F34E2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14:cfRule type="dataBar" id="{FB61FF37-9095-4F5E-B7E7-54EC87CF44F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BE175885-59EF-46D0-801E-7D6A62F20AD0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14:cfRule type="dataBar" id="{F29A8F87-B14B-4373-9C9F-C3DB17E65A90}">
            <x14:dataBar minLength="0" maxLength="100" border="1" negativeBarBorderColorSameAsPositive="0">
              <x14:cfvo type="autoMin"/>
              <x14:cfvo type="autoMax"/>
              <x14:borderColor rgb="FFD6007B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06B7BE74-91FD-4A7E-950B-735E51F0341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F486DAB6-0631-465F-B701-5975FADF9F53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6832D98-3D44-4DA0-A5E5-CA1FD155C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14:cfRule type="dataBar" id="{48AB960B-25A4-4ABC-B796-B77F433DDDB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89AE3D60-89E1-4942-A094-941D5D31C16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49924D6-03C2-4BCC-964D-5C0DBDD9D6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2577D37-F8A0-4CDF-B256-AB8AB272063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90AE0040-B3A2-4C7F-AE9F-34C5DCFEA82F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35C5841F-C902-41C7-899C-F5360D1F816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AFBB9F41-DF69-4FDD-B720-7B7ABB4C996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878C3B4F-57E0-4826-B428-C57071A8E3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324AE810-0581-4A06-A6D4-14726342174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46AB8E77-0E3C-45DC-8068-CCC6CF631E0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680DF83F-4B71-44DC-B285-9F0C23A38596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6CCDE037-41E5-4955-AAA2-4A13C7813C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B43EEDC4-9627-464F-9CF5-EA303060C88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E396DB9B-BC16-4DB4-AA4A-C703AD8500CE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A45E195D-0D9A-48E3-848D-550B1FA6F0B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L12</xm:sqref>
        </x14:conditionalFormatting>
        <x14:conditionalFormatting xmlns:xm="http://schemas.microsoft.com/office/excel/2006/main">
          <x14:cfRule type="dataBar" id="{DCE39732-9BA4-47C4-B510-28A9684EFD5B}">
            <x14:dataBar minLength="0" maxLength="100" border="1" negativeBarBorderColorSameAsPositive="0">
              <x14:cfvo type="autoMin"/>
              <x14:cfvo type="autoMax"/>
              <x14:borderColor rgb="FFFF555A"/>
              <x14:negativeFillColor rgb="FFFF0000"/>
              <x14:negativeBorderColor rgb="FFFF0000"/>
              <x14:axisColor rgb="FF000000"/>
            </x14:dataBar>
          </x14:cfRule>
          <xm:sqref>M12</xm:sqref>
        </x14:conditionalFormatting>
        <x14:conditionalFormatting xmlns:xm="http://schemas.microsoft.com/office/excel/2006/main">
          <x14:cfRule type="dataBar" id="{B21D1902-D6C5-497E-9B71-D5D28CF7685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J12</xm:sqref>
        </x14:conditionalFormatting>
        <x14:conditionalFormatting xmlns:xm="http://schemas.microsoft.com/office/excel/2006/main">
          <x14:cfRule type="dataBar" id="{CAB78BC6-9721-49A3-92BF-CDAA0205592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AE7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1F1000-C6EE-4ED4-937D-3F8F5DE4023C}">
  <dimension ref="B1:M43"/>
  <sheetViews>
    <sheetView workbookViewId="0">
      <selection activeCell="C8" sqref="C8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38</v>
      </c>
      <c r="C4" s="222"/>
      <c r="D4" s="223" t="e">
        <f>C4/C$18</f>
        <v>#DIV/0!</v>
      </c>
      <c r="E4" s="223" t="e">
        <f>D4</f>
        <v>#DIV/0!</v>
      </c>
      <c r="F4" s="224" t="e">
        <f>IF(AND(E4&lt;=0),"C",IF(E4&lt;=0.8,"A",IF(E4&lt;=0.95,"B","C")))</f>
        <v>#DIV/0!</v>
      </c>
      <c r="G4" s="224" t="e">
        <f>VLOOKUP(B$4:B$17,I$4:M$17,5,0)</f>
        <v>#DIV/0!</v>
      </c>
      <c r="I4" s="221" t="s">
        <v>38</v>
      </c>
      <c r="J4" s="222"/>
      <c r="K4" s="223" t="e">
        <f>J4/J$18</f>
        <v>#DIV/0!</v>
      </c>
      <c r="L4" s="223" t="e">
        <f>K4</f>
        <v>#DIV/0!</v>
      </c>
      <c r="M4" s="224" t="e">
        <f t="shared" ref="M4:M17" si="0">_xlfn.IFS(L4&lt;80%,"A",L4&lt;=95%,"B",L4&gt;95%,"C")</f>
        <v>#DIV/0!</v>
      </c>
    </row>
    <row r="5" spans="2:13" ht="28.5" customHeight="1" outlineLevel="1" thickBot="1">
      <c r="B5" s="221" t="s">
        <v>39</v>
      </c>
      <c r="C5" s="222"/>
      <c r="D5" s="223" t="e">
        <f>C5/C$18</f>
        <v>#DIV/0!</v>
      </c>
      <c r="E5" s="223" t="e">
        <f>D5+E4</f>
        <v>#DIV/0!</v>
      </c>
      <c r="F5" s="224" t="e">
        <f t="shared" ref="F5:F17" si="1">IF(AND(E5&lt;=0),"C",IF(E5&lt;=0.8,"A",IF(E5&lt;=0.95,"B","C")))</f>
        <v>#DIV/0!</v>
      </c>
      <c r="G5" s="224" t="e">
        <f>VLOOKUP(B$4:B$17,I$4:M$17,5,0)</f>
        <v>#DIV/0!</v>
      </c>
      <c r="I5" s="221" t="s">
        <v>39</v>
      </c>
      <c r="J5" s="222"/>
      <c r="K5" s="223" t="e">
        <f>J5/J$18</f>
        <v>#DIV/0!</v>
      </c>
      <c r="L5" s="223" t="e">
        <f>K5+L4</f>
        <v>#DIV/0!</v>
      </c>
      <c r="M5" s="224" t="e">
        <f t="shared" si="0"/>
        <v>#DIV/0!</v>
      </c>
    </row>
    <row r="6" spans="2:13" ht="28.5" customHeight="1" outlineLevel="1" thickBot="1">
      <c r="B6" s="221" t="s">
        <v>40</v>
      </c>
      <c r="C6" s="222"/>
      <c r="D6" s="223" t="e">
        <f t="shared" ref="D6:D11" si="2">C6/C$18</f>
        <v>#DIV/0!</v>
      </c>
      <c r="E6" s="223" t="e">
        <f t="shared" ref="E6:E11" si="3">D6+E5</f>
        <v>#DIV/0!</v>
      </c>
      <c r="F6" s="224" t="e">
        <f t="shared" si="1"/>
        <v>#DIV/0!</v>
      </c>
      <c r="G6" s="224" t="e">
        <f t="shared" ref="G6:G11" si="4">VLOOKUP(B$4:B$17,I$4:M$17,5,0)</f>
        <v>#DIV/0!</v>
      </c>
      <c r="I6" s="221" t="s">
        <v>40</v>
      </c>
      <c r="J6" s="222"/>
      <c r="K6" s="223" t="e">
        <f t="shared" ref="K6:K11" si="5">J6/J$18</f>
        <v>#DIV/0!</v>
      </c>
      <c r="L6" s="223" t="e">
        <f t="shared" ref="L6:L11" si="6">K6+L5</f>
        <v>#DIV/0!</v>
      </c>
      <c r="M6" s="224" t="e">
        <f t="shared" si="0"/>
        <v>#DIV/0!</v>
      </c>
    </row>
    <row r="7" spans="2:13" ht="28.5" customHeight="1" outlineLevel="1" thickBot="1">
      <c r="B7" s="221" t="s">
        <v>41</v>
      </c>
      <c r="C7" s="222"/>
      <c r="D7" s="223" t="e">
        <f t="shared" si="2"/>
        <v>#DIV/0!</v>
      </c>
      <c r="E7" s="223" t="e">
        <f t="shared" si="3"/>
        <v>#DIV/0!</v>
      </c>
      <c r="F7" s="224" t="e">
        <f t="shared" si="1"/>
        <v>#DIV/0!</v>
      </c>
      <c r="G7" s="224" t="e">
        <f t="shared" si="4"/>
        <v>#DIV/0!</v>
      </c>
      <c r="I7" s="221" t="s">
        <v>41</v>
      </c>
      <c r="J7" s="222"/>
      <c r="K7" s="223" t="e">
        <f t="shared" si="5"/>
        <v>#DIV/0!</v>
      </c>
      <c r="L7" s="223" t="e">
        <f t="shared" si="6"/>
        <v>#DIV/0!</v>
      </c>
      <c r="M7" s="224" t="e">
        <f t="shared" si="0"/>
        <v>#DIV/0!</v>
      </c>
    </row>
    <row r="8" spans="2:13" ht="28.5" customHeight="1" outlineLevel="1" thickBot="1">
      <c r="B8" s="221" t="s">
        <v>42</v>
      </c>
      <c r="C8" s="222"/>
      <c r="D8" s="223" t="e">
        <f t="shared" si="2"/>
        <v>#DIV/0!</v>
      </c>
      <c r="E8" s="223" t="e">
        <f t="shared" si="3"/>
        <v>#DIV/0!</v>
      </c>
      <c r="F8" s="224" t="e">
        <f t="shared" si="1"/>
        <v>#DIV/0!</v>
      </c>
      <c r="G8" s="224" t="e">
        <f t="shared" si="4"/>
        <v>#DIV/0!</v>
      </c>
      <c r="I8" s="221" t="s">
        <v>42</v>
      </c>
      <c r="J8" s="222"/>
      <c r="K8" s="223" t="e">
        <f t="shared" si="5"/>
        <v>#DIV/0!</v>
      </c>
      <c r="L8" s="223" t="e">
        <f t="shared" si="6"/>
        <v>#DIV/0!</v>
      </c>
      <c r="M8" s="224" t="e">
        <f t="shared" si="0"/>
        <v>#DIV/0!</v>
      </c>
    </row>
    <row r="9" spans="2:13" ht="28.5" customHeight="1" outlineLevel="1" thickBot="1">
      <c r="B9" s="221" t="s">
        <v>43</v>
      </c>
      <c r="C9" s="222"/>
      <c r="D9" s="223" t="e">
        <f t="shared" si="2"/>
        <v>#DIV/0!</v>
      </c>
      <c r="E9" s="223" t="e">
        <f t="shared" si="3"/>
        <v>#DIV/0!</v>
      </c>
      <c r="F9" s="224" t="e">
        <f t="shared" si="1"/>
        <v>#DIV/0!</v>
      </c>
      <c r="G9" s="224" t="e">
        <f t="shared" si="4"/>
        <v>#DIV/0!</v>
      </c>
      <c r="I9" s="221" t="s">
        <v>43</v>
      </c>
      <c r="J9" s="222"/>
      <c r="K9" s="223" t="e">
        <f t="shared" si="5"/>
        <v>#DIV/0!</v>
      </c>
      <c r="L9" s="223" t="e">
        <f t="shared" si="6"/>
        <v>#DIV/0!</v>
      </c>
      <c r="M9" s="224" t="e">
        <f t="shared" si="0"/>
        <v>#DIV/0!</v>
      </c>
    </row>
    <row r="10" spans="2:13" ht="28.5" customHeight="1" outlineLevel="1" thickBot="1">
      <c r="B10" s="221" t="s">
        <v>55</v>
      </c>
      <c r="C10" s="222"/>
      <c r="D10" s="223" t="e">
        <f t="shared" si="2"/>
        <v>#DIV/0!</v>
      </c>
      <c r="E10" s="223" t="e">
        <f t="shared" si="3"/>
        <v>#DIV/0!</v>
      </c>
      <c r="F10" s="224" t="e">
        <f t="shared" si="1"/>
        <v>#DIV/0!</v>
      </c>
      <c r="G10" s="224" t="e">
        <f t="shared" si="4"/>
        <v>#DIV/0!</v>
      </c>
      <c r="I10" s="221" t="s">
        <v>55</v>
      </c>
      <c r="J10" s="222"/>
      <c r="K10" s="223" t="e">
        <f t="shared" si="5"/>
        <v>#DIV/0!</v>
      </c>
      <c r="L10" s="223" t="e">
        <f t="shared" si="6"/>
        <v>#DIV/0!</v>
      </c>
      <c r="M10" s="224" t="e">
        <f t="shared" si="0"/>
        <v>#DIV/0!</v>
      </c>
    </row>
    <row r="11" spans="2:13" ht="28.5" customHeight="1" outlineLevel="1" thickBot="1">
      <c r="B11" s="221" t="s">
        <v>56</v>
      </c>
      <c r="C11" s="222"/>
      <c r="D11" s="223" t="e">
        <f t="shared" si="2"/>
        <v>#DIV/0!</v>
      </c>
      <c r="E11" s="223" t="e">
        <f t="shared" si="3"/>
        <v>#DIV/0!</v>
      </c>
      <c r="F11" s="224" t="e">
        <f t="shared" si="1"/>
        <v>#DIV/0!</v>
      </c>
      <c r="G11" s="224" t="e">
        <f t="shared" si="4"/>
        <v>#DIV/0!</v>
      </c>
      <c r="I11" s="221" t="s">
        <v>56</v>
      </c>
      <c r="J11" s="222"/>
      <c r="K11" s="223" t="e">
        <f t="shared" si="5"/>
        <v>#DIV/0!</v>
      </c>
      <c r="L11" s="223" t="e">
        <f t="shared" si="6"/>
        <v>#DIV/0!</v>
      </c>
      <c r="M11" s="224" t="e">
        <f t="shared" si="0"/>
        <v>#DIV/0!</v>
      </c>
    </row>
    <row r="12" spans="2:13" ht="28.5" customHeight="1" outlineLevel="1" thickBot="1">
      <c r="B12" s="221" t="s">
        <v>52</v>
      </c>
      <c r="C12" s="222"/>
      <c r="D12" s="223" t="e">
        <f t="shared" ref="D12:D17" si="7">C12/C$18</f>
        <v>#DIV/0!</v>
      </c>
      <c r="E12" s="223" t="e">
        <f>D12+E5</f>
        <v>#DIV/0!</v>
      </c>
      <c r="F12" s="224" t="e">
        <f t="shared" si="1"/>
        <v>#DIV/0!</v>
      </c>
      <c r="G12" s="224" t="e">
        <f t="shared" ref="G12:G17" si="8">VLOOKUP(B$4:B$17,I$4:M$17,5,0)</f>
        <v>#DIV/0!</v>
      </c>
      <c r="I12" s="221" t="s">
        <v>52</v>
      </c>
      <c r="J12" s="222"/>
      <c r="K12" s="223" t="e">
        <f t="shared" ref="K12:K17" si="9">J12/J$18</f>
        <v>#DIV/0!</v>
      </c>
      <c r="L12" s="223" t="e">
        <f>K12+L5</f>
        <v>#DIV/0!</v>
      </c>
      <c r="M12" s="224" t="e">
        <f t="shared" si="0"/>
        <v>#DIV/0!</v>
      </c>
    </row>
    <row r="13" spans="2:13" ht="28.5" customHeight="1" outlineLevel="1" thickBot="1">
      <c r="B13" s="221" t="s">
        <v>57</v>
      </c>
      <c r="C13" s="222"/>
      <c r="D13" s="223" t="e">
        <f t="shared" si="7"/>
        <v>#DIV/0!</v>
      </c>
      <c r="E13" s="223" t="e">
        <f t="shared" ref="E13:E16" si="10">D13+E12</f>
        <v>#DIV/0!</v>
      </c>
      <c r="F13" s="224" t="e">
        <f t="shared" si="1"/>
        <v>#DIV/0!</v>
      </c>
      <c r="G13" s="224" t="e">
        <f t="shared" si="8"/>
        <v>#DIV/0!</v>
      </c>
      <c r="I13" s="221" t="s">
        <v>57</v>
      </c>
      <c r="J13" s="222"/>
      <c r="K13" s="223" t="e">
        <f t="shared" si="9"/>
        <v>#DIV/0!</v>
      </c>
      <c r="L13" s="223" t="e">
        <f t="shared" ref="L13:L16" si="11">K13+L12</f>
        <v>#DIV/0!</v>
      </c>
      <c r="M13" s="224" t="e">
        <f t="shared" si="0"/>
        <v>#DIV/0!</v>
      </c>
    </row>
    <row r="14" spans="2:13" ht="28.5" customHeight="1" outlineLevel="1" thickBot="1">
      <c r="B14" s="221" t="s">
        <v>58</v>
      </c>
      <c r="C14" s="222"/>
      <c r="D14" s="223" t="e">
        <f t="shared" si="7"/>
        <v>#DIV/0!</v>
      </c>
      <c r="E14" s="223" t="e">
        <f t="shared" si="10"/>
        <v>#DIV/0!</v>
      </c>
      <c r="F14" s="224" t="e">
        <f t="shared" si="1"/>
        <v>#DIV/0!</v>
      </c>
      <c r="G14" s="224" t="e">
        <f t="shared" si="8"/>
        <v>#DIV/0!</v>
      </c>
      <c r="I14" s="221" t="s">
        <v>58</v>
      </c>
      <c r="J14" s="222"/>
      <c r="K14" s="223" t="e">
        <f t="shared" si="9"/>
        <v>#DIV/0!</v>
      </c>
      <c r="L14" s="223" t="e">
        <f t="shared" si="11"/>
        <v>#DIV/0!</v>
      </c>
      <c r="M14" s="224" t="e">
        <f t="shared" si="0"/>
        <v>#DIV/0!</v>
      </c>
    </row>
    <row r="15" spans="2:13" ht="28.5" customHeight="1" outlineLevel="1" thickBot="1">
      <c r="B15" s="221" t="s">
        <v>59</v>
      </c>
      <c r="C15" s="222"/>
      <c r="D15" s="223" t="e">
        <f t="shared" si="7"/>
        <v>#DIV/0!</v>
      </c>
      <c r="E15" s="223" t="e">
        <f t="shared" si="10"/>
        <v>#DIV/0!</v>
      </c>
      <c r="F15" s="224" t="e">
        <f t="shared" si="1"/>
        <v>#DIV/0!</v>
      </c>
      <c r="G15" s="224" t="e">
        <f t="shared" si="8"/>
        <v>#DIV/0!</v>
      </c>
      <c r="I15" s="221" t="s">
        <v>59</v>
      </c>
      <c r="J15" s="222"/>
      <c r="K15" s="223" t="e">
        <f t="shared" si="9"/>
        <v>#DIV/0!</v>
      </c>
      <c r="L15" s="223" t="e">
        <f t="shared" si="11"/>
        <v>#DIV/0!</v>
      </c>
      <c r="M15" s="224" t="e">
        <f t="shared" si="0"/>
        <v>#DIV/0!</v>
      </c>
    </row>
    <row r="16" spans="2:13" ht="28.5" customHeight="1" outlineLevel="1" thickBot="1">
      <c r="B16" s="221" t="s">
        <v>53</v>
      </c>
      <c r="C16" s="222"/>
      <c r="D16" s="223" t="e">
        <f t="shared" si="7"/>
        <v>#DIV/0!</v>
      </c>
      <c r="E16" s="223" t="e">
        <f t="shared" si="10"/>
        <v>#DIV/0!</v>
      </c>
      <c r="F16" s="224" t="e">
        <f t="shared" si="1"/>
        <v>#DIV/0!</v>
      </c>
      <c r="G16" s="224" t="e">
        <f t="shared" si="8"/>
        <v>#DIV/0!</v>
      </c>
      <c r="I16" s="221" t="s">
        <v>53</v>
      </c>
      <c r="J16" s="222"/>
      <c r="K16" s="223" t="e">
        <f t="shared" si="9"/>
        <v>#DIV/0!</v>
      </c>
      <c r="L16" s="223" t="e">
        <f t="shared" si="11"/>
        <v>#DIV/0!</v>
      </c>
      <c r="M16" s="224" t="e">
        <f t="shared" si="0"/>
        <v>#DIV/0!</v>
      </c>
    </row>
    <row r="17" spans="2:13" ht="28.5" customHeight="1" outlineLevel="1" thickBot="1">
      <c r="B17" s="221" t="s">
        <v>60</v>
      </c>
      <c r="C17" s="222"/>
      <c r="D17" s="223" t="e">
        <f t="shared" si="7"/>
        <v>#DIV/0!</v>
      </c>
      <c r="E17" s="223" t="e">
        <f>D17+E14</f>
        <v>#DIV/0!</v>
      </c>
      <c r="F17" s="224" t="e">
        <f t="shared" si="1"/>
        <v>#DIV/0!</v>
      </c>
      <c r="G17" s="224" t="e">
        <f t="shared" si="8"/>
        <v>#DIV/0!</v>
      </c>
      <c r="I17" s="221" t="s">
        <v>60</v>
      </c>
      <c r="J17" s="222"/>
      <c r="K17" s="223" t="e">
        <f t="shared" si="9"/>
        <v>#DIV/0!</v>
      </c>
      <c r="L17" s="223" t="e">
        <f>K17+L14</f>
        <v>#DIV/0!</v>
      </c>
      <c r="M17" s="224" t="e">
        <f t="shared" si="0"/>
        <v>#DIV/0!</v>
      </c>
    </row>
    <row r="18" spans="2:13" outlineLevel="1">
      <c r="C18" s="225">
        <f>SUM(C4:C17)</f>
        <v>0</v>
      </c>
      <c r="D18" s="226" t="e">
        <f>SUM(D4:D17)</f>
        <v>#DIV/0!</v>
      </c>
      <c r="J18" s="225">
        <f>SUM(J4:J17)</f>
        <v>0</v>
      </c>
      <c r="K18" s="226" t="e">
        <f>SUM(K4:K17)</f>
        <v>#DIV/0!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mergeCells count="2">
    <mergeCell ref="B2:M2"/>
    <mergeCell ref="B20:M20"/>
  </mergeCells>
  <conditionalFormatting sqref="D4:D17 F4:G17 M4:M17 K4:K17">
    <cfRule type="cellIs" dxfId="158" priority="4" operator="equal">
      <formula>"C"</formula>
    </cfRule>
    <cfRule type="cellIs" dxfId="157" priority="5" operator="equal">
      <formula>"B"</formula>
    </cfRule>
    <cfRule type="cellIs" dxfId="156" priority="6" operator="equal">
      <formula>"A"</formula>
    </cfRule>
  </conditionalFormatting>
  <conditionalFormatting sqref="M22:M41 D22:D41 K22:K41 F22:G41">
    <cfRule type="cellIs" dxfId="155" priority="1" operator="equal">
      <formula>"C"</formula>
    </cfRule>
    <cfRule type="cellIs" dxfId="154" priority="2" operator="equal">
      <formula>"B"</formula>
    </cfRule>
    <cfRule type="cellIs" dxfId="153" priority="3" operator="equal">
      <formula>"A"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92C6A0-069B-4339-BC1F-01CF88B892B6}">
  <dimension ref="B1:M43"/>
  <sheetViews>
    <sheetView workbookViewId="0">
      <selection activeCell="H6" sqref="H6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ЯНВАРЬ!AE15</f>
        <v>30164.136720000031</v>
      </c>
      <c r="D4" s="223">
        <f>C4/C$18</f>
        <v>0.27352858202972702</v>
      </c>
      <c r="E4" s="223">
        <f>D4</f>
        <v>0.27352858202972702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ЯНВАРЬ!R11</f>
        <v>165</v>
      </c>
      <c r="K4" s="223">
        <f>J4/J$18</f>
        <v>0.31190926275992437</v>
      </c>
      <c r="L4" s="223">
        <f>K4</f>
        <v>0.31190926275992437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52</v>
      </c>
      <c r="C5" s="222">
        <f>ЯНВАРЬ!AE11</f>
        <v>27810.244062000042</v>
      </c>
      <c r="D5" s="223">
        <f>C5/C$18</f>
        <v>0.25218346856039248</v>
      </c>
      <c r="E5" s="223">
        <f>D5+E4</f>
        <v>0.5257120505901195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ЯНВАРЬ!R15</f>
        <v>161</v>
      </c>
      <c r="K5" s="223">
        <f>J5/J$18</f>
        <v>0.30434782608695654</v>
      </c>
      <c r="L5" s="223">
        <f>K5+L4</f>
        <v>0.61625708884688091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ЯНВАРЬ!AE6</f>
        <v>20914.500945999993</v>
      </c>
      <c r="D6" s="223">
        <f t="shared" ref="D6:D11" si="2">C6/C$18</f>
        <v>0.18965282649132473</v>
      </c>
      <c r="E6" s="223">
        <f t="shared" ref="E6:E11" si="3">D6+E5</f>
        <v>0.71536487708144425</v>
      </c>
      <c r="F6" s="224" t="str">
        <f t="shared" si="1"/>
        <v>A</v>
      </c>
      <c r="G6" s="224" t="str">
        <f t="shared" ref="G6:G11" si="4">VLOOKUP(B$4:B$17,I$4:M$17,5,0)</f>
        <v>A</v>
      </c>
      <c r="I6" s="221" t="s">
        <v>41</v>
      </c>
      <c r="J6" s="222">
        <f>ЯНВАРЬ!R6</f>
        <v>82</v>
      </c>
      <c r="K6" s="223">
        <f t="shared" ref="K6:K11" si="5">J6/J$18</f>
        <v>0.15500945179584122</v>
      </c>
      <c r="L6" s="223">
        <f t="shared" ref="L6:L11" si="6">K6+L5</f>
        <v>0.77126654064272215</v>
      </c>
      <c r="M6" s="224" t="str">
        <f t="shared" si="0"/>
        <v>A</v>
      </c>
    </row>
    <row r="7" spans="2:13" ht="28.5" customHeight="1" outlineLevel="1" thickBot="1">
      <c r="B7" s="221" t="s">
        <v>39</v>
      </c>
      <c r="C7" s="222">
        <f>ЯНВАРЬ!AE4</f>
        <v>10414.951691000002</v>
      </c>
      <c r="D7" s="223">
        <f t="shared" si="2"/>
        <v>9.4442847623697396E-2</v>
      </c>
      <c r="E7" s="223">
        <f t="shared" si="3"/>
        <v>0.80980772470514162</v>
      </c>
      <c r="F7" s="224" t="str">
        <f t="shared" si="1"/>
        <v>B</v>
      </c>
      <c r="G7" s="224" t="str">
        <f t="shared" si="4"/>
        <v>C</v>
      </c>
      <c r="I7" s="221" t="s">
        <v>42</v>
      </c>
      <c r="J7" s="222">
        <f>ЯНВАРЬ!R7</f>
        <v>45</v>
      </c>
      <c r="K7" s="223">
        <f t="shared" si="5"/>
        <v>8.5066162570888462E-2</v>
      </c>
      <c r="L7" s="223">
        <f t="shared" si="6"/>
        <v>0.85633270321361066</v>
      </c>
      <c r="M7" s="224" t="str">
        <f t="shared" si="0"/>
        <v>B</v>
      </c>
    </row>
    <row r="8" spans="2:13" ht="28.5" customHeight="1" outlineLevel="1" thickBot="1">
      <c r="B8" s="221" t="s">
        <v>42</v>
      </c>
      <c r="C8" s="222">
        <f>ЯНВАРЬ!AE7</f>
        <v>9317.0298899999943</v>
      </c>
      <c r="D8" s="223">
        <f t="shared" si="2"/>
        <v>8.4486885807361495E-2</v>
      </c>
      <c r="E8" s="223">
        <f t="shared" si="3"/>
        <v>0.89429461051250314</v>
      </c>
      <c r="F8" s="224" t="str">
        <f t="shared" si="1"/>
        <v>B</v>
      </c>
      <c r="G8" s="224" t="str">
        <f t="shared" si="4"/>
        <v>B</v>
      </c>
      <c r="I8" s="221" t="s">
        <v>43</v>
      </c>
      <c r="J8" s="222">
        <f>ЯНВАРЬ!R8</f>
        <v>31</v>
      </c>
      <c r="K8" s="223">
        <f t="shared" si="5"/>
        <v>5.8601134215500943E-2</v>
      </c>
      <c r="L8" s="223">
        <f t="shared" si="6"/>
        <v>0.91493383742911161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ЯНВАРЬ!AE3</f>
        <v>6488.9299360000005</v>
      </c>
      <c r="D9" s="223">
        <f t="shared" si="2"/>
        <v>5.8841657586954664E-2</v>
      </c>
      <c r="E9" s="223">
        <f t="shared" si="3"/>
        <v>0.95313626809945784</v>
      </c>
      <c r="F9" s="224" t="str">
        <f t="shared" si="1"/>
        <v>C</v>
      </c>
      <c r="G9" s="224" t="str">
        <f t="shared" si="4"/>
        <v>C</v>
      </c>
      <c r="I9" s="221" t="s">
        <v>39</v>
      </c>
      <c r="J9" s="222">
        <f>ЯНВАРЬ!R4</f>
        <v>19</v>
      </c>
      <c r="K9" s="223">
        <f t="shared" si="5"/>
        <v>3.5916824196597356E-2</v>
      </c>
      <c r="L9" s="223">
        <f t="shared" si="6"/>
        <v>0.95085066162570897</v>
      </c>
      <c r="M9" s="224" t="str">
        <f t="shared" si="0"/>
        <v>C</v>
      </c>
    </row>
    <row r="10" spans="2:13" ht="28.5" customHeight="1" outlineLevel="1" thickBot="1">
      <c r="B10" s="221" t="s">
        <v>40</v>
      </c>
      <c r="C10" s="222">
        <f>ЯНВАРЬ!AE5</f>
        <v>4628.4432890000007</v>
      </c>
      <c r="D10" s="223">
        <f t="shared" si="2"/>
        <v>4.1970752937403308E-2</v>
      </c>
      <c r="E10" s="223">
        <f t="shared" si="3"/>
        <v>0.99510702103686111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ЯНВАРЬ!R3</f>
        <v>15</v>
      </c>
      <c r="K10" s="223">
        <f t="shared" si="5"/>
        <v>2.835538752362949E-2</v>
      </c>
      <c r="L10" s="223">
        <f t="shared" si="6"/>
        <v>0.97920604914933851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ЯНВАРЬ!AE8</f>
        <v>4052.5984060000014</v>
      </c>
      <c r="D11" s="223">
        <f t="shared" si="2"/>
        <v>3.6748987906361386E-2</v>
      </c>
      <c r="E11" s="223">
        <f t="shared" si="3"/>
        <v>1.0318560089432225</v>
      </c>
      <c r="F11" s="224" t="str">
        <f t="shared" si="1"/>
        <v>C</v>
      </c>
      <c r="G11" s="224" t="str">
        <f t="shared" si="4"/>
        <v>B</v>
      </c>
      <c r="I11" s="221" t="s">
        <v>40</v>
      </c>
      <c r="J11" s="222">
        <f>ЯНВАРЬ!R5</f>
        <v>9</v>
      </c>
      <c r="K11" s="223">
        <f t="shared" si="5"/>
        <v>1.7013232514177693E-2</v>
      </c>
      <c r="L11" s="223">
        <f t="shared" si="6"/>
        <v>0.99621928166351625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ЯНВАРЬ!AE9</f>
        <v>284.37054400000011</v>
      </c>
      <c r="D12" s="223">
        <f t="shared" ref="D12:D17" si="7">C12/C$18</f>
        <v>2.5786738865882603E-3</v>
      </c>
      <c r="E12" s="223">
        <f>D12+E5</f>
        <v>0.52829072447670777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ЯНВАРЬ!R9</f>
        <v>1</v>
      </c>
      <c r="K12" s="223">
        <f t="shared" ref="K12:K17" si="9">J12/J$18</f>
        <v>1.890359168241966E-3</v>
      </c>
      <c r="L12" s="223">
        <f>K12+L5</f>
        <v>0.61814744801512289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ЯНВАРЬ!AE13</f>
        <v>207.80594900000006</v>
      </c>
      <c r="D13" s="223">
        <f t="shared" si="7"/>
        <v>1.8843856562161788E-3</v>
      </c>
      <c r="E13" s="223">
        <f t="shared" ref="E13:E16" si="10">D13+E12</f>
        <v>0.53017511013292395</v>
      </c>
      <c r="F13" s="224" t="str">
        <f t="shared" si="1"/>
        <v>A</v>
      </c>
      <c r="G13" s="224" t="str">
        <f t="shared" si="8"/>
        <v>A</v>
      </c>
      <c r="I13" s="221" t="s">
        <v>58</v>
      </c>
      <c r="J13" s="222">
        <f>ЯНВАРЬ!R13</f>
        <v>1</v>
      </c>
      <c r="K13" s="223">
        <f t="shared" si="9"/>
        <v>1.890359168241966E-3</v>
      </c>
      <c r="L13" s="223">
        <f t="shared" ref="L13:L16" si="11">K13+L12</f>
        <v>0.62003780718336488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ЯНВАРЬ!AE12</f>
        <v>-555.84385799999995</v>
      </c>
      <c r="D14" s="223">
        <f t="shared" si="7"/>
        <v>-5.0403956101904577E-3</v>
      </c>
      <c r="E14" s="223">
        <f t="shared" si="10"/>
        <v>0.52513471452273353</v>
      </c>
      <c r="F14" s="224" t="str">
        <f t="shared" si="1"/>
        <v>A</v>
      </c>
      <c r="G14" s="224" t="str">
        <f t="shared" si="8"/>
        <v>A</v>
      </c>
      <c r="I14" s="221" t="s">
        <v>56</v>
      </c>
      <c r="J14" s="222">
        <f>ЯНВАРЬ!R10</f>
        <v>0</v>
      </c>
      <c r="K14" s="223">
        <f t="shared" si="9"/>
        <v>0</v>
      </c>
      <c r="L14" s="223">
        <f t="shared" si="11"/>
        <v>0.62003780718336488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ЯНВАРЬ!AE14</f>
        <v>-607.06545600000004</v>
      </c>
      <c r="D15" s="223">
        <f t="shared" si="7"/>
        <v>-5.5048733839219086E-3</v>
      </c>
      <c r="E15" s="223">
        <f t="shared" si="10"/>
        <v>0.51962984113881161</v>
      </c>
      <c r="F15" s="224" t="str">
        <f t="shared" si="1"/>
        <v>A</v>
      </c>
      <c r="G15" s="224" t="str">
        <f t="shared" si="8"/>
        <v>A</v>
      </c>
      <c r="I15" s="221" t="s">
        <v>57</v>
      </c>
      <c r="J15" s="222">
        <f>ЯНВАРЬ!R12</f>
        <v>0</v>
      </c>
      <c r="K15" s="223">
        <f t="shared" si="9"/>
        <v>0</v>
      </c>
      <c r="L15" s="223">
        <f t="shared" si="11"/>
        <v>0.62003780718336488</v>
      </c>
      <c r="M15" s="224" t="str">
        <f t="shared" si="0"/>
        <v>A</v>
      </c>
    </row>
    <row r="16" spans="2:13" ht="28.5" customHeight="1" outlineLevel="1" thickBot="1">
      <c r="B16" s="221" t="s">
        <v>60</v>
      </c>
      <c r="C16" s="222">
        <f>ЯНВАРЬ!AE16</f>
        <v>-1324.84465</v>
      </c>
      <c r="D16" s="223">
        <f t="shared" si="7"/>
        <v>-1.2013699642327097E-2</v>
      </c>
      <c r="E16" s="223">
        <f t="shared" si="10"/>
        <v>0.50761614149648449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ЯНВАРЬ!R14</f>
        <v>0</v>
      </c>
      <c r="K16" s="223">
        <f t="shared" si="9"/>
        <v>0</v>
      </c>
      <c r="L16" s="223">
        <f t="shared" si="11"/>
        <v>0.62003780718336488</v>
      </c>
      <c r="M16" s="224" t="str">
        <f t="shared" si="0"/>
        <v>A</v>
      </c>
    </row>
    <row r="17" spans="2:13" ht="28.5" customHeight="1" outlineLevel="1" thickBot="1">
      <c r="B17" s="221" t="s">
        <v>56</v>
      </c>
      <c r="C17" s="222">
        <f>ЯНВАРЬ!AE10</f>
        <v>-1517.4338640000001</v>
      </c>
      <c r="D17" s="223">
        <f t="shared" si="7"/>
        <v>-1.3760099849587516E-2</v>
      </c>
      <c r="E17" s="223">
        <f>D17+E14</f>
        <v>0.51137461467314604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ЯНВАРЬ!R16</f>
        <v>0</v>
      </c>
      <c r="K17" s="223">
        <f t="shared" si="9"/>
        <v>0</v>
      </c>
      <c r="L17" s="223">
        <f>K17+L14</f>
        <v>0.62003780718336488</v>
      </c>
      <c r="M17" s="224" t="str">
        <f t="shared" si="0"/>
        <v>A</v>
      </c>
    </row>
    <row r="18" spans="2:13" outlineLevel="1">
      <c r="C18" s="225">
        <f>SUM(C4:C17)</f>
        <v>110277.82360500007</v>
      </c>
      <c r="D18" s="226">
        <f>SUM(D4:D17)</f>
        <v>1</v>
      </c>
      <c r="J18" s="225">
        <f>SUM(J4:J17)</f>
        <v>529</v>
      </c>
      <c r="K18" s="226">
        <f>SUM(K4:K17)</f>
        <v>1.0000000000000002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52" priority="4" operator="equal">
      <formula>"C"</formula>
    </cfRule>
    <cfRule type="cellIs" dxfId="151" priority="5" operator="equal">
      <formula>"B"</formula>
    </cfRule>
    <cfRule type="cellIs" dxfId="150" priority="6" operator="equal">
      <formula>"A"</formula>
    </cfRule>
  </conditionalFormatting>
  <conditionalFormatting sqref="M22:M41 D22:D41 K22:K41 F22:G41">
    <cfRule type="cellIs" dxfId="149" priority="1" operator="equal">
      <formula>"C"</formula>
    </cfRule>
    <cfRule type="cellIs" dxfId="148" priority="2" operator="equal">
      <formula>"B"</formula>
    </cfRule>
    <cfRule type="cellIs" dxfId="147" priority="3" operator="equal">
      <formula>"A"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D0A862-78A0-4619-8600-236493F6A0B8}">
  <dimension ref="B1:M43"/>
  <sheetViews>
    <sheetView workbookViewId="0">
      <selection activeCell="I7" sqref="I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52</v>
      </c>
      <c r="C4" s="222">
        <f>'Юнит 26.01-01.02'!AE11</f>
        <v>16111.06089600003</v>
      </c>
      <c r="D4" s="223">
        <f>C4/C$18</f>
        <v>0.5177037483928586</v>
      </c>
      <c r="E4" s="223">
        <f>D4</f>
        <v>0.5177037483928586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26.01-01.02'!R11</f>
        <v>48</v>
      </c>
      <c r="K4" s="223">
        <f>J4/J$18</f>
        <v>0.375</v>
      </c>
      <c r="L4" s="223">
        <f>K4</f>
        <v>0.375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26.01-01.02'!AE15</f>
        <v>11558.881158000031</v>
      </c>
      <c r="D5" s="223">
        <f>C5/C$18</f>
        <v>0.3714265709348723</v>
      </c>
      <c r="E5" s="223">
        <f>D5+E4</f>
        <v>0.8891303193277309</v>
      </c>
      <c r="F5" s="224" t="str">
        <f t="shared" ref="F5:F17" si="1">IF(AND(E5&lt;=0),"C",IF(E5&lt;=0.8,"A",IF(E5&lt;=0.95,"B","C")))</f>
        <v>B</v>
      </c>
      <c r="G5" s="224" t="str">
        <f>VLOOKUP(B$4:B$17,I$4:M$17,5,0)</f>
        <v>A</v>
      </c>
      <c r="I5" s="221" t="s">
        <v>53</v>
      </c>
      <c r="J5" s="222">
        <f>'Юнит 26.01-01.02'!R15</f>
        <v>38</v>
      </c>
      <c r="K5" s="223">
        <f>J5/J$18</f>
        <v>0.296875</v>
      </c>
      <c r="L5" s="223">
        <f>K5+L4</f>
        <v>0.671875</v>
      </c>
      <c r="M5" s="224" t="str">
        <f t="shared" si="0"/>
        <v>A</v>
      </c>
    </row>
    <row r="6" spans="2:13" ht="28.5" customHeight="1" outlineLevel="1" thickBot="1">
      <c r="B6" s="221" t="s">
        <v>39</v>
      </c>
      <c r="C6" s="222">
        <f>'Юнит 26.01-01.02'!AE4</f>
        <v>3322.05</v>
      </c>
      <c r="D6" s="223">
        <f t="shared" ref="D6:D11" si="2">C6/C$18</f>
        <v>0.10674888192964924</v>
      </c>
      <c r="E6" s="223">
        <f t="shared" ref="E6:E11" si="3">D6+E5</f>
        <v>0.99587920125738016</v>
      </c>
      <c r="F6" s="224" t="str">
        <f t="shared" si="1"/>
        <v>C</v>
      </c>
      <c r="G6" s="224" t="str">
        <f t="shared" ref="G6:G11" si="4">VLOOKUP(B$4:B$17,I$4:M$17,5,0)</f>
        <v>C</v>
      </c>
      <c r="I6" s="221" t="s">
        <v>42</v>
      </c>
      <c r="J6" s="222">
        <f>'Юнит 26.01-01.02'!R7</f>
        <v>16</v>
      </c>
      <c r="K6" s="223">
        <f t="shared" ref="K6:K11" si="5">J6/J$18</f>
        <v>0.125</v>
      </c>
      <c r="L6" s="223">
        <f t="shared" ref="L6:L11" si="6">K6+L5</f>
        <v>0.796875</v>
      </c>
      <c r="M6" s="224" t="str">
        <f t="shared" si="0"/>
        <v>A</v>
      </c>
    </row>
    <row r="7" spans="2:13" ht="28.5" customHeight="1" outlineLevel="1" thickBot="1">
      <c r="B7" s="221" t="s">
        <v>43</v>
      </c>
      <c r="C7" s="222">
        <f>'Юнит 26.01-01.02'!AE8</f>
        <v>1849.5272290000039</v>
      </c>
      <c r="D7" s="223">
        <f t="shared" si="2"/>
        <v>5.9431665325384249E-2</v>
      </c>
      <c r="E7" s="223">
        <f t="shared" si="3"/>
        <v>1.0553108665827644</v>
      </c>
      <c r="F7" s="224" t="str">
        <f t="shared" si="1"/>
        <v>C</v>
      </c>
      <c r="G7" s="224" t="str">
        <f t="shared" si="4"/>
        <v>B</v>
      </c>
      <c r="I7" s="221" t="s">
        <v>43</v>
      </c>
      <c r="J7" s="222">
        <f>'Юнит 26.01-01.02'!R8</f>
        <v>10</v>
      </c>
      <c r="K7" s="223">
        <f t="shared" si="5"/>
        <v>7.8125E-2</v>
      </c>
      <c r="L7" s="223">
        <f t="shared" si="6"/>
        <v>0.875</v>
      </c>
      <c r="M7" s="224" t="str">
        <f t="shared" si="0"/>
        <v>B</v>
      </c>
    </row>
    <row r="8" spans="2:13" ht="28.5" customHeight="1" outlineLevel="1" thickBot="1">
      <c r="B8" s="221" t="s">
        <v>41</v>
      </c>
      <c r="C8" s="222">
        <f>'Юнит 26.01-01.02'!AE6</f>
        <v>1191.3599999999988</v>
      </c>
      <c r="D8" s="223">
        <f t="shared" si="2"/>
        <v>3.8282490623472491E-2</v>
      </c>
      <c r="E8" s="223">
        <f t="shared" si="3"/>
        <v>1.0935933572062368</v>
      </c>
      <c r="F8" s="224" t="str">
        <f t="shared" si="1"/>
        <v>C</v>
      </c>
      <c r="G8" s="224" t="str">
        <f t="shared" si="4"/>
        <v>B</v>
      </c>
      <c r="I8" s="221" t="s">
        <v>41</v>
      </c>
      <c r="J8" s="222">
        <f>'Юнит 26.01-01.02'!R6</f>
        <v>6</v>
      </c>
      <c r="K8" s="223">
        <f t="shared" si="5"/>
        <v>4.6875E-2</v>
      </c>
      <c r="L8" s="223">
        <f t="shared" si="6"/>
        <v>0.921875</v>
      </c>
      <c r="M8" s="224" t="str">
        <f t="shared" si="0"/>
        <v>B</v>
      </c>
    </row>
    <row r="9" spans="2:13" ht="28.5" customHeight="1" outlineLevel="1" thickBot="1">
      <c r="B9" s="221" t="s">
        <v>57</v>
      </c>
      <c r="C9" s="222">
        <f>'Юнит 26.01-01.02'!AE12</f>
        <v>291.3461420000001</v>
      </c>
      <c r="D9" s="223">
        <f t="shared" si="2"/>
        <v>9.3619526837395075E-3</v>
      </c>
      <c r="E9" s="223">
        <f t="shared" si="3"/>
        <v>1.1029553098899763</v>
      </c>
      <c r="F9" s="224" t="str">
        <f t="shared" si="1"/>
        <v>C</v>
      </c>
      <c r="G9" s="224" t="str">
        <f t="shared" si="4"/>
        <v>A</v>
      </c>
      <c r="I9" s="221" t="s">
        <v>39</v>
      </c>
      <c r="J9" s="222">
        <f>'Юнит 26.01-01.02'!R4</f>
        <v>5</v>
      </c>
      <c r="K9" s="223">
        <f t="shared" si="5"/>
        <v>3.90625E-2</v>
      </c>
      <c r="L9" s="223">
        <f t="shared" si="6"/>
        <v>0.9609375</v>
      </c>
      <c r="M9" s="224" t="str">
        <f t="shared" si="0"/>
        <v>C</v>
      </c>
    </row>
    <row r="10" spans="2:13" ht="28.5" customHeight="1" outlineLevel="1" thickBot="1">
      <c r="B10" s="221" t="s">
        <v>55</v>
      </c>
      <c r="C10" s="222">
        <f>'Юнит 26.01-01.02'!AE9</f>
        <v>284.37054400000011</v>
      </c>
      <c r="D10" s="223">
        <f t="shared" si="2"/>
        <v>9.1378027500266801E-3</v>
      </c>
      <c r="E10" s="223">
        <f t="shared" si="3"/>
        <v>1.1120931126400029</v>
      </c>
      <c r="F10" s="224" t="str">
        <f t="shared" si="1"/>
        <v>C</v>
      </c>
      <c r="G10" s="224" t="str">
        <f t="shared" si="4"/>
        <v>C</v>
      </c>
      <c r="I10" s="221" t="s">
        <v>38</v>
      </c>
      <c r="J10" s="222">
        <f>'Юнит 26.01-01.02'!R3</f>
        <v>1</v>
      </c>
      <c r="K10" s="223">
        <f t="shared" si="5"/>
        <v>7.8125E-3</v>
      </c>
      <c r="L10" s="223">
        <f t="shared" si="6"/>
        <v>0.96875</v>
      </c>
      <c r="M10" s="224" t="str">
        <f t="shared" si="0"/>
        <v>C</v>
      </c>
    </row>
    <row r="11" spans="2:13" ht="28.5" customHeight="1" outlineLevel="1" thickBot="1">
      <c r="B11" s="221" t="s">
        <v>58</v>
      </c>
      <c r="C11" s="222">
        <f>'Юнит 26.01-01.02'!AE13</f>
        <v>207.80594900000006</v>
      </c>
      <c r="D11" s="223">
        <f t="shared" si="2"/>
        <v>6.6775192167726908E-3</v>
      </c>
      <c r="E11" s="223">
        <f t="shared" si="3"/>
        <v>1.1187706318567756</v>
      </c>
      <c r="F11" s="224" t="str">
        <f t="shared" si="1"/>
        <v>C</v>
      </c>
      <c r="G11" s="224" t="str">
        <f t="shared" si="4"/>
        <v>A</v>
      </c>
      <c r="I11" s="221" t="s">
        <v>55</v>
      </c>
      <c r="J11" s="222">
        <f>'Юнит 26.01-01.02'!R9</f>
        <v>1</v>
      </c>
      <c r="K11" s="223">
        <f t="shared" si="5"/>
        <v>7.8125E-3</v>
      </c>
      <c r="L11" s="223">
        <f t="shared" si="6"/>
        <v>0.9765625</v>
      </c>
      <c r="M11" s="224" t="str">
        <f t="shared" si="0"/>
        <v>C</v>
      </c>
    </row>
    <row r="12" spans="2:13" ht="28.5" customHeight="1" outlineLevel="1" thickBot="1">
      <c r="B12" s="221" t="s">
        <v>38</v>
      </c>
      <c r="C12" s="222">
        <f>'Юнит 26.01-01.02'!AE3</f>
        <v>152.1099999999999</v>
      </c>
      <c r="D12" s="223">
        <f t="shared" ref="D12:D17" si="7">C12/C$18</f>
        <v>4.8878169896054953E-3</v>
      </c>
      <c r="E12" s="223">
        <f>D12+E5</f>
        <v>0.8940181363173364</v>
      </c>
      <c r="F12" s="224" t="str">
        <f t="shared" si="1"/>
        <v>B</v>
      </c>
      <c r="G12" s="224" t="str">
        <f t="shared" ref="G12:G17" si="8">VLOOKUP(B$4:B$17,I$4:M$17,5,0)</f>
        <v>C</v>
      </c>
      <c r="I12" s="221" t="s">
        <v>56</v>
      </c>
      <c r="J12" s="222">
        <f>'Юнит 26.01-01.02'!R10</f>
        <v>1</v>
      </c>
      <c r="K12" s="223">
        <f t="shared" ref="K12:K17" si="9">J12/J$18</f>
        <v>7.8125E-3</v>
      </c>
      <c r="L12" s="223">
        <f>K12+L5</f>
        <v>0.6796875</v>
      </c>
      <c r="M12" s="224" t="str">
        <f t="shared" si="0"/>
        <v>A</v>
      </c>
    </row>
    <row r="13" spans="2:13" ht="28.5" customHeight="1" outlineLevel="1" thickBot="1">
      <c r="B13" s="221" t="s">
        <v>40</v>
      </c>
      <c r="C13" s="222">
        <f>'Юнит 26.01-01.02'!AE5</f>
        <v>0</v>
      </c>
      <c r="D13" s="223">
        <f t="shared" si="7"/>
        <v>0</v>
      </c>
      <c r="E13" s="223">
        <f t="shared" ref="E13:E16" si="10">D13+E12</f>
        <v>0.8940181363173364</v>
      </c>
      <c r="F13" s="224" t="str">
        <f t="shared" si="1"/>
        <v>B</v>
      </c>
      <c r="G13" s="224" t="str">
        <f t="shared" si="8"/>
        <v>A</v>
      </c>
      <c r="I13" s="221" t="s">
        <v>57</v>
      </c>
      <c r="J13" s="222">
        <f>'Юнит 26.01-01.02'!R12</f>
        <v>1</v>
      </c>
      <c r="K13" s="223">
        <f t="shared" si="9"/>
        <v>7.8125E-3</v>
      </c>
      <c r="L13" s="223">
        <f t="shared" ref="L13:L16" si="11">K13+L12</f>
        <v>0.6875</v>
      </c>
      <c r="M13" s="224" t="str">
        <f t="shared" si="0"/>
        <v>A</v>
      </c>
    </row>
    <row r="14" spans="2:13" ht="28.5" customHeight="1" outlineLevel="1" thickBot="1">
      <c r="B14" s="221" t="s">
        <v>42</v>
      </c>
      <c r="C14" s="222">
        <f>'Юнит 26.01-01.02'!AE7</f>
        <v>-472.79957499999551</v>
      </c>
      <c r="D14" s="223">
        <f t="shared" si="7"/>
        <v>-1.5192675007318631E-2</v>
      </c>
      <c r="E14" s="223">
        <f t="shared" si="10"/>
        <v>0.87882546131001782</v>
      </c>
      <c r="F14" s="224" t="str">
        <f t="shared" si="1"/>
        <v>B</v>
      </c>
      <c r="G14" s="224" t="str">
        <f t="shared" si="8"/>
        <v>A</v>
      </c>
      <c r="I14" s="221" t="s">
        <v>58</v>
      </c>
      <c r="J14" s="222">
        <f>'Юнит 26.01-01.02'!R13</f>
        <v>1</v>
      </c>
      <c r="K14" s="223">
        <f t="shared" si="9"/>
        <v>7.8125E-3</v>
      </c>
      <c r="L14" s="223">
        <f t="shared" si="11"/>
        <v>0.6953125</v>
      </c>
      <c r="M14" s="224" t="str">
        <f t="shared" si="0"/>
        <v>A</v>
      </c>
    </row>
    <row r="15" spans="2:13" ht="28.5" customHeight="1" outlineLevel="1" thickBot="1">
      <c r="B15" s="221" t="s">
        <v>59</v>
      </c>
      <c r="C15" s="222">
        <f>'Юнит 26.01-01.02'!AE14</f>
        <v>-807.06545600000004</v>
      </c>
      <c r="D15" s="223">
        <f t="shared" si="7"/>
        <v>-2.5933786388537959E-2</v>
      </c>
      <c r="E15" s="223">
        <f t="shared" si="10"/>
        <v>0.85289167492147988</v>
      </c>
      <c r="F15" s="224" t="str">
        <f t="shared" si="1"/>
        <v>B</v>
      </c>
      <c r="G15" s="224" t="str">
        <f t="shared" si="8"/>
        <v>A</v>
      </c>
      <c r="I15" s="221" t="s">
        <v>40</v>
      </c>
      <c r="J15" s="222">
        <f>'Юнит 26.01-01.02'!R5</f>
        <v>0</v>
      </c>
      <c r="K15" s="223">
        <f t="shared" si="9"/>
        <v>0</v>
      </c>
      <c r="L15" s="223">
        <f t="shared" si="11"/>
        <v>0.6953125</v>
      </c>
      <c r="M15" s="224" t="str">
        <f t="shared" si="0"/>
        <v>A</v>
      </c>
    </row>
    <row r="16" spans="2:13" ht="28.5" customHeight="1" outlineLevel="1" thickBot="1">
      <c r="B16" s="221" t="s">
        <v>56</v>
      </c>
      <c r="C16" s="222">
        <f>'Юнит 26.01-01.02'!AE10</f>
        <v>-963.67689800000016</v>
      </c>
      <c r="D16" s="223">
        <f t="shared" si="7"/>
        <v>-3.0966250177731414E-2</v>
      </c>
      <c r="E16" s="223">
        <f t="shared" si="10"/>
        <v>0.82192542474374841</v>
      </c>
      <c r="F16" s="224" t="str">
        <f t="shared" si="1"/>
        <v>B</v>
      </c>
      <c r="G16" s="224" t="str">
        <f t="shared" si="8"/>
        <v>A</v>
      </c>
      <c r="I16" s="221" t="s">
        <v>59</v>
      </c>
      <c r="J16" s="222">
        <f>'Юнит 26.01-01.02'!R14</f>
        <v>0</v>
      </c>
      <c r="K16" s="223">
        <f t="shared" si="9"/>
        <v>0</v>
      </c>
      <c r="L16" s="223">
        <f t="shared" si="11"/>
        <v>0.6953125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26.01-01.02'!AE16</f>
        <v>-1604.737721</v>
      </c>
      <c r="D17" s="223">
        <f t="shared" si="7"/>
        <v>-5.1565737272793427E-2</v>
      </c>
      <c r="E17" s="223">
        <f>D17+E14</f>
        <v>0.82725972403722436</v>
      </c>
      <c r="F17" s="224" t="str">
        <f t="shared" si="1"/>
        <v>B</v>
      </c>
      <c r="G17" s="224" t="str">
        <f t="shared" si="8"/>
        <v>A</v>
      </c>
      <c r="I17" s="221" t="s">
        <v>60</v>
      </c>
      <c r="J17" s="222">
        <f>'Юнит 26.01-01.02'!R16</f>
        <v>0</v>
      </c>
      <c r="K17" s="223">
        <f t="shared" si="9"/>
        <v>0</v>
      </c>
      <c r="L17" s="223">
        <f>K17+L14</f>
        <v>0.6953125</v>
      </c>
      <c r="M17" s="224" t="str">
        <f t="shared" si="0"/>
        <v>A</v>
      </c>
    </row>
    <row r="18" spans="2:13" outlineLevel="1">
      <c r="C18" s="225">
        <f>SUM(C4:C17)</f>
        <v>31120.232268000073</v>
      </c>
      <c r="D18" s="226">
        <f>SUM(D4:D17)</f>
        <v>0.99999999999999944</v>
      </c>
      <c r="J18" s="225">
        <f>SUM(J4:J17)</f>
        <v>128</v>
      </c>
      <c r="K18" s="226">
        <f>SUM(K4:K17)</f>
        <v>1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46" priority="4" operator="equal">
      <formula>"C"</formula>
    </cfRule>
    <cfRule type="cellIs" dxfId="145" priority="5" operator="equal">
      <formula>"B"</formula>
    </cfRule>
    <cfRule type="cellIs" dxfId="144" priority="6" operator="equal">
      <formula>"A"</formula>
    </cfRule>
  </conditionalFormatting>
  <conditionalFormatting sqref="M22:M41 D22:D41 K22:K41 F22:G41">
    <cfRule type="cellIs" dxfId="143" priority="1" operator="equal">
      <formula>"C"</formula>
    </cfRule>
    <cfRule type="cellIs" dxfId="142" priority="2" operator="equal">
      <formula>"B"</formula>
    </cfRule>
    <cfRule type="cellIs" dxfId="141" priority="3" operator="equal">
      <formula>"A"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D80F2-4434-479C-A0EF-717715F23593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41</v>
      </c>
      <c r="C4" s="222">
        <f>'Юнит 19-25.01'!AE6</f>
        <v>10158.920000000002</v>
      </c>
      <c r="D4" s="223">
        <f>C4/C$18</f>
        <v>0.52787055982190201</v>
      </c>
      <c r="E4" s="223">
        <f>D4</f>
        <v>0.52787055982190201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19-25.01'!R11</f>
        <v>26</v>
      </c>
      <c r="K4" s="223">
        <f>J4/J$18</f>
        <v>0.29213483146067415</v>
      </c>
      <c r="L4" s="223">
        <f>K4</f>
        <v>0.29213483146067415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19-25.01'!AE4</f>
        <v>4879.4517290000013</v>
      </c>
      <c r="D5" s="223">
        <f>C5/C$18</f>
        <v>0.25354259269796176</v>
      </c>
      <c r="E5" s="223">
        <f>D5+E4</f>
        <v>0.78141315251986376</v>
      </c>
      <c r="F5" s="224" t="str">
        <f t="shared" ref="F5:F17" si="1">IF(AND(E5&lt;=0),"C",IF(E5&lt;=0.8,"A",IF(E5&lt;=0.95,"B","C")))</f>
        <v>A</v>
      </c>
      <c r="G5" s="224" t="str">
        <f>VLOOKUP(B$4:B$17,I$4:M$17,5,0)</f>
        <v>B</v>
      </c>
      <c r="I5" s="221" t="s">
        <v>41</v>
      </c>
      <c r="J5" s="222">
        <f>'Юнит 19-25.01'!R6</f>
        <v>18</v>
      </c>
      <c r="K5" s="223">
        <f>J5/J$18</f>
        <v>0.20224719101123595</v>
      </c>
      <c r="L5" s="223">
        <f>K5+L4</f>
        <v>0.4943820224719101</v>
      </c>
      <c r="M5" s="224" t="str">
        <f t="shared" si="0"/>
        <v>A</v>
      </c>
    </row>
    <row r="6" spans="2:13" ht="28.5" customHeight="1" outlineLevel="1" thickBot="1">
      <c r="B6" s="221" t="s">
        <v>38</v>
      </c>
      <c r="C6" s="222">
        <f>'Юнит 19-25.01'!AE3</f>
        <v>3054.9100000000008</v>
      </c>
      <c r="D6" s="223">
        <f t="shared" ref="D6:D11" si="2">C6/C$18</f>
        <v>0.15873705589821818</v>
      </c>
      <c r="E6" s="223">
        <f t="shared" ref="E6:E11" si="3">D6+E5</f>
        <v>0.94015020841808195</v>
      </c>
      <c r="F6" s="224" t="str">
        <f t="shared" si="1"/>
        <v>B</v>
      </c>
      <c r="G6" s="224" t="str">
        <f t="shared" ref="G6:G11" si="4">VLOOKUP(B$4:B$17,I$4:M$17,5,0)</f>
        <v>B</v>
      </c>
      <c r="I6" s="221" t="s">
        <v>53</v>
      </c>
      <c r="J6" s="222">
        <f>'Юнит 19-25.01'!R15</f>
        <v>17</v>
      </c>
      <c r="K6" s="223">
        <f t="shared" ref="K6:K11" si="5">J6/J$18</f>
        <v>0.19101123595505617</v>
      </c>
      <c r="L6" s="223">
        <f t="shared" ref="L6:L11" si="6">K6+L5</f>
        <v>0.6853932584269663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19-25.01'!AE5</f>
        <v>2087.1199999999994</v>
      </c>
      <c r="D7" s="223">
        <f t="shared" si="2"/>
        <v>0.1084494417532068</v>
      </c>
      <c r="E7" s="223">
        <f t="shared" si="3"/>
        <v>1.0485996501712886</v>
      </c>
      <c r="F7" s="224" t="str">
        <f t="shared" si="1"/>
        <v>C</v>
      </c>
      <c r="G7" s="224" t="str">
        <f t="shared" si="4"/>
        <v>C</v>
      </c>
      <c r="I7" s="221" t="s">
        <v>42</v>
      </c>
      <c r="J7" s="222">
        <f>'Юнит 19-25.01'!R7</f>
        <v>10</v>
      </c>
      <c r="K7" s="223">
        <f t="shared" si="5"/>
        <v>0.11235955056179775</v>
      </c>
      <c r="L7" s="223">
        <f t="shared" si="6"/>
        <v>0.797752808988764</v>
      </c>
      <c r="M7" s="224" t="str">
        <f t="shared" si="0"/>
        <v>A</v>
      </c>
    </row>
    <row r="8" spans="2:13" ht="28.5" customHeight="1" outlineLevel="1" thickBot="1">
      <c r="B8" s="221" t="s">
        <v>42</v>
      </c>
      <c r="C8" s="222">
        <f>'Юнит 19-25.01'!AE7</f>
        <v>1636.0081960000007</v>
      </c>
      <c r="D8" s="223">
        <f t="shared" si="2"/>
        <v>8.5009091743584966E-2</v>
      </c>
      <c r="E8" s="223">
        <f t="shared" si="3"/>
        <v>1.1336087419148737</v>
      </c>
      <c r="F8" s="224" t="str">
        <f t="shared" si="1"/>
        <v>C</v>
      </c>
      <c r="G8" s="224" t="str">
        <f t="shared" si="4"/>
        <v>A</v>
      </c>
      <c r="I8" s="221" t="s">
        <v>39</v>
      </c>
      <c r="J8" s="222">
        <f>'Юнит 19-25.01'!R4</f>
        <v>7</v>
      </c>
      <c r="K8" s="223">
        <f t="shared" si="5"/>
        <v>7.8651685393258425E-2</v>
      </c>
      <c r="L8" s="223">
        <f t="shared" si="6"/>
        <v>0.87640449438202239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19-25.01'!AE11</f>
        <v>2661.2440730000003</v>
      </c>
      <c r="D9" s="223">
        <f t="shared" si="2"/>
        <v>0.13828166760218888</v>
      </c>
      <c r="E9" s="223">
        <f t="shared" si="3"/>
        <v>1.2718904095170627</v>
      </c>
      <c r="F9" s="224" t="str">
        <f t="shared" si="1"/>
        <v>C</v>
      </c>
      <c r="G9" s="224" t="str">
        <f t="shared" si="4"/>
        <v>A</v>
      </c>
      <c r="I9" s="221" t="s">
        <v>38</v>
      </c>
      <c r="J9" s="222">
        <f>'Юнит 19-25.01'!R3</f>
        <v>5</v>
      </c>
      <c r="K9" s="223">
        <f t="shared" si="5"/>
        <v>5.6179775280898875E-2</v>
      </c>
      <c r="L9" s="223">
        <f t="shared" si="6"/>
        <v>0.93258426966292129</v>
      </c>
      <c r="M9" s="224" t="str">
        <f t="shared" si="0"/>
        <v>B</v>
      </c>
    </row>
    <row r="10" spans="2:13" ht="28.5" customHeight="1" outlineLevel="1" thickBot="1">
      <c r="B10" s="221" t="s">
        <v>55</v>
      </c>
      <c r="C10" s="222">
        <f>'Юнит 19-25.01'!AE9</f>
        <v>0</v>
      </c>
      <c r="D10" s="223">
        <f t="shared" si="2"/>
        <v>0</v>
      </c>
      <c r="E10" s="223">
        <f t="shared" si="3"/>
        <v>1.2718904095170627</v>
      </c>
      <c r="F10" s="224" t="str">
        <f t="shared" si="1"/>
        <v>C</v>
      </c>
      <c r="G10" s="224" t="str">
        <f t="shared" si="4"/>
        <v>A</v>
      </c>
      <c r="I10" s="221" t="s">
        <v>40</v>
      </c>
      <c r="J10" s="222">
        <f>'Юнит 19-25.01'!R5</f>
        <v>3</v>
      </c>
      <c r="K10" s="223">
        <f t="shared" si="5"/>
        <v>3.3707865168539325E-2</v>
      </c>
      <c r="L10" s="223">
        <f t="shared" si="6"/>
        <v>0.96629213483146059</v>
      </c>
      <c r="M10" s="224" t="str">
        <f t="shared" si="0"/>
        <v>C</v>
      </c>
    </row>
    <row r="11" spans="2:13" ht="28.5" customHeight="1" outlineLevel="1" thickBot="1">
      <c r="B11" s="221" t="s">
        <v>56</v>
      </c>
      <c r="C11" s="222">
        <f>'Юнит 19-25.01'!AE10</f>
        <v>0</v>
      </c>
      <c r="D11" s="223">
        <f t="shared" si="2"/>
        <v>0</v>
      </c>
      <c r="E11" s="223">
        <f t="shared" si="3"/>
        <v>1.2718904095170627</v>
      </c>
      <c r="F11" s="224" t="str">
        <f t="shared" si="1"/>
        <v>C</v>
      </c>
      <c r="G11" s="224" t="str">
        <f t="shared" si="4"/>
        <v>A</v>
      </c>
      <c r="I11" s="221" t="s">
        <v>43</v>
      </c>
      <c r="J11" s="222">
        <f>'Юнит 19-25.01'!R8</f>
        <v>3</v>
      </c>
      <c r="K11" s="223">
        <f t="shared" si="5"/>
        <v>3.3707865168539325E-2</v>
      </c>
      <c r="L11" s="223">
        <f t="shared" si="6"/>
        <v>0.99999999999999989</v>
      </c>
      <c r="M11" s="224" t="str">
        <f t="shared" si="0"/>
        <v>C</v>
      </c>
    </row>
    <row r="12" spans="2:13" ht="28.5" customHeight="1" outlineLevel="1" thickBot="1">
      <c r="B12" s="221" t="s">
        <v>57</v>
      </c>
      <c r="C12" s="222">
        <f>'Юнит 19-25.01'!AE12</f>
        <v>0</v>
      </c>
      <c r="D12" s="223">
        <f t="shared" ref="D12:D17" si="7">C12/C$18</f>
        <v>0</v>
      </c>
      <c r="E12" s="223">
        <f>D12+E5</f>
        <v>0.78141315251986376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19-25.01'!R9</f>
        <v>0</v>
      </c>
      <c r="K12" s="223">
        <f t="shared" ref="K12:K17" si="9">J12/J$18</f>
        <v>0</v>
      </c>
      <c r="L12" s="223">
        <f>K12+L5</f>
        <v>0.4943820224719101</v>
      </c>
      <c r="M12" s="224" t="str">
        <f t="shared" si="0"/>
        <v>A</v>
      </c>
    </row>
    <row r="13" spans="2:13" ht="28.5" customHeight="1" outlineLevel="1" thickBot="1">
      <c r="B13" s="221" t="s">
        <v>58</v>
      </c>
      <c r="C13" s="222">
        <f>'Юнит 19-25.01'!AE13</f>
        <v>0</v>
      </c>
      <c r="D13" s="223">
        <f t="shared" si="7"/>
        <v>0</v>
      </c>
      <c r="E13" s="223">
        <f t="shared" ref="E13:E16" si="10">D13+E12</f>
        <v>0.78141315251986376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19-25.01'!R10</f>
        <v>0</v>
      </c>
      <c r="K13" s="223">
        <f t="shared" si="9"/>
        <v>0</v>
      </c>
      <c r="L13" s="223">
        <f t="shared" ref="L13:L16" si="11">K13+L12</f>
        <v>0.4943820224719101</v>
      </c>
      <c r="M13" s="224" t="str">
        <f t="shared" si="0"/>
        <v>A</v>
      </c>
    </row>
    <row r="14" spans="2:13" ht="28.5" customHeight="1" outlineLevel="1" thickBot="1">
      <c r="B14" s="221" t="s">
        <v>59</v>
      </c>
      <c r="C14" s="222">
        <f>'Юнит 19-25.01'!AE14</f>
        <v>0</v>
      </c>
      <c r="D14" s="223">
        <f t="shared" si="7"/>
        <v>0</v>
      </c>
      <c r="E14" s="223">
        <f t="shared" si="10"/>
        <v>0.78141315251986376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19-25.01'!R12</f>
        <v>0</v>
      </c>
      <c r="K14" s="223">
        <f t="shared" si="9"/>
        <v>0</v>
      </c>
      <c r="L14" s="223">
        <f t="shared" si="11"/>
        <v>0.4943820224719101</v>
      </c>
      <c r="M14" s="224" t="str">
        <f t="shared" si="0"/>
        <v>A</v>
      </c>
    </row>
    <row r="15" spans="2:13" ht="28.5" customHeight="1" outlineLevel="1" thickBot="1">
      <c r="B15" s="221" t="s">
        <v>60</v>
      </c>
      <c r="C15" s="222">
        <f>'Юнит 19-25.01'!AE16</f>
        <v>0</v>
      </c>
      <c r="D15" s="223">
        <f t="shared" si="7"/>
        <v>0</v>
      </c>
      <c r="E15" s="223">
        <f t="shared" si="10"/>
        <v>0.78141315251986376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19-25.01'!R13</f>
        <v>0</v>
      </c>
      <c r="K15" s="223">
        <f t="shared" si="9"/>
        <v>0</v>
      </c>
      <c r="L15" s="223">
        <f t="shared" si="11"/>
        <v>0.4943820224719101</v>
      </c>
      <c r="M15" s="224" t="str">
        <f t="shared" si="0"/>
        <v>A</v>
      </c>
    </row>
    <row r="16" spans="2:13" ht="28.5" customHeight="1" outlineLevel="1" thickBot="1">
      <c r="B16" s="221" t="s">
        <v>43</v>
      </c>
      <c r="C16" s="222">
        <f>'Юнит 19-25.01'!AE8</f>
        <v>-789.5849779999985</v>
      </c>
      <c r="D16" s="223">
        <f t="shared" si="7"/>
        <v>-4.1027851815333055E-2</v>
      </c>
      <c r="E16" s="223">
        <f t="shared" si="10"/>
        <v>0.74038530070453068</v>
      </c>
      <c r="F16" s="224" t="str">
        <f t="shared" si="1"/>
        <v>A</v>
      </c>
      <c r="G16" s="224" t="str">
        <f t="shared" si="8"/>
        <v>C</v>
      </c>
      <c r="I16" s="221" t="s">
        <v>59</v>
      </c>
      <c r="J16" s="222">
        <f>'Юнит 19-25.01'!R14</f>
        <v>0</v>
      </c>
      <c r="K16" s="223">
        <f t="shared" si="9"/>
        <v>0</v>
      </c>
      <c r="L16" s="223">
        <f t="shared" si="11"/>
        <v>0.4943820224719101</v>
      </c>
      <c r="M16" s="224" t="str">
        <f t="shared" si="0"/>
        <v>A</v>
      </c>
    </row>
    <row r="17" spans="2:13" ht="28.5" customHeight="1" outlineLevel="1" thickBot="1">
      <c r="B17" s="221" t="s">
        <v>53</v>
      </c>
      <c r="C17" s="222">
        <f>'Юнит 19-25.01'!AE15</f>
        <v>-4442.9722610000026</v>
      </c>
      <c r="D17" s="223">
        <f t="shared" si="7"/>
        <v>-0.23086255770172939</v>
      </c>
      <c r="E17" s="223">
        <f>D17+E14</f>
        <v>0.5505505948181344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19-25.01'!R16</f>
        <v>0</v>
      </c>
      <c r="K17" s="223">
        <f t="shared" si="9"/>
        <v>0</v>
      </c>
      <c r="L17" s="223">
        <f>K17+L14</f>
        <v>0.4943820224719101</v>
      </c>
      <c r="M17" s="224" t="str">
        <f t="shared" si="0"/>
        <v>A</v>
      </c>
    </row>
    <row r="18" spans="2:13" outlineLevel="1">
      <c r="C18" s="225">
        <f>SUM(C4:C17)</f>
        <v>19245.096759</v>
      </c>
      <c r="D18" s="226">
        <f>SUM(D4:D17)</f>
        <v>1.0000000000000002</v>
      </c>
      <c r="J18" s="225">
        <f>SUM(J4:J17)</f>
        <v>89</v>
      </c>
      <c r="K18" s="226">
        <f>SUM(K4:K17)</f>
        <v>0.99999999999999989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40" priority="4" operator="equal">
      <formula>"C"</formula>
    </cfRule>
    <cfRule type="cellIs" dxfId="139" priority="5" operator="equal">
      <formula>"B"</formula>
    </cfRule>
    <cfRule type="cellIs" dxfId="138" priority="6" operator="equal">
      <formula>"A"</formula>
    </cfRule>
  </conditionalFormatting>
  <conditionalFormatting sqref="M22:M41 D22:D41 K22:K41 F22:G41">
    <cfRule type="cellIs" dxfId="137" priority="1" operator="equal">
      <formula>"C"</formula>
    </cfRule>
    <cfRule type="cellIs" dxfId="136" priority="2" operator="equal">
      <formula>"B"</formula>
    </cfRule>
    <cfRule type="cellIs" dxfId="135" priority="3" operator="equal">
      <formula>"A"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F607D-47AA-4B05-833B-4FA20DDCABF1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'Юнит 12-18.01'!AE15</f>
        <v>7845.52650000003</v>
      </c>
      <c r="D4" s="223">
        <f>C4/C$18</f>
        <v>0.3149799510558548</v>
      </c>
      <c r="E4" s="223">
        <f>D4</f>
        <v>0.3149799510558548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53</v>
      </c>
      <c r="J4" s="222">
        <f>'Юнит 12-18.01'!R15</f>
        <v>37</v>
      </c>
      <c r="K4" s="223">
        <f>J4/J$18</f>
        <v>0.30833333333333335</v>
      </c>
      <c r="L4" s="223">
        <f>K4</f>
        <v>0.30833333333333335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41</v>
      </c>
      <c r="C5" s="222">
        <f>'Юнит 12-18.01'!AE6</f>
        <v>4986.2704150000072</v>
      </c>
      <c r="D5" s="223">
        <f>C5/C$18</f>
        <v>0.20018735661245335</v>
      </c>
      <c r="E5" s="223">
        <f>D5+E4</f>
        <v>0.51516730766830809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52</v>
      </c>
      <c r="J5" s="222">
        <f>'Юнит 12-18.01'!R11</f>
        <v>35</v>
      </c>
      <c r="K5" s="223">
        <f>J5/J$18</f>
        <v>0.29166666666666669</v>
      </c>
      <c r="L5" s="223">
        <f>K5+L4</f>
        <v>0.60000000000000009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12-18.01'!AE7</f>
        <v>3808.3998000000038</v>
      </c>
      <c r="D6" s="223">
        <f t="shared" ref="D6:D11" si="2">C6/C$18</f>
        <v>0.15289854448966858</v>
      </c>
      <c r="E6" s="223">
        <f t="shared" ref="E6:E11" si="3">D6+E5</f>
        <v>0.66806585215797665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12-18.01'!R6</f>
        <v>20</v>
      </c>
      <c r="K6" s="223">
        <f t="shared" ref="K6:K11" si="5">J6/J$18</f>
        <v>0.16666666666666666</v>
      </c>
      <c r="L6" s="223">
        <f t="shared" ref="L6:L11" si="6">K6+L5</f>
        <v>0.76666666666666672</v>
      </c>
      <c r="M6" s="224" t="str">
        <f t="shared" si="0"/>
        <v>A</v>
      </c>
    </row>
    <row r="7" spans="2:13" ht="28.5" customHeight="1" outlineLevel="1" thickBot="1">
      <c r="B7" s="221" t="s">
        <v>40</v>
      </c>
      <c r="C7" s="222">
        <f>'Юнит 12-18.01'!AE5</f>
        <v>2085.487411000001</v>
      </c>
      <c r="D7" s="223">
        <f t="shared" si="2"/>
        <v>8.3727551317859819E-2</v>
      </c>
      <c r="E7" s="223">
        <f t="shared" si="3"/>
        <v>0.75179340347583645</v>
      </c>
      <c r="F7" s="224" t="str">
        <f t="shared" si="1"/>
        <v>A</v>
      </c>
      <c r="G7" s="224" t="str">
        <f t="shared" si="4"/>
        <v>C</v>
      </c>
      <c r="I7" s="221" t="s">
        <v>42</v>
      </c>
      <c r="J7" s="222">
        <f>'Юнит 12-18.01'!R7</f>
        <v>10</v>
      </c>
      <c r="K7" s="223">
        <f t="shared" si="5"/>
        <v>8.3333333333333329E-2</v>
      </c>
      <c r="L7" s="223">
        <f t="shared" si="6"/>
        <v>0.85000000000000009</v>
      </c>
      <c r="M7" s="224" t="str">
        <f t="shared" si="0"/>
        <v>B</v>
      </c>
    </row>
    <row r="8" spans="2:13" ht="28.5" customHeight="1" outlineLevel="1" thickBot="1">
      <c r="B8" s="221" t="s">
        <v>38</v>
      </c>
      <c r="C8" s="222">
        <f>'Юнит 12-18.01'!AE3</f>
        <v>1162.1223400000003</v>
      </c>
      <c r="D8" s="223">
        <f t="shared" si="2"/>
        <v>4.6656554888204652E-2</v>
      </c>
      <c r="E8" s="223">
        <f t="shared" si="3"/>
        <v>0.79844995836404109</v>
      </c>
      <c r="F8" s="224" t="str">
        <f t="shared" si="1"/>
        <v>A</v>
      </c>
      <c r="G8" s="224" t="str">
        <f t="shared" si="4"/>
        <v>C</v>
      </c>
      <c r="I8" s="221" t="s">
        <v>43</v>
      </c>
      <c r="J8" s="222">
        <f>'Юнит 12-18.01'!R8</f>
        <v>7</v>
      </c>
      <c r="K8" s="223">
        <f t="shared" si="5"/>
        <v>5.8333333333333334E-2</v>
      </c>
      <c r="L8" s="223">
        <f t="shared" si="6"/>
        <v>0.90833333333333344</v>
      </c>
      <c r="M8" s="224" t="str">
        <f t="shared" si="0"/>
        <v>B</v>
      </c>
    </row>
    <row r="9" spans="2:13" ht="28.5" customHeight="1" outlineLevel="1" thickBot="1">
      <c r="B9" s="221" t="s">
        <v>52</v>
      </c>
      <c r="C9" s="222">
        <f>'Юнит 12-18.01'!AE11</f>
        <v>3663.4073629999939</v>
      </c>
      <c r="D9" s="223">
        <f t="shared" si="2"/>
        <v>0.14707742965311402</v>
      </c>
      <c r="E9" s="223">
        <f t="shared" si="3"/>
        <v>0.94552738801715508</v>
      </c>
      <c r="F9" s="224" t="str">
        <f t="shared" si="1"/>
        <v>B</v>
      </c>
      <c r="G9" s="224" t="str">
        <f t="shared" si="4"/>
        <v>A</v>
      </c>
      <c r="I9" s="221" t="s">
        <v>39</v>
      </c>
      <c r="J9" s="222">
        <f>'Юнит 12-18.01'!R4</f>
        <v>4</v>
      </c>
      <c r="K9" s="223">
        <f t="shared" si="5"/>
        <v>3.3333333333333333E-2</v>
      </c>
      <c r="L9" s="223">
        <f t="shared" si="6"/>
        <v>0.94166666666666676</v>
      </c>
      <c r="M9" s="224" t="str">
        <f t="shared" si="0"/>
        <v>B</v>
      </c>
    </row>
    <row r="10" spans="2:13" ht="28.5" customHeight="1" outlineLevel="1" thickBot="1">
      <c r="B10" s="221" t="s">
        <v>39</v>
      </c>
      <c r="C10" s="222">
        <f>'Юнит 12-18.01'!AE4</f>
        <v>745.60926800000107</v>
      </c>
      <c r="D10" s="223">
        <f t="shared" si="2"/>
        <v>2.9934507357974146E-2</v>
      </c>
      <c r="E10" s="223">
        <f t="shared" si="3"/>
        <v>0.97546189537512917</v>
      </c>
      <c r="F10" s="224" t="str">
        <f t="shared" si="1"/>
        <v>C</v>
      </c>
      <c r="G10" s="224" t="str">
        <f t="shared" si="4"/>
        <v>B</v>
      </c>
      <c r="I10" s="221" t="s">
        <v>40</v>
      </c>
      <c r="J10" s="222">
        <f>'Юнит 12-18.01'!R5</f>
        <v>4</v>
      </c>
      <c r="K10" s="223">
        <f t="shared" si="5"/>
        <v>3.3333333333333333E-2</v>
      </c>
      <c r="L10" s="223">
        <f t="shared" si="6"/>
        <v>0.97500000000000009</v>
      </c>
      <c r="M10" s="224" t="str">
        <f t="shared" si="0"/>
        <v>C</v>
      </c>
    </row>
    <row r="11" spans="2:13" ht="28.5" customHeight="1" outlineLevel="1" thickBot="1">
      <c r="B11" s="221" t="s">
        <v>43</v>
      </c>
      <c r="C11" s="222">
        <f>'Юнит 12-18.01'!AE8</f>
        <v>611.195568000001</v>
      </c>
      <c r="D11" s="223">
        <f t="shared" si="2"/>
        <v>2.4538104624870612E-2</v>
      </c>
      <c r="E11" s="223">
        <f t="shared" si="3"/>
        <v>0.99999999999999978</v>
      </c>
      <c r="F11" s="224" t="str">
        <f t="shared" si="1"/>
        <v>C</v>
      </c>
      <c r="G11" s="224" t="str">
        <f t="shared" si="4"/>
        <v>B</v>
      </c>
      <c r="I11" s="221" t="s">
        <v>38</v>
      </c>
      <c r="J11" s="222">
        <f>'Юнит 12-18.01'!R3</f>
        <v>3</v>
      </c>
      <c r="K11" s="223">
        <f t="shared" si="5"/>
        <v>2.5000000000000001E-2</v>
      </c>
      <c r="L11" s="223">
        <f t="shared" si="6"/>
        <v>1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12-18.01'!AE9</f>
        <v>0</v>
      </c>
      <c r="D12" s="223">
        <f t="shared" ref="D12:D17" si="7">C12/C$18</f>
        <v>0</v>
      </c>
      <c r="E12" s="223">
        <f>D12+E5</f>
        <v>0.51516730766830809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12-18.01'!R9</f>
        <v>0</v>
      </c>
      <c r="K12" s="223">
        <f t="shared" ref="K12:K17" si="9">J12/J$18</f>
        <v>0</v>
      </c>
      <c r="L12" s="223">
        <f>K12+L5</f>
        <v>0.60000000000000009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12-18.01'!AE10</f>
        <v>0</v>
      </c>
      <c r="D13" s="223">
        <f t="shared" si="7"/>
        <v>0</v>
      </c>
      <c r="E13" s="223">
        <f t="shared" ref="E13:E16" si="10">D13+E12</f>
        <v>0.51516730766830809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12-18.01'!R10</f>
        <v>0</v>
      </c>
      <c r="K13" s="223">
        <f t="shared" si="9"/>
        <v>0</v>
      </c>
      <c r="L13" s="223">
        <f t="shared" ref="L13:L16" si="11">K13+L12</f>
        <v>0.60000000000000009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12-18.01'!AE12</f>
        <v>0</v>
      </c>
      <c r="D14" s="223">
        <f t="shared" si="7"/>
        <v>0</v>
      </c>
      <c r="E14" s="223">
        <f t="shared" si="10"/>
        <v>0.51516730766830809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12-18.01'!R12</f>
        <v>0</v>
      </c>
      <c r="K14" s="223">
        <f t="shared" si="9"/>
        <v>0</v>
      </c>
      <c r="L14" s="223">
        <f t="shared" si="11"/>
        <v>0.60000000000000009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12-18.01'!AE13</f>
        <v>0</v>
      </c>
      <c r="D15" s="223">
        <f t="shared" si="7"/>
        <v>0</v>
      </c>
      <c r="E15" s="223">
        <f t="shared" si="10"/>
        <v>0.51516730766830809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12-18.01'!R13</f>
        <v>0</v>
      </c>
      <c r="K15" s="223">
        <f t="shared" si="9"/>
        <v>0</v>
      </c>
      <c r="L15" s="223">
        <f t="shared" si="11"/>
        <v>0.60000000000000009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12-18.01'!AE14</f>
        <v>0</v>
      </c>
      <c r="D16" s="223">
        <f t="shared" si="7"/>
        <v>0</v>
      </c>
      <c r="E16" s="223">
        <f t="shared" si="10"/>
        <v>0.51516730766830809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12-18.01'!R14</f>
        <v>0</v>
      </c>
      <c r="K16" s="223">
        <f t="shared" si="9"/>
        <v>0</v>
      </c>
      <c r="L16" s="223">
        <f t="shared" si="11"/>
        <v>0.60000000000000009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12-18.01'!AE16</f>
        <v>0</v>
      </c>
      <c r="D17" s="223">
        <f t="shared" si="7"/>
        <v>0</v>
      </c>
      <c r="E17" s="223">
        <f>D17+E14</f>
        <v>0.51516730766830809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12-18.01'!R16</f>
        <v>0</v>
      </c>
      <c r="K17" s="223">
        <f t="shared" si="9"/>
        <v>0</v>
      </c>
      <c r="L17" s="223">
        <f>K17+L14</f>
        <v>0.60000000000000009</v>
      </c>
      <c r="M17" s="224" t="str">
        <f t="shared" si="0"/>
        <v>A</v>
      </c>
    </row>
    <row r="18" spans="2:13" outlineLevel="1">
      <c r="C18" s="225">
        <f>SUM(C4:C17)</f>
        <v>24908.01866500004</v>
      </c>
      <c r="D18" s="226">
        <f>SUM(D4:D17)</f>
        <v>0.99999999999999978</v>
      </c>
      <c r="J18" s="225">
        <f>SUM(J4:J17)</f>
        <v>120</v>
      </c>
      <c r="K18" s="226">
        <f>SUM(K4:K17)</f>
        <v>1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34" priority="4" operator="equal">
      <formula>"C"</formula>
    </cfRule>
    <cfRule type="cellIs" dxfId="133" priority="5" operator="equal">
      <formula>"B"</formula>
    </cfRule>
    <cfRule type="cellIs" dxfId="132" priority="6" operator="equal">
      <formula>"A"</formula>
    </cfRule>
  </conditionalFormatting>
  <conditionalFormatting sqref="M22:M41 D22:D41 K22:K41 F22:G41">
    <cfRule type="cellIs" dxfId="131" priority="1" operator="equal">
      <formula>"C"</formula>
    </cfRule>
    <cfRule type="cellIs" dxfId="130" priority="2" operator="equal">
      <formula>"B"</formula>
    </cfRule>
    <cfRule type="cellIs" dxfId="129" priority="3" operator="equal">
      <formula>"A"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E0893E-B1FD-4A32-BCC6-DF5B7D472778}">
  <dimension ref="B1:M43"/>
  <sheetViews>
    <sheetView workbookViewId="0">
      <selection activeCell="J4" sqref="J4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52</v>
      </c>
      <c r="C4" s="222">
        <f>'Юнит 05-11.01'!AE11</f>
        <v>14577.679418000027</v>
      </c>
      <c r="D4" s="223">
        <f>C4/C$18</f>
        <v>0.32994497100826942</v>
      </c>
      <c r="E4" s="223">
        <f>D4</f>
        <v>0.32994497100826942</v>
      </c>
      <c r="F4" s="224" t="str">
        <f>IF(AND(E4&lt;=0),"C",IF(E4&lt;=0.8,"A",IF(E4&lt;=0.95,"B","C")))</f>
        <v>A</v>
      </c>
      <c r="G4" s="224" t="str">
        <f>VLOOKUP(B$4:B$17,I$4:M$17,5,0)</f>
        <v>A</v>
      </c>
      <c r="I4" s="221" t="s">
        <v>52</v>
      </c>
      <c r="J4" s="222">
        <f>'Юнит 05-11.01'!R11</f>
        <v>52</v>
      </c>
      <c r="K4" s="223">
        <f>J4/J$18</f>
        <v>0.32500000000000001</v>
      </c>
      <c r="L4" s="223">
        <f>K4</f>
        <v>0.32500000000000001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53</v>
      </c>
      <c r="C5" s="222">
        <f>'Юнит 05-11.01'!AE15</f>
        <v>13681.242649000027</v>
      </c>
      <c r="D5" s="223">
        <f>C5/C$18</f>
        <v>0.30965540397380442</v>
      </c>
      <c r="E5" s="223">
        <f>D5+E4</f>
        <v>0.63960037498207378</v>
      </c>
      <c r="F5" s="224" t="str">
        <f t="shared" ref="F5:F17" si="1">IF(AND(E5&lt;=0),"C",IF(E5&lt;=0.8,"A",IF(E5&lt;=0.95,"B","C")))</f>
        <v>A</v>
      </c>
      <c r="G5" s="224" t="str">
        <f>VLOOKUP(B$4:B$17,I$4:M$17,5,0)</f>
        <v>A</v>
      </c>
      <c r="I5" s="221" t="s">
        <v>53</v>
      </c>
      <c r="J5" s="222">
        <f>'Юнит 05-11.01'!R15</f>
        <v>49</v>
      </c>
      <c r="K5" s="223">
        <f>J5/J$18</f>
        <v>0.30625000000000002</v>
      </c>
      <c r="L5" s="223">
        <f>K5+L4</f>
        <v>0.63125000000000009</v>
      </c>
      <c r="M5" s="224" t="str">
        <f t="shared" si="0"/>
        <v>A</v>
      </c>
    </row>
    <row r="6" spans="2:13" ht="28.5" customHeight="1" outlineLevel="1" thickBot="1">
      <c r="B6" s="221" t="s">
        <v>41</v>
      </c>
      <c r="C6" s="222">
        <f>'Юнит 05-11.01'!AE6</f>
        <v>6919.016599999999</v>
      </c>
      <c r="D6" s="223">
        <f t="shared" ref="D6:D11" si="2">C6/C$18</f>
        <v>0.15660206717633623</v>
      </c>
      <c r="E6" s="223">
        <f t="shared" ref="E6:E11" si="3">D6+E5</f>
        <v>0.79620244215840996</v>
      </c>
      <c r="F6" s="224" t="str">
        <f t="shared" si="1"/>
        <v>A</v>
      </c>
      <c r="G6" s="224" t="str">
        <f t="shared" ref="G6:G11" si="4">VLOOKUP(B$4:B$17,I$4:M$17,5,0)</f>
        <v>B</v>
      </c>
      <c r="I6" s="221" t="s">
        <v>41</v>
      </c>
      <c r="J6" s="222">
        <f>'Юнит 05-11.01'!R6</f>
        <v>31</v>
      </c>
      <c r="K6" s="223">
        <f t="shared" ref="K6:K11" si="5">J6/J$18</f>
        <v>0.19375000000000001</v>
      </c>
      <c r="L6" s="223">
        <f t="shared" ref="L6:L11" si="6">K6+L5</f>
        <v>0.82500000000000007</v>
      </c>
      <c r="M6" s="224" t="str">
        <f t="shared" si="0"/>
        <v>B</v>
      </c>
    </row>
    <row r="7" spans="2:13" ht="28.5" customHeight="1" outlineLevel="1" thickBot="1">
      <c r="B7" s="221" t="s">
        <v>42</v>
      </c>
      <c r="C7" s="222">
        <f>'Юнит 05-11.01'!AE7</f>
        <v>2667.2832120000003</v>
      </c>
      <c r="D7" s="223">
        <f t="shared" si="2"/>
        <v>6.0370149241141868E-2</v>
      </c>
      <c r="E7" s="223">
        <f t="shared" si="3"/>
        <v>0.85657259139955189</v>
      </c>
      <c r="F7" s="224" t="str">
        <f t="shared" si="1"/>
        <v>B</v>
      </c>
      <c r="G7" s="224" t="str">
        <f t="shared" si="4"/>
        <v>B</v>
      </c>
      <c r="I7" s="221" t="s">
        <v>43</v>
      </c>
      <c r="J7" s="222">
        <f>'Юнит 05-11.01'!R8</f>
        <v>10</v>
      </c>
      <c r="K7" s="223">
        <f t="shared" si="5"/>
        <v>6.25E-2</v>
      </c>
      <c r="L7" s="223">
        <f t="shared" si="6"/>
        <v>0.88750000000000007</v>
      </c>
      <c r="M7" s="224" t="str">
        <f t="shared" si="0"/>
        <v>B</v>
      </c>
    </row>
    <row r="8" spans="2:13" ht="28.5" customHeight="1" outlineLevel="1" thickBot="1">
      <c r="B8" s="221" t="s">
        <v>43</v>
      </c>
      <c r="C8" s="222">
        <f>'Юнит 05-11.01'!AE8</f>
        <v>2517.3576420000009</v>
      </c>
      <c r="D8" s="223">
        <f t="shared" si="2"/>
        <v>5.697679791075333E-2</v>
      </c>
      <c r="E8" s="223">
        <f t="shared" si="3"/>
        <v>0.91354938931030527</v>
      </c>
      <c r="F8" s="224" t="str">
        <f t="shared" si="1"/>
        <v>B</v>
      </c>
      <c r="G8" s="224" t="str">
        <f t="shared" si="4"/>
        <v>B</v>
      </c>
      <c r="I8" s="221" t="s">
        <v>42</v>
      </c>
      <c r="J8" s="222">
        <f>'Юнит 05-11.01'!R7</f>
        <v>8</v>
      </c>
      <c r="K8" s="223">
        <f t="shared" si="5"/>
        <v>0.05</v>
      </c>
      <c r="L8" s="223">
        <f t="shared" si="6"/>
        <v>0.93750000000000011</v>
      </c>
      <c r="M8" s="224" t="str">
        <f t="shared" si="0"/>
        <v>B</v>
      </c>
    </row>
    <row r="9" spans="2:13" ht="28.5" customHeight="1" outlineLevel="1" thickBot="1">
      <c r="B9" s="221" t="s">
        <v>38</v>
      </c>
      <c r="C9" s="222">
        <f>'Юнит 05-11.01'!AE3</f>
        <v>1842.5975959999987</v>
      </c>
      <c r="D9" s="223">
        <f t="shared" si="2"/>
        <v>4.1704567164609421E-2</v>
      </c>
      <c r="E9" s="223">
        <f t="shared" si="3"/>
        <v>0.95525395647491473</v>
      </c>
      <c r="F9" s="224" t="str">
        <f t="shared" si="1"/>
        <v>C</v>
      </c>
      <c r="G9" s="224" t="str">
        <f t="shared" si="4"/>
        <v>C</v>
      </c>
      <c r="I9" s="221" t="s">
        <v>38</v>
      </c>
      <c r="J9" s="222">
        <f>'Юнит 05-11.01'!R3</f>
        <v>5</v>
      </c>
      <c r="K9" s="223">
        <f t="shared" si="5"/>
        <v>3.125E-2</v>
      </c>
      <c r="L9" s="223">
        <f t="shared" si="6"/>
        <v>0.96875000000000011</v>
      </c>
      <c r="M9" s="224" t="str">
        <f t="shared" si="0"/>
        <v>C</v>
      </c>
    </row>
    <row r="10" spans="2:13" ht="28.5" customHeight="1" outlineLevel="1" thickBot="1">
      <c r="B10" s="221" t="s">
        <v>39</v>
      </c>
      <c r="C10" s="222">
        <f>'Юнит 05-11.01'!AE4</f>
        <v>1521.1406939999995</v>
      </c>
      <c r="D10" s="223">
        <f t="shared" si="2"/>
        <v>3.4428848912784325E-2</v>
      </c>
      <c r="E10" s="223">
        <f t="shared" si="3"/>
        <v>0.98968280538769904</v>
      </c>
      <c r="F10" s="224" t="str">
        <f t="shared" si="1"/>
        <v>C</v>
      </c>
      <c r="G10" s="224" t="str">
        <f t="shared" si="4"/>
        <v>C</v>
      </c>
      <c r="I10" s="221" t="s">
        <v>39</v>
      </c>
      <c r="J10" s="222">
        <f>'Юнит 05-11.01'!R4</f>
        <v>3</v>
      </c>
      <c r="K10" s="223">
        <f t="shared" si="5"/>
        <v>1.8749999999999999E-2</v>
      </c>
      <c r="L10" s="223">
        <f t="shared" si="6"/>
        <v>0.98750000000000016</v>
      </c>
      <c r="M10" s="224" t="str">
        <f t="shared" si="0"/>
        <v>C</v>
      </c>
    </row>
    <row r="11" spans="2:13" ht="28.5" customHeight="1" outlineLevel="1" thickBot="1">
      <c r="B11" s="221" t="s">
        <v>40</v>
      </c>
      <c r="C11" s="222">
        <f>'Юнит 05-11.01'!AE5</f>
        <v>455.83587800000009</v>
      </c>
      <c r="D11" s="223">
        <f t="shared" si="2"/>
        <v>1.0317194612300863E-2</v>
      </c>
      <c r="E11" s="223">
        <f t="shared" si="3"/>
        <v>0.99999999999999989</v>
      </c>
      <c r="F11" s="224" t="str">
        <f t="shared" si="1"/>
        <v>C</v>
      </c>
      <c r="G11" s="224" t="str">
        <f t="shared" si="4"/>
        <v>C</v>
      </c>
      <c r="I11" s="221" t="s">
        <v>40</v>
      </c>
      <c r="J11" s="222">
        <f>'Юнит 05-11.01'!R5</f>
        <v>2</v>
      </c>
      <c r="K11" s="223">
        <f t="shared" si="5"/>
        <v>1.2500000000000001E-2</v>
      </c>
      <c r="L11" s="223">
        <f t="shared" si="6"/>
        <v>1.0000000000000002</v>
      </c>
      <c r="M11" s="224" t="str">
        <f t="shared" si="0"/>
        <v>C</v>
      </c>
    </row>
    <row r="12" spans="2:13" ht="28.5" customHeight="1" outlineLevel="1" thickBot="1">
      <c r="B12" s="221" t="s">
        <v>55</v>
      </c>
      <c r="C12" s="222">
        <f>'Юнит 05-11.01'!AE9</f>
        <v>0</v>
      </c>
      <c r="D12" s="223">
        <f t="shared" ref="D12:D17" si="7">C12/C$18</f>
        <v>0</v>
      </c>
      <c r="E12" s="223">
        <f>D12+E5</f>
        <v>0.63960037498207378</v>
      </c>
      <c r="F12" s="224" t="str">
        <f t="shared" si="1"/>
        <v>A</v>
      </c>
      <c r="G12" s="224" t="str">
        <f t="shared" ref="G12:G17" si="8">VLOOKUP(B$4:B$17,I$4:M$17,5,0)</f>
        <v>A</v>
      </c>
      <c r="I12" s="221" t="s">
        <v>55</v>
      </c>
      <c r="J12" s="222">
        <f>'Юнит 05-11.01'!R9</f>
        <v>0</v>
      </c>
      <c r="K12" s="223">
        <f t="shared" ref="K12:K17" si="9">J12/J$18</f>
        <v>0</v>
      </c>
      <c r="L12" s="223">
        <f>K12+L5</f>
        <v>0.63125000000000009</v>
      </c>
      <c r="M12" s="224" t="str">
        <f t="shared" si="0"/>
        <v>A</v>
      </c>
    </row>
    <row r="13" spans="2:13" ht="28.5" customHeight="1" outlineLevel="1" thickBot="1">
      <c r="B13" s="221" t="s">
        <v>56</v>
      </c>
      <c r="C13" s="222">
        <f>'Юнит 05-11.01'!AE10</f>
        <v>0</v>
      </c>
      <c r="D13" s="223">
        <f t="shared" si="7"/>
        <v>0</v>
      </c>
      <c r="E13" s="223">
        <f t="shared" ref="E13:E16" si="10">D13+E12</f>
        <v>0.63960037498207378</v>
      </c>
      <c r="F13" s="224" t="str">
        <f t="shared" si="1"/>
        <v>A</v>
      </c>
      <c r="G13" s="224" t="str">
        <f t="shared" si="8"/>
        <v>A</v>
      </c>
      <c r="I13" s="221" t="s">
        <v>56</v>
      </c>
      <c r="J13" s="222">
        <f>'Юнит 05-11.01'!R10</f>
        <v>0</v>
      </c>
      <c r="K13" s="223">
        <f t="shared" si="9"/>
        <v>0</v>
      </c>
      <c r="L13" s="223">
        <f t="shared" ref="L13:L16" si="11">K13+L12</f>
        <v>0.63125000000000009</v>
      </c>
      <c r="M13" s="224" t="str">
        <f t="shared" si="0"/>
        <v>A</v>
      </c>
    </row>
    <row r="14" spans="2:13" ht="28.5" customHeight="1" outlineLevel="1" thickBot="1">
      <c r="B14" s="221" t="s">
        <v>57</v>
      </c>
      <c r="C14" s="222">
        <f>'Юнит 05-11.01'!AE12</f>
        <v>0</v>
      </c>
      <c r="D14" s="223">
        <f t="shared" si="7"/>
        <v>0</v>
      </c>
      <c r="E14" s="223">
        <f t="shared" si="10"/>
        <v>0.63960037498207378</v>
      </c>
      <c r="F14" s="224" t="str">
        <f t="shared" si="1"/>
        <v>A</v>
      </c>
      <c r="G14" s="224" t="str">
        <f t="shared" si="8"/>
        <v>A</v>
      </c>
      <c r="I14" s="221" t="s">
        <v>57</v>
      </c>
      <c r="J14" s="222">
        <f>'Юнит 05-11.01'!R12</f>
        <v>0</v>
      </c>
      <c r="K14" s="223">
        <f t="shared" si="9"/>
        <v>0</v>
      </c>
      <c r="L14" s="223">
        <f t="shared" si="11"/>
        <v>0.63125000000000009</v>
      </c>
      <c r="M14" s="224" t="str">
        <f t="shared" si="0"/>
        <v>A</v>
      </c>
    </row>
    <row r="15" spans="2:13" ht="28.5" customHeight="1" outlineLevel="1" thickBot="1">
      <c r="B15" s="221" t="s">
        <v>58</v>
      </c>
      <c r="C15" s="222">
        <f>'Юнит 05-11.01'!AE13</f>
        <v>0</v>
      </c>
      <c r="D15" s="223">
        <f t="shared" si="7"/>
        <v>0</v>
      </c>
      <c r="E15" s="223">
        <f t="shared" si="10"/>
        <v>0.63960037498207378</v>
      </c>
      <c r="F15" s="224" t="str">
        <f t="shared" si="1"/>
        <v>A</v>
      </c>
      <c r="G15" s="224" t="str">
        <f t="shared" si="8"/>
        <v>A</v>
      </c>
      <c r="I15" s="221" t="s">
        <v>58</v>
      </c>
      <c r="J15" s="222">
        <f>'Юнит 05-11.01'!R13</f>
        <v>0</v>
      </c>
      <c r="K15" s="223">
        <f t="shared" si="9"/>
        <v>0</v>
      </c>
      <c r="L15" s="223">
        <f t="shared" si="11"/>
        <v>0.63125000000000009</v>
      </c>
      <c r="M15" s="224" t="str">
        <f t="shared" si="0"/>
        <v>A</v>
      </c>
    </row>
    <row r="16" spans="2:13" ht="28.5" customHeight="1" outlineLevel="1" thickBot="1">
      <c r="B16" s="221" t="s">
        <v>59</v>
      </c>
      <c r="C16" s="222">
        <f>'Юнит 05-11.01'!AE14</f>
        <v>0</v>
      </c>
      <c r="D16" s="223">
        <f t="shared" si="7"/>
        <v>0</v>
      </c>
      <c r="E16" s="223">
        <f t="shared" si="10"/>
        <v>0.63960037498207378</v>
      </c>
      <c r="F16" s="224" t="str">
        <f t="shared" si="1"/>
        <v>A</v>
      </c>
      <c r="G16" s="224" t="str">
        <f t="shared" si="8"/>
        <v>A</v>
      </c>
      <c r="I16" s="221" t="s">
        <v>59</v>
      </c>
      <c r="J16" s="222">
        <f>'Юнит 05-11.01'!R14</f>
        <v>0</v>
      </c>
      <c r="K16" s="223">
        <f t="shared" si="9"/>
        <v>0</v>
      </c>
      <c r="L16" s="223">
        <f t="shared" si="11"/>
        <v>0.63125000000000009</v>
      </c>
      <c r="M16" s="224" t="str">
        <f t="shared" si="0"/>
        <v>A</v>
      </c>
    </row>
    <row r="17" spans="2:13" ht="28.5" customHeight="1" outlineLevel="1" thickBot="1">
      <c r="B17" s="221" t="s">
        <v>60</v>
      </c>
      <c r="C17" s="222">
        <f>'Юнит 05-11.01'!AE16</f>
        <v>0</v>
      </c>
      <c r="D17" s="223">
        <f t="shared" si="7"/>
        <v>0</v>
      </c>
      <c r="E17" s="223">
        <f>D17+E14</f>
        <v>0.63960037498207378</v>
      </c>
      <c r="F17" s="224" t="str">
        <f t="shared" si="1"/>
        <v>A</v>
      </c>
      <c r="G17" s="224" t="str">
        <f t="shared" si="8"/>
        <v>A</v>
      </c>
      <c r="I17" s="221" t="s">
        <v>60</v>
      </c>
      <c r="J17" s="222">
        <f>'Юнит 05-11.01'!R16</f>
        <v>0</v>
      </c>
      <c r="K17" s="223">
        <f t="shared" si="9"/>
        <v>0</v>
      </c>
      <c r="L17" s="223">
        <f>K17+L14</f>
        <v>0.63125000000000009</v>
      </c>
      <c r="M17" s="224" t="str">
        <f t="shared" si="0"/>
        <v>A</v>
      </c>
    </row>
    <row r="18" spans="2:13" outlineLevel="1">
      <c r="C18" s="225">
        <f>SUM(C4:C17)</f>
        <v>44182.153689000057</v>
      </c>
      <c r="D18" s="226">
        <f>SUM(D4:D17)</f>
        <v>0.99999999999999989</v>
      </c>
      <c r="J18" s="225">
        <f>SUM(J4:J17)</f>
        <v>160</v>
      </c>
      <c r="K18" s="226">
        <f>SUM(K4:K17)</f>
        <v>1.0000000000000002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2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3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4">C23/C$42</f>
        <v>#DIV/0!</v>
      </c>
      <c r="E23" s="223" t="e">
        <f>D23+E22</f>
        <v>#DIV/0!</v>
      </c>
      <c r="F23" s="224" t="e">
        <f t="shared" si="12"/>
        <v>#DIV/0!</v>
      </c>
      <c r="G23" s="224" t="e">
        <f t="shared" ref="G23:G41" si="15">VLOOKUP(B$22:B$42,I$22:M$42,5,0)</f>
        <v>#N/A</v>
      </c>
      <c r="I23" s="221"/>
      <c r="J23" s="222"/>
      <c r="K23" s="223" t="e">
        <f t="shared" ref="K23:K41" si="16">J23/J$42</f>
        <v>#DIV/0!</v>
      </c>
      <c r="L23" s="223" t="e">
        <f>K23+L22</f>
        <v>#DIV/0!</v>
      </c>
      <c r="M23" s="224" t="e">
        <f t="shared" si="13"/>
        <v>#DIV/0!</v>
      </c>
    </row>
    <row r="24" spans="2:13" ht="15" hidden="1" outlineLevel="1" thickBot="1">
      <c r="B24" s="221"/>
      <c r="C24" s="222"/>
      <c r="D24" s="223" t="e">
        <f t="shared" si="14"/>
        <v>#DIV/0!</v>
      </c>
      <c r="E24" s="223" t="e">
        <f t="shared" ref="E24:E41" si="17">D24+E23</f>
        <v>#DIV/0!</v>
      </c>
      <c r="F24" s="224" t="e">
        <f t="shared" si="12"/>
        <v>#DIV/0!</v>
      </c>
      <c r="G24" s="224" t="e">
        <f t="shared" si="15"/>
        <v>#N/A</v>
      </c>
      <c r="I24" s="221"/>
      <c r="J24" s="222"/>
      <c r="K24" s="223" t="e">
        <f t="shared" si="16"/>
        <v>#DIV/0!</v>
      </c>
      <c r="L24" s="223" t="e">
        <f t="shared" ref="L24:L41" si="18">K24+L23</f>
        <v>#DIV/0!</v>
      </c>
      <c r="M24" s="224" t="e">
        <f t="shared" si="13"/>
        <v>#DIV/0!</v>
      </c>
    </row>
    <row r="25" spans="2:13" ht="15" hidden="1" outlineLevel="1" thickBot="1">
      <c r="B25" s="221"/>
      <c r="C25" s="222"/>
      <c r="D25" s="223" t="e">
        <f t="shared" si="14"/>
        <v>#DIV/0!</v>
      </c>
      <c r="E25" s="223" t="e">
        <f t="shared" si="17"/>
        <v>#DIV/0!</v>
      </c>
      <c r="F25" s="224" t="e">
        <f t="shared" si="12"/>
        <v>#DIV/0!</v>
      </c>
      <c r="G25" s="224" t="e">
        <f t="shared" si="15"/>
        <v>#N/A</v>
      </c>
      <c r="I25" s="221"/>
      <c r="J25" s="222"/>
      <c r="K25" s="223" t="e">
        <f t="shared" si="16"/>
        <v>#DIV/0!</v>
      </c>
      <c r="L25" s="223" t="e">
        <f t="shared" si="18"/>
        <v>#DIV/0!</v>
      </c>
      <c r="M25" s="224" t="e">
        <f t="shared" si="13"/>
        <v>#DIV/0!</v>
      </c>
    </row>
    <row r="26" spans="2:13" ht="15" hidden="1" outlineLevel="1" thickBot="1">
      <c r="B26" s="221"/>
      <c r="C26" s="222"/>
      <c r="D26" s="223" t="e">
        <f t="shared" si="14"/>
        <v>#DIV/0!</v>
      </c>
      <c r="E26" s="223" t="e">
        <f t="shared" si="17"/>
        <v>#DIV/0!</v>
      </c>
      <c r="F26" s="224" t="e">
        <f t="shared" si="12"/>
        <v>#DIV/0!</v>
      </c>
      <c r="G26" s="224" t="e">
        <f t="shared" si="15"/>
        <v>#N/A</v>
      </c>
      <c r="I26" s="221"/>
      <c r="J26" s="222"/>
      <c r="K26" s="223" t="e">
        <f t="shared" si="16"/>
        <v>#DIV/0!</v>
      </c>
      <c r="L26" s="223" t="e">
        <f t="shared" si="18"/>
        <v>#DIV/0!</v>
      </c>
      <c r="M26" s="224" t="e">
        <f t="shared" si="13"/>
        <v>#DIV/0!</v>
      </c>
    </row>
    <row r="27" spans="2:13" ht="15" hidden="1" outlineLevel="1" thickBot="1">
      <c r="B27" s="221"/>
      <c r="C27" s="222"/>
      <c r="D27" s="223" t="e">
        <f t="shared" si="14"/>
        <v>#DIV/0!</v>
      </c>
      <c r="E27" s="223" t="e">
        <f t="shared" si="17"/>
        <v>#DIV/0!</v>
      </c>
      <c r="F27" s="224" t="e">
        <f t="shared" si="12"/>
        <v>#DIV/0!</v>
      </c>
      <c r="G27" s="224" t="e">
        <f t="shared" si="15"/>
        <v>#N/A</v>
      </c>
      <c r="I27" s="221"/>
      <c r="J27" s="222"/>
      <c r="K27" s="223" t="e">
        <f t="shared" si="16"/>
        <v>#DIV/0!</v>
      </c>
      <c r="L27" s="223" t="e">
        <f t="shared" si="18"/>
        <v>#DIV/0!</v>
      </c>
      <c r="M27" s="224" t="e">
        <f t="shared" si="13"/>
        <v>#DIV/0!</v>
      </c>
    </row>
    <row r="28" spans="2:13" ht="15" hidden="1" outlineLevel="1" thickBot="1">
      <c r="B28" s="221"/>
      <c r="C28" s="222"/>
      <c r="D28" s="223" t="e">
        <f t="shared" si="14"/>
        <v>#DIV/0!</v>
      </c>
      <c r="E28" s="223" t="e">
        <f t="shared" si="17"/>
        <v>#DIV/0!</v>
      </c>
      <c r="F28" s="224" t="e">
        <f t="shared" si="12"/>
        <v>#DIV/0!</v>
      </c>
      <c r="G28" s="224" t="e">
        <f t="shared" si="15"/>
        <v>#N/A</v>
      </c>
      <c r="I28" s="221"/>
      <c r="J28" s="222"/>
      <c r="K28" s="223" t="e">
        <f t="shared" si="16"/>
        <v>#DIV/0!</v>
      </c>
      <c r="L28" s="223" t="e">
        <f t="shared" si="18"/>
        <v>#DIV/0!</v>
      </c>
      <c r="M28" s="224" t="e">
        <f t="shared" si="13"/>
        <v>#DIV/0!</v>
      </c>
    </row>
    <row r="29" spans="2:13" ht="15" hidden="1" outlineLevel="1" thickBot="1">
      <c r="B29" s="221"/>
      <c r="C29" s="222"/>
      <c r="D29" s="223" t="e">
        <f t="shared" si="14"/>
        <v>#DIV/0!</v>
      </c>
      <c r="E29" s="223" t="e">
        <f t="shared" si="17"/>
        <v>#DIV/0!</v>
      </c>
      <c r="F29" s="224" t="e">
        <f>IF(AND(E29&lt;=0),"C",IF(E29&lt;=0.8,"A",IF(E29&lt;=0.95,"B","C")))</f>
        <v>#DIV/0!</v>
      </c>
      <c r="G29" s="224" t="e">
        <f t="shared" si="15"/>
        <v>#N/A</v>
      </c>
      <c r="I29" s="221"/>
      <c r="J29" s="222"/>
      <c r="K29" s="223" t="e">
        <f t="shared" si="16"/>
        <v>#DIV/0!</v>
      </c>
      <c r="L29" s="223" t="e">
        <f t="shared" si="18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4"/>
        <v>#DIV/0!</v>
      </c>
      <c r="E30" s="223" t="e">
        <f t="shared" si="17"/>
        <v>#DIV/0!</v>
      </c>
      <c r="F30" s="224" t="e">
        <f t="shared" ref="F30:F41" si="19">IF(AND(E30&lt;=0),"C",IF(E30&lt;=0.8,"A",IF(E30&lt;=0.95,"B","C")))</f>
        <v>#DIV/0!</v>
      </c>
      <c r="G30" s="224" t="e">
        <f t="shared" si="15"/>
        <v>#N/A</v>
      </c>
      <c r="I30" s="221"/>
      <c r="J30" s="222"/>
      <c r="K30" s="223" t="e">
        <f t="shared" si="16"/>
        <v>#DIV/0!</v>
      </c>
      <c r="L30" s="223" t="e">
        <f t="shared" si="18"/>
        <v>#DIV/0!</v>
      </c>
      <c r="M30" s="224" t="e">
        <f t="shared" ref="M30:M41" si="20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4"/>
        <v>#DIV/0!</v>
      </c>
      <c r="E31" s="223" t="e">
        <f t="shared" si="17"/>
        <v>#DIV/0!</v>
      </c>
      <c r="F31" s="224" t="e">
        <f t="shared" si="19"/>
        <v>#DIV/0!</v>
      </c>
      <c r="G31" s="224" t="e">
        <f t="shared" si="15"/>
        <v>#N/A</v>
      </c>
      <c r="I31" s="221"/>
      <c r="J31" s="222"/>
      <c r="K31" s="223" t="e">
        <f t="shared" si="16"/>
        <v>#DIV/0!</v>
      </c>
      <c r="L31" s="223" t="e">
        <f t="shared" si="18"/>
        <v>#DIV/0!</v>
      </c>
      <c r="M31" s="224" t="e">
        <f t="shared" si="20"/>
        <v>#DIV/0!</v>
      </c>
    </row>
    <row r="32" spans="2:13" ht="15" hidden="1" outlineLevel="1" thickBot="1">
      <c r="B32" s="221"/>
      <c r="C32" s="222"/>
      <c r="D32" s="223" t="e">
        <f t="shared" si="14"/>
        <v>#DIV/0!</v>
      </c>
      <c r="E32" s="223" t="e">
        <f t="shared" si="17"/>
        <v>#DIV/0!</v>
      </c>
      <c r="F32" s="224" t="e">
        <f t="shared" si="19"/>
        <v>#DIV/0!</v>
      </c>
      <c r="G32" s="224" t="e">
        <f t="shared" si="15"/>
        <v>#N/A</v>
      </c>
      <c r="I32" s="221"/>
      <c r="J32" s="222"/>
      <c r="K32" s="223" t="e">
        <f t="shared" si="16"/>
        <v>#DIV/0!</v>
      </c>
      <c r="L32" s="223" t="e">
        <f t="shared" si="18"/>
        <v>#DIV/0!</v>
      </c>
      <c r="M32" s="224" t="e">
        <f t="shared" si="20"/>
        <v>#DIV/0!</v>
      </c>
    </row>
    <row r="33" spans="2:13" ht="15" hidden="1" outlineLevel="1" thickBot="1">
      <c r="B33" s="221"/>
      <c r="C33" s="222"/>
      <c r="D33" s="223" t="e">
        <f t="shared" si="14"/>
        <v>#DIV/0!</v>
      </c>
      <c r="E33" s="223" t="e">
        <f t="shared" si="17"/>
        <v>#DIV/0!</v>
      </c>
      <c r="F33" s="224" t="e">
        <f t="shared" si="19"/>
        <v>#DIV/0!</v>
      </c>
      <c r="G33" s="224" t="e">
        <f t="shared" si="15"/>
        <v>#N/A</v>
      </c>
      <c r="I33" s="221"/>
      <c r="J33" s="222"/>
      <c r="K33" s="223" t="e">
        <f t="shared" si="16"/>
        <v>#DIV/0!</v>
      </c>
      <c r="L33" s="223" t="e">
        <f t="shared" si="18"/>
        <v>#DIV/0!</v>
      </c>
      <c r="M33" s="224" t="e">
        <f t="shared" si="20"/>
        <v>#DIV/0!</v>
      </c>
    </row>
    <row r="34" spans="2:13" ht="15" hidden="1" outlineLevel="1" thickBot="1">
      <c r="B34" s="221"/>
      <c r="C34" s="222"/>
      <c r="D34" s="223" t="e">
        <f t="shared" si="14"/>
        <v>#DIV/0!</v>
      </c>
      <c r="E34" s="223" t="e">
        <f t="shared" si="17"/>
        <v>#DIV/0!</v>
      </c>
      <c r="F34" s="224" t="e">
        <f t="shared" si="19"/>
        <v>#DIV/0!</v>
      </c>
      <c r="G34" s="224" t="e">
        <f t="shared" si="15"/>
        <v>#N/A</v>
      </c>
      <c r="I34" s="221"/>
      <c r="J34" s="222"/>
      <c r="K34" s="223" t="e">
        <f t="shared" si="16"/>
        <v>#DIV/0!</v>
      </c>
      <c r="L34" s="223" t="e">
        <f t="shared" si="18"/>
        <v>#DIV/0!</v>
      </c>
      <c r="M34" s="224" t="e">
        <f t="shared" si="20"/>
        <v>#DIV/0!</v>
      </c>
    </row>
    <row r="35" spans="2:13" ht="15" hidden="1" outlineLevel="1" thickBot="1">
      <c r="B35" s="221"/>
      <c r="C35" s="222"/>
      <c r="D35" s="223" t="e">
        <f t="shared" si="14"/>
        <v>#DIV/0!</v>
      </c>
      <c r="E35" s="223" t="e">
        <f t="shared" si="17"/>
        <v>#DIV/0!</v>
      </c>
      <c r="F35" s="224" t="e">
        <f t="shared" si="19"/>
        <v>#DIV/0!</v>
      </c>
      <c r="G35" s="224" t="e">
        <f t="shared" si="15"/>
        <v>#N/A</v>
      </c>
      <c r="I35" s="221"/>
      <c r="J35" s="222"/>
      <c r="K35" s="223" t="e">
        <f t="shared" si="16"/>
        <v>#DIV/0!</v>
      </c>
      <c r="L35" s="223" t="e">
        <f t="shared" si="18"/>
        <v>#DIV/0!</v>
      </c>
      <c r="M35" s="224" t="e">
        <f t="shared" si="20"/>
        <v>#DIV/0!</v>
      </c>
    </row>
    <row r="36" spans="2:13" ht="15" hidden="1" outlineLevel="1" thickBot="1">
      <c r="B36" s="221"/>
      <c r="C36" s="222"/>
      <c r="D36" s="223" t="e">
        <f t="shared" si="14"/>
        <v>#DIV/0!</v>
      </c>
      <c r="E36" s="223" t="e">
        <f t="shared" si="17"/>
        <v>#DIV/0!</v>
      </c>
      <c r="F36" s="224" t="e">
        <f t="shared" si="19"/>
        <v>#DIV/0!</v>
      </c>
      <c r="G36" s="224" t="e">
        <f t="shared" si="15"/>
        <v>#N/A</v>
      </c>
      <c r="I36" s="221"/>
      <c r="J36" s="222"/>
      <c r="K36" s="223" t="e">
        <f t="shared" si="16"/>
        <v>#DIV/0!</v>
      </c>
      <c r="L36" s="223" t="e">
        <f t="shared" si="18"/>
        <v>#DIV/0!</v>
      </c>
      <c r="M36" s="224" t="e">
        <f t="shared" si="20"/>
        <v>#DIV/0!</v>
      </c>
    </row>
    <row r="37" spans="2:13" ht="15" hidden="1" outlineLevel="1" thickBot="1">
      <c r="B37" s="221"/>
      <c r="C37" s="222"/>
      <c r="D37" s="223" t="e">
        <f t="shared" si="14"/>
        <v>#DIV/0!</v>
      </c>
      <c r="E37" s="223" t="e">
        <f t="shared" si="17"/>
        <v>#DIV/0!</v>
      </c>
      <c r="F37" s="224" t="e">
        <f t="shared" si="19"/>
        <v>#DIV/0!</v>
      </c>
      <c r="G37" s="224" t="e">
        <f t="shared" si="15"/>
        <v>#N/A</v>
      </c>
      <c r="I37" s="221"/>
      <c r="J37" s="222"/>
      <c r="K37" s="223" t="e">
        <f t="shared" si="16"/>
        <v>#DIV/0!</v>
      </c>
      <c r="L37" s="223" t="e">
        <f t="shared" si="18"/>
        <v>#DIV/0!</v>
      </c>
      <c r="M37" s="224" t="e">
        <f t="shared" si="20"/>
        <v>#DIV/0!</v>
      </c>
    </row>
    <row r="38" spans="2:13" ht="15" hidden="1" outlineLevel="1" thickBot="1">
      <c r="B38" s="221"/>
      <c r="C38" s="222"/>
      <c r="D38" s="223" t="e">
        <f t="shared" si="14"/>
        <v>#DIV/0!</v>
      </c>
      <c r="E38" s="223" t="e">
        <f t="shared" si="17"/>
        <v>#DIV/0!</v>
      </c>
      <c r="F38" s="224" t="e">
        <f t="shared" si="19"/>
        <v>#DIV/0!</v>
      </c>
      <c r="G38" s="224" t="e">
        <f t="shared" si="15"/>
        <v>#N/A</v>
      </c>
      <c r="I38" s="221"/>
      <c r="J38" s="222"/>
      <c r="K38" s="223" t="e">
        <f t="shared" si="16"/>
        <v>#DIV/0!</v>
      </c>
      <c r="L38" s="223" t="e">
        <f t="shared" si="18"/>
        <v>#DIV/0!</v>
      </c>
      <c r="M38" s="224" t="e">
        <f t="shared" si="20"/>
        <v>#DIV/0!</v>
      </c>
    </row>
    <row r="39" spans="2:13" ht="15" hidden="1" outlineLevel="1" thickBot="1">
      <c r="B39" s="221"/>
      <c r="C39" s="222"/>
      <c r="D39" s="223" t="e">
        <f t="shared" si="14"/>
        <v>#DIV/0!</v>
      </c>
      <c r="E39" s="223" t="e">
        <f t="shared" si="17"/>
        <v>#DIV/0!</v>
      </c>
      <c r="F39" s="224" t="e">
        <f t="shared" si="19"/>
        <v>#DIV/0!</v>
      </c>
      <c r="G39" s="224" t="e">
        <f t="shared" si="15"/>
        <v>#N/A</v>
      </c>
      <c r="I39" s="221"/>
      <c r="J39" s="222"/>
      <c r="K39" s="223" t="e">
        <f t="shared" si="16"/>
        <v>#DIV/0!</v>
      </c>
      <c r="L39" s="223" t="e">
        <f t="shared" si="18"/>
        <v>#DIV/0!</v>
      </c>
      <c r="M39" s="224" t="e">
        <f t="shared" si="20"/>
        <v>#DIV/0!</v>
      </c>
    </row>
    <row r="40" spans="2:13" ht="15" hidden="1" outlineLevel="1" thickBot="1">
      <c r="B40" s="221"/>
      <c r="C40" s="222"/>
      <c r="D40" s="223" t="e">
        <f t="shared" si="14"/>
        <v>#DIV/0!</v>
      </c>
      <c r="E40" s="223" t="e">
        <f t="shared" si="17"/>
        <v>#DIV/0!</v>
      </c>
      <c r="F40" s="224" t="e">
        <f t="shared" si="19"/>
        <v>#DIV/0!</v>
      </c>
      <c r="G40" s="224" t="e">
        <f t="shared" si="15"/>
        <v>#N/A</v>
      </c>
      <c r="I40" s="221"/>
      <c r="J40" s="222"/>
      <c r="K40" s="223" t="e">
        <f t="shared" si="16"/>
        <v>#DIV/0!</v>
      </c>
      <c r="L40" s="223" t="e">
        <f t="shared" si="18"/>
        <v>#DIV/0!</v>
      </c>
      <c r="M40" s="224" t="e">
        <f t="shared" si="20"/>
        <v>#DIV/0!</v>
      </c>
    </row>
    <row r="41" spans="2:13" ht="15" hidden="1" outlineLevel="1" thickBot="1">
      <c r="B41" s="221"/>
      <c r="C41" s="222"/>
      <c r="D41" s="223" t="e">
        <f t="shared" si="14"/>
        <v>#DIV/0!</v>
      </c>
      <c r="E41" s="223" t="e">
        <f t="shared" si="17"/>
        <v>#DIV/0!</v>
      </c>
      <c r="F41" s="224" t="e">
        <f t="shared" si="19"/>
        <v>#DIV/0!</v>
      </c>
      <c r="G41" s="224" t="e">
        <f t="shared" si="15"/>
        <v>#N/A</v>
      </c>
      <c r="I41" s="221"/>
      <c r="J41" s="222"/>
      <c r="K41" s="223" t="e">
        <f t="shared" si="16"/>
        <v>#DIV/0!</v>
      </c>
      <c r="L41" s="223" t="e">
        <f t="shared" si="18"/>
        <v>#DIV/0!</v>
      </c>
      <c r="M41" s="224" t="e">
        <f t="shared" si="20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28" priority="4" operator="equal">
      <formula>"C"</formula>
    </cfRule>
    <cfRule type="cellIs" dxfId="127" priority="5" operator="equal">
      <formula>"B"</formula>
    </cfRule>
    <cfRule type="cellIs" dxfId="126" priority="6" operator="equal">
      <formula>"A"</formula>
    </cfRule>
  </conditionalFormatting>
  <conditionalFormatting sqref="M22:M41 D22:D41 K22:K41 F22:G41">
    <cfRule type="cellIs" dxfId="125" priority="1" operator="equal">
      <formula>"C"</formula>
    </cfRule>
    <cfRule type="cellIs" dxfId="124" priority="2" operator="equal">
      <formula>"B"</formula>
    </cfRule>
    <cfRule type="cellIs" dxfId="123" priority="3" operator="equal">
      <formula>"A"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8FF04-A4CF-4DBE-A2F5-3877190E211C}">
  <dimension ref="B1:M43"/>
  <sheetViews>
    <sheetView workbookViewId="0">
      <selection activeCell="J7" sqref="J7"/>
    </sheetView>
  </sheetViews>
  <sheetFormatPr defaultRowHeight="14.5" outlineLevelRow="1" outlineLevelCol="1"/>
  <cols>
    <col min="1" max="1" width="4.7265625" customWidth="1"/>
    <col min="2" max="2" width="18" customWidth="1"/>
    <col min="3" max="3" width="10.453125" customWidth="1" outlineLevel="1"/>
    <col min="4" max="5" width="9.08984375" customWidth="1" outlineLevel="1"/>
    <col min="6" max="7" width="8.1796875" customWidth="1"/>
    <col min="8" max="8" width="8.26953125" customWidth="1"/>
    <col min="9" max="9" width="17.54296875" customWidth="1" outlineLevel="1"/>
    <col min="10" max="10" width="9.26953125" customWidth="1" outlineLevel="1"/>
    <col min="11" max="11" width="10.08984375" customWidth="1" outlineLevel="1"/>
    <col min="12" max="12" width="9.36328125" customWidth="1" outlineLevel="1"/>
    <col min="14" max="14" width="8" customWidth="1"/>
    <col min="15" max="15" width="23.54296875" customWidth="1"/>
    <col min="16" max="16" width="20.81640625" customWidth="1"/>
  </cols>
  <sheetData>
    <row r="1" spans="2:13" ht="15" thickBot="1"/>
    <row r="2" spans="2:13" ht="15" thickBot="1">
      <c r="B2" s="264" t="s">
        <v>1074</v>
      </c>
      <c r="C2" s="265"/>
      <c r="D2" s="265"/>
      <c r="E2" s="265"/>
      <c r="F2" s="265"/>
      <c r="G2" s="265"/>
      <c r="H2" s="265"/>
      <c r="I2" s="265"/>
      <c r="J2" s="265"/>
      <c r="K2" s="265"/>
      <c r="L2" s="265"/>
      <c r="M2" s="266"/>
    </row>
    <row r="3" spans="2:13" ht="28.5" customHeight="1" outlineLevel="1" thickBot="1">
      <c r="C3" s="217" t="s">
        <v>28</v>
      </c>
      <c r="D3" s="218" t="s">
        <v>1075</v>
      </c>
      <c r="E3" s="219" t="s">
        <v>1076</v>
      </c>
      <c r="F3" s="218" t="s">
        <v>1077</v>
      </c>
      <c r="G3" s="218" t="s">
        <v>1078</v>
      </c>
      <c r="J3" s="217" t="s">
        <v>1079</v>
      </c>
      <c r="K3" s="218" t="s">
        <v>1080</v>
      </c>
      <c r="L3" s="219" t="s">
        <v>1076</v>
      </c>
      <c r="M3" s="220" t="s">
        <v>1078</v>
      </c>
    </row>
    <row r="4" spans="2:13" ht="28.5" customHeight="1" outlineLevel="1" thickBot="1">
      <c r="B4" s="221" t="s">
        <v>53</v>
      </c>
      <c r="C4" s="222">
        <f>'Юнит 01-04.01'!AE15</f>
        <v>2923.2652270000012</v>
      </c>
      <c r="D4" s="223">
        <f>C4/C$18</f>
        <v>-0.7804093277273686</v>
      </c>
      <c r="E4" s="223">
        <f>D4</f>
        <v>-0.7804093277273686</v>
      </c>
      <c r="F4" s="224" t="str">
        <f>IF(AND(E4&lt;=0),"C",IF(E4&lt;=0.8,"A",IF(E4&lt;=0.95,"B","C")))</f>
        <v>C</v>
      </c>
      <c r="G4" s="224" t="str">
        <f>VLOOKUP(B$4:B$17,I$4:M$17,5,0)</f>
        <v>A</v>
      </c>
      <c r="I4" s="221" t="s">
        <v>53</v>
      </c>
      <c r="J4" s="222">
        <f>'Юнит 01-04.01'!R15</f>
        <v>25</v>
      </c>
      <c r="K4" s="223">
        <f>J4/J$18</f>
        <v>0.5</v>
      </c>
      <c r="L4" s="223">
        <f>K4</f>
        <v>0.5</v>
      </c>
      <c r="M4" s="224" t="str">
        <f t="shared" ref="M4:M17" si="0">_xlfn.IFS(L4&lt;80%,"A",L4&lt;=95%,"B",L4&gt;95%,"C")</f>
        <v>A</v>
      </c>
    </row>
    <row r="5" spans="2:13" ht="28.5" customHeight="1" outlineLevel="1" thickBot="1">
      <c r="B5" s="221" t="s">
        <v>39</v>
      </c>
      <c r="C5" s="222">
        <f>'Юнит 01-04.01'!AE4</f>
        <v>684.33</v>
      </c>
      <c r="D5" s="223">
        <f>C5/C$18</f>
        <v>-0.1826921178109269</v>
      </c>
      <c r="E5" s="223">
        <f>D5+E4</f>
        <v>-0.96310144553829546</v>
      </c>
      <c r="F5" s="224" t="str">
        <f t="shared" ref="F5:F17" si="1">IF(AND(E5&lt;=0),"C",IF(E5&lt;=0.8,"A",IF(E5&lt;=0.95,"B","C")))</f>
        <v>C</v>
      </c>
      <c r="G5" s="224" t="str">
        <f>VLOOKUP(B$4:B$17,I$4:M$17,5,0)</f>
        <v>C</v>
      </c>
      <c r="I5" s="221" t="s">
        <v>52</v>
      </c>
      <c r="J5" s="222">
        <f>'Юнит 01-04.01'!R11</f>
        <v>12</v>
      </c>
      <c r="K5" s="223">
        <f>J5/J$18</f>
        <v>0.24</v>
      </c>
      <c r="L5" s="223">
        <f>K5+L4</f>
        <v>0.74</v>
      </c>
      <c r="M5" s="224" t="str">
        <f t="shared" si="0"/>
        <v>A</v>
      </c>
    </row>
    <row r="6" spans="2:13" ht="28.5" customHeight="1" outlineLevel="1" thickBot="1">
      <c r="B6" s="221" t="s">
        <v>42</v>
      </c>
      <c r="C6" s="222">
        <f>'Юнит 01-04.01'!AE7</f>
        <v>752.97</v>
      </c>
      <c r="D6" s="223">
        <f t="shared" ref="D6:D11" si="2">C6/C$18</f>
        <v>-0.20101659133472682</v>
      </c>
      <c r="E6" s="223">
        <f t="shared" ref="E6:E11" si="3">D6+E5</f>
        <v>-1.1641180368730222</v>
      </c>
      <c r="F6" s="224" t="str">
        <f t="shared" ref="F6:F11" si="4">IF(AND(E6&lt;=0),"C",IF(E6&lt;=0.8,"A",IF(E6&lt;=0.95,"B","C")))</f>
        <v>C</v>
      </c>
      <c r="G6" s="224" t="str">
        <f t="shared" ref="G6:G11" si="5">VLOOKUP(B$4:B$17,I$4:M$17,5,0)</f>
        <v>B</v>
      </c>
      <c r="I6" s="221" t="s">
        <v>41</v>
      </c>
      <c r="J6" s="222">
        <f>'Юнит 01-04.01'!R6</f>
        <v>7</v>
      </c>
      <c r="K6" s="223">
        <f t="shared" ref="K6:K11" si="6">J6/J$18</f>
        <v>0.14000000000000001</v>
      </c>
      <c r="L6" s="223">
        <f t="shared" ref="L6:L11" si="7">K6+L5</f>
        <v>0.88</v>
      </c>
      <c r="M6" s="224" t="str">
        <f t="shared" ref="M6:M11" si="8">_xlfn.IFS(L6&lt;80%,"A",L6&lt;=95%,"B",L6&gt;95%,"C")</f>
        <v>B</v>
      </c>
    </row>
    <row r="7" spans="2:13" ht="28.5" customHeight="1" outlineLevel="1" thickBot="1">
      <c r="B7" s="221" t="s">
        <v>38</v>
      </c>
      <c r="C7" s="222">
        <f>'Юнит 01-04.01'!AE3</f>
        <v>277.18999999999994</v>
      </c>
      <c r="D7" s="223">
        <f t="shared" si="2"/>
        <v>-7.4000011889016712E-2</v>
      </c>
      <c r="E7" s="223">
        <f t="shared" si="3"/>
        <v>-1.2381180487620389</v>
      </c>
      <c r="F7" s="224" t="str">
        <f t="shared" si="4"/>
        <v>C</v>
      </c>
      <c r="G7" s="224" t="str">
        <f t="shared" si="5"/>
        <v>C</v>
      </c>
      <c r="I7" s="221" t="s">
        <v>42</v>
      </c>
      <c r="J7" s="222">
        <f>'Юнит 01-04.01'!R7</f>
        <v>2</v>
      </c>
      <c r="K7" s="223">
        <f t="shared" si="6"/>
        <v>0.04</v>
      </c>
      <c r="L7" s="223">
        <f t="shared" si="7"/>
        <v>0.92</v>
      </c>
      <c r="M7" s="224" t="str">
        <f t="shared" si="8"/>
        <v>B</v>
      </c>
    </row>
    <row r="8" spans="2:13" ht="28.5" customHeight="1" outlineLevel="1" thickBot="1">
      <c r="B8" s="221" t="s">
        <v>40</v>
      </c>
      <c r="C8" s="222">
        <f>'Юнит 01-04.01'!AE5</f>
        <v>0</v>
      </c>
      <c r="D8" s="223">
        <f t="shared" si="2"/>
        <v>0</v>
      </c>
      <c r="E8" s="223">
        <f t="shared" si="3"/>
        <v>-1.2381180487620389</v>
      </c>
      <c r="F8" s="224" t="str">
        <f t="shared" si="4"/>
        <v>C</v>
      </c>
      <c r="G8" s="224" t="str">
        <f t="shared" si="5"/>
        <v>C</v>
      </c>
      <c r="I8" s="221" t="s">
        <v>43</v>
      </c>
      <c r="J8" s="222">
        <f>'Юнит 01-04.01'!R8</f>
        <v>2</v>
      </c>
      <c r="K8" s="223">
        <f t="shared" si="6"/>
        <v>0.04</v>
      </c>
      <c r="L8" s="223">
        <f t="shared" si="7"/>
        <v>0.96000000000000008</v>
      </c>
      <c r="M8" s="224" t="str">
        <f t="shared" si="8"/>
        <v>C</v>
      </c>
    </row>
    <row r="9" spans="2:13" ht="28.5" customHeight="1" outlineLevel="1" thickBot="1">
      <c r="B9" s="221" t="s">
        <v>55</v>
      </c>
      <c r="C9" s="222">
        <f>'Юнит 01-04.01'!AE9</f>
        <v>0</v>
      </c>
      <c r="D9" s="223">
        <f t="shared" si="2"/>
        <v>0</v>
      </c>
      <c r="E9" s="223">
        <f t="shared" si="3"/>
        <v>-1.2381180487620389</v>
      </c>
      <c r="F9" s="224" t="str">
        <f t="shared" si="4"/>
        <v>C</v>
      </c>
      <c r="G9" s="224" t="str">
        <f t="shared" si="5"/>
        <v>A</v>
      </c>
      <c r="I9" s="221" t="s">
        <v>38</v>
      </c>
      <c r="J9" s="222">
        <f>'Юнит 01-04.01'!R3</f>
        <v>1</v>
      </c>
      <c r="K9" s="223">
        <f t="shared" si="6"/>
        <v>0.02</v>
      </c>
      <c r="L9" s="223">
        <f t="shared" si="7"/>
        <v>0.98000000000000009</v>
      </c>
      <c r="M9" s="224" t="str">
        <f t="shared" si="8"/>
        <v>C</v>
      </c>
    </row>
    <row r="10" spans="2:13" ht="28.5" customHeight="1" outlineLevel="1" thickBot="1">
      <c r="B10" s="221" t="s">
        <v>56</v>
      </c>
      <c r="C10" s="222">
        <f>'Юнит 01-04.01'!AE10</f>
        <v>0</v>
      </c>
      <c r="D10" s="223">
        <f t="shared" si="2"/>
        <v>0</v>
      </c>
      <c r="E10" s="223">
        <f t="shared" si="3"/>
        <v>-1.2381180487620389</v>
      </c>
      <c r="F10" s="224" t="str">
        <f t="shared" si="4"/>
        <v>C</v>
      </c>
      <c r="G10" s="224" t="str">
        <f t="shared" si="5"/>
        <v>A</v>
      </c>
      <c r="I10" s="221" t="s">
        <v>39</v>
      </c>
      <c r="J10" s="222">
        <f>'Юнит 01-04.01'!R4</f>
        <v>1</v>
      </c>
      <c r="K10" s="223">
        <f t="shared" si="6"/>
        <v>0.02</v>
      </c>
      <c r="L10" s="223">
        <f t="shared" si="7"/>
        <v>1</v>
      </c>
      <c r="M10" s="224" t="str">
        <f t="shared" si="8"/>
        <v>C</v>
      </c>
    </row>
    <row r="11" spans="2:13" ht="28.5" customHeight="1" outlineLevel="1" thickBot="1">
      <c r="B11" s="221" t="s">
        <v>57</v>
      </c>
      <c r="C11" s="222">
        <f>'Юнит 01-04.01'!AE12</f>
        <v>0</v>
      </c>
      <c r="D11" s="223">
        <f t="shared" si="2"/>
        <v>0</v>
      </c>
      <c r="E11" s="223">
        <f t="shared" si="3"/>
        <v>-1.2381180487620389</v>
      </c>
      <c r="F11" s="224" t="str">
        <f t="shared" si="4"/>
        <v>C</v>
      </c>
      <c r="G11" s="224" t="str">
        <f t="shared" si="5"/>
        <v>A</v>
      </c>
      <c r="I11" s="221" t="s">
        <v>40</v>
      </c>
      <c r="J11" s="222">
        <f>'Юнит 01-04.01'!R5</f>
        <v>0</v>
      </c>
      <c r="K11" s="223">
        <f t="shared" si="6"/>
        <v>0</v>
      </c>
      <c r="L11" s="223">
        <f t="shared" si="7"/>
        <v>1</v>
      </c>
      <c r="M11" s="224" t="str">
        <f t="shared" si="8"/>
        <v>C</v>
      </c>
    </row>
    <row r="12" spans="2:13" ht="28.5" customHeight="1" outlineLevel="1" thickBot="1">
      <c r="B12" s="221" t="s">
        <v>58</v>
      </c>
      <c r="C12" s="222">
        <f>'Юнит 01-04.01'!AE13</f>
        <v>0</v>
      </c>
      <c r="D12" s="223">
        <f t="shared" ref="D12:D17" si="9">C12/C$18</f>
        <v>0</v>
      </c>
      <c r="E12" s="223">
        <f>D12+E5</f>
        <v>-0.96310144553829546</v>
      </c>
      <c r="F12" s="224" t="str">
        <f t="shared" si="1"/>
        <v>C</v>
      </c>
      <c r="G12" s="224" t="str">
        <f t="shared" ref="G12:G17" si="10">VLOOKUP(B$4:B$17,I$4:M$17,5,0)</f>
        <v>A</v>
      </c>
      <c r="I12" s="221" t="s">
        <v>55</v>
      </c>
      <c r="J12" s="222">
        <f>'Юнит 01-04.01'!R9</f>
        <v>0</v>
      </c>
      <c r="K12" s="223">
        <f t="shared" ref="K12:K17" si="11">J12/J$18</f>
        <v>0</v>
      </c>
      <c r="L12" s="223">
        <f>K12+L5</f>
        <v>0.74</v>
      </c>
      <c r="M12" s="224" t="str">
        <f t="shared" si="0"/>
        <v>A</v>
      </c>
    </row>
    <row r="13" spans="2:13" ht="28.5" customHeight="1" outlineLevel="1" thickBot="1">
      <c r="B13" s="221" t="s">
        <v>59</v>
      </c>
      <c r="C13" s="222">
        <f>'Юнит 01-04.01'!AE14</f>
        <v>0</v>
      </c>
      <c r="D13" s="223">
        <f t="shared" si="9"/>
        <v>0</v>
      </c>
      <c r="E13" s="223">
        <f t="shared" ref="E13:E16" si="12">D13+E12</f>
        <v>-0.96310144553829546</v>
      </c>
      <c r="F13" s="224" t="str">
        <f t="shared" si="1"/>
        <v>C</v>
      </c>
      <c r="G13" s="224" t="str">
        <f t="shared" si="10"/>
        <v>A</v>
      </c>
      <c r="I13" s="221" t="s">
        <v>56</v>
      </c>
      <c r="J13" s="222">
        <f>'Юнит 01-04.01'!R10</f>
        <v>0</v>
      </c>
      <c r="K13" s="223">
        <f t="shared" si="11"/>
        <v>0</v>
      </c>
      <c r="L13" s="223">
        <f t="shared" ref="L13:L16" si="13">K13+L12</f>
        <v>0.74</v>
      </c>
      <c r="M13" s="224" t="str">
        <f t="shared" si="0"/>
        <v>A</v>
      </c>
    </row>
    <row r="14" spans="2:13" ht="28.5" customHeight="1" outlineLevel="1" thickBot="1">
      <c r="B14" s="221" t="s">
        <v>60</v>
      </c>
      <c r="C14" s="222">
        <f>'Юнит 01-04.01'!AE16</f>
        <v>0</v>
      </c>
      <c r="D14" s="223">
        <f t="shared" si="9"/>
        <v>0</v>
      </c>
      <c r="E14" s="223">
        <f t="shared" si="12"/>
        <v>-0.96310144553829546</v>
      </c>
      <c r="F14" s="224" t="str">
        <f t="shared" si="1"/>
        <v>C</v>
      </c>
      <c r="G14" s="224" t="str">
        <f t="shared" si="10"/>
        <v>A</v>
      </c>
      <c r="I14" s="221" t="s">
        <v>57</v>
      </c>
      <c r="J14" s="222">
        <f>'Юнит 01-04.01'!R12</f>
        <v>0</v>
      </c>
      <c r="K14" s="223">
        <f t="shared" si="11"/>
        <v>0</v>
      </c>
      <c r="L14" s="223">
        <f t="shared" si="13"/>
        <v>0.74</v>
      </c>
      <c r="M14" s="224" t="str">
        <f t="shared" si="0"/>
        <v>A</v>
      </c>
    </row>
    <row r="15" spans="2:13" ht="28.5" customHeight="1" outlineLevel="1" thickBot="1">
      <c r="B15" s="221" t="s">
        <v>43</v>
      </c>
      <c r="C15" s="222">
        <f>'Юнит 01-04.01'!AE8</f>
        <v>-419.22999999999973</v>
      </c>
      <c r="D15" s="223">
        <f t="shared" si="9"/>
        <v>0.11191971205394302</v>
      </c>
      <c r="E15" s="223">
        <f t="shared" si="12"/>
        <v>-0.85118173348435244</v>
      </c>
      <c r="F15" s="224" t="str">
        <f t="shared" si="1"/>
        <v>C</v>
      </c>
      <c r="G15" s="224" t="str">
        <f t="shared" si="10"/>
        <v>C</v>
      </c>
      <c r="I15" s="221" t="s">
        <v>58</v>
      </c>
      <c r="J15" s="222">
        <f>'Юнит 01-04.01'!R13</f>
        <v>0</v>
      </c>
      <c r="K15" s="223">
        <f t="shared" si="11"/>
        <v>0</v>
      </c>
      <c r="L15" s="223">
        <f t="shared" si="13"/>
        <v>0.74</v>
      </c>
      <c r="M15" s="224" t="str">
        <f t="shared" si="0"/>
        <v>A</v>
      </c>
    </row>
    <row r="16" spans="2:13" ht="28.5" customHeight="1" outlineLevel="1" thickBot="1">
      <c r="B16" s="221" t="s">
        <v>41</v>
      </c>
      <c r="C16" s="222">
        <f>'Юнит 01-04.01'!AE6</f>
        <v>-2341.0660689999986</v>
      </c>
      <c r="D16" s="223">
        <f t="shared" si="9"/>
        <v>0.62498256408591057</v>
      </c>
      <c r="E16" s="223">
        <f t="shared" si="12"/>
        <v>-0.22619916939844187</v>
      </c>
      <c r="F16" s="224" t="str">
        <f t="shared" si="1"/>
        <v>C</v>
      </c>
      <c r="G16" s="224" t="str">
        <f t="shared" si="10"/>
        <v>B</v>
      </c>
      <c r="I16" s="221" t="s">
        <v>59</v>
      </c>
      <c r="J16" s="222">
        <f>'Юнит 01-04.01'!R14</f>
        <v>0</v>
      </c>
      <c r="K16" s="223">
        <f t="shared" si="11"/>
        <v>0</v>
      </c>
      <c r="L16" s="223">
        <f t="shared" si="13"/>
        <v>0.74</v>
      </c>
      <c r="M16" s="224" t="str">
        <f t="shared" si="0"/>
        <v>A</v>
      </c>
    </row>
    <row r="17" spans="2:13" ht="28.5" customHeight="1" outlineLevel="1" thickBot="1">
      <c r="B17" s="221" t="s">
        <v>52</v>
      </c>
      <c r="C17" s="222">
        <f>'Юнит 01-04.01'!AE11</f>
        <v>-5623.269366999999</v>
      </c>
      <c r="D17" s="223">
        <f t="shared" si="9"/>
        <v>1.5012157726221853</v>
      </c>
      <c r="E17" s="223">
        <f>D17+E14</f>
        <v>0.53811432708388984</v>
      </c>
      <c r="F17" s="224" t="str">
        <f t="shared" si="1"/>
        <v>A</v>
      </c>
      <c r="G17" s="224" t="str">
        <f t="shared" si="10"/>
        <v>A</v>
      </c>
      <c r="I17" s="221" t="s">
        <v>60</v>
      </c>
      <c r="J17" s="222">
        <f>'Юнит 01-04.01'!R16</f>
        <v>0</v>
      </c>
      <c r="K17" s="223">
        <f t="shared" si="11"/>
        <v>0</v>
      </c>
      <c r="L17" s="223">
        <f>K17+L14</f>
        <v>0.74</v>
      </c>
      <c r="M17" s="224" t="str">
        <f t="shared" si="0"/>
        <v>A</v>
      </c>
    </row>
    <row r="18" spans="2:13" outlineLevel="1">
      <c r="C18" s="225">
        <f>SUM(C4:C17)</f>
        <v>-3745.8102089999966</v>
      </c>
      <c r="D18" s="226">
        <f>SUM(D4:D17)</f>
        <v>1</v>
      </c>
      <c r="J18" s="225">
        <f>SUM(J4:J17)</f>
        <v>50</v>
      </c>
      <c r="K18" s="226">
        <f>SUM(K4:K17)</f>
        <v>1</v>
      </c>
    </row>
    <row r="20" spans="2:13" ht="15" hidden="1" outlineLevel="1" thickBot="1">
      <c r="B20" s="267"/>
      <c r="C20" s="268"/>
      <c r="D20" s="268"/>
      <c r="E20" s="268"/>
      <c r="F20" s="268"/>
      <c r="G20" s="268"/>
      <c r="H20" s="268"/>
      <c r="I20" s="268"/>
      <c r="J20" s="268"/>
      <c r="K20" s="268"/>
      <c r="L20" s="268"/>
      <c r="M20" s="269"/>
    </row>
    <row r="21" spans="2:13" ht="23.5" hidden="1" outlineLevel="1" thickBot="1">
      <c r="C21" s="217" t="s">
        <v>28</v>
      </c>
      <c r="D21" s="218" t="s">
        <v>1075</v>
      </c>
      <c r="E21" s="219" t="s">
        <v>1076</v>
      </c>
      <c r="F21" s="218" t="s">
        <v>1077</v>
      </c>
      <c r="G21" s="218" t="s">
        <v>1078</v>
      </c>
      <c r="J21" s="217" t="s">
        <v>1079</v>
      </c>
      <c r="K21" s="218" t="s">
        <v>1080</v>
      </c>
      <c r="L21" s="219" t="s">
        <v>1076</v>
      </c>
      <c r="M21" s="220" t="s">
        <v>1078</v>
      </c>
    </row>
    <row r="22" spans="2:13" ht="15" hidden="1" outlineLevel="1" thickBot="1">
      <c r="B22" s="221"/>
      <c r="C22" s="222"/>
      <c r="D22" s="223" t="e">
        <f>C22/C$42</f>
        <v>#DIV/0!</v>
      </c>
      <c r="E22" s="223" t="e">
        <f>D22</f>
        <v>#DIV/0!</v>
      </c>
      <c r="F22" s="224" t="e">
        <f t="shared" ref="F22:F28" si="14">IF(AND(E22&lt;=0),"C",IF(E22&lt;=0.8,"A",IF(E22&lt;=0.95,"B","C")))</f>
        <v>#DIV/0!</v>
      </c>
      <c r="G22" s="224" t="e">
        <f>VLOOKUP(B$22:B$42,I$22:M$42,5,0)</f>
        <v>#N/A</v>
      </c>
      <c r="I22" s="221"/>
      <c r="J22" s="222"/>
      <c r="K22" s="223" t="e">
        <f>J22/J$42</f>
        <v>#DIV/0!</v>
      </c>
      <c r="L22" s="223" t="e">
        <f>K22</f>
        <v>#DIV/0!</v>
      </c>
      <c r="M22" s="224" t="e">
        <f t="shared" ref="M22:M28" si="15">_xlfn.IFS(L22&lt;80%,"A",L22&lt;=95%,"B",L22&gt;95%,"C")</f>
        <v>#DIV/0!</v>
      </c>
    </row>
    <row r="23" spans="2:13" ht="15" hidden="1" outlineLevel="1" thickBot="1">
      <c r="B23" s="221"/>
      <c r="C23" s="222"/>
      <c r="D23" s="223" t="e">
        <f t="shared" ref="D23:D41" si="16">C23/C$42</f>
        <v>#DIV/0!</v>
      </c>
      <c r="E23" s="223" t="e">
        <f>D23+E22</f>
        <v>#DIV/0!</v>
      </c>
      <c r="F23" s="224" t="e">
        <f t="shared" si="14"/>
        <v>#DIV/0!</v>
      </c>
      <c r="G23" s="224" t="e">
        <f t="shared" ref="G23:G41" si="17">VLOOKUP(B$22:B$42,I$22:M$42,5,0)</f>
        <v>#N/A</v>
      </c>
      <c r="I23" s="221"/>
      <c r="J23" s="222"/>
      <c r="K23" s="223" t="e">
        <f t="shared" ref="K23:K41" si="18">J23/J$42</f>
        <v>#DIV/0!</v>
      </c>
      <c r="L23" s="223" t="e">
        <f>K23+L22</f>
        <v>#DIV/0!</v>
      </c>
      <c r="M23" s="224" t="e">
        <f t="shared" si="15"/>
        <v>#DIV/0!</v>
      </c>
    </row>
    <row r="24" spans="2:13" ht="15" hidden="1" outlineLevel="1" thickBot="1">
      <c r="B24" s="221"/>
      <c r="C24" s="222"/>
      <c r="D24" s="223" t="e">
        <f t="shared" si="16"/>
        <v>#DIV/0!</v>
      </c>
      <c r="E24" s="223" t="e">
        <f t="shared" ref="E24:E41" si="19">D24+E23</f>
        <v>#DIV/0!</v>
      </c>
      <c r="F24" s="224" t="e">
        <f t="shared" si="14"/>
        <v>#DIV/0!</v>
      </c>
      <c r="G24" s="224" t="e">
        <f t="shared" si="17"/>
        <v>#N/A</v>
      </c>
      <c r="I24" s="221"/>
      <c r="J24" s="222"/>
      <c r="K24" s="223" t="e">
        <f t="shared" si="18"/>
        <v>#DIV/0!</v>
      </c>
      <c r="L24" s="223" t="e">
        <f t="shared" ref="L24:L41" si="20">K24+L23</f>
        <v>#DIV/0!</v>
      </c>
      <c r="M24" s="224" t="e">
        <f t="shared" si="15"/>
        <v>#DIV/0!</v>
      </c>
    </row>
    <row r="25" spans="2:13" ht="15" hidden="1" outlineLevel="1" thickBot="1">
      <c r="B25" s="221"/>
      <c r="C25" s="222"/>
      <c r="D25" s="223" t="e">
        <f t="shared" si="16"/>
        <v>#DIV/0!</v>
      </c>
      <c r="E25" s="223" t="e">
        <f t="shared" si="19"/>
        <v>#DIV/0!</v>
      </c>
      <c r="F25" s="224" t="e">
        <f t="shared" si="14"/>
        <v>#DIV/0!</v>
      </c>
      <c r="G25" s="224" t="e">
        <f t="shared" si="17"/>
        <v>#N/A</v>
      </c>
      <c r="I25" s="221"/>
      <c r="J25" s="222"/>
      <c r="K25" s="223" t="e">
        <f t="shared" si="18"/>
        <v>#DIV/0!</v>
      </c>
      <c r="L25" s="223" t="e">
        <f t="shared" si="20"/>
        <v>#DIV/0!</v>
      </c>
      <c r="M25" s="224" t="e">
        <f t="shared" si="15"/>
        <v>#DIV/0!</v>
      </c>
    </row>
    <row r="26" spans="2:13" ht="15" hidden="1" outlineLevel="1" thickBot="1">
      <c r="B26" s="221"/>
      <c r="C26" s="222"/>
      <c r="D26" s="223" t="e">
        <f t="shared" si="16"/>
        <v>#DIV/0!</v>
      </c>
      <c r="E26" s="223" t="e">
        <f t="shared" si="19"/>
        <v>#DIV/0!</v>
      </c>
      <c r="F26" s="224" t="e">
        <f t="shared" si="14"/>
        <v>#DIV/0!</v>
      </c>
      <c r="G26" s="224" t="e">
        <f t="shared" si="17"/>
        <v>#N/A</v>
      </c>
      <c r="I26" s="221"/>
      <c r="J26" s="222"/>
      <c r="K26" s="223" t="e">
        <f t="shared" si="18"/>
        <v>#DIV/0!</v>
      </c>
      <c r="L26" s="223" t="e">
        <f t="shared" si="20"/>
        <v>#DIV/0!</v>
      </c>
      <c r="M26" s="224" t="e">
        <f t="shared" si="15"/>
        <v>#DIV/0!</v>
      </c>
    </row>
    <row r="27" spans="2:13" ht="15" hidden="1" outlineLevel="1" thickBot="1">
      <c r="B27" s="221"/>
      <c r="C27" s="222"/>
      <c r="D27" s="223" t="e">
        <f t="shared" si="16"/>
        <v>#DIV/0!</v>
      </c>
      <c r="E27" s="223" t="e">
        <f t="shared" si="19"/>
        <v>#DIV/0!</v>
      </c>
      <c r="F27" s="224" t="e">
        <f t="shared" si="14"/>
        <v>#DIV/0!</v>
      </c>
      <c r="G27" s="224" t="e">
        <f t="shared" si="17"/>
        <v>#N/A</v>
      </c>
      <c r="I27" s="221"/>
      <c r="J27" s="222"/>
      <c r="K27" s="223" t="e">
        <f t="shared" si="18"/>
        <v>#DIV/0!</v>
      </c>
      <c r="L27" s="223" t="e">
        <f t="shared" si="20"/>
        <v>#DIV/0!</v>
      </c>
      <c r="M27" s="224" t="e">
        <f t="shared" si="15"/>
        <v>#DIV/0!</v>
      </c>
    </row>
    <row r="28" spans="2:13" ht="15" hidden="1" outlineLevel="1" thickBot="1">
      <c r="B28" s="221"/>
      <c r="C28" s="222"/>
      <c r="D28" s="223" t="e">
        <f t="shared" si="16"/>
        <v>#DIV/0!</v>
      </c>
      <c r="E28" s="223" t="e">
        <f t="shared" si="19"/>
        <v>#DIV/0!</v>
      </c>
      <c r="F28" s="224" t="e">
        <f t="shared" si="14"/>
        <v>#DIV/0!</v>
      </c>
      <c r="G28" s="224" t="e">
        <f t="shared" si="17"/>
        <v>#N/A</v>
      </c>
      <c r="I28" s="221"/>
      <c r="J28" s="222"/>
      <c r="K28" s="223" t="e">
        <f t="shared" si="18"/>
        <v>#DIV/0!</v>
      </c>
      <c r="L28" s="223" t="e">
        <f t="shared" si="20"/>
        <v>#DIV/0!</v>
      </c>
      <c r="M28" s="224" t="e">
        <f t="shared" si="15"/>
        <v>#DIV/0!</v>
      </c>
    </row>
    <row r="29" spans="2:13" ht="15" hidden="1" outlineLevel="1" thickBot="1">
      <c r="B29" s="221"/>
      <c r="C29" s="222"/>
      <c r="D29" s="223" t="e">
        <f t="shared" si="16"/>
        <v>#DIV/0!</v>
      </c>
      <c r="E29" s="223" t="e">
        <f t="shared" si="19"/>
        <v>#DIV/0!</v>
      </c>
      <c r="F29" s="224" t="e">
        <f>IF(AND(E29&lt;=0),"C",IF(E29&lt;=0.8,"A",IF(E29&lt;=0.95,"B","C")))</f>
        <v>#DIV/0!</v>
      </c>
      <c r="G29" s="224" t="e">
        <f t="shared" si="17"/>
        <v>#N/A</v>
      </c>
      <c r="I29" s="221"/>
      <c r="J29" s="222"/>
      <c r="K29" s="223" t="e">
        <f t="shared" si="18"/>
        <v>#DIV/0!</v>
      </c>
      <c r="L29" s="223" t="e">
        <f t="shared" si="20"/>
        <v>#DIV/0!</v>
      </c>
      <c r="M29" s="224" t="e">
        <f>_xlfn.IFS(L29&lt;80%,"A",L29&lt;=95%,"B",L29&gt;95%,"C")</f>
        <v>#DIV/0!</v>
      </c>
    </row>
    <row r="30" spans="2:13" ht="15" hidden="1" outlineLevel="1" thickBot="1">
      <c r="B30" s="221"/>
      <c r="C30" s="222"/>
      <c r="D30" s="223" t="e">
        <f t="shared" si="16"/>
        <v>#DIV/0!</v>
      </c>
      <c r="E30" s="223" t="e">
        <f t="shared" si="19"/>
        <v>#DIV/0!</v>
      </c>
      <c r="F30" s="224" t="e">
        <f t="shared" ref="F30:F41" si="21">IF(AND(E30&lt;=0),"C",IF(E30&lt;=0.8,"A",IF(E30&lt;=0.95,"B","C")))</f>
        <v>#DIV/0!</v>
      </c>
      <c r="G30" s="224" t="e">
        <f t="shared" si="17"/>
        <v>#N/A</v>
      </c>
      <c r="I30" s="221"/>
      <c r="J30" s="222"/>
      <c r="K30" s="223" t="e">
        <f t="shared" si="18"/>
        <v>#DIV/0!</v>
      </c>
      <c r="L30" s="223" t="e">
        <f t="shared" si="20"/>
        <v>#DIV/0!</v>
      </c>
      <c r="M30" s="224" t="e">
        <f t="shared" ref="M30:M41" si="22">_xlfn.IFS(L30&lt;80%,"A",L30&lt;=95%,"B",L30&gt;95%,"C")</f>
        <v>#DIV/0!</v>
      </c>
    </row>
    <row r="31" spans="2:13" ht="15" hidden="1" outlineLevel="1" thickBot="1">
      <c r="B31" s="221"/>
      <c r="C31" s="222"/>
      <c r="D31" s="223" t="e">
        <f t="shared" si="16"/>
        <v>#DIV/0!</v>
      </c>
      <c r="E31" s="223" t="e">
        <f t="shared" si="19"/>
        <v>#DIV/0!</v>
      </c>
      <c r="F31" s="224" t="e">
        <f t="shared" si="21"/>
        <v>#DIV/0!</v>
      </c>
      <c r="G31" s="224" t="e">
        <f t="shared" si="17"/>
        <v>#N/A</v>
      </c>
      <c r="I31" s="221"/>
      <c r="J31" s="222"/>
      <c r="K31" s="223" t="e">
        <f t="shared" si="18"/>
        <v>#DIV/0!</v>
      </c>
      <c r="L31" s="223" t="e">
        <f t="shared" si="20"/>
        <v>#DIV/0!</v>
      </c>
      <c r="M31" s="224" t="e">
        <f t="shared" si="22"/>
        <v>#DIV/0!</v>
      </c>
    </row>
    <row r="32" spans="2:13" ht="15" hidden="1" outlineLevel="1" thickBot="1">
      <c r="B32" s="221"/>
      <c r="C32" s="222"/>
      <c r="D32" s="223" t="e">
        <f t="shared" si="16"/>
        <v>#DIV/0!</v>
      </c>
      <c r="E32" s="223" t="e">
        <f t="shared" si="19"/>
        <v>#DIV/0!</v>
      </c>
      <c r="F32" s="224" t="e">
        <f t="shared" si="21"/>
        <v>#DIV/0!</v>
      </c>
      <c r="G32" s="224" t="e">
        <f t="shared" si="17"/>
        <v>#N/A</v>
      </c>
      <c r="I32" s="221"/>
      <c r="J32" s="222"/>
      <c r="K32" s="223" t="e">
        <f t="shared" si="18"/>
        <v>#DIV/0!</v>
      </c>
      <c r="L32" s="223" t="e">
        <f t="shared" si="20"/>
        <v>#DIV/0!</v>
      </c>
      <c r="M32" s="224" t="e">
        <f t="shared" si="22"/>
        <v>#DIV/0!</v>
      </c>
    </row>
    <row r="33" spans="2:13" ht="15" hidden="1" outlineLevel="1" thickBot="1">
      <c r="B33" s="221"/>
      <c r="C33" s="222"/>
      <c r="D33" s="223" t="e">
        <f t="shared" si="16"/>
        <v>#DIV/0!</v>
      </c>
      <c r="E33" s="223" t="e">
        <f t="shared" si="19"/>
        <v>#DIV/0!</v>
      </c>
      <c r="F33" s="224" t="e">
        <f t="shared" si="21"/>
        <v>#DIV/0!</v>
      </c>
      <c r="G33" s="224" t="e">
        <f t="shared" si="17"/>
        <v>#N/A</v>
      </c>
      <c r="I33" s="221"/>
      <c r="J33" s="222"/>
      <c r="K33" s="223" t="e">
        <f t="shared" si="18"/>
        <v>#DIV/0!</v>
      </c>
      <c r="L33" s="223" t="e">
        <f t="shared" si="20"/>
        <v>#DIV/0!</v>
      </c>
      <c r="M33" s="224" t="e">
        <f t="shared" si="22"/>
        <v>#DIV/0!</v>
      </c>
    </row>
    <row r="34" spans="2:13" ht="15" hidden="1" outlineLevel="1" thickBot="1">
      <c r="B34" s="221"/>
      <c r="C34" s="222"/>
      <c r="D34" s="223" t="e">
        <f t="shared" si="16"/>
        <v>#DIV/0!</v>
      </c>
      <c r="E34" s="223" t="e">
        <f t="shared" si="19"/>
        <v>#DIV/0!</v>
      </c>
      <c r="F34" s="224" t="e">
        <f t="shared" si="21"/>
        <v>#DIV/0!</v>
      </c>
      <c r="G34" s="224" t="e">
        <f t="shared" si="17"/>
        <v>#N/A</v>
      </c>
      <c r="I34" s="221"/>
      <c r="J34" s="222"/>
      <c r="K34" s="223" t="e">
        <f t="shared" si="18"/>
        <v>#DIV/0!</v>
      </c>
      <c r="L34" s="223" t="e">
        <f t="shared" si="20"/>
        <v>#DIV/0!</v>
      </c>
      <c r="M34" s="224" t="e">
        <f t="shared" si="22"/>
        <v>#DIV/0!</v>
      </c>
    </row>
    <row r="35" spans="2:13" ht="15" hidden="1" outlineLevel="1" thickBot="1">
      <c r="B35" s="221"/>
      <c r="C35" s="222"/>
      <c r="D35" s="223" t="e">
        <f t="shared" si="16"/>
        <v>#DIV/0!</v>
      </c>
      <c r="E35" s="223" t="e">
        <f t="shared" si="19"/>
        <v>#DIV/0!</v>
      </c>
      <c r="F35" s="224" t="e">
        <f t="shared" si="21"/>
        <v>#DIV/0!</v>
      </c>
      <c r="G35" s="224" t="e">
        <f t="shared" si="17"/>
        <v>#N/A</v>
      </c>
      <c r="I35" s="221"/>
      <c r="J35" s="222"/>
      <c r="K35" s="223" t="e">
        <f t="shared" si="18"/>
        <v>#DIV/0!</v>
      </c>
      <c r="L35" s="223" t="e">
        <f t="shared" si="20"/>
        <v>#DIV/0!</v>
      </c>
      <c r="M35" s="224" t="e">
        <f t="shared" si="22"/>
        <v>#DIV/0!</v>
      </c>
    </row>
    <row r="36" spans="2:13" ht="15" hidden="1" outlineLevel="1" thickBot="1">
      <c r="B36" s="221"/>
      <c r="C36" s="222"/>
      <c r="D36" s="223" t="e">
        <f t="shared" si="16"/>
        <v>#DIV/0!</v>
      </c>
      <c r="E36" s="223" t="e">
        <f t="shared" si="19"/>
        <v>#DIV/0!</v>
      </c>
      <c r="F36" s="224" t="e">
        <f t="shared" si="21"/>
        <v>#DIV/0!</v>
      </c>
      <c r="G36" s="224" t="e">
        <f t="shared" si="17"/>
        <v>#N/A</v>
      </c>
      <c r="I36" s="221"/>
      <c r="J36" s="222"/>
      <c r="K36" s="223" t="e">
        <f t="shared" si="18"/>
        <v>#DIV/0!</v>
      </c>
      <c r="L36" s="223" t="e">
        <f t="shared" si="20"/>
        <v>#DIV/0!</v>
      </c>
      <c r="M36" s="224" t="e">
        <f t="shared" si="22"/>
        <v>#DIV/0!</v>
      </c>
    </row>
    <row r="37" spans="2:13" ht="15" hidden="1" outlineLevel="1" thickBot="1">
      <c r="B37" s="221"/>
      <c r="C37" s="222"/>
      <c r="D37" s="223" t="e">
        <f t="shared" si="16"/>
        <v>#DIV/0!</v>
      </c>
      <c r="E37" s="223" t="e">
        <f t="shared" si="19"/>
        <v>#DIV/0!</v>
      </c>
      <c r="F37" s="224" t="e">
        <f t="shared" si="21"/>
        <v>#DIV/0!</v>
      </c>
      <c r="G37" s="224" t="e">
        <f t="shared" si="17"/>
        <v>#N/A</v>
      </c>
      <c r="I37" s="221"/>
      <c r="J37" s="222"/>
      <c r="K37" s="223" t="e">
        <f t="shared" si="18"/>
        <v>#DIV/0!</v>
      </c>
      <c r="L37" s="223" t="e">
        <f t="shared" si="20"/>
        <v>#DIV/0!</v>
      </c>
      <c r="M37" s="224" t="e">
        <f t="shared" si="22"/>
        <v>#DIV/0!</v>
      </c>
    </row>
    <row r="38" spans="2:13" ht="15" hidden="1" outlineLevel="1" thickBot="1">
      <c r="B38" s="221"/>
      <c r="C38" s="222"/>
      <c r="D38" s="223" t="e">
        <f t="shared" si="16"/>
        <v>#DIV/0!</v>
      </c>
      <c r="E38" s="223" t="e">
        <f t="shared" si="19"/>
        <v>#DIV/0!</v>
      </c>
      <c r="F38" s="224" t="e">
        <f t="shared" si="21"/>
        <v>#DIV/0!</v>
      </c>
      <c r="G38" s="224" t="e">
        <f t="shared" si="17"/>
        <v>#N/A</v>
      </c>
      <c r="I38" s="221"/>
      <c r="J38" s="222"/>
      <c r="K38" s="223" t="e">
        <f t="shared" si="18"/>
        <v>#DIV/0!</v>
      </c>
      <c r="L38" s="223" t="e">
        <f t="shared" si="20"/>
        <v>#DIV/0!</v>
      </c>
      <c r="M38" s="224" t="e">
        <f t="shared" si="22"/>
        <v>#DIV/0!</v>
      </c>
    </row>
    <row r="39" spans="2:13" ht="15" hidden="1" outlineLevel="1" thickBot="1">
      <c r="B39" s="221"/>
      <c r="C39" s="222"/>
      <c r="D39" s="223" t="e">
        <f t="shared" si="16"/>
        <v>#DIV/0!</v>
      </c>
      <c r="E39" s="223" t="e">
        <f t="shared" si="19"/>
        <v>#DIV/0!</v>
      </c>
      <c r="F39" s="224" t="e">
        <f t="shared" si="21"/>
        <v>#DIV/0!</v>
      </c>
      <c r="G39" s="224" t="e">
        <f t="shared" si="17"/>
        <v>#N/A</v>
      </c>
      <c r="I39" s="221"/>
      <c r="J39" s="222"/>
      <c r="K39" s="223" t="e">
        <f t="shared" si="18"/>
        <v>#DIV/0!</v>
      </c>
      <c r="L39" s="223" t="e">
        <f t="shared" si="20"/>
        <v>#DIV/0!</v>
      </c>
      <c r="M39" s="224" t="e">
        <f t="shared" si="22"/>
        <v>#DIV/0!</v>
      </c>
    </row>
    <row r="40" spans="2:13" ht="15" hidden="1" outlineLevel="1" thickBot="1">
      <c r="B40" s="221"/>
      <c r="C40" s="222"/>
      <c r="D40" s="223" t="e">
        <f t="shared" si="16"/>
        <v>#DIV/0!</v>
      </c>
      <c r="E40" s="223" t="e">
        <f t="shared" si="19"/>
        <v>#DIV/0!</v>
      </c>
      <c r="F40" s="224" t="e">
        <f t="shared" si="21"/>
        <v>#DIV/0!</v>
      </c>
      <c r="G40" s="224" t="e">
        <f t="shared" si="17"/>
        <v>#N/A</v>
      </c>
      <c r="I40" s="221"/>
      <c r="J40" s="222"/>
      <c r="K40" s="223" t="e">
        <f t="shared" si="18"/>
        <v>#DIV/0!</v>
      </c>
      <c r="L40" s="223" t="e">
        <f t="shared" si="20"/>
        <v>#DIV/0!</v>
      </c>
      <c r="M40" s="224" t="e">
        <f t="shared" si="22"/>
        <v>#DIV/0!</v>
      </c>
    </row>
    <row r="41" spans="2:13" ht="15" hidden="1" outlineLevel="1" thickBot="1">
      <c r="B41" s="221"/>
      <c r="C41" s="222"/>
      <c r="D41" s="223" t="e">
        <f t="shared" si="16"/>
        <v>#DIV/0!</v>
      </c>
      <c r="E41" s="223" t="e">
        <f t="shared" si="19"/>
        <v>#DIV/0!</v>
      </c>
      <c r="F41" s="224" t="e">
        <f t="shared" si="21"/>
        <v>#DIV/0!</v>
      </c>
      <c r="G41" s="224" t="e">
        <f t="shared" si="17"/>
        <v>#N/A</v>
      </c>
      <c r="I41" s="221"/>
      <c r="J41" s="222"/>
      <c r="K41" s="223" t="e">
        <f t="shared" si="18"/>
        <v>#DIV/0!</v>
      </c>
      <c r="L41" s="223" t="e">
        <f t="shared" si="20"/>
        <v>#DIV/0!</v>
      </c>
      <c r="M41" s="224" t="e">
        <f t="shared" si="22"/>
        <v>#DIV/0!</v>
      </c>
    </row>
    <row r="42" spans="2:13" hidden="1" outlineLevel="1">
      <c r="C42" s="225">
        <f>SUM(C22:C41)</f>
        <v>0</v>
      </c>
      <c r="D42" s="226" t="e">
        <f>SUM(D22:D41)</f>
        <v>#DIV/0!</v>
      </c>
      <c r="J42" s="225">
        <f>SUM(J22:J41)</f>
        <v>0</v>
      </c>
      <c r="K42" s="226" t="e">
        <f>SUM(K22:K41)</f>
        <v>#DIV/0!</v>
      </c>
    </row>
    <row r="43" spans="2:13" collapsed="1"/>
  </sheetData>
  <sortState xmlns:xlrd2="http://schemas.microsoft.com/office/spreadsheetml/2017/richdata2" ref="B4:C17">
    <sortCondition descending="1" ref="C4:C17"/>
  </sortState>
  <mergeCells count="2">
    <mergeCell ref="B2:M2"/>
    <mergeCell ref="B20:M20"/>
  </mergeCells>
  <conditionalFormatting sqref="D4:D17 F4:G17 M4:M17 K4:K17">
    <cfRule type="cellIs" dxfId="122" priority="4" operator="equal">
      <formula>"C"</formula>
    </cfRule>
    <cfRule type="cellIs" dxfId="121" priority="5" operator="equal">
      <formula>"B"</formula>
    </cfRule>
    <cfRule type="cellIs" dxfId="120" priority="6" operator="equal">
      <formula>"A"</formula>
    </cfRule>
  </conditionalFormatting>
  <conditionalFormatting sqref="M22:M41 D22:D41 K22:K41 F22:G41">
    <cfRule type="cellIs" dxfId="119" priority="1" operator="equal">
      <formula>"C"</formula>
    </cfRule>
    <cfRule type="cellIs" dxfId="118" priority="2" operator="equal">
      <formula>"B"</formula>
    </cfRule>
    <cfRule type="cellIs" dxfId="117" priority="3" operator="equal">
      <formula>"A"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3CFFD2-FA37-46CE-995D-5BEF3BE558B2}">
  <dimension ref="A1:AZ37"/>
  <sheetViews>
    <sheetView zoomScale="70" zoomScaleNormal="70" workbookViewId="0">
      <pane xSplit="2" ySplit="2" topLeftCell="W6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1350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/>
      <c r="L3" s="36"/>
      <c r="M3" s="36"/>
      <c r="N3" s="37">
        <f t="shared" ref="N3:N7" si="1">K3/7</f>
        <v>0</v>
      </c>
      <c r="O3" s="38">
        <f t="shared" ref="O3:O7" si="2">R3/7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3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4">S3+T3</f>
        <v>0</v>
      </c>
      <c r="V3" s="43">
        <f t="shared" ref="V3:V14" si="5">U3/$U$24</f>
        <v>0</v>
      </c>
      <c r="W3" s="44">
        <f t="shared" ref="W3:W7" si="6">R3*H3</f>
        <v>0</v>
      </c>
      <c r="X3" s="42">
        <f>-SUMIFS('Отчет 01.02'!P:P,'Отчет 01.02'!C:C,"Вознаграждение Ozon",'Отчет 01.02'!E:E,B3)</f>
        <v>0</v>
      </c>
      <c r="Y3" s="45">
        <f t="shared" ref="Y3:Y16" si="7">IF(U3=0,0,X3/U3)</f>
        <v>0</v>
      </c>
      <c r="Z3" s="42">
        <f>-SUMIFS('Отчет 01.02'!P:P,'Отчет 01.02'!C:C,"Услуги доставки",'Отчет 01.02'!E:E,B3)</f>
        <v>0</v>
      </c>
      <c r="AA3" s="32"/>
      <c r="AB3" s="42"/>
      <c r="AC3" s="42"/>
      <c r="AD3" s="46">
        <f t="shared" ref="AD3:AD16" si="8">U3*1%</f>
        <v>0</v>
      </c>
      <c r="AE3" s="47">
        <f t="shared" ref="AE3:AE7" si="9">U3-W3-X3-Z3-AA3-AB3-AC3-AD3</f>
        <v>0</v>
      </c>
      <c r="AF3" s="46"/>
      <c r="AG3" s="48">
        <f t="shared" ref="AG3:AG7" si="10">IF(R3=0,0,U3/R3)</f>
        <v>0</v>
      </c>
      <c r="AH3" s="49">
        <f t="shared" ref="AH3:AH7" si="11">H3</f>
        <v>142.97999999999999</v>
      </c>
      <c r="AI3" s="49">
        <f t="shared" ref="AI3:AI7" si="12">IF(R3=0,0,X3/R3)</f>
        <v>0</v>
      </c>
      <c r="AJ3" s="49">
        <f t="shared" ref="AJ3:AJ7" si="13">IF(P3=0,Z3/1,Z3/P3)</f>
        <v>0</v>
      </c>
      <c r="AK3" s="49">
        <f t="shared" ref="AK3:AK7" si="14">IF(P3=0,0,AA3/P3)</f>
        <v>0</v>
      </c>
      <c r="AL3" s="49">
        <f>_xlfn.IFS(R3=0,AE3,R3&lt;0,AE3/-R3,R3&gt;0,AE3/R3)</f>
        <v>0</v>
      </c>
      <c r="AM3" s="50">
        <f t="shared" ref="AM3:AM7" si="15">IF(AG3=0,0,AL3/AG3)</f>
        <v>0</v>
      </c>
      <c r="AN3" s="51">
        <f t="shared" ref="AN3:AN7" si="16">IF(AH3=0,0,AL3/AH3)</f>
        <v>0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/>
      <c r="L4" s="36"/>
      <c r="M4" s="36"/>
      <c r="N4" s="37">
        <f t="shared" si="1"/>
        <v>0</v>
      </c>
      <c r="O4" s="38">
        <f t="shared" si="2"/>
        <v>0.14285714285714285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3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4"/>
        <v>1750</v>
      </c>
      <c r="V4" s="43">
        <f t="shared" si="5"/>
        <v>5.3644779596591245E-2</v>
      </c>
      <c r="W4" s="44">
        <f t="shared" si="6"/>
        <v>123.09</v>
      </c>
      <c r="X4" s="42">
        <f>-SUMIFS('Отчет 01.02'!P:P,'Отчет 01.02'!C:C,"Вознаграждение Ozon",'Отчет 01.02'!E:E,B4)</f>
        <v>752.5</v>
      </c>
      <c r="Y4" s="45">
        <f t="shared" si="7"/>
        <v>0.43</v>
      </c>
      <c r="Z4" s="42">
        <f>-SUMIFS('Отчет 01.02'!P:P,'Отчет 01.02'!C:C,"Услуги доставки",'Отчет 01.02'!E:E,B4)</f>
        <v>119.28</v>
      </c>
      <c r="AA4" s="32"/>
      <c r="AB4" s="42"/>
      <c r="AC4" s="42"/>
      <c r="AD4" s="46">
        <f t="shared" si="8"/>
        <v>17.5</v>
      </c>
      <c r="AE4" s="47">
        <f t="shared" si="9"/>
        <v>737.63000000000011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119.28</v>
      </c>
      <c r="AK4" s="49">
        <f t="shared" si="14"/>
        <v>0</v>
      </c>
      <c r="AL4" s="49">
        <f t="array" ref="AL4">_xlfn.IFS(R4=0,AE4,R4&lt;0,AE4/-R4,R4&gt;0,AE4/R4)</f>
        <v>737.63000000000011</v>
      </c>
      <c r="AM4" s="50">
        <f t="shared" si="15"/>
        <v>0.42150285714285718</v>
      </c>
      <c r="AN4" s="51">
        <f t="shared" si="16"/>
        <v>5.9926070355024788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/>
      <c r="L5" s="36"/>
      <c r="M5" s="36"/>
      <c r="N5" s="37">
        <f t="shared" si="1"/>
        <v>0</v>
      </c>
      <c r="O5" s="38">
        <f t="shared" si="2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3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42">
        <f>-SUMIFS('Отчет 01.02'!P:P,'Отчет 01.02'!C:C,"Вознаграждение Ozon",'Отчет 01.02'!E:E,B5)</f>
        <v>0</v>
      </c>
      <c r="Y5" s="45">
        <f t="shared" si="7"/>
        <v>0</v>
      </c>
      <c r="Z5" s="42">
        <f>-SUMIFS('Отчет 01.02'!P:P,'Отчет 01.02'!C:C,"Услуги доставки",'Отчет 01.02'!E:E,B5)</f>
        <v>0</v>
      </c>
      <c r="AA5" s="32"/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/>
      <c r="L6" s="36"/>
      <c r="M6" s="36"/>
      <c r="N6" s="37">
        <f t="shared" si="1"/>
        <v>0</v>
      </c>
      <c r="O6" s="38">
        <f t="shared" si="2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3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4"/>
        <v>0</v>
      </c>
      <c r="V6" s="43">
        <f t="shared" si="5"/>
        <v>0</v>
      </c>
      <c r="W6" s="44">
        <f t="shared" si="6"/>
        <v>0</v>
      </c>
      <c r="X6" s="42">
        <f>-SUMIFS('Отчет 01.02'!P:P,'Отчет 01.02'!C:C,"Вознаграждение Ozon",'Отчет 01.02'!E:E,B6)</f>
        <v>0</v>
      </c>
      <c r="Y6" s="45">
        <f t="shared" si="7"/>
        <v>0</v>
      </c>
      <c r="Z6" s="42">
        <f>-SUMIFS('Отчет 01.02'!P:P,'Отчет 01.02'!C:C,"Услуги доставки",'Отчет 01.02'!E:E,B6)</f>
        <v>0</v>
      </c>
      <c r="AA6" s="32"/>
      <c r="AB6" s="55"/>
      <c r="AC6" s="42"/>
      <c r="AD6" s="46">
        <f t="shared" si="8"/>
        <v>0</v>
      </c>
      <c r="AE6" s="47">
        <f t="shared" si="9"/>
        <v>0</v>
      </c>
      <c r="AF6" s="46"/>
      <c r="AG6" s="48">
        <f t="shared" si="10"/>
        <v>0</v>
      </c>
      <c r="AH6" s="49">
        <f t="shared" si="11"/>
        <v>123.09</v>
      </c>
      <c r="AI6" s="49">
        <f t="shared" si="12"/>
        <v>0</v>
      </c>
      <c r="AJ6" s="49">
        <f t="shared" si="13"/>
        <v>0</v>
      </c>
      <c r="AK6" s="49">
        <f t="shared" si="14"/>
        <v>0</v>
      </c>
      <c r="AL6" s="49">
        <f t="array" ref="AL6">_xlfn.IFS(R6=0,AE6,R6&lt;0,AE6/-R6,R6&gt;0,AE6/R6)</f>
        <v>0</v>
      </c>
      <c r="AM6" s="50">
        <f t="shared" si="15"/>
        <v>0</v>
      </c>
      <c r="AN6" s="51">
        <f t="shared" si="16"/>
        <v>0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/>
      <c r="L7" s="36"/>
      <c r="M7" s="36"/>
      <c r="N7" s="37">
        <f t="shared" si="1"/>
        <v>0</v>
      </c>
      <c r="O7" s="38">
        <f t="shared" si="2"/>
        <v>0.14285714285714285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3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4"/>
        <v>1750</v>
      </c>
      <c r="V7" s="43">
        <f t="shared" si="5"/>
        <v>5.3644779596591245E-2</v>
      </c>
      <c r="W7" s="44">
        <f t="shared" si="6"/>
        <v>117.24</v>
      </c>
      <c r="X7" s="42">
        <f>-SUMIFS('Отчет 01.02'!P:P,'Отчет 01.02'!C:C,"Вознаграждение Ozon",'Отчет 01.02'!E:E,B7)</f>
        <v>752.5</v>
      </c>
      <c r="Y7" s="45">
        <f t="shared" si="7"/>
        <v>0.43</v>
      </c>
      <c r="Z7" s="42">
        <f>-SUMIFS('Отчет 01.02'!P:P,'Отчет 01.02'!C:C,"Услуги доставки",'Отчет 01.02'!E:E,B7)</f>
        <v>262.74</v>
      </c>
      <c r="AA7" s="32"/>
      <c r="AB7" s="55"/>
      <c r="AC7" s="42"/>
      <c r="AD7" s="46">
        <f t="shared" si="8"/>
        <v>17.5</v>
      </c>
      <c r="AE7" s="47">
        <f t="shared" si="9"/>
        <v>600.02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131.37</v>
      </c>
      <c r="AK7" s="49">
        <f t="shared" si="14"/>
        <v>0</v>
      </c>
      <c r="AL7" s="49">
        <f t="array" ref="AL7">_xlfn.IFS(R7=0,AE7,R7&lt;0,AE7/-R7,R7&gt;0,AE7/R7)</f>
        <v>600.02</v>
      </c>
      <c r="AM7" s="50">
        <f t="shared" si="15"/>
        <v>0.34286857142857141</v>
      </c>
      <c r="AN7" s="51">
        <f t="shared" si="16"/>
        <v>5.1178778573865573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/>
      <c r="L8" s="36"/>
      <c r="M8" s="36"/>
      <c r="N8" s="37">
        <f>K8/7</f>
        <v>0</v>
      </c>
      <c r="O8" s="38">
        <f>R8/7</f>
        <v>0.14285714285714285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5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7"/>
        <v>0.43</v>
      </c>
      <c r="Z8" s="42">
        <f>-SUMIFS('Отчет 01.02'!P:P,'Отчет 01.02'!C:C,"Услуги доставки",'Отчет 01.02'!E:E,B8)</f>
        <v>131.37</v>
      </c>
      <c r="AA8" s="32"/>
      <c r="AB8" s="55"/>
      <c r="AC8" s="42"/>
      <c r="AD8" s="46">
        <f t="shared" si="8"/>
        <v>17.5</v>
      </c>
      <c r="AE8" s="47">
        <f>U8-W8-X8-Z8-AA8-AB8-AC8-AD8</f>
        <v>678.74000000000012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0</v>
      </c>
      <c r="AL8" s="49">
        <f t="array" ref="AL8">_xlfn.IFS(R8=0,AE8,R8&lt;0,AE8/-R8,R8&gt;0,AE8/R8)</f>
        <v>678.74000000000012</v>
      </c>
      <c r="AM8" s="50">
        <f>IF(AG8=0,0,AL8/AG8)</f>
        <v>0.38785142857142862</v>
      </c>
      <c r="AN8" s="51">
        <f>IF(AH8=0,0,AL8/AH8)</f>
        <v>3.9951733474601223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/>
      <c r="L9" s="36"/>
      <c r="M9" s="36"/>
      <c r="N9" s="37">
        <f t="shared" ref="N9:N16" si="18">K9/7</f>
        <v>0</v>
      </c>
      <c r="O9" s="38">
        <f t="shared" ref="O9:O16" si="19">R9/7</f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20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1">S9+T9</f>
        <v>0</v>
      </c>
      <c r="V9" s="43">
        <f t="shared" si="5"/>
        <v>0</v>
      </c>
      <c r="W9" s="44">
        <f t="shared" ref="W9:W16" si="22">R9*H9</f>
        <v>0</v>
      </c>
      <c r="X9" s="42">
        <f>-SUMIFS('Отчет 01.02'!P:P,'Отчет 01.02'!C:C,"Вознаграждение Ozon",'Отчет 01.02'!E:E,B9)</f>
        <v>0</v>
      </c>
      <c r="Y9" s="45">
        <f t="shared" si="7"/>
        <v>0</v>
      </c>
      <c r="Z9" s="42">
        <f>-SUMIFS('Отчет 01.02'!P:P,'Отчет 01.02'!C:C,"Услуги доставки",'Отчет 01.02'!E:E,B9)</f>
        <v>0</v>
      </c>
      <c r="AA9" s="32"/>
      <c r="AB9" s="55"/>
      <c r="AC9" s="42"/>
      <c r="AD9" s="46">
        <f t="shared" si="8"/>
        <v>0</v>
      </c>
      <c r="AE9" s="47">
        <f t="shared" ref="AE9:AE16" si="23">U9-W9-X9-Z9-AA9-AB9-AC9-AD9</f>
        <v>0</v>
      </c>
      <c r="AF9" s="46"/>
      <c r="AG9" s="48">
        <f t="shared" ref="AG9:AG16" si="24">IF(R9=0,0,U9/R9)</f>
        <v>0</v>
      </c>
      <c r="AH9" s="49">
        <f t="shared" ref="AH9:AH16" si="25">H9</f>
        <v>123</v>
      </c>
      <c r="AI9" s="49">
        <f t="shared" ref="AI9:AI16" si="26">IF(R9=0,0,X9/R9)</f>
        <v>0</v>
      </c>
      <c r="AJ9" s="49">
        <f t="shared" ref="AJ9:AJ16" si="27">IF(P9=0,Z9/1,Z9/P9)</f>
        <v>0</v>
      </c>
      <c r="AK9" s="49">
        <f t="shared" ref="AK9:AK16" si="28">IF(P9=0,0,AA9/P9)</f>
        <v>0</v>
      </c>
      <c r="AL9" s="49">
        <f t="array" ref="AL9">_xlfn.IFS(R9=0,AE9,R9&lt;0,AE9/-R9,R9&gt;0,AE9/R9)</f>
        <v>0</v>
      </c>
      <c r="AM9" s="50">
        <f t="shared" ref="AM9:AM16" si="29">IF(AG9=0,0,AL9/AG9)</f>
        <v>0</v>
      </c>
      <c r="AN9" s="51">
        <f t="shared" ref="AN9:AN16" si="30">IF(AH9=0,0,AL9/AH9)</f>
        <v>0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/>
      <c r="L10" s="36"/>
      <c r="M10" s="36"/>
      <c r="N10" s="37">
        <f t="shared" si="18"/>
        <v>0</v>
      </c>
      <c r="O10" s="38">
        <f t="shared" si="19"/>
        <v>0.14285714285714285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20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1"/>
        <v>2000</v>
      </c>
      <c r="V10" s="43">
        <f t="shared" si="5"/>
        <v>6.1308319538961424E-2</v>
      </c>
      <c r="W10" s="44">
        <f t="shared" si="22"/>
        <v>123</v>
      </c>
      <c r="X10" s="42">
        <f>-SUMIFS('Отчет 01.02'!P:P,'Отчет 01.02'!C:C,"Вознаграждение Ozon",'Отчет 01.02'!E:E,B10)</f>
        <v>860</v>
      </c>
      <c r="Y10" s="45">
        <f t="shared" si="7"/>
        <v>0.43</v>
      </c>
      <c r="Z10" s="42">
        <f>-SUMIFS('Отчет 01.02'!P:P,'Отчет 01.02'!C:C,"Услуги доставки",'Отчет 01.02'!E:E,B10)</f>
        <v>155.81</v>
      </c>
      <c r="AA10" s="32"/>
      <c r="AB10" s="55"/>
      <c r="AC10" s="42"/>
      <c r="AD10" s="46">
        <f t="shared" si="8"/>
        <v>20</v>
      </c>
      <c r="AE10" s="47">
        <f t="shared" si="23"/>
        <v>841.19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0</v>
      </c>
      <c r="AL10" s="49">
        <f t="array" ref="AL10">_xlfn.IFS(R10=0,AE10,R10&lt;0,AE10/-R10,R10&gt;0,AE10/R10)</f>
        <v>841.19</v>
      </c>
      <c r="AM10" s="50">
        <f t="shared" si="29"/>
        <v>0.42059500000000005</v>
      </c>
      <c r="AN10" s="51">
        <f t="shared" si="30"/>
        <v>6.8389430894308951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/>
      <c r="L11" s="36"/>
      <c r="M11" s="36"/>
      <c r="N11" s="37">
        <f t="shared" si="18"/>
        <v>0</v>
      </c>
      <c r="O11" s="38">
        <f t="shared" si="19"/>
        <v>1.1428571428571428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20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1"/>
        <v>14312.000000000005</v>
      </c>
      <c r="V11" s="43">
        <f t="shared" si="5"/>
        <v>0.43872233462080812</v>
      </c>
      <c r="W11" s="44">
        <f t="shared" si="22"/>
        <v>984</v>
      </c>
      <c r="X11" s="42">
        <f>-SUMIFS('Отчет 01.02'!P:P,'Отчет 01.02'!C:C,"Вознаграждение Ozon",'Отчет 01.02'!E:E,B11)</f>
        <v>6154.16</v>
      </c>
      <c r="Y11" s="45">
        <f t="shared" si="7"/>
        <v>0.42999999999999983</v>
      </c>
      <c r="Z11" s="42">
        <f>-SUMIFS('Отчет 01.02'!P:P,'Отчет 01.02'!C:C,"Услуги доставки",'Отчет 01.02'!E:E,B11)</f>
        <v>1379.34</v>
      </c>
      <c r="AA11" s="32"/>
      <c r="AB11" s="55"/>
      <c r="AC11" s="42"/>
      <c r="AD11" s="46">
        <f t="shared" si="8"/>
        <v>143.12000000000006</v>
      </c>
      <c r="AE11" s="47">
        <f t="shared" si="23"/>
        <v>5651.3800000000056</v>
      </c>
      <c r="AF11" s="46"/>
      <c r="AG11" s="48">
        <f t="shared" si="24"/>
        <v>1789.0000000000007</v>
      </c>
      <c r="AH11" s="49">
        <f t="shared" si="25"/>
        <v>123</v>
      </c>
      <c r="AI11" s="49">
        <f t="shared" si="26"/>
        <v>769.27</v>
      </c>
      <c r="AJ11" s="49">
        <f t="shared" si="27"/>
        <v>172.41749999999999</v>
      </c>
      <c r="AK11" s="49">
        <f t="shared" si="28"/>
        <v>0</v>
      </c>
      <c r="AL11" s="49">
        <f t="array" ref="AL11">_xlfn.IFS(R11=0,AE11,R11&lt;0,AE11/-R11,R11&gt;0,AE11/R11)</f>
        <v>706.4225000000007</v>
      </c>
      <c r="AM11" s="50">
        <f t="shared" si="29"/>
        <v>0.39487003912800472</v>
      </c>
      <c r="AN11" s="51">
        <f t="shared" si="30"/>
        <v>5.7432723577235825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/>
      <c r="L12" s="36"/>
      <c r="M12" s="36"/>
      <c r="N12" s="37">
        <f t="shared" si="18"/>
        <v>0</v>
      </c>
      <c r="O12" s="38">
        <f t="shared" si="19"/>
        <v>0.14285714285714285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20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1"/>
        <v>2000</v>
      </c>
      <c r="V12" s="43">
        <f t="shared" si="5"/>
        <v>6.1308319538961424E-2</v>
      </c>
      <c r="W12" s="44">
        <f t="shared" si="22"/>
        <v>117</v>
      </c>
      <c r="X12" s="42">
        <f>-SUMIFS('Отчет 01.02'!P:P,'Отчет 01.02'!C:C,"Вознаграждение Ozon",'Отчет 01.02'!E:E,B12)</f>
        <v>860</v>
      </c>
      <c r="Y12" s="45">
        <f t="shared" si="7"/>
        <v>0.43</v>
      </c>
      <c r="Z12" s="42">
        <f>-SUMIFS('Отчет 01.02'!P:P,'Отчет 01.02'!C:C,"Услуги доставки",'Отчет 01.02'!E:E,B12)</f>
        <v>155.81</v>
      </c>
      <c r="AA12" s="32"/>
      <c r="AB12" s="55"/>
      <c r="AC12" s="42"/>
      <c r="AD12" s="46">
        <f t="shared" si="8"/>
        <v>20</v>
      </c>
      <c r="AE12" s="47">
        <f t="shared" si="23"/>
        <v>847.19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0</v>
      </c>
      <c r="AL12" s="49">
        <f t="array" ref="AL12">_xlfn.IFS(R12=0,AE12,R12&lt;0,AE12/-R12,R12&gt;0,AE12/R12)</f>
        <v>847.19</v>
      </c>
      <c r="AM12" s="50">
        <f t="shared" si="29"/>
        <v>0.42359500000000005</v>
      </c>
      <c r="AN12" s="51">
        <f t="shared" si="30"/>
        <v>7.2409401709401715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/>
      <c r="L13" s="36"/>
      <c r="M13" s="36"/>
      <c r="N13" s="37">
        <f t="shared" si="18"/>
        <v>0</v>
      </c>
      <c r="O13" s="38">
        <f t="shared" si="19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20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1"/>
        <v>0</v>
      </c>
      <c r="V13" s="43">
        <f t="shared" si="5"/>
        <v>0</v>
      </c>
      <c r="W13" s="44">
        <f t="shared" si="22"/>
        <v>0</v>
      </c>
      <c r="X13" s="42">
        <f>-SUMIFS('Отчет 01.02'!P:P,'Отчет 01.02'!C:C,"Вознаграждение Ozon",'Отчет 01.02'!E:E,B13)</f>
        <v>0</v>
      </c>
      <c r="Y13" s="45">
        <f t="shared" si="7"/>
        <v>0</v>
      </c>
      <c r="Z13" s="42">
        <f>-SUMIFS('Отчет 01.02'!P:P,'Отчет 01.02'!C:C,"Услуги доставки",'Отчет 01.02'!E:E,B13)</f>
        <v>0</v>
      </c>
      <c r="AA13" s="32"/>
      <c r="AB13" s="55"/>
      <c r="AC13" s="42"/>
      <c r="AD13" s="46">
        <f t="shared" si="8"/>
        <v>0</v>
      </c>
      <c r="AE13" s="47">
        <f t="shared" si="23"/>
        <v>0</v>
      </c>
      <c r="AF13" s="46"/>
      <c r="AG13" s="48">
        <f t="shared" si="24"/>
        <v>0</v>
      </c>
      <c r="AH13" s="49">
        <f t="shared" si="25"/>
        <v>123</v>
      </c>
      <c r="AI13" s="49">
        <f t="shared" si="26"/>
        <v>0</v>
      </c>
      <c r="AJ13" s="49">
        <f t="shared" si="27"/>
        <v>0</v>
      </c>
      <c r="AK13" s="49">
        <f t="shared" si="28"/>
        <v>0</v>
      </c>
      <c r="AL13" s="49">
        <f t="array" ref="AL13">_xlfn.IFS(R13=0,AE13,R13&lt;0,AE13/-R13,R13&gt;0,AE13/R13)</f>
        <v>0</v>
      </c>
      <c r="AM13" s="50">
        <f t="shared" si="29"/>
        <v>0</v>
      </c>
      <c r="AN13" s="51">
        <f t="shared" si="30"/>
        <v>0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/>
      <c r="N14" s="37">
        <f t="shared" si="18"/>
        <v>0</v>
      </c>
      <c r="O14" s="38">
        <f t="shared" si="19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20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42">
        <f>-SUMIFS('Отчет 01.02'!P:P,'Отчет 01.02'!C:C,"Вознаграждение Ozon",'Отчет 01.02'!E:E,B14)</f>
        <v>0</v>
      </c>
      <c r="Y14" s="45">
        <f t="shared" si="7"/>
        <v>0</v>
      </c>
      <c r="Z14" s="42">
        <f>-SUMIFS('Отчет 01.02'!P:P,'Отчет 01.02'!C:C,"Услуги доставки",'Отчет 01.02'!E:E,B14)</f>
        <v>0</v>
      </c>
      <c r="AA14" s="32"/>
      <c r="AB14" s="55"/>
      <c r="AC14" s="42"/>
      <c r="AD14" s="46">
        <f t="shared" si="8"/>
        <v>0</v>
      </c>
      <c r="AE14" s="47">
        <f t="shared" si="23"/>
        <v>0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0</v>
      </c>
      <c r="AM14" s="50">
        <f t="shared" si="29"/>
        <v>0</v>
      </c>
      <c r="AN14" s="51">
        <f t="shared" si="30"/>
        <v>0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/>
      <c r="L15" s="36"/>
      <c r="M15" s="36"/>
      <c r="N15" s="37">
        <f t="shared" si="18"/>
        <v>0</v>
      </c>
      <c r="O15" s="38">
        <f t="shared" si="19"/>
        <v>0.7142857142857143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20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1"/>
        <v>9060.0000000000018</v>
      </c>
      <c r="V15" s="43">
        <f>U15/$U$24</f>
        <v>0.27772668751149532</v>
      </c>
      <c r="W15" s="44">
        <f t="shared" si="22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7"/>
        <v>0.42999999999999988</v>
      </c>
      <c r="Z15" s="42">
        <f>-SUMIFS('Отчет 01.02'!P:P,'Отчет 01.02'!C:C,"Услуги доставки",'Отчет 01.02'!E:E,B15)</f>
        <v>975.17000000000007</v>
      </c>
      <c r="AA15" s="32"/>
      <c r="AB15" s="55"/>
      <c r="AC15" s="42"/>
      <c r="AD15" s="46">
        <f t="shared" si="8"/>
        <v>90.600000000000023</v>
      </c>
      <c r="AE15" s="47">
        <f t="shared" si="23"/>
        <v>3483.4300000000026</v>
      </c>
      <c r="AF15" s="46"/>
      <c r="AG15" s="48">
        <f t="shared" si="24"/>
        <v>1812.0000000000005</v>
      </c>
      <c r="AH15" s="49">
        <f t="shared" si="25"/>
        <v>123</v>
      </c>
      <c r="AI15" s="49">
        <f t="shared" si="26"/>
        <v>779.16</v>
      </c>
      <c r="AJ15" s="49">
        <f t="shared" si="27"/>
        <v>195.03400000000002</v>
      </c>
      <c r="AK15" s="49">
        <f t="shared" si="28"/>
        <v>0</v>
      </c>
      <c r="AL15" s="49">
        <f t="array" ref="AL15">_xlfn.IFS(R15=0,AE15,R15&lt;0,AE15/-R15,R15&gt;0,AE15/R15)</f>
        <v>696.68600000000049</v>
      </c>
      <c r="AM15" s="50">
        <f t="shared" si="29"/>
        <v>0.38448454746136884</v>
      </c>
      <c r="AN15" s="51">
        <f t="shared" si="30"/>
        <v>5.6641138211382156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/>
      <c r="N16" s="37">
        <f t="shared" si="18"/>
        <v>0</v>
      </c>
      <c r="O16" s="38">
        <f t="shared" si="19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20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42">
        <f>-SUMIFS('Отчет 01.02'!P:P,'Отчет 01.02'!C:C,"Вознаграждение Ozon",'Отчет 01.02'!E:E,B16)</f>
        <v>0</v>
      </c>
      <c r="Y16" s="45">
        <f t="shared" si="7"/>
        <v>0</v>
      </c>
      <c r="Z16" s="42">
        <f>-SUMIFS('Отчет 01.02'!P:P,'Отчет 01.02'!C:C,"Услуги доставки",'Отчет 01.02'!E:E,B16)</f>
        <v>0</v>
      </c>
      <c r="AA16" s="32"/>
      <c r="AB16" s="55"/>
      <c r="AC16" s="42"/>
      <c r="AD16" s="46">
        <f t="shared" si="8"/>
        <v>0</v>
      </c>
      <c r="AE16" s="47">
        <f t="shared" si="23"/>
        <v>0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0</v>
      </c>
      <c r="AM16" s="50">
        <f t="shared" si="29"/>
        <v>0</v>
      </c>
      <c r="AN16" s="51">
        <f t="shared" si="30"/>
        <v>0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1835.8571428571429</v>
      </c>
      <c r="AH17" s="58">
        <f t="shared" si="32"/>
        <v>127.26</v>
      </c>
      <c r="AI17" s="58">
        <f t="shared" si="32"/>
        <v>789.41857142857145</v>
      </c>
      <c r="AJ17" s="58">
        <f t="shared" si="32"/>
        <v>151.58449999999999</v>
      </c>
      <c r="AK17" s="58" t="e">
        <f t="shared" si="32"/>
        <v>#DIV/0!</v>
      </c>
      <c r="AL17" s="58">
        <f t="shared" si="32"/>
        <v>729.69692857142877</v>
      </c>
      <c r="AM17" s="59">
        <f t="shared" si="32"/>
        <v>0.3965382062474615</v>
      </c>
      <c r="AN17" s="59">
        <f t="shared" si="32"/>
        <v>5.7989896685117177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0</v>
      </c>
      <c r="L18" s="67"/>
      <c r="M18" s="67"/>
      <c r="N18" s="68"/>
      <c r="O18" s="69"/>
      <c r="P18" s="64">
        <f t="shared" ref="P18:X18" si="33">SUM(P3:P16)</f>
        <v>19</v>
      </c>
      <c r="Q18" s="64">
        <f t="shared" si="33"/>
        <v>1</v>
      </c>
      <c r="R18" s="64">
        <f t="shared" si="33"/>
        <v>18</v>
      </c>
      <c r="S18" s="70">
        <f t="shared" si="33"/>
        <v>34372.000000000007</v>
      </c>
      <c r="T18" s="64">
        <f t="shared" si="33"/>
        <v>-1750</v>
      </c>
      <c r="U18" s="64">
        <f t="shared" si="33"/>
        <v>32622.000000000007</v>
      </c>
      <c r="V18" s="71">
        <f t="shared" si="33"/>
        <v>1</v>
      </c>
      <c r="W18" s="64">
        <f t="shared" si="33"/>
        <v>2249.2200000000003</v>
      </c>
      <c r="X18" s="64">
        <f t="shared" si="33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0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12839.580000000009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0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0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6">S18+S22</f>
        <v>34372.000000000007</v>
      </c>
      <c r="T24" s="118">
        <f t="shared" si="36"/>
        <v>-1750</v>
      </c>
      <c r="U24" s="121">
        <f t="shared" si="36"/>
        <v>32622.000000000007</v>
      </c>
      <c r="V24" s="122">
        <f t="shared" si="36"/>
        <v>1</v>
      </c>
      <c r="W24" s="118">
        <f t="shared" si="36"/>
        <v>2249.2200000000003</v>
      </c>
      <c r="X24" s="118">
        <f t="shared" si="36"/>
        <v>14027.46</v>
      </c>
      <c r="Y24" s="123">
        <f>X24/U24</f>
        <v>0.42999999999999988</v>
      </c>
      <c r="Z24" s="118">
        <f>Z18+Z22</f>
        <v>3179.52</v>
      </c>
      <c r="AA24" s="124"/>
      <c r="AB24" s="125"/>
      <c r="AC24" s="125">
        <f>SUM(AC3:AC20)</f>
        <v>0</v>
      </c>
      <c r="AD24" s="118">
        <f>AD18+AD22</f>
        <v>326.22000000000008</v>
      </c>
      <c r="AE24" s="126">
        <f>AE18+AE22</f>
        <v>12839.580000000009</v>
      </c>
      <c r="AF24" s="127"/>
      <c r="AG24" s="128"/>
      <c r="AH24" s="129"/>
      <c r="AI24" s="129"/>
      <c r="AJ24" s="129"/>
      <c r="AK24" s="129">
        <f>AA25/P24</f>
        <v>0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0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0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16" priority="19" operator="greaterThan">
      <formula>120</formula>
    </cfRule>
  </conditionalFormatting>
  <conditionalFormatting sqref="N23">
    <cfRule type="cellIs" dxfId="115" priority="18" operator="between">
      <formula>0.000001</formula>
      <formula>25</formula>
    </cfRule>
  </conditionalFormatting>
  <conditionalFormatting sqref="V1 V25:V28 V30:V1048576">
    <cfRule type="cellIs" dxfId="114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{8FA36017-52E5-4649-B37C-C7452529274F}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{B8C30192-902B-4BBF-A189-41D148B69F09}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{2838BF1F-B1E3-4C26-920D-AC35F7F625D1}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{10EA1A44-2FE0-4A39-8623-9EB9C11726F6}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{E59F9197-A241-4925-8CB0-6834BD2E6128}</x14:id>
        </ext>
      </extLst>
    </cfRule>
  </conditionalFormatting>
  <conditionalFormatting sqref="P23">
    <cfRule type="cellIs" dxfId="113" priority="14" operator="greaterThan">
      <formula>120</formula>
    </cfRule>
  </conditionalFormatting>
  <conditionalFormatting sqref="Q23">
    <cfRule type="cellIs" dxfId="112" priority="13" operator="greaterThan">
      <formula>120</formula>
    </cfRule>
  </conditionalFormatting>
  <conditionalFormatting sqref="R23">
    <cfRule type="cellIs" dxfId="111" priority="12" operator="greaterThan">
      <formula>120</formula>
    </cfRule>
  </conditionalFormatting>
  <conditionalFormatting sqref="S23">
    <cfRule type="cellIs" dxfId="110" priority="11" operator="greaterThan">
      <formula>120</formula>
    </cfRule>
  </conditionalFormatting>
  <conditionalFormatting sqref="T23">
    <cfRule type="cellIs" dxfId="109" priority="10" operator="greaterThan">
      <formula>120</formula>
    </cfRule>
  </conditionalFormatting>
  <conditionalFormatting sqref="U23">
    <cfRule type="cellIs" dxfId="108" priority="9" operator="greaterThan">
      <formula>120</formula>
    </cfRule>
  </conditionalFormatting>
  <conditionalFormatting sqref="V23">
    <cfRule type="cellIs" dxfId="107" priority="8" operator="greaterThan">
      <formula>120</formula>
    </cfRule>
  </conditionalFormatting>
  <conditionalFormatting sqref="W23">
    <cfRule type="cellIs" dxfId="106" priority="7" operator="greaterThan">
      <formula>120</formula>
    </cfRule>
  </conditionalFormatting>
  <conditionalFormatting sqref="X23">
    <cfRule type="cellIs" dxfId="105" priority="6" operator="greaterThan">
      <formula>120</formula>
    </cfRule>
  </conditionalFormatting>
  <conditionalFormatting sqref="Z23">
    <cfRule type="cellIs" dxfId="104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{C8FE61A8-00B1-4FC3-8D68-729796869E2D}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{00DC457D-50A5-45C8-9A9F-90C090A83298}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{7C1A5CAC-1B11-4037-8D66-EE01D90EF82C}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{AA47F386-0426-4346-A486-BCF75E91DDB4}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{971931E7-0DE9-4708-B71F-D089745C0328}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{8C58399C-4275-491C-93F2-2313F1A9E2BD}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{988649C7-5BB0-413E-B0D0-6135768B858E}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{BC0CFFAA-A35B-4538-B086-74DB42597068}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{BE10DFA6-D63D-42D0-9F7C-1B6C35E7B399}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{A022A4AE-E1E1-46E5-9536-CC9170E7FD8F}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{1BDEABAE-3457-4CE3-AA99-8B4869E47D35}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{29DA3156-5949-4200-8843-437DD368AFC5}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{F5396AC8-1313-4B5D-B8BC-207E69908777}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{F271D4DA-540A-465B-8082-24AEA9BD8A43}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{959C1272-770F-40AB-9462-D963D9FB6C07}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{10862BB0-F768-4AF2-B0E7-F0F84260D8E1}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FA36017-52E5-4649-B37C-C745252927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B8C30192-902B-4BBF-A189-41D148B69F0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838BF1F-B1E3-4C26-920D-AC35F7F625D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10EA1A44-2FE0-4A39-8623-9EB9C11726F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59F9197-A241-4925-8CB0-6834BD2E61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8FE61A8-00B1-4FC3-8D68-729796869E2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0DC457D-50A5-45C8-9A9F-90C090A8329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7C1A5CAC-1B11-4037-8D66-EE01D90EF82C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AA47F386-0426-4346-A486-BCF75E91DDB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971931E7-0DE9-4708-B71F-D089745C032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8C58399C-4275-491C-93F2-2313F1A9E2B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88649C7-5BB0-413E-B0D0-6135768B858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C0CFFAA-A35B-4538-B086-74DB4259706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E10DFA6-D63D-42D0-9F7C-1B6C35E7B39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022A4AE-E1E1-46E5-9536-CC9170E7FD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BDEABAE-3457-4CE3-AA99-8B4869E47D3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9DA3156-5949-4200-8843-437DD368AFC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F5396AC8-1313-4B5D-B8BC-207E6990877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F271D4DA-540A-465B-8082-24AEA9BD8A4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59C1272-770F-40AB-9462-D963D9FB6C0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0862BB0-F768-4AF2-B0E7-F0F84260D8E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D540C7-184E-43FB-BEF3-07D7255EDFE7}">
  <dimension ref="A1:AZ37"/>
  <sheetViews>
    <sheetView zoomScale="70" zoomScaleNormal="70" workbookViewId="0">
      <pane xSplit="2" ySplit="2" topLeftCell="P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340</v>
      </c>
      <c r="C1" s="3"/>
      <c r="D1" s="4"/>
      <c r="E1" s="4"/>
      <c r="F1" s="4"/>
      <c r="G1" s="4"/>
      <c r="N1" s="270" t="s">
        <v>1353</v>
      </c>
      <c r="O1" s="271">
        <v>1</v>
      </c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1352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1354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362</v>
      </c>
      <c r="D3" s="33"/>
      <c r="E3" s="33"/>
      <c r="F3" s="33"/>
      <c r="G3" s="34"/>
      <c r="H3" s="35">
        <v>142.97999999999999</v>
      </c>
      <c r="I3" s="33">
        <f t="shared" ref="I3:I16" si="0">C3*H3</f>
        <v>51758.759999999995</v>
      </c>
      <c r="J3" s="36"/>
      <c r="K3" s="32">
        <v>1</v>
      </c>
      <c r="L3" s="36"/>
      <c r="M3" s="36"/>
      <c r="N3" s="37">
        <f>K3/$O$1</f>
        <v>1</v>
      </c>
      <c r="O3" s="38">
        <f>R3/$O$1</f>
        <v>0</v>
      </c>
      <c r="P3" s="39">
        <f>SUMIFS('Отчет 01.02'!H:H,'Отчет 01.02'!D:D,"Выручка",'Отчет 01.02'!E:E,B3)</f>
        <v>0</v>
      </c>
      <c r="Q3" s="39">
        <f>SUMIFS('Отчет 01.02'!H:H,'Отчет 01.02'!D:D,"Возврат выручки",'Отчет 01.02'!E:E,B3)</f>
        <v>0</v>
      </c>
      <c r="R3" s="40">
        <f t="shared" ref="R3:R7" si="1">P3-Q3</f>
        <v>0</v>
      </c>
      <c r="S3" s="41">
        <f>SUMIFS('Отчет 01.02'!P:P,'Отчет 01.02'!C:C,"Продажи",'Отчет 01.02'!E:E,B3)</f>
        <v>0</v>
      </c>
      <c r="T3" s="42">
        <f>SUMIFS('Отчет 01.02'!P:P,'Отчет 01.02'!C:C,"Возвраты",'Отчет 01.02'!E:E,B3)</f>
        <v>0</v>
      </c>
      <c r="U3" s="40">
        <f t="shared" ref="U3:U7" si="2">S3+T3</f>
        <v>0</v>
      </c>
      <c r="V3" s="43">
        <f t="shared" ref="V3:V14" si="3">U3/$U$24</f>
        <v>0</v>
      </c>
      <c r="W3" s="44">
        <f t="shared" ref="W3:W7" si="4">R3*H3</f>
        <v>0</v>
      </c>
      <c r="X3" s="42">
        <f>-SUMIFS('Отчет 01.02'!P:P,'Отчет 01.02'!C:C,"Вознаграждение Ozon",'Отчет 01.02'!E:E,B3)</f>
        <v>0</v>
      </c>
      <c r="Y3" s="45">
        <f t="shared" ref="Y3" si="5">IF(U3=0,0,X3/U3)</f>
        <v>0</v>
      </c>
      <c r="Z3" s="42">
        <f>-SUMIFS('Отчет 01.02'!P:P,'Отчет 01.02'!C:C,"Услуги доставки",'Отчет 01.02'!E:E,B3)</f>
        <v>0</v>
      </c>
      <c r="AA3" s="32">
        <v>0</v>
      </c>
      <c r="AB3" s="42"/>
      <c r="AC3" s="42"/>
      <c r="AD3" s="46">
        <f t="shared" ref="AD3:AD16" si="6">U3*1%</f>
        <v>0</v>
      </c>
      <c r="AE3" s="47">
        <f t="shared" ref="AE3:AE7" si="7">U3-W3-X3-Z3-AA3-AB3-AC3-AD3</f>
        <v>0</v>
      </c>
      <c r="AF3" s="46"/>
      <c r="AG3" s="48">
        <f t="shared" ref="AG3:AG7" si="8">IF(R3=0,0,U3/R3)</f>
        <v>0</v>
      </c>
      <c r="AH3" s="49">
        <f t="shared" ref="AH3:AH7" si="9">H3</f>
        <v>142.97999999999999</v>
      </c>
      <c r="AI3" s="49">
        <f t="shared" ref="AI3:AI7" si="10">IF(R3=0,0,X3/R3)</f>
        <v>0</v>
      </c>
      <c r="AJ3" s="49">
        <f t="shared" ref="AJ3:AJ7" si="11">IF(P3=0,Z3/1,Z3/P3)</f>
        <v>0</v>
      </c>
      <c r="AK3" s="49">
        <f t="shared" ref="AK3:AK7" si="12">IF(P3=0,0,AA3/P3)</f>
        <v>0</v>
      </c>
      <c r="AL3" s="49">
        <f>_xlfn.IFS(R3=0,AE3,R3&lt;0,AE3/-R3,R3&gt;0,AE3/R3)</f>
        <v>0</v>
      </c>
      <c r="AM3" s="50">
        <f t="shared" ref="AM3:AM7" si="13">IF(AG3=0,0,AL3/AG3)</f>
        <v>0</v>
      </c>
      <c r="AN3" s="51">
        <f t="shared" ref="AN3:AN7" si="14">IF(AH3=0,0,AL3/AH3)</f>
        <v>0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0</v>
      </c>
      <c r="L4" s="36"/>
      <c r="M4" s="36"/>
      <c r="N4" s="37">
        <f t="shared" ref="N4:N16" si="16">K4/$O$1</f>
        <v>0</v>
      </c>
      <c r="O4" s="38">
        <f t="shared" ref="O4:O16" si="17">R4/$O$1</f>
        <v>1</v>
      </c>
      <c r="P4" s="39">
        <f>SUMIFS('Отчет 01.02'!H:H,'Отчет 01.02'!D:D,"Выручка",'Отчет 01.02'!E:E,B4)</f>
        <v>1</v>
      </c>
      <c r="Q4" s="39">
        <f>SUMIFS('Отчет 01.02'!H:H,'Отчет 01.02'!D:D,"Возврат выручки",'Отчет 01.02'!E:E,B4)</f>
        <v>0</v>
      </c>
      <c r="R4" s="40">
        <f t="shared" si="1"/>
        <v>1</v>
      </c>
      <c r="S4" s="41">
        <f>SUMIFS('Отчет 01.02'!P:P,'Отчет 01.02'!C:C,"Продажи",'Отчет 01.02'!E:E,B4)</f>
        <v>1750</v>
      </c>
      <c r="T4" s="42">
        <f>SUMIFS('Отчет 01.02'!P:P,'Отчет 01.02'!C:C,"Возвраты",'Отчет 01.02'!E:E,B4)</f>
        <v>0</v>
      </c>
      <c r="U4" s="40">
        <f t="shared" si="2"/>
        <v>1750</v>
      </c>
      <c r="V4" s="43">
        <f t="shared" si="3"/>
        <v>5.3644779596591245E-2</v>
      </c>
      <c r="W4" s="44">
        <f t="shared" si="4"/>
        <v>123.09</v>
      </c>
      <c r="X4" s="42">
        <f>-SUMIFS('Отчет 01.02'!P:P,'Отчет 01.02'!C:C,"Вознаграждение Ozon",'Отчет 01.02'!E:E,B4)</f>
        <v>752.5</v>
      </c>
      <c r="Y4" s="45">
        <f t="shared" ref="Y4:Y16" si="18">IF(U4=0,0,X4/U4)</f>
        <v>0.43</v>
      </c>
      <c r="Z4" s="42">
        <f>-SUMIFS('Отчет 01.02'!P:P,'Отчет 01.02'!C:C,"Услуги доставки",'Отчет 01.02'!E:E,B4)</f>
        <v>119.28</v>
      </c>
      <c r="AA4" s="32">
        <v>0</v>
      </c>
      <c r="AB4" s="42"/>
      <c r="AC4" s="42"/>
      <c r="AD4" s="46">
        <f t="shared" si="6"/>
        <v>17.5</v>
      </c>
      <c r="AE4" s="47">
        <f t="shared" si="7"/>
        <v>737.63000000000011</v>
      </c>
      <c r="AF4" s="46"/>
      <c r="AG4" s="48">
        <f t="shared" si="8"/>
        <v>1750</v>
      </c>
      <c r="AH4" s="49">
        <f t="shared" si="9"/>
        <v>123.09</v>
      </c>
      <c r="AI4" s="49">
        <f t="shared" si="10"/>
        <v>752.5</v>
      </c>
      <c r="AJ4" s="49">
        <f t="shared" si="11"/>
        <v>119.28</v>
      </c>
      <c r="AK4" s="49">
        <f t="shared" si="12"/>
        <v>0</v>
      </c>
      <c r="AL4" s="49">
        <f t="array" ref="AL4">_xlfn.IFS(R4=0,AE4,R4&lt;0,AE4/-R4,R4&gt;0,AE4/R4)</f>
        <v>737.63000000000011</v>
      </c>
      <c r="AM4" s="50">
        <f t="shared" si="13"/>
        <v>0.42150285714285718</v>
      </c>
      <c r="AN4" s="51">
        <f t="shared" si="14"/>
        <v>5.9926070355024788</v>
      </c>
      <c r="AP4" s="53">
        <f t="shared" si="15"/>
        <v>271447.84000000003</v>
      </c>
    </row>
    <row r="5" spans="1:42">
      <c r="A5" s="30">
        <v>2676784504</v>
      </c>
      <c r="B5" s="31" t="s">
        <v>40</v>
      </c>
      <c r="C5" s="32">
        <v>378</v>
      </c>
      <c r="D5" s="33"/>
      <c r="E5" s="33"/>
      <c r="F5" s="33"/>
      <c r="G5" s="34"/>
      <c r="H5" s="35">
        <v>123.09</v>
      </c>
      <c r="I5" s="54">
        <f t="shared" si="0"/>
        <v>46528.020000000004</v>
      </c>
      <c r="J5" s="36"/>
      <c r="K5" s="32">
        <v>0</v>
      </c>
      <c r="L5" s="36"/>
      <c r="M5" s="36"/>
      <c r="N5" s="37">
        <f t="shared" si="16"/>
        <v>0</v>
      </c>
      <c r="O5" s="38">
        <f t="shared" si="17"/>
        <v>0</v>
      </c>
      <c r="P5" s="39">
        <f>SUMIFS('Отчет 01.02'!H:H,'Отчет 01.02'!D:D,"Выручка",'Отчет 01.02'!E:E,B5)</f>
        <v>0</v>
      </c>
      <c r="Q5" s="39">
        <f>SUMIFS('Отчет 01.02'!H:H,'Отчет 01.02'!D:D,"Возврат выручки",'Отчет 01.02'!E:E,B5)</f>
        <v>0</v>
      </c>
      <c r="R5" s="40">
        <f t="shared" si="1"/>
        <v>0</v>
      </c>
      <c r="S5" s="41">
        <f>SUMIFS('Отчет 01.02'!P:P,'Отчет 01.02'!C:C,"Продажи",'Отчет 01.02'!E:E,B5)</f>
        <v>0</v>
      </c>
      <c r="T5" s="42">
        <f>SUMIFS('Отчет 01.02'!P:P,'Отчет 01.02'!C:C,"Возвраты",'Отчет 01.02'!E:E,B5)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01.02'!P:P,'Отчет 01.02'!C:C,"Вознаграждение Ozon",'Отчет 01.02'!E:E,B5)</f>
        <v>0</v>
      </c>
      <c r="Y5" s="45">
        <f t="shared" si="18"/>
        <v>0</v>
      </c>
      <c r="Z5" s="42">
        <f>-SUMIFS('Отчет 01.02'!P:P,'Отчет 01.02'!C:C,"Услуги доставки",'Отчет 01.02'!E:E,B5)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>
        <v>680</v>
      </c>
      <c r="D6" s="33"/>
      <c r="E6" s="33"/>
      <c r="F6" s="33"/>
      <c r="G6" s="34"/>
      <c r="H6" s="35">
        <v>123.09</v>
      </c>
      <c r="I6" s="54">
        <f t="shared" si="0"/>
        <v>83701.2</v>
      </c>
      <c r="J6" s="36"/>
      <c r="K6" s="32">
        <v>1</v>
      </c>
      <c r="L6" s="36"/>
      <c r="M6" s="36"/>
      <c r="N6" s="37">
        <f t="shared" si="16"/>
        <v>1</v>
      </c>
      <c r="O6" s="38">
        <f t="shared" si="17"/>
        <v>0</v>
      </c>
      <c r="P6" s="39">
        <f>SUMIFS('Отчет 01.02'!H:H,'Отчет 01.02'!D:D,"Выручка",'Отчет 01.02'!E:E,B6)</f>
        <v>0</v>
      </c>
      <c r="Q6" s="39">
        <f>SUMIFS('Отчет 01.02'!H:H,'Отчет 01.02'!D:D,"Возврат выручки",'Отчет 01.02'!E:E,B6)</f>
        <v>0</v>
      </c>
      <c r="R6" s="40">
        <f t="shared" si="1"/>
        <v>0</v>
      </c>
      <c r="S6" s="41">
        <f>SUMIFS('Отчет 01.02'!P:P,'Отчет 01.02'!C:C,"Продажи",'Отчет 01.02'!E:E,B6)</f>
        <v>0</v>
      </c>
      <c r="T6" s="42">
        <f>SUMIFS('Отчет 01.02'!P:P,'Отчет 01.02'!C:C,"Возвраты",'Отчет 01.02'!E:E,B6)</f>
        <v>0</v>
      </c>
      <c r="U6" s="40">
        <f t="shared" si="2"/>
        <v>0</v>
      </c>
      <c r="V6" s="43">
        <f t="shared" si="3"/>
        <v>0</v>
      </c>
      <c r="W6" s="44">
        <f t="shared" si="4"/>
        <v>0</v>
      </c>
      <c r="X6" s="42">
        <f>-SUMIFS('Отчет 01.02'!P:P,'Отчет 01.02'!C:C,"Вознаграждение Ozon",'Отчет 01.02'!E:E,B6)</f>
        <v>0</v>
      </c>
      <c r="Y6" s="45">
        <f t="shared" si="18"/>
        <v>0</v>
      </c>
      <c r="Z6" s="42">
        <f>-SUMIFS('Отчет 01.02'!P:P,'Отчет 01.02'!C:C,"Услуги доставки",'Отчет 01.02'!E:E,B6)</f>
        <v>0</v>
      </c>
      <c r="AA6" s="32">
        <v>0</v>
      </c>
      <c r="AB6" s="55"/>
      <c r="AC6" s="42"/>
      <c r="AD6" s="46">
        <f t="shared" si="6"/>
        <v>0</v>
      </c>
      <c r="AE6" s="47">
        <f t="shared" si="7"/>
        <v>0</v>
      </c>
      <c r="AF6" s="46"/>
      <c r="AG6" s="48">
        <f t="shared" si="8"/>
        <v>0</v>
      </c>
      <c r="AH6" s="49">
        <f t="shared" si="9"/>
        <v>123.09</v>
      </c>
      <c r="AI6" s="49">
        <f t="shared" si="10"/>
        <v>0</v>
      </c>
      <c r="AJ6" s="49">
        <f t="shared" si="11"/>
        <v>0</v>
      </c>
      <c r="AK6" s="49">
        <f t="shared" si="12"/>
        <v>0</v>
      </c>
      <c r="AL6" s="49">
        <f t="array" ref="AL6">_xlfn.IFS(R6=0,AE6,R6&lt;0,AE6/-R6,R6&gt;0,AE6/R6)</f>
        <v>0</v>
      </c>
      <c r="AM6" s="50">
        <f t="shared" si="13"/>
        <v>0</v>
      </c>
      <c r="AN6" s="51">
        <f t="shared" si="14"/>
        <v>0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>
        <v>675</v>
      </c>
      <c r="D7" s="33"/>
      <c r="E7" s="33"/>
      <c r="F7" s="33"/>
      <c r="G7" s="34"/>
      <c r="H7" s="35">
        <v>117.24</v>
      </c>
      <c r="I7" s="54">
        <f t="shared" si="0"/>
        <v>79137</v>
      </c>
      <c r="J7" s="36"/>
      <c r="K7" s="32">
        <v>4</v>
      </c>
      <c r="L7" s="36"/>
      <c r="M7" s="36"/>
      <c r="N7" s="37">
        <f t="shared" si="16"/>
        <v>4</v>
      </c>
      <c r="O7" s="38">
        <f t="shared" si="17"/>
        <v>1</v>
      </c>
      <c r="P7" s="39">
        <f>SUMIFS('Отчет 01.02'!H:H,'Отчет 01.02'!D:D,"Выручка",'Отчет 01.02'!E:E,B7)</f>
        <v>2</v>
      </c>
      <c r="Q7" s="39">
        <f>SUMIFS('Отчет 01.02'!H:H,'Отчет 01.02'!D:D,"Возврат выручки",'Отчет 01.02'!E:E,B7)</f>
        <v>1</v>
      </c>
      <c r="R7" s="40">
        <f t="shared" si="1"/>
        <v>1</v>
      </c>
      <c r="S7" s="41">
        <f>SUMIFS('Отчет 01.02'!P:P,'Отчет 01.02'!C:C,"Продажи",'Отчет 01.02'!E:E,B7)</f>
        <v>3500</v>
      </c>
      <c r="T7" s="42">
        <f>SUMIFS('Отчет 01.02'!P:P,'Отчет 01.02'!C:C,"Возвраты",'Отчет 01.02'!E:E,B7)</f>
        <v>-1750</v>
      </c>
      <c r="U7" s="40">
        <f t="shared" si="2"/>
        <v>1750</v>
      </c>
      <c r="V7" s="43">
        <f t="shared" si="3"/>
        <v>5.3644779596591245E-2</v>
      </c>
      <c r="W7" s="44">
        <f t="shared" si="4"/>
        <v>117.24</v>
      </c>
      <c r="X7" s="42">
        <f>-SUMIFS('Отчет 01.02'!P:P,'Отчет 01.02'!C:C,"Вознаграждение Ozon",'Отчет 01.02'!E:E,B7)</f>
        <v>752.5</v>
      </c>
      <c r="Y7" s="45">
        <f t="shared" si="18"/>
        <v>0.43</v>
      </c>
      <c r="Z7" s="42">
        <f>-SUMIFS('Отчет 01.02'!P:P,'Отчет 01.02'!C:C,"Услуги доставки",'Отчет 01.02'!E:E,B7)</f>
        <v>262.74</v>
      </c>
      <c r="AA7" s="32">
        <v>1525.188257</v>
      </c>
      <c r="AB7" s="55"/>
      <c r="AC7" s="42"/>
      <c r="AD7" s="46">
        <f t="shared" si="6"/>
        <v>17.5</v>
      </c>
      <c r="AE7" s="47">
        <f t="shared" si="7"/>
        <v>-925.16825700000004</v>
      </c>
      <c r="AF7" s="46"/>
      <c r="AG7" s="48">
        <f t="shared" si="8"/>
        <v>1750</v>
      </c>
      <c r="AH7" s="49">
        <f t="shared" si="9"/>
        <v>117.24</v>
      </c>
      <c r="AI7" s="49">
        <f t="shared" si="10"/>
        <v>752.5</v>
      </c>
      <c r="AJ7" s="49">
        <f t="shared" si="11"/>
        <v>131.37</v>
      </c>
      <c r="AK7" s="49">
        <f t="shared" si="12"/>
        <v>762.59412850000001</v>
      </c>
      <c r="AL7" s="49">
        <f t="array" ref="AL7">_xlfn.IFS(R7=0,AE7,R7&lt;0,AE7/-R7,R7&gt;0,AE7/R7)</f>
        <v>-925.16825700000004</v>
      </c>
      <c r="AM7" s="50">
        <f t="shared" si="13"/>
        <v>-0.52866757542857146</v>
      </c>
      <c r="AN7" s="51">
        <f t="shared" si="14"/>
        <v>-7.8912338536335724</v>
      </c>
      <c r="AP7" s="53">
        <f t="shared" si="15"/>
        <v>-624488.57347499998</v>
      </c>
    </row>
    <row r="8" spans="1:42">
      <c r="A8" s="30">
        <v>2676783005</v>
      </c>
      <c r="B8" s="31" t="s">
        <v>43</v>
      </c>
      <c r="C8" s="32">
        <v>335</v>
      </c>
      <c r="D8" s="33"/>
      <c r="E8" s="33"/>
      <c r="F8" s="33"/>
      <c r="G8" s="34"/>
      <c r="H8" s="35">
        <v>169.89</v>
      </c>
      <c r="I8" s="54">
        <f t="shared" si="0"/>
        <v>56913.149999999994</v>
      </c>
      <c r="J8" s="36"/>
      <c r="K8" s="32">
        <v>8</v>
      </c>
      <c r="L8" s="36"/>
      <c r="M8" s="36"/>
      <c r="N8" s="37">
        <f t="shared" si="16"/>
        <v>8</v>
      </c>
      <c r="O8" s="38">
        <f t="shared" si="17"/>
        <v>1</v>
      </c>
      <c r="P8" s="39">
        <f>SUMIFS('Отчет 01.02'!H:H,'Отчет 01.02'!D:D,"Выручка",'Отчет 01.02'!E:E,B8)</f>
        <v>1</v>
      </c>
      <c r="Q8" s="39">
        <f>SUMIFS('Отчет 01.02'!H:H,'Отчет 01.02'!D:D,"Возврат выручки",'Отчет 01.02'!E:E,B8)</f>
        <v>0</v>
      </c>
      <c r="R8" s="40">
        <f>P8-Q8</f>
        <v>1</v>
      </c>
      <c r="S8" s="41">
        <f>SUMIFS('Отчет 01.02'!P:P,'Отчет 01.02'!C:C,"Продажи",'Отчет 01.02'!E:E,B8)</f>
        <v>1750</v>
      </c>
      <c r="T8" s="42">
        <f>SUMIFS('Отчет 01.02'!P:P,'Отчет 01.02'!C:C,"Возвраты",'Отчет 01.02'!E:E,B8)</f>
        <v>0</v>
      </c>
      <c r="U8" s="40">
        <f>S8+T8</f>
        <v>1750</v>
      </c>
      <c r="V8" s="43">
        <f t="shared" si="3"/>
        <v>5.3644779596591245E-2</v>
      </c>
      <c r="W8" s="44">
        <f>R8*H8</f>
        <v>169.89</v>
      </c>
      <c r="X8" s="42">
        <f>-SUMIFS('Отчет 01.02'!P:P,'Отчет 01.02'!C:C,"Вознаграждение Ozon",'Отчет 01.02'!E:E,B8)</f>
        <v>752.5</v>
      </c>
      <c r="Y8" s="45">
        <f t="shared" si="18"/>
        <v>0.43</v>
      </c>
      <c r="Z8" s="42">
        <f>-SUMIFS('Отчет 01.02'!P:P,'Отчет 01.02'!C:C,"Услуги доставки",'Отчет 01.02'!E:E,B8)</f>
        <v>131.37</v>
      </c>
      <c r="AA8" s="32">
        <v>962.072945</v>
      </c>
      <c r="AB8" s="55"/>
      <c r="AC8" s="42"/>
      <c r="AD8" s="46">
        <f t="shared" si="6"/>
        <v>17.5</v>
      </c>
      <c r="AE8" s="47">
        <f>U8-W8-X8-Z8-AA8-AB8-AC8-AD8</f>
        <v>-283.33294499999988</v>
      </c>
      <c r="AF8" s="46"/>
      <c r="AG8" s="48">
        <f>IF(R8=0,0,U8/R8)</f>
        <v>1750</v>
      </c>
      <c r="AH8" s="49">
        <f>H8</f>
        <v>169.89</v>
      </c>
      <c r="AI8" s="49">
        <f>IF(R8=0,0,X8/R8)</f>
        <v>752.5</v>
      </c>
      <c r="AJ8" s="49">
        <f>IF(P8=0,Z8/1,Z8/P8)</f>
        <v>131.37</v>
      </c>
      <c r="AK8" s="49">
        <f>IF(P8=0,0,AA8/P8)</f>
        <v>962.072945</v>
      </c>
      <c r="AL8" s="49">
        <f t="array" ref="AL8">_xlfn.IFS(R8=0,AE8,R8&lt;0,AE8/-R8,R8&gt;0,AE8/R8)</f>
        <v>-283.33294499999988</v>
      </c>
      <c r="AM8" s="50">
        <f>IF(AG8=0,0,AL8/AG8)</f>
        <v>-0.16190453999999993</v>
      </c>
      <c r="AN8" s="51">
        <f>IF(AH8=0,0,AL8/AH8)</f>
        <v>-1.6677435105067979</v>
      </c>
      <c r="AP8" s="53">
        <f>AL8*C8</f>
        <v>-94916.536574999962</v>
      </c>
    </row>
    <row r="9" spans="1:42">
      <c r="A9" s="30">
        <v>3405092860</v>
      </c>
      <c r="B9" s="31" t="s">
        <v>55</v>
      </c>
      <c r="C9" s="32">
        <v>393</v>
      </c>
      <c r="D9" s="33"/>
      <c r="E9" s="33"/>
      <c r="F9" s="33"/>
      <c r="G9" s="34"/>
      <c r="H9" s="35">
        <v>123</v>
      </c>
      <c r="I9" s="54">
        <f t="shared" si="0"/>
        <v>48339</v>
      </c>
      <c r="J9" s="36"/>
      <c r="K9" s="32">
        <v>2</v>
      </c>
      <c r="L9" s="36"/>
      <c r="M9" s="36"/>
      <c r="N9" s="37">
        <f t="shared" si="16"/>
        <v>2</v>
      </c>
      <c r="O9" s="38">
        <f t="shared" si="17"/>
        <v>0</v>
      </c>
      <c r="P9" s="39">
        <f>SUMIFS('Отчет 01.02'!H:H,'Отчет 01.02'!D:D,"Выручка",'Отчет 01.02'!E:E,B9)</f>
        <v>0</v>
      </c>
      <c r="Q9" s="39">
        <f>SUMIFS('Отчет 01.02'!H:H,'Отчет 01.02'!D:D,"Возврат выручки",'Отчет 01.02'!E:E,B9)</f>
        <v>0</v>
      </c>
      <c r="R9" s="40">
        <f t="shared" ref="R9:R16" si="19">P9-Q9</f>
        <v>0</v>
      </c>
      <c r="S9" s="41">
        <f>SUMIFS('Отчет 01.02'!P:P,'Отчет 01.02'!C:C,"Продажи",'Отчет 01.02'!E:E,B9)</f>
        <v>0</v>
      </c>
      <c r="T9" s="42">
        <f>SUMIFS('Отчет 01.02'!P:P,'Отчет 01.02'!C:C,"Возвраты",'Отчет 01.02'!E:E,B9)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01.02'!P:P,'Отчет 01.02'!C:C,"Вознаграждение Ozon",'Отчет 01.02'!E:E,B9)</f>
        <v>0</v>
      </c>
      <c r="Y9" s="45">
        <f t="shared" si="18"/>
        <v>0</v>
      </c>
      <c r="Z9" s="42">
        <f>-SUMIFS('Отчет 01.02'!P:P,'Отчет 01.02'!C:C,"Услуги доставки",'Отчет 01.02'!E:E,B9)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>
        <v>391</v>
      </c>
      <c r="D10" s="33"/>
      <c r="E10" s="33"/>
      <c r="F10" s="33"/>
      <c r="G10" s="34"/>
      <c r="H10" s="35">
        <v>123</v>
      </c>
      <c r="I10" s="54">
        <f t="shared" si="0"/>
        <v>48093</v>
      </c>
      <c r="J10" s="36"/>
      <c r="K10" s="32">
        <v>2</v>
      </c>
      <c r="L10" s="36"/>
      <c r="M10" s="36"/>
      <c r="N10" s="37">
        <f t="shared" si="16"/>
        <v>2</v>
      </c>
      <c r="O10" s="38">
        <f t="shared" si="17"/>
        <v>1</v>
      </c>
      <c r="P10" s="39">
        <f>SUMIFS('Отчет 01.02'!H:H,'Отчет 01.02'!D:D,"Выручка",'Отчет 01.02'!E:E,B10)</f>
        <v>1</v>
      </c>
      <c r="Q10" s="39">
        <f>SUMIFS('Отчет 01.02'!H:H,'Отчет 01.02'!D:D,"Возврат выручки",'Отчет 01.02'!E:E,B10)</f>
        <v>0</v>
      </c>
      <c r="R10" s="40">
        <f t="shared" si="19"/>
        <v>1</v>
      </c>
      <c r="S10" s="41">
        <f>SUMIFS('Отчет 01.02'!P:P,'Отчет 01.02'!C:C,"Продажи",'Отчет 01.02'!E:E,B10)</f>
        <v>2000</v>
      </c>
      <c r="T10" s="42">
        <f>SUMIFS('Отчет 01.02'!P:P,'Отчет 01.02'!C:C,"Возвраты",'Отчет 01.02'!E:E,B10)</f>
        <v>0</v>
      </c>
      <c r="U10" s="40">
        <f t="shared" si="20"/>
        <v>2000</v>
      </c>
      <c r="V10" s="43">
        <f t="shared" si="3"/>
        <v>6.1308319538961424E-2</v>
      </c>
      <c r="W10" s="44">
        <f t="shared" si="21"/>
        <v>123</v>
      </c>
      <c r="X10" s="42">
        <f>-SUMIFS('Отчет 01.02'!P:P,'Отчет 01.02'!C:C,"Вознаграждение Ozon",'Отчет 01.02'!E:E,B10)</f>
        <v>860</v>
      </c>
      <c r="Y10" s="45">
        <f t="shared" si="18"/>
        <v>0.43</v>
      </c>
      <c r="Z10" s="42">
        <f>-SUMIFS('Отчет 01.02'!P:P,'Отчет 01.02'!C:C,"Услуги доставки",'Отчет 01.02'!E:E,B10)</f>
        <v>155.81</v>
      </c>
      <c r="AA10" s="32">
        <v>287.43303400000002</v>
      </c>
      <c r="AB10" s="55"/>
      <c r="AC10" s="42"/>
      <c r="AD10" s="46">
        <f t="shared" si="6"/>
        <v>20</v>
      </c>
      <c r="AE10" s="47">
        <f t="shared" si="22"/>
        <v>553.75696600000003</v>
      </c>
      <c r="AF10" s="46"/>
      <c r="AG10" s="48">
        <f t="shared" si="23"/>
        <v>2000</v>
      </c>
      <c r="AH10" s="49">
        <f t="shared" si="24"/>
        <v>123</v>
      </c>
      <c r="AI10" s="49">
        <f t="shared" si="25"/>
        <v>860</v>
      </c>
      <c r="AJ10" s="49">
        <f t="shared" si="26"/>
        <v>155.81</v>
      </c>
      <c r="AK10" s="49">
        <f t="shared" si="27"/>
        <v>287.43303400000002</v>
      </c>
      <c r="AL10" s="49">
        <f t="array" ref="AL10">_xlfn.IFS(R10=0,AE10,R10&lt;0,AE10/-R10,R10&gt;0,AE10/R10)</f>
        <v>553.75696600000003</v>
      </c>
      <c r="AM10" s="50">
        <f t="shared" si="28"/>
        <v>0.27687848300000001</v>
      </c>
      <c r="AN10" s="51">
        <f t="shared" si="29"/>
        <v>4.5020891544715447</v>
      </c>
      <c r="AP10" s="53">
        <f t="shared" si="30"/>
        <v>216518.97370600002</v>
      </c>
    </row>
    <row r="11" spans="1:42">
      <c r="A11" s="30">
        <v>3064346962</v>
      </c>
      <c r="B11" s="31" t="s">
        <v>52</v>
      </c>
      <c r="C11" s="32">
        <v>705</v>
      </c>
      <c r="D11" s="33"/>
      <c r="E11" s="33"/>
      <c r="F11" s="33"/>
      <c r="G11" s="34"/>
      <c r="H11" s="35">
        <v>123</v>
      </c>
      <c r="I11" s="54">
        <f t="shared" si="0"/>
        <v>86715</v>
      </c>
      <c r="J11" s="36"/>
      <c r="K11" s="32">
        <v>8</v>
      </c>
      <c r="L11" s="36"/>
      <c r="M11" s="36"/>
      <c r="N11" s="37">
        <f t="shared" si="16"/>
        <v>8</v>
      </c>
      <c r="O11" s="38">
        <f t="shared" si="17"/>
        <v>8</v>
      </c>
      <c r="P11" s="39">
        <f>SUMIFS('Отчет 01.02'!H:H,'Отчет 01.02'!D:D,"Выручка",'Отчет 01.02'!E:E,B11)</f>
        <v>8</v>
      </c>
      <c r="Q11" s="39">
        <f>SUMIFS('Отчет 01.02'!H:H,'Отчет 01.02'!D:D,"Возврат выручки",'Отчет 01.02'!E:E,B11)</f>
        <v>0</v>
      </c>
      <c r="R11" s="40">
        <f t="shared" si="19"/>
        <v>8</v>
      </c>
      <c r="S11" s="41">
        <f>SUMIFS('Отчет 01.02'!P:P,'Отчет 01.02'!C:C,"Продажи",'Отчет 01.02'!E:E,B11)</f>
        <v>14312.000000000005</v>
      </c>
      <c r="T11" s="42">
        <f>SUMIFS('Отчет 01.02'!P:P,'Отчет 01.02'!C:C,"Возвраты",'Отчет 01.02'!E:E,B11)</f>
        <v>0</v>
      </c>
      <c r="U11" s="40">
        <f t="shared" si="20"/>
        <v>14312.000000000005</v>
      </c>
      <c r="V11" s="43">
        <f t="shared" si="3"/>
        <v>0.43872233462080812</v>
      </c>
      <c r="W11" s="44">
        <f t="shared" si="21"/>
        <v>984</v>
      </c>
      <c r="X11" s="42">
        <f>-SUMIFS('Отчет 01.02'!P:P,'Отчет 01.02'!C:C,"Вознаграждение Ozon",'Отчет 01.02'!E:E,B11)</f>
        <v>6154.16</v>
      </c>
      <c r="Y11" s="45">
        <f t="shared" si="18"/>
        <v>0.42999999999999983</v>
      </c>
      <c r="Z11" s="42">
        <f>-SUMIFS('Отчет 01.02'!P:P,'Отчет 01.02'!C:C,"Услуги доставки",'Отчет 01.02'!E:E,B11)</f>
        <v>1379.34</v>
      </c>
      <c r="AA11" s="32">
        <v>2071.501679</v>
      </c>
      <c r="AB11" s="55"/>
      <c r="AC11" s="42"/>
      <c r="AD11" s="46">
        <f t="shared" si="6"/>
        <v>143.12000000000006</v>
      </c>
      <c r="AE11" s="47">
        <f t="shared" si="22"/>
        <v>3579.8783210000056</v>
      </c>
      <c r="AF11" s="46"/>
      <c r="AG11" s="48">
        <f t="shared" si="23"/>
        <v>1789.0000000000007</v>
      </c>
      <c r="AH11" s="49">
        <f t="shared" si="24"/>
        <v>123</v>
      </c>
      <c r="AI11" s="49">
        <f t="shared" si="25"/>
        <v>769.27</v>
      </c>
      <c r="AJ11" s="49">
        <f t="shared" si="26"/>
        <v>172.41749999999999</v>
      </c>
      <c r="AK11" s="49">
        <f t="shared" si="27"/>
        <v>258.937709875</v>
      </c>
      <c r="AL11" s="49">
        <f t="array" ref="AL11">_xlfn.IFS(R11=0,AE11,R11&lt;0,AE11/-R11,R11&gt;0,AE11/R11)</f>
        <v>447.4847901250007</v>
      </c>
      <c r="AM11" s="50">
        <f t="shared" si="28"/>
        <v>0.25013124098658496</v>
      </c>
      <c r="AN11" s="51">
        <f t="shared" si="29"/>
        <v>3.6380877245935017</v>
      </c>
      <c r="AP11" s="53">
        <f t="shared" si="30"/>
        <v>315476.7770381255</v>
      </c>
    </row>
    <row r="12" spans="1:42">
      <c r="A12" s="30">
        <v>3405092873</v>
      </c>
      <c r="B12" s="171" t="s">
        <v>57</v>
      </c>
      <c r="C12" s="32">
        <v>356</v>
      </c>
      <c r="D12" s="33"/>
      <c r="E12" s="33"/>
      <c r="F12" s="33"/>
      <c r="G12" s="34"/>
      <c r="H12" s="35">
        <v>117</v>
      </c>
      <c r="I12" s="54">
        <f t="shared" si="0"/>
        <v>41652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1</v>
      </c>
      <c r="P12" s="39">
        <f>SUMIFS('Отчет 01.02'!H:H,'Отчет 01.02'!D:D,"Выручка",'Отчет 01.02'!E:E,B12)</f>
        <v>1</v>
      </c>
      <c r="Q12" s="39">
        <f>SUMIFS('Отчет 01.02'!H:H,'Отчет 01.02'!D:D,"Возврат выручки",'Отчет 01.02'!E:E,B12)</f>
        <v>0</v>
      </c>
      <c r="R12" s="40">
        <f t="shared" si="19"/>
        <v>1</v>
      </c>
      <c r="S12" s="41">
        <f>SUMIFS('Отчет 01.02'!P:P,'Отчет 01.02'!C:C,"Продажи",'Отчет 01.02'!E:E,B12)</f>
        <v>2000</v>
      </c>
      <c r="T12" s="42">
        <f>SUMIFS('Отчет 01.02'!P:P,'Отчет 01.02'!C:C,"Возвраты",'Отчет 01.02'!E:E,B12)</f>
        <v>0</v>
      </c>
      <c r="U12" s="40">
        <f t="shared" si="20"/>
        <v>2000</v>
      </c>
      <c r="V12" s="43">
        <f t="shared" si="3"/>
        <v>6.1308319538961424E-2</v>
      </c>
      <c r="W12" s="44">
        <f t="shared" si="21"/>
        <v>117</v>
      </c>
      <c r="X12" s="42">
        <f>-SUMIFS('Отчет 01.02'!P:P,'Отчет 01.02'!C:C,"Вознаграждение Ozon",'Отчет 01.02'!E:E,B12)</f>
        <v>860</v>
      </c>
      <c r="Y12" s="45">
        <f t="shared" si="18"/>
        <v>0.43</v>
      </c>
      <c r="Z12" s="42">
        <f>-SUMIFS('Отчет 01.02'!P:P,'Отчет 01.02'!C:C,"Услуги доставки",'Отчет 01.02'!E:E,B12)</f>
        <v>155.81</v>
      </c>
      <c r="AA12" s="32">
        <v>0</v>
      </c>
      <c r="AB12" s="55"/>
      <c r="AC12" s="42"/>
      <c r="AD12" s="46">
        <f t="shared" si="6"/>
        <v>20</v>
      </c>
      <c r="AE12" s="47">
        <f t="shared" si="22"/>
        <v>847.19</v>
      </c>
      <c r="AF12" s="46"/>
      <c r="AG12" s="48">
        <f t="shared" si="23"/>
        <v>2000</v>
      </c>
      <c r="AH12" s="49">
        <f t="shared" si="24"/>
        <v>117</v>
      </c>
      <c r="AI12" s="49">
        <f t="shared" si="25"/>
        <v>860</v>
      </c>
      <c r="AJ12" s="49">
        <f t="shared" si="26"/>
        <v>155.81</v>
      </c>
      <c r="AK12" s="49">
        <f t="shared" si="27"/>
        <v>0</v>
      </c>
      <c r="AL12" s="49">
        <f t="array" ref="AL12">_xlfn.IFS(R12=0,AE12,R12&lt;0,AE12/-R12,R12&gt;0,AE12/R12)</f>
        <v>847.19</v>
      </c>
      <c r="AM12" s="50">
        <f t="shared" si="28"/>
        <v>0.42359500000000005</v>
      </c>
      <c r="AN12" s="51">
        <f t="shared" si="29"/>
        <v>7.2409401709401715</v>
      </c>
      <c r="AP12" s="53">
        <f t="shared" si="30"/>
        <v>301599.64</v>
      </c>
    </row>
    <row r="13" spans="1:42">
      <c r="A13" s="30">
        <v>3405092993</v>
      </c>
      <c r="B13" s="31" t="s">
        <v>58</v>
      </c>
      <c r="C13" s="32">
        <v>336</v>
      </c>
      <c r="D13" s="33"/>
      <c r="E13" s="33"/>
      <c r="F13" s="33"/>
      <c r="G13" s="34"/>
      <c r="H13" s="35">
        <v>123</v>
      </c>
      <c r="I13" s="54">
        <f t="shared" si="0"/>
        <v>41328</v>
      </c>
      <c r="J13" s="36"/>
      <c r="K13" s="32">
        <v>2</v>
      </c>
      <c r="L13" s="36"/>
      <c r="M13" s="36"/>
      <c r="N13" s="37">
        <f t="shared" si="16"/>
        <v>2</v>
      </c>
      <c r="O13" s="38">
        <f t="shared" si="17"/>
        <v>0</v>
      </c>
      <c r="P13" s="39">
        <f>SUMIFS('Отчет 01.02'!H:H,'Отчет 01.02'!D:D,"Выручка",'Отчет 01.02'!E:E,B13)</f>
        <v>0</v>
      </c>
      <c r="Q13" s="39">
        <f>SUMIFS('Отчет 01.02'!H:H,'Отчет 01.02'!D:D,"Возврат выручки",'Отчет 01.02'!E:E,B13)</f>
        <v>0</v>
      </c>
      <c r="R13" s="40">
        <f t="shared" si="19"/>
        <v>0</v>
      </c>
      <c r="S13" s="41">
        <f>SUMIFS('Отчет 01.02'!P:P,'Отчет 01.02'!C:C,"Продажи",'Отчет 01.02'!E:E,B13)</f>
        <v>0</v>
      </c>
      <c r="T13" s="42">
        <f>SUMIFS('Отчет 01.02'!P:P,'Отчет 01.02'!C:C,"Возвраты",'Отчет 01.02'!E:E,B13)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01.02'!P:P,'Отчет 01.02'!C:C,"Вознаграждение Ozon",'Отчет 01.02'!E:E,B13)</f>
        <v>0</v>
      </c>
      <c r="Y13" s="45">
        <f t="shared" si="18"/>
        <v>0</v>
      </c>
      <c r="Z13" s="42">
        <f>-SUMIFS('Отчет 01.02'!P:P,'Отчет 01.02'!C:C,"Услуги доставки",'Отчет 01.02'!E:E,B13)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>
        <v>318</v>
      </c>
      <c r="H14" s="35">
        <v>123</v>
      </c>
      <c r="I14" s="54">
        <f t="shared" si="0"/>
        <v>39114</v>
      </c>
      <c r="K14" s="32">
        <v>1</v>
      </c>
      <c r="N14" s="37">
        <f t="shared" si="16"/>
        <v>1</v>
      </c>
      <c r="O14" s="38">
        <f t="shared" si="17"/>
        <v>0</v>
      </c>
      <c r="P14" s="39">
        <f>SUMIFS('Отчет 01.02'!H:H,'Отчет 01.02'!D:D,"Выручка",'Отчет 01.02'!E:E,B14)</f>
        <v>0</v>
      </c>
      <c r="Q14" s="39">
        <f>SUMIFS('Отчет 01.02'!H:H,'Отчет 01.02'!D:D,"Возврат выручки",'Отчет 01.02'!E:E,B14)</f>
        <v>0</v>
      </c>
      <c r="R14" s="40">
        <f t="shared" si="19"/>
        <v>0</v>
      </c>
      <c r="S14" s="41">
        <f>SUMIFS('Отчет 01.02'!P:P,'Отчет 01.02'!C:C,"Продажи",'Отчет 01.02'!E:E,B14)</f>
        <v>0</v>
      </c>
      <c r="T14" s="42">
        <f>SUMIFS('Отчет 01.02'!P:P,'Отчет 01.02'!C:C,"Возвраты",'Отчет 01.02'!E:E,B14)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01.02'!P:P,'Отчет 01.02'!C:C,"Вознаграждение Ozon",'Отчет 01.02'!E:E,B14)</f>
        <v>0</v>
      </c>
      <c r="Y14" s="45">
        <f t="shared" si="18"/>
        <v>0</v>
      </c>
      <c r="Z14" s="42">
        <f>-SUMIFS('Отчет 01.02'!P:P,'Отчет 01.02'!C:C,"Услуги доставки",'Отчет 01.02'!E:E,B14)</f>
        <v>0</v>
      </c>
      <c r="AA14" s="32">
        <v>200</v>
      </c>
      <c r="AB14" s="55"/>
      <c r="AC14" s="42"/>
      <c r="AD14" s="46">
        <f t="shared" si="6"/>
        <v>0</v>
      </c>
      <c r="AE14" s="47">
        <f t="shared" si="22"/>
        <v>-200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-200</v>
      </c>
      <c r="AM14" s="50">
        <f t="shared" si="28"/>
        <v>0</v>
      </c>
      <c r="AN14" s="51">
        <f t="shared" si="29"/>
        <v>-1.6260162601626016</v>
      </c>
      <c r="AP14" s="53">
        <f t="shared" si="30"/>
        <v>-63600</v>
      </c>
    </row>
    <row r="15" spans="1:42">
      <c r="A15" s="30">
        <v>3064346642</v>
      </c>
      <c r="B15" s="31" t="s">
        <v>53</v>
      </c>
      <c r="C15" s="32">
        <v>616</v>
      </c>
      <c r="D15" s="33"/>
      <c r="E15" s="33"/>
      <c r="F15" s="33"/>
      <c r="G15" s="34"/>
      <c r="H15" s="35">
        <v>123</v>
      </c>
      <c r="I15" s="54">
        <f t="shared" si="0"/>
        <v>75768</v>
      </c>
      <c r="J15" s="36"/>
      <c r="K15" s="32">
        <v>7</v>
      </c>
      <c r="L15" s="36"/>
      <c r="M15" s="36"/>
      <c r="N15" s="37">
        <f t="shared" si="16"/>
        <v>7</v>
      </c>
      <c r="O15" s="38">
        <f t="shared" si="17"/>
        <v>5</v>
      </c>
      <c r="P15" s="39">
        <f>SUMIFS('Отчет 01.02'!H:H,'Отчет 01.02'!D:D,"Выручка",'Отчет 01.02'!E:E,B15)</f>
        <v>5</v>
      </c>
      <c r="Q15" s="39">
        <f>SUMIFS('Отчет 01.02'!H:H,'Отчет 01.02'!D:D,"Возврат выручки",'Отчет 01.02'!E:E,B15)</f>
        <v>0</v>
      </c>
      <c r="R15" s="40">
        <f t="shared" si="19"/>
        <v>5</v>
      </c>
      <c r="S15" s="41">
        <f>SUMIFS('Отчет 01.02'!P:P,'Отчет 01.02'!C:C,"Продажи",'Отчет 01.02'!E:E,B15)</f>
        <v>9060.0000000000018</v>
      </c>
      <c r="T15" s="42">
        <f>SUMIFS('Отчет 01.02'!P:P,'Отчет 01.02'!C:C,"Возвраты",'Отчет 01.02'!E:E,B15)</f>
        <v>0</v>
      </c>
      <c r="U15" s="40">
        <f t="shared" si="20"/>
        <v>9060.0000000000018</v>
      </c>
      <c r="V15" s="43">
        <f>U15/$U$24</f>
        <v>0.27772668751149532</v>
      </c>
      <c r="W15" s="44">
        <f t="shared" si="21"/>
        <v>615</v>
      </c>
      <c r="X15" s="42">
        <f>-SUMIFS('Отчет 01.02'!P:P,'Отчет 01.02'!C:C,"Вознаграждение Ozon",'Отчет 01.02'!E:E,B15)</f>
        <v>3895.7999999999997</v>
      </c>
      <c r="Y15" s="45">
        <f t="shared" si="18"/>
        <v>0.42999999999999988</v>
      </c>
      <c r="Z15" s="42">
        <f>-SUMIFS('Отчет 01.02'!P:P,'Отчет 01.02'!C:C,"Услуги доставки",'Отчет 01.02'!E:E,B15)</f>
        <v>975.17000000000007</v>
      </c>
      <c r="AA15" s="32">
        <v>2081.6234469999999</v>
      </c>
      <c r="AB15" s="55"/>
      <c r="AC15" s="42"/>
      <c r="AD15" s="46">
        <f t="shared" si="6"/>
        <v>90.600000000000023</v>
      </c>
      <c r="AE15" s="47">
        <f t="shared" si="22"/>
        <v>1401.8065530000026</v>
      </c>
      <c r="AF15" s="46"/>
      <c r="AG15" s="48">
        <f t="shared" si="23"/>
        <v>1812.0000000000005</v>
      </c>
      <c r="AH15" s="49">
        <f t="shared" si="24"/>
        <v>123</v>
      </c>
      <c r="AI15" s="49">
        <f t="shared" si="25"/>
        <v>779.16</v>
      </c>
      <c r="AJ15" s="49">
        <f t="shared" si="26"/>
        <v>195.03400000000002</v>
      </c>
      <c r="AK15" s="49">
        <f t="shared" si="27"/>
        <v>416.32468940000001</v>
      </c>
      <c r="AL15" s="49">
        <f t="array" ref="AL15">_xlfn.IFS(R15=0,AE15,R15&lt;0,AE15/-R15,R15&gt;0,AE15/R15)</f>
        <v>280.36131060000054</v>
      </c>
      <c r="AM15" s="50">
        <f t="shared" si="28"/>
        <v>0.15472478509933801</v>
      </c>
      <c r="AN15" s="51">
        <f t="shared" si="29"/>
        <v>2.2793602487804923</v>
      </c>
      <c r="AP15" s="53">
        <f t="shared" si="30"/>
        <v>172702.56732960034</v>
      </c>
    </row>
    <row r="16" spans="1:42">
      <c r="A16" s="30">
        <v>3405092287</v>
      </c>
      <c r="B16" s="31" t="s">
        <v>60</v>
      </c>
      <c r="C16" s="32">
        <v>336</v>
      </c>
      <c r="H16" s="35">
        <v>117</v>
      </c>
      <c r="I16" s="54">
        <f t="shared" si="0"/>
        <v>39312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01.02'!H:H,'Отчет 01.02'!D:D,"Выручка",'Отчет 01.02'!E:E,B16)</f>
        <v>0</v>
      </c>
      <c r="Q16" s="39">
        <f>SUMIFS('Отчет 01.02'!H:H,'Отчет 01.02'!D:D,"Возврат выручки",'Отчет 01.02'!E:E,B16)</f>
        <v>0</v>
      </c>
      <c r="R16" s="40">
        <f t="shared" si="19"/>
        <v>0</v>
      </c>
      <c r="S16" s="41">
        <f>SUMIFS('Отчет 01.02'!P:P,'Отчет 01.02'!C:C,"Продажи",'Отчет 01.02'!E:E,B16)</f>
        <v>0</v>
      </c>
      <c r="T16" s="42">
        <f>SUMIFS('Отчет 01.02'!P:P,'Отчет 01.02'!C:C,"Возвраты",'Отчет 01.02'!E:E,B16)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01.02'!P:P,'Отчет 01.02'!C:C,"Вознаграждение Ozon",'Отчет 01.02'!E:E,B16)</f>
        <v>0</v>
      </c>
      <c r="Y16" s="45">
        <f t="shared" si="18"/>
        <v>0</v>
      </c>
      <c r="Z16" s="42">
        <f>-SUMIFS('Отчет 01.02'!P:P,'Отчет 01.02'!C:C,"Услуги доставки",'Отчет 01.02'!E:E,B16)</f>
        <v>0</v>
      </c>
      <c r="AA16" s="32">
        <v>279.89307100000002</v>
      </c>
      <c r="AB16" s="55"/>
      <c r="AC16" s="42"/>
      <c r="AD16" s="46">
        <f t="shared" si="6"/>
        <v>0</v>
      </c>
      <c r="AE16" s="47">
        <f t="shared" si="22"/>
        <v>-279.89307100000002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-279.89307100000002</v>
      </c>
      <c r="AM16" s="50">
        <f t="shared" si="28"/>
        <v>0</v>
      </c>
      <c r="AN16" s="51">
        <f t="shared" si="29"/>
        <v>-2.3922484700854705</v>
      </c>
      <c r="AP16" s="53">
        <f t="shared" si="30"/>
        <v>-94044.07185600001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1835.8571428571429</v>
      </c>
      <c r="AH17" s="58">
        <f t="shared" si="31"/>
        <v>127.26</v>
      </c>
      <c r="AI17" s="58">
        <f t="shared" si="31"/>
        <v>789.41857142857145</v>
      </c>
      <c r="AJ17" s="58">
        <f t="shared" si="31"/>
        <v>151.58449999999999</v>
      </c>
      <c r="AK17" s="58">
        <f t="shared" si="31"/>
        <v>537.47250135499996</v>
      </c>
      <c r="AL17" s="58">
        <f t="shared" si="31"/>
        <v>182.2402330906252</v>
      </c>
      <c r="AM17" s="59">
        <f t="shared" si="31"/>
        <v>0.11946575011431555</v>
      </c>
      <c r="AN17" s="59">
        <f t="shared" si="31"/>
        <v>1.558511338748152</v>
      </c>
      <c r="AO17" s="60"/>
      <c r="AP17" s="61"/>
    </row>
    <row r="18" spans="1:52">
      <c r="A18" s="62" t="s">
        <v>44</v>
      </c>
      <c r="B18" s="63"/>
      <c r="C18" s="64">
        <f>SUM(C3:C16)</f>
        <v>6249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783656.25</v>
      </c>
      <c r="J18" s="67"/>
      <c r="K18" s="64">
        <f>SUM(K3:K16)</f>
        <v>36</v>
      </c>
      <c r="L18" s="67"/>
      <c r="M18" s="67"/>
      <c r="N18" s="68"/>
      <c r="O18" s="69"/>
      <c r="P18" s="64">
        <f t="shared" ref="P18:X18" si="32">SUM(P3:P16)</f>
        <v>19</v>
      </c>
      <c r="Q18" s="64">
        <f t="shared" si="32"/>
        <v>1</v>
      </c>
      <c r="R18" s="64">
        <f t="shared" si="32"/>
        <v>18</v>
      </c>
      <c r="S18" s="70">
        <f t="shared" si="32"/>
        <v>34372.000000000007</v>
      </c>
      <c r="T18" s="64">
        <f t="shared" si="32"/>
        <v>-1750</v>
      </c>
      <c r="U18" s="64">
        <f t="shared" si="32"/>
        <v>32622.000000000007</v>
      </c>
      <c r="V18" s="71">
        <f t="shared" si="32"/>
        <v>1</v>
      </c>
      <c r="W18" s="64">
        <f t="shared" si="32"/>
        <v>2249.2200000000003</v>
      </c>
      <c r="X18" s="64">
        <f t="shared" si="32"/>
        <v>14027.46</v>
      </c>
      <c r="Y18" s="72">
        <f>IF(U18=0,0,X18/U18)</f>
        <v>0.42999999999999988</v>
      </c>
      <c r="Z18" s="64">
        <f>SUM(Z3:Z16)</f>
        <v>3179.52</v>
      </c>
      <c r="AA18" s="64">
        <f>IFERROR(P18*AA24/P24,0)</f>
        <v>7557.7</v>
      </c>
      <c r="AB18" s="64">
        <f>SUM(AB3:AB16)</f>
        <v>0</v>
      </c>
      <c r="AC18" s="64">
        <f>SUM(AC3:AC16)</f>
        <v>0</v>
      </c>
      <c r="AD18" s="73">
        <f>SUM(AD3:AD16)</f>
        <v>326.22000000000008</v>
      </c>
      <c r="AE18" s="74">
        <f>SUM(AE3:AE16)</f>
        <v>5431.8675670000084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400696.61616772594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7407.7124330000006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6249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783656.25</v>
      </c>
      <c r="J24" s="118">
        <f>J18+J22</f>
        <v>0</v>
      </c>
      <c r="K24" s="118">
        <f>K18+K22</f>
        <v>36</v>
      </c>
      <c r="L24" s="119"/>
      <c r="M24" s="119"/>
      <c r="N24" s="119"/>
      <c r="O24" s="119"/>
      <c r="P24" s="120">
        <f>P18+P22</f>
        <v>19</v>
      </c>
      <c r="Q24" s="118">
        <f>Q18+Q22</f>
        <v>1</v>
      </c>
      <c r="R24" s="121">
        <f>R18-R22</f>
        <v>18</v>
      </c>
      <c r="S24" s="118">
        <f t="shared" ref="S24:X24" si="35">S18+S22</f>
        <v>34372.000000000007</v>
      </c>
      <c r="T24" s="118">
        <f t="shared" si="35"/>
        <v>-1750</v>
      </c>
      <c r="U24" s="121">
        <f t="shared" si="35"/>
        <v>32622.000000000007</v>
      </c>
      <c r="V24" s="122">
        <f t="shared" si="35"/>
        <v>1</v>
      </c>
      <c r="W24" s="118">
        <f t="shared" si="35"/>
        <v>2249.2200000000003</v>
      </c>
      <c r="X24" s="118">
        <f t="shared" si="35"/>
        <v>14027.46</v>
      </c>
      <c r="Y24" s="123">
        <f>X24/U24</f>
        <v>0.42999999999999988</v>
      </c>
      <c r="Z24" s="118">
        <f>Z18+Z22</f>
        <v>3179.52</v>
      </c>
      <c r="AA24" s="124">
        <v>7557.7</v>
      </c>
      <c r="AB24" s="125"/>
      <c r="AC24" s="125">
        <f>SUM(AC3:AC20)</f>
        <v>0</v>
      </c>
      <c r="AD24" s="118">
        <f>AD18+AD22</f>
        <v>326.22000000000008</v>
      </c>
      <c r="AE24" s="126">
        <f>AE18+AE22</f>
        <v>5431.8675670000084</v>
      </c>
      <c r="AF24" s="127"/>
      <c r="AG24" s="128"/>
      <c r="AH24" s="129"/>
      <c r="AI24" s="129"/>
      <c r="AJ24" s="129"/>
      <c r="AK24" s="129">
        <f>AA25/P24</f>
        <v>397.77368421052631</v>
      </c>
      <c r="AL24" s="129"/>
      <c r="AM24" s="129"/>
      <c r="AN24" s="130"/>
      <c r="AP24" s="126">
        <f>SUM(AP3:AP20)</f>
        <v>801393.23233545187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7557.7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7407.7124330000006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783656.25</v>
      </c>
      <c r="J32" s="164">
        <f>I32/I24</f>
        <v>1</v>
      </c>
      <c r="K32" s="160">
        <f>AP24-K31-K33</f>
        <v>801393.23233545187</v>
      </c>
      <c r="L32" s="161">
        <f>K32/I32</f>
        <v>1.0226336258218471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03" priority="19" operator="greaterThan">
      <formula>120</formula>
    </cfRule>
  </conditionalFormatting>
  <conditionalFormatting sqref="N23">
    <cfRule type="cellIs" dxfId="102" priority="18" operator="between">
      <formula>0.000001</formula>
      <formula>25</formula>
    </cfRule>
  </conditionalFormatting>
  <conditionalFormatting sqref="V1 V25:V28 V30:V1048576">
    <cfRule type="cellIs" dxfId="101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{81D12363-4D25-4460-9F6F-C2A6F290F937}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{9A1C0D26-119D-4FC2-8ECB-6541D622BA3A}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{76693CC5-3F55-466A-AD8E-4A94B338590B}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{F1469276-C48D-4559-B5C0-9FB89F6D033B}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{2DB1FAB3-61BE-447E-BF6E-2C2A62A496B1}</x14:id>
        </ext>
      </extLst>
    </cfRule>
  </conditionalFormatting>
  <conditionalFormatting sqref="P23">
    <cfRule type="cellIs" dxfId="100" priority="14" operator="greaterThan">
      <formula>120</formula>
    </cfRule>
  </conditionalFormatting>
  <conditionalFormatting sqref="Q23">
    <cfRule type="cellIs" dxfId="99" priority="13" operator="greaterThan">
      <formula>120</formula>
    </cfRule>
  </conditionalFormatting>
  <conditionalFormatting sqref="R23">
    <cfRule type="cellIs" dxfId="98" priority="12" operator="greaterThan">
      <formula>120</formula>
    </cfRule>
  </conditionalFormatting>
  <conditionalFormatting sqref="S23">
    <cfRule type="cellIs" dxfId="97" priority="11" operator="greaterThan">
      <formula>120</formula>
    </cfRule>
  </conditionalFormatting>
  <conditionalFormatting sqref="T23">
    <cfRule type="cellIs" dxfId="96" priority="10" operator="greaterThan">
      <formula>120</formula>
    </cfRule>
  </conditionalFormatting>
  <conditionalFormatting sqref="U23">
    <cfRule type="cellIs" dxfId="95" priority="9" operator="greaterThan">
      <formula>120</formula>
    </cfRule>
  </conditionalFormatting>
  <conditionalFormatting sqref="V23">
    <cfRule type="cellIs" dxfId="94" priority="8" operator="greaterThan">
      <formula>120</formula>
    </cfRule>
  </conditionalFormatting>
  <conditionalFormatting sqref="W23">
    <cfRule type="cellIs" dxfId="93" priority="7" operator="greaterThan">
      <formula>120</formula>
    </cfRule>
  </conditionalFormatting>
  <conditionalFormatting sqref="X23">
    <cfRule type="cellIs" dxfId="92" priority="6" operator="greaterThan">
      <formula>120</formula>
    </cfRule>
  </conditionalFormatting>
  <conditionalFormatting sqref="Z23">
    <cfRule type="cellIs" dxfId="91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{F5F998D8-A1F9-4925-B81C-B7B3AFE87C3A}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{239B6E71-2C9B-4496-B5D4-ED7281AF2758}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{44E15602-094C-4C64-BE72-A2EB856E08E2}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{11C538FB-FAC5-47B1-B8CA-6B0C4CE8F3C9}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{40CEB849-F994-4A79-B870-C199559A22FD}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{E0D42158-E7FB-49E1-B57D-467FB930E88F}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{E071F3DE-9249-46BA-838C-FE65060781F8}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{14D68082-DF6E-4088-957D-9F2F03D8E1C7}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{3F3A997B-4EA1-4BD7-A5B3-9393A559029B}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{79CBD6D8-017D-4F92-A15D-BCEF7163E70B}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{D1141B1E-D18C-4710-B7C1-D5975CF6E781}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{27CDA792-9873-49CD-A493-5B0AF5519E51}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{96EB4354-5EC8-48F8-8426-CBBE73EDDD9A}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{B04F4BBC-BB20-40B2-A7F5-922F15955C2E}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{527B4C8B-71F1-4BC5-A8A5-0307E56D765E}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{687E8DAF-A6DC-4FFE-B59B-FA7ADA1C1B25}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1D12363-4D25-4460-9F6F-C2A6F290F93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1C0D26-119D-4FC2-8ECB-6541D622BA3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76693CC5-3F55-466A-AD8E-4A94B338590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F1469276-C48D-4559-B5C0-9FB89F6D03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2DB1FAB3-61BE-447E-BF6E-2C2A62A496B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5F998D8-A1F9-4925-B81C-B7B3AFE87C3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39B6E71-2C9B-4496-B5D4-ED7281AF275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44E15602-094C-4C64-BE72-A2EB856E08E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11C538FB-FAC5-47B1-B8CA-6B0C4CE8F3C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0CEB849-F994-4A79-B870-C199559A22F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0D42158-E7FB-49E1-B57D-467FB930E8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E071F3DE-9249-46BA-838C-FE65060781F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14D68082-DF6E-4088-957D-9F2F03D8E1C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3F3A997B-4EA1-4BD7-A5B3-9393A55902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79CBD6D8-017D-4F92-A15D-BCEF7163E70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1141B1E-D18C-4710-B7C1-D5975CF6E7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27CDA792-9873-49CD-A493-5B0AF5519E5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6EB4354-5EC8-48F8-8426-CBBE73EDDD9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B04F4BBC-BB20-40B2-A7F5-922F15955C2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527B4C8B-71F1-4BC5-A8A5-0307E56D765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87E8DAF-A6DC-4FFE-B59B-FA7ADA1C1B2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06FE6-4850-400B-B243-F65A28716681}">
  <dimension ref="A1:AZ37"/>
  <sheetViews>
    <sheetView zoomScale="70" zoomScaleNormal="70"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W27" sqref="W27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1073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1072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f>'Юнит 26-31.01'!C3</f>
        <v>0</v>
      </c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01-04.01'!K3+'Юнит 05-11.01'!K3+'Юнит 12-18.01'!K3+'Юнит 19-25.01'!K3+'Юнит 26-31.01'!K3</f>
        <v>21</v>
      </c>
      <c r="L3" s="36"/>
      <c r="M3" s="36"/>
      <c r="N3" s="37">
        <f>K3/31</f>
        <v>0.67741935483870963</v>
      </c>
      <c r="O3" s="38">
        <f>R3/31</f>
        <v>0.4838709677419355</v>
      </c>
      <c r="P3" s="32">
        <f>'Юнит 01-04.01'!P3+'Юнит 05-11.01'!P3+'Юнит 12-18.01'!P3+'Юнит 19-25.01'!P3+'Юнит 26-31.01'!P3</f>
        <v>15</v>
      </c>
      <c r="Q3" s="32">
        <f>'Юнит 01-04.01'!Q3+'Юнит 05-11.01'!Q3+'Юнит 12-18.01'!Q3+'Юнит 19-25.01'!Q3+'Юнит 26-31.01'!Q3</f>
        <v>0</v>
      </c>
      <c r="R3" s="40">
        <f t="shared" ref="R3:R7" si="1">P3-Q3</f>
        <v>15</v>
      </c>
      <c r="S3" s="32">
        <f>'Юнит 01-04.01'!S3+'Юнит 05-11.01'!S3+'Юнит 12-18.01'!S3+'Юнит 19-25.01'!S3+'Юнит 26-31.01'!S3</f>
        <v>24142</v>
      </c>
      <c r="T3" s="32">
        <f>'Юнит 01-04.01'!T3+'Юнит 05-11.01'!T3+'Юнит 12-18.01'!T3+'Юнит 19-25.01'!T3+'Юнит 26-31.01'!T3</f>
        <v>0</v>
      </c>
      <c r="U3" s="40">
        <f t="shared" ref="U3:U7" si="2">S3+T3</f>
        <v>24142</v>
      </c>
      <c r="V3" s="43">
        <f t="shared" ref="V3:V14" si="3">U3/$U$24</f>
        <v>2.6501130650508242E-2</v>
      </c>
      <c r="W3" s="44">
        <f t="shared" ref="W3:W7" si="4">R3*H3</f>
        <v>2144.6999999999998</v>
      </c>
      <c r="X3" s="32">
        <f>'Юнит 01-04.01'!X3+'Юнит 05-11.01'!X3+'Юнит 12-18.01'!X3+'Юнит 19-25.01'!X3+'Юнит 26-31.01'!X3</f>
        <v>10381.06</v>
      </c>
      <c r="Y3" s="45">
        <f t="shared" ref="Y3:Y16" si="5">IF(U3=0,0,X3/U3)</f>
        <v>0.43</v>
      </c>
      <c r="Z3" s="32">
        <f>'Юнит 01-04.01'!Z3+'Юнит 05-11.01'!Z3+'Юнит 12-18.01'!Z3+'Юнит 19-25.01'!Z3+'Юнит 26-31.01'!Z3</f>
        <v>2557.1999999999998</v>
      </c>
      <c r="AA3" s="32">
        <f>'Юнит 01-04.01'!AA3+'Юнит 05-11.01'!AA3+'Юнит 12-18.01'!AA3+'Юнит 19-25.01'!AA3+'Юнит 26-31.01'!AA3</f>
        <v>2328.6900639999999</v>
      </c>
      <c r="AB3" s="42"/>
      <c r="AC3" s="42"/>
      <c r="AD3" s="46">
        <f t="shared" ref="AD3:AD16" si="6">U3*1%</f>
        <v>241.42000000000002</v>
      </c>
      <c r="AE3" s="47">
        <f t="shared" ref="AE3:AE7" si="7">U3-W3-X3-Z3-AA3-AB3-AC3-AD3</f>
        <v>6488.9299360000005</v>
      </c>
      <c r="AF3" s="46"/>
      <c r="AG3" s="48">
        <f t="shared" ref="AG3:AG7" si="8">IF(R3=0,0,U3/R3)</f>
        <v>1609.4666666666667</v>
      </c>
      <c r="AH3" s="49">
        <f t="shared" ref="AH3:AH7" si="9">H3</f>
        <v>142.97999999999999</v>
      </c>
      <c r="AI3" s="49">
        <f t="shared" ref="AI3:AI7" si="10">IF(R3=0,0,X3/R3)</f>
        <v>692.07066666666663</v>
      </c>
      <c r="AJ3" s="49">
        <f t="shared" ref="AJ3:AJ7" si="11">IF(P3=0,Z3/1,Z3/P3)</f>
        <v>170.48</v>
      </c>
      <c r="AK3" s="49">
        <f t="shared" ref="AK3:AK7" si="12">IF(P3=0,0,AA3/P3)</f>
        <v>155.24600426666666</v>
      </c>
      <c r="AL3" s="49">
        <f>_xlfn.IFS(R3=0,AE3,R3&lt;0,AE3/-R3,R3&gt;0,AE3/R3)</f>
        <v>432.59532906666669</v>
      </c>
      <c r="AM3" s="50">
        <f t="shared" ref="AM3:AM7" si="13">IF(AG3=0,0,AL3/AG3)</f>
        <v>0.26878178841852374</v>
      </c>
      <c r="AN3" s="51">
        <f t="shared" ref="AN3:AN7" si="14">IF(AH3=0,0,AL3/AH3)</f>
        <v>3.0255653172937942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>
        <f>'Юнит 26-31.01'!C4</f>
        <v>0</v>
      </c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01-04.01'!K4+'Юнит 05-11.01'!K4+'Юнит 12-18.01'!K4+'Юнит 19-25.01'!K4+'Юнит 26-31.01'!K4</f>
        <v>27</v>
      </c>
      <c r="L4" s="36"/>
      <c r="M4" s="36"/>
      <c r="N4" s="37">
        <f t="shared" ref="N4:N16" si="16">K4/31</f>
        <v>0.87096774193548387</v>
      </c>
      <c r="O4" s="38">
        <f t="shared" ref="O4:O16" si="17">R4/31</f>
        <v>0.61290322580645162</v>
      </c>
      <c r="P4" s="32">
        <f>'Юнит 01-04.01'!P4+'Юнит 05-11.01'!P4+'Юнит 12-18.01'!P4+'Юнит 19-25.01'!P4+'Юнит 26-31.01'!P4</f>
        <v>19</v>
      </c>
      <c r="Q4" s="32">
        <f>'Юнит 01-04.01'!Q4+'Юнит 05-11.01'!Q4+'Юнит 12-18.01'!Q4+'Юнит 19-25.01'!Q4+'Юнит 26-31.01'!Q4</f>
        <v>0</v>
      </c>
      <c r="R4" s="40">
        <f t="shared" si="1"/>
        <v>19</v>
      </c>
      <c r="S4" s="32">
        <f>'Юнит 01-04.01'!S4+'Юнит 05-11.01'!S4+'Юнит 12-18.01'!S4+'Юнит 19-25.01'!S4+'Юнит 26-31.01'!S4</f>
        <v>32750</v>
      </c>
      <c r="T4" s="32">
        <f>'Юнит 01-04.01'!T4+'Юнит 05-11.01'!T4+'Юнит 12-18.01'!T4+'Юнит 19-25.01'!T4+'Юнит 26-31.01'!T4</f>
        <v>0</v>
      </c>
      <c r="U4" s="40">
        <f t="shared" si="2"/>
        <v>32750</v>
      </c>
      <c r="V4" s="43">
        <f t="shared" si="3"/>
        <v>3.5950295286394873E-2</v>
      </c>
      <c r="W4" s="44">
        <f t="shared" si="4"/>
        <v>2338.71</v>
      </c>
      <c r="X4" s="32">
        <f>'Юнит 01-04.01'!X4+'Юнит 05-11.01'!X4+'Юнит 12-18.01'!X4+'Юнит 19-25.01'!X4+'Юнит 26-31.01'!X4</f>
        <v>14082.5</v>
      </c>
      <c r="Y4" s="45">
        <f t="shared" si="5"/>
        <v>0.43</v>
      </c>
      <c r="Z4" s="32">
        <f>'Юнит 01-04.01'!Z4+'Юнит 05-11.01'!Z4+'Юнит 12-18.01'!Z4+'Юнит 19-25.01'!Z4+'Юнит 26-31.01'!Z4</f>
        <v>2801.0700000000006</v>
      </c>
      <c r="AA4" s="32">
        <f>'Юнит 01-04.01'!AA4+'Юнит 05-11.01'!AA4+'Юнит 12-18.01'!AA4+'Юнит 19-25.01'!AA4+'Юнит 26-31.01'!AA4</f>
        <v>2785.268309</v>
      </c>
      <c r="AB4" s="42"/>
      <c r="AC4" s="42"/>
      <c r="AD4" s="46">
        <f t="shared" si="6"/>
        <v>327.5</v>
      </c>
      <c r="AE4" s="47">
        <f t="shared" si="7"/>
        <v>10414.951691000002</v>
      </c>
      <c r="AF4" s="46"/>
      <c r="AG4" s="48">
        <f t="shared" si="8"/>
        <v>1723.6842105263158</v>
      </c>
      <c r="AH4" s="49">
        <f t="shared" si="9"/>
        <v>123.09</v>
      </c>
      <c r="AI4" s="49">
        <f t="shared" si="10"/>
        <v>741.18421052631584</v>
      </c>
      <c r="AJ4" s="49">
        <f t="shared" si="11"/>
        <v>147.42473684210529</v>
      </c>
      <c r="AK4" s="49">
        <f t="shared" si="12"/>
        <v>146.59306889473683</v>
      </c>
      <c r="AL4" s="49">
        <f t="array" ref="AL4">_xlfn.IFS(R4=0,AE4,R4&lt;0,AE4/-R4,R4&gt;0,AE4/R4)</f>
        <v>548.15535215789487</v>
      </c>
      <c r="AM4" s="50">
        <f t="shared" si="13"/>
        <v>0.31801379209160313</v>
      </c>
      <c r="AN4" s="51">
        <f t="shared" si="14"/>
        <v>4.4532890743187492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>
        <f>'Юнит 26-31.01'!C5</f>
        <v>0</v>
      </c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01-04.01'!K5+'Юнит 05-11.01'!K5+'Юнит 12-18.01'!K5+'Юнит 19-25.01'!K5+'Юнит 26-31.01'!K5</f>
        <v>12</v>
      </c>
      <c r="L5" s="36"/>
      <c r="M5" s="36"/>
      <c r="N5" s="37">
        <f t="shared" si="16"/>
        <v>0.38709677419354838</v>
      </c>
      <c r="O5" s="38">
        <f t="shared" si="17"/>
        <v>0.29032258064516131</v>
      </c>
      <c r="P5" s="32">
        <f>'Юнит 01-04.01'!P5+'Юнит 05-11.01'!P5+'Юнит 12-18.01'!P5+'Юнит 19-25.01'!P5+'Юнит 26-31.01'!P5</f>
        <v>9</v>
      </c>
      <c r="Q5" s="32">
        <f>'Юнит 01-04.01'!Q5+'Юнит 05-11.01'!Q5+'Юнит 12-18.01'!Q5+'Юнит 19-25.01'!Q5+'Юнит 26-31.01'!Q5</f>
        <v>0</v>
      </c>
      <c r="R5" s="40">
        <f t="shared" si="1"/>
        <v>9</v>
      </c>
      <c r="S5" s="32">
        <f>'Юнит 01-04.01'!S5+'Юнит 05-11.01'!S5+'Юнит 12-18.01'!S5+'Юнит 19-25.01'!S5+'Юнит 26-31.01'!S5</f>
        <v>15350</v>
      </c>
      <c r="T5" s="32">
        <f>'Юнит 01-04.01'!T5+'Юнит 05-11.01'!T5+'Юнит 12-18.01'!T5+'Юнит 19-25.01'!T5+'Юнит 26-31.01'!T5</f>
        <v>0</v>
      </c>
      <c r="U5" s="40">
        <f t="shared" si="2"/>
        <v>15350</v>
      </c>
      <c r="V5" s="43">
        <f t="shared" si="3"/>
        <v>1.684998572965378E-2</v>
      </c>
      <c r="W5" s="44">
        <f t="shared" si="4"/>
        <v>1107.81</v>
      </c>
      <c r="X5" s="32">
        <f>'Юнит 01-04.01'!X5+'Юнит 05-11.01'!X5+'Юнит 12-18.01'!X5+'Юнит 19-25.01'!X5+'Юнит 26-31.01'!X5</f>
        <v>6600.5</v>
      </c>
      <c r="Y5" s="45">
        <f t="shared" si="5"/>
        <v>0.43</v>
      </c>
      <c r="Z5" s="32">
        <f>'Юнит 01-04.01'!Z5+'Юнит 05-11.01'!Z5+'Юнит 12-18.01'!Z5+'Юнит 19-25.01'!Z5+'Юнит 26-31.01'!Z5</f>
        <v>1336.4899999999998</v>
      </c>
      <c r="AA5" s="32">
        <f>'Юнит 01-04.01'!AA5+'Юнит 05-11.01'!AA5+'Юнит 12-18.01'!AA5+'Юнит 19-25.01'!AA5+'Юнит 26-31.01'!AA5</f>
        <v>1523.256711</v>
      </c>
      <c r="AB5" s="55"/>
      <c r="AC5" s="42"/>
      <c r="AD5" s="46">
        <f t="shared" si="6"/>
        <v>153.5</v>
      </c>
      <c r="AE5" s="47">
        <f t="shared" si="7"/>
        <v>4628.4432890000007</v>
      </c>
      <c r="AF5" s="46"/>
      <c r="AG5" s="48">
        <f t="shared" si="8"/>
        <v>1705.5555555555557</v>
      </c>
      <c r="AH5" s="49">
        <f t="shared" si="9"/>
        <v>123.09</v>
      </c>
      <c r="AI5" s="49">
        <f t="shared" si="10"/>
        <v>733.38888888888891</v>
      </c>
      <c r="AJ5" s="49">
        <f t="shared" si="11"/>
        <v>148.49888888888887</v>
      </c>
      <c r="AK5" s="49">
        <f t="shared" si="12"/>
        <v>169.25074566666666</v>
      </c>
      <c r="AL5" s="49">
        <f t="array" ref="AL5">_xlfn.IFS(R5=0,AE5,R5&lt;0,AE5/-R5,R5&gt;0,AE5/R5)</f>
        <v>514.27147655555564</v>
      </c>
      <c r="AM5" s="50">
        <f t="shared" si="13"/>
        <v>0.30152725009771991</v>
      </c>
      <c r="AN5" s="51">
        <f t="shared" si="14"/>
        <v>4.1780118332566056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>
        <f>'Юнит 26-31.01'!C6</f>
        <v>0</v>
      </c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01-04.01'!K6+'Юнит 05-11.01'!K6+'Юнит 12-18.01'!K6+'Юнит 19-25.01'!K6+'Юнит 26-31.01'!K6</f>
        <v>107</v>
      </c>
      <c r="L6" s="36"/>
      <c r="M6" s="36"/>
      <c r="N6" s="37">
        <f t="shared" si="16"/>
        <v>3.4516129032258065</v>
      </c>
      <c r="O6" s="38">
        <f t="shared" si="17"/>
        <v>2.6451612903225805</v>
      </c>
      <c r="P6" s="32">
        <f>'Юнит 01-04.01'!P6+'Юнит 05-11.01'!P6+'Юнит 12-18.01'!P6+'Юнит 19-25.01'!P6+'Юнит 26-31.01'!P6</f>
        <v>86</v>
      </c>
      <c r="Q6" s="32">
        <f>'Юнит 01-04.01'!Q6+'Юнит 05-11.01'!Q6+'Юнит 12-18.01'!Q6+'Юнит 19-25.01'!Q6+'Юнит 26-31.01'!Q6</f>
        <v>4</v>
      </c>
      <c r="R6" s="40">
        <f t="shared" si="1"/>
        <v>82</v>
      </c>
      <c r="S6" s="32">
        <f>'Юнит 01-04.01'!S6+'Юнит 05-11.01'!S6+'Юнит 12-18.01'!S6+'Юнит 19-25.01'!S6+'Юнит 26-31.01'!S6</f>
        <v>143450</v>
      </c>
      <c r="T6" s="32">
        <f>'Юнит 01-04.01'!T6+'Юнит 05-11.01'!T6+'Юнит 12-18.01'!T6+'Юнит 19-25.01'!T6+'Юнит 26-31.01'!T6</f>
        <v>-6400</v>
      </c>
      <c r="U6" s="40">
        <f t="shared" si="2"/>
        <v>137050</v>
      </c>
      <c r="V6" s="43">
        <f t="shared" si="3"/>
        <v>0.15044238073283717</v>
      </c>
      <c r="W6" s="44">
        <f t="shared" si="4"/>
        <v>10093.380000000001</v>
      </c>
      <c r="X6" s="32">
        <f>'Юнит 01-04.01'!X6+'Юнит 05-11.01'!X6+'Юнит 12-18.01'!X6+'Юнит 19-25.01'!X6+'Юнит 26-31.01'!X6</f>
        <v>58931.5</v>
      </c>
      <c r="Y6" s="45">
        <f t="shared" si="5"/>
        <v>0.43</v>
      </c>
      <c r="Z6" s="32">
        <f>'Юнит 01-04.01'!Z6+'Юнит 05-11.01'!Z6+'Юнит 12-18.01'!Z6+'Юнит 19-25.01'!Z6+'Юнит 26-31.01'!Z6</f>
        <v>13586.76</v>
      </c>
      <c r="AA6" s="32">
        <f>'Юнит 01-04.01'!AA6+'Юнит 05-11.01'!AA6+'Юнит 12-18.01'!AA6+'Юнит 19-25.01'!AA6+'Юнит 26-31.01'!AA6</f>
        <v>32153.359054</v>
      </c>
      <c r="AB6" s="55"/>
      <c r="AC6" s="42"/>
      <c r="AD6" s="46">
        <f t="shared" si="6"/>
        <v>1370.5</v>
      </c>
      <c r="AE6" s="47">
        <f t="shared" si="7"/>
        <v>20914.500945999993</v>
      </c>
      <c r="AF6" s="46"/>
      <c r="AG6" s="48">
        <f t="shared" si="8"/>
        <v>1671.3414634146341</v>
      </c>
      <c r="AH6" s="49">
        <f t="shared" si="9"/>
        <v>123.09</v>
      </c>
      <c r="AI6" s="49">
        <f t="shared" si="10"/>
        <v>718.67682926829264</v>
      </c>
      <c r="AJ6" s="49">
        <f t="shared" si="11"/>
        <v>157.98558139534885</v>
      </c>
      <c r="AK6" s="49">
        <f t="shared" si="12"/>
        <v>373.87626806976743</v>
      </c>
      <c r="AL6" s="49">
        <f t="array" ref="AL6">_xlfn.IFS(R6=0,AE6,R6&lt;0,AE6/-R6,R6&gt;0,AE6/R6)</f>
        <v>255.05488958536577</v>
      </c>
      <c r="AM6" s="50">
        <f t="shared" si="13"/>
        <v>0.15260489562933233</v>
      </c>
      <c r="AN6" s="51">
        <f t="shared" si="14"/>
        <v>2.0721008171692725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>
        <f>'Юнит 26-31.01'!C7</f>
        <v>0</v>
      </c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01-04.01'!K7+'Юнит 05-11.01'!K7+'Юнит 12-18.01'!K7+'Юнит 19-25.01'!K7+'Юнит 26-31.01'!K7</f>
        <v>87</v>
      </c>
      <c r="L7" s="36"/>
      <c r="M7" s="36"/>
      <c r="N7" s="37">
        <f t="shared" si="16"/>
        <v>2.806451612903226</v>
      </c>
      <c r="O7" s="38">
        <f t="shared" si="17"/>
        <v>1.4516129032258065</v>
      </c>
      <c r="P7" s="32">
        <f>'Юнит 01-04.01'!P7+'Юнит 05-11.01'!P7+'Юнит 12-18.01'!P7+'Юнит 19-25.01'!P7+'Юнит 26-31.01'!P7</f>
        <v>46</v>
      </c>
      <c r="Q7" s="32">
        <f>'Юнит 01-04.01'!Q7+'Юнит 05-11.01'!Q7+'Юнит 12-18.01'!Q7+'Юнит 19-25.01'!Q7+'Юнит 26-31.01'!Q7</f>
        <v>1</v>
      </c>
      <c r="R7" s="40">
        <f t="shared" si="1"/>
        <v>45</v>
      </c>
      <c r="S7" s="32">
        <f>'Юнит 01-04.01'!S7+'Юнит 05-11.01'!S7+'Юнит 12-18.01'!S7+'Юнит 19-25.01'!S7+'Юнит 26-31.01'!S7</f>
        <v>78225</v>
      </c>
      <c r="T7" s="32">
        <f>'Юнит 01-04.01'!T7+'Юнит 05-11.01'!T7+'Юнит 12-18.01'!T7+'Юнит 19-25.01'!T7+'Юнит 26-31.01'!T7</f>
        <v>-1750</v>
      </c>
      <c r="U7" s="40">
        <f t="shared" si="2"/>
        <v>76475</v>
      </c>
      <c r="V7" s="43">
        <f t="shared" si="3"/>
        <v>8.3948055939757182E-2</v>
      </c>
      <c r="W7" s="44">
        <f t="shared" si="4"/>
        <v>5275.8</v>
      </c>
      <c r="X7" s="32">
        <f>'Юнит 01-04.01'!X7+'Юнит 05-11.01'!X7+'Юнит 12-18.01'!X7+'Юнит 19-25.01'!X7+'Юнит 26-31.01'!X7</f>
        <v>32884.25</v>
      </c>
      <c r="Y7" s="45">
        <f t="shared" si="5"/>
        <v>0.43</v>
      </c>
      <c r="Z7" s="32">
        <f>'Юнит 01-04.01'!Z7+'Юнит 05-11.01'!Z7+'Юнит 12-18.01'!Z7+'Юнит 19-25.01'!Z7+'Юнит 26-31.01'!Z7</f>
        <v>7888.7199999999993</v>
      </c>
      <c r="AA7" s="32">
        <f>'Юнит 01-04.01'!AA7+'Юнит 05-11.01'!AA7+'Юнит 12-18.01'!AA7+'Юнит 19-25.01'!AA7+'Юнит 26-31.01'!AA7</f>
        <v>20344.450110000002</v>
      </c>
      <c r="AB7" s="55"/>
      <c r="AC7" s="42"/>
      <c r="AD7" s="46">
        <f t="shared" si="6"/>
        <v>764.75</v>
      </c>
      <c r="AE7" s="47">
        <f t="shared" si="7"/>
        <v>9317.0298899999943</v>
      </c>
      <c r="AF7" s="46"/>
      <c r="AG7" s="48">
        <f t="shared" si="8"/>
        <v>1699.4444444444443</v>
      </c>
      <c r="AH7" s="49">
        <f t="shared" si="9"/>
        <v>117.24</v>
      </c>
      <c r="AI7" s="49">
        <f t="shared" si="10"/>
        <v>730.76111111111106</v>
      </c>
      <c r="AJ7" s="49">
        <f t="shared" si="11"/>
        <v>171.49391304347824</v>
      </c>
      <c r="AK7" s="49">
        <f t="shared" si="12"/>
        <v>442.2706545652174</v>
      </c>
      <c r="AL7" s="49">
        <f t="array" ref="AL7">_xlfn.IFS(R7=0,AE7,R7&lt;0,AE7/-R7,R7&gt;0,AE7/R7)</f>
        <v>207.04510866666655</v>
      </c>
      <c r="AM7" s="50">
        <f t="shared" si="13"/>
        <v>0.1218310544622425</v>
      </c>
      <c r="AN7" s="51">
        <f t="shared" si="14"/>
        <v>1.7659937620834745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>
        <f>'Юнит 26-31.01'!C8</f>
        <v>0</v>
      </c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01-04.01'!K8+'Юнит 05-11.01'!K8+'Юнит 12-18.01'!K8+'Юнит 19-25.01'!K8+'Юнит 26-31.01'!K8</f>
        <v>50</v>
      </c>
      <c r="L8" s="36"/>
      <c r="M8" s="36"/>
      <c r="N8" s="37">
        <f t="shared" si="16"/>
        <v>1.6129032258064515</v>
      </c>
      <c r="O8" s="38">
        <f t="shared" si="17"/>
        <v>1</v>
      </c>
      <c r="P8" s="32">
        <f>'Юнит 01-04.01'!P8+'Юнит 05-11.01'!P8+'Юнит 12-18.01'!P8+'Юнит 19-25.01'!P8+'Юнит 26-31.01'!P8</f>
        <v>32</v>
      </c>
      <c r="Q8" s="32">
        <f>'Юнит 01-04.01'!Q8+'Юнит 05-11.01'!Q8+'Юнит 12-18.01'!Q8+'Юнит 19-25.01'!Q8+'Юнит 26-31.01'!Q8</f>
        <v>1</v>
      </c>
      <c r="R8" s="40">
        <f>P8-Q8</f>
        <v>31</v>
      </c>
      <c r="S8" s="32">
        <f>'Юнит 01-04.01'!S8+'Юнит 05-11.01'!S8+'Юнит 12-18.01'!S8+'Юнит 19-25.01'!S8+'Юнит 26-31.01'!S8</f>
        <v>47780</v>
      </c>
      <c r="T8" s="32">
        <f>'Юнит 01-04.01'!T8+'Юнит 05-11.01'!T8+'Юнит 12-18.01'!T8+'Юнит 19-25.01'!T8+'Юнит 26-31.01'!T8</f>
        <v>-1202</v>
      </c>
      <c r="U8" s="40">
        <f>S8+T8</f>
        <v>46578</v>
      </c>
      <c r="V8" s="43">
        <f t="shared" si="3"/>
        <v>5.1129552789303825E-2</v>
      </c>
      <c r="W8" s="44">
        <f>R8*H8</f>
        <v>5266.5899999999992</v>
      </c>
      <c r="X8" s="32">
        <f>'Юнит 01-04.01'!X8+'Юнит 05-11.01'!X8+'Юнит 12-18.01'!X8+'Юнит 19-25.01'!X8+'Юнит 26-31.01'!X8</f>
        <v>20028.54</v>
      </c>
      <c r="Y8" s="45">
        <f t="shared" si="5"/>
        <v>0.43</v>
      </c>
      <c r="Z8" s="32">
        <f>'Юнит 01-04.01'!Z8+'Юнит 05-11.01'!Z8+'Юнит 12-18.01'!Z8+'Юнит 19-25.01'!Z8+'Юнит 26-31.01'!Z8</f>
        <v>4902.7</v>
      </c>
      <c r="AA8" s="32">
        <f>'Юнит 01-04.01'!AA8+'Юнит 05-11.01'!AA8+'Юнит 12-18.01'!AA8+'Юнит 19-25.01'!AA8+'Юнит 26-31.01'!AA8</f>
        <v>11861.791594</v>
      </c>
      <c r="AB8" s="55"/>
      <c r="AC8" s="42"/>
      <c r="AD8" s="46">
        <f t="shared" si="6"/>
        <v>465.78000000000003</v>
      </c>
      <c r="AE8" s="47">
        <f>U8-W8-X8-Z8-AA8-AB8-AC8-AD8</f>
        <v>4052.5984060000014</v>
      </c>
      <c r="AF8" s="46"/>
      <c r="AG8" s="48">
        <f>IF(R8=0,0,U8/R8)</f>
        <v>1502.516129032258</v>
      </c>
      <c r="AH8" s="49">
        <f>H8</f>
        <v>169.89</v>
      </c>
      <c r="AI8" s="49">
        <f>IF(R8=0,0,X8/R8)</f>
        <v>646.08193548387101</v>
      </c>
      <c r="AJ8" s="49">
        <f>IF(P8=0,Z8/1,Z8/P8)</f>
        <v>153.20937499999999</v>
      </c>
      <c r="AK8" s="49">
        <f>IF(P8=0,0,AA8/P8)</f>
        <v>370.68098731250001</v>
      </c>
      <c r="AL8" s="49">
        <f t="array" ref="AL8">_xlfn.IFS(R8=0,AE8,R8&lt;0,AE8/-R8,R8&gt;0,AE8/R8)</f>
        <v>130.72898083870973</v>
      </c>
      <c r="AM8" s="50">
        <f>IF(AG8=0,0,AL8/AG8)</f>
        <v>8.7006707157885735E-2</v>
      </c>
      <c r="AN8" s="51">
        <f>IF(AH8=0,0,AL8/AH8)</f>
        <v>0.76949191146453433</v>
      </c>
      <c r="AP8" s="53">
        <f>AL8*C8</f>
        <v>0</v>
      </c>
    </row>
    <row r="9" spans="1:42">
      <c r="A9" s="30">
        <v>3405092860</v>
      </c>
      <c r="B9" s="31" t="s">
        <v>55</v>
      </c>
      <c r="C9" s="32">
        <f>'Юнит 26-31.01'!C9</f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01-04.01'!K9+'Юнит 05-11.01'!K9+'Юнит 12-18.01'!K9+'Юнит 19-25.01'!K9+'Юнит 26-31.01'!K9</f>
        <v>4</v>
      </c>
      <c r="L9" s="36"/>
      <c r="M9" s="36"/>
      <c r="N9" s="37">
        <f t="shared" si="16"/>
        <v>0.12903225806451613</v>
      </c>
      <c r="O9" s="38">
        <f t="shared" si="17"/>
        <v>3.2258064516129031E-2</v>
      </c>
      <c r="P9" s="32">
        <f>'Юнит 01-04.01'!P9+'Юнит 05-11.01'!P9+'Юнит 12-18.01'!P9+'Юнит 19-25.01'!P9+'Юнит 26-31.01'!P9</f>
        <v>1</v>
      </c>
      <c r="Q9" s="32">
        <f>'Юнит 01-04.01'!Q9+'Юнит 05-11.01'!Q9+'Юнит 12-18.01'!Q9+'Юнит 19-25.01'!Q9+'Юнит 26-31.01'!Q9</f>
        <v>0</v>
      </c>
      <c r="R9" s="40">
        <f t="shared" ref="R9:R16" si="18">P9-Q9</f>
        <v>1</v>
      </c>
      <c r="S9" s="32">
        <f>'Юнит 01-04.01'!S9+'Юнит 05-11.01'!S9+'Юнит 12-18.01'!S9+'Юнит 19-25.01'!S9+'Юнит 26-31.01'!S9</f>
        <v>2000</v>
      </c>
      <c r="T9" s="32">
        <f>'Юнит 01-04.01'!T9+'Юнит 05-11.01'!T9+'Юнит 12-18.01'!T9+'Юнит 19-25.01'!T9+'Юнит 26-31.01'!T9</f>
        <v>0</v>
      </c>
      <c r="U9" s="40">
        <f t="shared" ref="U9:U16" si="19">S9+T9</f>
        <v>2000</v>
      </c>
      <c r="V9" s="43">
        <f t="shared" si="3"/>
        <v>2.1954378800851829E-3</v>
      </c>
      <c r="W9" s="44">
        <f t="shared" ref="W9:W16" si="20">R9*H9</f>
        <v>123</v>
      </c>
      <c r="X9" s="32">
        <f>'Юнит 01-04.01'!X9+'Юнит 05-11.01'!X9+'Юнит 12-18.01'!X9+'Юнит 19-25.01'!X9+'Юнит 26-31.01'!X9</f>
        <v>860</v>
      </c>
      <c r="Y9" s="45">
        <f t="shared" si="5"/>
        <v>0.43</v>
      </c>
      <c r="Z9" s="32">
        <f>'Юнит 01-04.01'!Z9+'Юнит 05-11.01'!Z9+'Юнит 12-18.01'!Z9+'Юнит 19-25.01'!Z9+'Юнит 26-31.01'!Z9</f>
        <v>155.81</v>
      </c>
      <c r="AA9" s="32">
        <f>'Юнит 01-04.01'!AA9+'Юнит 05-11.01'!AA9+'Юнит 12-18.01'!AA9+'Юнит 19-25.01'!AA9+'Юнит 26-31.01'!AA9</f>
        <v>556.81945599999995</v>
      </c>
      <c r="AB9" s="55"/>
      <c r="AC9" s="42"/>
      <c r="AD9" s="46">
        <f t="shared" si="6"/>
        <v>20</v>
      </c>
      <c r="AE9" s="47">
        <f t="shared" ref="AE9:AE16" si="21">U9-W9-X9-Z9-AA9-AB9-AC9-AD9</f>
        <v>284.37054400000011</v>
      </c>
      <c r="AF9" s="46"/>
      <c r="AG9" s="48">
        <f t="shared" ref="AG9:AG16" si="22">IF(R9=0,0,U9/R9)</f>
        <v>2000</v>
      </c>
      <c r="AH9" s="49">
        <f t="shared" ref="AH9:AH16" si="23">H9</f>
        <v>123</v>
      </c>
      <c r="AI9" s="49">
        <f t="shared" ref="AI9:AI16" si="24">IF(R9=0,0,X9/R9)</f>
        <v>860</v>
      </c>
      <c r="AJ9" s="49">
        <f t="shared" ref="AJ9:AJ16" si="25">IF(P9=0,Z9/1,Z9/P9)</f>
        <v>155.81</v>
      </c>
      <c r="AK9" s="49">
        <f t="shared" ref="AK9:AK16" si="26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7">IF(AG9=0,0,AL9/AG9)</f>
        <v>0.14218527200000006</v>
      </c>
      <c r="AN9" s="51">
        <f t="shared" ref="AN9:AN16" si="28">IF(AH9=0,0,AL9/AH9)</f>
        <v>2.3119556422764238</v>
      </c>
      <c r="AP9" s="53">
        <f t="shared" ref="AP9:AP16" si="29">AL9*C9</f>
        <v>0</v>
      </c>
    </row>
    <row r="10" spans="1:42">
      <c r="A10" s="30">
        <v>3405092836</v>
      </c>
      <c r="B10" s="31" t="s">
        <v>56</v>
      </c>
      <c r="C10" s="32">
        <f>'Юнит 26-31.01'!C10</f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01-04.01'!K10+'Юнит 05-11.01'!K10+'Юнит 12-18.01'!K10+'Юнит 19-25.01'!K10+'Юнит 26-31.01'!K10</f>
        <v>6</v>
      </c>
      <c r="L10" s="36"/>
      <c r="M10" s="36"/>
      <c r="N10" s="37">
        <f t="shared" si="16"/>
        <v>0.19354838709677419</v>
      </c>
      <c r="O10" s="38">
        <f t="shared" si="17"/>
        <v>0</v>
      </c>
      <c r="P10" s="32">
        <f>'Юнит 01-04.01'!P10+'Юнит 05-11.01'!P10+'Юнит 12-18.01'!P10+'Юнит 19-25.01'!P10+'Юнит 26-31.01'!P10</f>
        <v>0</v>
      </c>
      <c r="Q10" s="32">
        <f>'Юнит 01-04.01'!Q10+'Юнит 05-11.01'!Q10+'Юнит 12-18.01'!Q10+'Юнит 19-25.01'!Q10+'Юнит 26-31.01'!Q10</f>
        <v>0</v>
      </c>
      <c r="R10" s="40">
        <f t="shared" si="18"/>
        <v>0</v>
      </c>
      <c r="S10" s="32">
        <f>'Юнит 01-04.01'!S10+'Юнит 05-11.01'!S10+'Юнит 12-18.01'!S10+'Юнит 19-25.01'!S10+'Юнит 26-31.01'!S10</f>
        <v>0</v>
      </c>
      <c r="T10" s="32">
        <f>'Юнит 01-04.01'!T10+'Юнит 05-11.01'!T10+'Юнит 12-18.01'!T10+'Юнит 19-25.01'!T10+'Юнит 26-31.01'!T10</f>
        <v>0</v>
      </c>
      <c r="U10" s="40">
        <f t="shared" si="19"/>
        <v>0</v>
      </c>
      <c r="V10" s="43">
        <f t="shared" si="3"/>
        <v>0</v>
      </c>
      <c r="W10" s="44">
        <f t="shared" si="20"/>
        <v>0</v>
      </c>
      <c r="X10" s="32">
        <f>'Юнит 01-04.01'!X10+'Юнит 05-11.01'!X10+'Юнит 12-18.01'!X10+'Юнит 19-25.01'!X10+'Юнит 26-31.01'!X10</f>
        <v>0</v>
      </c>
      <c r="Y10" s="45">
        <f t="shared" si="5"/>
        <v>0</v>
      </c>
      <c r="Z10" s="32">
        <f>'Юнит 01-04.01'!Z10+'Юнит 05-11.01'!Z10+'Юнит 12-18.01'!Z10+'Юнит 19-25.01'!Z10+'Юнит 26-31.01'!Z10</f>
        <v>0</v>
      </c>
      <c r="AA10" s="32">
        <f>'Юнит 01-04.01'!AA10+'Юнит 05-11.01'!AA10+'Юнит 12-18.01'!AA10+'Юнит 19-25.01'!AA10+'Юнит 26-31.01'!AA10</f>
        <v>1517.4338640000001</v>
      </c>
      <c r="AB10" s="55"/>
      <c r="AC10" s="42"/>
      <c r="AD10" s="46">
        <f t="shared" si="6"/>
        <v>0</v>
      </c>
      <c r="AE10" s="47">
        <f t="shared" si="21"/>
        <v>-1517.4338640000001</v>
      </c>
      <c r="AF10" s="46"/>
      <c r="AG10" s="48">
        <f t="shared" si="22"/>
        <v>0</v>
      </c>
      <c r="AH10" s="49">
        <f t="shared" si="23"/>
        <v>123</v>
      </c>
      <c r="AI10" s="49">
        <f t="shared" si="24"/>
        <v>0</v>
      </c>
      <c r="AJ10" s="49">
        <f t="shared" si="25"/>
        <v>0</v>
      </c>
      <c r="AK10" s="49">
        <f t="shared" si="26"/>
        <v>0</v>
      </c>
      <c r="AL10" s="49">
        <f t="array" ref="AL10">_xlfn.IFS(R10=0,AE10,R10&lt;0,AE10/-R10,R10&gt;0,AE10/R10)</f>
        <v>-1517.4338640000001</v>
      </c>
      <c r="AM10" s="50">
        <f t="shared" si="27"/>
        <v>0</v>
      </c>
      <c r="AN10" s="51">
        <f t="shared" si="28"/>
        <v>-12.336860682926829</v>
      </c>
      <c r="AP10" s="53">
        <f t="shared" si="29"/>
        <v>0</v>
      </c>
    </row>
    <row r="11" spans="1:42">
      <c r="A11" s="30">
        <v>3064346962</v>
      </c>
      <c r="B11" s="31" t="s">
        <v>52</v>
      </c>
      <c r="C11" s="32">
        <f>'Юнит 26-31.01'!C11</f>
        <v>0</v>
      </c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01-04.01'!K11+'Юнит 05-11.01'!K11+'Юнит 12-18.01'!K11+'Юнит 19-25.01'!K11+'Юнит 26-31.01'!K11</f>
        <v>241</v>
      </c>
      <c r="L11" s="36"/>
      <c r="M11" s="36"/>
      <c r="N11" s="37">
        <f t="shared" si="16"/>
        <v>7.774193548387097</v>
      </c>
      <c r="O11" s="38">
        <f t="shared" si="17"/>
        <v>5.32258064516129</v>
      </c>
      <c r="P11" s="32">
        <f>'Юнит 01-04.01'!P11+'Юнит 05-11.01'!P11+'Юнит 12-18.01'!P11+'Юнит 19-25.01'!P11+'Юнит 26-31.01'!P11</f>
        <v>169</v>
      </c>
      <c r="Q11" s="32">
        <f>'Юнит 01-04.01'!Q11+'Юнит 05-11.01'!Q11+'Юнит 12-18.01'!Q11+'Юнит 19-25.01'!Q11+'Юнит 26-31.01'!Q11</f>
        <v>4</v>
      </c>
      <c r="R11" s="40">
        <f t="shared" si="18"/>
        <v>165</v>
      </c>
      <c r="S11" s="32">
        <f>'Юнит 01-04.01'!S11+'Юнит 05-11.01'!S11+'Юнит 12-18.01'!S11+'Юнит 19-25.01'!S11+'Юнит 26-31.01'!S11</f>
        <v>288115</v>
      </c>
      <c r="T11" s="32">
        <f>'Юнит 01-04.01'!T11+'Юнит 05-11.01'!T11+'Юнит 12-18.01'!T11+'Юнит 19-25.01'!T11+'Юнит 26-31.01'!T11</f>
        <v>-6890</v>
      </c>
      <c r="U11" s="40">
        <f t="shared" si="19"/>
        <v>281225</v>
      </c>
      <c r="V11" s="43">
        <f t="shared" si="3"/>
        <v>0.30870600891347777</v>
      </c>
      <c r="W11" s="44">
        <f t="shared" si="20"/>
        <v>20295</v>
      </c>
      <c r="X11" s="32">
        <f>'Юнит 01-04.01'!X11+'Юнит 05-11.01'!X11+'Юнит 12-18.01'!X11+'Юнит 19-25.01'!X11+'Юнит 26-31.01'!X11</f>
        <v>120926.74999999997</v>
      </c>
      <c r="Y11" s="45">
        <f t="shared" si="5"/>
        <v>0.42999999999999988</v>
      </c>
      <c r="Z11" s="32">
        <f>'Юнит 01-04.01'!Z11+'Юнит 05-11.01'!Z11+'Юнит 12-18.01'!Z11+'Юнит 19-25.01'!Z11+'Юнит 26-31.01'!Z11</f>
        <v>30216.549999999992</v>
      </c>
      <c r="AA11" s="32">
        <f>'Юнит 01-04.01'!AA11+'Юнит 05-11.01'!AA11+'Юнит 12-18.01'!AA11+'Юнит 19-25.01'!AA11+'Юнит 26-31.01'!AA11</f>
        <v>79164.205937999999</v>
      </c>
      <c r="AB11" s="55"/>
      <c r="AC11" s="42"/>
      <c r="AD11" s="46">
        <f t="shared" si="6"/>
        <v>2812.25</v>
      </c>
      <c r="AE11" s="47">
        <f t="shared" si="21"/>
        <v>27810.244062000042</v>
      </c>
      <c r="AF11" s="46"/>
      <c r="AG11" s="48">
        <f t="shared" si="22"/>
        <v>1704.3939393939395</v>
      </c>
      <c r="AH11" s="49">
        <f t="shared" si="23"/>
        <v>123</v>
      </c>
      <c r="AI11" s="49">
        <f t="shared" si="24"/>
        <v>732.88939393939381</v>
      </c>
      <c r="AJ11" s="49">
        <f t="shared" si="25"/>
        <v>178.7961538461538</v>
      </c>
      <c r="AK11" s="49">
        <f t="shared" si="26"/>
        <v>468.4272540710059</v>
      </c>
      <c r="AL11" s="49">
        <f t="array" ref="AL11">_xlfn.IFS(R11=0,AE11,R11&lt;0,AE11/-R11,R11&gt;0,AE11/R11)</f>
        <v>168.54693370909115</v>
      </c>
      <c r="AM11" s="50">
        <f t="shared" si="27"/>
        <v>9.8889657967819497E-2</v>
      </c>
      <c r="AN11" s="51">
        <f t="shared" si="28"/>
        <v>1.3703002740576515</v>
      </c>
      <c r="AP11" s="53">
        <f t="shared" si="29"/>
        <v>0</v>
      </c>
    </row>
    <row r="12" spans="1:42">
      <c r="A12" s="30">
        <v>3405092873</v>
      </c>
      <c r="B12" s="171" t="s">
        <v>57</v>
      </c>
      <c r="C12" s="32">
        <f>'Юнит 26-31.01'!C12</f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01-04.01'!K12+'Юнит 05-11.01'!K12+'Юнит 12-18.01'!K12+'Юнит 19-25.01'!K12+'Юнит 26-31.01'!K12</f>
        <v>5</v>
      </c>
      <c r="L12" s="36"/>
      <c r="M12" s="36"/>
      <c r="N12" s="37">
        <f t="shared" si="16"/>
        <v>0.16129032258064516</v>
      </c>
      <c r="O12" s="38">
        <f t="shared" si="17"/>
        <v>0</v>
      </c>
      <c r="P12" s="32">
        <f>'Юнит 01-04.01'!P12+'Юнит 05-11.01'!P12+'Юнит 12-18.01'!P12+'Юнит 19-25.01'!P12+'Юнит 26-31.01'!P12</f>
        <v>0</v>
      </c>
      <c r="Q12" s="32">
        <f>'Юнит 01-04.01'!Q12+'Юнит 05-11.01'!Q12+'Юнит 12-18.01'!Q12+'Юнит 19-25.01'!Q12+'Юнит 26-31.01'!Q12</f>
        <v>0</v>
      </c>
      <c r="R12" s="40">
        <f t="shared" si="18"/>
        <v>0</v>
      </c>
      <c r="S12" s="32">
        <f>'Юнит 01-04.01'!S12+'Юнит 05-11.01'!S12+'Юнит 12-18.01'!S12+'Юнит 19-25.01'!S12+'Юнит 26-31.01'!S12</f>
        <v>0</v>
      </c>
      <c r="T12" s="32">
        <f>'Юнит 01-04.01'!T12+'Юнит 05-11.01'!T12+'Юнит 12-18.01'!T12+'Юнит 19-25.01'!T12+'Юнит 26-31.01'!T12</f>
        <v>0</v>
      </c>
      <c r="U12" s="40">
        <f t="shared" si="19"/>
        <v>0</v>
      </c>
      <c r="V12" s="43">
        <f t="shared" si="3"/>
        <v>0</v>
      </c>
      <c r="W12" s="44">
        <f t="shared" si="20"/>
        <v>0</v>
      </c>
      <c r="X12" s="32">
        <f>'Юнит 01-04.01'!X12+'Юнит 05-11.01'!X12+'Юнит 12-18.01'!X12+'Юнит 19-25.01'!X12+'Юнит 26-31.01'!X12</f>
        <v>0</v>
      </c>
      <c r="Y12" s="45">
        <f t="shared" si="5"/>
        <v>0</v>
      </c>
      <c r="Z12" s="32">
        <f>'Юнит 01-04.01'!Z12+'Юнит 05-11.01'!Z12+'Юнит 12-18.01'!Z12+'Юнит 19-25.01'!Z12+'Юнит 26-31.01'!Z12</f>
        <v>0</v>
      </c>
      <c r="AA12" s="32">
        <f>'Юнит 01-04.01'!AA12+'Юнит 05-11.01'!AA12+'Юнит 12-18.01'!AA12+'Юнит 19-25.01'!AA12+'Юнит 26-31.01'!AA12</f>
        <v>555.84385799999995</v>
      </c>
      <c r="AB12" s="55"/>
      <c r="AC12" s="42"/>
      <c r="AD12" s="46">
        <f t="shared" si="6"/>
        <v>0</v>
      </c>
      <c r="AE12" s="47">
        <f t="shared" si="21"/>
        <v>-555.84385799999995</v>
      </c>
      <c r="AF12" s="46"/>
      <c r="AG12" s="48">
        <f t="shared" si="22"/>
        <v>0</v>
      </c>
      <c r="AH12" s="49">
        <f t="shared" si="23"/>
        <v>117</v>
      </c>
      <c r="AI12" s="49">
        <f t="shared" si="24"/>
        <v>0</v>
      </c>
      <c r="AJ12" s="49">
        <f t="shared" si="25"/>
        <v>0</v>
      </c>
      <c r="AK12" s="49">
        <f t="shared" si="26"/>
        <v>0</v>
      </c>
      <c r="AL12" s="49">
        <f t="array" ref="AL12">_xlfn.IFS(R12=0,AE12,R12&lt;0,AE12/-R12,R12&gt;0,AE12/R12)</f>
        <v>-555.84385799999995</v>
      </c>
      <c r="AM12" s="50">
        <f t="shared" si="27"/>
        <v>0</v>
      </c>
      <c r="AN12" s="51">
        <f t="shared" si="28"/>
        <v>-4.7508022051282044</v>
      </c>
      <c r="AP12" s="53">
        <f t="shared" si="29"/>
        <v>0</v>
      </c>
    </row>
    <row r="13" spans="1:42">
      <c r="A13" s="30">
        <v>3405092993</v>
      </c>
      <c r="B13" s="31" t="s">
        <v>58</v>
      </c>
      <c r="C13" s="32">
        <f>'Юнит 26-31.01'!C13</f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01-04.01'!K13+'Юнит 05-11.01'!K13+'Юнит 12-18.01'!K13+'Юнит 19-25.01'!K13+'Юнит 26-31.01'!K13</f>
        <v>2</v>
      </c>
      <c r="L13" s="36"/>
      <c r="M13" s="36"/>
      <c r="N13" s="37">
        <f t="shared" si="16"/>
        <v>6.4516129032258063E-2</v>
      </c>
      <c r="O13" s="38">
        <f t="shared" si="17"/>
        <v>3.2258064516129031E-2</v>
      </c>
      <c r="P13" s="32">
        <f>'Юнит 01-04.01'!P13+'Юнит 05-11.01'!P13+'Юнит 12-18.01'!P13+'Юнит 19-25.01'!P13+'Юнит 26-31.01'!P13</f>
        <v>1</v>
      </c>
      <c r="Q13" s="32">
        <f>'Юнит 01-04.01'!Q13+'Юнит 05-11.01'!Q13+'Юнит 12-18.01'!Q13+'Юнит 19-25.01'!Q13+'Юнит 26-31.01'!Q13</f>
        <v>0</v>
      </c>
      <c r="R13" s="40">
        <f t="shared" si="18"/>
        <v>1</v>
      </c>
      <c r="S13" s="32">
        <f>'Юнит 01-04.01'!S13+'Юнит 05-11.01'!S13+'Юнит 12-18.01'!S13+'Юнит 19-25.01'!S13+'Юнит 26-31.01'!S13</f>
        <v>2000</v>
      </c>
      <c r="T13" s="32">
        <f>'Юнит 01-04.01'!T13+'Юнит 05-11.01'!T13+'Юнит 12-18.01'!T13+'Юнит 19-25.01'!T13+'Юнит 26-31.01'!T13</f>
        <v>0</v>
      </c>
      <c r="U13" s="40">
        <f t="shared" si="19"/>
        <v>2000</v>
      </c>
      <c r="V13" s="43">
        <f t="shared" si="3"/>
        <v>2.1954378800851829E-3</v>
      </c>
      <c r="W13" s="44">
        <f t="shared" si="20"/>
        <v>123</v>
      </c>
      <c r="X13" s="32">
        <f>'Юнит 01-04.01'!X13+'Юнит 05-11.01'!X13+'Юнит 12-18.01'!X13+'Юнит 19-25.01'!X13+'Юнит 26-31.01'!X13</f>
        <v>860</v>
      </c>
      <c r="Y13" s="45">
        <f t="shared" si="5"/>
        <v>0.43</v>
      </c>
      <c r="Z13" s="32">
        <f>'Юнит 01-04.01'!Z13+'Юнит 05-11.01'!Z13+'Юнит 12-18.01'!Z13+'Юнит 19-25.01'!Z13+'Юнит 26-31.01'!Z13</f>
        <v>155.81</v>
      </c>
      <c r="AA13" s="32">
        <f>'Юнит 01-04.01'!AA13+'Юнит 05-11.01'!AA13+'Юнит 12-18.01'!AA13+'Юнит 19-25.01'!AA13+'Юнит 26-31.01'!AA13</f>
        <v>633.384051</v>
      </c>
      <c r="AB13" s="55"/>
      <c r="AC13" s="42"/>
      <c r="AD13" s="46">
        <f t="shared" si="6"/>
        <v>20</v>
      </c>
      <c r="AE13" s="47">
        <f t="shared" si="21"/>
        <v>207.80594900000006</v>
      </c>
      <c r="AF13" s="46"/>
      <c r="AG13" s="48">
        <f t="shared" si="22"/>
        <v>2000</v>
      </c>
      <c r="AH13" s="49">
        <f t="shared" si="23"/>
        <v>123</v>
      </c>
      <c r="AI13" s="49">
        <f t="shared" si="24"/>
        <v>860</v>
      </c>
      <c r="AJ13" s="49">
        <f t="shared" si="25"/>
        <v>155.81</v>
      </c>
      <c r="AK13" s="49">
        <f t="shared" si="26"/>
        <v>633.384051</v>
      </c>
      <c r="AL13" s="49">
        <f t="array" ref="AL13">_xlfn.IFS(R13=0,AE13,R13&lt;0,AE13/-R13,R13&gt;0,AE13/R13)</f>
        <v>207.80594900000006</v>
      </c>
      <c r="AM13" s="50">
        <f t="shared" si="27"/>
        <v>0.10390297450000002</v>
      </c>
      <c r="AN13" s="51">
        <f t="shared" si="28"/>
        <v>1.6894792601626021</v>
      </c>
      <c r="AP13" s="53">
        <f t="shared" si="29"/>
        <v>0</v>
      </c>
    </row>
    <row r="14" spans="1:42">
      <c r="A14" s="30">
        <v>3405092868</v>
      </c>
      <c r="B14" s="31" t="s">
        <v>59</v>
      </c>
      <c r="C14" s="32">
        <f>'Юнит 26-31.01'!C14</f>
        <v>0</v>
      </c>
      <c r="H14" s="35">
        <v>123</v>
      </c>
      <c r="I14" s="54">
        <f t="shared" si="0"/>
        <v>0</v>
      </c>
      <c r="K14" s="32">
        <f>'Юнит 01-04.01'!K14+'Юнит 05-11.01'!K14+'Юнит 12-18.01'!K14+'Юнит 19-25.01'!K14+'Юнит 26-31.01'!K14</f>
        <v>0</v>
      </c>
      <c r="N14" s="37">
        <f t="shared" si="16"/>
        <v>0</v>
      </c>
      <c r="O14" s="38">
        <f t="shared" si="17"/>
        <v>0</v>
      </c>
      <c r="P14" s="32">
        <f>'Юнит 01-04.01'!P14+'Юнит 05-11.01'!P14+'Юнит 12-18.01'!P14+'Юнит 19-25.01'!P14+'Юнит 26-31.01'!P14</f>
        <v>0</v>
      </c>
      <c r="Q14" s="32">
        <f>'Юнит 01-04.01'!Q14+'Юнит 05-11.01'!Q14+'Юнит 12-18.01'!Q14+'Юнит 19-25.01'!Q14+'Юнит 26-31.01'!Q14</f>
        <v>0</v>
      </c>
      <c r="R14" s="40">
        <f t="shared" si="18"/>
        <v>0</v>
      </c>
      <c r="S14" s="32">
        <f>'Юнит 01-04.01'!S14+'Юнит 05-11.01'!S14+'Юнит 12-18.01'!S14+'Юнит 19-25.01'!S14+'Юнит 26-31.01'!S14</f>
        <v>0</v>
      </c>
      <c r="T14" s="32">
        <f>'Юнит 01-04.01'!T14+'Юнит 05-11.01'!T14+'Юнит 12-18.01'!T14+'Юнит 19-25.01'!T14+'Юнит 26-31.01'!T14</f>
        <v>0</v>
      </c>
      <c r="U14" s="40">
        <f t="shared" si="19"/>
        <v>0</v>
      </c>
      <c r="V14" s="43">
        <f t="shared" si="3"/>
        <v>0</v>
      </c>
      <c r="W14" s="44">
        <f t="shared" si="20"/>
        <v>0</v>
      </c>
      <c r="X14" s="32">
        <f>'Юнит 01-04.01'!X14+'Юнит 05-11.01'!X14+'Юнит 12-18.01'!X14+'Юнит 19-25.01'!X14+'Юнит 26-31.01'!X14</f>
        <v>0</v>
      </c>
      <c r="Y14" s="45">
        <f t="shared" si="5"/>
        <v>0</v>
      </c>
      <c r="Z14" s="32">
        <f>'Юнит 01-04.01'!Z14+'Юнит 05-11.01'!Z14+'Юнит 12-18.01'!Z14+'Юнит 19-25.01'!Z14+'Юнит 26-31.01'!Z14</f>
        <v>0</v>
      </c>
      <c r="AA14" s="32">
        <f>'Юнит 01-04.01'!AA14+'Юнит 05-11.01'!AA14+'Юнит 12-18.01'!AA14+'Юнит 19-25.01'!AA14+'Юнит 26-31.01'!AA14</f>
        <v>607.06545600000004</v>
      </c>
      <c r="AB14" s="55"/>
      <c r="AC14" s="42"/>
      <c r="AD14" s="46">
        <f t="shared" si="6"/>
        <v>0</v>
      </c>
      <c r="AE14" s="47">
        <f t="shared" si="21"/>
        <v>-607.06545600000004</v>
      </c>
      <c r="AG14" s="48">
        <f t="shared" si="22"/>
        <v>0</v>
      </c>
      <c r="AH14" s="49">
        <f t="shared" si="23"/>
        <v>123</v>
      </c>
      <c r="AI14" s="49">
        <f t="shared" si="24"/>
        <v>0</v>
      </c>
      <c r="AJ14" s="49">
        <f t="shared" si="25"/>
        <v>0</v>
      </c>
      <c r="AK14" s="49">
        <f t="shared" si="26"/>
        <v>0</v>
      </c>
      <c r="AL14" s="49">
        <f t="array" ref="AL14">_xlfn.IFS(R14=0,AE14,R14&lt;0,AE14/-R14,R14&gt;0,AE14/R14)</f>
        <v>-607.06545600000004</v>
      </c>
      <c r="AM14" s="50">
        <f t="shared" si="27"/>
        <v>0</v>
      </c>
      <c r="AN14" s="51">
        <f t="shared" si="28"/>
        <v>-4.9354915121951226</v>
      </c>
      <c r="AP14" s="53">
        <f t="shared" si="29"/>
        <v>0</v>
      </c>
    </row>
    <row r="15" spans="1:42">
      <c r="A15" s="30">
        <v>3064346642</v>
      </c>
      <c r="B15" s="31" t="s">
        <v>53</v>
      </c>
      <c r="C15" s="32">
        <f>'Юнит 26-31.01'!C15</f>
        <v>0</v>
      </c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01-04.01'!K15+'Юнит 05-11.01'!K15+'Юнит 12-18.01'!K15+'Юнит 19-25.01'!K15+'Юнит 26-31.01'!K15</f>
        <v>239</v>
      </c>
      <c r="L15" s="36"/>
      <c r="M15" s="36"/>
      <c r="N15" s="37">
        <f t="shared" si="16"/>
        <v>7.709677419354839</v>
      </c>
      <c r="O15" s="38">
        <f t="shared" si="17"/>
        <v>5.193548387096774</v>
      </c>
      <c r="P15" s="32">
        <f>'Юнит 01-04.01'!P15+'Юнит 05-11.01'!P15+'Юнит 12-18.01'!P15+'Юнит 19-25.01'!P15+'Юнит 26-31.01'!P15</f>
        <v>166</v>
      </c>
      <c r="Q15" s="32">
        <f>'Юнит 01-04.01'!Q15+'Юнит 05-11.01'!Q15+'Юнит 12-18.01'!Q15+'Юнит 19-25.01'!Q15+'Юнит 26-31.01'!Q15</f>
        <v>5</v>
      </c>
      <c r="R15" s="40">
        <f t="shared" si="18"/>
        <v>161</v>
      </c>
      <c r="S15" s="32">
        <f>'Юнит 01-04.01'!S15+'Юнит 05-11.01'!S15+'Юнит 12-18.01'!S15+'Юнит 19-25.01'!S15+'Юнит 26-31.01'!S15</f>
        <v>302635</v>
      </c>
      <c r="T15" s="32">
        <f>'Юнит 01-04.01'!T15+'Юнит 05-11.01'!T15+'Юнит 12-18.01'!T15+'Юнит 19-25.01'!T15+'Юнит 26-31.01'!T15</f>
        <v>-9225</v>
      </c>
      <c r="U15" s="40">
        <f t="shared" si="19"/>
        <v>293410</v>
      </c>
      <c r="V15" s="43">
        <f>U15/$U$24</f>
        <v>0.32208171419789677</v>
      </c>
      <c r="W15" s="44">
        <f t="shared" si="20"/>
        <v>19803</v>
      </c>
      <c r="X15" s="32">
        <f>'Юнит 01-04.01'!X15+'Юнит 05-11.01'!X15+'Юнит 12-18.01'!X15+'Юнит 19-25.01'!X15+'Юнит 26-31.01'!X15</f>
        <v>126166.29999999996</v>
      </c>
      <c r="Y15" s="45">
        <f t="shared" si="5"/>
        <v>0.42999999999999988</v>
      </c>
      <c r="Z15" s="32">
        <f>'Юнит 01-04.01'!Z15+'Юнит 05-11.01'!Z15+'Юнит 12-18.01'!Z15+'Юнит 19-25.01'!Z15+'Юнит 26-31.01'!Z15</f>
        <v>35029.129999999997</v>
      </c>
      <c r="AA15" s="32">
        <f>'Юнит 01-04.01'!AA15+'Юнит 05-11.01'!AA15+'Юнит 12-18.01'!AA15+'Юнит 19-25.01'!AA15+'Юнит 26-31.01'!AA15</f>
        <v>79313.333280000006</v>
      </c>
      <c r="AB15" s="55"/>
      <c r="AC15" s="42"/>
      <c r="AD15" s="46">
        <f t="shared" si="6"/>
        <v>2934.1</v>
      </c>
      <c r="AE15" s="47">
        <f t="shared" si="21"/>
        <v>30164.136720000031</v>
      </c>
      <c r="AF15" s="46"/>
      <c r="AG15" s="48">
        <f t="shared" si="22"/>
        <v>1822.4223602484471</v>
      </c>
      <c r="AH15" s="49">
        <f t="shared" si="23"/>
        <v>123</v>
      </c>
      <c r="AI15" s="49">
        <f t="shared" si="24"/>
        <v>783.64161490683205</v>
      </c>
      <c r="AJ15" s="49">
        <f t="shared" si="25"/>
        <v>211.01885542168674</v>
      </c>
      <c r="AK15" s="49">
        <f t="shared" si="26"/>
        <v>477.79116433734941</v>
      </c>
      <c r="AL15" s="49">
        <f t="array" ref="AL15">_xlfn.IFS(R15=0,AE15,R15&lt;0,AE15/-R15,R15&gt;0,AE15/R15)</f>
        <v>187.35488645962752</v>
      </c>
      <c r="AM15" s="50">
        <f t="shared" si="27"/>
        <v>0.10280541467570986</v>
      </c>
      <c r="AN15" s="51">
        <f t="shared" si="28"/>
        <v>1.523210459021362</v>
      </c>
      <c r="AP15" s="53">
        <f t="shared" si="29"/>
        <v>0</v>
      </c>
    </row>
    <row r="16" spans="1:42">
      <c r="A16" s="30">
        <v>3405092287</v>
      </c>
      <c r="B16" s="31" t="s">
        <v>60</v>
      </c>
      <c r="C16" s="32">
        <f>'Юнит 26-31.01'!C16</f>
        <v>0</v>
      </c>
      <c r="H16" s="35">
        <v>117</v>
      </c>
      <c r="I16" s="54">
        <f t="shared" si="0"/>
        <v>0</v>
      </c>
      <c r="K16" s="32">
        <f>'Юнит 01-04.01'!K16+'Юнит 05-11.01'!K16+'Юнит 12-18.01'!K16+'Юнит 19-25.01'!K16+'Юнит 26-31.01'!K16</f>
        <v>2</v>
      </c>
      <c r="N16" s="37">
        <f t="shared" si="16"/>
        <v>6.4516129032258063E-2</v>
      </c>
      <c r="O16" s="38">
        <f t="shared" si="17"/>
        <v>0</v>
      </c>
      <c r="P16" s="32">
        <f>'Юнит 01-04.01'!P16+'Юнит 05-11.01'!P16+'Юнит 12-18.01'!P16+'Юнит 19-25.01'!P16+'Юнит 26-31.01'!P16</f>
        <v>0</v>
      </c>
      <c r="Q16" s="32">
        <f>'Юнит 01-04.01'!Q16+'Юнит 05-11.01'!Q16+'Юнит 12-18.01'!Q16+'Юнит 19-25.01'!Q16+'Юнит 26-31.01'!Q16</f>
        <v>0</v>
      </c>
      <c r="R16" s="40">
        <f t="shared" si="18"/>
        <v>0</v>
      </c>
      <c r="S16" s="32">
        <f>'Юнит 01-04.01'!S16+'Юнит 05-11.01'!S16+'Юнит 12-18.01'!S16+'Юнит 19-25.01'!S16+'Юнит 26-31.01'!S16</f>
        <v>0</v>
      </c>
      <c r="T16" s="32">
        <f>'Юнит 01-04.01'!T16+'Юнит 05-11.01'!T16+'Юнит 12-18.01'!T16+'Юнит 19-25.01'!T16+'Юнит 26-31.01'!T16</f>
        <v>0</v>
      </c>
      <c r="U16" s="40">
        <f t="shared" si="19"/>
        <v>0</v>
      </c>
      <c r="V16" s="43">
        <f>U16/$U$24</f>
        <v>0</v>
      </c>
      <c r="W16" s="44">
        <f t="shared" si="20"/>
        <v>0</v>
      </c>
      <c r="X16" s="32">
        <f>'Юнит 01-04.01'!X16+'Юнит 05-11.01'!X16+'Юнит 12-18.01'!X16+'Юнит 19-25.01'!X16+'Юнит 26-31.01'!X16</f>
        <v>0</v>
      </c>
      <c r="Y16" s="45">
        <f t="shared" si="5"/>
        <v>0</v>
      </c>
      <c r="Z16" s="32">
        <f>'Юнит 01-04.01'!Z16+'Юнит 05-11.01'!Z16+'Юнит 12-18.01'!Z16+'Юнит 19-25.01'!Z16+'Юнит 26-31.01'!Z16</f>
        <v>0</v>
      </c>
      <c r="AA16" s="32">
        <f>'Юнит 01-04.01'!AA16+'Юнит 05-11.01'!AA16+'Юнит 12-18.01'!AA16+'Юнит 19-25.01'!AA16+'Юнит 26-31.01'!AA16</f>
        <v>1324.84465</v>
      </c>
      <c r="AB16" s="55"/>
      <c r="AC16" s="42"/>
      <c r="AD16" s="46">
        <f t="shared" si="6"/>
        <v>0</v>
      </c>
      <c r="AE16" s="47">
        <f t="shared" si="21"/>
        <v>-1324.84465</v>
      </c>
      <c r="AF16" s="46"/>
      <c r="AG16" s="48">
        <f t="shared" si="22"/>
        <v>0</v>
      </c>
      <c r="AH16" s="49">
        <f t="shared" si="23"/>
        <v>117</v>
      </c>
      <c r="AI16" s="49">
        <f t="shared" si="24"/>
        <v>0</v>
      </c>
      <c r="AJ16" s="49">
        <f t="shared" si="25"/>
        <v>0</v>
      </c>
      <c r="AK16" s="49">
        <f t="shared" si="26"/>
        <v>0</v>
      </c>
      <c r="AL16" s="49">
        <f t="array" ref="AL16">_xlfn.IFS(R16=0,AE16,R16&lt;0,AE16/-R16,R16&gt;0,AE16/R16)</f>
        <v>-1324.84465</v>
      </c>
      <c r="AM16" s="50">
        <f t="shared" si="27"/>
        <v>0</v>
      </c>
      <c r="AN16" s="51">
        <f t="shared" si="28"/>
        <v>-11.323458547008547</v>
      </c>
      <c r="AP16" s="53">
        <f t="shared" si="29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0">AVERAGEIF(AG3:AG15,"&lt;&gt;0",AG3:AG15)</f>
        <v>1743.8824769282262</v>
      </c>
      <c r="AH17" s="58">
        <f t="shared" si="30"/>
        <v>127.26</v>
      </c>
      <c r="AI17" s="58">
        <f t="shared" si="30"/>
        <v>749.86946507913717</v>
      </c>
      <c r="AJ17" s="58">
        <f t="shared" si="30"/>
        <v>165.0527504437662</v>
      </c>
      <c r="AK17" s="58">
        <f t="shared" si="30"/>
        <v>379.43396541839104</v>
      </c>
      <c r="AL17" s="58">
        <f t="shared" si="30"/>
        <v>19.660482464582898</v>
      </c>
      <c r="AM17" s="59">
        <f t="shared" si="30"/>
        <v>0.16975488070008368</v>
      </c>
      <c r="AN17" s="59">
        <f t="shared" si="30"/>
        <v>8.7403380834947086E-2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803</v>
      </c>
      <c r="L18" s="67"/>
      <c r="M18" s="67"/>
      <c r="N18" s="68"/>
      <c r="O18" s="69"/>
      <c r="P18" s="64">
        <f t="shared" ref="P18:X18" si="31">SUM(P3:P16)</f>
        <v>544</v>
      </c>
      <c r="Q18" s="64">
        <f t="shared" si="31"/>
        <v>15</v>
      </c>
      <c r="R18" s="64">
        <f t="shared" si="31"/>
        <v>529</v>
      </c>
      <c r="S18" s="70">
        <f t="shared" si="31"/>
        <v>936447</v>
      </c>
      <c r="T18" s="64">
        <f t="shared" si="31"/>
        <v>-25467</v>
      </c>
      <c r="U18" s="64">
        <f t="shared" si="31"/>
        <v>910980</v>
      </c>
      <c r="V18" s="71">
        <f t="shared" si="31"/>
        <v>1</v>
      </c>
      <c r="W18" s="64">
        <f t="shared" si="31"/>
        <v>66570.990000000005</v>
      </c>
      <c r="X18" s="64">
        <f t="shared" si="31"/>
        <v>391721.39999999991</v>
      </c>
      <c r="Y18" s="72">
        <f>IF(U18=0,0,X18/U18)</f>
        <v>0.42999999999999988</v>
      </c>
      <c r="Z18" s="64">
        <f>SUM(Z3:Z16)</f>
        <v>98630.239999999991</v>
      </c>
      <c r="AA18" s="64">
        <f>IFERROR(P18*AA24/P24,0)</f>
        <v>239309.32999999996</v>
      </c>
      <c r="AB18" s="64">
        <f>SUM(AB3:AB16)</f>
        <v>0</v>
      </c>
      <c r="AC18" s="64">
        <f>SUM(AC3:AC16)</f>
        <v>0</v>
      </c>
      <c r="AD18" s="73">
        <f>SUM(AD3:AD16)</f>
        <v>9109.8000000000011</v>
      </c>
      <c r="AE18" s="74">
        <f>SUM(AE3:AE16)</f>
        <v>110277.82360500009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234669.74639500005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2">AVERAGEIF(AG20:AG20,"&lt;&gt;0",AG20:AG20)</f>
        <v>#DIV/0!</v>
      </c>
      <c r="AH21" s="86" t="e">
        <f t="shared" si="32"/>
        <v>#DIV/0!</v>
      </c>
      <c r="AI21" s="86" t="e">
        <f t="shared" si="32"/>
        <v>#DIV/0!</v>
      </c>
      <c r="AJ21" s="86" t="e">
        <f t="shared" si="32"/>
        <v>#DIV/0!</v>
      </c>
      <c r="AK21" s="86" t="e">
        <f t="shared" si="32"/>
        <v>#DIV/0!</v>
      </c>
      <c r="AL21" s="86" t="e">
        <f t="shared" si="32"/>
        <v>#DIV/0!</v>
      </c>
      <c r="AM21" s="87" t="e">
        <f t="shared" si="32"/>
        <v>#DIV/0!</v>
      </c>
      <c r="AN21" s="87" t="e">
        <f t="shared" si="32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3">SUM(P20:P20)</f>
        <v>0</v>
      </c>
      <c r="Q22" s="90">
        <f t="shared" si="33"/>
        <v>0</v>
      </c>
      <c r="R22" s="96">
        <f t="shared" si="33"/>
        <v>0</v>
      </c>
      <c r="S22" s="90">
        <f t="shared" si="33"/>
        <v>0</v>
      </c>
      <c r="T22" s="90">
        <f t="shared" si="33"/>
        <v>0</v>
      </c>
      <c r="U22" s="96">
        <f t="shared" si="33"/>
        <v>0</v>
      </c>
      <c r="V22" s="97">
        <f t="shared" si="33"/>
        <v>0</v>
      </c>
      <c r="W22" s="90">
        <f t="shared" si="33"/>
        <v>0</v>
      </c>
      <c r="X22" s="90">
        <f t="shared" si="33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803</v>
      </c>
      <c r="L24" s="119"/>
      <c r="M24" s="119"/>
      <c r="N24" s="119"/>
      <c r="O24" s="119"/>
      <c r="P24" s="120">
        <f>P18+P22</f>
        <v>544</v>
      </c>
      <c r="Q24" s="118">
        <f>Q18+Q22</f>
        <v>15</v>
      </c>
      <c r="R24" s="121">
        <f>R18-R22</f>
        <v>529</v>
      </c>
      <c r="S24" s="118">
        <f t="shared" ref="S24:X24" si="34">S18+S22</f>
        <v>936447</v>
      </c>
      <c r="T24" s="118">
        <f t="shared" si="34"/>
        <v>-25467</v>
      </c>
      <c r="U24" s="121">
        <f t="shared" si="34"/>
        <v>910980</v>
      </c>
      <c r="V24" s="122">
        <f t="shared" si="34"/>
        <v>1</v>
      </c>
      <c r="W24" s="118">
        <f t="shared" si="34"/>
        <v>66570.990000000005</v>
      </c>
      <c r="X24" s="118">
        <f t="shared" si="34"/>
        <v>391721.39999999991</v>
      </c>
      <c r="Y24" s="123">
        <f>X24/U24</f>
        <v>0.42999999999999988</v>
      </c>
      <c r="Z24" s="118">
        <f>Z18+Z22</f>
        <v>98630.239999999991</v>
      </c>
      <c r="AA24" s="215">
        <f>'Юнит 01-04.01'!AA24+'Юнит 05-11.01'!AA24+'Юнит 12-18.01'!AA24+'Юнит 19-25.01'!AA24+'Юнит 26-31.01'!AA24</f>
        <v>239309.32999999996</v>
      </c>
      <c r="AB24" s="125"/>
      <c r="AC24" s="125">
        <f>SUM(AC3:AC20)</f>
        <v>0</v>
      </c>
      <c r="AD24" s="118">
        <f>AD18+AD22</f>
        <v>9109.8000000000011</v>
      </c>
      <c r="AE24" s="126">
        <f>AE18+AE22</f>
        <v>110277.82360500009</v>
      </c>
      <c r="AF24" s="127"/>
      <c r="AG24" s="128"/>
      <c r="AH24" s="129"/>
      <c r="AI24" s="129"/>
      <c r="AJ24" s="129"/>
      <c r="AK24" s="129">
        <f>AA25/P24</f>
        <v>439.90685661764701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239309.32999999996</v>
      </c>
      <c r="AB25" s="141"/>
      <c r="AC25" s="142"/>
      <c r="AE25" s="216">
        <f>Сводная!Y17+Сводная!R17+Сводная!S17+Сводная!T17+Сводная!V17-Сводная!U17-Сводная!W17-(AA26-AA25)</f>
        <v>110277.82360500004</v>
      </c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234669.74639500005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90" priority="19" operator="greaterThan">
      <formula>120</formula>
    </cfRule>
  </conditionalFormatting>
  <conditionalFormatting sqref="N23">
    <cfRule type="cellIs" dxfId="89" priority="18" operator="between">
      <formula>0.000001</formula>
      <formula>25</formula>
    </cfRule>
  </conditionalFormatting>
  <conditionalFormatting sqref="V1 V25:V28 V30:V1048576">
    <cfRule type="cellIs" dxfId="88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{595B29D4-CC8B-4B78-BA25-65EC4F0E875E}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{D84E7C30-3352-4E8B-BA2D-6B98DDDB9100}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{BEF3C194-6E56-49DF-B2D5-837AEEBC5B62}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{92854ACB-66CD-4BAD-936A-944DFA227649}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{E34C4847-1AA2-478C-8DBC-1C4118FAA856}</x14:id>
        </ext>
      </extLst>
    </cfRule>
  </conditionalFormatting>
  <conditionalFormatting sqref="P23">
    <cfRule type="cellIs" dxfId="87" priority="14" operator="greaterThan">
      <formula>120</formula>
    </cfRule>
  </conditionalFormatting>
  <conditionalFormatting sqref="Q23">
    <cfRule type="cellIs" dxfId="86" priority="13" operator="greaterThan">
      <formula>120</formula>
    </cfRule>
  </conditionalFormatting>
  <conditionalFormatting sqref="R23">
    <cfRule type="cellIs" dxfId="85" priority="12" operator="greaterThan">
      <formula>120</formula>
    </cfRule>
  </conditionalFormatting>
  <conditionalFormatting sqref="S23">
    <cfRule type="cellIs" dxfId="84" priority="11" operator="greaterThan">
      <formula>120</formula>
    </cfRule>
  </conditionalFormatting>
  <conditionalFormatting sqref="T23">
    <cfRule type="cellIs" dxfId="83" priority="10" operator="greaterThan">
      <formula>120</formula>
    </cfRule>
  </conditionalFormatting>
  <conditionalFormatting sqref="U23">
    <cfRule type="cellIs" dxfId="82" priority="9" operator="greaterThan">
      <formula>120</formula>
    </cfRule>
  </conditionalFormatting>
  <conditionalFormatting sqref="V23">
    <cfRule type="cellIs" dxfId="81" priority="8" operator="greaterThan">
      <formula>120</formula>
    </cfRule>
  </conditionalFormatting>
  <conditionalFormatting sqref="W23">
    <cfRule type="cellIs" dxfId="80" priority="7" operator="greaterThan">
      <formula>120</formula>
    </cfRule>
  </conditionalFormatting>
  <conditionalFormatting sqref="X23">
    <cfRule type="cellIs" dxfId="79" priority="6" operator="greaterThan">
      <formula>120</formula>
    </cfRule>
  </conditionalFormatting>
  <conditionalFormatting sqref="Z23">
    <cfRule type="cellIs" dxfId="78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{F0C5704F-EAE1-429B-900B-A62C26188E8F}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{2CA934DC-B5AB-4D24-B418-32148E1874F9}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{E8BF6CA3-02CD-4D91-A523-61B76EC974DA}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{4A009C92-6EC6-4903-8817-A5BE66BC4E1B}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{6B34BFD3-3E6D-49BF-B40D-92B093DD0BDD}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{977166D2-6C43-4D27-A6A1-F4DD35769332}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{BE01E87A-92BE-44ED-AB4A-8D6E81FAEFEB}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{930437F0-C1AC-4566-A916-C8C41BD5CE61}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{980C68B2-7D9C-423B-B76C-9C29E8740EF0}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{6F4F3B37-6DDC-43D6-A17C-A470A83A219D}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{7BB9F41F-FE34-46D5-B946-E054CE1180DD}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{4CC1CA86-69D9-47AD-926E-62A26B324525}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{293A9469-9EBA-46DD-A902-5C1F385C2B00}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{19A884CB-CFC1-4434-84F1-1AA3F3511906}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{6C35E296-093C-44B5-AC4D-AA5936B1A659}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{524AC427-FE7E-41B2-BBC1-5D090F81FA0D}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595B29D4-CC8B-4B78-BA25-65EC4F0E875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D84E7C30-3352-4E8B-BA2D-6B98DDDB91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EF3C194-6E56-49DF-B2D5-837AEEBC5B6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2854ACB-66CD-4BAD-936A-944DFA22764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E34C4847-1AA2-478C-8DBC-1C4118FAA85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F0C5704F-EAE1-429B-900B-A62C26188E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CA934DC-B5AB-4D24-B418-32148E1874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E8BF6CA3-02CD-4D91-A523-61B76EC974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4A009C92-6EC6-4903-8817-A5BE66BC4E1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6B34BFD3-3E6D-49BF-B40D-92B093DD0B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977166D2-6C43-4D27-A6A1-F4DD3576933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E01E87A-92BE-44ED-AB4A-8D6E81FAEFE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930437F0-C1AC-4566-A916-C8C41BD5CE6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80C68B2-7D9C-423B-B76C-9C29E8740EF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6F4F3B37-6DDC-43D6-A17C-A470A83A219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7BB9F41F-FE34-46D5-B946-E054CE1180D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4CC1CA86-69D9-47AD-926E-62A26B32452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93A9469-9EBA-46DD-A902-5C1F385C2B0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19A884CB-CFC1-4434-84F1-1AA3F351190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6C35E296-093C-44B5-AC4D-AA5936B1A6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24AC427-FE7E-41B2-BBC1-5D090F81FA0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7BDD22-14DA-40CB-BFFB-CD0DBC643B0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Z26" sqref="Z26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1351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f>'Юнит 26-31.01'!K3+'Юнит 01.02'!K3</f>
        <v>5</v>
      </c>
      <c r="L3" s="36"/>
      <c r="M3" s="36"/>
      <c r="N3" s="37">
        <f t="shared" ref="N3:N7" si="1">K3/7</f>
        <v>0.7142857142857143</v>
      </c>
      <c r="O3" s="38">
        <f t="shared" ref="O3:O7" si="2">R3/7</f>
        <v>0.14285714285714285</v>
      </c>
      <c r="P3" s="32">
        <f>'Юнит 26-31.01'!P3+'Юнит 01.02'!P3</f>
        <v>1</v>
      </c>
      <c r="Q3" s="32">
        <f>'Юнит 26-31.01'!Q3+'Юнит 01.02'!Q3</f>
        <v>0</v>
      </c>
      <c r="R3" s="40">
        <f t="shared" ref="R3:R7" si="3">P3-Q3</f>
        <v>1</v>
      </c>
      <c r="S3" s="32">
        <f>'Юнит 26-31.01'!S3+'Юнит 01.02'!S3</f>
        <v>1750</v>
      </c>
      <c r="T3" s="32">
        <f>'Юнит 26-31.01'!T3+'Юнит 01.02'!T3</f>
        <v>0</v>
      </c>
      <c r="U3" s="40">
        <f t="shared" ref="U3:U7" si="4">S3+T3</f>
        <v>1750</v>
      </c>
      <c r="V3" s="43">
        <f t="shared" ref="V3:V14" si="5">U3/$U$24</f>
        <v>7.6224492018206746E-3</v>
      </c>
      <c r="W3" s="44">
        <f t="shared" ref="W3:W7" si="6">R3*H3</f>
        <v>142.97999999999999</v>
      </c>
      <c r="X3" s="32">
        <f>'Юнит 26-31.01'!X3+'Юнит 01.02'!X3</f>
        <v>752.5</v>
      </c>
      <c r="Y3" s="45">
        <f t="shared" ref="Y3:Y16" si="7">IF(U3=0,0,X3/U3)</f>
        <v>0.43</v>
      </c>
      <c r="Z3" s="32">
        <f>'Юнит 26-31.01'!Z3+'Юнит 01.02'!Z3</f>
        <v>224.91000000000003</v>
      </c>
      <c r="AA3" s="32">
        <f>'Юнит 26-31.01'!AA3+'Юнит 01.02'!AA3</f>
        <v>460</v>
      </c>
      <c r="AB3" s="42"/>
      <c r="AC3" s="42"/>
      <c r="AD3" s="46">
        <f t="shared" ref="AD3:AD16" si="8">U3*1%</f>
        <v>17.5</v>
      </c>
      <c r="AE3" s="47">
        <f t="shared" ref="AE3:AE7" si="9">U3-W3-X3-Z3-AA3-AB3-AC3-AD3</f>
        <v>152.1099999999999</v>
      </c>
      <c r="AF3" s="46"/>
      <c r="AG3" s="48">
        <f t="shared" ref="AG3:AG7" si="10">IF(R3=0,0,U3/R3)</f>
        <v>1750</v>
      </c>
      <c r="AH3" s="49">
        <f t="shared" ref="AH3:AH7" si="11">H3</f>
        <v>142.97999999999999</v>
      </c>
      <c r="AI3" s="49">
        <f t="shared" ref="AI3:AI7" si="12">IF(R3=0,0,X3/R3)</f>
        <v>752.5</v>
      </c>
      <c r="AJ3" s="49">
        <f t="shared" ref="AJ3:AJ7" si="13">IF(P3=0,Z3/1,Z3/P3)</f>
        <v>224.91000000000003</v>
      </c>
      <c r="AK3" s="49">
        <f t="shared" ref="AK3:AK7" si="14">IF(P3=0,0,AA3/P3)</f>
        <v>460</v>
      </c>
      <c r="AL3" s="49">
        <f>_xlfn.IFS(R3=0,AE3,R3&lt;0,AE3/-R3,R3&gt;0,AE3/R3)</f>
        <v>152.1099999999999</v>
      </c>
      <c r="AM3" s="50">
        <f t="shared" ref="AM3:AM7" si="15">IF(AG3=0,0,AL3/AG3)</f>
        <v>8.6919999999999942E-2</v>
      </c>
      <c r="AN3" s="51">
        <f t="shared" ref="AN3:AN7" si="16">IF(AH3=0,0,AL3/AH3)</f>
        <v>1.0638550846272199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f>'Юнит 26-31.01'!K4+'Юнит 01.02'!K4</f>
        <v>4</v>
      </c>
      <c r="L4" s="36"/>
      <c r="M4" s="36"/>
      <c r="N4" s="37">
        <f t="shared" si="1"/>
        <v>0.5714285714285714</v>
      </c>
      <c r="O4" s="38">
        <f t="shared" si="2"/>
        <v>0.7142857142857143</v>
      </c>
      <c r="P4" s="32">
        <f>'Юнит 26-31.01'!P4+'Юнит 01.02'!P4</f>
        <v>5</v>
      </c>
      <c r="Q4" s="32">
        <f>'Юнит 26-31.01'!Q4+'Юнит 01.02'!Q4</f>
        <v>0</v>
      </c>
      <c r="R4" s="40">
        <f t="shared" si="3"/>
        <v>5</v>
      </c>
      <c r="S4" s="32">
        <f>'Юнит 26-31.01'!S4+'Юнит 01.02'!S4</f>
        <v>8750</v>
      </c>
      <c r="T4" s="32">
        <f>'Юнит 26-31.01'!T4+'Юнит 01.02'!T4</f>
        <v>0</v>
      </c>
      <c r="U4" s="40">
        <f t="shared" si="4"/>
        <v>8750</v>
      </c>
      <c r="V4" s="43">
        <f t="shared" si="5"/>
        <v>3.8112246009103373E-2</v>
      </c>
      <c r="W4" s="44">
        <f t="shared" si="6"/>
        <v>615.45000000000005</v>
      </c>
      <c r="X4" s="32">
        <f>'Юнит 26-31.01'!X4+'Юнит 01.02'!X4</f>
        <v>3762.5</v>
      </c>
      <c r="Y4" s="45">
        <f t="shared" si="7"/>
        <v>0.43</v>
      </c>
      <c r="Z4" s="32">
        <f>'Юнит 26-31.01'!Z4+'Юнит 01.02'!Z4</f>
        <v>787.5</v>
      </c>
      <c r="AA4" s="32">
        <f>'Юнит 26-31.01'!AA4+'Юнит 01.02'!AA4</f>
        <v>175</v>
      </c>
      <c r="AB4" s="42"/>
      <c r="AC4" s="42"/>
      <c r="AD4" s="46">
        <f t="shared" si="8"/>
        <v>87.5</v>
      </c>
      <c r="AE4" s="47">
        <f t="shared" si="9"/>
        <v>3322.05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157.5</v>
      </c>
      <c r="AK4" s="49">
        <f t="shared" si="14"/>
        <v>35</v>
      </c>
      <c r="AL4" s="49">
        <f t="array" ref="AL4">_xlfn.IFS(R4=0,AE4,R4&lt;0,AE4/-R4,R4&gt;0,AE4/R4)</f>
        <v>664.41000000000008</v>
      </c>
      <c r="AM4" s="50">
        <f t="shared" si="15"/>
        <v>0.37966285714285719</v>
      </c>
      <c r="AN4" s="51">
        <f t="shared" si="16"/>
        <v>5.3977577382403128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f>'Юнит 26-31.01'!K5+'Юнит 01.02'!K5</f>
        <v>1</v>
      </c>
      <c r="L5" s="36"/>
      <c r="M5" s="36"/>
      <c r="N5" s="37">
        <f t="shared" si="1"/>
        <v>0.14285714285714285</v>
      </c>
      <c r="O5" s="38">
        <f t="shared" si="2"/>
        <v>0</v>
      </c>
      <c r="P5" s="32">
        <f>'Юнит 26-31.01'!P5+'Юнит 01.02'!P5</f>
        <v>0</v>
      </c>
      <c r="Q5" s="32">
        <f>'Юнит 26-31.01'!Q5+'Юнит 01.02'!Q5</f>
        <v>0</v>
      </c>
      <c r="R5" s="40">
        <f t="shared" si="3"/>
        <v>0</v>
      </c>
      <c r="S5" s="32">
        <f>'Юнит 26-31.01'!S5+'Юнит 01.02'!S5</f>
        <v>0</v>
      </c>
      <c r="T5" s="32">
        <f>'Юнит 26-31.01'!T5+'Юнит 01.02'!T5</f>
        <v>0</v>
      </c>
      <c r="U5" s="40">
        <f t="shared" si="4"/>
        <v>0</v>
      </c>
      <c r="V5" s="43">
        <f t="shared" si="5"/>
        <v>0</v>
      </c>
      <c r="W5" s="44">
        <f t="shared" si="6"/>
        <v>0</v>
      </c>
      <c r="X5" s="32">
        <f>'Юнит 26-31.01'!X5+'Юнит 01.02'!X5</f>
        <v>0</v>
      </c>
      <c r="Y5" s="45">
        <f t="shared" si="7"/>
        <v>0</v>
      </c>
      <c r="Z5" s="32">
        <f>'Юнит 26-31.01'!Z5+'Юнит 01.02'!Z5</f>
        <v>0</v>
      </c>
      <c r="AA5" s="32">
        <f>'Юнит 26-31.01'!AA5+'Юнит 01.02'!AA5</f>
        <v>0</v>
      </c>
      <c r="AB5" s="55"/>
      <c r="AC5" s="42"/>
      <c r="AD5" s="46">
        <f t="shared" si="8"/>
        <v>0</v>
      </c>
      <c r="AE5" s="47">
        <f t="shared" si="9"/>
        <v>0</v>
      </c>
      <c r="AF5" s="46"/>
      <c r="AG5" s="48">
        <f t="shared" si="10"/>
        <v>0</v>
      </c>
      <c r="AH5" s="49">
        <f t="shared" si="11"/>
        <v>123.09</v>
      </c>
      <c r="AI5" s="49">
        <f t="shared" si="12"/>
        <v>0</v>
      </c>
      <c r="AJ5" s="49">
        <f t="shared" si="13"/>
        <v>0</v>
      </c>
      <c r="AK5" s="49">
        <f t="shared" si="14"/>
        <v>0</v>
      </c>
      <c r="AL5" s="49">
        <f t="array" ref="AL5">_xlfn.IFS(R5=0,AE5,R5&lt;0,AE5/-R5,R5&gt;0,AE5/R5)</f>
        <v>0</v>
      </c>
      <c r="AM5" s="50">
        <f t="shared" si="15"/>
        <v>0</v>
      </c>
      <c r="AN5" s="51">
        <f t="shared" si="16"/>
        <v>0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f>'Юнит 26-31.01'!K6+'Юнит 01.02'!K6</f>
        <v>12</v>
      </c>
      <c r="L6" s="36"/>
      <c r="M6" s="36"/>
      <c r="N6" s="37">
        <f t="shared" si="1"/>
        <v>1.7142857142857142</v>
      </c>
      <c r="O6" s="38">
        <f t="shared" si="2"/>
        <v>0.8571428571428571</v>
      </c>
      <c r="P6" s="32">
        <f>'Юнит 26-31.01'!P6+'Юнит 01.02'!P6</f>
        <v>6</v>
      </c>
      <c r="Q6" s="32">
        <f>'Юнит 26-31.01'!Q6+'Юнит 01.02'!Q6</f>
        <v>0</v>
      </c>
      <c r="R6" s="40">
        <f t="shared" si="3"/>
        <v>6</v>
      </c>
      <c r="S6" s="32">
        <f>'Юнит 26-31.01'!S6+'Юнит 01.02'!S6</f>
        <v>10500</v>
      </c>
      <c r="T6" s="32">
        <f>'Юнит 26-31.01'!T6+'Юнит 01.02'!T6</f>
        <v>0</v>
      </c>
      <c r="U6" s="40">
        <f t="shared" si="4"/>
        <v>10500</v>
      </c>
      <c r="V6" s="43">
        <f t="shared" si="5"/>
        <v>4.5734695210924048E-2</v>
      </c>
      <c r="W6" s="44">
        <f t="shared" si="6"/>
        <v>738.54</v>
      </c>
      <c r="X6" s="32">
        <f>'Юнит 26-31.01'!X6+'Юнит 01.02'!X6</f>
        <v>4515</v>
      </c>
      <c r="Y6" s="45">
        <f t="shared" si="7"/>
        <v>0.43</v>
      </c>
      <c r="Z6" s="32">
        <f>'Юнит 26-31.01'!Z6+'Юнит 01.02'!Z6</f>
        <v>1132.5999999999999</v>
      </c>
      <c r="AA6" s="32">
        <f>'Юнит 26-31.01'!AA6+'Юнит 01.02'!AA6</f>
        <v>2817.5</v>
      </c>
      <c r="AB6" s="55"/>
      <c r="AC6" s="42"/>
      <c r="AD6" s="46">
        <f t="shared" si="8"/>
        <v>105</v>
      </c>
      <c r="AE6" s="47">
        <f t="shared" si="9"/>
        <v>1191.3599999999988</v>
      </c>
      <c r="AF6" s="46"/>
      <c r="AG6" s="48">
        <f t="shared" si="10"/>
        <v>1750</v>
      </c>
      <c r="AH6" s="49">
        <f t="shared" si="11"/>
        <v>123.09</v>
      </c>
      <c r="AI6" s="49">
        <f t="shared" si="12"/>
        <v>752.5</v>
      </c>
      <c r="AJ6" s="49">
        <f t="shared" si="13"/>
        <v>188.76666666666665</v>
      </c>
      <c r="AK6" s="49">
        <f t="shared" si="14"/>
        <v>469.58333333333331</v>
      </c>
      <c r="AL6" s="49">
        <f t="array" ref="AL6">_xlfn.IFS(R6=0,AE6,R6&lt;0,AE6/-R6,R6&gt;0,AE6/R6)</f>
        <v>198.5599999999998</v>
      </c>
      <c r="AM6" s="50">
        <f t="shared" si="15"/>
        <v>0.11346285714285703</v>
      </c>
      <c r="AN6" s="51">
        <f t="shared" si="16"/>
        <v>1.6131286050857081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f>'Юнит 26-31.01'!K7+'Юнит 01.02'!K7</f>
        <v>34</v>
      </c>
      <c r="L7" s="36"/>
      <c r="M7" s="36"/>
      <c r="N7" s="37">
        <f t="shared" si="1"/>
        <v>4.8571428571428568</v>
      </c>
      <c r="O7" s="38">
        <f t="shared" si="2"/>
        <v>2.2857142857142856</v>
      </c>
      <c r="P7" s="32">
        <f>'Юнит 26-31.01'!P7+'Юнит 01.02'!P7</f>
        <v>18</v>
      </c>
      <c r="Q7" s="32">
        <f>'Юнит 26-31.01'!Q7+'Юнит 01.02'!Q7</f>
        <v>2</v>
      </c>
      <c r="R7" s="40">
        <f t="shared" si="3"/>
        <v>16</v>
      </c>
      <c r="S7" s="32">
        <f>'Юнит 26-31.01'!S7+'Юнит 01.02'!S7</f>
        <v>31325.000000000004</v>
      </c>
      <c r="T7" s="32">
        <f>'Юнит 26-31.01'!T7+'Юнит 01.02'!T7</f>
        <v>-3500</v>
      </c>
      <c r="U7" s="40">
        <f t="shared" si="4"/>
        <v>27825.000000000004</v>
      </c>
      <c r="V7" s="43">
        <f t="shared" si="5"/>
        <v>0.12119694230894874</v>
      </c>
      <c r="W7" s="44">
        <f t="shared" si="6"/>
        <v>1875.84</v>
      </c>
      <c r="X7" s="32">
        <f>'Юнит 26-31.01'!X7+'Юнит 01.02'!X7</f>
        <v>11964.75</v>
      </c>
      <c r="Y7" s="45">
        <f t="shared" si="7"/>
        <v>0.42999999999999994</v>
      </c>
      <c r="Z7" s="32">
        <f>'Юнит 26-31.01'!Z7+'Юнит 01.02'!Z7</f>
        <v>3430.619999999999</v>
      </c>
      <c r="AA7" s="32">
        <f>'Юнит 26-31.01'!AA7+'Юнит 01.02'!AA7</f>
        <v>10748.339575</v>
      </c>
      <c r="AB7" s="55"/>
      <c r="AC7" s="42"/>
      <c r="AD7" s="46">
        <f t="shared" si="8"/>
        <v>278.25000000000006</v>
      </c>
      <c r="AE7" s="47">
        <f t="shared" si="9"/>
        <v>-472.79957499999551</v>
      </c>
      <c r="AF7" s="46"/>
      <c r="AG7" s="48">
        <f t="shared" si="10"/>
        <v>1739.0625000000002</v>
      </c>
      <c r="AH7" s="49">
        <f t="shared" si="11"/>
        <v>117.24</v>
      </c>
      <c r="AI7" s="49">
        <f t="shared" si="12"/>
        <v>747.796875</v>
      </c>
      <c r="AJ7" s="49">
        <f t="shared" si="13"/>
        <v>190.58999999999995</v>
      </c>
      <c r="AK7" s="49">
        <f t="shared" si="14"/>
        <v>597.12997638888885</v>
      </c>
      <c r="AL7" s="49">
        <f t="array" ref="AL7">_xlfn.IFS(R7=0,AE7,R7&lt;0,AE7/-R7,R7&gt;0,AE7/R7)</f>
        <v>-29.54997343749972</v>
      </c>
      <c r="AM7" s="50">
        <f t="shared" si="15"/>
        <v>-1.6991898472596422E-2</v>
      </c>
      <c r="AN7" s="51">
        <f t="shared" si="16"/>
        <v>-0.25204685634168988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f>'Юнит 26-31.01'!K8+'Юнит 01.02'!K8</f>
        <v>25</v>
      </c>
      <c r="L8" s="36"/>
      <c r="M8" s="36"/>
      <c r="N8" s="37">
        <f>K8/7</f>
        <v>3.5714285714285716</v>
      </c>
      <c r="O8" s="38">
        <f>R8/7</f>
        <v>1.4285714285714286</v>
      </c>
      <c r="P8" s="32">
        <f>'Юнит 26-31.01'!P8+'Юнит 01.02'!P8</f>
        <v>10</v>
      </c>
      <c r="Q8" s="32">
        <f>'Юнит 26-31.01'!Q8+'Юнит 01.02'!Q8</f>
        <v>0</v>
      </c>
      <c r="R8" s="40">
        <f>P8-Q8</f>
        <v>10</v>
      </c>
      <c r="S8" s="32">
        <f>'Юнит 26-31.01'!S8+'Юнит 01.02'!S8</f>
        <v>17500.000000000004</v>
      </c>
      <c r="T8" s="32">
        <f>'Юнит 26-31.01'!T8+'Юнит 01.02'!T8</f>
        <v>0</v>
      </c>
      <c r="U8" s="40">
        <f>S8+T8</f>
        <v>17500.000000000004</v>
      </c>
      <c r="V8" s="43">
        <f t="shared" si="5"/>
        <v>7.622449201820676E-2</v>
      </c>
      <c r="W8" s="44">
        <f>R8*H8</f>
        <v>1698.8999999999999</v>
      </c>
      <c r="X8" s="32">
        <f>'Юнит 26-31.01'!X8+'Юнит 01.02'!X8</f>
        <v>7525</v>
      </c>
      <c r="Y8" s="45">
        <f t="shared" si="7"/>
        <v>0.42999999999999994</v>
      </c>
      <c r="Z8" s="32">
        <f>'Юнит 26-31.01'!Z8+'Юнит 01.02'!Z8</f>
        <v>1682.2399999999998</v>
      </c>
      <c r="AA8" s="32">
        <f>'Юнит 26-31.01'!AA8+'Юнит 01.02'!AA8</f>
        <v>4569.3327710000003</v>
      </c>
      <c r="AB8" s="55"/>
      <c r="AC8" s="42"/>
      <c r="AD8" s="46">
        <f t="shared" si="8"/>
        <v>175.00000000000003</v>
      </c>
      <c r="AE8" s="47">
        <f>U8-W8-X8-Z8-AA8-AB8-AC8-AD8</f>
        <v>1849.5272290000039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168.22399999999999</v>
      </c>
      <c r="AK8" s="49">
        <f>IF(P8=0,0,AA8/P8)</f>
        <v>456.93327710000005</v>
      </c>
      <c r="AL8" s="49">
        <f t="array" ref="AL8">_xlfn.IFS(R8=0,AE8,R8&lt;0,AE8/-R8,R8&gt;0,AE8/R8)</f>
        <v>184.9527229000004</v>
      </c>
      <c r="AM8" s="50">
        <f>IF(AG8=0,0,AL8/AG8)</f>
        <v>0.10568727022857163</v>
      </c>
      <c r="AN8" s="51">
        <f>IF(AH8=0,0,AL8/AH8)</f>
        <v>1.0886616216375327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f>'Юнит 26-31.01'!K9+'Юнит 01.02'!K9</f>
        <v>6</v>
      </c>
      <c r="L9" s="36"/>
      <c r="M9" s="36"/>
      <c r="N9" s="37">
        <f t="shared" ref="N9:N16" si="18">K9/7</f>
        <v>0.8571428571428571</v>
      </c>
      <c r="O9" s="38">
        <f t="shared" ref="O9:O16" si="19">R9/7</f>
        <v>0.14285714285714285</v>
      </c>
      <c r="P9" s="32">
        <f>'Юнит 26-31.01'!P9+'Юнит 01.02'!P9</f>
        <v>1</v>
      </c>
      <c r="Q9" s="32">
        <f>'Юнит 26-31.01'!Q9+'Юнит 01.02'!Q9</f>
        <v>0</v>
      </c>
      <c r="R9" s="40">
        <f t="shared" ref="R9:R16" si="20">P9-Q9</f>
        <v>1</v>
      </c>
      <c r="S9" s="32">
        <f>'Юнит 26-31.01'!S9+'Юнит 01.02'!S9</f>
        <v>2000</v>
      </c>
      <c r="T9" s="32">
        <f>'Юнит 26-31.01'!T9+'Юнит 01.02'!T9</f>
        <v>0</v>
      </c>
      <c r="U9" s="40">
        <f t="shared" ref="U9:U16" si="21">S9+T9</f>
        <v>2000</v>
      </c>
      <c r="V9" s="43">
        <f t="shared" si="5"/>
        <v>8.7113705163664856E-3</v>
      </c>
      <c r="W9" s="44">
        <f t="shared" ref="W9:W16" si="22">R9*H9</f>
        <v>123</v>
      </c>
      <c r="X9" s="32">
        <f>'Юнит 26-31.01'!X9+'Юнит 01.02'!X9</f>
        <v>860</v>
      </c>
      <c r="Y9" s="45">
        <f t="shared" si="7"/>
        <v>0.43</v>
      </c>
      <c r="Z9" s="32">
        <f>'Юнит 26-31.01'!Z9+'Юнит 01.02'!Z9</f>
        <v>155.81</v>
      </c>
      <c r="AA9" s="32">
        <f>'Юнит 26-31.01'!AA9+'Юнит 01.02'!AA9</f>
        <v>556.81945599999995</v>
      </c>
      <c r="AB9" s="55"/>
      <c r="AC9" s="42"/>
      <c r="AD9" s="46">
        <f t="shared" si="8"/>
        <v>20</v>
      </c>
      <c r="AE9" s="47">
        <f t="shared" ref="AE9:AE16" si="23">U9-W9-X9-Z9-AA9-AB9-AC9-AD9</f>
        <v>284.37054400000011</v>
      </c>
      <c r="AF9" s="46"/>
      <c r="AG9" s="48">
        <f t="shared" ref="AG9:AG16" si="24">IF(R9=0,0,U9/R9)</f>
        <v>2000</v>
      </c>
      <c r="AH9" s="49">
        <f t="shared" ref="AH9:AH16" si="25">H9</f>
        <v>123</v>
      </c>
      <c r="AI9" s="49">
        <f t="shared" ref="AI9:AI16" si="26">IF(R9=0,0,X9/R9)</f>
        <v>860</v>
      </c>
      <c r="AJ9" s="49">
        <f t="shared" ref="AJ9:AJ16" si="27">IF(P9=0,Z9/1,Z9/P9)</f>
        <v>155.81</v>
      </c>
      <c r="AK9" s="49">
        <f t="shared" ref="AK9:AK16" si="28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29">IF(AG9=0,0,AL9/AG9)</f>
        <v>0.14218527200000006</v>
      </c>
      <c r="AN9" s="51">
        <f t="shared" ref="AN9:AN16" si="30">IF(AH9=0,0,AL9/AH9)</f>
        <v>2.3119556422764238</v>
      </c>
      <c r="AP9" s="53">
        <f t="shared" ref="AP9:AP16" si="31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f>'Юнит 26-31.01'!K10+'Юнит 01.02'!K10</f>
        <v>8</v>
      </c>
      <c r="L10" s="36"/>
      <c r="M10" s="36"/>
      <c r="N10" s="37">
        <f t="shared" si="18"/>
        <v>1.1428571428571428</v>
      </c>
      <c r="O10" s="38">
        <f t="shared" si="19"/>
        <v>0.14285714285714285</v>
      </c>
      <c r="P10" s="32">
        <f>'Юнит 26-31.01'!P10+'Юнит 01.02'!P10</f>
        <v>1</v>
      </c>
      <c r="Q10" s="32">
        <f>'Юнит 26-31.01'!Q10+'Юнит 01.02'!Q10</f>
        <v>0</v>
      </c>
      <c r="R10" s="40">
        <f t="shared" si="20"/>
        <v>1</v>
      </c>
      <c r="S10" s="32">
        <f>'Юнит 26-31.01'!S10+'Юнит 01.02'!S10</f>
        <v>2000</v>
      </c>
      <c r="T10" s="32">
        <f>'Юнит 26-31.01'!T10+'Юнит 01.02'!T10</f>
        <v>0</v>
      </c>
      <c r="U10" s="40">
        <f t="shared" si="21"/>
        <v>2000</v>
      </c>
      <c r="V10" s="43">
        <f t="shared" si="5"/>
        <v>8.7113705163664856E-3</v>
      </c>
      <c r="W10" s="44">
        <f t="shared" si="22"/>
        <v>123</v>
      </c>
      <c r="X10" s="32">
        <f>'Юнит 26-31.01'!X10+'Юнит 01.02'!X10</f>
        <v>860</v>
      </c>
      <c r="Y10" s="45">
        <f t="shared" si="7"/>
        <v>0.43</v>
      </c>
      <c r="Z10" s="32">
        <f>'Юнит 26-31.01'!Z10+'Юнит 01.02'!Z10</f>
        <v>155.81</v>
      </c>
      <c r="AA10" s="32">
        <f>'Юнит 26-31.01'!AA10+'Юнит 01.02'!AA10</f>
        <v>1804.8668980000002</v>
      </c>
      <c r="AB10" s="55"/>
      <c r="AC10" s="42"/>
      <c r="AD10" s="46">
        <f t="shared" si="8"/>
        <v>20</v>
      </c>
      <c r="AE10" s="47">
        <f t="shared" si="23"/>
        <v>-963.67689800000016</v>
      </c>
      <c r="AF10" s="46"/>
      <c r="AG10" s="48">
        <f t="shared" si="24"/>
        <v>2000</v>
      </c>
      <c r="AH10" s="49">
        <f t="shared" si="25"/>
        <v>123</v>
      </c>
      <c r="AI10" s="49">
        <f t="shared" si="26"/>
        <v>860</v>
      </c>
      <c r="AJ10" s="49">
        <f t="shared" si="27"/>
        <v>155.81</v>
      </c>
      <c r="AK10" s="49">
        <f t="shared" si="28"/>
        <v>1804.8668980000002</v>
      </c>
      <c r="AL10" s="49">
        <f t="array" ref="AL10">_xlfn.IFS(R10=0,AE10,R10&lt;0,AE10/-R10,R10&gt;0,AE10/R10)</f>
        <v>-963.67689800000016</v>
      </c>
      <c r="AM10" s="50">
        <f t="shared" si="29"/>
        <v>-0.48183844900000006</v>
      </c>
      <c r="AN10" s="51">
        <f t="shared" si="30"/>
        <v>-7.8347715284552857</v>
      </c>
      <c r="AP10" s="53">
        <f t="shared" si="31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f>'Юнит 26-31.01'!K11+'Юнит 01.02'!K11</f>
        <v>67</v>
      </c>
      <c r="L11" s="36"/>
      <c r="M11" s="36"/>
      <c r="N11" s="37">
        <f t="shared" si="18"/>
        <v>9.5714285714285712</v>
      </c>
      <c r="O11" s="38">
        <f t="shared" si="19"/>
        <v>6.8571428571428568</v>
      </c>
      <c r="P11" s="32">
        <f>'Юнит 26-31.01'!P11+'Юнит 01.02'!P11</f>
        <v>48</v>
      </c>
      <c r="Q11" s="32">
        <f>'Юнит 26-31.01'!Q11+'Юнит 01.02'!Q11</f>
        <v>0</v>
      </c>
      <c r="R11" s="40">
        <f t="shared" si="20"/>
        <v>48</v>
      </c>
      <c r="S11" s="32">
        <f>'Юнит 26-31.01'!S11+'Юнит 01.02'!S11</f>
        <v>86387.000000000029</v>
      </c>
      <c r="T11" s="32">
        <f>'Юнит 26-31.01'!T11+'Юнит 01.02'!T11</f>
        <v>0</v>
      </c>
      <c r="U11" s="40">
        <f t="shared" si="21"/>
        <v>86387.000000000029</v>
      </c>
      <c r="V11" s="43">
        <f t="shared" si="5"/>
        <v>0.37627458239867589</v>
      </c>
      <c r="W11" s="44">
        <f t="shared" si="22"/>
        <v>5904</v>
      </c>
      <c r="X11" s="32">
        <f>'Юнит 26-31.01'!X11+'Юнит 01.02'!X11</f>
        <v>37146.410000000003</v>
      </c>
      <c r="Y11" s="45">
        <f t="shared" si="7"/>
        <v>0.42999999999999988</v>
      </c>
      <c r="Z11" s="32">
        <f>'Юнит 26-31.01'!Z11+'Юнит 01.02'!Z11</f>
        <v>8161.7199999999966</v>
      </c>
      <c r="AA11" s="32">
        <f>'Юнит 26-31.01'!AA11+'Юнит 01.02'!AA11</f>
        <v>18199.939104000001</v>
      </c>
      <c r="AB11" s="55"/>
      <c r="AC11" s="42"/>
      <c r="AD11" s="46">
        <f t="shared" si="8"/>
        <v>863.87000000000035</v>
      </c>
      <c r="AE11" s="47">
        <f t="shared" si="23"/>
        <v>16111.06089600003</v>
      </c>
      <c r="AF11" s="46"/>
      <c r="AG11" s="48">
        <f t="shared" si="24"/>
        <v>1799.7291666666672</v>
      </c>
      <c r="AH11" s="49">
        <f t="shared" si="25"/>
        <v>123</v>
      </c>
      <c r="AI11" s="49">
        <f t="shared" si="26"/>
        <v>773.8835416666667</v>
      </c>
      <c r="AJ11" s="49">
        <f t="shared" si="27"/>
        <v>170.03583333333327</v>
      </c>
      <c r="AK11" s="49">
        <f t="shared" si="28"/>
        <v>379.16539800000004</v>
      </c>
      <c r="AL11" s="49">
        <f t="array" ref="AL11">_xlfn.IFS(R11=0,AE11,R11&lt;0,AE11/-R11,R11&gt;0,AE11/R11)</f>
        <v>335.64710200000064</v>
      </c>
      <c r="AM11" s="50">
        <f t="shared" si="29"/>
        <v>0.1864986733652057</v>
      </c>
      <c r="AN11" s="51">
        <f t="shared" si="30"/>
        <v>2.7288382276422816</v>
      </c>
      <c r="AP11" s="53">
        <f t="shared" si="31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f>'Юнит 26-31.01'!K12+'Юнит 01.02'!K12</f>
        <v>5</v>
      </c>
      <c r="L12" s="36"/>
      <c r="M12" s="36"/>
      <c r="N12" s="37">
        <f t="shared" si="18"/>
        <v>0.7142857142857143</v>
      </c>
      <c r="O12" s="38">
        <f t="shared" si="19"/>
        <v>0.14285714285714285</v>
      </c>
      <c r="P12" s="32">
        <f>'Юнит 26-31.01'!P12+'Юнит 01.02'!P12</f>
        <v>1</v>
      </c>
      <c r="Q12" s="32">
        <f>'Юнит 26-31.01'!Q12+'Юнит 01.02'!Q12</f>
        <v>0</v>
      </c>
      <c r="R12" s="40">
        <f t="shared" si="20"/>
        <v>1</v>
      </c>
      <c r="S12" s="32">
        <f>'Юнит 26-31.01'!S12+'Юнит 01.02'!S12</f>
        <v>2000</v>
      </c>
      <c r="T12" s="32">
        <f>'Юнит 26-31.01'!T12+'Юнит 01.02'!T12</f>
        <v>0</v>
      </c>
      <c r="U12" s="40">
        <f t="shared" si="21"/>
        <v>2000</v>
      </c>
      <c r="V12" s="43">
        <f t="shared" si="5"/>
        <v>8.7113705163664856E-3</v>
      </c>
      <c r="W12" s="44">
        <f t="shared" si="22"/>
        <v>117</v>
      </c>
      <c r="X12" s="32">
        <f>'Юнит 26-31.01'!X12+'Юнит 01.02'!X12</f>
        <v>860</v>
      </c>
      <c r="Y12" s="45">
        <f t="shared" si="7"/>
        <v>0.43</v>
      </c>
      <c r="Z12" s="32">
        <f>'Юнит 26-31.01'!Z12+'Юнит 01.02'!Z12</f>
        <v>155.81</v>
      </c>
      <c r="AA12" s="32">
        <f>'Юнит 26-31.01'!AA12+'Юнит 01.02'!AA12</f>
        <v>555.84385799999995</v>
      </c>
      <c r="AB12" s="55"/>
      <c r="AC12" s="42"/>
      <c r="AD12" s="46">
        <f t="shared" si="8"/>
        <v>20</v>
      </c>
      <c r="AE12" s="47">
        <f t="shared" si="23"/>
        <v>291.3461420000001</v>
      </c>
      <c r="AF12" s="46"/>
      <c r="AG12" s="48">
        <f t="shared" si="24"/>
        <v>2000</v>
      </c>
      <c r="AH12" s="49">
        <f t="shared" si="25"/>
        <v>117</v>
      </c>
      <c r="AI12" s="49">
        <f t="shared" si="26"/>
        <v>860</v>
      </c>
      <c r="AJ12" s="49">
        <f t="shared" si="27"/>
        <v>155.81</v>
      </c>
      <c r="AK12" s="49">
        <f t="shared" si="28"/>
        <v>555.84385799999995</v>
      </c>
      <c r="AL12" s="49">
        <f t="array" ref="AL12">_xlfn.IFS(R12=0,AE12,R12&lt;0,AE12/-R12,R12&gt;0,AE12/R12)</f>
        <v>291.3461420000001</v>
      </c>
      <c r="AM12" s="50">
        <f t="shared" si="29"/>
        <v>0.14567307100000004</v>
      </c>
      <c r="AN12" s="51">
        <f t="shared" si="30"/>
        <v>2.4901379658119667</v>
      </c>
      <c r="AP12" s="53">
        <f t="shared" si="31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f>'Юнит 26-31.01'!K13+'Юнит 01.02'!K13</f>
        <v>4</v>
      </c>
      <c r="L13" s="36"/>
      <c r="M13" s="36"/>
      <c r="N13" s="37">
        <f t="shared" si="18"/>
        <v>0.5714285714285714</v>
      </c>
      <c r="O13" s="38">
        <f t="shared" si="19"/>
        <v>0.14285714285714285</v>
      </c>
      <c r="P13" s="32">
        <f>'Юнит 26-31.01'!P13+'Юнит 01.02'!P13</f>
        <v>1</v>
      </c>
      <c r="Q13" s="32">
        <f>'Юнит 26-31.01'!Q13+'Юнит 01.02'!Q13</f>
        <v>0</v>
      </c>
      <c r="R13" s="40">
        <f t="shared" si="20"/>
        <v>1</v>
      </c>
      <c r="S13" s="32">
        <f>'Юнит 26-31.01'!S13+'Юнит 01.02'!S13</f>
        <v>2000</v>
      </c>
      <c r="T13" s="32">
        <f>'Юнит 26-31.01'!T13+'Юнит 01.02'!T13</f>
        <v>0</v>
      </c>
      <c r="U13" s="40">
        <f t="shared" si="21"/>
        <v>2000</v>
      </c>
      <c r="V13" s="43">
        <f t="shared" si="5"/>
        <v>8.7113705163664856E-3</v>
      </c>
      <c r="W13" s="44">
        <f t="shared" si="22"/>
        <v>123</v>
      </c>
      <c r="X13" s="32">
        <f>'Юнит 26-31.01'!X13+'Юнит 01.02'!X13</f>
        <v>860</v>
      </c>
      <c r="Y13" s="45">
        <f t="shared" si="7"/>
        <v>0.43</v>
      </c>
      <c r="Z13" s="32">
        <f>'Юнит 26-31.01'!Z13+'Юнит 01.02'!Z13</f>
        <v>155.81</v>
      </c>
      <c r="AA13" s="32">
        <f>'Юнит 26-31.01'!AA13+'Юнит 01.02'!AA13</f>
        <v>633.384051</v>
      </c>
      <c r="AB13" s="55"/>
      <c r="AC13" s="42"/>
      <c r="AD13" s="46">
        <f t="shared" si="8"/>
        <v>20</v>
      </c>
      <c r="AE13" s="47">
        <f t="shared" si="23"/>
        <v>207.80594900000006</v>
      </c>
      <c r="AF13" s="46"/>
      <c r="AG13" s="48">
        <f t="shared" si="24"/>
        <v>2000</v>
      </c>
      <c r="AH13" s="49">
        <f t="shared" si="25"/>
        <v>123</v>
      </c>
      <c r="AI13" s="49">
        <f t="shared" si="26"/>
        <v>860</v>
      </c>
      <c r="AJ13" s="49">
        <f t="shared" si="27"/>
        <v>155.81</v>
      </c>
      <c r="AK13" s="49">
        <f t="shared" si="28"/>
        <v>633.384051</v>
      </c>
      <c r="AL13" s="49">
        <f t="array" ref="AL13">_xlfn.IFS(R13=0,AE13,R13&lt;0,AE13/-R13,R13&gt;0,AE13/R13)</f>
        <v>207.80594900000006</v>
      </c>
      <c r="AM13" s="50">
        <f t="shared" si="29"/>
        <v>0.10390297450000002</v>
      </c>
      <c r="AN13" s="51">
        <f t="shared" si="30"/>
        <v>1.6894792601626021</v>
      </c>
      <c r="AP13" s="53">
        <f t="shared" si="31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f>'Юнит 26-31.01'!K14+'Юнит 01.02'!K14</f>
        <v>1</v>
      </c>
      <c r="N14" s="37">
        <f t="shared" si="18"/>
        <v>0.14285714285714285</v>
      </c>
      <c r="O14" s="38">
        <f t="shared" si="19"/>
        <v>0</v>
      </c>
      <c r="P14" s="32">
        <f>'Юнит 26-31.01'!P14+'Юнит 01.02'!P14</f>
        <v>0</v>
      </c>
      <c r="Q14" s="32">
        <f>'Юнит 26-31.01'!Q14+'Юнит 01.02'!Q14</f>
        <v>0</v>
      </c>
      <c r="R14" s="40">
        <f t="shared" si="20"/>
        <v>0</v>
      </c>
      <c r="S14" s="32">
        <f>'Юнит 26-31.01'!S14+'Юнит 01.02'!S14</f>
        <v>0</v>
      </c>
      <c r="T14" s="32">
        <f>'Юнит 26-31.01'!T14+'Юнит 01.02'!T14</f>
        <v>0</v>
      </c>
      <c r="U14" s="40">
        <f t="shared" si="21"/>
        <v>0</v>
      </c>
      <c r="V14" s="43">
        <f t="shared" si="5"/>
        <v>0</v>
      </c>
      <c r="W14" s="44">
        <f t="shared" si="22"/>
        <v>0</v>
      </c>
      <c r="X14" s="32">
        <f>'Юнит 26-31.01'!X14+'Юнит 01.02'!X14</f>
        <v>0</v>
      </c>
      <c r="Y14" s="45">
        <f t="shared" si="7"/>
        <v>0</v>
      </c>
      <c r="Z14" s="32">
        <f>'Юнит 26-31.01'!Z14+'Юнит 01.02'!Z14</f>
        <v>0</v>
      </c>
      <c r="AA14" s="32">
        <f>'Юнит 26-31.01'!AA14+'Юнит 01.02'!AA14</f>
        <v>807.06545600000004</v>
      </c>
      <c r="AB14" s="55"/>
      <c r="AC14" s="42"/>
      <c r="AD14" s="46">
        <f t="shared" si="8"/>
        <v>0</v>
      </c>
      <c r="AE14" s="47">
        <f t="shared" si="23"/>
        <v>-807.06545600000004</v>
      </c>
      <c r="AG14" s="48">
        <f t="shared" si="24"/>
        <v>0</v>
      </c>
      <c r="AH14" s="49">
        <f t="shared" si="25"/>
        <v>123</v>
      </c>
      <c r="AI14" s="49">
        <f t="shared" si="26"/>
        <v>0</v>
      </c>
      <c r="AJ14" s="49">
        <f t="shared" si="27"/>
        <v>0</v>
      </c>
      <c r="AK14" s="49">
        <f t="shared" si="28"/>
        <v>0</v>
      </c>
      <c r="AL14" s="49">
        <f t="array" ref="AL14">_xlfn.IFS(R14=0,AE14,R14&lt;0,AE14/-R14,R14&gt;0,AE14/R14)</f>
        <v>-807.06545600000004</v>
      </c>
      <c r="AM14" s="50">
        <f t="shared" si="29"/>
        <v>0</v>
      </c>
      <c r="AN14" s="51">
        <f t="shared" si="30"/>
        <v>-6.5615077723577242</v>
      </c>
      <c r="AP14" s="53">
        <f t="shared" si="31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f>'Юнит 26-31.01'!K15+'Юнит 01.02'!K15</f>
        <v>62</v>
      </c>
      <c r="L15" s="36"/>
      <c r="M15" s="36"/>
      <c r="N15" s="37">
        <f t="shared" si="18"/>
        <v>8.8571428571428577</v>
      </c>
      <c r="O15" s="38">
        <f t="shared" si="19"/>
        <v>5.4285714285714288</v>
      </c>
      <c r="P15" s="32">
        <f>'Юнит 26-31.01'!P15+'Юнит 01.02'!P15</f>
        <v>39</v>
      </c>
      <c r="Q15" s="32">
        <f>'Юнит 26-31.01'!Q15+'Юнит 01.02'!Q15</f>
        <v>1</v>
      </c>
      <c r="R15" s="40">
        <f t="shared" si="20"/>
        <v>38</v>
      </c>
      <c r="S15" s="32">
        <f>'Юнит 26-31.01'!S15+'Юнит 01.02'!S15</f>
        <v>70718.000000000029</v>
      </c>
      <c r="T15" s="32">
        <f>'Юнит 26-31.01'!T15+'Юнит 01.02'!T15</f>
        <v>-1845</v>
      </c>
      <c r="U15" s="40">
        <f t="shared" si="21"/>
        <v>68873.000000000029</v>
      </c>
      <c r="V15" s="43">
        <f>U15/$U$24</f>
        <v>0.29998911078685458</v>
      </c>
      <c r="W15" s="44">
        <f t="shared" si="22"/>
        <v>4674</v>
      </c>
      <c r="X15" s="32">
        <f>'Юнит 26-31.01'!X15+'Юнит 01.02'!X15</f>
        <v>29615.39</v>
      </c>
      <c r="Y15" s="45">
        <f t="shared" si="7"/>
        <v>0.42999999999999983</v>
      </c>
      <c r="Z15" s="32">
        <f>'Юнит 26-31.01'!Z15+'Юнит 01.02'!Z15</f>
        <v>7980.2399999999989</v>
      </c>
      <c r="AA15" s="32">
        <f>'Юнит 26-31.01'!AA15+'Юнит 01.02'!AA15</f>
        <v>14355.758842000001</v>
      </c>
      <c r="AB15" s="55"/>
      <c r="AC15" s="42"/>
      <c r="AD15" s="46">
        <f t="shared" si="8"/>
        <v>688.73000000000036</v>
      </c>
      <c r="AE15" s="47">
        <f t="shared" si="23"/>
        <v>11558.881158000031</v>
      </c>
      <c r="AF15" s="46"/>
      <c r="AG15" s="48">
        <f t="shared" si="24"/>
        <v>1812.4473684210534</v>
      </c>
      <c r="AH15" s="49">
        <f t="shared" si="25"/>
        <v>123</v>
      </c>
      <c r="AI15" s="49">
        <f t="shared" si="26"/>
        <v>779.35236842105257</v>
      </c>
      <c r="AJ15" s="49">
        <f t="shared" si="27"/>
        <v>204.62153846153842</v>
      </c>
      <c r="AK15" s="49">
        <f t="shared" si="28"/>
        <v>368.09638056410262</v>
      </c>
      <c r="AL15" s="49">
        <f t="array" ref="AL15">_xlfn.IFS(R15=0,AE15,R15&lt;0,AE15/-R15,R15&gt;0,AE15/R15)</f>
        <v>304.18108310526395</v>
      </c>
      <c r="AM15" s="50">
        <f t="shared" si="29"/>
        <v>0.16782891928622284</v>
      </c>
      <c r="AN15" s="51">
        <f t="shared" si="30"/>
        <v>2.4730169358151541</v>
      </c>
      <c r="AP15" s="53">
        <f t="shared" si="31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f>'Юнит 26-31.01'!K16+'Юнит 01.02'!K16</f>
        <v>2</v>
      </c>
      <c r="N16" s="37">
        <f t="shared" si="18"/>
        <v>0.2857142857142857</v>
      </c>
      <c r="O16" s="38">
        <f t="shared" si="19"/>
        <v>0</v>
      </c>
      <c r="P16" s="32">
        <f>'Юнит 26-31.01'!P16+'Юнит 01.02'!P16</f>
        <v>0</v>
      </c>
      <c r="Q16" s="32">
        <f>'Юнит 26-31.01'!Q16+'Юнит 01.02'!Q16</f>
        <v>0</v>
      </c>
      <c r="R16" s="40">
        <f t="shared" si="20"/>
        <v>0</v>
      </c>
      <c r="S16" s="32">
        <f>'Юнит 26-31.01'!S16+'Юнит 01.02'!S16</f>
        <v>0</v>
      </c>
      <c r="T16" s="32">
        <f>'Юнит 26-31.01'!T16+'Юнит 01.02'!T16</f>
        <v>0</v>
      </c>
      <c r="U16" s="40">
        <f t="shared" si="21"/>
        <v>0</v>
      </c>
      <c r="V16" s="43">
        <f>U16/$U$24</f>
        <v>0</v>
      </c>
      <c r="W16" s="44">
        <f t="shared" si="22"/>
        <v>0</v>
      </c>
      <c r="X16" s="32">
        <f>'Юнит 26-31.01'!X16+'Юнит 01.02'!X16</f>
        <v>0</v>
      </c>
      <c r="Y16" s="45">
        <f t="shared" si="7"/>
        <v>0</v>
      </c>
      <c r="Z16" s="32">
        <f>'Юнит 26-31.01'!Z16+'Юнит 01.02'!Z16</f>
        <v>0</v>
      </c>
      <c r="AA16" s="32">
        <f>'Юнит 26-31.01'!AA16+'Юнит 01.02'!AA16</f>
        <v>1604.737721</v>
      </c>
      <c r="AB16" s="55"/>
      <c r="AC16" s="42"/>
      <c r="AD16" s="46">
        <f t="shared" si="8"/>
        <v>0</v>
      </c>
      <c r="AE16" s="47">
        <f t="shared" si="23"/>
        <v>-1604.737721</v>
      </c>
      <c r="AF16" s="46"/>
      <c r="AG16" s="48">
        <f t="shared" si="24"/>
        <v>0</v>
      </c>
      <c r="AH16" s="49">
        <f t="shared" si="25"/>
        <v>117</v>
      </c>
      <c r="AI16" s="49">
        <f t="shared" si="26"/>
        <v>0</v>
      </c>
      <c r="AJ16" s="49">
        <f t="shared" si="27"/>
        <v>0</v>
      </c>
      <c r="AK16" s="49">
        <f t="shared" si="28"/>
        <v>0</v>
      </c>
      <c r="AL16" s="49">
        <f t="array" ref="AL16">_xlfn.IFS(R16=0,AE16,R16&lt;0,AE16/-R16,R16&gt;0,AE16/R16)</f>
        <v>-1604.737721</v>
      </c>
      <c r="AM16" s="50">
        <f t="shared" si="29"/>
        <v>0</v>
      </c>
      <c r="AN16" s="51">
        <f t="shared" si="30"/>
        <v>-13.715707017094017</v>
      </c>
      <c r="AP16" s="53">
        <f t="shared" si="31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2">AVERAGEIF(AG3:AG15,"&lt;&gt;0",AG3:AG15)</f>
        <v>1850.1126395534293</v>
      </c>
      <c r="AH17" s="58">
        <f t="shared" si="32"/>
        <v>127.26</v>
      </c>
      <c r="AI17" s="58">
        <f t="shared" si="32"/>
        <v>795.5484350079746</v>
      </c>
      <c r="AJ17" s="58">
        <f t="shared" si="32"/>
        <v>175.26254895104893</v>
      </c>
      <c r="AK17" s="58">
        <f t="shared" si="32"/>
        <v>574.25660258057496</v>
      </c>
      <c r="AL17" s="58">
        <f t="shared" si="32"/>
        <v>68.590934630647098</v>
      </c>
      <c r="AM17" s="59">
        <f t="shared" si="32"/>
        <v>8.481741338119253E-2</v>
      </c>
      <c r="AN17" s="59">
        <f t="shared" si="32"/>
        <v>0.51737541034537504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236</v>
      </c>
      <c r="L18" s="67"/>
      <c r="M18" s="67"/>
      <c r="N18" s="68"/>
      <c r="O18" s="69"/>
      <c r="P18" s="64">
        <f t="shared" ref="P18:X18" si="33">SUM(P3:P16)</f>
        <v>131</v>
      </c>
      <c r="Q18" s="64">
        <f t="shared" si="33"/>
        <v>3</v>
      </c>
      <c r="R18" s="64">
        <f t="shared" si="33"/>
        <v>128</v>
      </c>
      <c r="S18" s="70">
        <f t="shared" si="33"/>
        <v>234930.00000000006</v>
      </c>
      <c r="T18" s="64">
        <f t="shared" si="33"/>
        <v>-5345</v>
      </c>
      <c r="U18" s="64">
        <f t="shared" si="33"/>
        <v>229585.00000000006</v>
      </c>
      <c r="V18" s="71">
        <f t="shared" si="33"/>
        <v>1</v>
      </c>
      <c r="W18" s="64">
        <f t="shared" si="33"/>
        <v>16135.71</v>
      </c>
      <c r="X18" s="64">
        <f t="shared" si="33"/>
        <v>98721.55</v>
      </c>
      <c r="Y18" s="72">
        <f>IF(U18=0,0,X18/U18)</f>
        <v>0.42999999999999988</v>
      </c>
      <c r="Z18" s="64">
        <f>SUM(Z3:Z16)</f>
        <v>24023.069999999992</v>
      </c>
      <c r="AA18" s="64">
        <f>'Юнит 26-31.01'!AA18+'Юнит 01.02'!AA18</f>
        <v>58328.369999999995</v>
      </c>
      <c r="AB18" s="64">
        <f>SUM(AB3:AB16)</f>
        <v>0</v>
      </c>
      <c r="AC18" s="64">
        <f>SUM(AC3:AC16)</f>
        <v>0</v>
      </c>
      <c r="AD18" s="73">
        <f>SUM(AD3:AD16)</f>
        <v>2295.8500000000008</v>
      </c>
      <c r="AE18" s="74">
        <f>SUM(AE3:AE16)</f>
        <v>31120.232268000069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57288.587732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4">AVERAGEIF(AG20:AG20,"&lt;&gt;0",AG20:AG20)</f>
        <v>#DIV/0!</v>
      </c>
      <c r="AH21" s="86" t="e">
        <f t="shared" si="34"/>
        <v>#DIV/0!</v>
      </c>
      <c r="AI21" s="86" t="e">
        <f t="shared" si="34"/>
        <v>#DIV/0!</v>
      </c>
      <c r="AJ21" s="86" t="e">
        <f t="shared" si="34"/>
        <v>#DIV/0!</v>
      </c>
      <c r="AK21" s="86" t="e">
        <f t="shared" si="34"/>
        <v>#DIV/0!</v>
      </c>
      <c r="AL21" s="86" t="e">
        <f t="shared" si="34"/>
        <v>#DIV/0!</v>
      </c>
      <c r="AM21" s="87" t="e">
        <f t="shared" si="34"/>
        <v>#DIV/0!</v>
      </c>
      <c r="AN21" s="87" t="e">
        <f t="shared" si="34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5">SUM(P20:P20)</f>
        <v>0</v>
      </c>
      <c r="Q22" s="90">
        <f t="shared" si="35"/>
        <v>0</v>
      </c>
      <c r="R22" s="96">
        <f t="shared" si="35"/>
        <v>0</v>
      </c>
      <c r="S22" s="90">
        <f t="shared" si="35"/>
        <v>0</v>
      </c>
      <c r="T22" s="90">
        <f t="shared" si="35"/>
        <v>0</v>
      </c>
      <c r="U22" s="96">
        <f t="shared" si="35"/>
        <v>0</v>
      </c>
      <c r="V22" s="97">
        <f t="shared" si="35"/>
        <v>0</v>
      </c>
      <c r="W22" s="90">
        <f t="shared" si="35"/>
        <v>0</v>
      </c>
      <c r="X22" s="90">
        <f t="shared" si="35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236</v>
      </c>
      <c r="L24" s="119"/>
      <c r="M24" s="119"/>
      <c r="N24" s="119"/>
      <c r="O24" s="119"/>
      <c r="P24" s="120">
        <f>P18+P22</f>
        <v>131</v>
      </c>
      <c r="Q24" s="118">
        <f>Q18+Q22</f>
        <v>3</v>
      </c>
      <c r="R24" s="121">
        <f>R18-R22</f>
        <v>128</v>
      </c>
      <c r="S24" s="118">
        <f t="shared" ref="S24:X24" si="36">S18+S22</f>
        <v>234930.00000000006</v>
      </c>
      <c r="T24" s="118">
        <f t="shared" si="36"/>
        <v>-5345</v>
      </c>
      <c r="U24" s="121">
        <f t="shared" si="36"/>
        <v>229585.00000000006</v>
      </c>
      <c r="V24" s="122">
        <f t="shared" si="36"/>
        <v>1</v>
      </c>
      <c r="W24" s="118">
        <f t="shared" si="36"/>
        <v>16135.71</v>
      </c>
      <c r="X24" s="118">
        <f t="shared" si="36"/>
        <v>98721.55</v>
      </c>
      <c r="Y24" s="123">
        <f>X24/U24</f>
        <v>0.42999999999999988</v>
      </c>
      <c r="Z24" s="118">
        <f>Z18+Z22</f>
        <v>24023.069999999992</v>
      </c>
      <c r="AA24" s="124">
        <f>'Юнит 26-31.01'!AA24+'Юнит 01.02'!AA24</f>
        <v>58328.369999999995</v>
      </c>
      <c r="AB24" s="125"/>
      <c r="AC24" s="125">
        <f>SUM(AC3:AC20)</f>
        <v>0</v>
      </c>
      <c r="AD24" s="118">
        <f>AD18+AD22</f>
        <v>2295.8500000000008</v>
      </c>
      <c r="AE24" s="126">
        <f>AE18+AE22</f>
        <v>31120.232268000069</v>
      </c>
      <c r="AF24" s="127"/>
      <c r="AG24" s="128"/>
      <c r="AH24" s="129"/>
      <c r="AI24" s="129"/>
      <c r="AJ24" s="129"/>
      <c r="AK24" s="129">
        <f>AA25/P24</f>
        <v>445.25473282442744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58328.369999999995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57288.587732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77" priority="19" operator="greaterThan">
      <formula>120</formula>
    </cfRule>
  </conditionalFormatting>
  <conditionalFormatting sqref="N23">
    <cfRule type="cellIs" dxfId="76" priority="18" operator="between">
      <formula>0.000001</formula>
      <formula>25</formula>
    </cfRule>
  </conditionalFormatting>
  <conditionalFormatting sqref="V1 V25:V28 V30:V1048576">
    <cfRule type="cellIs" dxfId="75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{1D6EC92C-F199-47EC-B5E5-C02D8876470D}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{147898A0-9DEE-4DCB-8642-8806CD73E0FE}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{5DAD1771-22F7-4619-8A21-C0518AD82BC5}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{BF8CF0DF-BF89-480D-AC10-D631BAF53A65}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{82DBCCE5-AD33-455E-8EE4-EA4D64B6AA4C}</x14:id>
        </ext>
      </extLst>
    </cfRule>
  </conditionalFormatting>
  <conditionalFormatting sqref="P23">
    <cfRule type="cellIs" dxfId="74" priority="14" operator="greaterThan">
      <formula>120</formula>
    </cfRule>
  </conditionalFormatting>
  <conditionalFormatting sqref="Q23">
    <cfRule type="cellIs" dxfId="73" priority="13" operator="greaterThan">
      <formula>120</formula>
    </cfRule>
  </conditionalFormatting>
  <conditionalFormatting sqref="R23">
    <cfRule type="cellIs" dxfId="72" priority="12" operator="greaterThan">
      <formula>120</formula>
    </cfRule>
  </conditionalFormatting>
  <conditionalFormatting sqref="S23">
    <cfRule type="cellIs" dxfId="71" priority="11" operator="greaterThan">
      <formula>120</formula>
    </cfRule>
  </conditionalFormatting>
  <conditionalFormatting sqref="T23">
    <cfRule type="cellIs" dxfId="70" priority="10" operator="greaterThan">
      <formula>120</formula>
    </cfRule>
  </conditionalFormatting>
  <conditionalFormatting sqref="U23">
    <cfRule type="cellIs" dxfId="69" priority="9" operator="greaterThan">
      <formula>120</formula>
    </cfRule>
  </conditionalFormatting>
  <conditionalFormatting sqref="V23">
    <cfRule type="cellIs" dxfId="68" priority="8" operator="greaterThan">
      <formula>120</formula>
    </cfRule>
  </conditionalFormatting>
  <conditionalFormatting sqref="W23">
    <cfRule type="cellIs" dxfId="67" priority="7" operator="greaterThan">
      <formula>120</formula>
    </cfRule>
  </conditionalFormatting>
  <conditionalFormatting sqref="X23">
    <cfRule type="cellIs" dxfId="66" priority="6" operator="greaterThan">
      <formula>120</formula>
    </cfRule>
  </conditionalFormatting>
  <conditionalFormatting sqref="Z23">
    <cfRule type="cellIs" dxfId="65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{C4722FA5-5428-4585-ACCB-3EA1282844BE}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{6542C927-31AB-420A-8C2A-EE88D5A5ED27}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{5DAD3469-4694-4551-B5E6-C5A0F8F28BA3}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{8761E21A-B78D-4D56-B2CC-27AE0105E9A0}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{F2F124FB-611C-4BF2-A0A1-9C0382E2F654}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{E4FD9E4E-815D-4F3D-AEA9-A5B2ABC98403}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{B2ACFC84-AA00-4D02-A875-DD0A059DCBCE}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{E7BCBD13-1883-4D80-9561-CC80A01B258E}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{995CCA91-CD59-4364-8108-43D02D6C701A}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{AF20265B-9996-4F5F-8BF7-F668FFA57E86}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{CF1B331D-7970-4E60-900B-8D7F46846C05}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{129B4C75-8D65-4481-B3A7-E3B0DE085BA2}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{56B62C4C-4EDC-423C-B3EF-768B58241854}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{2C4C7208-994F-487D-BEEA-1D6FEF13921F}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{C36825DD-8D02-484C-BAB0-3B613D5FCA47}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{C2CC518B-2416-4A8E-A6B3-0EB59FACBEDA}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6EC92C-F199-47EC-B5E5-C02D8876470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147898A0-9DEE-4DCB-8642-8806CD73E0F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5DAD1771-22F7-4619-8A21-C0518AD82BC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BF8CF0DF-BF89-480D-AC10-D631BAF53A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2DBCCE5-AD33-455E-8EE4-EA4D64B6AA4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C4722FA5-5428-4585-ACCB-3EA1282844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6542C927-31AB-420A-8C2A-EE88D5A5ED2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5DAD3469-4694-4551-B5E6-C5A0F8F28BA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761E21A-B78D-4D56-B2CC-27AE0105E9A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2F124FB-611C-4BF2-A0A1-9C0382E2F6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4FD9E4E-815D-4F3D-AEA9-A5B2ABC9840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2ACFC84-AA00-4D02-A875-DD0A059DCB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E7BCBD13-1883-4D80-9561-CC80A01B258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995CCA91-CD59-4364-8108-43D02D6C701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AF20265B-9996-4F5F-8BF7-F668FFA57E8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CF1B331D-7970-4E60-900B-8D7F46846C0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129B4C75-8D65-4481-B3A7-E3B0DE085BA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56B62C4C-4EDC-423C-B3EF-768B5824185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C4C7208-994F-487D-BEEA-1D6FEF13921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C36825DD-8D02-484C-BAB0-3B613D5FCA4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C2CC518B-2416-4A8E-A6B3-0EB59FACBE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ABE008-34E9-47B9-BEBE-BBB97B3D78C9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V9" sqref="V9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339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1347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K3/6</f>
        <v>0.66666666666666663</v>
      </c>
      <c r="O3" s="38">
        <f t="shared" ref="O3:O7" si="1">R3/7</f>
        <v>0.14285714285714285</v>
      </c>
      <c r="P3" s="39">
        <f>SUMIFS('Отчет 26-31.01'!H:H,'Отчет 26-31.01'!D:D,"Выручка",'Отчет 26-31.01'!E:E,B3)</f>
        <v>1</v>
      </c>
      <c r="Q3" s="39">
        <f>SUMIFS('Отчет 26-31.01'!H:H,'Отчет 26-31.01'!D:D,"Возврат выручки",'Отчет 26-31.01'!E:E,B3)</f>
        <v>0</v>
      </c>
      <c r="R3" s="40">
        <f t="shared" ref="R3:R7" si="2">P3-Q3</f>
        <v>1</v>
      </c>
      <c r="S3" s="41">
        <f>SUMIFS('Отчет 26-31.01'!P:P,'Отчет 26-31.01'!C:C,"Продажи",'Отчет 26-31.01'!E:E,B3)</f>
        <v>1750</v>
      </c>
      <c r="T3" s="42">
        <f>SUMIFS('Отчет 26-31.01'!P:P,'Отчет 26-31.01'!C:C,"Возвраты",'Отчет 26-31.01'!E:E,B3)</f>
        <v>0</v>
      </c>
      <c r="U3" s="40">
        <f t="shared" ref="U3:U7" si="3">S3+T3</f>
        <v>1750</v>
      </c>
      <c r="V3" s="43">
        <f t="shared" ref="V3:V14" si="4">U3/$U$24</f>
        <v>8.884917471809424E-3</v>
      </c>
      <c r="W3" s="44">
        <f t="shared" ref="W3:W7" si="5">R3*H3</f>
        <v>142.97999999999999</v>
      </c>
      <c r="X3" s="42">
        <f>-SUMIFS('Отчет 26-31.01'!P:P,'Отчет 26-31.01'!C:C,"Вознаграждение Ozon",'Отчет 26-31.01'!E:E,B3)</f>
        <v>752.5</v>
      </c>
      <c r="Y3" s="45">
        <f t="shared" ref="Y3" si="6">IF(U3=0,0,X3/U3)</f>
        <v>0.43</v>
      </c>
      <c r="Z3" s="42">
        <f>-SUMIFS('Отчет 26-31.01'!P:P,'Отчет 26-31.01'!C:C,"Услуги доставки",'Отчет 26-31.01'!E:E,B3)</f>
        <v>224.91000000000003</v>
      </c>
      <c r="AA3" s="32">
        <v>460</v>
      </c>
      <c r="AB3" s="42"/>
      <c r="AC3" s="42"/>
      <c r="AD3" s="46">
        <f t="shared" ref="AD3:AD16" si="7">U3*1%</f>
        <v>17.5</v>
      </c>
      <c r="AE3" s="47">
        <f t="shared" ref="AE3:AE7" si="8">U3-W3-X3-Z3-AA3-AB3-AC3-AD3</f>
        <v>152.1099999999999</v>
      </c>
      <c r="AF3" s="46"/>
      <c r="AG3" s="48">
        <f t="shared" ref="AG3:AG7" si="9">IF(R3=0,0,U3/R3)</f>
        <v>1750</v>
      </c>
      <c r="AH3" s="49">
        <f t="shared" ref="AH3:AH7" si="10">H3</f>
        <v>142.97999999999999</v>
      </c>
      <c r="AI3" s="49">
        <f t="shared" ref="AI3:AI7" si="11">IF(R3=0,0,X3/R3)</f>
        <v>752.5</v>
      </c>
      <c r="AJ3" s="49">
        <f t="shared" ref="AJ3:AJ7" si="12">IF(P3=0,Z3/1,Z3/P3)</f>
        <v>224.91000000000003</v>
      </c>
      <c r="AK3" s="49">
        <f t="shared" ref="AK3:AK7" si="13">IF(P3=0,0,AA3/P3)</f>
        <v>460</v>
      </c>
      <c r="AL3" s="49">
        <f>_xlfn.IFS(R3=0,AE3,R3&lt;0,AE3/-R3,R3&gt;0,AE3/R3)</f>
        <v>152.1099999999999</v>
      </c>
      <c r="AM3" s="50">
        <f t="shared" ref="AM3:AM7" si="14">IF(AG3=0,0,AL3/AG3)</f>
        <v>8.6919999999999942E-2</v>
      </c>
      <c r="AN3" s="51">
        <f t="shared" ref="AN3:AN7" si="15">IF(AH3=0,0,AL3/AH3)</f>
        <v>1.0638550846272199</v>
      </c>
      <c r="AP3" s="53">
        <f t="shared" ref="AP3:AP7" si="16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7" si="17">K4/7</f>
        <v>0.5714285714285714</v>
      </c>
      <c r="O4" s="38">
        <f t="shared" si="1"/>
        <v>0.5714285714285714</v>
      </c>
      <c r="P4" s="39">
        <f>SUMIFS('Отчет 26-31.01'!H:H,'Отчет 26-31.01'!D:D,"Выручка",'Отчет 26-31.01'!E:E,B4)</f>
        <v>4</v>
      </c>
      <c r="Q4" s="39">
        <f>SUMIFS('Отчет 26-31.01'!H:H,'Отчет 26-31.01'!D:D,"Возврат выручки",'Отчет 26-31.01'!E:E,B4)</f>
        <v>0</v>
      </c>
      <c r="R4" s="40">
        <f t="shared" si="2"/>
        <v>4</v>
      </c>
      <c r="S4" s="41">
        <f>SUMIFS('Отчет 26-31.01'!P:P,'Отчет 26-31.01'!C:C,"Продажи",'Отчет 26-31.01'!E:E,B4)</f>
        <v>6999.9999999999991</v>
      </c>
      <c r="T4" s="42">
        <f>SUMIFS('Отчет 26-31.01'!P:P,'Отчет 26-31.01'!C:C,"Возвраты",'Отчет 26-31.01'!E:E,B4)</f>
        <v>0</v>
      </c>
      <c r="U4" s="40">
        <f t="shared" si="3"/>
        <v>6999.9999999999991</v>
      </c>
      <c r="V4" s="43">
        <f t="shared" si="4"/>
        <v>3.5539669887237689E-2</v>
      </c>
      <c r="W4" s="44">
        <f t="shared" si="5"/>
        <v>492.36</v>
      </c>
      <c r="X4" s="42">
        <f>-SUMIFS('Отчет 26-31.01'!P:P,'Отчет 26-31.01'!C:C,"Вознаграждение Ozon",'Отчет 26-31.01'!E:E,B4)</f>
        <v>3010</v>
      </c>
      <c r="Y4" s="45">
        <f t="shared" ref="Y4:Y16" si="18">IF(U4=0,0,X4/U4)</f>
        <v>0.43000000000000005</v>
      </c>
      <c r="Z4" s="42">
        <f>-SUMIFS('Отчет 26-31.01'!P:P,'Отчет 26-31.01'!C:C,"Услуги доставки",'Отчет 26-31.01'!E:E,B4)</f>
        <v>668.22</v>
      </c>
      <c r="AA4" s="32">
        <v>175</v>
      </c>
      <c r="AB4" s="42"/>
      <c r="AC4" s="42"/>
      <c r="AD4" s="46">
        <f t="shared" si="7"/>
        <v>69.999999999999986</v>
      </c>
      <c r="AE4" s="47">
        <f t="shared" si="8"/>
        <v>2584.4199999999992</v>
      </c>
      <c r="AF4" s="46"/>
      <c r="AG4" s="48">
        <f t="shared" si="9"/>
        <v>1749.9999999999998</v>
      </c>
      <c r="AH4" s="49">
        <f t="shared" si="10"/>
        <v>123.09</v>
      </c>
      <c r="AI4" s="49">
        <f t="shared" si="11"/>
        <v>752.5</v>
      </c>
      <c r="AJ4" s="49">
        <f t="shared" si="12"/>
        <v>167.05500000000001</v>
      </c>
      <c r="AK4" s="49">
        <f t="shared" si="13"/>
        <v>43.75</v>
      </c>
      <c r="AL4" s="49">
        <f t="array" ref="AL4">_xlfn.IFS(R4=0,AE4,R4&lt;0,AE4/-R4,R4&gt;0,AE4/R4)</f>
        <v>646.10499999999979</v>
      </c>
      <c r="AM4" s="50">
        <f t="shared" si="14"/>
        <v>0.36920285714285705</v>
      </c>
      <c r="AN4" s="51">
        <f t="shared" si="15"/>
        <v>5.2490454139247689</v>
      </c>
      <c r="AP4" s="53">
        <f t="shared" si="16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1</v>
      </c>
      <c r="L5" s="36"/>
      <c r="M5" s="36"/>
      <c r="N5" s="37">
        <f t="shared" si="17"/>
        <v>0.14285714285714285</v>
      </c>
      <c r="O5" s="38">
        <f t="shared" si="1"/>
        <v>0</v>
      </c>
      <c r="P5" s="39">
        <f>SUMIFS('Отчет 26-31.01'!H:H,'Отчет 26-31.01'!D:D,"Выручка",'Отчет 26-31.01'!E:E,B5)</f>
        <v>0</v>
      </c>
      <c r="Q5" s="39">
        <f>SUMIFS('Отчет 26-31.01'!H:H,'Отчет 26-31.01'!D:D,"Возврат выручки",'Отчет 26-31.01'!E:E,B5)</f>
        <v>0</v>
      </c>
      <c r="R5" s="40">
        <f t="shared" si="2"/>
        <v>0</v>
      </c>
      <c r="S5" s="41">
        <f>SUMIFS('Отчет 26-31.01'!P:P,'Отчет 26-31.01'!C:C,"Продажи",'Отчет 26-31.01'!E:E,B5)</f>
        <v>0</v>
      </c>
      <c r="T5" s="42">
        <f>SUMIFS('Отчет 26-31.01'!P:P,'Отчет 26-31.01'!C:C,"Возвраты",'Отчет 26-31.01'!E:E,B5)</f>
        <v>0</v>
      </c>
      <c r="U5" s="40">
        <f t="shared" si="3"/>
        <v>0</v>
      </c>
      <c r="V5" s="43">
        <f t="shared" si="4"/>
        <v>0</v>
      </c>
      <c r="W5" s="44">
        <f t="shared" si="5"/>
        <v>0</v>
      </c>
      <c r="X5" s="42">
        <f>-SUMIFS('Отчет 26-31.01'!P:P,'Отчет 26-31.01'!C:C,"Вознаграждение Ozon",'Отчет 26-31.01'!E:E,B5)</f>
        <v>0</v>
      </c>
      <c r="Y5" s="45">
        <f t="shared" si="18"/>
        <v>0</v>
      </c>
      <c r="Z5" s="42">
        <f>-SUMIFS('Отчет 26-31.01'!P:P,'Отчет 26-31.01'!C:C,"Услуги доставки",'Отчет 26-31.01'!E:E,B5)</f>
        <v>0</v>
      </c>
      <c r="AA5" s="32">
        <v>0</v>
      </c>
      <c r="AB5" s="55"/>
      <c r="AC5" s="42"/>
      <c r="AD5" s="46">
        <f t="shared" si="7"/>
        <v>0</v>
      </c>
      <c r="AE5" s="47">
        <f t="shared" si="8"/>
        <v>0</v>
      </c>
      <c r="AF5" s="46"/>
      <c r="AG5" s="48">
        <f t="shared" si="9"/>
        <v>0</v>
      </c>
      <c r="AH5" s="49">
        <f t="shared" si="10"/>
        <v>123.09</v>
      </c>
      <c r="AI5" s="49">
        <f t="shared" si="11"/>
        <v>0</v>
      </c>
      <c r="AJ5" s="49">
        <f t="shared" si="12"/>
        <v>0</v>
      </c>
      <c r="AK5" s="49">
        <f t="shared" si="13"/>
        <v>0</v>
      </c>
      <c r="AL5" s="49">
        <f t="array" ref="AL5">_xlfn.IFS(R5=0,AE5,R5&lt;0,AE5/-R5,R5&gt;0,AE5/R5)</f>
        <v>0</v>
      </c>
      <c r="AM5" s="50">
        <f t="shared" si="14"/>
        <v>0</v>
      </c>
      <c r="AN5" s="51">
        <f t="shared" si="15"/>
        <v>0</v>
      </c>
      <c r="AP5" s="53">
        <f t="shared" si="16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11</v>
      </c>
      <c r="L6" s="36"/>
      <c r="M6" s="36"/>
      <c r="N6" s="37">
        <f t="shared" si="17"/>
        <v>1.5714285714285714</v>
      </c>
      <c r="O6" s="38">
        <f t="shared" si="1"/>
        <v>0.8571428571428571</v>
      </c>
      <c r="P6" s="39">
        <f>SUMIFS('Отчет 26-31.01'!H:H,'Отчет 26-31.01'!D:D,"Выручка",'Отчет 26-31.01'!E:E,B6)</f>
        <v>6</v>
      </c>
      <c r="Q6" s="39">
        <f>SUMIFS('Отчет 26-31.01'!H:H,'Отчет 26-31.01'!D:D,"Возврат выручки",'Отчет 26-31.01'!E:E,B6)</f>
        <v>0</v>
      </c>
      <c r="R6" s="40">
        <f t="shared" si="2"/>
        <v>6</v>
      </c>
      <c r="S6" s="41">
        <f>SUMIFS('Отчет 26-31.01'!P:P,'Отчет 26-31.01'!C:C,"Продажи",'Отчет 26-31.01'!E:E,B6)</f>
        <v>10500</v>
      </c>
      <c r="T6" s="42">
        <f>SUMIFS('Отчет 26-31.01'!P:P,'Отчет 26-31.01'!C:C,"Возвраты",'Отчет 26-31.01'!E:E,B6)</f>
        <v>0</v>
      </c>
      <c r="U6" s="40">
        <f t="shared" si="3"/>
        <v>10500</v>
      </c>
      <c r="V6" s="43">
        <f t="shared" si="4"/>
        <v>5.3309504830856544E-2</v>
      </c>
      <c r="W6" s="44">
        <f t="shared" si="5"/>
        <v>738.54</v>
      </c>
      <c r="X6" s="42">
        <f>-SUMIFS('Отчет 26-31.01'!P:P,'Отчет 26-31.01'!C:C,"Вознаграждение Ozon",'Отчет 26-31.01'!E:E,B6)</f>
        <v>4515</v>
      </c>
      <c r="Y6" s="45">
        <f t="shared" si="18"/>
        <v>0.43</v>
      </c>
      <c r="Z6" s="42">
        <f>-SUMIFS('Отчет 26-31.01'!P:P,'Отчет 26-31.01'!C:C,"Услуги доставки",'Отчет 26-31.01'!E:E,B6)</f>
        <v>1132.5999999999999</v>
      </c>
      <c r="AA6" s="32">
        <v>2817.5</v>
      </c>
      <c r="AB6" s="55"/>
      <c r="AC6" s="42"/>
      <c r="AD6" s="46">
        <f t="shared" si="7"/>
        <v>105</v>
      </c>
      <c r="AE6" s="47">
        <f t="shared" si="8"/>
        <v>1191.3599999999988</v>
      </c>
      <c r="AF6" s="46"/>
      <c r="AG6" s="48">
        <f t="shared" si="9"/>
        <v>1750</v>
      </c>
      <c r="AH6" s="49">
        <f t="shared" si="10"/>
        <v>123.09</v>
      </c>
      <c r="AI6" s="49">
        <f t="shared" si="11"/>
        <v>752.5</v>
      </c>
      <c r="AJ6" s="49">
        <f t="shared" si="12"/>
        <v>188.76666666666665</v>
      </c>
      <c r="AK6" s="49">
        <f t="shared" si="13"/>
        <v>469.58333333333331</v>
      </c>
      <c r="AL6" s="49">
        <f t="array" ref="AL6">_xlfn.IFS(R6=0,AE6,R6&lt;0,AE6/-R6,R6&gt;0,AE6/R6)</f>
        <v>198.5599999999998</v>
      </c>
      <c r="AM6" s="50">
        <f t="shared" si="14"/>
        <v>0.11346285714285703</v>
      </c>
      <c r="AN6" s="51">
        <f t="shared" si="15"/>
        <v>1.6131286050857081</v>
      </c>
      <c r="AP6" s="53">
        <f t="shared" si="16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30</v>
      </c>
      <c r="L7" s="36"/>
      <c r="M7" s="36"/>
      <c r="N7" s="37">
        <f t="shared" si="17"/>
        <v>4.2857142857142856</v>
      </c>
      <c r="O7" s="38">
        <f t="shared" si="1"/>
        <v>2.1428571428571428</v>
      </c>
      <c r="P7" s="39">
        <f>SUMIFS('Отчет 26-31.01'!H:H,'Отчет 26-31.01'!D:D,"Выручка",'Отчет 26-31.01'!E:E,B7)</f>
        <v>16</v>
      </c>
      <c r="Q7" s="39">
        <f>SUMIFS('Отчет 26-31.01'!H:H,'Отчет 26-31.01'!D:D,"Возврат выручки",'Отчет 26-31.01'!E:E,B7)</f>
        <v>1</v>
      </c>
      <c r="R7" s="40">
        <f t="shared" si="2"/>
        <v>15</v>
      </c>
      <c r="S7" s="41">
        <f>SUMIFS('Отчет 26-31.01'!P:P,'Отчет 26-31.01'!C:C,"Продажи",'Отчет 26-31.01'!E:E,B7)</f>
        <v>27825.000000000004</v>
      </c>
      <c r="T7" s="42">
        <f>SUMIFS('Отчет 26-31.01'!P:P,'Отчет 26-31.01'!C:C,"Возвраты",'Отчет 26-31.01'!E:E,B7)</f>
        <v>-1750</v>
      </c>
      <c r="U7" s="40">
        <f t="shared" si="3"/>
        <v>26075.000000000004</v>
      </c>
      <c r="V7" s="43">
        <f t="shared" si="4"/>
        <v>0.13238527032996042</v>
      </c>
      <c r="W7" s="44">
        <f t="shared" si="5"/>
        <v>1758.6</v>
      </c>
      <c r="X7" s="42">
        <f>-SUMIFS('Отчет 26-31.01'!P:P,'Отчет 26-31.01'!C:C,"Вознаграждение Ozon",'Отчет 26-31.01'!E:E,B7)</f>
        <v>11212.25</v>
      </c>
      <c r="Y7" s="45">
        <f t="shared" si="18"/>
        <v>0.42999999999999994</v>
      </c>
      <c r="Z7" s="42">
        <f>-SUMIFS('Отчет 26-31.01'!P:P,'Отчет 26-31.01'!C:C,"Услуги доставки",'Отчет 26-31.01'!E:E,B7)</f>
        <v>3167.8799999999987</v>
      </c>
      <c r="AA7" s="32">
        <v>9223.1513180000002</v>
      </c>
      <c r="AB7" s="55"/>
      <c r="AC7" s="42"/>
      <c r="AD7" s="46">
        <f t="shared" si="7"/>
        <v>260.75000000000006</v>
      </c>
      <c r="AE7" s="47">
        <f t="shared" si="8"/>
        <v>452.36868200000566</v>
      </c>
      <c r="AF7" s="46"/>
      <c r="AG7" s="48">
        <f t="shared" si="9"/>
        <v>1738.3333333333335</v>
      </c>
      <c r="AH7" s="49">
        <f t="shared" si="10"/>
        <v>117.24</v>
      </c>
      <c r="AI7" s="49">
        <f t="shared" si="11"/>
        <v>747.48333333333335</v>
      </c>
      <c r="AJ7" s="49">
        <f t="shared" si="12"/>
        <v>197.99249999999992</v>
      </c>
      <c r="AK7" s="49">
        <f t="shared" si="13"/>
        <v>576.44695737500001</v>
      </c>
      <c r="AL7" s="49">
        <f t="array" ref="AL7">_xlfn.IFS(R7=0,AE7,R7&lt;0,AE7/-R7,R7&gt;0,AE7/R7)</f>
        <v>30.15791213333371</v>
      </c>
      <c r="AM7" s="50">
        <f t="shared" si="14"/>
        <v>1.734875098753617E-2</v>
      </c>
      <c r="AN7" s="51">
        <f t="shared" si="15"/>
        <v>0.25723227681110294</v>
      </c>
      <c r="AP7" s="53">
        <f t="shared" si="16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17</v>
      </c>
      <c r="L8" s="36"/>
      <c r="M8" s="36"/>
      <c r="N8" s="37">
        <f>K8/7</f>
        <v>2.4285714285714284</v>
      </c>
      <c r="O8" s="38">
        <f>R8/7</f>
        <v>1.2857142857142858</v>
      </c>
      <c r="P8" s="39">
        <f>SUMIFS('Отчет 26-31.01'!H:H,'Отчет 26-31.01'!D:D,"Выручка",'Отчет 26-31.01'!E:E,B8)</f>
        <v>9</v>
      </c>
      <c r="Q8" s="39">
        <f>SUMIFS('Отчет 26-31.01'!H:H,'Отчет 26-31.01'!D:D,"Возврат выручки",'Отчет 26-31.01'!E:E,B8)</f>
        <v>0</v>
      </c>
      <c r="R8" s="40">
        <f>P8-Q8</f>
        <v>9</v>
      </c>
      <c r="S8" s="41">
        <f>SUMIFS('Отчет 26-31.01'!P:P,'Отчет 26-31.01'!C:C,"Продажи",'Отчет 26-31.01'!E:E,B8)</f>
        <v>15750.000000000004</v>
      </c>
      <c r="T8" s="42">
        <f>SUMIFS('Отчет 26-31.01'!P:P,'Отчет 26-31.01'!C:C,"Возвраты",'Отчет 26-31.01'!E:E,B8)</f>
        <v>0</v>
      </c>
      <c r="U8" s="40">
        <f>S8+T8</f>
        <v>15750.000000000004</v>
      </c>
      <c r="V8" s="43">
        <f t="shared" si="4"/>
        <v>7.9964257246284837E-2</v>
      </c>
      <c r="W8" s="44">
        <f>R8*H8</f>
        <v>1529.0099999999998</v>
      </c>
      <c r="X8" s="42">
        <f>-SUMIFS('Отчет 26-31.01'!P:P,'Отчет 26-31.01'!C:C,"Вознаграждение Ozon",'Отчет 26-31.01'!E:E,B8)</f>
        <v>6772.5</v>
      </c>
      <c r="Y8" s="45">
        <f t="shared" si="18"/>
        <v>0.42999999999999988</v>
      </c>
      <c r="Z8" s="42">
        <f>-SUMIFS('Отчет 26-31.01'!P:P,'Отчет 26-31.01'!C:C,"Услуги доставки",'Отчет 26-31.01'!E:E,B8)</f>
        <v>1550.87</v>
      </c>
      <c r="AA8" s="32">
        <v>3607.259826</v>
      </c>
      <c r="AB8" s="55"/>
      <c r="AC8" s="42"/>
      <c r="AD8" s="46">
        <f t="shared" si="7"/>
        <v>157.50000000000003</v>
      </c>
      <c r="AE8" s="47">
        <f>U8-W8-X8-Z8-AA8-AB8-AC8-AD8</f>
        <v>2132.8601740000036</v>
      </c>
      <c r="AF8" s="46"/>
      <c r="AG8" s="48">
        <f>IF(R8=0,0,U8/R8)</f>
        <v>1750.0000000000005</v>
      </c>
      <c r="AH8" s="49">
        <f>H8</f>
        <v>169.89</v>
      </c>
      <c r="AI8" s="49">
        <f>IF(R8=0,0,X8/R8)</f>
        <v>752.5</v>
      </c>
      <c r="AJ8" s="49">
        <f>IF(P8=0,Z8/1,Z8/P8)</f>
        <v>172.31888888888886</v>
      </c>
      <c r="AK8" s="49">
        <f>IF(P8=0,0,AA8/P8)</f>
        <v>400.80664733333333</v>
      </c>
      <c r="AL8" s="49">
        <f t="array" ref="AL8">_xlfn.IFS(R8=0,AE8,R8&lt;0,AE8/-R8,R8&gt;0,AE8/R8)</f>
        <v>236.98446377777816</v>
      </c>
      <c r="AM8" s="50">
        <f>IF(AG8=0,0,AL8/AG8)</f>
        <v>0.13541969358730177</v>
      </c>
      <c r="AN8" s="51">
        <f>IF(AH8=0,0,AL8/AH8)</f>
        <v>1.394928858542458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4</v>
      </c>
      <c r="L9" s="36"/>
      <c r="M9" s="36"/>
      <c r="N9" s="37">
        <f t="shared" ref="N9:N16" si="19">K9/7</f>
        <v>0.5714285714285714</v>
      </c>
      <c r="O9" s="38">
        <f t="shared" ref="O9:O16" si="20">R9/7</f>
        <v>0.14285714285714285</v>
      </c>
      <c r="P9" s="39">
        <f>SUMIFS('Отчет 26-31.01'!H:H,'Отчет 26-31.01'!D:D,"Выручка",'Отчет 26-31.01'!E:E,B9)</f>
        <v>1</v>
      </c>
      <c r="Q9" s="39">
        <f>SUMIFS('Отчет 26-31.01'!H:H,'Отчет 26-31.01'!D:D,"Возврат выручки",'Отчет 26-31.01'!E:E,B9)</f>
        <v>0</v>
      </c>
      <c r="R9" s="40">
        <f t="shared" ref="R9:R16" si="21">P9-Q9</f>
        <v>1</v>
      </c>
      <c r="S9" s="41">
        <f>SUMIFS('Отчет 26-31.01'!P:P,'Отчет 26-31.01'!C:C,"Продажи",'Отчет 26-31.01'!E:E,B9)</f>
        <v>2000</v>
      </c>
      <c r="T9" s="42">
        <f>SUMIFS('Отчет 26-31.01'!P:P,'Отчет 26-31.01'!C:C,"Возвраты",'Отчет 26-31.01'!E:E,B9)</f>
        <v>0</v>
      </c>
      <c r="U9" s="40">
        <f t="shared" ref="U9:U16" si="22">S9+T9</f>
        <v>2000</v>
      </c>
      <c r="V9" s="43">
        <f t="shared" si="4"/>
        <v>1.0154191396353627E-2</v>
      </c>
      <c r="W9" s="44">
        <f t="shared" ref="W9:W16" si="23">R9*H9</f>
        <v>123</v>
      </c>
      <c r="X9" s="42">
        <f>-SUMIFS('Отчет 26-31.01'!P:P,'Отчет 26-31.01'!C:C,"Вознаграждение Ozon",'Отчет 26-31.01'!E:E,B9)</f>
        <v>860</v>
      </c>
      <c r="Y9" s="45">
        <f t="shared" si="18"/>
        <v>0.43</v>
      </c>
      <c r="Z9" s="42">
        <f>-SUMIFS('Отчет 26-31.01'!P:P,'Отчет 26-31.01'!C:C,"Услуги доставки",'Отчет 26-31.01'!E:E,B9)</f>
        <v>155.81</v>
      </c>
      <c r="AA9" s="32">
        <v>556.81945599999995</v>
      </c>
      <c r="AB9" s="55"/>
      <c r="AC9" s="42"/>
      <c r="AD9" s="46">
        <f t="shared" si="7"/>
        <v>20</v>
      </c>
      <c r="AE9" s="47">
        <f t="shared" ref="AE9:AE16" si="24">U9-W9-X9-Z9-AA9-AB9-AC9-AD9</f>
        <v>284.37054400000011</v>
      </c>
      <c r="AF9" s="46"/>
      <c r="AG9" s="48">
        <f t="shared" ref="AG9:AG16" si="25">IF(R9=0,0,U9/R9)</f>
        <v>2000</v>
      </c>
      <c r="AH9" s="49">
        <f t="shared" ref="AH9:AH16" si="26">H9</f>
        <v>123</v>
      </c>
      <c r="AI9" s="49">
        <f t="shared" ref="AI9:AI16" si="27">IF(R9=0,0,X9/R9)</f>
        <v>860</v>
      </c>
      <c r="AJ9" s="49">
        <f t="shared" ref="AJ9:AJ16" si="28">IF(P9=0,Z9/1,Z9/P9)</f>
        <v>155.81</v>
      </c>
      <c r="AK9" s="49">
        <f t="shared" ref="AK9:AK16" si="29">IF(P9=0,0,AA9/P9)</f>
        <v>556.81945599999995</v>
      </c>
      <c r="AL9" s="49">
        <f t="array" ref="AL9">_xlfn.IFS(R9=0,AE9,R9&lt;0,AE9/-R9,R9&gt;0,AE9/R9)</f>
        <v>284.37054400000011</v>
      </c>
      <c r="AM9" s="50">
        <f t="shared" ref="AM9:AM16" si="30">IF(AG9=0,0,AL9/AG9)</f>
        <v>0.14218527200000006</v>
      </c>
      <c r="AN9" s="51">
        <f t="shared" ref="AN9:AN16" si="31">IF(AH9=0,0,AL9/AH9)</f>
        <v>2.3119556422764238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6</v>
      </c>
      <c r="L10" s="36"/>
      <c r="M10" s="36"/>
      <c r="N10" s="37">
        <f t="shared" si="19"/>
        <v>0.8571428571428571</v>
      </c>
      <c r="O10" s="38">
        <f t="shared" si="20"/>
        <v>0</v>
      </c>
      <c r="P10" s="39">
        <f>SUMIFS('Отчет 26-31.01'!H:H,'Отчет 26-31.01'!D:D,"Выручка",'Отчет 26-31.01'!E:E,B10)</f>
        <v>0</v>
      </c>
      <c r="Q10" s="39">
        <f>SUMIFS('Отчет 26-31.01'!H:H,'Отчет 26-31.01'!D:D,"Возврат выручки",'Отчет 26-31.01'!E:E,B10)</f>
        <v>0</v>
      </c>
      <c r="R10" s="40">
        <f t="shared" si="21"/>
        <v>0</v>
      </c>
      <c r="S10" s="41">
        <f>SUMIFS('Отчет 26-31.01'!P:P,'Отчет 26-31.01'!C:C,"Продажи",'Отчет 26-31.01'!E:E,B10)</f>
        <v>0</v>
      </c>
      <c r="T10" s="42">
        <f>SUMIFS('Отчет 26-31.01'!P:P,'Отчет 26-31.01'!C:C,"Возвраты",'Отчет 26-31.01'!E:E,B10)</f>
        <v>0</v>
      </c>
      <c r="U10" s="40">
        <f t="shared" si="22"/>
        <v>0</v>
      </c>
      <c r="V10" s="43">
        <f t="shared" si="4"/>
        <v>0</v>
      </c>
      <c r="W10" s="44">
        <f t="shared" si="23"/>
        <v>0</v>
      </c>
      <c r="X10" s="42">
        <f>-SUMIFS('Отчет 26-31.01'!P:P,'Отчет 26-31.01'!C:C,"Вознаграждение Ozon",'Отчет 26-31.01'!E:E,B10)</f>
        <v>0</v>
      </c>
      <c r="Y10" s="45">
        <f t="shared" si="18"/>
        <v>0</v>
      </c>
      <c r="Z10" s="42">
        <f>-SUMIFS('Отчет 26-31.01'!P:P,'Отчет 26-31.01'!C:C,"Услуги доставки",'Отчет 26-31.01'!E:E,B10)</f>
        <v>0</v>
      </c>
      <c r="AA10" s="32">
        <v>1517.4338640000001</v>
      </c>
      <c r="AB10" s="55"/>
      <c r="AC10" s="42"/>
      <c r="AD10" s="46">
        <f t="shared" si="7"/>
        <v>0</v>
      </c>
      <c r="AE10" s="47">
        <f t="shared" si="24"/>
        <v>-1517.4338640000001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-1517.4338640000001</v>
      </c>
      <c r="AM10" s="50">
        <f t="shared" si="30"/>
        <v>0</v>
      </c>
      <c r="AN10" s="51">
        <f t="shared" si="31"/>
        <v>-12.336860682926829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59</v>
      </c>
      <c r="L11" s="36"/>
      <c r="M11" s="36"/>
      <c r="N11" s="37">
        <f t="shared" si="19"/>
        <v>8.4285714285714288</v>
      </c>
      <c r="O11" s="38">
        <f t="shared" si="20"/>
        <v>5.7142857142857144</v>
      </c>
      <c r="P11" s="39">
        <f>SUMIFS('Отчет 26-31.01'!H:H,'Отчет 26-31.01'!D:D,"Выручка",'Отчет 26-31.01'!E:E,B11)</f>
        <v>40</v>
      </c>
      <c r="Q11" s="39">
        <f>SUMIFS('Отчет 26-31.01'!H:H,'Отчет 26-31.01'!D:D,"Возврат выручки",'Отчет 26-31.01'!E:E,B11)</f>
        <v>0</v>
      </c>
      <c r="R11" s="40">
        <f t="shared" si="21"/>
        <v>40</v>
      </c>
      <c r="S11" s="41">
        <f>SUMIFS('Отчет 26-31.01'!P:P,'Отчет 26-31.01'!C:C,"Продажи",'Отчет 26-31.01'!E:E,B11)</f>
        <v>72075.000000000029</v>
      </c>
      <c r="T11" s="42">
        <f>SUMIFS('Отчет 26-31.01'!P:P,'Отчет 26-31.01'!C:C,"Возвраты",'Отчет 26-31.01'!E:E,B11)</f>
        <v>0</v>
      </c>
      <c r="U11" s="40">
        <f t="shared" si="22"/>
        <v>72075.000000000029</v>
      </c>
      <c r="V11" s="43">
        <f t="shared" si="4"/>
        <v>0.36593167244609398</v>
      </c>
      <c r="W11" s="44">
        <f t="shared" si="23"/>
        <v>4920</v>
      </c>
      <c r="X11" s="42">
        <f>-SUMIFS('Отчет 26-31.01'!P:P,'Отчет 26-31.01'!C:C,"Вознаграждение Ozon",'Отчет 26-31.01'!E:E,B11)</f>
        <v>30992.25</v>
      </c>
      <c r="Y11" s="45">
        <f t="shared" si="18"/>
        <v>0.42999999999999983</v>
      </c>
      <c r="Z11" s="42">
        <f>-SUMIFS('Отчет 26-31.01'!P:P,'Отчет 26-31.01'!C:C,"Услуги доставки",'Отчет 26-31.01'!E:E,B11)</f>
        <v>6782.3799999999965</v>
      </c>
      <c r="AA11" s="32">
        <v>16128.437425</v>
      </c>
      <c r="AB11" s="55"/>
      <c r="AC11" s="42"/>
      <c r="AD11" s="46">
        <f t="shared" si="7"/>
        <v>720.75000000000034</v>
      </c>
      <c r="AE11" s="47">
        <f t="shared" si="24"/>
        <v>12531.182575000032</v>
      </c>
      <c r="AF11" s="46"/>
      <c r="AG11" s="48">
        <f t="shared" si="25"/>
        <v>1801.8750000000007</v>
      </c>
      <c r="AH11" s="49">
        <f t="shared" si="26"/>
        <v>123</v>
      </c>
      <c r="AI11" s="49">
        <f t="shared" si="27"/>
        <v>774.80624999999998</v>
      </c>
      <c r="AJ11" s="49">
        <f t="shared" si="28"/>
        <v>169.5594999999999</v>
      </c>
      <c r="AK11" s="49">
        <f t="shared" si="29"/>
        <v>403.21093562499999</v>
      </c>
      <c r="AL11" s="49">
        <f t="array" ref="AL11">_xlfn.IFS(R11=0,AE11,R11&lt;0,AE11/-R11,R11&gt;0,AE11/R11)</f>
        <v>313.2795643750008</v>
      </c>
      <c r="AM11" s="50">
        <f t="shared" si="30"/>
        <v>0.17386309503988939</v>
      </c>
      <c r="AN11" s="51">
        <f t="shared" si="31"/>
        <v>2.5469883282520391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5</v>
      </c>
      <c r="L12" s="36"/>
      <c r="M12" s="36"/>
      <c r="N12" s="37">
        <f t="shared" si="19"/>
        <v>0.7142857142857143</v>
      </c>
      <c r="O12" s="38">
        <f t="shared" si="20"/>
        <v>0</v>
      </c>
      <c r="P12" s="39">
        <f>SUMIFS('Отчет 26-31.01'!H:H,'Отчет 26-31.01'!D:D,"Выручка",'Отчет 26-31.01'!E:E,B12)</f>
        <v>0</v>
      </c>
      <c r="Q12" s="39">
        <f>SUMIFS('Отчет 26-31.01'!H:H,'Отчет 26-31.01'!D:D,"Возврат выручки",'Отчет 26-31.01'!E:E,B12)</f>
        <v>0</v>
      </c>
      <c r="R12" s="40">
        <f t="shared" si="21"/>
        <v>0</v>
      </c>
      <c r="S12" s="41">
        <f>SUMIFS('Отчет 26-31.01'!P:P,'Отчет 26-31.01'!C:C,"Продажи",'Отчет 26-31.01'!E:E,B12)</f>
        <v>0</v>
      </c>
      <c r="T12" s="42">
        <f>SUMIFS('Отчет 26-31.01'!P:P,'Отчет 26-31.01'!C:C,"Возвраты",'Отчет 26-31.01'!E:E,B12)</f>
        <v>0</v>
      </c>
      <c r="U12" s="40">
        <f t="shared" si="22"/>
        <v>0</v>
      </c>
      <c r="V12" s="43">
        <f t="shared" si="4"/>
        <v>0</v>
      </c>
      <c r="W12" s="44">
        <f t="shared" si="23"/>
        <v>0</v>
      </c>
      <c r="X12" s="42">
        <f>-SUMIFS('Отчет 26-31.01'!P:P,'Отчет 26-31.01'!C:C,"Вознаграждение Ozon",'Отчет 26-31.01'!E:E,B12)</f>
        <v>0</v>
      </c>
      <c r="Y12" s="45">
        <f t="shared" si="18"/>
        <v>0</v>
      </c>
      <c r="Z12" s="42">
        <f>-SUMIFS('Отчет 26-31.01'!P:P,'Отчет 26-31.01'!C:C,"Услуги доставки",'Отчет 26-31.01'!E:E,B12)</f>
        <v>0</v>
      </c>
      <c r="AA12" s="32">
        <v>555.84385799999995</v>
      </c>
      <c r="AB12" s="55"/>
      <c r="AC12" s="42"/>
      <c r="AD12" s="46">
        <f t="shared" si="7"/>
        <v>0</v>
      </c>
      <c r="AE12" s="47">
        <f t="shared" si="24"/>
        <v>-555.84385799999995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-555.84385799999995</v>
      </c>
      <c r="AM12" s="50">
        <f t="shared" si="30"/>
        <v>0</v>
      </c>
      <c r="AN12" s="51">
        <f t="shared" si="31"/>
        <v>-4.7508022051282044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2</v>
      </c>
      <c r="L13" s="36"/>
      <c r="M13" s="36"/>
      <c r="N13" s="37">
        <f t="shared" si="19"/>
        <v>0.2857142857142857</v>
      </c>
      <c r="O13" s="38">
        <f t="shared" si="20"/>
        <v>0.14285714285714285</v>
      </c>
      <c r="P13" s="39">
        <f>SUMIFS('Отчет 26-31.01'!H:H,'Отчет 26-31.01'!D:D,"Выручка",'Отчет 26-31.01'!E:E,B13)</f>
        <v>1</v>
      </c>
      <c r="Q13" s="39">
        <f>SUMIFS('Отчет 26-31.01'!H:H,'Отчет 26-31.01'!D:D,"Возврат выручки",'Отчет 26-31.01'!E:E,B13)</f>
        <v>0</v>
      </c>
      <c r="R13" s="40">
        <f t="shared" si="21"/>
        <v>1</v>
      </c>
      <c r="S13" s="41">
        <f>SUMIFS('Отчет 26-31.01'!P:P,'Отчет 26-31.01'!C:C,"Продажи",'Отчет 26-31.01'!E:E,B13)</f>
        <v>2000</v>
      </c>
      <c r="T13" s="42">
        <f>SUMIFS('Отчет 26-31.01'!P:P,'Отчет 26-31.01'!C:C,"Возвраты",'Отчет 26-31.01'!E:E,B13)</f>
        <v>0</v>
      </c>
      <c r="U13" s="40">
        <f t="shared" si="22"/>
        <v>2000</v>
      </c>
      <c r="V13" s="43">
        <f t="shared" si="4"/>
        <v>1.0154191396353627E-2</v>
      </c>
      <c r="W13" s="44">
        <f t="shared" si="23"/>
        <v>123</v>
      </c>
      <c r="X13" s="42">
        <f>-SUMIFS('Отчет 26-31.01'!P:P,'Отчет 26-31.01'!C:C,"Вознаграждение Ozon",'Отчет 26-31.01'!E:E,B13)</f>
        <v>860</v>
      </c>
      <c r="Y13" s="45">
        <f t="shared" si="18"/>
        <v>0.43</v>
      </c>
      <c r="Z13" s="42">
        <f>-SUMIFS('Отчет 26-31.01'!P:P,'Отчет 26-31.01'!C:C,"Услуги доставки",'Отчет 26-31.01'!E:E,B13)</f>
        <v>155.81</v>
      </c>
      <c r="AA13" s="32">
        <v>633.384051</v>
      </c>
      <c r="AB13" s="55"/>
      <c r="AC13" s="42"/>
      <c r="AD13" s="46">
        <f t="shared" si="7"/>
        <v>20</v>
      </c>
      <c r="AE13" s="47">
        <f t="shared" si="24"/>
        <v>207.80594900000006</v>
      </c>
      <c r="AF13" s="46"/>
      <c r="AG13" s="48">
        <f t="shared" si="25"/>
        <v>2000</v>
      </c>
      <c r="AH13" s="49">
        <f t="shared" si="26"/>
        <v>123</v>
      </c>
      <c r="AI13" s="49">
        <f t="shared" si="27"/>
        <v>860</v>
      </c>
      <c r="AJ13" s="49">
        <f t="shared" si="28"/>
        <v>155.81</v>
      </c>
      <c r="AK13" s="49">
        <f t="shared" si="29"/>
        <v>633.384051</v>
      </c>
      <c r="AL13" s="49">
        <f t="array" ref="AL13">_xlfn.IFS(R13=0,AE13,R13&lt;0,AE13/-R13,R13&gt;0,AE13/R13)</f>
        <v>207.80594900000006</v>
      </c>
      <c r="AM13" s="50">
        <f t="shared" si="30"/>
        <v>0.10390297450000002</v>
      </c>
      <c r="AN13" s="51">
        <f t="shared" si="31"/>
        <v>1.6894792601626021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26-31.01'!H:H,'Отчет 26-31.01'!D:D,"Выручка",'Отчет 26-31.01'!E:E,B14)</f>
        <v>0</v>
      </c>
      <c r="Q14" s="39">
        <f>SUMIFS('Отчет 26-31.01'!H:H,'Отчет 26-31.01'!D:D,"Возврат выручки",'Отчет 26-31.01'!E:E,B14)</f>
        <v>0</v>
      </c>
      <c r="R14" s="40">
        <f t="shared" si="21"/>
        <v>0</v>
      </c>
      <c r="S14" s="41">
        <f>SUMIFS('Отчет 26-31.01'!P:P,'Отчет 26-31.01'!C:C,"Продажи",'Отчет 26-31.01'!E:E,B14)</f>
        <v>0</v>
      </c>
      <c r="T14" s="42">
        <f>SUMIFS('Отчет 26-31.01'!P:P,'Отчет 26-31.01'!C:C,"Возвраты",'Отчет 26-31.01'!E:E,B14)</f>
        <v>0</v>
      </c>
      <c r="U14" s="40">
        <f t="shared" si="22"/>
        <v>0</v>
      </c>
      <c r="V14" s="43">
        <f t="shared" si="4"/>
        <v>0</v>
      </c>
      <c r="W14" s="44">
        <f t="shared" si="23"/>
        <v>0</v>
      </c>
      <c r="X14" s="42">
        <f>-SUMIFS('Отчет 26-31.01'!P:P,'Отчет 26-31.01'!C:C,"Вознаграждение Ozon",'Отчет 26-31.01'!E:E,B14)</f>
        <v>0</v>
      </c>
      <c r="Y14" s="45">
        <f t="shared" si="18"/>
        <v>0</v>
      </c>
      <c r="Z14" s="42">
        <f>-SUMIFS('Отчет 26-31.01'!P:P,'Отчет 26-31.01'!C:C,"Услуги доставки",'Отчет 26-31.01'!E:E,B14)</f>
        <v>0</v>
      </c>
      <c r="AA14" s="32">
        <v>607.06545600000004</v>
      </c>
      <c r="AB14" s="55"/>
      <c r="AC14" s="42"/>
      <c r="AD14" s="46">
        <f t="shared" si="7"/>
        <v>0</v>
      </c>
      <c r="AE14" s="47">
        <f t="shared" si="24"/>
        <v>-607.06545600000004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-607.06545600000004</v>
      </c>
      <c r="AM14" s="50">
        <f t="shared" si="30"/>
        <v>0</v>
      </c>
      <c r="AN14" s="51">
        <f t="shared" si="31"/>
        <v>-4.9354915121951226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55</v>
      </c>
      <c r="L15" s="36"/>
      <c r="M15" s="36"/>
      <c r="N15" s="37">
        <f t="shared" si="19"/>
        <v>7.8571428571428568</v>
      </c>
      <c r="O15" s="38">
        <f t="shared" si="20"/>
        <v>4.7142857142857144</v>
      </c>
      <c r="P15" s="39">
        <f>SUMIFS('Отчет 26-31.01'!H:H,'Отчет 26-31.01'!D:D,"Выручка",'Отчет 26-31.01'!E:E,B15)</f>
        <v>34</v>
      </c>
      <c r="Q15" s="39">
        <f>SUMIFS('Отчет 26-31.01'!H:H,'Отчет 26-31.01'!D:D,"Возврат выручки",'Отчет 26-31.01'!E:E,B15)</f>
        <v>1</v>
      </c>
      <c r="R15" s="40">
        <f t="shared" si="21"/>
        <v>33</v>
      </c>
      <c r="S15" s="41">
        <f>SUMIFS('Отчет 26-31.01'!P:P,'Отчет 26-31.01'!C:C,"Продажи",'Отчет 26-31.01'!E:E,B15)</f>
        <v>61658.000000000029</v>
      </c>
      <c r="T15" s="42">
        <f>SUMIFS('Отчет 26-31.01'!P:P,'Отчет 26-31.01'!C:C,"Возвраты",'Отчет 26-31.01'!E:E,B15)</f>
        <v>-1845</v>
      </c>
      <c r="U15" s="40">
        <f t="shared" si="22"/>
        <v>59813.000000000029</v>
      </c>
      <c r="V15" s="43">
        <f>U15/$U$24</f>
        <v>0.30367632499504987</v>
      </c>
      <c r="W15" s="44">
        <f t="shared" si="23"/>
        <v>4059</v>
      </c>
      <c r="X15" s="42">
        <f>-SUMIFS('Отчет 26-31.01'!P:P,'Отчет 26-31.01'!C:C,"Вознаграждение Ozon",'Отчет 26-31.01'!E:E,B15)</f>
        <v>25719.59</v>
      </c>
      <c r="Y15" s="45">
        <f t="shared" si="18"/>
        <v>0.42999999999999977</v>
      </c>
      <c r="Z15" s="42">
        <f>-SUMIFS('Отчет 26-31.01'!P:P,'Отчет 26-31.01'!C:C,"Услуги доставки",'Отчет 26-31.01'!E:E,B15)</f>
        <v>7005.0699999999988</v>
      </c>
      <c r="AA15" s="32">
        <v>12274.135395000001</v>
      </c>
      <c r="AB15" s="55"/>
      <c r="AC15" s="42"/>
      <c r="AD15" s="46">
        <f t="shared" si="7"/>
        <v>598.13000000000034</v>
      </c>
      <c r="AE15" s="47">
        <f t="shared" si="24"/>
        <v>10157.074605000027</v>
      </c>
      <c r="AF15" s="46"/>
      <c r="AG15" s="48">
        <f t="shared" si="25"/>
        <v>1812.5151515151524</v>
      </c>
      <c r="AH15" s="49">
        <f t="shared" si="26"/>
        <v>123</v>
      </c>
      <c r="AI15" s="49">
        <f t="shared" si="27"/>
        <v>779.38151515151515</v>
      </c>
      <c r="AJ15" s="49">
        <f t="shared" si="28"/>
        <v>206.03147058823527</v>
      </c>
      <c r="AK15" s="49">
        <f t="shared" si="29"/>
        <v>361.00398220588238</v>
      </c>
      <c r="AL15" s="49">
        <f t="array" ref="AL15">_xlfn.IFS(R15=0,AE15,R15&lt;0,AE15/-R15,R15&gt;0,AE15/R15)</f>
        <v>307.79013954545536</v>
      </c>
      <c r="AM15" s="50">
        <f t="shared" si="30"/>
        <v>0.16981382985304236</v>
      </c>
      <c r="AN15" s="51">
        <f t="shared" si="31"/>
        <v>2.5023588580931331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2</v>
      </c>
      <c r="N16" s="37">
        <f t="shared" si="19"/>
        <v>0.2857142857142857</v>
      </c>
      <c r="O16" s="38">
        <f t="shared" si="20"/>
        <v>0</v>
      </c>
      <c r="P16" s="39">
        <f>SUMIFS('Отчет 26-31.01'!H:H,'Отчет 26-31.01'!D:D,"Выручка",'Отчет 26-31.01'!E:E,B16)</f>
        <v>0</v>
      </c>
      <c r="Q16" s="39">
        <f>SUMIFS('Отчет 26-31.01'!H:H,'Отчет 26-31.01'!D:D,"Возврат выручки",'Отчет 26-31.01'!E:E,B16)</f>
        <v>0</v>
      </c>
      <c r="R16" s="40">
        <f t="shared" si="21"/>
        <v>0</v>
      </c>
      <c r="S16" s="41">
        <f>SUMIFS('Отчет 26-31.01'!P:P,'Отчет 26-31.01'!C:C,"Продажи",'Отчет 26-31.01'!E:E,B16)</f>
        <v>0</v>
      </c>
      <c r="T16" s="42">
        <f>SUMIFS('Отчет 26-31.01'!P:P,'Отчет 26-31.01'!C:C,"Возвраты",'Отчет 26-31.01'!E:E,B16)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26-31.01'!P:P,'Отчет 26-31.01'!C:C,"Вознаграждение Ozon",'Отчет 26-31.01'!E:E,B16)</f>
        <v>0</v>
      </c>
      <c r="Y16" s="45">
        <f t="shared" si="18"/>
        <v>0</v>
      </c>
      <c r="Z16" s="42">
        <f>-SUMIFS('Отчет 26-31.01'!P:P,'Отчет 26-31.01'!C:C,"Услуги доставки",'Отчет 26-31.01'!E:E,B16)</f>
        <v>0</v>
      </c>
      <c r="AA16" s="32">
        <v>1324.84465</v>
      </c>
      <c r="AB16" s="55"/>
      <c r="AC16" s="42"/>
      <c r="AD16" s="46">
        <f t="shared" si="7"/>
        <v>0</v>
      </c>
      <c r="AE16" s="47">
        <f t="shared" si="24"/>
        <v>-1324.84465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-1324.84465</v>
      </c>
      <c r="AM16" s="50">
        <f t="shared" si="30"/>
        <v>0</v>
      </c>
      <c r="AN16" s="51">
        <f t="shared" si="31"/>
        <v>-11.323458547008547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1816.9692760942762</v>
      </c>
      <c r="AH17" s="58">
        <f t="shared" si="33"/>
        <v>127.26</v>
      </c>
      <c r="AI17" s="58">
        <f t="shared" si="33"/>
        <v>781.29678872053876</v>
      </c>
      <c r="AJ17" s="58">
        <f t="shared" si="33"/>
        <v>182.02822512708786</v>
      </c>
      <c r="AK17" s="58">
        <f t="shared" si="33"/>
        <v>433.88948476361651</v>
      </c>
      <c r="AL17" s="58">
        <f t="shared" si="33"/>
        <v>-25.264967097369375</v>
      </c>
      <c r="AM17" s="59">
        <f t="shared" si="33"/>
        <v>0.14579103669483151</v>
      </c>
      <c r="AN17" s="59">
        <f t="shared" si="33"/>
        <v>-0.28284850603955841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200</v>
      </c>
      <c r="L18" s="67"/>
      <c r="M18" s="67"/>
      <c r="N18" s="68"/>
      <c r="O18" s="69"/>
      <c r="P18" s="64">
        <f t="shared" ref="P18:X18" si="34">SUM(P3:P16)</f>
        <v>112</v>
      </c>
      <c r="Q18" s="64">
        <f t="shared" si="34"/>
        <v>2</v>
      </c>
      <c r="R18" s="64">
        <f t="shared" si="34"/>
        <v>110</v>
      </c>
      <c r="S18" s="70">
        <f t="shared" si="34"/>
        <v>200558.00000000006</v>
      </c>
      <c r="T18" s="64">
        <f t="shared" si="34"/>
        <v>-3595</v>
      </c>
      <c r="U18" s="64">
        <f t="shared" si="34"/>
        <v>196963.00000000006</v>
      </c>
      <c r="V18" s="71">
        <f t="shared" si="34"/>
        <v>1</v>
      </c>
      <c r="W18" s="64">
        <f t="shared" si="34"/>
        <v>13886.49</v>
      </c>
      <c r="X18" s="64">
        <f t="shared" si="34"/>
        <v>84694.09</v>
      </c>
      <c r="Y18" s="72">
        <f>IF(U18=0,0,X18/U18)</f>
        <v>0.42999999999999988</v>
      </c>
      <c r="Z18" s="64">
        <f>SUM(Z3:Z16)</f>
        <v>20843.549999999992</v>
      </c>
      <c r="AA18" s="64">
        <f>IFERROR(P18*AA24/P24,0)</f>
        <v>50770.67</v>
      </c>
      <c r="AB18" s="64">
        <f>SUM(AB3:AB16)</f>
        <v>0</v>
      </c>
      <c r="AC18" s="64">
        <f>SUM(AC3:AC16)</f>
        <v>0</v>
      </c>
      <c r="AD18" s="73">
        <f>SUM(AD3:AD16)</f>
        <v>1969.6300000000008</v>
      </c>
      <c r="AE18" s="74">
        <f>SUM(AE3:AE16)</f>
        <v>25688.364701000068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49880.875298999992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200</v>
      </c>
      <c r="L24" s="119"/>
      <c r="M24" s="119"/>
      <c r="N24" s="119"/>
      <c r="O24" s="119"/>
      <c r="P24" s="120">
        <f>P18+P22</f>
        <v>112</v>
      </c>
      <c r="Q24" s="118">
        <f>Q18+Q22</f>
        <v>2</v>
      </c>
      <c r="R24" s="121">
        <f>R18-R22</f>
        <v>110</v>
      </c>
      <c r="S24" s="118">
        <f t="shared" ref="S24:X24" si="37">S18+S22</f>
        <v>200558.00000000006</v>
      </c>
      <c r="T24" s="118">
        <f t="shared" si="37"/>
        <v>-3595</v>
      </c>
      <c r="U24" s="121">
        <f t="shared" si="37"/>
        <v>196963.00000000006</v>
      </c>
      <c r="V24" s="122">
        <f t="shared" si="37"/>
        <v>1</v>
      </c>
      <c r="W24" s="118">
        <f t="shared" si="37"/>
        <v>13886.49</v>
      </c>
      <c r="X24" s="118">
        <f t="shared" si="37"/>
        <v>84694.09</v>
      </c>
      <c r="Y24" s="123">
        <f>X24/U24</f>
        <v>0.42999999999999988</v>
      </c>
      <c r="Z24" s="118">
        <f>Z18+Z22</f>
        <v>20843.549999999992</v>
      </c>
      <c r="AA24" s="124">
        <v>50770.67</v>
      </c>
      <c r="AB24" s="125"/>
      <c r="AC24" s="125">
        <f>SUM(AC3:AC20)</f>
        <v>0</v>
      </c>
      <c r="AD24" s="118">
        <f>AD18+AD22</f>
        <v>1969.6300000000008</v>
      </c>
      <c r="AE24" s="126">
        <f>AE18+AE22</f>
        <v>25688.364701000068</v>
      </c>
      <c r="AF24" s="127"/>
      <c r="AG24" s="128"/>
      <c r="AH24" s="129"/>
      <c r="AI24" s="129"/>
      <c r="AJ24" s="129"/>
      <c r="AK24" s="129">
        <f>AA25/P24</f>
        <v>453.30955357142858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50770.67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49880.875298999992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64" priority="19" operator="greaterThan">
      <formula>120</formula>
    </cfRule>
  </conditionalFormatting>
  <conditionalFormatting sqref="N23">
    <cfRule type="cellIs" dxfId="63" priority="18" operator="between">
      <formula>0.000001</formula>
      <formula>25</formula>
    </cfRule>
  </conditionalFormatting>
  <conditionalFormatting sqref="V1 V25:V28 V30:V1048576">
    <cfRule type="cellIs" dxfId="62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{D53ED195-B93E-4056-831C-533399CE2CD2}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{EC5CA01B-78C4-4D1E-A962-5E7F33EBAAB1}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{B303449F-3A7A-4A80-8CD0-C475AA293519}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{988F2034-B698-49BF-931A-5D9376935AB7}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{771CE262-A16C-4E4C-BF34-F96932D21E1C}</x14:id>
        </ext>
      </extLst>
    </cfRule>
  </conditionalFormatting>
  <conditionalFormatting sqref="P23">
    <cfRule type="cellIs" dxfId="61" priority="14" operator="greaterThan">
      <formula>120</formula>
    </cfRule>
  </conditionalFormatting>
  <conditionalFormatting sqref="Q23">
    <cfRule type="cellIs" dxfId="60" priority="13" operator="greaterThan">
      <formula>120</formula>
    </cfRule>
  </conditionalFormatting>
  <conditionalFormatting sqref="R23">
    <cfRule type="cellIs" dxfId="59" priority="12" operator="greaterThan">
      <formula>120</formula>
    </cfRule>
  </conditionalFormatting>
  <conditionalFormatting sqref="S23">
    <cfRule type="cellIs" dxfId="58" priority="11" operator="greaterThan">
      <formula>120</formula>
    </cfRule>
  </conditionalFormatting>
  <conditionalFormatting sqref="T23">
    <cfRule type="cellIs" dxfId="57" priority="10" operator="greaterThan">
      <formula>120</formula>
    </cfRule>
  </conditionalFormatting>
  <conditionalFormatting sqref="U23">
    <cfRule type="cellIs" dxfId="56" priority="9" operator="greaterThan">
      <formula>120</formula>
    </cfRule>
  </conditionalFormatting>
  <conditionalFormatting sqref="V23">
    <cfRule type="cellIs" dxfId="55" priority="8" operator="greaterThan">
      <formula>120</formula>
    </cfRule>
  </conditionalFormatting>
  <conditionalFormatting sqref="W23">
    <cfRule type="cellIs" dxfId="54" priority="7" operator="greaterThan">
      <formula>120</formula>
    </cfRule>
  </conditionalFormatting>
  <conditionalFormatting sqref="X23">
    <cfRule type="cellIs" dxfId="53" priority="6" operator="greaterThan">
      <formula>120</formula>
    </cfRule>
  </conditionalFormatting>
  <conditionalFormatting sqref="Z23">
    <cfRule type="cellIs" dxfId="52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{8009561B-4456-49AC-B2A9-362154ACE3AE}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{2DE156A7-B95C-4815-BACA-F31839B3061D}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{037450C4-2ECC-452D-A656-7285B7353000}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{52A1A32E-D96F-4353-9AC9-E81390E654D5}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{FDF48268-1AE3-4113-982E-F1CF32E0F03B}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{D33996A9-1E26-4C08-94A0-2E52B47539BB}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{BBF34934-4428-467C-9A5B-4F9961E8F2EE}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{B801069B-0C2E-4816-B91E-B824A2F1F7D0}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{771DF96F-6F59-47D8-9A22-623B1ABD7922}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{D8052482-F140-451A-B7F4-82F9791CAE9B}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{D97B82B4-E673-4782-BA55-5FA7A94C0C65}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{0C0A523A-5026-4578-9B68-123371952CD1}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{93A8B479-663F-47F8-819E-9B734CD09881}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{DAF8368B-89F7-4524-9030-5E592646380E}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{44C5F42F-62A9-49FC-A5D9-F9E66BC081A6}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{D9174BA0-A8FB-4DD8-9B5E-AEFA216307B6}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53ED195-B93E-4056-831C-533399CE2CD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EC5CA01B-78C4-4D1E-A962-5E7F33EBAAB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B303449F-3A7A-4A80-8CD0-C475AA29351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988F2034-B698-49BF-931A-5D9376935AB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771CE262-A16C-4E4C-BF34-F96932D21E1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8009561B-4456-49AC-B2A9-362154ACE3A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DE156A7-B95C-4815-BACA-F31839B3061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37450C4-2ECC-452D-A656-7285B73530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52A1A32E-D96F-4353-9AC9-E81390E654D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FDF48268-1AE3-4113-982E-F1CF32E0F03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D33996A9-1E26-4C08-94A0-2E52B47539B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BBF34934-4428-467C-9A5B-4F9961E8F2E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B801069B-0C2E-4816-B91E-B824A2F1F7D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771DF96F-6F59-47D8-9A22-623B1ABD792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D8052482-F140-451A-B7F4-82F9791CAE9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D97B82B4-E673-4782-BA55-5FA7A94C0C6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0C0A523A-5026-4578-9B68-123371952CD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3A8B479-663F-47F8-819E-9B734CD0988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DAF8368B-89F7-4524-9030-5E592646380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44C5F42F-62A9-49FC-A5D9-F9E66BC081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9174BA0-A8FB-4DD8-9B5E-AEFA216307B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55AF58-3618-4D98-B174-4BBCC11573F2}">
  <dimension ref="A1:AZ37"/>
  <sheetViews>
    <sheetView zoomScale="70" zoomScaleNormal="70" workbookViewId="0">
      <pane xSplit="2" ySplit="2" topLeftCell="O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61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62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370</v>
      </c>
      <c r="D3" s="33"/>
      <c r="E3" s="33"/>
      <c r="F3" s="33"/>
      <c r="G3" s="34"/>
      <c r="H3" s="35">
        <v>142.97999999999999</v>
      </c>
      <c r="I3" s="33">
        <f t="shared" ref="I3:I16" si="0">C3*H3</f>
        <v>52902.6</v>
      </c>
      <c r="J3" s="36"/>
      <c r="K3" s="32">
        <v>3</v>
      </c>
      <c r="L3" s="36"/>
      <c r="M3" s="36"/>
      <c r="N3" s="37">
        <f t="shared" ref="N3:N7" si="1">K3/7</f>
        <v>0.42857142857142855</v>
      </c>
      <c r="O3" s="38">
        <f t="shared" ref="O3:O7" si="2">R3/7</f>
        <v>0.7142857142857143</v>
      </c>
      <c r="P3" s="39">
        <f>SUMIFS('Отчет 19-25.01'!H:H,'Отчет 19-25.01'!D:D,"Выручка",'Отчет 19-25.01'!E:E,B3)</f>
        <v>5</v>
      </c>
      <c r="Q3" s="39">
        <f>SUMIFS('Отчет 19-25.01'!H:H,'Отчет 19-25.01'!D:D,"Возврат выручки",'Отчет 19-25.01'!E:E,B3)</f>
        <v>0</v>
      </c>
      <c r="R3" s="40">
        <f t="shared" ref="R3:R7" si="3">P3-Q3</f>
        <v>5</v>
      </c>
      <c r="S3" s="41">
        <f>SUMIFS('Отчет 19-25.01'!P:P,'Отчет 19-25.01'!C:C,"Продажи",'Отчет 19-25.01'!E:E,B3)</f>
        <v>8046</v>
      </c>
      <c r="T3" s="42">
        <f>SUMIFS('Отчет 19-25.01'!P:P,'Отчет 19-25.01'!C:C,"Возвраты",'Отчет 19-25.01'!E:E,B3)</f>
        <v>0</v>
      </c>
      <c r="U3" s="40">
        <f t="shared" ref="U3:U7" si="4">S3+T3</f>
        <v>8046</v>
      </c>
      <c r="V3" s="43">
        <f t="shared" ref="V3:V14" si="5">U3/$U$24</f>
        <v>5.0930819919103171E-2</v>
      </c>
      <c r="W3" s="44">
        <f t="shared" ref="W3:W7" si="6">R3*H3</f>
        <v>714.9</v>
      </c>
      <c r="X3" s="42">
        <f>-SUMIFS('Отчет 19-25.01'!P:P,'Отчет 19-25.01'!C:C,"Вознаграждение Ozon",'Отчет 19-25.01'!E:E,B3)</f>
        <v>3459.7799999999997</v>
      </c>
      <c r="Y3" s="45">
        <f t="shared" ref="Y3" si="7">IF(U3=0,0,X3/U3)</f>
        <v>0.43</v>
      </c>
      <c r="Z3" s="42">
        <f>-SUMIFS('Отчет 19-25.01'!P:P,'Отчет 19-25.01'!C:C,"Услуги доставки",'Отчет 19-25.01'!E:E,B3)</f>
        <v>735.94999999999993</v>
      </c>
      <c r="AA3" s="32">
        <v>0</v>
      </c>
      <c r="AB3" s="42"/>
      <c r="AC3" s="42"/>
      <c r="AD3" s="46">
        <f t="shared" ref="AD3:AD16" si="8">U3*1%</f>
        <v>80.460000000000008</v>
      </c>
      <c r="AE3" s="47">
        <f t="shared" ref="AE3:AE7" si="9">U3-W3-X3-Z3-AA3-AB3-AC3-AD3</f>
        <v>3054.9100000000008</v>
      </c>
      <c r="AF3" s="46"/>
      <c r="AG3" s="48">
        <f t="shared" ref="AG3:AG7" si="10">IF(R3=0,0,U3/R3)</f>
        <v>1609.2</v>
      </c>
      <c r="AH3" s="49">
        <f t="shared" ref="AH3:AH7" si="11">H3</f>
        <v>142.97999999999999</v>
      </c>
      <c r="AI3" s="49">
        <f t="shared" ref="AI3:AI7" si="12">IF(R3=0,0,X3/R3)</f>
        <v>691.9559999999999</v>
      </c>
      <c r="AJ3" s="49">
        <f t="shared" ref="AJ3:AJ7" si="13">IF(P3=0,Z3/1,Z3/P3)</f>
        <v>147.19</v>
      </c>
      <c r="AK3" s="49">
        <f t="shared" ref="AK3:AK7" si="14">IF(P3=0,0,AA3/P3)</f>
        <v>0</v>
      </c>
      <c r="AL3" s="49">
        <f>_xlfn.IFS(R3=0,AE3,R3&lt;0,AE3/-R3,R3&gt;0,AE3/R3)</f>
        <v>610.9820000000002</v>
      </c>
      <c r="AM3" s="50">
        <f t="shared" ref="AM3:AM7" si="15">IF(AG3=0,0,AL3/AG3)</f>
        <v>0.37968058662689547</v>
      </c>
      <c r="AN3" s="51">
        <f t="shared" ref="AN3:AN7" si="16">IF(AH3=0,0,AL3/AH3)</f>
        <v>4.273199048818018</v>
      </c>
      <c r="AP3" s="53">
        <f t="shared" ref="AP3:AP7" si="17">AL3*C3</f>
        <v>226063.34000000008</v>
      </c>
    </row>
    <row r="4" spans="1:42">
      <c r="A4" s="30">
        <v>2676784638</v>
      </c>
      <c r="B4" s="31" t="s">
        <v>39</v>
      </c>
      <c r="C4" s="32">
        <v>368</v>
      </c>
      <c r="D4" s="33"/>
      <c r="E4" s="33"/>
      <c r="F4" s="33"/>
      <c r="G4" s="34"/>
      <c r="H4" s="35">
        <v>123.09</v>
      </c>
      <c r="I4" s="33">
        <f t="shared" si="0"/>
        <v>45297.120000000003</v>
      </c>
      <c r="J4" s="36"/>
      <c r="K4" s="32">
        <v>10</v>
      </c>
      <c r="L4" s="36"/>
      <c r="M4" s="36"/>
      <c r="N4" s="37">
        <f t="shared" si="1"/>
        <v>1.4285714285714286</v>
      </c>
      <c r="O4" s="38">
        <f t="shared" si="2"/>
        <v>1</v>
      </c>
      <c r="P4" s="39">
        <f>SUMIFS('Отчет 19-25.01'!H:H,'Отчет 19-25.01'!D:D,"Выручка",'Отчет 19-25.01'!E:E,B4)</f>
        <v>7</v>
      </c>
      <c r="Q4" s="39">
        <f>SUMIFS('Отчет 19-25.01'!H:H,'Отчет 19-25.01'!D:D,"Возврат выручки",'Отчет 19-25.01'!E:E,B4)</f>
        <v>0</v>
      </c>
      <c r="R4" s="40">
        <f t="shared" si="3"/>
        <v>7</v>
      </c>
      <c r="S4" s="41">
        <f>SUMIFS('Отчет 19-25.01'!P:P,'Отчет 19-25.01'!C:C,"Продажи",'Отчет 19-25.01'!E:E,B4)</f>
        <v>12250</v>
      </c>
      <c r="T4" s="42">
        <f>SUMIFS('Отчет 19-25.01'!P:P,'Отчет 19-25.01'!C:C,"Возвраты",'Отчет 19-25.01'!E:E,B4)</f>
        <v>0</v>
      </c>
      <c r="U4" s="40">
        <f t="shared" si="4"/>
        <v>12250</v>
      </c>
      <c r="V4" s="43">
        <f t="shared" si="5"/>
        <v>7.7541951778400925E-2</v>
      </c>
      <c r="W4" s="44">
        <f t="shared" si="6"/>
        <v>861.63</v>
      </c>
      <c r="X4" s="42">
        <f>-SUMIFS('Отчет 19-25.01'!P:P,'Отчет 19-25.01'!C:C,"Вознаграждение Ozon",'Отчет 19-25.01'!E:E,B4)</f>
        <v>5267.5</v>
      </c>
      <c r="Y4" s="45">
        <f t="shared" ref="Y4:Y16" si="18">IF(U4=0,0,X4/U4)</f>
        <v>0.43</v>
      </c>
      <c r="Z4" s="42">
        <f>-SUMIFS('Отчет 19-25.01'!P:P,'Отчет 19-25.01'!C:C,"Услуги доставки",'Отчет 19-25.01'!E:E,B4)</f>
        <v>1015.78</v>
      </c>
      <c r="AA4" s="32">
        <v>103.138271</v>
      </c>
      <c r="AB4" s="42"/>
      <c r="AC4" s="42"/>
      <c r="AD4" s="46">
        <f t="shared" si="8"/>
        <v>122.5</v>
      </c>
      <c r="AE4" s="47">
        <f t="shared" si="9"/>
        <v>4879.4517290000013</v>
      </c>
      <c r="AF4" s="46"/>
      <c r="AG4" s="48">
        <f t="shared" si="10"/>
        <v>1750</v>
      </c>
      <c r="AH4" s="49">
        <f t="shared" si="11"/>
        <v>123.09</v>
      </c>
      <c r="AI4" s="49">
        <f t="shared" si="12"/>
        <v>752.5</v>
      </c>
      <c r="AJ4" s="49">
        <f t="shared" si="13"/>
        <v>145.11142857142858</v>
      </c>
      <c r="AK4" s="49">
        <f t="shared" si="14"/>
        <v>14.734038714285715</v>
      </c>
      <c r="AL4" s="49">
        <f t="array" ref="AL4">_xlfn.IFS(R4=0,AE4,R4&lt;0,AE4/-R4,R4&gt;0,AE4/R4)</f>
        <v>697.06453271428586</v>
      </c>
      <c r="AM4" s="50">
        <f t="shared" si="15"/>
        <v>0.39832259012244908</v>
      </c>
      <c r="AN4" s="51">
        <f t="shared" si="16"/>
        <v>5.6630476294929393</v>
      </c>
      <c r="AP4" s="53">
        <f t="shared" si="17"/>
        <v>256519.74803885719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1</v>
      </c>
      <c r="L5" s="36"/>
      <c r="M5" s="36"/>
      <c r="N5" s="37">
        <f t="shared" si="1"/>
        <v>0.14285714285714285</v>
      </c>
      <c r="O5" s="38">
        <f t="shared" si="2"/>
        <v>0.42857142857142855</v>
      </c>
      <c r="P5" s="39">
        <f>SUMIFS('Отчет 19-25.01'!H:H,'Отчет 19-25.01'!D:D,"Выручка",'Отчет 19-25.01'!E:E,B5)</f>
        <v>3</v>
      </c>
      <c r="Q5" s="39">
        <f>SUMIFS('Отчет 19-25.01'!H:H,'Отчет 19-25.01'!D:D,"Возврат выручки",'Отчет 19-25.01'!E:E,B5)</f>
        <v>0</v>
      </c>
      <c r="R5" s="40">
        <f t="shared" si="3"/>
        <v>3</v>
      </c>
      <c r="S5" s="41">
        <f>SUMIFS('Отчет 19-25.01'!P:P,'Отчет 19-25.01'!C:C,"Продажи",'Отчет 19-25.01'!E:E,B5)</f>
        <v>5250</v>
      </c>
      <c r="T5" s="42">
        <f>SUMIFS('Отчет 19-25.01'!P:P,'Отчет 19-25.01'!C:C,"Возвраты",'Отчет 19-25.01'!E:E,B5)</f>
        <v>0</v>
      </c>
      <c r="U5" s="40">
        <f t="shared" si="4"/>
        <v>5250</v>
      </c>
      <c r="V5" s="43">
        <f t="shared" si="5"/>
        <v>3.3232265047886109E-2</v>
      </c>
      <c r="W5" s="44">
        <f t="shared" si="6"/>
        <v>369.27</v>
      </c>
      <c r="X5" s="42">
        <f>-SUMIFS('Отчет 19-25.01'!P:P,'Отчет 19-25.01'!C:C,"Вознаграждение Ozon",'Отчет 19-25.01'!E:E,B5)</f>
        <v>2257.5</v>
      </c>
      <c r="Y5" s="45">
        <f t="shared" si="18"/>
        <v>0.43</v>
      </c>
      <c r="Z5" s="42">
        <f>-SUMIFS('Отчет 19-25.01'!P:P,'Отчет 19-25.01'!C:C,"Услуги доставки",'Отчет 19-25.01'!E:E,B5)</f>
        <v>483.61</v>
      </c>
      <c r="AA5" s="32">
        <v>0</v>
      </c>
      <c r="AB5" s="55"/>
      <c r="AC5" s="42"/>
      <c r="AD5" s="46">
        <f t="shared" si="8"/>
        <v>52.5</v>
      </c>
      <c r="AE5" s="47">
        <f t="shared" si="9"/>
        <v>2087.1199999999994</v>
      </c>
      <c r="AF5" s="46"/>
      <c r="AG5" s="48">
        <f t="shared" si="10"/>
        <v>1750</v>
      </c>
      <c r="AH5" s="49">
        <f t="shared" si="11"/>
        <v>123.09</v>
      </c>
      <c r="AI5" s="49">
        <f t="shared" si="12"/>
        <v>752.5</v>
      </c>
      <c r="AJ5" s="49">
        <f t="shared" si="13"/>
        <v>161.20333333333335</v>
      </c>
      <c r="AK5" s="49">
        <f t="shared" si="14"/>
        <v>0</v>
      </c>
      <c r="AL5" s="49">
        <f t="array" ref="AL5">_xlfn.IFS(R5=0,AE5,R5&lt;0,AE5/-R5,R5&gt;0,AE5/R5)</f>
        <v>695.70666666666648</v>
      </c>
      <c r="AM5" s="50">
        <f t="shared" si="15"/>
        <v>0.39754666666666655</v>
      </c>
      <c r="AN5" s="51">
        <f t="shared" si="16"/>
        <v>5.6520161399517947</v>
      </c>
      <c r="AP5" s="53">
        <f t="shared" si="17"/>
        <v>263672.8266666666</v>
      </c>
    </row>
    <row r="6" spans="1:42">
      <c r="A6" s="30">
        <v>2676784514</v>
      </c>
      <c r="B6" s="31" t="s">
        <v>41</v>
      </c>
      <c r="C6" s="32">
        <v>687</v>
      </c>
      <c r="D6" s="33"/>
      <c r="E6" s="33"/>
      <c r="F6" s="33"/>
      <c r="G6" s="34"/>
      <c r="H6" s="35">
        <v>123.09</v>
      </c>
      <c r="I6" s="54">
        <f t="shared" si="0"/>
        <v>84562.83</v>
      </c>
      <c r="J6" s="36"/>
      <c r="K6" s="32">
        <v>17</v>
      </c>
      <c r="L6" s="36"/>
      <c r="M6" s="36"/>
      <c r="N6" s="37">
        <f t="shared" si="1"/>
        <v>2.4285714285714284</v>
      </c>
      <c r="O6" s="38">
        <f t="shared" si="2"/>
        <v>2.5714285714285716</v>
      </c>
      <c r="P6" s="39">
        <f>SUMIFS('Отчет 19-25.01'!H:H,'Отчет 19-25.01'!D:D,"Выручка",'Отчет 19-25.01'!E:E,B6)</f>
        <v>18</v>
      </c>
      <c r="Q6" s="39">
        <f>SUMIFS('Отчет 19-25.01'!H:H,'Отчет 19-25.01'!D:D,"Возврат выручки",'Отчет 19-25.01'!E:E,B6)</f>
        <v>0</v>
      </c>
      <c r="R6" s="40">
        <f t="shared" si="3"/>
        <v>18</v>
      </c>
      <c r="S6" s="41">
        <f>SUMIFS('Отчет 19-25.01'!P:P,'Отчет 19-25.01'!C:C,"Продажи",'Отчет 19-25.01'!E:E,B6)</f>
        <v>31350</v>
      </c>
      <c r="T6" s="42">
        <f>SUMIFS('Отчет 19-25.01'!P:P,'Отчет 19-25.01'!C:C,"Возвраты",'Отчет 19-25.01'!E:E,B6)</f>
        <v>0</v>
      </c>
      <c r="U6" s="40">
        <f t="shared" si="4"/>
        <v>31350</v>
      </c>
      <c r="V6" s="43">
        <f t="shared" si="5"/>
        <v>0.19844409700023422</v>
      </c>
      <c r="W6" s="44">
        <f t="shared" si="6"/>
        <v>2215.62</v>
      </c>
      <c r="X6" s="42">
        <f>-SUMIFS('Отчет 19-25.01'!P:P,'Отчет 19-25.01'!C:C,"Вознаграждение Ozon",'Отчет 19-25.01'!E:E,B6)</f>
        <v>13480.5</v>
      </c>
      <c r="Y6" s="45">
        <f t="shared" si="18"/>
        <v>0.43</v>
      </c>
      <c r="Z6" s="42">
        <f>-SUMIFS('Отчет 19-25.01'!P:P,'Отчет 19-25.01'!C:C,"Услуги доставки",'Отчет 19-25.01'!E:E,B6)</f>
        <v>2736.46</v>
      </c>
      <c r="AA6" s="32">
        <v>2445</v>
      </c>
      <c r="AB6" s="55"/>
      <c r="AC6" s="42"/>
      <c r="AD6" s="46">
        <f t="shared" si="8"/>
        <v>313.5</v>
      </c>
      <c r="AE6" s="47">
        <f t="shared" si="9"/>
        <v>10158.920000000002</v>
      </c>
      <c r="AF6" s="46"/>
      <c r="AG6" s="48">
        <f t="shared" si="10"/>
        <v>1741.6666666666667</v>
      </c>
      <c r="AH6" s="49">
        <f t="shared" si="11"/>
        <v>123.09</v>
      </c>
      <c r="AI6" s="49">
        <f t="shared" si="12"/>
        <v>748.91666666666663</v>
      </c>
      <c r="AJ6" s="49">
        <f t="shared" si="13"/>
        <v>152.02555555555557</v>
      </c>
      <c r="AK6" s="49">
        <f t="shared" si="14"/>
        <v>135.83333333333334</v>
      </c>
      <c r="AL6" s="49">
        <f t="array" ref="AL6">_xlfn.IFS(R6=0,AE6,R6&lt;0,AE6/-R6,R6&gt;0,AE6/R6)</f>
        <v>564.38444444444451</v>
      </c>
      <c r="AM6" s="50">
        <f t="shared" si="15"/>
        <v>0.32404848484848486</v>
      </c>
      <c r="AN6" s="51">
        <f t="shared" si="16"/>
        <v>4.5851364403643231</v>
      </c>
      <c r="AP6" s="53">
        <f t="shared" si="17"/>
        <v>387732.1133333334</v>
      </c>
    </row>
    <row r="7" spans="1:42">
      <c r="A7" s="30">
        <v>2676784181</v>
      </c>
      <c r="B7" s="31" t="s">
        <v>42</v>
      </c>
      <c r="C7" s="32">
        <v>700</v>
      </c>
      <c r="D7" s="33"/>
      <c r="E7" s="33"/>
      <c r="F7" s="33"/>
      <c r="G7" s="34"/>
      <c r="H7" s="35">
        <v>117.24</v>
      </c>
      <c r="I7" s="54">
        <f t="shared" si="0"/>
        <v>82068</v>
      </c>
      <c r="J7" s="36"/>
      <c r="K7" s="32">
        <v>28</v>
      </c>
      <c r="L7" s="36"/>
      <c r="M7" s="36"/>
      <c r="N7" s="37">
        <f t="shared" si="1"/>
        <v>4</v>
      </c>
      <c r="O7" s="38">
        <f t="shared" si="2"/>
        <v>1.4285714285714286</v>
      </c>
      <c r="P7" s="39">
        <f>SUMIFS('Отчет 19-25.01'!H:H,'Отчет 19-25.01'!D:D,"Выручка",'Отчет 19-25.01'!E:E,B7)</f>
        <v>10</v>
      </c>
      <c r="Q7" s="39">
        <f>SUMIFS('Отчет 19-25.01'!H:H,'Отчет 19-25.01'!D:D,"Возврат выручки",'Отчет 19-25.01'!E:E,B7)</f>
        <v>0</v>
      </c>
      <c r="R7" s="40">
        <f t="shared" si="3"/>
        <v>10</v>
      </c>
      <c r="S7" s="41">
        <f>SUMIFS('Отчет 19-25.01'!P:P,'Отчет 19-25.01'!C:C,"Продажи",'Отчет 19-25.01'!E:E,B7)</f>
        <v>17500</v>
      </c>
      <c r="T7" s="42">
        <f>SUMIFS('Отчет 19-25.01'!P:P,'Отчет 19-25.01'!C:C,"Возвраты",'Отчет 19-25.01'!E:E,B7)</f>
        <v>0</v>
      </c>
      <c r="U7" s="40">
        <f t="shared" si="4"/>
        <v>17500</v>
      </c>
      <c r="V7" s="43">
        <f t="shared" si="5"/>
        <v>0.11077421682628703</v>
      </c>
      <c r="W7" s="44">
        <f t="shared" si="6"/>
        <v>1172.3999999999999</v>
      </c>
      <c r="X7" s="42">
        <f>-SUMIFS('Отчет 19-25.01'!P:P,'Отчет 19-25.01'!C:C,"Вознаграждение Ozon",'Отчет 19-25.01'!E:E,B7)</f>
        <v>7525</v>
      </c>
      <c r="Y7" s="45">
        <f t="shared" si="18"/>
        <v>0.43</v>
      </c>
      <c r="Z7" s="42">
        <f>-SUMIFS('Отчет 19-25.01'!P:P,'Отчет 19-25.01'!C:C,"Услуги доставки",'Отчет 19-25.01'!E:E,B7)</f>
        <v>1468.48</v>
      </c>
      <c r="AA7" s="32">
        <v>5523.1118040000001</v>
      </c>
      <c r="AB7" s="55"/>
      <c r="AC7" s="42"/>
      <c r="AD7" s="46">
        <f t="shared" si="8"/>
        <v>175</v>
      </c>
      <c r="AE7" s="47">
        <f t="shared" si="9"/>
        <v>1636.0081960000007</v>
      </c>
      <c r="AF7" s="46"/>
      <c r="AG7" s="48">
        <f t="shared" si="10"/>
        <v>1750</v>
      </c>
      <c r="AH7" s="49">
        <f t="shared" si="11"/>
        <v>117.24</v>
      </c>
      <c r="AI7" s="49">
        <f t="shared" si="12"/>
        <v>752.5</v>
      </c>
      <c r="AJ7" s="49">
        <f t="shared" si="13"/>
        <v>146.84800000000001</v>
      </c>
      <c r="AK7" s="49">
        <f t="shared" si="14"/>
        <v>552.31118040000001</v>
      </c>
      <c r="AL7" s="49">
        <f t="array" ref="AL7">_xlfn.IFS(R7=0,AE7,R7&lt;0,AE7/-R7,R7&gt;0,AE7/R7)</f>
        <v>163.60081960000008</v>
      </c>
      <c r="AM7" s="50">
        <f t="shared" si="15"/>
        <v>9.3486182628571474E-2</v>
      </c>
      <c r="AN7" s="51">
        <f t="shared" si="16"/>
        <v>1.3954351722961453</v>
      </c>
      <c r="AP7" s="53">
        <f t="shared" si="17"/>
        <v>114520.57372000006</v>
      </c>
    </row>
    <row r="8" spans="1:42">
      <c r="A8" s="30">
        <v>2676783005</v>
      </c>
      <c r="B8" s="31" t="s">
        <v>43</v>
      </c>
      <c r="C8" s="32">
        <v>356</v>
      </c>
      <c r="D8" s="33"/>
      <c r="E8" s="33"/>
      <c r="F8" s="33"/>
      <c r="G8" s="34"/>
      <c r="H8" s="35">
        <v>169.89</v>
      </c>
      <c r="I8" s="54">
        <f t="shared" si="0"/>
        <v>60480.84</v>
      </c>
      <c r="J8" s="36"/>
      <c r="K8" s="32">
        <v>8</v>
      </c>
      <c r="L8" s="36"/>
      <c r="M8" s="36"/>
      <c r="N8" s="37">
        <f>K8/7</f>
        <v>1.1428571428571428</v>
      </c>
      <c r="O8" s="38">
        <f>R8/7</f>
        <v>0.42857142857142855</v>
      </c>
      <c r="P8" s="39">
        <f>SUMIFS('Отчет 19-25.01'!H:H,'Отчет 19-25.01'!D:D,"Выручка",'Отчет 19-25.01'!E:E,B8)</f>
        <v>4</v>
      </c>
      <c r="Q8" s="39">
        <f>SUMIFS('Отчет 19-25.01'!H:H,'Отчет 19-25.01'!D:D,"Возврат выручки",'Отчет 19-25.01'!E:E,B8)</f>
        <v>1</v>
      </c>
      <c r="R8" s="40">
        <f>P8-Q8</f>
        <v>3</v>
      </c>
      <c r="S8" s="41">
        <f>SUMIFS('Отчет 19-25.01'!P:P,'Отчет 19-25.01'!C:C,"Продажи",'Отчет 19-25.01'!E:E,B8)</f>
        <v>7000.0000000000009</v>
      </c>
      <c r="T8" s="42">
        <f>SUMIFS('Отчет 19-25.01'!P:P,'Отчет 19-25.01'!C:C,"Возвраты",'Отчет 19-25.01'!E:E,B8)</f>
        <v>-1202</v>
      </c>
      <c r="U8" s="40">
        <f>S8+T8</f>
        <v>5798.0000000000009</v>
      </c>
      <c r="V8" s="43">
        <f t="shared" si="5"/>
        <v>3.6701080523360706E-2</v>
      </c>
      <c r="W8" s="44">
        <f>R8*H8</f>
        <v>509.66999999999996</v>
      </c>
      <c r="X8" s="42">
        <f>-SUMIFS('Отчет 19-25.01'!P:P,'Отчет 19-25.01'!C:C,"Вознаграждение Ozon",'Отчет 19-25.01'!E:E,B8)</f>
        <v>2493.14</v>
      </c>
      <c r="Y8" s="45">
        <f t="shared" si="18"/>
        <v>0.42999999999999994</v>
      </c>
      <c r="Z8" s="42">
        <f>-SUMIFS('Отчет 19-25.01'!P:P,'Отчет 19-25.01'!C:C,"Услуги доставки",'Отчет 19-25.01'!E:E,B8)</f>
        <v>598.83999999999992</v>
      </c>
      <c r="AA8" s="32">
        <v>2927.9549779999998</v>
      </c>
      <c r="AB8" s="55"/>
      <c r="AC8" s="42"/>
      <c r="AD8" s="46">
        <f t="shared" si="8"/>
        <v>57.980000000000011</v>
      </c>
      <c r="AE8" s="47">
        <f>U8-W8-X8-Z8-AA8-AB8-AC8-AD8</f>
        <v>-789.5849779999985</v>
      </c>
      <c r="AF8" s="46"/>
      <c r="AG8" s="48">
        <f>IF(R8=0,0,U8/R8)</f>
        <v>1932.666666666667</v>
      </c>
      <c r="AH8" s="49">
        <f>H8</f>
        <v>169.89</v>
      </c>
      <c r="AI8" s="49">
        <f>IF(R8=0,0,X8/R8)</f>
        <v>831.04666666666662</v>
      </c>
      <c r="AJ8" s="49">
        <f>IF(P8=0,Z8/1,Z8/P8)</f>
        <v>149.70999999999998</v>
      </c>
      <c r="AK8" s="49">
        <f>IF(P8=0,0,AA8/P8)</f>
        <v>731.98874449999994</v>
      </c>
      <c r="AL8" s="49">
        <f t="array" ref="AL8">_xlfn.IFS(R8=0,AE8,R8&lt;0,AE8/-R8,R8&gt;0,AE8/R8)</f>
        <v>-263.19499266666617</v>
      </c>
      <c r="AM8" s="50">
        <f>IF(AG8=0,0,AL8/AG8)</f>
        <v>-0.13618230044843022</v>
      </c>
      <c r="AN8" s="51">
        <f>IF(AH8=0,0,AL8/AH8)</f>
        <v>-1.549208268095039</v>
      </c>
      <c r="AP8" s="53">
        <f>AL8*C8</f>
        <v>-93697.417389333161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19-25.01'!H:H,'Отчет 19-25.01'!D:D,"Выручка",'Отчет 19-25.01'!E:E,B9)</f>
        <v>0</v>
      </c>
      <c r="Q9" s="39">
        <f>SUMIFS('Отчет 19-25.01'!H:H,'Отчет 19-25.01'!D:D,"Возврат выручки",'Отчет 19-25.01'!E:E,B9)</f>
        <v>0</v>
      </c>
      <c r="R9" s="40">
        <f t="shared" ref="R9:R16" si="21">P9-Q9</f>
        <v>0</v>
      </c>
      <c r="S9" s="41">
        <f>SUMIFS('Отчет 19-25.01'!P:P,'Отчет 19-25.01'!C:C,"Продажи",'Отчет 19-25.01'!E:E,B9)</f>
        <v>0</v>
      </c>
      <c r="T9" s="42">
        <f>SUMIFS('Отчет 19-25.01'!P:P,'Отчет 19-25.01'!C:C,"Возвраты",'Отчет 19-25.01'!E:E,B9)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19-25.01'!P:P,'Отчет 19-25.01'!C:C,"Вознаграждение Ozon",'Отчет 19-25.01'!E:E,B9)</f>
        <v>0</v>
      </c>
      <c r="Y9" s="45">
        <f t="shared" si="18"/>
        <v>0</v>
      </c>
      <c r="Z9" s="42">
        <f>-SUMIFS('Отчет 19-25.01'!P:P,'Отчет 19-25.01'!C:C,"Услуги доставки",'Отчет 19-25.01'!E:E,B9)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19-25.01'!H:H,'Отчет 19-25.01'!D:D,"Выручка",'Отчет 19-25.01'!E:E,B10)</f>
        <v>0</v>
      </c>
      <c r="Q10" s="39">
        <f>SUMIFS('Отчет 19-25.01'!H:H,'Отчет 19-25.01'!D:D,"Возврат выручки",'Отчет 19-25.01'!E:E,B10)</f>
        <v>0</v>
      </c>
      <c r="R10" s="40">
        <f t="shared" si="21"/>
        <v>0</v>
      </c>
      <c r="S10" s="41">
        <f>SUMIFS('Отчет 19-25.01'!P:P,'Отчет 19-25.01'!C:C,"Продажи",'Отчет 19-25.01'!E:E,B10)</f>
        <v>0</v>
      </c>
      <c r="T10" s="42">
        <f>SUMIFS('Отчет 19-25.01'!P:P,'Отчет 19-25.01'!C:C,"Возвраты",'Отчет 19-25.01'!E:E,B10)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19-25.01'!P:P,'Отчет 19-25.01'!C:C,"Вознаграждение Ozon",'Отчет 19-25.01'!E:E,B10)</f>
        <v>0</v>
      </c>
      <c r="Y10" s="45">
        <f t="shared" si="18"/>
        <v>0</v>
      </c>
      <c r="Z10" s="42">
        <f>-SUMIFS('Отчет 19-25.01'!P:P,'Отчет 19-25.01'!C:C,"Услуги доставки",'Отчет 19-25.01'!E:E,B10)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>
        <v>243</v>
      </c>
      <c r="D11" s="33"/>
      <c r="E11" s="33"/>
      <c r="F11" s="33"/>
      <c r="G11" s="34"/>
      <c r="H11" s="35">
        <v>123</v>
      </c>
      <c r="I11" s="54">
        <f t="shared" si="0"/>
        <v>29889</v>
      </c>
      <c r="J11" s="36"/>
      <c r="K11" s="32">
        <v>42</v>
      </c>
      <c r="L11" s="36"/>
      <c r="M11" s="36"/>
      <c r="N11" s="37">
        <f t="shared" si="19"/>
        <v>6</v>
      </c>
      <c r="O11" s="38">
        <f t="shared" si="20"/>
        <v>3.7142857142857144</v>
      </c>
      <c r="P11" s="39">
        <f>SUMIFS('Отчет 19-25.01'!H:H,'Отчет 19-25.01'!D:D,"Выручка",'Отчет 19-25.01'!E:E,B11)</f>
        <v>27</v>
      </c>
      <c r="Q11" s="39">
        <f>SUMIFS('Отчет 19-25.01'!H:H,'Отчет 19-25.01'!D:D,"Возврат выручки",'Отчет 19-25.01'!E:E,B11)</f>
        <v>1</v>
      </c>
      <c r="R11" s="40">
        <f t="shared" si="21"/>
        <v>26</v>
      </c>
      <c r="S11" s="41">
        <f>SUMIFS('Отчет 19-25.01'!P:P,'Отчет 19-25.01'!C:C,"Продажи",'Отчет 19-25.01'!E:E,B11)</f>
        <v>48545.999999999993</v>
      </c>
      <c r="T11" s="42">
        <f>SUMIFS('Отчет 19-25.01'!P:P,'Отчет 19-25.01'!C:C,"Возвраты",'Отчет 19-25.01'!E:E,B11)</f>
        <v>-2027</v>
      </c>
      <c r="U11" s="40">
        <f t="shared" si="22"/>
        <v>46518.999999999993</v>
      </c>
      <c r="V11" s="43">
        <f t="shared" si="5"/>
        <v>0.29446318814525979</v>
      </c>
      <c r="W11" s="44">
        <f t="shared" si="23"/>
        <v>3198</v>
      </c>
      <c r="X11" s="42">
        <f>-SUMIFS('Отчет 19-25.01'!P:P,'Отчет 19-25.01'!C:C,"Вознаграждение Ozon",'Отчет 19-25.01'!E:E,B11)</f>
        <v>20003.169999999995</v>
      </c>
      <c r="Y11" s="45">
        <f t="shared" si="18"/>
        <v>0.42999999999999994</v>
      </c>
      <c r="Z11" s="42">
        <f>-SUMIFS('Отчет 19-25.01'!P:P,'Отчет 19-25.01'!C:C,"Услуги доставки",'Отчет 19-25.01'!E:E,B11)</f>
        <v>5471.21</v>
      </c>
      <c r="AA11" s="32">
        <v>14720.185926999999</v>
      </c>
      <c r="AB11" s="55"/>
      <c r="AC11" s="42"/>
      <c r="AD11" s="46">
        <f t="shared" si="8"/>
        <v>465.18999999999994</v>
      </c>
      <c r="AE11" s="47">
        <f t="shared" si="24"/>
        <v>2661.2440730000003</v>
      </c>
      <c r="AF11" s="46"/>
      <c r="AG11" s="48">
        <f t="shared" si="25"/>
        <v>1789.1923076923074</v>
      </c>
      <c r="AH11" s="49">
        <f t="shared" si="26"/>
        <v>123</v>
      </c>
      <c r="AI11" s="49">
        <f t="shared" si="27"/>
        <v>769.35269230769211</v>
      </c>
      <c r="AJ11" s="49">
        <f t="shared" si="28"/>
        <v>202.63740740740741</v>
      </c>
      <c r="AK11" s="49">
        <f t="shared" si="29"/>
        <v>545.19207137037029</v>
      </c>
      <c r="AL11" s="49">
        <f t="array" ref="AL11">_xlfn.IFS(R11=0,AE11,R11&lt;0,AE11/-R11,R11&gt;0,AE11/R11)</f>
        <v>102.35554126923078</v>
      </c>
      <c r="AM11" s="50">
        <f t="shared" si="30"/>
        <v>5.7207680152195892E-2</v>
      </c>
      <c r="AN11" s="51">
        <f t="shared" si="31"/>
        <v>0.83215887210756734</v>
      </c>
      <c r="AP11" s="53">
        <f t="shared" si="32"/>
        <v>24872.39652842308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19-25.01'!H:H,'Отчет 19-25.01'!D:D,"Выручка",'Отчет 19-25.01'!E:E,B12)</f>
        <v>0</v>
      </c>
      <c r="Q12" s="39">
        <f>SUMIFS('Отчет 19-25.01'!H:H,'Отчет 19-25.01'!D:D,"Возврат выручки",'Отчет 19-25.01'!E:E,B12)</f>
        <v>0</v>
      </c>
      <c r="R12" s="40">
        <f t="shared" si="21"/>
        <v>0</v>
      </c>
      <c r="S12" s="41">
        <f>SUMIFS('Отчет 19-25.01'!P:P,'Отчет 19-25.01'!C:C,"Продажи",'Отчет 19-25.01'!E:E,B12)</f>
        <v>0</v>
      </c>
      <c r="T12" s="42">
        <f>SUMIFS('Отчет 19-25.01'!P:P,'Отчет 19-25.01'!C:C,"Возвраты",'Отчет 19-25.01'!E:E,B12)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19-25.01'!P:P,'Отчет 19-25.01'!C:C,"Вознаграждение Ozon",'Отчет 19-25.01'!E:E,B12)</f>
        <v>0</v>
      </c>
      <c r="Y12" s="45">
        <f t="shared" si="18"/>
        <v>0</v>
      </c>
      <c r="Z12" s="42">
        <f>-SUMIFS('Отчет 19-25.01'!P:P,'Отчет 19-25.01'!C:C,"Услуги доставки",'Отчет 19-25.01'!E:E,B12)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19-25.01'!H:H,'Отчет 19-25.01'!D:D,"Выручка",'Отчет 19-25.01'!E:E,B13)</f>
        <v>0</v>
      </c>
      <c r="Q13" s="39">
        <f>SUMIFS('Отчет 19-25.01'!H:H,'Отчет 19-25.01'!D:D,"Возврат выручки",'Отчет 19-25.01'!E:E,B13)</f>
        <v>0</v>
      </c>
      <c r="R13" s="40">
        <f t="shared" si="21"/>
        <v>0</v>
      </c>
      <c r="S13" s="41">
        <f>SUMIFS('Отчет 19-25.01'!P:P,'Отчет 19-25.01'!C:C,"Продажи",'Отчет 19-25.01'!E:E,B13)</f>
        <v>0</v>
      </c>
      <c r="T13" s="42">
        <f>SUMIFS('Отчет 19-25.01'!P:P,'Отчет 19-25.01'!C:C,"Возвраты",'Отчет 19-25.01'!E:E,B13)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19-25.01'!P:P,'Отчет 19-25.01'!C:C,"Вознаграждение Ozon",'Отчет 19-25.01'!E:E,B13)</f>
        <v>0</v>
      </c>
      <c r="Y13" s="45">
        <f t="shared" si="18"/>
        <v>0</v>
      </c>
      <c r="Z13" s="42">
        <f>-SUMIFS('Отчет 19-25.01'!P:P,'Отчет 19-25.01'!C:C,"Услуги доставки",'Отчет 19-25.01'!E:E,B13)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19-25.01'!H:H,'Отчет 19-25.01'!D:D,"Выручка",'Отчет 19-25.01'!E:E,B14)</f>
        <v>0</v>
      </c>
      <c r="Q14" s="39">
        <f>SUMIFS('Отчет 19-25.01'!H:H,'Отчет 19-25.01'!D:D,"Возврат выручки",'Отчет 19-25.01'!E:E,B14)</f>
        <v>0</v>
      </c>
      <c r="R14" s="40">
        <f t="shared" si="21"/>
        <v>0</v>
      </c>
      <c r="S14" s="41">
        <f>SUMIFS('Отчет 19-25.01'!P:P,'Отчет 19-25.01'!C:C,"Продажи",'Отчет 19-25.01'!E:E,B14)</f>
        <v>0</v>
      </c>
      <c r="T14" s="42">
        <f>SUMIFS('Отчет 19-25.01'!P:P,'Отчет 19-25.01'!C:C,"Возвраты",'Отчет 19-25.01'!E:E,B14)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19-25.01'!P:P,'Отчет 19-25.01'!C:C,"Вознаграждение Ozon",'Отчет 19-25.01'!E:E,B14)</f>
        <v>0</v>
      </c>
      <c r="Y14" s="45">
        <f t="shared" si="18"/>
        <v>0</v>
      </c>
      <c r="Z14" s="42">
        <f>-SUMIFS('Отчет 19-25.01'!P:P,'Отчет 19-25.01'!C:C,"Услуги доставки",'Отчет 19-25.01'!E:E,B14)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>
        <v>141</v>
      </c>
      <c r="D15" s="33"/>
      <c r="E15" s="33"/>
      <c r="F15" s="33"/>
      <c r="G15" s="34"/>
      <c r="H15" s="35">
        <v>123</v>
      </c>
      <c r="I15" s="54">
        <f t="shared" si="0"/>
        <v>17343</v>
      </c>
      <c r="J15" s="36"/>
      <c r="K15" s="32">
        <v>45</v>
      </c>
      <c r="L15" s="36"/>
      <c r="M15" s="36"/>
      <c r="N15" s="37">
        <f t="shared" si="19"/>
        <v>6.4285714285714288</v>
      </c>
      <c r="O15" s="38">
        <f t="shared" si="20"/>
        <v>2.4285714285714284</v>
      </c>
      <c r="P15" s="39">
        <f>SUMIFS('Отчет 19-25.01'!H:H,'Отчет 19-25.01'!D:D,"Выручка",'Отчет 19-25.01'!E:E,B15)</f>
        <v>17</v>
      </c>
      <c r="Q15" s="39">
        <f>SUMIFS('Отчет 19-25.01'!H:H,'Отчет 19-25.01'!D:D,"Возврат выручки",'Отчет 19-25.01'!E:E,B15)</f>
        <v>0</v>
      </c>
      <c r="R15" s="40">
        <f t="shared" si="21"/>
        <v>17</v>
      </c>
      <c r="S15" s="41">
        <f>SUMIFS('Отчет 19-25.01'!P:P,'Отчет 19-25.01'!C:C,"Продажи",'Отчет 19-25.01'!E:E,B15)</f>
        <v>31266</v>
      </c>
      <c r="T15" s="42">
        <f>SUMIFS('Отчет 19-25.01'!P:P,'Отчет 19-25.01'!C:C,"Возвраты",'Отчет 19-25.01'!E:E,B15)</f>
        <v>0</v>
      </c>
      <c r="U15" s="40">
        <f t="shared" si="22"/>
        <v>31266</v>
      </c>
      <c r="V15" s="43">
        <f>U15/$U$24</f>
        <v>0.19791238075946804</v>
      </c>
      <c r="W15" s="44">
        <f t="shared" si="23"/>
        <v>2091</v>
      </c>
      <c r="X15" s="42">
        <f>-SUMIFS('Отчет 19-25.01'!P:P,'Отчет 19-25.01'!C:C,"Вознаграждение Ozon",'Отчет 19-25.01'!E:E,B15)</f>
        <v>13444.380000000003</v>
      </c>
      <c r="Y15" s="45">
        <f t="shared" si="18"/>
        <v>0.4300000000000001</v>
      </c>
      <c r="Z15" s="42">
        <f>-SUMIFS('Отчет 19-25.01'!P:P,'Отчет 19-25.01'!C:C,"Услуги доставки",'Отчет 19-25.01'!E:E,B15)</f>
        <v>4479.13</v>
      </c>
      <c r="AA15" s="32">
        <v>15381.802261000001</v>
      </c>
      <c r="AB15" s="55"/>
      <c r="AC15" s="42"/>
      <c r="AD15" s="46">
        <f t="shared" si="8"/>
        <v>312.66000000000003</v>
      </c>
      <c r="AE15" s="47">
        <f t="shared" si="24"/>
        <v>-4442.9722610000026</v>
      </c>
      <c r="AF15" s="46"/>
      <c r="AG15" s="48">
        <f t="shared" si="25"/>
        <v>1839.1764705882354</v>
      </c>
      <c r="AH15" s="49">
        <f t="shared" si="26"/>
        <v>123</v>
      </c>
      <c r="AI15" s="49">
        <f t="shared" si="27"/>
        <v>790.84588235294132</v>
      </c>
      <c r="AJ15" s="49">
        <f t="shared" si="28"/>
        <v>263.47823529411767</v>
      </c>
      <c r="AK15" s="49">
        <f t="shared" si="29"/>
        <v>904.81189770588242</v>
      </c>
      <c r="AL15" s="49">
        <f t="array" ref="AL15">_xlfn.IFS(R15=0,AE15,R15&lt;0,AE15/-R15,R15&gt;0,AE15/R15)</f>
        <v>-261.35130947058838</v>
      </c>
      <c r="AM15" s="50">
        <f t="shared" si="30"/>
        <v>-0.14210235594575585</v>
      </c>
      <c r="AN15" s="51">
        <f t="shared" si="31"/>
        <v>-2.124807394069824</v>
      </c>
      <c r="AP15" s="53">
        <f t="shared" si="32"/>
        <v>-36850.53463535296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19-25.01'!H:H,'Отчет 19-25.01'!D:D,"Выручка",'Отчет 19-25.01'!E:E,B16)</f>
        <v>0</v>
      </c>
      <c r="Q16" s="39">
        <f>SUMIFS('Отчет 19-25.01'!H:H,'Отчет 19-25.01'!D:D,"Возврат выручки",'Отчет 19-25.01'!E:E,B16)</f>
        <v>0</v>
      </c>
      <c r="R16" s="40">
        <f t="shared" si="21"/>
        <v>0</v>
      </c>
      <c r="S16" s="41">
        <f>SUMIFS('Отчет 19-25.01'!P:P,'Отчет 19-25.01'!C:C,"Продажи",'Отчет 19-25.01'!E:E,B16)</f>
        <v>0</v>
      </c>
      <c r="T16" s="42">
        <f>SUMIFS('Отчет 19-25.01'!P:P,'Отчет 19-25.01'!C:C,"Возвраты",'Отчет 19-25.01'!E:E,B16)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19-25.01'!P:P,'Отчет 19-25.01'!C:C,"Вознаграждение Ozon",'Отчет 19-25.01'!E:E,B16)</f>
        <v>0</v>
      </c>
      <c r="Y16" s="45">
        <f t="shared" si="18"/>
        <v>0</v>
      </c>
      <c r="Z16" s="42">
        <f>-SUMIFS('Отчет 19-25.01'!P:P,'Отчет 19-25.01'!C:C,"Услуги доставки",'Отчет 19-25.01'!E:E,B16)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1770.2377639517345</v>
      </c>
      <c r="AH17" s="58">
        <f t="shared" si="33"/>
        <v>127.26</v>
      </c>
      <c r="AI17" s="58">
        <f t="shared" si="33"/>
        <v>761.20223849924582</v>
      </c>
      <c r="AJ17" s="58">
        <f t="shared" si="33"/>
        <v>171.02549502023032</v>
      </c>
      <c r="AK17" s="58">
        <f t="shared" si="33"/>
        <v>480.81187767064529</v>
      </c>
      <c r="AL17" s="58">
        <f t="shared" si="33"/>
        <v>288.69346281967171</v>
      </c>
      <c r="AM17" s="59">
        <f t="shared" si="33"/>
        <v>0.17150094183138465</v>
      </c>
      <c r="AN17" s="59">
        <f t="shared" si="33"/>
        <v>2.3408722051082407</v>
      </c>
      <c r="AO17" s="60"/>
      <c r="AP17" s="61"/>
    </row>
    <row r="18" spans="1:52">
      <c r="A18" s="62" t="s">
        <v>44</v>
      </c>
      <c r="B18" s="63"/>
      <c r="C18" s="64">
        <f>SUM(C3:C16)</f>
        <v>3244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419194.5</v>
      </c>
      <c r="J18" s="67"/>
      <c r="K18" s="64">
        <f>SUM(K3:K16)</f>
        <v>154</v>
      </c>
      <c r="L18" s="67"/>
      <c r="M18" s="67"/>
      <c r="N18" s="68"/>
      <c r="O18" s="69"/>
      <c r="P18" s="64">
        <f t="shared" ref="P18:X18" si="34">SUM(P3:P16)</f>
        <v>91</v>
      </c>
      <c r="Q18" s="64">
        <f t="shared" si="34"/>
        <v>2</v>
      </c>
      <c r="R18" s="64">
        <f t="shared" si="34"/>
        <v>89</v>
      </c>
      <c r="S18" s="70">
        <f t="shared" si="34"/>
        <v>161208</v>
      </c>
      <c r="T18" s="64">
        <f t="shared" si="34"/>
        <v>-3229</v>
      </c>
      <c r="U18" s="64">
        <f t="shared" si="34"/>
        <v>157979</v>
      </c>
      <c r="V18" s="71">
        <f t="shared" si="34"/>
        <v>1</v>
      </c>
      <c r="W18" s="64">
        <f t="shared" si="34"/>
        <v>11132.49</v>
      </c>
      <c r="X18" s="64">
        <f t="shared" si="34"/>
        <v>67930.97</v>
      </c>
      <c r="Y18" s="72">
        <f>IF(U18=0,0,X18/U18)</f>
        <v>0.43</v>
      </c>
      <c r="Z18" s="64">
        <f>SUM(Z3:Z16)</f>
        <v>16989.460000000003</v>
      </c>
      <c r="AA18" s="64">
        <f>IFERROR(P18*AA24/P24,0)</f>
        <v>42151.21</v>
      </c>
      <c r="AB18" s="64">
        <f>SUM(AB3:AB16)</f>
        <v>0</v>
      </c>
      <c r="AC18" s="64">
        <f>SUM(AC3:AC16)</f>
        <v>0</v>
      </c>
      <c r="AD18" s="73">
        <f>SUM(AD3:AD16)</f>
        <v>1579.7900000000002</v>
      </c>
      <c r="AE18" s="74">
        <f>SUM(AE3:AE16)</f>
        <v>19245.096759000007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1142833.0462625942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41101.193241000001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3244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419194.5</v>
      </c>
      <c r="J24" s="118">
        <f>J18+J22</f>
        <v>0</v>
      </c>
      <c r="K24" s="118">
        <f>K18+K22</f>
        <v>154</v>
      </c>
      <c r="L24" s="119"/>
      <c r="M24" s="119"/>
      <c r="N24" s="119"/>
      <c r="O24" s="119"/>
      <c r="P24" s="120">
        <f>P18+P22</f>
        <v>91</v>
      </c>
      <c r="Q24" s="118">
        <f>Q18+Q22</f>
        <v>2</v>
      </c>
      <c r="R24" s="121">
        <f>R18-R22</f>
        <v>89</v>
      </c>
      <c r="S24" s="118">
        <f t="shared" ref="S24:X24" si="37">S18+S22</f>
        <v>161208</v>
      </c>
      <c r="T24" s="118">
        <f t="shared" si="37"/>
        <v>-3229</v>
      </c>
      <c r="U24" s="121">
        <f t="shared" si="37"/>
        <v>157979</v>
      </c>
      <c r="V24" s="122">
        <f t="shared" si="37"/>
        <v>1</v>
      </c>
      <c r="W24" s="118">
        <f t="shared" si="37"/>
        <v>11132.49</v>
      </c>
      <c r="X24" s="118">
        <f t="shared" si="37"/>
        <v>67930.97</v>
      </c>
      <c r="Y24" s="123">
        <f>X24/U24</f>
        <v>0.43</v>
      </c>
      <c r="Z24" s="118">
        <f>Z18+Z22</f>
        <v>16989.460000000003</v>
      </c>
      <c r="AA24" s="124">
        <v>42151.21</v>
      </c>
      <c r="AB24" s="125"/>
      <c r="AC24" s="125">
        <f>SUM(AC3:AC20)</f>
        <v>0</v>
      </c>
      <c r="AD24" s="118">
        <f>AD18+AD22</f>
        <v>1579.7900000000002</v>
      </c>
      <c r="AE24" s="126">
        <f>AE18+AE22</f>
        <v>19245.096759000007</v>
      </c>
      <c r="AF24" s="127"/>
      <c r="AG24" s="128"/>
      <c r="AH24" s="129"/>
      <c r="AI24" s="129"/>
      <c r="AJ24" s="129"/>
      <c r="AK24" s="129">
        <f>AA25/P24</f>
        <v>463.2001098901099</v>
      </c>
      <c r="AL24" s="129"/>
      <c r="AM24" s="129"/>
      <c r="AN24" s="130"/>
      <c r="AP24" s="126">
        <f>SUM(AP3:AP20)</f>
        <v>2285666.0925251883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42151.21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41101.193241000001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419194.5</v>
      </c>
      <c r="J32" s="164">
        <f>I32/I24</f>
        <v>1</v>
      </c>
      <c r="K32" s="160">
        <f>AP24-K31-K33</f>
        <v>2285666.0925251883</v>
      </c>
      <c r="L32" s="161">
        <f>K32/I32</f>
        <v>5.4525192781040506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51" priority="17" operator="greaterThan">
      <formula>120</formula>
    </cfRule>
  </conditionalFormatting>
  <conditionalFormatting sqref="N23">
    <cfRule type="cellIs" dxfId="50" priority="16" operator="between">
      <formula>0.000001</formula>
      <formula>25</formula>
    </cfRule>
  </conditionalFormatting>
  <conditionalFormatting sqref="V1 V25:V28 V30:V1048576">
    <cfRule type="cellIs" dxfId="49" priority="18" operator="greaterThan">
      <formula>0.23</formula>
    </cfRule>
  </conditionalFormatting>
  <conditionalFormatting sqref="AM29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{2462C65A-F8FB-4CF0-B438-7F6B0C242A11}</x14:id>
        </ext>
      </extLst>
    </cfRule>
  </conditionalFormatting>
  <conditionalFormatting sqref="U21:V21 U19:V19 U17:V17">
    <cfRule type="dataBar" priority="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{9A21FBF5-57B0-44F7-A05C-DD45D3BE8034}</x14:id>
        </ext>
      </extLst>
    </cfRule>
  </conditionalFormatting>
  <conditionalFormatting sqref="V19 V21 V17">
    <cfRule type="dataBar" priority="20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{86829861-3916-4CAD-921D-BC61F92DE321}</x14:id>
        </ext>
      </extLst>
    </cfRule>
  </conditionalFormatting>
  <conditionalFormatting sqref="AP17">
    <cfRule type="dataBar" priority="1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{016EF9A4-D31E-43F7-BD43-5CD1F213AAF7}</x14:id>
        </ext>
      </extLst>
    </cfRule>
  </conditionalFormatting>
  <conditionalFormatting sqref="AP17">
    <cfRule type="dataBar" priority="1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{BEDD13E8-ECA9-4CC0-8DD0-E2DB0AB9BEBA}</x14:id>
        </ext>
      </extLst>
    </cfRule>
  </conditionalFormatting>
  <conditionalFormatting sqref="P23">
    <cfRule type="cellIs" dxfId="48" priority="12" operator="greaterThan">
      <formula>120</formula>
    </cfRule>
  </conditionalFormatting>
  <conditionalFormatting sqref="Q23">
    <cfRule type="cellIs" dxfId="47" priority="11" operator="greaterThan">
      <formula>120</formula>
    </cfRule>
  </conditionalFormatting>
  <conditionalFormatting sqref="R23">
    <cfRule type="cellIs" dxfId="46" priority="10" operator="greaterThan">
      <formula>120</formula>
    </cfRule>
  </conditionalFormatting>
  <conditionalFormatting sqref="S23">
    <cfRule type="cellIs" dxfId="45" priority="9" operator="greaterThan">
      <formula>120</formula>
    </cfRule>
  </conditionalFormatting>
  <conditionalFormatting sqref="T23">
    <cfRule type="cellIs" dxfId="44" priority="8" operator="greaterThan">
      <formula>120</formula>
    </cfRule>
  </conditionalFormatting>
  <conditionalFormatting sqref="U23">
    <cfRule type="cellIs" dxfId="43" priority="7" operator="greaterThan">
      <formula>120</formula>
    </cfRule>
  </conditionalFormatting>
  <conditionalFormatting sqref="V23">
    <cfRule type="cellIs" dxfId="42" priority="6" operator="greaterThan">
      <formula>120</formula>
    </cfRule>
  </conditionalFormatting>
  <conditionalFormatting sqref="W23">
    <cfRule type="cellIs" dxfId="41" priority="5" operator="greaterThan">
      <formula>120</formula>
    </cfRule>
  </conditionalFormatting>
  <conditionalFormatting sqref="X23">
    <cfRule type="cellIs" dxfId="40" priority="4" operator="greaterThan">
      <formula>120</formula>
    </cfRule>
  </conditionalFormatting>
  <conditionalFormatting sqref="Z23">
    <cfRule type="cellIs" dxfId="39" priority="3" operator="greaterThan">
      <formula>120</formula>
    </cfRule>
  </conditionalFormatting>
  <conditionalFormatting sqref="AP21">
    <cfRule type="dataBar" priority="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{9351B4FA-0FD7-48D1-B087-E1987D423241}</x14:id>
        </ext>
      </extLst>
    </cfRule>
  </conditionalFormatting>
  <conditionalFormatting sqref="AP21">
    <cfRule type="dataBar" priority="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{9C8D15FC-BB47-4F47-A726-0018A6119D15}</x14:id>
        </ext>
      </extLst>
    </cfRule>
  </conditionalFormatting>
  <conditionalFormatting sqref="U20:V20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{2AFD1DE5-5C68-418E-9DE3-9EB147507186}</x14:id>
        </ext>
      </extLst>
    </cfRule>
  </conditionalFormatting>
  <conditionalFormatting sqref="V20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{C3CF0AEA-4DE0-4088-B4BA-9C9774A8796B}</x14:id>
        </ext>
      </extLst>
    </cfRule>
  </conditionalFormatting>
  <conditionalFormatting sqref="AP19:AP20 AP23 AP3:AP14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{C4D5E293-C576-48E8-9ACA-159511DDDA61}</x14:id>
        </ext>
      </extLst>
    </cfRule>
  </conditionalFormatting>
  <conditionalFormatting sqref="AE19:AE21 AE23 AE17 AE3:AE14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{586E017D-05D4-4849-A23F-73BD75935594}</x14:id>
        </ext>
      </extLst>
    </cfRule>
  </conditionalFormatting>
  <conditionalFormatting sqref="AL19:AL20 AL23 AL3:AL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{6FD68190-3F74-42FC-8859-5E1AD0D805ED}</x14:id>
        </ext>
      </extLst>
    </cfRule>
  </conditionalFormatting>
  <conditionalFormatting sqref="AM23:AN23 AM19:AN20 AM3:AN14">
    <cfRule type="dataBar" priority="26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{A1976FE1-7792-42BC-8919-7A4975EEA0AD}</x14:id>
        </ext>
      </extLst>
    </cfRule>
  </conditionalFormatting>
  <conditionalFormatting sqref="AP19:AP20 AP3:AP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{4B866D0F-F03A-48EB-B9B6-C9819071E14A}</x14:id>
        </ext>
      </extLst>
    </cfRule>
  </conditionalFormatting>
  <conditionalFormatting sqref="AE19:AE21 AE17 AE3:AE14">
    <cfRule type="dataBar" priority="28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{81AA7BBE-14F3-4977-A5F9-C789987881B2}</x14:id>
        </ext>
      </extLst>
    </cfRule>
  </conditionalFormatting>
  <conditionalFormatting sqref="AP15:AP16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{10E9CC20-725E-4F3E-A5CB-4040D6D0F5FA}</x14:id>
        </ext>
      </extLst>
    </cfRule>
  </conditionalFormatting>
  <conditionalFormatting sqref="AE15:AE16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{9F56772E-4D55-4973-9531-376FCB9574F2}</x14:id>
        </ext>
      </extLst>
    </cfRule>
  </conditionalFormatting>
  <conditionalFormatting sqref="AL15:AL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{2D06B0A6-DB87-4BDC-B9D1-D6382E40A106}</x14:id>
        </ext>
      </extLst>
    </cfRule>
  </conditionalFormatting>
  <conditionalFormatting sqref="AM15:AN16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{8A9249D0-DFB3-4C0F-BBC6-183B6A771370}</x14:id>
        </ext>
      </extLst>
    </cfRule>
  </conditionalFormatting>
  <conditionalFormatting sqref="U3:V16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{96F45015-4F06-46A4-B3C4-DC43D27F0851}</x14:id>
        </ext>
      </extLst>
    </cfRule>
  </conditionalFormatting>
  <conditionalFormatting sqref="V3:V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{59B545DB-2060-4C48-BF0B-E382BD5E13B2}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2462C65A-F8FB-4CF0-B438-7F6B0C242A1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9A21FBF5-57B0-44F7-A05C-DD45D3BE803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86829861-3916-4CAD-921D-BC61F92DE3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016EF9A4-D31E-43F7-BD43-5CD1F213AAF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BEDD13E8-ECA9-4CC0-8DD0-E2DB0AB9BEB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9351B4FA-0FD7-48D1-B087-E1987D42324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9C8D15FC-BB47-4F47-A726-0018A6119D1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2AFD1DE5-5C68-418E-9DE3-9EB14750718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C3CF0AEA-4DE0-4088-B4BA-9C9774A8796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4D5E293-C576-48E8-9ACA-159511DDDA6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586E017D-05D4-4849-A23F-73BD7593559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6FD68190-3F74-42FC-8859-5E1AD0D805ED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A1976FE1-7792-42BC-8919-7A4975EEA0A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B866D0F-F03A-48EB-B9B6-C9819071E14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81AA7BBE-14F3-4977-A5F9-C789987881B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10E9CC20-725E-4F3E-A5CB-4040D6D0F5F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9F56772E-4D55-4973-9531-376FCB9574F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2D06B0A6-DB87-4BDC-B9D1-D6382E40A10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8A9249D0-DFB3-4C0F-BBC6-183B6A77137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96F45015-4F06-46A4-B3C4-DC43D27F085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59B545DB-2060-4C48-BF0B-E382BD5E13B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3189ED-F462-4394-8C24-C808C2F3E9A3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51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54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>
        <v>373</v>
      </c>
      <c r="D3" s="33"/>
      <c r="E3" s="33"/>
      <c r="F3" s="33"/>
      <c r="G3" s="34"/>
      <c r="H3" s="35">
        <v>142.97999999999999</v>
      </c>
      <c r="I3" s="33">
        <f t="shared" ref="I3:I15" si="0">C3*H3</f>
        <v>53331.539999999994</v>
      </c>
      <c r="J3" s="36"/>
      <c r="K3" s="32">
        <v>3</v>
      </c>
      <c r="L3" s="36"/>
      <c r="M3" s="36"/>
      <c r="N3" s="37">
        <f t="shared" ref="N3:N15" si="1">K3/7</f>
        <v>0.42857142857142855</v>
      </c>
      <c r="O3" s="38">
        <f t="shared" ref="O3:O15" si="2">R3/7</f>
        <v>0.42857142857142855</v>
      </c>
      <c r="P3" s="39">
        <f>SUMIFS('Отчет 12-18.01'!H:H,'Отчет 12-18.01'!D:D,"Выручка",'Отчет 12-18.01'!E:E,B3)</f>
        <v>3</v>
      </c>
      <c r="Q3" s="39">
        <f>SUMIFS('Отчет 12-18.01'!H:H,'Отчет 12-18.01'!D:D,"Возврат выручки",'Отчет 12-18.01'!E:E,B3)</f>
        <v>0</v>
      </c>
      <c r="R3" s="40">
        <f t="shared" ref="R3:R7" si="3">P3-Q3</f>
        <v>3</v>
      </c>
      <c r="S3" s="41">
        <f>SUMIFS('Отчет 12-18.01'!P:P,'Отчет 12-18.01'!C:C,"Продажи",'Отчет 12-18.01'!E:E,B3)</f>
        <v>5050</v>
      </c>
      <c r="T3" s="42">
        <f>SUMIFS('Отчет 12-18.01'!P:P,'Отчет 12-18.01'!C:C,"Возвраты",'Отчет 12-18.01'!E:E,B3)</f>
        <v>0</v>
      </c>
      <c r="U3" s="40">
        <f>S3+T3</f>
        <v>5050</v>
      </c>
      <c r="V3" s="43">
        <f t="shared" ref="V3:V14" si="4">U3/$U$24</f>
        <v>2.4301278102864182E-2</v>
      </c>
      <c r="W3" s="44">
        <f t="shared" ref="W3:W7" si="5">R3*H3</f>
        <v>428.93999999999994</v>
      </c>
      <c r="X3" s="42">
        <f>-SUMIFS('Отчет 12-18.01'!P:P,'Отчет 12-18.01'!C:C,"Вознаграждение Ozon",'Отчет 12-18.01'!E:E,B3)</f>
        <v>2171.5</v>
      </c>
      <c r="Y3" s="45">
        <f t="shared" ref="Y3" si="6">IF(U3=0,0,X3/U3)</f>
        <v>0.43</v>
      </c>
      <c r="Z3" s="42">
        <f>-SUMIFS('Отчет 12-18.01'!P:P,'Отчет 12-18.01'!C:C,"Услуги доставки",'Отчет 12-18.01'!E:E,B3)</f>
        <v>559.51</v>
      </c>
      <c r="AA3" s="32">
        <v>677.42765999999995</v>
      </c>
      <c r="AB3" s="42"/>
      <c r="AC3" s="42"/>
      <c r="AD3" s="46">
        <f t="shared" ref="AD3:AD16" si="7">U3*1%</f>
        <v>50.5</v>
      </c>
      <c r="AE3" s="47">
        <f t="shared" ref="AE3:AE15" si="8">U3-W3-X3-Z3-AA3-AB3-AC3-AD3</f>
        <v>1162.1223400000003</v>
      </c>
      <c r="AF3" s="46"/>
      <c r="AG3" s="48">
        <f t="shared" ref="AG3:AG15" si="9">IF(R3=0,0,U3/R3)</f>
        <v>1683.3333333333333</v>
      </c>
      <c r="AH3" s="49">
        <f t="shared" ref="AH3:AH15" si="10">H3</f>
        <v>142.97999999999999</v>
      </c>
      <c r="AI3" s="49">
        <f t="shared" ref="AI3:AI15" si="11">IF(R3=0,0,X3/R3)</f>
        <v>723.83333333333337</v>
      </c>
      <c r="AJ3" s="49">
        <f t="shared" ref="AJ3:AJ15" si="12">IF(P3=0,Z3/1,Z3/P3)</f>
        <v>186.50333333333333</v>
      </c>
      <c r="AK3" s="49">
        <f t="shared" ref="AK3:AK15" si="13">IF(P3=0,0,AA3/P3)</f>
        <v>225.80921999999998</v>
      </c>
      <c r="AL3" s="49">
        <f>_xlfn.IFS(R3=0,AE3,R3&lt;0,AE3/-R3,R3&gt;0,AE3/R3)</f>
        <v>387.37411333333347</v>
      </c>
      <c r="AM3" s="50">
        <f t="shared" ref="AM3:AM15" si="14">IF(AG3=0,0,AL3/AG3)</f>
        <v>0.23012323564356446</v>
      </c>
      <c r="AN3" s="51">
        <f t="shared" ref="AN3:AN15" si="15">IF(AH3=0,0,AL3/AH3)</f>
        <v>2.7092888049610679</v>
      </c>
      <c r="AP3" s="53">
        <f t="shared" ref="AP3:AP15" si="16">AL3*C3</f>
        <v>144490.54427333339</v>
      </c>
    </row>
    <row r="4" spans="1:42">
      <c r="A4" s="30">
        <v>2676784638</v>
      </c>
      <c r="B4" s="31" t="s">
        <v>39</v>
      </c>
      <c r="C4" s="32">
        <v>379</v>
      </c>
      <c r="D4" s="33"/>
      <c r="E4" s="33"/>
      <c r="F4" s="33"/>
      <c r="G4" s="34"/>
      <c r="H4" s="35">
        <v>123.09</v>
      </c>
      <c r="I4" s="33">
        <f t="shared" si="0"/>
        <v>46651.11</v>
      </c>
      <c r="J4" s="36"/>
      <c r="K4" s="32">
        <v>8</v>
      </c>
      <c r="L4" s="36"/>
      <c r="M4" s="36"/>
      <c r="N4" s="37">
        <f t="shared" si="1"/>
        <v>1.1428571428571428</v>
      </c>
      <c r="O4" s="38">
        <f t="shared" si="2"/>
        <v>0.5714285714285714</v>
      </c>
      <c r="P4" s="39">
        <f>SUMIFS('Отчет 12-18.01'!H:H,'Отчет 12-18.01'!D:D,"Выручка",'Отчет 12-18.01'!E:E,B4)</f>
        <v>4</v>
      </c>
      <c r="Q4" s="39">
        <f>SUMIFS('Отчет 12-18.01'!H:H,'Отчет 12-18.01'!D:D,"Возврат выручки",'Отчет 12-18.01'!E:E,B4)</f>
        <v>0</v>
      </c>
      <c r="R4" s="40">
        <f t="shared" si="3"/>
        <v>4</v>
      </c>
      <c r="S4" s="41">
        <f>SUMIFS('Отчет 12-18.01'!P:P,'Отчет 12-18.01'!C:C,"Продажи",'Отчет 12-18.01'!E:E,B4)</f>
        <v>6900.0000000000009</v>
      </c>
      <c r="T4" s="42">
        <f>SUMIFS('Отчет 12-18.01'!P:P,'Отчет 12-18.01'!C:C,"Возвраты",'Отчет 12-18.01'!E:E,B4)</f>
        <v>0</v>
      </c>
      <c r="U4" s="40">
        <f t="shared" ref="U4:U7" si="17">S4+T4</f>
        <v>6900.0000000000009</v>
      </c>
      <c r="V4" s="43">
        <f t="shared" si="4"/>
        <v>3.3203726516784729E-2</v>
      </c>
      <c r="W4" s="44">
        <f t="shared" si="5"/>
        <v>492.36</v>
      </c>
      <c r="X4" s="42">
        <f>-SUMIFS('Отчет 12-18.01'!P:P,'Отчет 12-18.01'!C:C,"Вознаграждение Ozon",'Отчет 12-18.01'!E:E,B4)</f>
        <v>2967</v>
      </c>
      <c r="Y4" s="45">
        <f t="shared" ref="Y4:Y16" si="18">IF(U4=0,0,X4/U4)</f>
        <v>0.42999999999999994</v>
      </c>
      <c r="Z4" s="42">
        <f>-SUMIFS('Отчет 12-18.01'!P:P,'Отчет 12-18.01'!C:C,"Услуги доставки",'Отчет 12-18.01'!E:E,B4)</f>
        <v>514.54999999999995</v>
      </c>
      <c r="AA4" s="32">
        <v>2111.480732</v>
      </c>
      <c r="AB4" s="42"/>
      <c r="AC4" s="42"/>
      <c r="AD4" s="46">
        <f t="shared" si="7"/>
        <v>69.000000000000014</v>
      </c>
      <c r="AE4" s="47">
        <f t="shared" si="8"/>
        <v>745.60926800000107</v>
      </c>
      <c r="AF4" s="46"/>
      <c r="AG4" s="48">
        <f t="shared" si="9"/>
        <v>1725.0000000000002</v>
      </c>
      <c r="AH4" s="49">
        <f t="shared" si="10"/>
        <v>123.09</v>
      </c>
      <c r="AI4" s="49">
        <f t="shared" si="11"/>
        <v>741.75</v>
      </c>
      <c r="AJ4" s="49">
        <f t="shared" si="12"/>
        <v>128.63749999999999</v>
      </c>
      <c r="AK4" s="49">
        <f t="shared" si="13"/>
        <v>527.870183</v>
      </c>
      <c r="AL4" s="49">
        <f t="array" ref="AL4">_xlfn.IFS(R4=0,AE4,R4&lt;0,AE4/-R4,R4&gt;0,AE4/R4)</f>
        <v>186.40231700000027</v>
      </c>
      <c r="AM4" s="50">
        <f t="shared" si="14"/>
        <v>0.10805931420289869</v>
      </c>
      <c r="AN4" s="51">
        <f t="shared" si="15"/>
        <v>1.5143579250954606</v>
      </c>
      <c r="AP4" s="53">
        <f t="shared" si="16"/>
        <v>70646.478143000102</v>
      </c>
    </row>
    <row r="5" spans="1:42">
      <c r="A5" s="30">
        <v>2676784504</v>
      </c>
      <c r="B5" s="31" t="s">
        <v>40</v>
      </c>
      <c r="C5" s="32">
        <v>379</v>
      </c>
      <c r="D5" s="33"/>
      <c r="E5" s="33"/>
      <c r="F5" s="33"/>
      <c r="G5" s="34"/>
      <c r="H5" s="35">
        <v>123.09</v>
      </c>
      <c r="I5" s="54">
        <f t="shared" si="0"/>
        <v>46651.11</v>
      </c>
      <c r="J5" s="36"/>
      <c r="K5" s="32">
        <v>4</v>
      </c>
      <c r="L5" s="36"/>
      <c r="M5" s="36"/>
      <c r="N5" s="37">
        <f t="shared" si="1"/>
        <v>0.5714285714285714</v>
      </c>
      <c r="O5" s="38">
        <f t="shared" si="2"/>
        <v>0.5714285714285714</v>
      </c>
      <c r="P5" s="39">
        <f>SUMIFS('Отчет 12-18.01'!H:H,'Отчет 12-18.01'!D:D,"Выручка",'Отчет 12-18.01'!E:E,B5)</f>
        <v>4</v>
      </c>
      <c r="Q5" s="39">
        <f>SUMIFS('Отчет 12-18.01'!H:H,'Отчет 12-18.01'!D:D,"Возврат выручки",'Отчет 12-18.01'!E:E,B5)</f>
        <v>0</v>
      </c>
      <c r="R5" s="40">
        <f t="shared" si="3"/>
        <v>4</v>
      </c>
      <c r="S5" s="41">
        <f>SUMIFS('Отчет 12-18.01'!P:P,'Отчет 12-18.01'!C:C,"Продажи",'Отчет 12-18.01'!E:E,B5)</f>
        <v>6800.0000000000009</v>
      </c>
      <c r="T5" s="42">
        <f>SUMIFS('Отчет 12-18.01'!P:P,'Отчет 12-18.01'!C:C,"Возвраты",'Отчет 12-18.01'!E:E,B5)</f>
        <v>0</v>
      </c>
      <c r="U5" s="40">
        <f t="shared" si="17"/>
        <v>6800.0000000000009</v>
      </c>
      <c r="V5" s="43">
        <f t="shared" si="4"/>
        <v>3.2722513089005242E-2</v>
      </c>
      <c r="W5" s="44">
        <f t="shared" si="5"/>
        <v>492.36</v>
      </c>
      <c r="X5" s="42">
        <f>-SUMIFS('Отчет 12-18.01'!P:P,'Отчет 12-18.01'!C:C,"Вознаграждение Ozon",'Отчет 12-18.01'!E:E,B5)</f>
        <v>2924</v>
      </c>
      <c r="Y5" s="45">
        <f t="shared" si="18"/>
        <v>0.42999999999999994</v>
      </c>
      <c r="Z5" s="42">
        <f>-SUMIFS('Отчет 12-18.01'!P:P,'Отчет 12-18.01'!C:C,"Услуги доставки",'Отчет 12-18.01'!E:E,B5)</f>
        <v>518.41999999999996</v>
      </c>
      <c r="AA5" s="32">
        <v>711.73258899999996</v>
      </c>
      <c r="AB5" s="55"/>
      <c r="AC5" s="42"/>
      <c r="AD5" s="46">
        <f t="shared" si="7"/>
        <v>68.000000000000014</v>
      </c>
      <c r="AE5" s="47">
        <f t="shared" si="8"/>
        <v>2085.487411000001</v>
      </c>
      <c r="AF5" s="46"/>
      <c r="AG5" s="48">
        <f t="shared" si="9"/>
        <v>1700.0000000000002</v>
      </c>
      <c r="AH5" s="49">
        <f t="shared" si="10"/>
        <v>123.09</v>
      </c>
      <c r="AI5" s="49">
        <f t="shared" si="11"/>
        <v>731</v>
      </c>
      <c r="AJ5" s="49">
        <f t="shared" si="12"/>
        <v>129.60499999999999</v>
      </c>
      <c r="AK5" s="49">
        <f t="shared" si="13"/>
        <v>177.93314724999999</v>
      </c>
      <c r="AL5" s="49">
        <f t="array" ref="AL5">_xlfn.IFS(R5=0,AE5,R5&lt;0,AE5/-R5,R5&gt;0,AE5/R5)</f>
        <v>521.37185275000024</v>
      </c>
      <c r="AM5" s="50">
        <f t="shared" si="14"/>
        <v>0.30668932514705893</v>
      </c>
      <c r="AN5" s="51">
        <f t="shared" si="15"/>
        <v>4.2356962608660345</v>
      </c>
      <c r="AP5" s="53">
        <f t="shared" si="16"/>
        <v>197599.9321922501</v>
      </c>
    </row>
    <row r="6" spans="1:42">
      <c r="A6" s="30">
        <v>2676784514</v>
      </c>
      <c r="B6" s="31" t="s">
        <v>41</v>
      </c>
      <c r="C6" s="32">
        <v>696</v>
      </c>
      <c r="D6" s="33"/>
      <c r="E6" s="33"/>
      <c r="F6" s="33"/>
      <c r="G6" s="34"/>
      <c r="H6" s="35">
        <v>123.09</v>
      </c>
      <c r="I6" s="54">
        <f t="shared" si="0"/>
        <v>85670.64</v>
      </c>
      <c r="J6" s="36"/>
      <c r="K6" s="32">
        <v>26</v>
      </c>
      <c r="L6" s="36"/>
      <c r="M6" s="36"/>
      <c r="N6" s="37">
        <f t="shared" si="1"/>
        <v>3.7142857142857144</v>
      </c>
      <c r="O6" s="38">
        <f t="shared" si="2"/>
        <v>2.8571428571428572</v>
      </c>
      <c r="P6" s="39">
        <f>SUMIFS('Отчет 12-18.01'!H:H,'Отчет 12-18.01'!D:D,"Выручка",'Отчет 12-18.01'!E:E,B6)</f>
        <v>21</v>
      </c>
      <c r="Q6" s="39">
        <f>SUMIFS('Отчет 12-18.01'!H:H,'Отчет 12-18.01'!D:D,"Возврат выручки",'Отчет 12-18.01'!E:E,B6)</f>
        <v>1</v>
      </c>
      <c r="R6" s="40">
        <f t="shared" si="3"/>
        <v>20</v>
      </c>
      <c r="S6" s="41">
        <f>SUMIFS('Отчет 12-18.01'!P:P,'Отчет 12-18.01'!C:C,"Продажи",'Отчет 12-18.01'!E:E,B6)</f>
        <v>36000.000000000007</v>
      </c>
      <c r="T6" s="42">
        <f>SUMIFS('Отчет 12-18.01'!P:P,'Отчет 12-18.01'!C:C,"Возвраты",'Отчет 12-18.01'!E:E,B6)</f>
        <v>-1600</v>
      </c>
      <c r="U6" s="40">
        <f t="shared" si="17"/>
        <v>34400.000000000007</v>
      </c>
      <c r="V6" s="43">
        <f t="shared" si="4"/>
        <v>0.16553741915614417</v>
      </c>
      <c r="W6" s="44">
        <f t="shared" si="5"/>
        <v>2461.8000000000002</v>
      </c>
      <c r="X6" s="42">
        <f>-SUMIFS('Отчет 12-18.01'!P:P,'Отчет 12-18.01'!C:C,"Вознаграждение Ozon",'Отчет 12-18.01'!E:E,B6)</f>
        <v>14792</v>
      </c>
      <c r="Y6" s="45">
        <f t="shared" si="18"/>
        <v>0.42999999999999988</v>
      </c>
      <c r="Z6" s="42">
        <f>-SUMIFS('Отчет 12-18.01'!P:P,'Отчет 12-18.01'!C:C,"Услуги доставки",'Отчет 12-18.01'!E:E,B6)</f>
        <v>3963.63</v>
      </c>
      <c r="AA6" s="32">
        <v>7852.2995849999998</v>
      </c>
      <c r="AB6" s="55"/>
      <c r="AC6" s="42"/>
      <c r="AD6" s="46">
        <f t="shared" si="7"/>
        <v>344.00000000000006</v>
      </c>
      <c r="AE6" s="47">
        <f t="shared" si="8"/>
        <v>4986.2704150000072</v>
      </c>
      <c r="AF6" s="46"/>
      <c r="AG6" s="48">
        <f t="shared" si="9"/>
        <v>1720.0000000000005</v>
      </c>
      <c r="AH6" s="49">
        <f t="shared" si="10"/>
        <v>123.09</v>
      </c>
      <c r="AI6" s="49">
        <f t="shared" si="11"/>
        <v>739.6</v>
      </c>
      <c r="AJ6" s="49">
        <f t="shared" si="12"/>
        <v>188.74428571428572</v>
      </c>
      <c r="AK6" s="49">
        <f t="shared" si="13"/>
        <v>373.91902785714285</v>
      </c>
      <c r="AL6" s="49">
        <f t="array" ref="AL6">_xlfn.IFS(R6=0,AE6,R6&lt;0,AE6/-R6,R6&gt;0,AE6/R6)</f>
        <v>249.31352075000035</v>
      </c>
      <c r="AM6" s="50">
        <f t="shared" si="14"/>
        <v>0.14494972136627923</v>
      </c>
      <c r="AN6" s="51">
        <f t="shared" si="15"/>
        <v>2.0254571512714303</v>
      </c>
      <c r="AP6" s="53">
        <f t="shared" si="16"/>
        <v>173522.21044200024</v>
      </c>
    </row>
    <row r="7" spans="1:42">
      <c r="A7" s="30">
        <v>2676784181</v>
      </c>
      <c r="B7" s="31" t="s">
        <v>42</v>
      </c>
      <c r="C7" s="32">
        <v>722</v>
      </c>
      <c r="D7" s="33"/>
      <c r="E7" s="33"/>
      <c r="F7" s="33"/>
      <c r="G7" s="34"/>
      <c r="H7" s="35">
        <v>117.24</v>
      </c>
      <c r="I7" s="54">
        <f t="shared" si="0"/>
        <v>84647.28</v>
      </c>
      <c r="J7" s="36"/>
      <c r="K7" s="32">
        <v>11</v>
      </c>
      <c r="L7" s="36"/>
      <c r="M7" s="36"/>
      <c r="N7" s="37">
        <f t="shared" si="1"/>
        <v>1.5714285714285714</v>
      </c>
      <c r="O7" s="38">
        <f t="shared" si="2"/>
        <v>1.4285714285714286</v>
      </c>
      <c r="P7" s="39">
        <f>SUMIFS('Отчет 12-18.01'!H:H,'Отчет 12-18.01'!D:D,"Выручка",'Отчет 12-18.01'!E:E,B7)</f>
        <v>10</v>
      </c>
      <c r="Q7" s="39">
        <f>SUMIFS('Отчет 12-18.01'!H:H,'Отчет 12-18.01'!D:D,"Возврат выручки",'Отчет 12-18.01'!E:E,B7)</f>
        <v>0</v>
      </c>
      <c r="R7" s="40">
        <f t="shared" si="3"/>
        <v>10</v>
      </c>
      <c r="S7" s="41">
        <f>SUMIFS('Отчет 12-18.01'!P:P,'Отчет 12-18.01'!C:C,"Продажи",'Отчет 12-18.01'!E:E,B7)</f>
        <v>16900.000000000004</v>
      </c>
      <c r="T7" s="42">
        <f>SUMIFS('Отчет 12-18.01'!P:P,'Отчет 12-18.01'!C:C,"Возвраты",'Отчет 12-18.01'!E:E,B7)</f>
        <v>0</v>
      </c>
      <c r="U7" s="40">
        <f t="shared" si="17"/>
        <v>16900.000000000004</v>
      </c>
      <c r="V7" s="43">
        <f t="shared" si="4"/>
        <v>8.1325069294733612E-2</v>
      </c>
      <c r="W7" s="44">
        <f t="shared" si="5"/>
        <v>1172.3999999999999</v>
      </c>
      <c r="X7" s="42">
        <f>-SUMIFS('Отчет 12-18.01'!P:P,'Отчет 12-18.01'!C:C,"Вознаграждение Ozon",'Отчет 12-18.01'!E:E,B7)</f>
        <v>7267</v>
      </c>
      <c r="Y7" s="45">
        <f t="shared" si="18"/>
        <v>0.42999999999999988</v>
      </c>
      <c r="Z7" s="42">
        <f>-SUMIFS('Отчет 12-18.01'!P:P,'Отчет 12-18.01'!C:C,"Услуги доставки",'Отчет 12-18.01'!E:E,B7)</f>
        <v>1556.33</v>
      </c>
      <c r="AA7" s="32">
        <v>2926.8702000000003</v>
      </c>
      <c r="AB7" s="55"/>
      <c r="AC7" s="42"/>
      <c r="AD7" s="46">
        <f t="shared" si="7"/>
        <v>169.00000000000003</v>
      </c>
      <c r="AE7" s="47">
        <f t="shared" si="8"/>
        <v>3808.3998000000038</v>
      </c>
      <c r="AF7" s="46"/>
      <c r="AG7" s="48">
        <f t="shared" si="9"/>
        <v>1690.0000000000005</v>
      </c>
      <c r="AH7" s="49">
        <f t="shared" si="10"/>
        <v>117.24</v>
      </c>
      <c r="AI7" s="49">
        <f t="shared" si="11"/>
        <v>726.7</v>
      </c>
      <c r="AJ7" s="49">
        <f t="shared" si="12"/>
        <v>155.63299999999998</v>
      </c>
      <c r="AK7" s="49">
        <f t="shared" si="13"/>
        <v>292.68702000000002</v>
      </c>
      <c r="AL7" s="49">
        <f t="array" ref="AL7">_xlfn.IFS(R7=0,AE7,R7&lt;0,AE7/-R7,R7&gt;0,AE7/R7)</f>
        <v>380.83998000000037</v>
      </c>
      <c r="AM7" s="50">
        <f t="shared" si="14"/>
        <v>0.22534910059171614</v>
      </c>
      <c r="AN7" s="51">
        <f t="shared" si="15"/>
        <v>3.2483792221084986</v>
      </c>
      <c r="AP7" s="53">
        <f t="shared" si="16"/>
        <v>274966.46556000027</v>
      </c>
    </row>
    <row r="8" spans="1:42">
      <c r="A8" s="30">
        <v>2676783005</v>
      </c>
      <c r="B8" s="31" t="s">
        <v>43</v>
      </c>
      <c r="C8" s="32">
        <v>362</v>
      </c>
      <c r="D8" s="33"/>
      <c r="E8" s="33"/>
      <c r="F8" s="33"/>
      <c r="G8" s="34"/>
      <c r="H8" s="35">
        <v>169.89</v>
      </c>
      <c r="I8" s="54">
        <f t="shared" ref="I8:I14" si="19">C8*H8</f>
        <v>61500.179999999993</v>
      </c>
      <c r="J8" s="36"/>
      <c r="K8" s="32">
        <v>4</v>
      </c>
      <c r="L8" s="36"/>
      <c r="M8" s="36"/>
      <c r="N8" s="37">
        <f>K8/7</f>
        <v>0.5714285714285714</v>
      </c>
      <c r="O8" s="38">
        <f>R8/7</f>
        <v>1</v>
      </c>
      <c r="P8" s="39">
        <f>SUMIFS('Отчет 12-18.01'!H:H,'Отчет 12-18.01'!D:D,"Выручка",'Отчет 12-18.01'!E:E,B8)</f>
        <v>7</v>
      </c>
      <c r="Q8" s="39">
        <f>SUMIFS('Отчет 12-18.01'!H:H,'Отчет 12-18.01'!D:D,"Возврат выручки",'Отчет 12-18.01'!E:E,B8)</f>
        <v>0</v>
      </c>
      <c r="R8" s="40">
        <f>P8-Q8</f>
        <v>7</v>
      </c>
      <c r="S8" s="41">
        <f>SUMIFS('Отчет 12-18.01'!P:P,'Отчет 12-18.01'!C:C,"Продажи",'Отчет 12-18.01'!E:E,B8)</f>
        <v>10606</v>
      </c>
      <c r="T8" s="42">
        <f>SUMIFS('Отчет 12-18.01'!P:P,'Отчет 12-18.01'!C:C,"Возвраты",'Отчет 12-18.01'!E:E,B8)</f>
        <v>0</v>
      </c>
      <c r="U8" s="40">
        <f>S8+T8</f>
        <v>10606</v>
      </c>
      <c r="V8" s="43">
        <f t="shared" si="4"/>
        <v>5.1037496150292579E-2</v>
      </c>
      <c r="W8" s="44">
        <f>R8*H8</f>
        <v>1189.23</v>
      </c>
      <c r="X8" s="42">
        <f>-SUMIFS('Отчет 12-18.01'!P:P,'Отчет 12-18.01'!C:C,"Вознаграждение Ozon",'Отчет 12-18.01'!E:E,B8)</f>
        <v>4560.58</v>
      </c>
      <c r="Y8" s="45">
        <f t="shared" si="18"/>
        <v>0.43</v>
      </c>
      <c r="Z8" s="42">
        <f>-SUMIFS('Отчет 12-18.01'!P:P,'Отчет 12-18.01'!C:C,"Услуги доставки",'Отчет 12-18.01'!E:E,B8)</f>
        <v>1308.1699999999996</v>
      </c>
      <c r="AA8" s="32">
        <v>2830.7644319999999</v>
      </c>
      <c r="AB8" s="55"/>
      <c r="AC8" s="42"/>
      <c r="AD8" s="46">
        <f t="shared" si="7"/>
        <v>106.06</v>
      </c>
      <c r="AE8" s="47">
        <f>U8-W8-X8-Z8-AA8-AB8-AC8-AD8</f>
        <v>611.195568000001</v>
      </c>
      <c r="AF8" s="46"/>
      <c r="AG8" s="48">
        <f>IF(R8=0,0,U8/R8)</f>
        <v>1515.1428571428571</v>
      </c>
      <c r="AH8" s="49">
        <f>H8</f>
        <v>169.89</v>
      </c>
      <c r="AI8" s="49">
        <f>IF(R8=0,0,X8/R8)</f>
        <v>651.51142857142861</v>
      </c>
      <c r="AJ8" s="49">
        <f>IF(P8=0,Z8/1,Z8/P8)</f>
        <v>186.88142857142853</v>
      </c>
      <c r="AK8" s="49">
        <f>IF(P8=0,0,AA8/P8)</f>
        <v>404.39491885714284</v>
      </c>
      <c r="AL8" s="49">
        <f t="array" ref="AL8">_xlfn.IFS(R8=0,AE8,R8&lt;0,AE8/-R8,R8&gt;0,AE8/R8)</f>
        <v>87.313652571428719</v>
      </c>
      <c r="AM8" s="50">
        <f>IF(AG8=0,0,AL8/AG8)</f>
        <v>5.7627339996228648E-2</v>
      </c>
      <c r="AN8" s="51">
        <f>IF(AH8=0,0,AL8/AH8)</f>
        <v>0.51394227189021557</v>
      </c>
      <c r="AP8" s="53">
        <f>AL8*C8</f>
        <v>31607.542230857198</v>
      </c>
    </row>
    <row r="9" spans="1:42">
      <c r="A9" s="30">
        <v>3405092860</v>
      </c>
      <c r="B9" s="31" t="s">
        <v>55</v>
      </c>
      <c r="C9" s="32">
        <v>0</v>
      </c>
      <c r="D9" s="33"/>
      <c r="E9" s="33"/>
      <c r="F9" s="33"/>
      <c r="G9" s="34"/>
      <c r="H9" s="35">
        <v>123</v>
      </c>
      <c r="I9" s="54">
        <f t="shared" si="19"/>
        <v>0</v>
      </c>
      <c r="J9" s="36"/>
      <c r="K9" s="32">
        <v>0</v>
      </c>
      <c r="L9" s="36"/>
      <c r="M9" s="36"/>
      <c r="N9" s="37">
        <f t="shared" ref="N9:N14" si="20">K9/7</f>
        <v>0</v>
      </c>
      <c r="O9" s="38">
        <f t="shared" ref="O9:O14" si="21">R9/7</f>
        <v>0</v>
      </c>
      <c r="P9" s="39">
        <f>SUMIFS('Отчет 12-18.01'!H:H,'Отчет 12-18.01'!D:D,"Выручка",'Отчет 12-18.01'!E:E,B9)</f>
        <v>0</v>
      </c>
      <c r="Q9" s="39">
        <f>SUMIFS('Отчет 12-18.01'!H:H,'Отчет 12-18.01'!D:D,"Возврат выручки",'Отчет 12-18.01'!E:E,B9)</f>
        <v>0</v>
      </c>
      <c r="R9" s="40">
        <f t="shared" ref="R9:R16" si="22">P9-Q9</f>
        <v>0</v>
      </c>
      <c r="S9" s="41">
        <f>SUMIFS('Отчет 12-18.01'!P:P,'Отчет 12-18.01'!C:C,"Продажи",'Отчет 12-18.01'!E:E,B9)</f>
        <v>0</v>
      </c>
      <c r="T9" s="42">
        <f>SUMIFS('Отчет 12-18.01'!P:P,'Отчет 12-18.01'!C:C,"Возвраты",'Отчет 12-18.01'!E:E,B9)</f>
        <v>0</v>
      </c>
      <c r="U9" s="40">
        <f t="shared" ref="U9:U16" si="23">S9+T9</f>
        <v>0</v>
      </c>
      <c r="V9" s="43">
        <f t="shared" si="4"/>
        <v>0</v>
      </c>
      <c r="W9" s="44">
        <f t="shared" ref="W9:W16" si="24">R9*H9</f>
        <v>0</v>
      </c>
      <c r="X9" s="42">
        <f>-SUMIFS('Отчет 12-18.01'!P:P,'Отчет 12-18.01'!C:C,"Вознаграждение Ozon",'Отчет 12-18.01'!E:E,B9)</f>
        <v>0</v>
      </c>
      <c r="Y9" s="45">
        <f t="shared" si="18"/>
        <v>0</v>
      </c>
      <c r="Z9" s="42">
        <f>-SUMIFS('Отчет 12-18.01'!P:P,'Отчет 12-18.01'!C:C,"Услуги доставки",'Отчет 12-18.01'!E:E,B9)</f>
        <v>0</v>
      </c>
      <c r="AA9" s="32">
        <v>0</v>
      </c>
      <c r="AB9" s="55"/>
      <c r="AC9" s="42"/>
      <c r="AD9" s="46">
        <f t="shared" si="7"/>
        <v>0</v>
      </c>
      <c r="AE9" s="47">
        <f t="shared" ref="AE9:AE14" si="25">U9-W9-X9-Z9-AA9-AB9-AC9-AD9</f>
        <v>0</v>
      </c>
      <c r="AF9" s="46"/>
      <c r="AG9" s="48">
        <f t="shared" ref="AG9:AG14" si="26">IF(R9=0,0,U9/R9)</f>
        <v>0</v>
      </c>
      <c r="AH9" s="49">
        <f t="shared" ref="AH9:AH14" si="27">H9</f>
        <v>123</v>
      </c>
      <c r="AI9" s="49">
        <f t="shared" ref="AI9:AI14" si="28">IF(R9=0,0,X9/R9)</f>
        <v>0</v>
      </c>
      <c r="AJ9" s="49">
        <f t="shared" ref="AJ9:AJ14" si="29">IF(P9=0,Z9/1,Z9/P9)</f>
        <v>0</v>
      </c>
      <c r="AK9" s="49">
        <f t="shared" ref="AK9:AK14" si="30">IF(P9=0,0,AA9/P9)</f>
        <v>0</v>
      </c>
      <c r="AL9" s="49">
        <f t="array" ref="AL9">_xlfn.IFS(R9=0,AE9,R9&lt;0,AE9/-R9,R9&gt;0,AE9/R9)</f>
        <v>0</v>
      </c>
      <c r="AM9" s="50">
        <f t="shared" ref="AM9:AM14" si="31">IF(AG9=0,0,AL9/AG9)</f>
        <v>0</v>
      </c>
      <c r="AN9" s="51">
        <f t="shared" ref="AN9:AN14" si="32">IF(AH9=0,0,AL9/AH9)</f>
        <v>0</v>
      </c>
      <c r="AP9" s="53">
        <f t="shared" ref="AP9:AP14" si="33">AL9*C9</f>
        <v>0</v>
      </c>
    </row>
    <row r="10" spans="1:42">
      <c r="A10" s="30">
        <v>3405092836</v>
      </c>
      <c r="B10" s="31" t="s">
        <v>56</v>
      </c>
      <c r="C10" s="32">
        <v>0</v>
      </c>
      <c r="D10" s="33"/>
      <c r="E10" s="33"/>
      <c r="F10" s="33"/>
      <c r="G10" s="34"/>
      <c r="H10" s="35">
        <v>123</v>
      </c>
      <c r="I10" s="54">
        <f t="shared" si="19"/>
        <v>0</v>
      </c>
      <c r="J10" s="36"/>
      <c r="K10" s="32">
        <v>0</v>
      </c>
      <c r="L10" s="36"/>
      <c r="M10" s="36"/>
      <c r="N10" s="37">
        <f t="shared" si="20"/>
        <v>0</v>
      </c>
      <c r="O10" s="38">
        <f t="shared" si="21"/>
        <v>0</v>
      </c>
      <c r="P10" s="39">
        <f>SUMIFS('Отчет 12-18.01'!H:H,'Отчет 12-18.01'!D:D,"Выручка",'Отчет 12-18.01'!E:E,B10)</f>
        <v>0</v>
      </c>
      <c r="Q10" s="39">
        <f>SUMIFS('Отчет 12-18.01'!H:H,'Отчет 12-18.01'!D:D,"Возврат выручки",'Отчет 12-18.01'!E:E,B10)</f>
        <v>0</v>
      </c>
      <c r="R10" s="40">
        <f t="shared" si="22"/>
        <v>0</v>
      </c>
      <c r="S10" s="41">
        <f>SUMIFS('Отчет 12-18.01'!P:P,'Отчет 12-18.01'!C:C,"Продажи",'Отчет 12-18.01'!E:E,B10)</f>
        <v>0</v>
      </c>
      <c r="T10" s="42">
        <f>SUMIFS('Отчет 12-18.01'!P:P,'Отчет 12-18.01'!C:C,"Возвраты",'Отчет 12-18.01'!E:E,B10)</f>
        <v>0</v>
      </c>
      <c r="U10" s="40">
        <f t="shared" si="23"/>
        <v>0</v>
      </c>
      <c r="V10" s="43">
        <f t="shared" si="4"/>
        <v>0</v>
      </c>
      <c r="W10" s="44">
        <f t="shared" si="24"/>
        <v>0</v>
      </c>
      <c r="X10" s="42">
        <f>-SUMIFS('Отчет 12-18.01'!P:P,'Отчет 12-18.01'!C:C,"Вознаграждение Ozon",'Отчет 12-18.01'!E:E,B10)</f>
        <v>0</v>
      </c>
      <c r="Y10" s="45">
        <f t="shared" si="18"/>
        <v>0</v>
      </c>
      <c r="Z10" s="42">
        <f>-SUMIFS('Отчет 12-18.01'!P:P,'Отчет 12-18.01'!C:C,"Услуги доставки",'Отчет 12-18.01'!E:E,B10)</f>
        <v>0</v>
      </c>
      <c r="AA10" s="32">
        <v>0</v>
      </c>
      <c r="AB10" s="55"/>
      <c r="AC10" s="42"/>
      <c r="AD10" s="46">
        <f t="shared" si="7"/>
        <v>0</v>
      </c>
      <c r="AE10" s="47">
        <f t="shared" si="25"/>
        <v>0</v>
      </c>
      <c r="AF10" s="46"/>
      <c r="AG10" s="48">
        <f t="shared" si="26"/>
        <v>0</v>
      </c>
      <c r="AH10" s="49">
        <f t="shared" si="27"/>
        <v>123</v>
      </c>
      <c r="AI10" s="49">
        <f t="shared" si="28"/>
        <v>0</v>
      </c>
      <c r="AJ10" s="49">
        <f t="shared" si="29"/>
        <v>0</v>
      </c>
      <c r="AK10" s="49">
        <f t="shared" si="30"/>
        <v>0</v>
      </c>
      <c r="AL10" s="49">
        <f t="array" ref="AL10">_xlfn.IFS(R10=0,AE10,R10&lt;0,AE10/-R10,R10&gt;0,AE10/R10)</f>
        <v>0</v>
      </c>
      <c r="AM10" s="50">
        <f t="shared" si="31"/>
        <v>0</v>
      </c>
      <c r="AN10" s="51">
        <f t="shared" si="32"/>
        <v>0</v>
      </c>
      <c r="AP10" s="53">
        <f t="shared" si="33"/>
        <v>0</v>
      </c>
    </row>
    <row r="11" spans="1:42">
      <c r="A11" s="30">
        <v>3064346962</v>
      </c>
      <c r="B11" s="31" t="s">
        <v>52</v>
      </c>
      <c r="C11" s="32">
        <v>278</v>
      </c>
      <c r="D11" s="33"/>
      <c r="E11" s="33"/>
      <c r="F11" s="33"/>
      <c r="G11" s="34"/>
      <c r="H11" s="35">
        <v>123</v>
      </c>
      <c r="I11" s="54">
        <f t="shared" si="19"/>
        <v>34194</v>
      </c>
      <c r="J11" s="36"/>
      <c r="K11" s="32">
        <v>48</v>
      </c>
      <c r="L11" s="36"/>
      <c r="M11" s="36"/>
      <c r="N11" s="37">
        <f t="shared" si="20"/>
        <v>6.8571428571428568</v>
      </c>
      <c r="O11" s="38">
        <f t="shared" si="21"/>
        <v>5</v>
      </c>
      <c r="P11" s="39">
        <f>SUMIFS('Отчет 12-18.01'!H:H,'Отчет 12-18.01'!D:D,"Выручка",'Отчет 12-18.01'!E:E,B11)</f>
        <v>36</v>
      </c>
      <c r="Q11" s="39">
        <f>SUMIFS('Отчет 12-18.01'!H:H,'Отчет 12-18.01'!D:D,"Возврат выручки",'Отчет 12-18.01'!E:E,B11)</f>
        <v>1</v>
      </c>
      <c r="R11" s="40">
        <f t="shared" si="22"/>
        <v>35</v>
      </c>
      <c r="S11" s="41">
        <f>SUMIFS('Отчет 12-18.01'!P:P,'Отчет 12-18.01'!C:C,"Продажи",'Отчет 12-18.01'!E:E,B11)</f>
        <v>60507.999999999993</v>
      </c>
      <c r="T11" s="42">
        <f>SUMIFS('Отчет 12-18.01'!P:P,'Отчет 12-18.01'!C:C,"Возвраты",'Отчет 12-18.01'!E:E,B11)</f>
        <v>-1621</v>
      </c>
      <c r="U11" s="40">
        <f t="shared" si="23"/>
        <v>58886.999999999993</v>
      </c>
      <c r="V11" s="43">
        <f t="shared" si="4"/>
        <v>0.2833721512165075</v>
      </c>
      <c r="W11" s="44">
        <f t="shared" si="24"/>
        <v>4305</v>
      </c>
      <c r="X11" s="42">
        <f>-SUMIFS('Отчет 12-18.01'!P:P,'Отчет 12-18.01'!C:C,"Вознаграждение Ozon",'Отчет 12-18.01'!E:E,B11)</f>
        <v>25321.41</v>
      </c>
      <c r="Y11" s="45">
        <f t="shared" si="18"/>
        <v>0.43000000000000005</v>
      </c>
      <c r="Z11" s="42">
        <f>-SUMIFS('Отчет 12-18.01'!P:P,'Отчет 12-18.01'!C:C,"Услуги доставки",'Отчет 12-18.01'!E:E,B11)</f>
        <v>7286.0499999999984</v>
      </c>
      <c r="AA11" s="32">
        <v>17722.262637</v>
      </c>
      <c r="AB11" s="55"/>
      <c r="AC11" s="42"/>
      <c r="AD11" s="46">
        <f t="shared" si="7"/>
        <v>588.86999999999989</v>
      </c>
      <c r="AE11" s="47">
        <f t="shared" si="25"/>
        <v>3663.4073629999939</v>
      </c>
      <c r="AF11" s="46"/>
      <c r="AG11" s="48">
        <f t="shared" si="26"/>
        <v>1682.485714285714</v>
      </c>
      <c r="AH11" s="49">
        <f t="shared" si="27"/>
        <v>123</v>
      </c>
      <c r="AI11" s="49">
        <f t="shared" si="28"/>
        <v>723.46885714285713</v>
      </c>
      <c r="AJ11" s="49">
        <f t="shared" si="29"/>
        <v>202.39027777777773</v>
      </c>
      <c r="AK11" s="49">
        <f t="shared" si="30"/>
        <v>492.28507324999998</v>
      </c>
      <c r="AL11" s="49">
        <f t="array" ref="AL11">_xlfn.IFS(R11=0,AE11,R11&lt;0,AE11/-R11,R11&gt;0,AE11/R11)</f>
        <v>104.66878179999982</v>
      </c>
      <c r="AM11" s="50">
        <f t="shared" si="31"/>
        <v>6.2210799718104066E-2</v>
      </c>
      <c r="AN11" s="51">
        <f t="shared" si="32"/>
        <v>0.85096570569105545</v>
      </c>
      <c r="AP11" s="53">
        <f t="shared" si="33"/>
        <v>29097.921340399949</v>
      </c>
    </row>
    <row r="12" spans="1:42">
      <c r="A12" s="30">
        <v>3405092873</v>
      </c>
      <c r="B12" s="171" t="s">
        <v>57</v>
      </c>
      <c r="C12" s="32">
        <v>0</v>
      </c>
      <c r="D12" s="33"/>
      <c r="E12" s="33"/>
      <c r="F12" s="33"/>
      <c r="G12" s="34"/>
      <c r="H12" s="35">
        <v>117</v>
      </c>
      <c r="I12" s="54">
        <f t="shared" si="19"/>
        <v>0</v>
      </c>
      <c r="J12" s="36"/>
      <c r="K12" s="32">
        <v>0</v>
      </c>
      <c r="L12" s="36"/>
      <c r="M12" s="36"/>
      <c r="N12" s="37">
        <f t="shared" si="20"/>
        <v>0</v>
      </c>
      <c r="O12" s="38">
        <f t="shared" si="21"/>
        <v>0</v>
      </c>
      <c r="P12" s="39">
        <f>SUMIFS('Отчет 12-18.01'!H:H,'Отчет 12-18.01'!D:D,"Выручка",'Отчет 12-18.01'!E:E,B12)</f>
        <v>0</v>
      </c>
      <c r="Q12" s="39">
        <f>SUMIFS('Отчет 12-18.01'!H:H,'Отчет 12-18.01'!D:D,"Возврат выручки",'Отчет 12-18.01'!E:E,B12)</f>
        <v>0</v>
      </c>
      <c r="R12" s="40">
        <f t="shared" si="22"/>
        <v>0</v>
      </c>
      <c r="S12" s="41">
        <f>SUMIFS('Отчет 12-18.01'!P:P,'Отчет 12-18.01'!C:C,"Продажи",'Отчет 12-18.01'!E:E,B12)</f>
        <v>0</v>
      </c>
      <c r="T12" s="42">
        <f>SUMIFS('Отчет 12-18.01'!P:P,'Отчет 12-18.01'!C:C,"Возвраты",'Отчет 12-18.01'!E:E,B12)</f>
        <v>0</v>
      </c>
      <c r="U12" s="40">
        <f t="shared" si="23"/>
        <v>0</v>
      </c>
      <c r="V12" s="43">
        <f t="shared" si="4"/>
        <v>0</v>
      </c>
      <c r="W12" s="44">
        <f t="shared" si="24"/>
        <v>0</v>
      </c>
      <c r="X12" s="42">
        <f>-SUMIFS('Отчет 12-18.01'!P:P,'Отчет 12-18.01'!C:C,"Вознаграждение Ozon",'Отчет 12-18.01'!E:E,B12)</f>
        <v>0</v>
      </c>
      <c r="Y12" s="45">
        <f t="shared" si="18"/>
        <v>0</v>
      </c>
      <c r="Z12" s="42">
        <f>-SUMIFS('Отчет 12-18.01'!P:P,'Отчет 12-18.01'!C:C,"Услуги доставки",'Отчет 12-18.01'!E:E,B12)</f>
        <v>0</v>
      </c>
      <c r="AA12" s="32">
        <v>0</v>
      </c>
      <c r="AB12" s="55"/>
      <c r="AC12" s="42"/>
      <c r="AD12" s="46">
        <f t="shared" si="7"/>
        <v>0</v>
      </c>
      <c r="AE12" s="47">
        <f t="shared" si="25"/>
        <v>0</v>
      </c>
      <c r="AF12" s="46"/>
      <c r="AG12" s="48">
        <f t="shared" si="26"/>
        <v>0</v>
      </c>
      <c r="AH12" s="49">
        <f t="shared" si="27"/>
        <v>117</v>
      </c>
      <c r="AI12" s="49">
        <f t="shared" si="28"/>
        <v>0</v>
      </c>
      <c r="AJ12" s="49">
        <f t="shared" si="29"/>
        <v>0</v>
      </c>
      <c r="AK12" s="49">
        <f t="shared" si="30"/>
        <v>0</v>
      </c>
      <c r="AL12" s="49">
        <f t="array" ref="AL12">_xlfn.IFS(R12=0,AE12,R12&lt;0,AE12/-R12,R12&gt;0,AE12/R12)</f>
        <v>0</v>
      </c>
      <c r="AM12" s="50">
        <f t="shared" si="31"/>
        <v>0</v>
      </c>
      <c r="AN12" s="51">
        <f t="shared" si="32"/>
        <v>0</v>
      </c>
      <c r="AP12" s="53">
        <f t="shared" si="33"/>
        <v>0</v>
      </c>
    </row>
    <row r="13" spans="1:42">
      <c r="A13" s="30">
        <v>3405092993</v>
      </c>
      <c r="B13" s="31" t="s">
        <v>58</v>
      </c>
      <c r="C13" s="32">
        <v>0</v>
      </c>
      <c r="D13" s="33"/>
      <c r="E13" s="33"/>
      <c r="F13" s="33"/>
      <c r="G13" s="34"/>
      <c r="H13" s="35">
        <v>123</v>
      </c>
      <c r="I13" s="54">
        <f t="shared" si="19"/>
        <v>0</v>
      </c>
      <c r="J13" s="36"/>
      <c r="K13" s="32">
        <v>0</v>
      </c>
      <c r="L13" s="36"/>
      <c r="M13" s="36"/>
      <c r="N13" s="37">
        <f t="shared" si="20"/>
        <v>0</v>
      </c>
      <c r="O13" s="38">
        <f t="shared" si="21"/>
        <v>0</v>
      </c>
      <c r="P13" s="39">
        <f>SUMIFS('Отчет 12-18.01'!H:H,'Отчет 12-18.01'!D:D,"Выручка",'Отчет 12-18.01'!E:E,B13)</f>
        <v>0</v>
      </c>
      <c r="Q13" s="39">
        <f>SUMIFS('Отчет 12-18.01'!H:H,'Отчет 12-18.01'!D:D,"Возврат выручки",'Отчет 12-18.01'!E:E,B13)</f>
        <v>0</v>
      </c>
      <c r="R13" s="40">
        <f t="shared" si="22"/>
        <v>0</v>
      </c>
      <c r="S13" s="41">
        <f>SUMIFS('Отчет 12-18.01'!P:P,'Отчет 12-18.01'!C:C,"Продажи",'Отчет 12-18.01'!E:E,B13)</f>
        <v>0</v>
      </c>
      <c r="T13" s="42">
        <f>SUMIFS('Отчет 12-18.01'!P:P,'Отчет 12-18.01'!C:C,"Возвраты",'Отчет 12-18.01'!E:E,B13)</f>
        <v>0</v>
      </c>
      <c r="U13" s="40">
        <f t="shared" si="23"/>
        <v>0</v>
      </c>
      <c r="V13" s="43">
        <f t="shared" si="4"/>
        <v>0</v>
      </c>
      <c r="W13" s="44">
        <f t="shared" si="24"/>
        <v>0</v>
      </c>
      <c r="X13" s="42">
        <f>-SUMIFS('Отчет 12-18.01'!P:P,'Отчет 12-18.01'!C:C,"Вознаграждение Ozon",'Отчет 12-18.01'!E:E,B13)</f>
        <v>0</v>
      </c>
      <c r="Y13" s="45">
        <f t="shared" si="18"/>
        <v>0</v>
      </c>
      <c r="Z13" s="42">
        <f>-SUMIFS('Отчет 12-18.01'!P:P,'Отчет 12-18.01'!C:C,"Услуги доставки",'Отчет 12-18.01'!E:E,B13)</f>
        <v>0</v>
      </c>
      <c r="AA13" s="32">
        <v>0</v>
      </c>
      <c r="AB13" s="55"/>
      <c r="AC13" s="42"/>
      <c r="AD13" s="46">
        <f t="shared" si="7"/>
        <v>0</v>
      </c>
      <c r="AE13" s="47">
        <f t="shared" si="25"/>
        <v>0</v>
      </c>
      <c r="AF13" s="46"/>
      <c r="AG13" s="48">
        <f t="shared" si="26"/>
        <v>0</v>
      </c>
      <c r="AH13" s="49">
        <f t="shared" si="27"/>
        <v>123</v>
      </c>
      <c r="AI13" s="49">
        <f t="shared" si="28"/>
        <v>0</v>
      </c>
      <c r="AJ13" s="49">
        <f t="shared" si="29"/>
        <v>0</v>
      </c>
      <c r="AK13" s="49">
        <f t="shared" si="30"/>
        <v>0</v>
      </c>
      <c r="AL13" s="49">
        <f t="array" ref="AL13">_xlfn.IFS(R13=0,AE13,R13&lt;0,AE13/-R13,R13&gt;0,AE13/R13)</f>
        <v>0</v>
      </c>
      <c r="AM13" s="50">
        <f t="shared" si="31"/>
        <v>0</v>
      </c>
      <c r="AN13" s="51">
        <f t="shared" si="32"/>
        <v>0</v>
      </c>
      <c r="AP13" s="53">
        <f t="shared" si="33"/>
        <v>0</v>
      </c>
    </row>
    <row r="14" spans="1:42">
      <c r="A14" s="30">
        <v>3405092868</v>
      </c>
      <c r="B14" s="31" t="s">
        <v>59</v>
      </c>
      <c r="C14" s="32">
        <v>0</v>
      </c>
      <c r="H14" s="52">
        <v>123</v>
      </c>
      <c r="I14" s="52">
        <f t="shared" si="19"/>
        <v>0</v>
      </c>
      <c r="K14" s="32">
        <v>0</v>
      </c>
      <c r="N14" s="37">
        <f t="shared" si="20"/>
        <v>0</v>
      </c>
      <c r="O14" s="38">
        <f t="shared" si="21"/>
        <v>0</v>
      </c>
      <c r="P14" s="39">
        <f>SUMIFS('Отчет 12-18.01'!H:H,'Отчет 12-18.01'!D:D,"Выручка",'Отчет 12-18.01'!E:E,B14)</f>
        <v>0</v>
      </c>
      <c r="Q14" s="39">
        <f>SUMIFS('Отчет 12-18.01'!H:H,'Отчет 12-18.01'!D:D,"Возврат выручки",'Отчет 12-18.01'!E:E,B14)</f>
        <v>0</v>
      </c>
      <c r="R14" s="40">
        <f t="shared" si="22"/>
        <v>0</v>
      </c>
      <c r="S14" s="41">
        <f>SUMIFS('Отчет 12-18.01'!P:P,'Отчет 12-18.01'!C:C,"Продажи",'Отчет 12-18.01'!E:E,B14)</f>
        <v>0</v>
      </c>
      <c r="T14" s="42">
        <f>SUMIFS('Отчет 12-18.01'!P:P,'Отчет 12-18.01'!C:C,"Возвраты",'Отчет 12-18.01'!E:E,B14)</f>
        <v>0</v>
      </c>
      <c r="U14" s="40">
        <f t="shared" si="23"/>
        <v>0</v>
      </c>
      <c r="V14" s="43">
        <f t="shared" si="4"/>
        <v>0</v>
      </c>
      <c r="W14" s="44">
        <f t="shared" si="24"/>
        <v>0</v>
      </c>
      <c r="X14" s="42">
        <f>-SUMIFS('Отчет 12-18.01'!P:P,'Отчет 12-18.01'!C:C,"Вознаграждение Ozon",'Отчет 12-18.01'!E:E,B14)</f>
        <v>0</v>
      </c>
      <c r="Y14" s="45">
        <f t="shared" si="18"/>
        <v>0</v>
      </c>
      <c r="Z14" s="42">
        <f>-SUMIFS('Отчет 12-18.01'!P:P,'Отчет 12-18.01'!C:C,"Услуги доставки",'Отчет 12-18.01'!E:E,B14)</f>
        <v>0</v>
      </c>
      <c r="AA14" s="32">
        <v>0</v>
      </c>
      <c r="AB14" s="55"/>
      <c r="AC14" s="42"/>
      <c r="AD14" s="46">
        <f t="shared" si="7"/>
        <v>0</v>
      </c>
      <c r="AE14" s="47">
        <f t="shared" si="25"/>
        <v>0</v>
      </c>
      <c r="AG14" s="48">
        <f t="shared" si="26"/>
        <v>0</v>
      </c>
      <c r="AH14" s="49">
        <f t="shared" si="27"/>
        <v>123</v>
      </c>
      <c r="AI14" s="49">
        <f t="shared" si="28"/>
        <v>0</v>
      </c>
      <c r="AJ14" s="49">
        <f t="shared" si="29"/>
        <v>0</v>
      </c>
      <c r="AK14" s="49">
        <f t="shared" si="30"/>
        <v>0</v>
      </c>
      <c r="AL14" s="49">
        <f t="array" ref="AL14">_xlfn.IFS(R14=0,AE14,R14&lt;0,AE14/-R14,R14&gt;0,AE14/R14)</f>
        <v>0</v>
      </c>
      <c r="AM14" s="50">
        <f t="shared" si="31"/>
        <v>0</v>
      </c>
      <c r="AN14" s="51">
        <f t="shared" si="32"/>
        <v>0</v>
      </c>
      <c r="AP14" s="53">
        <f t="shared" si="33"/>
        <v>0</v>
      </c>
    </row>
    <row r="15" spans="1:42">
      <c r="A15" s="30">
        <v>3064346642</v>
      </c>
      <c r="B15" s="31" t="s">
        <v>53</v>
      </c>
      <c r="C15" s="32">
        <v>172</v>
      </c>
      <c r="D15" s="33"/>
      <c r="E15" s="33"/>
      <c r="F15" s="33"/>
      <c r="G15" s="34"/>
      <c r="H15" s="35">
        <v>123</v>
      </c>
      <c r="I15" s="54">
        <f t="shared" si="0"/>
        <v>21156</v>
      </c>
      <c r="J15" s="36"/>
      <c r="K15" s="32">
        <v>40</v>
      </c>
      <c r="L15" s="36"/>
      <c r="M15" s="36"/>
      <c r="N15" s="37">
        <f t="shared" si="1"/>
        <v>5.7142857142857144</v>
      </c>
      <c r="O15" s="38">
        <f t="shared" si="2"/>
        <v>5.2857142857142856</v>
      </c>
      <c r="P15" s="39">
        <f>SUMIFS('Отчет 12-18.01'!H:H,'Отчет 12-18.01'!D:D,"Выручка",'Отчет 12-18.01'!E:E,B15)</f>
        <v>37</v>
      </c>
      <c r="Q15" s="39">
        <f>SUMIFS('Отчет 12-18.01'!H:H,'Отчет 12-18.01'!D:D,"Возврат выручки",'Отчет 12-18.01'!E:E,B15)</f>
        <v>0</v>
      </c>
      <c r="R15" s="40">
        <f t="shared" si="22"/>
        <v>37</v>
      </c>
      <c r="S15" s="41">
        <f>SUMIFS('Отчет 12-18.01'!P:P,'Отчет 12-18.01'!C:C,"Продажи",'Отчет 12-18.01'!E:E,B15)</f>
        <v>68265.000000000015</v>
      </c>
      <c r="T15" s="42">
        <f>SUMIFS('Отчет 12-18.01'!P:P,'Отчет 12-18.01'!C:C,"Возвраты",'Отчет 12-18.01'!E:E,B15)</f>
        <v>0</v>
      </c>
      <c r="U15" s="40">
        <f t="shared" si="23"/>
        <v>68265.000000000015</v>
      </c>
      <c r="V15" s="43">
        <f>U15/$U$24</f>
        <v>0.32850034647366805</v>
      </c>
      <c r="W15" s="44">
        <f t="shared" si="24"/>
        <v>4551</v>
      </c>
      <c r="X15" s="42">
        <f>-SUMIFS('Отчет 12-18.01'!P:P,'Отчет 12-18.01'!C:C,"Вознаграждение Ozon",'Отчет 12-18.01'!E:E,B15)</f>
        <v>29353.949999999983</v>
      </c>
      <c r="Y15" s="45">
        <f t="shared" si="18"/>
        <v>0.42999999999999966</v>
      </c>
      <c r="Z15" s="42">
        <f>-SUMIFS('Отчет 12-18.01'!P:P,'Отчет 12-18.01'!C:C,"Услуги доставки",'Отчет 12-18.01'!E:E,B15)</f>
        <v>8465.6200000000008</v>
      </c>
      <c r="AA15" s="32">
        <v>17366.253499999999</v>
      </c>
      <c r="AB15" s="55"/>
      <c r="AC15" s="42"/>
      <c r="AD15" s="46">
        <f t="shared" si="7"/>
        <v>682.6500000000002</v>
      </c>
      <c r="AE15" s="47">
        <f t="shared" si="8"/>
        <v>7845.52650000003</v>
      </c>
      <c r="AF15" s="46"/>
      <c r="AG15" s="48">
        <f t="shared" si="9"/>
        <v>1845.0000000000005</v>
      </c>
      <c r="AH15" s="49">
        <f t="shared" si="10"/>
        <v>123</v>
      </c>
      <c r="AI15" s="49">
        <f t="shared" si="11"/>
        <v>793.34999999999957</v>
      </c>
      <c r="AJ15" s="49">
        <f t="shared" si="12"/>
        <v>228.80054054054057</v>
      </c>
      <c r="AK15" s="49">
        <f t="shared" si="13"/>
        <v>469.35820270270267</v>
      </c>
      <c r="AL15" s="49">
        <f t="array" ref="AL15">_xlfn.IFS(R15=0,AE15,R15&lt;0,AE15/-R15,R15&gt;0,AE15/R15)</f>
        <v>212.04125675675758</v>
      </c>
      <c r="AM15" s="50">
        <f t="shared" si="14"/>
        <v>0.11492751043726696</v>
      </c>
      <c r="AN15" s="51">
        <f t="shared" si="15"/>
        <v>1.7239126565590046</v>
      </c>
      <c r="AP15" s="53">
        <f t="shared" si="16"/>
        <v>36471.096162162306</v>
      </c>
    </row>
    <row r="16" spans="1:42">
      <c r="A16" s="30">
        <v>3405092287</v>
      </c>
      <c r="B16" s="31" t="s">
        <v>60</v>
      </c>
      <c r="C16" s="32">
        <v>0</v>
      </c>
      <c r="H16" s="35">
        <v>117</v>
      </c>
      <c r="I16" s="54">
        <f t="shared" ref="I16" si="34">C16*H16</f>
        <v>0</v>
      </c>
      <c r="K16" s="32">
        <v>0</v>
      </c>
      <c r="N16" s="37">
        <f t="shared" ref="N16" si="35">K16/7</f>
        <v>0</v>
      </c>
      <c r="O16" s="38">
        <f t="shared" ref="O16" si="36">R16/7</f>
        <v>0</v>
      </c>
      <c r="P16" s="39">
        <f>SUMIFS('Отчет 12-18.01'!H:H,'Отчет 12-18.01'!D:D,"Выручка",'Отчет 12-18.01'!E:E,B16)</f>
        <v>0</v>
      </c>
      <c r="Q16" s="39">
        <f>SUMIFS('Отчет 12-18.01'!H:H,'Отчет 12-18.01'!D:D,"Возврат выручки",'Отчет 12-18.01'!E:E,B16)</f>
        <v>0</v>
      </c>
      <c r="R16" s="40">
        <f t="shared" si="22"/>
        <v>0</v>
      </c>
      <c r="S16" s="41">
        <f>SUMIFS('Отчет 12-18.01'!P:P,'Отчет 12-18.01'!C:C,"Продажи",'Отчет 12-18.01'!E:E,B16)</f>
        <v>0</v>
      </c>
      <c r="T16" s="42">
        <f>SUMIFS('Отчет 12-18.01'!P:P,'Отчет 12-18.01'!C:C,"Возвраты",'Отчет 12-18.01'!E:E,B16)</f>
        <v>0</v>
      </c>
      <c r="U16" s="40">
        <f t="shared" si="23"/>
        <v>0</v>
      </c>
      <c r="V16" s="43">
        <f>U16/$U$24</f>
        <v>0</v>
      </c>
      <c r="W16" s="44">
        <f t="shared" si="24"/>
        <v>0</v>
      </c>
      <c r="X16" s="42">
        <f>-SUMIFS('Отчет 12-18.01'!P:P,'Отчет 12-18.01'!C:C,"Вознаграждение Ozon",'Отчет 12-18.01'!E:E,B16)</f>
        <v>0</v>
      </c>
      <c r="Y16" s="45">
        <f t="shared" si="18"/>
        <v>0</v>
      </c>
      <c r="Z16" s="42">
        <f>-SUMIFS('Отчет 12-18.01'!P:P,'Отчет 12-18.01'!C:C,"Услуги доставки",'Отчет 12-18.01'!E:E,B16)</f>
        <v>0</v>
      </c>
      <c r="AA16" s="32">
        <v>0</v>
      </c>
      <c r="AB16" s="55"/>
      <c r="AC16" s="42"/>
      <c r="AD16" s="46">
        <f t="shared" si="7"/>
        <v>0</v>
      </c>
      <c r="AE16" s="47">
        <f t="shared" ref="AE16" si="37">U16-W16-X16-Z16-AA16-AB16-AC16-AD16</f>
        <v>0</v>
      </c>
      <c r="AF16" s="46"/>
      <c r="AG16" s="48">
        <f t="shared" ref="AG16" si="38">IF(R16=0,0,U16/R16)</f>
        <v>0</v>
      </c>
      <c r="AH16" s="49">
        <f t="shared" ref="AH16" si="39">H16</f>
        <v>117</v>
      </c>
      <c r="AI16" s="49">
        <f t="shared" ref="AI16" si="40">IF(R16=0,0,X16/R16)</f>
        <v>0</v>
      </c>
      <c r="AJ16" s="49">
        <f t="shared" ref="AJ16" si="41">IF(P16=0,Z16/1,Z16/P16)</f>
        <v>0</v>
      </c>
      <c r="AK16" s="49">
        <f t="shared" ref="AK16" si="42">IF(P16=0,0,AA16/P16)</f>
        <v>0</v>
      </c>
      <c r="AL16" s="49">
        <f t="array" ref="AL16">_xlfn.IFS(R16=0,AE16,R16&lt;0,AE16/-R16,R16&gt;0,AE16/R16)</f>
        <v>0</v>
      </c>
      <c r="AM16" s="50">
        <f t="shared" ref="AM16" si="43">IF(AG16=0,0,AL16/AG16)</f>
        <v>0</v>
      </c>
      <c r="AN16" s="51">
        <f t="shared" ref="AN16" si="44">IF(AH16=0,0,AL16/AH16)</f>
        <v>0</v>
      </c>
      <c r="AP16" s="53">
        <f t="shared" ref="AP16" si="45">AL16*C16</f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46">AVERAGEIF(AG3:AG15,"&lt;&gt;0",AG3:AG15)</f>
        <v>1695.1202380952382</v>
      </c>
      <c r="AH17" s="58">
        <f t="shared" si="46"/>
        <v>127.26</v>
      </c>
      <c r="AI17" s="58">
        <f t="shared" si="46"/>
        <v>728.90170238095232</v>
      </c>
      <c r="AJ17" s="58">
        <f t="shared" si="46"/>
        <v>175.89942074217072</v>
      </c>
      <c r="AK17" s="58">
        <f t="shared" si="46"/>
        <v>370.53209911462352</v>
      </c>
      <c r="AL17" s="58">
        <f t="shared" si="46"/>
        <v>266.16568437019015</v>
      </c>
      <c r="AM17" s="59">
        <f t="shared" si="46"/>
        <v>0.15624204338788963</v>
      </c>
      <c r="AN17" s="59">
        <f t="shared" si="46"/>
        <v>2.1027499998053458</v>
      </c>
      <c r="AO17" s="60"/>
      <c r="AP17" s="61"/>
    </row>
    <row r="18" spans="1:52">
      <c r="A18" s="62" t="s">
        <v>44</v>
      </c>
      <c r="B18" s="63"/>
      <c r="C18" s="64">
        <f>SUM(C3:C16)</f>
        <v>3361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433801.86000000004</v>
      </c>
      <c r="J18" s="67"/>
      <c r="K18" s="64">
        <f>SUM(K3:K16)</f>
        <v>144</v>
      </c>
      <c r="L18" s="67"/>
      <c r="M18" s="67"/>
      <c r="N18" s="68"/>
      <c r="O18" s="69"/>
      <c r="P18" s="64">
        <f t="shared" ref="P18:X18" si="47">SUM(P3:P16)</f>
        <v>122</v>
      </c>
      <c r="Q18" s="64">
        <f t="shared" si="47"/>
        <v>2</v>
      </c>
      <c r="R18" s="64">
        <f t="shared" si="47"/>
        <v>120</v>
      </c>
      <c r="S18" s="70">
        <f t="shared" si="47"/>
        <v>211029</v>
      </c>
      <c r="T18" s="64">
        <f t="shared" si="47"/>
        <v>-3221</v>
      </c>
      <c r="U18" s="64">
        <f t="shared" si="47"/>
        <v>207808</v>
      </c>
      <c r="V18" s="71">
        <f t="shared" si="47"/>
        <v>1</v>
      </c>
      <c r="W18" s="64">
        <f t="shared" si="47"/>
        <v>15093.09</v>
      </c>
      <c r="X18" s="64">
        <f t="shared" si="47"/>
        <v>89357.439999999988</v>
      </c>
      <c r="Y18" s="72">
        <f>IF(U18=0,0,X18/U18)</f>
        <v>0.42999999999999994</v>
      </c>
      <c r="Z18" s="64">
        <f>SUM(Z3:Z16)</f>
        <v>24172.28</v>
      </c>
      <c r="AA18" s="64">
        <f>IFERROR(P18*AA24/P24,0)</f>
        <v>53249.120000000003</v>
      </c>
      <c r="AB18" s="64">
        <f>SUM(AB3:AB16)</f>
        <v>0</v>
      </c>
      <c r="AC18" s="64">
        <f>SUM(AC3:AC16)</f>
        <v>0</v>
      </c>
      <c r="AD18" s="73">
        <f>SUM(AD3:AD16)</f>
        <v>2078.0800000000004</v>
      </c>
      <c r="AE18" s="74">
        <f>SUM(AE3:AE16)</f>
        <v>24908.018665000036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958402.19034400361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52199.091334999997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48">AVERAGEIF(AG20:AG20,"&lt;&gt;0",AG20:AG20)</f>
        <v>#DIV/0!</v>
      </c>
      <c r="AH21" s="86" t="e">
        <f t="shared" si="48"/>
        <v>#DIV/0!</v>
      </c>
      <c r="AI21" s="86" t="e">
        <f t="shared" si="48"/>
        <v>#DIV/0!</v>
      </c>
      <c r="AJ21" s="86" t="e">
        <f t="shared" si="48"/>
        <v>#DIV/0!</v>
      </c>
      <c r="AK21" s="86" t="e">
        <f t="shared" si="48"/>
        <v>#DIV/0!</v>
      </c>
      <c r="AL21" s="86" t="e">
        <f t="shared" si="48"/>
        <v>#DIV/0!</v>
      </c>
      <c r="AM21" s="87" t="e">
        <f t="shared" si="48"/>
        <v>#DIV/0!</v>
      </c>
      <c r="AN21" s="87" t="e">
        <f t="shared" si="48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49">SUM(P20:P20)</f>
        <v>0</v>
      </c>
      <c r="Q22" s="90">
        <f t="shared" si="49"/>
        <v>0</v>
      </c>
      <c r="R22" s="96">
        <f t="shared" si="49"/>
        <v>0</v>
      </c>
      <c r="S22" s="90">
        <f t="shared" si="49"/>
        <v>0</v>
      </c>
      <c r="T22" s="90">
        <f t="shared" si="49"/>
        <v>0</v>
      </c>
      <c r="U22" s="96">
        <f t="shared" si="49"/>
        <v>0</v>
      </c>
      <c r="V22" s="97">
        <f t="shared" si="49"/>
        <v>0</v>
      </c>
      <c r="W22" s="90">
        <f t="shared" si="49"/>
        <v>0</v>
      </c>
      <c r="X22" s="90">
        <f t="shared" si="49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3361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433801.86000000004</v>
      </c>
      <c r="J24" s="118">
        <f>J18+J22</f>
        <v>0</v>
      </c>
      <c r="K24" s="118">
        <f>K18+K22</f>
        <v>144</v>
      </c>
      <c r="L24" s="119"/>
      <c r="M24" s="119"/>
      <c r="N24" s="119"/>
      <c r="O24" s="119"/>
      <c r="P24" s="120">
        <f>P18+P22</f>
        <v>122</v>
      </c>
      <c r="Q24" s="118">
        <f>Q18+Q22</f>
        <v>2</v>
      </c>
      <c r="R24" s="121">
        <f>R18-R22</f>
        <v>120</v>
      </c>
      <c r="S24" s="118">
        <f t="shared" ref="S24:X24" si="50">S18+S22</f>
        <v>211029</v>
      </c>
      <c r="T24" s="118">
        <f t="shared" si="50"/>
        <v>-3221</v>
      </c>
      <c r="U24" s="121">
        <f t="shared" si="50"/>
        <v>207808</v>
      </c>
      <c r="V24" s="122">
        <f t="shared" si="50"/>
        <v>1</v>
      </c>
      <c r="W24" s="118">
        <f t="shared" si="50"/>
        <v>15093.09</v>
      </c>
      <c r="X24" s="118">
        <f t="shared" si="50"/>
        <v>89357.439999999988</v>
      </c>
      <c r="Y24" s="123">
        <f>X24/U24</f>
        <v>0.42999999999999994</v>
      </c>
      <c r="Z24" s="118">
        <f>Z18+Z22</f>
        <v>24172.28</v>
      </c>
      <c r="AA24" s="124">
        <v>53249.120000000003</v>
      </c>
      <c r="AB24" s="125"/>
      <c r="AC24" s="125">
        <f>SUM(AC3:AC20)</f>
        <v>0</v>
      </c>
      <c r="AD24" s="118">
        <f>AD18+AD22</f>
        <v>2078.0800000000004</v>
      </c>
      <c r="AE24" s="126">
        <f>AE18+AE22</f>
        <v>24908.018665000036</v>
      </c>
      <c r="AF24" s="127"/>
      <c r="AG24" s="128"/>
      <c r="AH24" s="129"/>
      <c r="AI24" s="129"/>
      <c r="AJ24" s="129"/>
      <c r="AK24" s="129">
        <f>AA25/P24</f>
        <v>436.46819672131147</v>
      </c>
      <c r="AL24" s="129"/>
      <c r="AM24" s="129"/>
      <c r="AN24" s="130"/>
      <c r="AP24" s="126">
        <f>SUM(AP3:AP20)</f>
        <v>1916804.3806880072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53249.120000000003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52199.091334999997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>
        <f>I31/I24</f>
        <v>0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433801.86000000004</v>
      </c>
      <c r="J32" s="164">
        <f>I32/I24</f>
        <v>1</v>
      </c>
      <c r="K32" s="160">
        <f>AP24-K31-K33</f>
        <v>1916804.3806880072</v>
      </c>
      <c r="L32" s="161">
        <f>K32/I32</f>
        <v>4.4186172477176724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>
        <f>I33/I24</f>
        <v>0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38" priority="26" operator="greaterThan">
      <formula>120</formula>
    </cfRule>
  </conditionalFormatting>
  <conditionalFormatting sqref="N23">
    <cfRule type="cellIs" dxfId="37" priority="25" operator="between">
      <formula>0.000001</formula>
      <formula>25</formula>
    </cfRule>
  </conditionalFormatting>
  <conditionalFormatting sqref="V1 V25:V28 V30:V1048576">
    <cfRule type="cellIs" dxfId="36" priority="27" operator="greaterThan">
      <formula>0.23</formula>
    </cfRule>
  </conditionalFormatting>
  <conditionalFormatting sqref="AM29">
    <cfRule type="dataBar" priority="2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{FED0B35B-DE35-49A1-A5B2-9CCCDDC36A1E}</x14:id>
        </ext>
      </extLst>
    </cfRule>
  </conditionalFormatting>
  <conditionalFormatting sqref="U21:V21 U19:V19 U17:V17">
    <cfRule type="dataBar" priority="3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{00BDF8DF-6CFA-49C7-8684-590293F0C632}</x14:id>
        </ext>
      </extLst>
    </cfRule>
  </conditionalFormatting>
  <conditionalFormatting sqref="V19 V21 V17">
    <cfRule type="dataBar" priority="3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{458BA35A-1E36-4C4A-B170-D28E2CF8DB59}</x14:id>
        </ext>
      </extLst>
    </cfRule>
  </conditionalFormatting>
  <conditionalFormatting sqref="AP17">
    <cfRule type="dataBar" priority="2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{8117E081-6252-489F-8C12-74E1AD99E197}</x14:id>
        </ext>
      </extLst>
    </cfRule>
  </conditionalFormatting>
  <conditionalFormatting sqref="AP17">
    <cfRule type="dataBar" priority="2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{1FF1B1E9-F88F-40DB-BFAB-437F58061F74}</x14:id>
        </ext>
      </extLst>
    </cfRule>
  </conditionalFormatting>
  <conditionalFormatting sqref="P23">
    <cfRule type="cellIs" dxfId="35" priority="21" operator="greaterThan">
      <formula>120</formula>
    </cfRule>
  </conditionalFormatting>
  <conditionalFormatting sqref="Q23">
    <cfRule type="cellIs" dxfId="34" priority="20" operator="greaterThan">
      <formula>120</formula>
    </cfRule>
  </conditionalFormatting>
  <conditionalFormatting sqref="R23">
    <cfRule type="cellIs" dxfId="33" priority="19" operator="greaterThan">
      <formula>120</formula>
    </cfRule>
  </conditionalFormatting>
  <conditionalFormatting sqref="S23">
    <cfRule type="cellIs" dxfId="32" priority="18" operator="greaterThan">
      <formula>120</formula>
    </cfRule>
  </conditionalFormatting>
  <conditionalFormatting sqref="T23">
    <cfRule type="cellIs" dxfId="31" priority="17" operator="greaterThan">
      <formula>120</formula>
    </cfRule>
  </conditionalFormatting>
  <conditionalFormatting sqref="U23">
    <cfRule type="cellIs" dxfId="30" priority="16" operator="greaterThan">
      <formula>120</formula>
    </cfRule>
  </conditionalFormatting>
  <conditionalFormatting sqref="V23">
    <cfRule type="cellIs" dxfId="29" priority="15" operator="greaterThan">
      <formula>120</formula>
    </cfRule>
  </conditionalFormatting>
  <conditionalFormatting sqref="W23">
    <cfRule type="cellIs" dxfId="28" priority="14" operator="greaterThan">
      <formula>120</formula>
    </cfRule>
  </conditionalFormatting>
  <conditionalFormatting sqref="X23">
    <cfRule type="cellIs" dxfId="27" priority="13" operator="greaterThan">
      <formula>120</formula>
    </cfRule>
  </conditionalFormatting>
  <conditionalFormatting sqref="Z23">
    <cfRule type="cellIs" dxfId="26" priority="12" operator="greaterThan">
      <formula>120</formula>
    </cfRule>
  </conditionalFormatting>
  <conditionalFormatting sqref="AP21">
    <cfRule type="dataBar" priority="1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{ADAA20B6-CDC9-4731-BE0F-70CE9EA3A6E8}</x14:id>
        </ext>
      </extLst>
    </cfRule>
  </conditionalFormatting>
  <conditionalFormatting sqref="AP21">
    <cfRule type="dataBar" priority="1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{AB80CA20-C266-47FA-8CF1-2903E9AACD9E}</x14:id>
        </ext>
      </extLst>
    </cfRule>
  </conditionalFormatting>
  <conditionalFormatting sqref="U20:V20">
    <cfRule type="dataBar" priority="3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{AFE9447C-C610-45A6-9657-60E8305BE942}</x14:id>
        </ext>
      </extLst>
    </cfRule>
  </conditionalFormatting>
  <conditionalFormatting sqref="V20">
    <cfRule type="dataBar" priority="3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{806165D2-A11D-4D82-AE88-64D52D3E5BEF}</x14:id>
        </ext>
      </extLst>
    </cfRule>
  </conditionalFormatting>
  <conditionalFormatting sqref="AP19:AP20 AP23 AP3:AP14">
    <cfRule type="dataBar" priority="4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{4C46ACE3-698E-48FC-B931-362DB7D87B10}</x14:id>
        </ext>
      </extLst>
    </cfRule>
  </conditionalFormatting>
  <conditionalFormatting sqref="AE19:AE21 AE23 AE17 AE3:AE14">
    <cfRule type="dataBar" priority="4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{FBA1CA84-921F-4D9F-8D80-94FE8FBDB21F}</x14:id>
        </ext>
      </extLst>
    </cfRule>
  </conditionalFormatting>
  <conditionalFormatting sqref="AL19:AL20 AL23 AL3:AL14">
    <cfRule type="dataBar" priority="5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{1A2A9EB0-AC1F-4DA3-92B3-6BD940EA3B95}</x14:id>
        </ext>
      </extLst>
    </cfRule>
  </conditionalFormatting>
  <conditionalFormatting sqref="AM23:AN23 AM19:AN20 AM3:AN14">
    <cfRule type="dataBar" priority="57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{DECE8D72-E6DF-4F90-BB65-DF953BE0F238}</x14:id>
        </ext>
      </extLst>
    </cfRule>
  </conditionalFormatting>
  <conditionalFormatting sqref="AP19:AP20 AP3:AP14">
    <cfRule type="dataBar" priority="6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{B01B2455-3877-4C52-9DF9-CC436443334F}</x14:id>
        </ext>
      </extLst>
    </cfRule>
  </conditionalFormatting>
  <conditionalFormatting sqref="AE19:AE21 AE17 AE3:AE14">
    <cfRule type="dataBar" priority="7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{CB189BAE-8960-4EF2-927F-8EB31F798101}</x14:id>
        </ext>
      </extLst>
    </cfRule>
  </conditionalFormatting>
  <conditionalFormatting sqref="AP15:AP16">
    <cfRule type="dataBar" priority="7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{2998C2FA-A204-4BE1-BA21-ACB3ABB16A16}</x14:id>
        </ext>
      </extLst>
    </cfRule>
  </conditionalFormatting>
  <conditionalFormatting sqref="AE15:AE16">
    <cfRule type="dataBar" priority="7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{C0506D30-EB84-4CE5-88C7-3A95BFCFF684}</x14:id>
        </ext>
      </extLst>
    </cfRule>
  </conditionalFormatting>
  <conditionalFormatting sqref="AL15:AL16">
    <cfRule type="dataBar" priority="7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{474F2FAB-A47C-4F35-8077-1BDE45B9E8BE}</x14:id>
        </ext>
      </extLst>
    </cfRule>
  </conditionalFormatting>
  <conditionalFormatting sqref="AM15:AN16">
    <cfRule type="dataBar" priority="7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{227F00E3-5953-4629-BFAA-A8B71FE49115}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{A0958F8E-7DB9-4893-8B1D-C793ACB52F67}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{1C06DCEA-BC0F-485C-B45B-426D4F67D9F9}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D0B35B-DE35-49A1-A5B2-9CCCDDC36A1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0BDF8DF-6CFA-49C7-8684-590293F0C63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58BA35A-1E36-4C4A-B170-D28E2CF8DB5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8117E081-6252-489F-8C12-74E1AD99E19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1FF1B1E9-F88F-40DB-BFAB-437F58061F7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DAA20B6-CDC9-4731-BE0F-70CE9EA3A6E8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B80CA20-C266-47FA-8CF1-2903E9AACD9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AFE9447C-C610-45A6-9657-60E8305BE94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806165D2-A11D-4D82-AE88-64D52D3E5BEF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4C46ACE3-698E-48FC-B931-362DB7D87B1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FBA1CA84-921F-4D9F-8D80-94FE8FBDB21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A2A9EB0-AC1F-4DA3-92B3-6BD940EA3B9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DECE8D72-E6DF-4F90-BB65-DF953BE0F238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B01B2455-3877-4C52-9DF9-CC436443334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CB189BAE-8960-4EF2-927F-8EB31F79810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2998C2FA-A204-4BE1-BA21-ACB3ABB16A1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C0506D30-EB84-4CE5-88C7-3A95BFCFF6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474F2FAB-A47C-4F35-8077-1BDE45B9E8B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227F00E3-5953-4629-BFAA-A8B71FE4911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A0958F8E-7DB9-4893-8B1D-C793ACB52F6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1C06DCEA-BC0F-485C-B45B-426D4F67D9F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BB52F-A736-4D7B-8B7F-DDFCDC3B6626}">
  <dimension ref="A1:AZ37"/>
  <sheetViews>
    <sheetView zoomScale="70" zoomScaleNormal="70" workbookViewId="0">
      <pane xSplit="2" ySplit="2" topLeftCell="R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337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343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7</v>
      </c>
      <c r="L3" s="36"/>
      <c r="M3" s="36"/>
      <c r="N3" s="37">
        <f t="shared" ref="N3:N7" si="1">K3/7</f>
        <v>1</v>
      </c>
      <c r="O3" s="38">
        <f t="shared" ref="O3:O7" si="2">R3/7</f>
        <v>0.7142857142857143</v>
      </c>
      <c r="P3" s="39">
        <f>SUMIFS('Отчет 05-11.01'!H:H,'Отчет 05-11.01'!D:D,"Выручка",'Отчет 05-11.01'!E:E,B3)</f>
        <v>5</v>
      </c>
      <c r="Q3" s="39">
        <f>SUMIFS('Отчет 05-11.01'!H:H,'Отчет 05-11.01'!D:D,"Возврат выручки",'Отчет 05-11.01'!E:E,B3)</f>
        <v>0</v>
      </c>
      <c r="R3" s="40">
        <f t="shared" ref="R3:R7" si="3">P3-Q3</f>
        <v>5</v>
      </c>
      <c r="S3" s="41">
        <f>SUMIFS('Отчет 05-11.01'!P:P,'Отчет 05-11.01'!C:C,"Продажи",'Отчет 05-11.01'!E:E,B3)</f>
        <v>7645.9999999999982</v>
      </c>
      <c r="T3" s="42">
        <f>SUMIFS('Отчет 05-11.01'!P:P,'Отчет 05-11.01'!C:C,"Возвраты",'Отчет 05-11.01'!E:E,B3)</f>
        <v>0</v>
      </c>
      <c r="U3" s="40">
        <f t="shared" ref="U3:U7" si="4">S3+T3</f>
        <v>7645.9999999999982</v>
      </c>
      <c r="V3" s="43">
        <f t="shared" ref="V3:V14" si="5">U3/$U$24</f>
        <v>2.8973864407165019E-2</v>
      </c>
      <c r="W3" s="44">
        <f t="shared" ref="W3:W7" si="6">R3*H3</f>
        <v>714.9</v>
      </c>
      <c r="X3" s="42">
        <f>-SUMIFS('Отчет 05-11.01'!P:P,'Отчет 05-11.01'!C:C,"Вознаграждение Ozon",'Отчет 05-11.01'!E:E,B3)</f>
        <v>3287.7799999999997</v>
      </c>
      <c r="Y3" s="45">
        <f t="shared" ref="Y3" si="7">IF(U3=0,0,X3/U3)</f>
        <v>0.43000000000000005</v>
      </c>
      <c r="Z3" s="42">
        <f>-SUMIFS('Отчет 05-11.01'!P:P,'Отчет 05-11.01'!C:C,"Услуги доставки",'Отчет 05-11.01'!E:E,B3)</f>
        <v>912.5</v>
      </c>
      <c r="AA3" s="32">
        <v>811.76240400000006</v>
      </c>
      <c r="AB3" s="42"/>
      <c r="AC3" s="42"/>
      <c r="AD3" s="46">
        <f t="shared" ref="AD3:AD16" si="8">U3*1%</f>
        <v>76.45999999999998</v>
      </c>
      <c r="AE3" s="47">
        <f t="shared" ref="AE3:AE7" si="9">U3-W3-X3-Z3-AA3-AB3-AC3-AD3</f>
        <v>1842.5975959999987</v>
      </c>
      <c r="AF3" s="46"/>
      <c r="AG3" s="48">
        <f t="shared" ref="AG3:AG7" si="10">IF(R3=0,0,U3/R3)</f>
        <v>1529.1999999999996</v>
      </c>
      <c r="AH3" s="49">
        <f t="shared" ref="AH3:AH7" si="11">H3</f>
        <v>142.97999999999999</v>
      </c>
      <c r="AI3" s="49">
        <f t="shared" ref="AI3:AI7" si="12">IF(R3=0,0,X3/R3)</f>
        <v>657.55599999999993</v>
      </c>
      <c r="AJ3" s="49">
        <f t="shared" ref="AJ3:AJ7" si="13">IF(P3=0,Z3/1,Z3/P3)</f>
        <v>182.5</v>
      </c>
      <c r="AK3" s="49">
        <f t="shared" ref="AK3:AK7" si="14">IF(P3=0,0,AA3/P3)</f>
        <v>162.35248080000002</v>
      </c>
      <c r="AL3" s="49">
        <f>_xlfn.IFS(R3=0,AE3,R3&lt;0,AE3/-R3,R3&gt;0,AE3/R3)</f>
        <v>368.51951919999976</v>
      </c>
      <c r="AM3" s="50">
        <f t="shared" ref="AM3:AM7" si="15">IF(AG3=0,0,AL3/AG3)</f>
        <v>0.24098843787601351</v>
      </c>
      <c r="AN3" s="51">
        <f t="shared" ref="AN3:AN7" si="16">IF(AH3=0,0,AL3/AH3)</f>
        <v>2.5774200531542859</v>
      </c>
      <c r="AP3" s="53">
        <f t="shared" ref="AP3:AP7" si="17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1</v>
      </c>
      <c r="L4" s="36"/>
      <c r="M4" s="36"/>
      <c r="N4" s="37">
        <f t="shared" si="1"/>
        <v>0.14285714285714285</v>
      </c>
      <c r="O4" s="38">
        <f t="shared" si="2"/>
        <v>0.42857142857142855</v>
      </c>
      <c r="P4" s="39">
        <f>SUMIFS('Отчет 05-11.01'!H:H,'Отчет 05-11.01'!D:D,"Выручка",'Отчет 05-11.01'!E:E,B4)</f>
        <v>3</v>
      </c>
      <c r="Q4" s="39">
        <f>SUMIFS('Отчет 05-11.01'!H:H,'Отчет 05-11.01'!D:D,"Возврат выручки",'Отчет 05-11.01'!E:E,B4)</f>
        <v>0</v>
      </c>
      <c r="R4" s="40">
        <f t="shared" si="3"/>
        <v>3</v>
      </c>
      <c r="S4" s="41">
        <f>SUMIFS('Отчет 05-11.01'!P:P,'Отчет 05-11.01'!C:C,"Продажи",'Отчет 05-11.01'!E:E,B4)</f>
        <v>4950</v>
      </c>
      <c r="T4" s="42">
        <f>SUMIFS('Отчет 05-11.01'!P:P,'Отчет 05-11.01'!C:C,"Возвраты",'Отчет 05-11.01'!E:E,B4)</f>
        <v>0</v>
      </c>
      <c r="U4" s="40">
        <f t="shared" si="4"/>
        <v>4950</v>
      </c>
      <c r="V4" s="43">
        <f t="shared" si="5"/>
        <v>1.8757602513139796E-2</v>
      </c>
      <c r="W4" s="44">
        <f t="shared" si="6"/>
        <v>369.27</v>
      </c>
      <c r="X4" s="42">
        <f>-SUMIFS('Отчет 05-11.01'!P:P,'Отчет 05-11.01'!C:C,"Вознаграждение Ozon",'Отчет 05-11.01'!E:E,B4)</f>
        <v>2128.5</v>
      </c>
      <c r="Y4" s="45">
        <f t="shared" ref="Y4:Y16" si="18">IF(U4=0,0,X4/U4)</f>
        <v>0.43</v>
      </c>
      <c r="Z4" s="42">
        <f>-SUMIFS('Отчет 05-11.01'!P:P,'Отчет 05-11.01'!C:C,"Услуги доставки",'Отчет 05-11.01'!E:E,B4)</f>
        <v>485.94000000000005</v>
      </c>
      <c r="AA4" s="32">
        <v>395.64930600000002</v>
      </c>
      <c r="AB4" s="42"/>
      <c r="AC4" s="42"/>
      <c r="AD4" s="46">
        <f t="shared" si="8"/>
        <v>49.5</v>
      </c>
      <c r="AE4" s="47">
        <f t="shared" si="9"/>
        <v>1521.1406939999995</v>
      </c>
      <c r="AF4" s="46"/>
      <c r="AG4" s="48">
        <f t="shared" si="10"/>
        <v>1650</v>
      </c>
      <c r="AH4" s="49">
        <f t="shared" si="11"/>
        <v>123.09</v>
      </c>
      <c r="AI4" s="49">
        <f t="shared" si="12"/>
        <v>709.5</v>
      </c>
      <c r="AJ4" s="49">
        <f t="shared" si="13"/>
        <v>161.98000000000002</v>
      </c>
      <c r="AK4" s="49">
        <f t="shared" si="14"/>
        <v>131.88310200000001</v>
      </c>
      <c r="AL4" s="49">
        <f t="array" ref="AL4">_xlfn.IFS(R4=0,AE4,R4&lt;0,AE4/-R4,R4&gt;0,AE4/R4)</f>
        <v>507.04689799999983</v>
      </c>
      <c r="AM4" s="50">
        <f t="shared" si="15"/>
        <v>0.30730115030303018</v>
      </c>
      <c r="AN4" s="51">
        <f t="shared" si="16"/>
        <v>4.1193183686733272</v>
      </c>
      <c r="AP4" s="53">
        <f t="shared" si="17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"/>
        <v>0.42857142857142855</v>
      </c>
      <c r="O5" s="38">
        <f t="shared" si="2"/>
        <v>0.2857142857142857</v>
      </c>
      <c r="P5" s="39">
        <f>SUMIFS('Отчет 05-11.01'!H:H,'Отчет 05-11.01'!D:D,"Выручка",'Отчет 05-11.01'!E:E,B5)</f>
        <v>2</v>
      </c>
      <c r="Q5" s="39">
        <f>SUMIFS('Отчет 05-11.01'!H:H,'Отчет 05-11.01'!D:D,"Возврат выручки",'Отчет 05-11.01'!E:E,B5)</f>
        <v>0</v>
      </c>
      <c r="R5" s="40">
        <f t="shared" si="3"/>
        <v>2</v>
      </c>
      <c r="S5" s="41">
        <f>SUMIFS('Отчет 05-11.01'!P:P,'Отчет 05-11.01'!C:C,"Продажи",'Отчет 05-11.01'!E:E,B5)</f>
        <v>3300</v>
      </c>
      <c r="T5" s="42">
        <f>SUMIFS('Отчет 05-11.01'!P:P,'Отчет 05-11.01'!C:C,"Возвраты",'Отчет 05-11.01'!E:E,B5)</f>
        <v>0</v>
      </c>
      <c r="U5" s="40">
        <f t="shared" si="4"/>
        <v>3300</v>
      </c>
      <c r="V5" s="43">
        <f t="shared" si="5"/>
        <v>1.2505068342093197E-2</v>
      </c>
      <c r="W5" s="44">
        <f t="shared" si="6"/>
        <v>246.18</v>
      </c>
      <c r="X5" s="42">
        <f>-SUMIFS('Отчет 05-11.01'!P:P,'Отчет 05-11.01'!C:C,"Вознаграждение Ozon",'Отчет 05-11.01'!E:E,B5)</f>
        <v>1419</v>
      </c>
      <c r="Y5" s="45">
        <f t="shared" si="18"/>
        <v>0.43</v>
      </c>
      <c r="Z5" s="42">
        <f>-SUMIFS('Отчет 05-11.01'!P:P,'Отчет 05-11.01'!C:C,"Услуги доставки",'Отчет 05-11.01'!E:E,B5)</f>
        <v>334.46</v>
      </c>
      <c r="AA5" s="32">
        <v>811.52412200000003</v>
      </c>
      <c r="AB5" s="55"/>
      <c r="AC5" s="42"/>
      <c r="AD5" s="46">
        <f t="shared" si="8"/>
        <v>33</v>
      </c>
      <c r="AE5" s="47">
        <f t="shared" si="9"/>
        <v>455.83587800000009</v>
      </c>
      <c r="AF5" s="46"/>
      <c r="AG5" s="48">
        <f t="shared" si="10"/>
        <v>1650</v>
      </c>
      <c r="AH5" s="49">
        <f t="shared" si="11"/>
        <v>123.09</v>
      </c>
      <c r="AI5" s="49">
        <f t="shared" si="12"/>
        <v>709.5</v>
      </c>
      <c r="AJ5" s="49">
        <f t="shared" si="13"/>
        <v>167.23</v>
      </c>
      <c r="AK5" s="49">
        <f t="shared" si="14"/>
        <v>405.76206100000002</v>
      </c>
      <c r="AL5" s="49">
        <f t="array" ref="AL5">_xlfn.IFS(R5=0,AE5,R5&lt;0,AE5/-R5,R5&gt;0,AE5/R5)</f>
        <v>227.91793900000005</v>
      </c>
      <c r="AM5" s="50">
        <f t="shared" si="15"/>
        <v>0.13813208424242426</v>
      </c>
      <c r="AN5" s="51">
        <f t="shared" si="16"/>
        <v>1.8516365179949634</v>
      </c>
      <c r="AP5" s="53">
        <f t="shared" si="17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38</v>
      </c>
      <c r="L6" s="36"/>
      <c r="M6" s="36"/>
      <c r="N6" s="37">
        <f t="shared" si="1"/>
        <v>5.4285714285714288</v>
      </c>
      <c r="O6" s="38">
        <f t="shared" si="2"/>
        <v>4.4285714285714288</v>
      </c>
      <c r="P6" s="39">
        <f>SUMIFS('Отчет 05-11.01'!H:H,'Отчет 05-11.01'!D:D,"Выручка",'Отчет 05-11.01'!E:E,B6)</f>
        <v>33</v>
      </c>
      <c r="Q6" s="39">
        <f>SUMIFS('Отчет 05-11.01'!H:H,'Отчет 05-11.01'!D:D,"Возврат выручки",'Отчет 05-11.01'!E:E,B6)</f>
        <v>2</v>
      </c>
      <c r="R6" s="40">
        <f t="shared" si="3"/>
        <v>31</v>
      </c>
      <c r="S6" s="41">
        <f>SUMIFS('Отчет 05-11.01'!P:P,'Отчет 05-11.01'!C:C,"Продажи",'Отчет 05-11.01'!E:E,B6)</f>
        <v>52800</v>
      </c>
      <c r="T6" s="42">
        <f>SUMIFS('Отчет 05-11.01'!P:P,'Отчет 05-11.01'!C:C,"Возвраты",'Отчет 05-11.01'!E:E,B6)</f>
        <v>-3200</v>
      </c>
      <c r="U6" s="40">
        <f t="shared" si="4"/>
        <v>49600</v>
      </c>
      <c r="V6" s="43">
        <f t="shared" si="5"/>
        <v>0.18795496659630986</v>
      </c>
      <c r="W6" s="44">
        <f t="shared" si="6"/>
        <v>3815.79</v>
      </c>
      <c r="X6" s="42">
        <f>-SUMIFS('Отчет 05-11.01'!P:P,'Отчет 05-11.01'!C:C,"Вознаграждение Ozon",'Отчет 05-11.01'!E:E,B6)</f>
        <v>21328</v>
      </c>
      <c r="Y6" s="45">
        <f t="shared" si="18"/>
        <v>0.43</v>
      </c>
      <c r="Z6" s="42">
        <f>-SUMIFS('Отчет 05-11.01'!P:P,'Отчет 05-11.01'!C:C,"Услуги доставки",'Отчет 05-11.01'!E:E,B6)</f>
        <v>4679.1399999999994</v>
      </c>
      <c r="AA6" s="32">
        <v>12362.053400000001</v>
      </c>
      <c r="AB6" s="55"/>
      <c r="AC6" s="42"/>
      <c r="AD6" s="46">
        <f t="shared" si="8"/>
        <v>496</v>
      </c>
      <c r="AE6" s="47">
        <f t="shared" si="9"/>
        <v>6919.016599999999</v>
      </c>
      <c r="AF6" s="46"/>
      <c r="AG6" s="48">
        <f t="shared" si="10"/>
        <v>1600</v>
      </c>
      <c r="AH6" s="49">
        <f t="shared" si="11"/>
        <v>123.09</v>
      </c>
      <c r="AI6" s="49">
        <f t="shared" si="12"/>
        <v>688</v>
      </c>
      <c r="AJ6" s="49">
        <f t="shared" si="13"/>
        <v>141.7921212121212</v>
      </c>
      <c r="AK6" s="49">
        <f t="shared" si="14"/>
        <v>374.6076787878788</v>
      </c>
      <c r="AL6" s="49">
        <f t="array" ref="AL6">_xlfn.IFS(R6=0,AE6,R6&lt;0,AE6/-R6,R6&gt;0,AE6/R6)</f>
        <v>223.19408387096772</v>
      </c>
      <c r="AM6" s="50">
        <f t="shared" si="15"/>
        <v>0.13949630241935482</v>
      </c>
      <c r="AN6" s="51">
        <f t="shared" si="16"/>
        <v>1.8132592726538932</v>
      </c>
      <c r="AP6" s="53">
        <f t="shared" si="17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14</v>
      </c>
      <c r="L7" s="36"/>
      <c r="M7" s="36"/>
      <c r="N7" s="37">
        <f t="shared" si="1"/>
        <v>2</v>
      </c>
      <c r="O7" s="38">
        <f t="shared" si="2"/>
        <v>1.1428571428571428</v>
      </c>
      <c r="P7" s="39">
        <f>SUMIFS('Отчет 05-11.01'!H:H,'Отчет 05-11.01'!D:D,"Выручка",'Отчет 05-11.01'!E:E,B7)</f>
        <v>8</v>
      </c>
      <c r="Q7" s="39">
        <f>SUMIFS('Отчет 05-11.01'!H:H,'Отчет 05-11.01'!D:D,"Возврат выручки",'Отчет 05-11.01'!E:E,B7)</f>
        <v>0</v>
      </c>
      <c r="R7" s="40">
        <f t="shared" si="3"/>
        <v>8</v>
      </c>
      <c r="S7" s="41">
        <f>SUMIFS('Отчет 05-11.01'!P:P,'Отчет 05-11.01'!C:C,"Продажи",'Отчет 05-11.01'!E:E,B7)</f>
        <v>12800</v>
      </c>
      <c r="T7" s="42">
        <f>SUMIFS('Отчет 05-11.01'!P:P,'Отчет 05-11.01'!C:C,"Возвраты",'Отчет 05-11.01'!E:E,B7)</f>
        <v>0</v>
      </c>
      <c r="U7" s="40">
        <f t="shared" si="4"/>
        <v>12800</v>
      </c>
      <c r="V7" s="43">
        <f t="shared" si="5"/>
        <v>4.8504507508725127E-2</v>
      </c>
      <c r="W7" s="44">
        <f t="shared" si="6"/>
        <v>937.92</v>
      </c>
      <c r="X7" s="42">
        <f>-SUMIFS('Отчет 05-11.01'!P:P,'Отчет 05-11.01'!C:C,"Вознаграждение Ozon",'Отчет 05-11.01'!E:E,B7)</f>
        <v>5504</v>
      </c>
      <c r="Y7" s="45">
        <f t="shared" si="18"/>
        <v>0.43</v>
      </c>
      <c r="Z7" s="42">
        <f>-SUMIFS('Отчет 05-11.01'!P:P,'Отчет 05-11.01'!C:C,"Услуги доставки",'Отчет 05-11.01'!E:E,B7)</f>
        <v>1259.4799999999998</v>
      </c>
      <c r="AA7" s="32">
        <v>2303.3167880000001</v>
      </c>
      <c r="AB7" s="55"/>
      <c r="AC7" s="42"/>
      <c r="AD7" s="46">
        <f t="shared" si="8"/>
        <v>128</v>
      </c>
      <c r="AE7" s="47">
        <f t="shared" si="9"/>
        <v>2667.2832120000003</v>
      </c>
      <c r="AF7" s="46"/>
      <c r="AG7" s="48">
        <f t="shared" si="10"/>
        <v>1600</v>
      </c>
      <c r="AH7" s="49">
        <f t="shared" si="11"/>
        <v>117.24</v>
      </c>
      <c r="AI7" s="49">
        <f t="shared" si="12"/>
        <v>688</v>
      </c>
      <c r="AJ7" s="49">
        <f t="shared" si="13"/>
        <v>157.43499999999997</v>
      </c>
      <c r="AK7" s="49">
        <f t="shared" si="14"/>
        <v>287.91459850000001</v>
      </c>
      <c r="AL7" s="49">
        <f t="array" ref="AL7">_xlfn.IFS(R7=0,AE7,R7&lt;0,AE7/-R7,R7&gt;0,AE7/R7)</f>
        <v>333.41040150000003</v>
      </c>
      <c r="AM7" s="50">
        <f t="shared" si="15"/>
        <v>0.20838150093750002</v>
      </c>
      <c r="AN7" s="51">
        <f t="shared" si="16"/>
        <v>2.8438280578300925</v>
      </c>
      <c r="AP7" s="53">
        <f t="shared" si="17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11</v>
      </c>
      <c r="L8" s="36"/>
      <c r="M8" s="36"/>
      <c r="N8" s="37">
        <f>K8/7</f>
        <v>1.5714285714285714</v>
      </c>
      <c r="O8" s="38">
        <f>R8/7</f>
        <v>1.4285714285714286</v>
      </c>
      <c r="P8" s="39">
        <f>SUMIFS('Отчет 05-11.01'!H:H,'Отчет 05-11.01'!D:D,"Выручка",'Отчет 05-11.01'!E:E,B8)</f>
        <v>10</v>
      </c>
      <c r="Q8" s="39">
        <f>SUMIFS('Отчет 05-11.01'!H:H,'Отчет 05-11.01'!D:D,"Возврат выручки",'Отчет 05-11.01'!E:E,B8)</f>
        <v>0</v>
      </c>
      <c r="R8" s="40">
        <f>P8-Q8</f>
        <v>10</v>
      </c>
      <c r="S8" s="41">
        <f>SUMIFS('Отчет 05-11.01'!P:P,'Отчет 05-11.01'!C:C,"Продажи",'Отчет 05-11.01'!E:E,B8)</f>
        <v>12020</v>
      </c>
      <c r="T8" s="42">
        <f>SUMIFS('Отчет 05-11.01'!P:P,'Отчет 05-11.01'!C:C,"Возвраты",'Отчет 05-11.01'!E:E,B8)</f>
        <v>0</v>
      </c>
      <c r="U8" s="40">
        <f>S8+T8</f>
        <v>12020</v>
      </c>
      <c r="V8" s="43">
        <f t="shared" si="5"/>
        <v>4.5548764082412187E-2</v>
      </c>
      <c r="W8" s="44">
        <f>R8*H8</f>
        <v>1698.8999999999999</v>
      </c>
      <c r="X8" s="42">
        <f>-SUMIFS('Отчет 05-11.01'!P:P,'Отчет 05-11.01'!C:C,"Вознаграждение Ozon",'Отчет 05-11.01'!E:E,B8)</f>
        <v>5168.5999999999995</v>
      </c>
      <c r="Y8" s="45">
        <f t="shared" si="18"/>
        <v>0.42999999999999994</v>
      </c>
      <c r="Z8" s="42">
        <f>-SUMIFS('Отчет 05-11.01'!P:P,'Отчет 05-11.01'!C:C,"Услуги доставки",'Отчет 05-11.01'!E:E,B8)</f>
        <v>1124.97</v>
      </c>
      <c r="AA8" s="32">
        <v>1389.972358</v>
      </c>
      <c r="AB8" s="55"/>
      <c r="AC8" s="42"/>
      <c r="AD8" s="46">
        <f t="shared" si="8"/>
        <v>120.2</v>
      </c>
      <c r="AE8" s="47">
        <f>U8-W8-X8-Z8-AA8-AB8-AC8-AD8</f>
        <v>2517.3576420000009</v>
      </c>
      <c r="AF8" s="46"/>
      <c r="AG8" s="48">
        <f>IF(R8=0,0,U8/R8)</f>
        <v>1202</v>
      </c>
      <c r="AH8" s="49">
        <f>H8</f>
        <v>169.89</v>
      </c>
      <c r="AI8" s="49">
        <f>IF(R8=0,0,X8/R8)</f>
        <v>516.8599999999999</v>
      </c>
      <c r="AJ8" s="49">
        <f>IF(P8=0,Z8/1,Z8/P8)</f>
        <v>112.497</v>
      </c>
      <c r="AK8" s="49">
        <f>IF(P8=0,0,AA8/P8)</f>
        <v>138.9972358</v>
      </c>
      <c r="AL8" s="49">
        <f t="array" ref="AL8">_xlfn.IFS(R8=0,AE8,R8&lt;0,AE8/-R8,R8&gt;0,AE8/R8)</f>
        <v>251.73576420000009</v>
      </c>
      <c r="AM8" s="50">
        <f>IF(AG8=0,0,AL8/AG8)</f>
        <v>0.20943075224625632</v>
      </c>
      <c r="AN8" s="51">
        <f>IF(AH8=0,0,AL8/AH8)</f>
        <v>1.4817573971393261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ref="N9:N16" si="19">K9/7</f>
        <v>0</v>
      </c>
      <c r="O9" s="38">
        <f t="shared" ref="O9:O16" si="20">R9/7</f>
        <v>0</v>
      </c>
      <c r="P9" s="39">
        <f>SUMIFS('Отчет 05-11.01'!H:H,'Отчет 05-11.01'!D:D,"Выручка",'Отчет 05-11.01'!E:E,B9)</f>
        <v>0</v>
      </c>
      <c r="Q9" s="39">
        <f>SUMIFS('Отчет 05-11.01'!H:H,'Отчет 05-11.01'!D:D,"Возврат выручки",'Отчет 05-11.01'!E:E,B9)</f>
        <v>0</v>
      </c>
      <c r="R9" s="40">
        <f t="shared" ref="R9:R16" si="21">P9-Q9</f>
        <v>0</v>
      </c>
      <c r="S9" s="41">
        <f>SUMIFS('Отчет 05-11.01'!P:P,'Отчет 05-11.01'!C:C,"Продажи",'Отчет 05-11.01'!E:E,B9)</f>
        <v>0</v>
      </c>
      <c r="T9" s="42">
        <f>SUMIFS('Отчет 05-11.01'!P:P,'Отчет 05-11.01'!C:C,"Возвраты",'Отчет 05-11.01'!E:E,B9)</f>
        <v>0</v>
      </c>
      <c r="U9" s="40">
        <f t="shared" ref="U9:U16" si="22">S9+T9</f>
        <v>0</v>
      </c>
      <c r="V9" s="43">
        <f t="shared" si="5"/>
        <v>0</v>
      </c>
      <c r="W9" s="44">
        <f t="shared" ref="W9:W16" si="23">R9*H9</f>
        <v>0</v>
      </c>
      <c r="X9" s="42">
        <f>-SUMIFS('Отчет 05-11.01'!P:P,'Отчет 05-11.01'!C:C,"Вознаграждение Ozon",'Отчет 05-11.01'!E:E,B9)</f>
        <v>0</v>
      </c>
      <c r="Y9" s="45">
        <f t="shared" si="18"/>
        <v>0</v>
      </c>
      <c r="Z9" s="42">
        <f>-SUMIFS('Отчет 05-11.01'!P:P,'Отчет 05-11.01'!C:C,"Услуги доставки",'Отчет 05-11.01'!E:E,B9)</f>
        <v>0</v>
      </c>
      <c r="AA9" s="32">
        <v>0</v>
      </c>
      <c r="AB9" s="55"/>
      <c r="AC9" s="42"/>
      <c r="AD9" s="46">
        <f t="shared" si="8"/>
        <v>0</v>
      </c>
      <c r="AE9" s="47">
        <f t="shared" ref="AE9:AE16" si="24">U9-W9-X9-Z9-AA9-AB9-AC9-AD9</f>
        <v>0</v>
      </c>
      <c r="AF9" s="46"/>
      <c r="AG9" s="48">
        <f t="shared" ref="AG9:AG16" si="25">IF(R9=0,0,U9/R9)</f>
        <v>0</v>
      </c>
      <c r="AH9" s="49">
        <f t="shared" ref="AH9:AH16" si="26">H9</f>
        <v>123</v>
      </c>
      <c r="AI9" s="49">
        <f t="shared" ref="AI9:AI16" si="27">IF(R9=0,0,X9/R9)</f>
        <v>0</v>
      </c>
      <c r="AJ9" s="49">
        <f t="shared" ref="AJ9:AJ16" si="28">IF(P9=0,Z9/1,Z9/P9)</f>
        <v>0</v>
      </c>
      <c r="AK9" s="49">
        <f t="shared" ref="AK9:AK16" si="29">IF(P9=0,0,AA9/P9)</f>
        <v>0</v>
      </c>
      <c r="AL9" s="49">
        <f t="array" ref="AL9">_xlfn.IFS(R9=0,AE9,R9&lt;0,AE9/-R9,R9&gt;0,AE9/R9)</f>
        <v>0</v>
      </c>
      <c r="AM9" s="50">
        <f t="shared" ref="AM9:AM16" si="30">IF(AG9=0,0,AL9/AG9)</f>
        <v>0</v>
      </c>
      <c r="AN9" s="51">
        <f t="shared" ref="AN9:AN16" si="31">IF(AH9=0,0,AL9/AH9)</f>
        <v>0</v>
      </c>
      <c r="AP9" s="53">
        <f t="shared" ref="AP9:AP16" si="32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9"/>
        <v>0</v>
      </c>
      <c r="O10" s="38">
        <f t="shared" si="20"/>
        <v>0</v>
      </c>
      <c r="P10" s="39">
        <f>SUMIFS('Отчет 05-11.01'!H:H,'Отчет 05-11.01'!D:D,"Выручка",'Отчет 05-11.01'!E:E,B10)</f>
        <v>0</v>
      </c>
      <c r="Q10" s="39">
        <f>SUMIFS('Отчет 05-11.01'!H:H,'Отчет 05-11.01'!D:D,"Возврат выручки",'Отчет 05-11.01'!E:E,B10)</f>
        <v>0</v>
      </c>
      <c r="R10" s="40">
        <f t="shared" si="21"/>
        <v>0</v>
      </c>
      <c r="S10" s="41">
        <f>SUMIFS('Отчет 05-11.01'!P:P,'Отчет 05-11.01'!C:C,"Продажи",'Отчет 05-11.01'!E:E,B10)</f>
        <v>0</v>
      </c>
      <c r="T10" s="42">
        <f>SUMIFS('Отчет 05-11.01'!P:P,'Отчет 05-11.01'!C:C,"Возвраты",'Отчет 05-11.01'!E:E,B10)</f>
        <v>0</v>
      </c>
      <c r="U10" s="40">
        <f t="shared" si="22"/>
        <v>0</v>
      </c>
      <c r="V10" s="43">
        <f t="shared" si="5"/>
        <v>0</v>
      </c>
      <c r="W10" s="44">
        <f t="shared" si="23"/>
        <v>0</v>
      </c>
      <c r="X10" s="42">
        <f>-SUMIFS('Отчет 05-11.01'!P:P,'Отчет 05-11.01'!C:C,"Вознаграждение Ozon",'Отчет 05-11.01'!E:E,B10)</f>
        <v>0</v>
      </c>
      <c r="Y10" s="45">
        <f t="shared" si="18"/>
        <v>0</v>
      </c>
      <c r="Z10" s="42">
        <f>-SUMIFS('Отчет 05-11.01'!P:P,'Отчет 05-11.01'!C:C,"Услуги доставки",'Отчет 05-11.01'!E:E,B10)</f>
        <v>0</v>
      </c>
      <c r="AA10" s="32">
        <v>0</v>
      </c>
      <c r="AB10" s="55"/>
      <c r="AC10" s="42"/>
      <c r="AD10" s="46">
        <f t="shared" si="8"/>
        <v>0</v>
      </c>
      <c r="AE10" s="47">
        <f t="shared" si="24"/>
        <v>0</v>
      </c>
      <c r="AF10" s="46"/>
      <c r="AG10" s="48">
        <f t="shared" si="25"/>
        <v>0</v>
      </c>
      <c r="AH10" s="49">
        <f t="shared" si="26"/>
        <v>123</v>
      </c>
      <c r="AI10" s="49">
        <f t="shared" si="27"/>
        <v>0</v>
      </c>
      <c r="AJ10" s="49">
        <f t="shared" si="28"/>
        <v>0</v>
      </c>
      <c r="AK10" s="49">
        <f t="shared" si="29"/>
        <v>0</v>
      </c>
      <c r="AL10" s="49">
        <f t="array" ref="AL10">_xlfn.IFS(R10=0,AE10,R10&lt;0,AE10/-R10,R10&gt;0,AE10/R10)</f>
        <v>0</v>
      </c>
      <c r="AM10" s="50">
        <f t="shared" si="30"/>
        <v>0</v>
      </c>
      <c r="AN10" s="51">
        <f t="shared" si="31"/>
        <v>0</v>
      </c>
      <c r="AP10" s="53">
        <f t="shared" si="32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55</v>
      </c>
      <c r="L11" s="36"/>
      <c r="M11" s="36"/>
      <c r="N11" s="37">
        <f t="shared" si="19"/>
        <v>7.8571428571428568</v>
      </c>
      <c r="O11" s="38">
        <f t="shared" si="20"/>
        <v>7.4285714285714288</v>
      </c>
      <c r="P11" s="39">
        <f>SUMIFS('Отчет 05-11.01'!H:H,'Отчет 05-11.01'!D:D,"Выручка",'Отчет 05-11.01'!E:E,B11)</f>
        <v>54</v>
      </c>
      <c r="Q11" s="39">
        <f>SUMIFS('Отчет 05-11.01'!H:H,'Отчет 05-11.01'!D:D,"Возврат выручки",'Отчет 05-11.01'!E:E,B11)</f>
        <v>2</v>
      </c>
      <c r="R11" s="40">
        <f t="shared" si="21"/>
        <v>52</v>
      </c>
      <c r="S11" s="41">
        <f>SUMIFS('Отчет 05-11.01'!P:P,'Отчет 05-11.01'!C:C,"Продажи",'Отчет 05-11.01'!E:E,B11)</f>
        <v>87534</v>
      </c>
      <c r="T11" s="42">
        <f>SUMIFS('Отчет 05-11.01'!P:P,'Отчет 05-11.01'!C:C,"Возвраты",'Отчет 05-11.01'!E:E,B11)</f>
        <v>-3242</v>
      </c>
      <c r="U11" s="40">
        <f t="shared" si="22"/>
        <v>84292</v>
      </c>
      <c r="V11" s="43">
        <f t="shared" si="5"/>
        <v>0.31941733960355145</v>
      </c>
      <c r="W11" s="44">
        <f t="shared" si="23"/>
        <v>6396</v>
      </c>
      <c r="X11" s="42">
        <f>-SUMIFS('Отчет 05-11.01'!P:P,'Отчет 05-11.01'!C:C,"Вознаграждение Ozon",'Отчет 05-11.01'!E:E,B11)</f>
        <v>36245.559999999976</v>
      </c>
      <c r="Y11" s="45">
        <f t="shared" si="18"/>
        <v>0.42999999999999972</v>
      </c>
      <c r="Z11" s="42">
        <f>-SUMIFS('Отчет 05-11.01'!P:P,'Отчет 05-11.01'!C:C,"Услуги доставки",'Отчет 05-11.01'!E:E,B11)</f>
        <v>8582.4799999999977</v>
      </c>
      <c r="AA11" s="32">
        <v>17647.360582000001</v>
      </c>
      <c r="AB11" s="55"/>
      <c r="AC11" s="42"/>
      <c r="AD11" s="46">
        <f t="shared" si="8"/>
        <v>842.92000000000007</v>
      </c>
      <c r="AE11" s="47">
        <f t="shared" si="24"/>
        <v>14577.679418000027</v>
      </c>
      <c r="AF11" s="46"/>
      <c r="AG11" s="48">
        <f t="shared" si="25"/>
        <v>1621</v>
      </c>
      <c r="AH11" s="49">
        <f t="shared" si="26"/>
        <v>123</v>
      </c>
      <c r="AI11" s="49">
        <f t="shared" si="27"/>
        <v>697.02999999999952</v>
      </c>
      <c r="AJ11" s="49">
        <f t="shared" si="28"/>
        <v>158.93481481481479</v>
      </c>
      <c r="AK11" s="49">
        <f t="shared" si="29"/>
        <v>326.80297374074075</v>
      </c>
      <c r="AL11" s="49">
        <f t="array" ref="AL11">_xlfn.IFS(R11=0,AE11,R11&lt;0,AE11/-R11,R11&gt;0,AE11/R11)</f>
        <v>280.33998880769281</v>
      </c>
      <c r="AM11" s="50">
        <f t="shared" si="30"/>
        <v>0.17294262110283332</v>
      </c>
      <c r="AN11" s="51">
        <f t="shared" si="31"/>
        <v>2.2791869008755512</v>
      </c>
      <c r="AP11" s="53">
        <f t="shared" si="32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9"/>
        <v>0</v>
      </c>
      <c r="O12" s="38">
        <f t="shared" si="20"/>
        <v>0</v>
      </c>
      <c r="P12" s="39">
        <f>SUMIFS('Отчет 05-11.01'!H:H,'Отчет 05-11.01'!D:D,"Выручка",'Отчет 05-11.01'!E:E,B12)</f>
        <v>0</v>
      </c>
      <c r="Q12" s="39">
        <f>SUMIFS('Отчет 05-11.01'!H:H,'Отчет 05-11.01'!D:D,"Возврат выручки",'Отчет 05-11.01'!E:E,B12)</f>
        <v>0</v>
      </c>
      <c r="R12" s="40">
        <f t="shared" si="21"/>
        <v>0</v>
      </c>
      <c r="S12" s="41">
        <f>SUMIFS('Отчет 05-11.01'!P:P,'Отчет 05-11.01'!C:C,"Продажи",'Отчет 05-11.01'!E:E,B12)</f>
        <v>0</v>
      </c>
      <c r="T12" s="42">
        <f>SUMIFS('Отчет 05-11.01'!P:P,'Отчет 05-11.01'!C:C,"Возвраты",'Отчет 05-11.01'!E:E,B12)</f>
        <v>0</v>
      </c>
      <c r="U12" s="40">
        <f t="shared" si="22"/>
        <v>0</v>
      </c>
      <c r="V12" s="43">
        <f t="shared" si="5"/>
        <v>0</v>
      </c>
      <c r="W12" s="44">
        <f t="shared" si="23"/>
        <v>0</v>
      </c>
      <c r="X12" s="42">
        <f>-SUMIFS('Отчет 05-11.01'!P:P,'Отчет 05-11.01'!C:C,"Вознаграждение Ozon",'Отчет 05-11.01'!E:E,B12)</f>
        <v>0</v>
      </c>
      <c r="Y12" s="45">
        <f t="shared" si="18"/>
        <v>0</v>
      </c>
      <c r="Z12" s="42">
        <f>-SUMIFS('Отчет 05-11.01'!P:P,'Отчет 05-11.01'!C:C,"Услуги доставки",'Отчет 05-11.01'!E:E,B12)</f>
        <v>0</v>
      </c>
      <c r="AA12" s="32">
        <v>0</v>
      </c>
      <c r="AB12" s="55"/>
      <c r="AC12" s="42"/>
      <c r="AD12" s="46">
        <f t="shared" si="8"/>
        <v>0</v>
      </c>
      <c r="AE12" s="47">
        <f t="shared" si="24"/>
        <v>0</v>
      </c>
      <c r="AF12" s="46"/>
      <c r="AG12" s="48">
        <f t="shared" si="25"/>
        <v>0</v>
      </c>
      <c r="AH12" s="49">
        <f t="shared" si="26"/>
        <v>117</v>
      </c>
      <c r="AI12" s="49">
        <f t="shared" si="27"/>
        <v>0</v>
      </c>
      <c r="AJ12" s="49">
        <f t="shared" si="28"/>
        <v>0</v>
      </c>
      <c r="AK12" s="49">
        <f t="shared" si="29"/>
        <v>0</v>
      </c>
      <c r="AL12" s="49">
        <f t="array" ref="AL12">_xlfn.IFS(R12=0,AE12,R12&lt;0,AE12/-R12,R12&gt;0,AE12/R12)</f>
        <v>0</v>
      </c>
      <c r="AM12" s="50">
        <f t="shared" si="30"/>
        <v>0</v>
      </c>
      <c r="AN12" s="51">
        <f t="shared" si="31"/>
        <v>0</v>
      </c>
      <c r="AP12" s="53">
        <f t="shared" si="32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9"/>
        <v>0</v>
      </c>
      <c r="O13" s="38">
        <f t="shared" si="20"/>
        <v>0</v>
      </c>
      <c r="P13" s="39">
        <f>SUMIFS('Отчет 05-11.01'!H:H,'Отчет 05-11.01'!D:D,"Выручка",'Отчет 05-11.01'!E:E,B13)</f>
        <v>0</v>
      </c>
      <c r="Q13" s="39">
        <f>SUMIFS('Отчет 05-11.01'!H:H,'Отчет 05-11.01'!D:D,"Возврат выручки",'Отчет 05-11.01'!E:E,B13)</f>
        <v>0</v>
      </c>
      <c r="R13" s="40">
        <f t="shared" si="21"/>
        <v>0</v>
      </c>
      <c r="S13" s="41">
        <f>SUMIFS('Отчет 05-11.01'!P:P,'Отчет 05-11.01'!C:C,"Продажи",'Отчет 05-11.01'!E:E,B13)</f>
        <v>0</v>
      </c>
      <c r="T13" s="42">
        <f>SUMIFS('Отчет 05-11.01'!P:P,'Отчет 05-11.01'!C:C,"Возвраты",'Отчет 05-11.01'!E:E,B13)</f>
        <v>0</v>
      </c>
      <c r="U13" s="40">
        <f t="shared" si="22"/>
        <v>0</v>
      </c>
      <c r="V13" s="43">
        <f t="shared" si="5"/>
        <v>0</v>
      </c>
      <c r="W13" s="44">
        <f t="shared" si="23"/>
        <v>0</v>
      </c>
      <c r="X13" s="42">
        <f>-SUMIFS('Отчет 05-11.01'!P:P,'Отчет 05-11.01'!C:C,"Вознаграждение Ozon",'Отчет 05-11.01'!E:E,B13)</f>
        <v>0</v>
      </c>
      <c r="Y13" s="45">
        <f t="shared" si="18"/>
        <v>0</v>
      </c>
      <c r="Z13" s="42">
        <f>-SUMIFS('Отчет 05-11.01'!P:P,'Отчет 05-11.01'!C:C,"Услуги доставки",'Отчет 05-11.01'!E:E,B13)</f>
        <v>0</v>
      </c>
      <c r="AA13" s="32">
        <v>0</v>
      </c>
      <c r="AB13" s="55"/>
      <c r="AC13" s="42"/>
      <c r="AD13" s="46">
        <f t="shared" si="8"/>
        <v>0</v>
      </c>
      <c r="AE13" s="47">
        <f t="shared" si="24"/>
        <v>0</v>
      </c>
      <c r="AF13" s="46"/>
      <c r="AG13" s="48">
        <f t="shared" si="25"/>
        <v>0</v>
      </c>
      <c r="AH13" s="49">
        <f t="shared" si="26"/>
        <v>123</v>
      </c>
      <c r="AI13" s="49">
        <f t="shared" si="27"/>
        <v>0</v>
      </c>
      <c r="AJ13" s="49">
        <f t="shared" si="28"/>
        <v>0</v>
      </c>
      <c r="AK13" s="49">
        <f t="shared" si="29"/>
        <v>0</v>
      </c>
      <c r="AL13" s="49">
        <f t="array" ref="AL13">_xlfn.IFS(R13=0,AE13,R13&lt;0,AE13/-R13,R13&gt;0,AE13/R13)</f>
        <v>0</v>
      </c>
      <c r="AM13" s="50">
        <f t="shared" si="30"/>
        <v>0</v>
      </c>
      <c r="AN13" s="51">
        <f t="shared" si="31"/>
        <v>0</v>
      </c>
      <c r="AP13" s="53">
        <f t="shared" si="32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9"/>
        <v>0</v>
      </c>
      <c r="O14" s="38">
        <f t="shared" si="20"/>
        <v>0</v>
      </c>
      <c r="P14" s="39">
        <f>SUMIFS('Отчет 05-11.01'!H:H,'Отчет 05-11.01'!D:D,"Выручка",'Отчет 05-11.01'!E:E,B14)</f>
        <v>0</v>
      </c>
      <c r="Q14" s="39">
        <f>SUMIFS('Отчет 05-11.01'!H:H,'Отчет 05-11.01'!D:D,"Возврат выручки",'Отчет 05-11.01'!E:E,B14)</f>
        <v>0</v>
      </c>
      <c r="R14" s="40">
        <f t="shared" si="21"/>
        <v>0</v>
      </c>
      <c r="S14" s="41">
        <f>SUMIFS('Отчет 05-11.01'!P:P,'Отчет 05-11.01'!C:C,"Продажи",'Отчет 05-11.01'!E:E,B14)</f>
        <v>0</v>
      </c>
      <c r="T14" s="42">
        <f>SUMIFS('Отчет 05-11.01'!P:P,'Отчет 05-11.01'!C:C,"Возвраты",'Отчет 05-11.01'!E:E,B14)</f>
        <v>0</v>
      </c>
      <c r="U14" s="40">
        <f t="shared" si="22"/>
        <v>0</v>
      </c>
      <c r="V14" s="43">
        <f t="shared" si="5"/>
        <v>0</v>
      </c>
      <c r="W14" s="44">
        <f t="shared" si="23"/>
        <v>0</v>
      </c>
      <c r="X14" s="42">
        <f>-SUMIFS('Отчет 05-11.01'!P:P,'Отчет 05-11.01'!C:C,"Вознаграждение Ozon",'Отчет 05-11.01'!E:E,B14)</f>
        <v>0</v>
      </c>
      <c r="Y14" s="45">
        <f t="shared" si="18"/>
        <v>0</v>
      </c>
      <c r="Z14" s="42">
        <f>-SUMIFS('Отчет 05-11.01'!P:P,'Отчет 05-11.01'!C:C,"Услуги доставки",'Отчет 05-11.01'!E:E,B14)</f>
        <v>0</v>
      </c>
      <c r="AA14" s="32">
        <v>0</v>
      </c>
      <c r="AB14" s="55"/>
      <c r="AC14" s="42"/>
      <c r="AD14" s="46">
        <f t="shared" si="8"/>
        <v>0</v>
      </c>
      <c r="AE14" s="47">
        <f t="shared" si="24"/>
        <v>0</v>
      </c>
      <c r="AG14" s="48">
        <f t="shared" si="25"/>
        <v>0</v>
      </c>
      <c r="AH14" s="49">
        <f t="shared" si="26"/>
        <v>123</v>
      </c>
      <c r="AI14" s="49">
        <f t="shared" si="27"/>
        <v>0</v>
      </c>
      <c r="AJ14" s="49">
        <f t="shared" si="28"/>
        <v>0</v>
      </c>
      <c r="AK14" s="49">
        <f t="shared" si="29"/>
        <v>0</v>
      </c>
      <c r="AL14" s="49">
        <f t="array" ref="AL14">_xlfn.IFS(R14=0,AE14,R14&lt;0,AE14/-R14,R14&gt;0,AE14/R14)</f>
        <v>0</v>
      </c>
      <c r="AM14" s="50">
        <f t="shared" si="30"/>
        <v>0</v>
      </c>
      <c r="AN14" s="51">
        <f t="shared" si="31"/>
        <v>0</v>
      </c>
      <c r="AP14" s="53">
        <f t="shared" si="32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54</v>
      </c>
      <c r="L15" s="36"/>
      <c r="M15" s="36"/>
      <c r="N15" s="37">
        <f t="shared" si="19"/>
        <v>7.7142857142857144</v>
      </c>
      <c r="O15" s="38">
        <f t="shared" si="20"/>
        <v>7</v>
      </c>
      <c r="P15" s="39">
        <f>SUMIFS('Отчет 05-11.01'!H:H,'Отчет 05-11.01'!D:D,"Выручка",'Отчет 05-11.01'!E:E,B15)</f>
        <v>53</v>
      </c>
      <c r="Q15" s="39">
        <f>SUMIFS('Отчет 05-11.01'!H:H,'Отчет 05-11.01'!D:D,"Возврат выручки",'Отчет 05-11.01'!E:E,B15)</f>
        <v>4</v>
      </c>
      <c r="R15" s="40">
        <f t="shared" si="21"/>
        <v>49</v>
      </c>
      <c r="S15" s="41">
        <f>SUMIFS('Отчет 05-11.01'!P:P,'Отчет 05-11.01'!C:C,"Продажи",'Отчет 05-11.01'!E:E,B15)</f>
        <v>96664.999999999985</v>
      </c>
      <c r="T15" s="42">
        <f>SUMIFS('Отчет 05-11.01'!P:P,'Отчет 05-11.01'!C:C,"Возвраты",'Отчет 05-11.01'!E:E,B15)</f>
        <v>-7379.9999999999991</v>
      </c>
      <c r="U15" s="40">
        <f t="shared" si="22"/>
        <v>89284.999999999985</v>
      </c>
      <c r="V15" s="43">
        <f>U15/$U$24</f>
        <v>0.33833788694660333</v>
      </c>
      <c r="W15" s="44">
        <f t="shared" si="23"/>
        <v>6027</v>
      </c>
      <c r="X15" s="42">
        <f>-SUMIFS('Отчет 05-11.01'!P:P,'Отчет 05-11.01'!C:C,"Вознаграждение Ozon",'Отчет 05-11.01'!E:E,B15)</f>
        <v>38392.549999999967</v>
      </c>
      <c r="Y15" s="45">
        <f t="shared" si="18"/>
        <v>0.42999999999999972</v>
      </c>
      <c r="Z15" s="42">
        <f>-SUMIFS('Отчет 05-11.01'!P:P,'Отчет 05-11.01'!C:C,"Услуги доставки",'Отчет 05-11.01'!E:E,B15)</f>
        <v>10697.359999999997</v>
      </c>
      <c r="AA15" s="32">
        <v>19593.997350999998</v>
      </c>
      <c r="AB15" s="55"/>
      <c r="AC15" s="42"/>
      <c r="AD15" s="46">
        <f t="shared" si="8"/>
        <v>892.84999999999991</v>
      </c>
      <c r="AE15" s="47">
        <f t="shared" si="24"/>
        <v>13681.242649000027</v>
      </c>
      <c r="AF15" s="46"/>
      <c r="AG15" s="48">
        <f t="shared" si="25"/>
        <v>1822.1428571428569</v>
      </c>
      <c r="AH15" s="49">
        <f t="shared" si="26"/>
        <v>123</v>
      </c>
      <c r="AI15" s="49">
        <f t="shared" si="27"/>
        <v>783.52142857142792</v>
      </c>
      <c r="AJ15" s="49">
        <f t="shared" si="28"/>
        <v>201.83698113207541</v>
      </c>
      <c r="AK15" s="49">
        <f t="shared" si="29"/>
        <v>369.69806322641506</v>
      </c>
      <c r="AL15" s="49">
        <f t="array" ref="AL15">_xlfn.IFS(R15=0,AE15,R15&lt;0,AE15/-R15,R15&gt;0,AE15/R15)</f>
        <v>279.20903365306179</v>
      </c>
      <c r="AM15" s="50">
        <f t="shared" si="30"/>
        <v>0.15323114351794848</v>
      </c>
      <c r="AN15" s="51">
        <f t="shared" si="31"/>
        <v>2.2699921435208275</v>
      </c>
      <c r="AP15" s="53">
        <f t="shared" si="32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9"/>
        <v>0</v>
      </c>
      <c r="O16" s="38">
        <f t="shared" si="20"/>
        <v>0</v>
      </c>
      <c r="P16" s="39">
        <f>SUMIFS('Отчет 05-11.01'!H:H,'Отчет 05-11.01'!D:D,"Выручка",'Отчет 05-11.01'!E:E,B16)</f>
        <v>0</v>
      </c>
      <c r="Q16" s="39">
        <f>SUMIFS('Отчет 05-11.01'!H:H,'Отчет 05-11.01'!D:D,"Возврат выручки",'Отчет 05-11.01'!E:E,B16)</f>
        <v>0</v>
      </c>
      <c r="R16" s="40">
        <f t="shared" si="21"/>
        <v>0</v>
      </c>
      <c r="S16" s="41">
        <f>SUMIFS('Отчет 05-11.01'!P:P,'Отчет 05-11.01'!C:C,"Продажи",'Отчет 05-11.01'!E:E,B16)</f>
        <v>0</v>
      </c>
      <c r="T16" s="42">
        <f>SUMIFS('Отчет 05-11.01'!P:P,'Отчет 05-11.01'!C:C,"Возвраты",'Отчет 05-11.01'!E:E,B16)</f>
        <v>0</v>
      </c>
      <c r="U16" s="40">
        <f t="shared" si="22"/>
        <v>0</v>
      </c>
      <c r="V16" s="43">
        <f>U16/$U$24</f>
        <v>0</v>
      </c>
      <c r="W16" s="44">
        <f t="shared" si="23"/>
        <v>0</v>
      </c>
      <c r="X16" s="42">
        <f>-SUMIFS('Отчет 05-11.01'!P:P,'Отчет 05-11.01'!C:C,"Вознаграждение Ozon",'Отчет 05-11.01'!E:E,B16)</f>
        <v>0</v>
      </c>
      <c r="Y16" s="45">
        <f t="shared" si="18"/>
        <v>0</v>
      </c>
      <c r="Z16" s="42">
        <f>-SUMIFS('Отчет 05-11.01'!P:P,'Отчет 05-11.01'!C:C,"Услуги доставки",'Отчет 05-11.01'!E:E,B16)</f>
        <v>0</v>
      </c>
      <c r="AA16" s="32">
        <v>0</v>
      </c>
      <c r="AB16" s="55"/>
      <c r="AC16" s="42"/>
      <c r="AD16" s="46">
        <f t="shared" si="8"/>
        <v>0</v>
      </c>
      <c r="AE16" s="47">
        <f t="shared" si="24"/>
        <v>0</v>
      </c>
      <c r="AF16" s="46"/>
      <c r="AG16" s="48">
        <f t="shared" si="25"/>
        <v>0</v>
      </c>
      <c r="AH16" s="49">
        <f t="shared" si="26"/>
        <v>117</v>
      </c>
      <c r="AI16" s="49">
        <f t="shared" si="27"/>
        <v>0</v>
      </c>
      <c r="AJ16" s="49">
        <f t="shared" si="28"/>
        <v>0</v>
      </c>
      <c r="AK16" s="49">
        <f t="shared" si="29"/>
        <v>0</v>
      </c>
      <c r="AL16" s="49">
        <f t="array" ref="AL16">_xlfn.IFS(R16=0,AE16,R16&lt;0,AE16/-R16,R16&gt;0,AE16/R16)</f>
        <v>0</v>
      </c>
      <c r="AM16" s="50">
        <f t="shared" si="30"/>
        <v>0</v>
      </c>
      <c r="AN16" s="51">
        <f t="shared" si="31"/>
        <v>0</v>
      </c>
      <c r="AP16" s="53">
        <f t="shared" si="32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3">AVERAGEIF(AG3:AG15,"&lt;&gt;0",AG3:AG15)</f>
        <v>1584.2928571428572</v>
      </c>
      <c r="AH17" s="58">
        <f t="shared" si="33"/>
        <v>127.26</v>
      </c>
      <c r="AI17" s="58">
        <f t="shared" si="33"/>
        <v>681.24592857142852</v>
      </c>
      <c r="AJ17" s="58">
        <f t="shared" si="33"/>
        <v>160.52573964487641</v>
      </c>
      <c r="AK17" s="58">
        <f t="shared" si="33"/>
        <v>274.75227423187931</v>
      </c>
      <c r="AL17" s="58">
        <f t="shared" si="33"/>
        <v>308.92170352896528</v>
      </c>
      <c r="AM17" s="59">
        <f t="shared" si="33"/>
        <v>0.19623799908067013</v>
      </c>
      <c r="AN17" s="59">
        <f t="shared" si="33"/>
        <v>2.4045498389802833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183</v>
      </c>
      <c r="L18" s="67"/>
      <c r="M18" s="67"/>
      <c r="N18" s="68"/>
      <c r="O18" s="69"/>
      <c r="P18" s="64">
        <f t="shared" ref="P18:X18" si="34">SUM(P3:P16)</f>
        <v>168</v>
      </c>
      <c r="Q18" s="64">
        <f t="shared" si="34"/>
        <v>8</v>
      </c>
      <c r="R18" s="64">
        <f t="shared" si="34"/>
        <v>160</v>
      </c>
      <c r="S18" s="70">
        <f t="shared" si="34"/>
        <v>277715</v>
      </c>
      <c r="T18" s="64">
        <f t="shared" si="34"/>
        <v>-13822</v>
      </c>
      <c r="U18" s="64">
        <f t="shared" si="34"/>
        <v>263893</v>
      </c>
      <c r="V18" s="71">
        <f t="shared" si="34"/>
        <v>1</v>
      </c>
      <c r="W18" s="64">
        <f t="shared" si="34"/>
        <v>20205.96</v>
      </c>
      <c r="X18" s="64">
        <f t="shared" si="34"/>
        <v>113473.98999999993</v>
      </c>
      <c r="Y18" s="72">
        <f>IF(U18=0,0,X18/U18)</f>
        <v>0.42999999999999977</v>
      </c>
      <c r="Z18" s="64">
        <f>SUM(Z3:Z16)</f>
        <v>28076.329999999991</v>
      </c>
      <c r="AA18" s="64">
        <f>IFERROR(P18*AA24/P24,0)</f>
        <v>56365.38</v>
      </c>
      <c r="AB18" s="64">
        <f>SUM(AB3:AB16)</f>
        <v>0</v>
      </c>
      <c r="AC18" s="64">
        <f>SUM(AC3:AC16)</f>
        <v>0</v>
      </c>
      <c r="AD18" s="73">
        <f>SUM(AD3:AD16)</f>
        <v>2638.9300000000003</v>
      </c>
      <c r="AE18" s="74">
        <f>SUM(AE3:AE16)</f>
        <v>44182.153689000057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55315.636310999995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5">AVERAGEIF(AG20:AG20,"&lt;&gt;0",AG20:AG20)</f>
        <v>#DIV/0!</v>
      </c>
      <c r="AH21" s="86" t="e">
        <f t="shared" si="35"/>
        <v>#DIV/0!</v>
      </c>
      <c r="AI21" s="86" t="e">
        <f t="shared" si="35"/>
        <v>#DIV/0!</v>
      </c>
      <c r="AJ21" s="86" t="e">
        <f t="shared" si="35"/>
        <v>#DIV/0!</v>
      </c>
      <c r="AK21" s="86" t="e">
        <f t="shared" si="35"/>
        <v>#DIV/0!</v>
      </c>
      <c r="AL21" s="86" t="e">
        <f t="shared" si="35"/>
        <v>#DIV/0!</v>
      </c>
      <c r="AM21" s="87" t="e">
        <f t="shared" si="35"/>
        <v>#DIV/0!</v>
      </c>
      <c r="AN21" s="87" t="e">
        <f t="shared" si="35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6">SUM(P20:P20)</f>
        <v>0</v>
      </c>
      <c r="Q22" s="90">
        <f t="shared" si="36"/>
        <v>0</v>
      </c>
      <c r="R22" s="96">
        <f t="shared" si="36"/>
        <v>0</v>
      </c>
      <c r="S22" s="90">
        <f t="shared" si="36"/>
        <v>0</v>
      </c>
      <c r="T22" s="90">
        <f t="shared" si="36"/>
        <v>0</v>
      </c>
      <c r="U22" s="96">
        <f t="shared" si="36"/>
        <v>0</v>
      </c>
      <c r="V22" s="97">
        <f t="shared" si="36"/>
        <v>0</v>
      </c>
      <c r="W22" s="90">
        <f t="shared" si="36"/>
        <v>0</v>
      </c>
      <c r="X22" s="90">
        <f t="shared" si="36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183</v>
      </c>
      <c r="L24" s="119"/>
      <c r="M24" s="119"/>
      <c r="N24" s="119"/>
      <c r="O24" s="119"/>
      <c r="P24" s="120">
        <f>P18+P22</f>
        <v>168</v>
      </c>
      <c r="Q24" s="118">
        <f>Q18+Q22</f>
        <v>8</v>
      </c>
      <c r="R24" s="121">
        <f>R18-R22</f>
        <v>160</v>
      </c>
      <c r="S24" s="118">
        <f t="shared" ref="S24:X24" si="37">S18+S22</f>
        <v>277715</v>
      </c>
      <c r="T24" s="118">
        <f t="shared" si="37"/>
        <v>-13822</v>
      </c>
      <c r="U24" s="121">
        <f t="shared" si="37"/>
        <v>263893</v>
      </c>
      <c r="V24" s="122">
        <f t="shared" si="37"/>
        <v>1</v>
      </c>
      <c r="W24" s="118">
        <f t="shared" si="37"/>
        <v>20205.96</v>
      </c>
      <c r="X24" s="118">
        <f t="shared" si="37"/>
        <v>113473.98999999993</v>
      </c>
      <c r="Y24" s="123">
        <f>X24/U24</f>
        <v>0.42999999999999977</v>
      </c>
      <c r="Z24" s="118">
        <f>Z18+Z22</f>
        <v>28076.329999999991</v>
      </c>
      <c r="AA24" s="124">
        <v>56365.38</v>
      </c>
      <c r="AB24" s="125"/>
      <c r="AC24" s="125">
        <f>SUM(AC3:AC20)</f>
        <v>0</v>
      </c>
      <c r="AD24" s="118">
        <f>AD18+AD22</f>
        <v>2638.9300000000003</v>
      </c>
      <c r="AE24" s="126">
        <f>AE18+AE22</f>
        <v>44182.153689000057</v>
      </c>
      <c r="AF24" s="127"/>
      <c r="AG24" s="128"/>
      <c r="AH24" s="129"/>
      <c r="AI24" s="129"/>
      <c r="AJ24" s="129"/>
      <c r="AK24" s="129">
        <f>AA25/P24</f>
        <v>335.50821428571425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56365.38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55315.636310999995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25" priority="19" operator="greaterThan">
      <formula>120</formula>
    </cfRule>
  </conditionalFormatting>
  <conditionalFormatting sqref="N23">
    <cfRule type="cellIs" dxfId="24" priority="18" operator="between">
      <formula>0.000001</formula>
      <formula>25</formula>
    </cfRule>
  </conditionalFormatting>
  <conditionalFormatting sqref="V1 V25:V28 V30:V1048576">
    <cfRule type="cellIs" dxfId="23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{A1501087-C5DD-47E7-A65B-CBEA4F1CCB39}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{897E918F-2DA9-4C3C-8FA4-7AD63F87E27E}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{2BD1FE82-5D9F-4D31-88AA-78EEE5608D92}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{D24B8285-1EB0-4D3E-8D06-C69920197066}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{A615396A-3C56-43C0-BA94-F3CAE096A4C3}</x14:id>
        </ext>
      </extLst>
    </cfRule>
  </conditionalFormatting>
  <conditionalFormatting sqref="P23">
    <cfRule type="cellIs" dxfId="22" priority="14" operator="greaterThan">
      <formula>120</formula>
    </cfRule>
  </conditionalFormatting>
  <conditionalFormatting sqref="Q23">
    <cfRule type="cellIs" dxfId="21" priority="13" operator="greaterThan">
      <formula>120</formula>
    </cfRule>
  </conditionalFormatting>
  <conditionalFormatting sqref="R23">
    <cfRule type="cellIs" dxfId="20" priority="12" operator="greaterThan">
      <formula>120</formula>
    </cfRule>
  </conditionalFormatting>
  <conditionalFormatting sqref="S23">
    <cfRule type="cellIs" dxfId="19" priority="11" operator="greaterThan">
      <formula>120</formula>
    </cfRule>
  </conditionalFormatting>
  <conditionalFormatting sqref="T23">
    <cfRule type="cellIs" dxfId="18" priority="10" operator="greaterThan">
      <formula>120</formula>
    </cfRule>
  </conditionalFormatting>
  <conditionalFormatting sqref="U23">
    <cfRule type="cellIs" dxfId="17" priority="9" operator="greaterThan">
      <formula>120</formula>
    </cfRule>
  </conditionalFormatting>
  <conditionalFormatting sqref="V23">
    <cfRule type="cellIs" dxfId="16" priority="8" operator="greaterThan">
      <formula>120</formula>
    </cfRule>
  </conditionalFormatting>
  <conditionalFormatting sqref="W23">
    <cfRule type="cellIs" dxfId="15" priority="7" operator="greaterThan">
      <formula>120</formula>
    </cfRule>
  </conditionalFormatting>
  <conditionalFormatting sqref="X23">
    <cfRule type="cellIs" dxfId="14" priority="6" operator="greaterThan">
      <formula>120</formula>
    </cfRule>
  </conditionalFormatting>
  <conditionalFormatting sqref="Z23">
    <cfRule type="cellIs" dxfId="13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{A1D94886-4D64-45BA-99D7-13827931A184}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{FBC7C41B-ECDB-4D34-B9E0-8968E2F257EC}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{0F95BD65-06AA-4906-913C-C6B331EA877E}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{0527BC3F-F440-4132-962B-99F2B07E2CDA}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{E5B910DD-8F4A-43D2-A752-F495E2C51E8B}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{EC623853-5978-4B8D-80A4-8861C5A32EF9}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{9A187819-18FB-41C1-8957-A1344D64418A}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{457B7656-857E-43B3-9539-642740080F37}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{5AA537AF-EC69-4031-9EA3-AFCB7E2D2CC2}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{5A1ACAF5-7FE1-4F39-8540-33794EF2D2F4}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{E6F5556D-5454-40C8-AD11-7CCD634CFB4E}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{AFF55BB8-4FEA-4458-A06B-072D1F5755B6}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{9A692BF0-0514-4D57-B3F9-0F1CE5D98C33}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{6B7C8523-E48C-4841-9BF5-DAC65B0C6C1D}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{129800B0-AD97-47C1-B523-8F4B05B26721}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{DF2D63C6-9371-41C4-8D98-A27E1A63EAEB}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1501087-C5DD-47E7-A65B-CBEA4F1CCB3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897E918F-2DA9-4C3C-8FA4-7AD63F87E2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2BD1FE82-5D9F-4D31-88AA-78EEE5608D92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D24B8285-1EB0-4D3E-8D06-C6992019706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615396A-3C56-43C0-BA94-F3CAE096A4C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A1D94886-4D64-45BA-99D7-13827931A18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FBC7C41B-ECDB-4D34-B9E0-8968E2F257EC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F95BD65-06AA-4906-913C-C6B331EA8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0527BC3F-F440-4132-962B-99F2B07E2CDA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E5B910DD-8F4A-43D2-A752-F495E2C51E8B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EC623853-5978-4B8D-80A4-8861C5A32EF9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9A187819-18FB-41C1-8957-A1344D6441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457B7656-857E-43B3-9539-642740080F3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5AA537AF-EC69-4031-9EA3-AFCB7E2D2CC2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1ACAF5-7FE1-4F39-8540-33794EF2D2F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E6F5556D-5454-40C8-AD11-7CCD634CFB4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AFF55BB8-4FEA-4458-A06B-072D1F5755B6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9A692BF0-0514-4D57-B3F9-0F1CE5D98C3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6B7C8523-E48C-4841-9BF5-DAC65B0C6C1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129800B0-AD97-47C1-B523-8F4B05B26721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DF2D63C6-9371-41C4-8D98-A27E1A63EAEB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548B1-293B-4701-B65C-A1FDE71AA32E}">
  <dimension ref="A1:AZ37"/>
  <sheetViews>
    <sheetView zoomScale="70" zoomScaleNormal="70" workbookViewId="0">
      <pane xSplit="2" ySplit="2" topLeftCell="V3" activePane="bottomRight" state="frozen"/>
      <selection pane="topRight" activeCell="C1" sqref="C1"/>
      <selection pane="bottomLeft" activeCell="A3" sqref="A3"/>
      <selection pane="bottomRight" activeCell="AA23" sqref="AA23"/>
    </sheetView>
  </sheetViews>
  <sheetFormatPr defaultColWidth="12.54296875" defaultRowHeight="14.5" outlineLevelRow="1" outlineLevelCol="2"/>
  <cols>
    <col min="1" max="1" width="15.54296875" style="52" customWidth="1"/>
    <col min="2" max="2" width="19.90625" style="170" customWidth="1"/>
    <col min="3" max="3" width="15.36328125" style="149" customWidth="1"/>
    <col min="4" max="4" width="10.90625" style="52" hidden="1" customWidth="1" outlineLevel="1"/>
    <col min="5" max="6" width="12.453125" style="52" hidden="1" customWidth="1" outlineLevel="1"/>
    <col min="7" max="7" width="11.1796875" style="52" hidden="1" customWidth="1" outlineLevel="1"/>
    <col min="8" max="8" width="11.7265625" style="52" customWidth="1" collapsed="1"/>
    <col min="9" max="9" width="17.90625" style="52" customWidth="1"/>
    <col min="10" max="10" width="22.26953125" style="52" hidden="1" customWidth="1" outlineLevel="1"/>
    <col min="11" max="11" width="15.81640625" style="52" customWidth="1" collapsed="1"/>
    <col min="12" max="12" width="23.453125" style="52" hidden="1" customWidth="1" outlineLevel="1"/>
    <col min="13" max="13" width="17.54296875" style="52" hidden="1" customWidth="1" outlineLevel="1"/>
    <col min="14" max="14" width="15.36328125" style="52" customWidth="1" collapsed="1"/>
    <col min="15" max="15" width="13.453125" style="52" customWidth="1"/>
    <col min="16" max="16" width="11.1796875" style="52" customWidth="1"/>
    <col min="17" max="17" width="8.81640625" style="52" customWidth="1"/>
    <col min="18" max="18" width="10.1796875" style="153" customWidth="1"/>
    <col min="19" max="19" width="13.1796875" style="153" customWidth="1"/>
    <col min="20" max="20" width="10.7265625" style="153" customWidth="1"/>
    <col min="21" max="21" width="17.7265625" style="153" customWidth="1"/>
    <col min="22" max="22" width="9.7265625" style="154" customWidth="1"/>
    <col min="23" max="23" width="11.81640625" style="52" customWidth="1"/>
    <col min="24" max="24" width="12.90625" style="52" customWidth="1"/>
    <col min="25" max="25" width="14.26953125" style="52" customWidth="1"/>
    <col min="26" max="27" width="11.7265625" style="52" customWidth="1"/>
    <col min="28" max="29" width="10.36328125" style="44" hidden="1" customWidth="1" outlineLevel="2"/>
    <col min="30" max="30" width="12.54296875" style="52" collapsed="1"/>
    <col min="31" max="31" width="19" style="52" customWidth="1"/>
    <col min="32" max="32" width="6.54296875" style="52" customWidth="1"/>
    <col min="33" max="33" width="12.54296875" style="52"/>
    <col min="34" max="34" width="18.26953125" style="52" bestFit="1" customWidth="1"/>
    <col min="35" max="35" width="17.6328125" style="52" bestFit="1" customWidth="1"/>
    <col min="36" max="36" width="18" style="52" bestFit="1" customWidth="1"/>
    <col min="37" max="37" width="17" style="52" bestFit="1" customWidth="1"/>
    <col min="38" max="38" width="12.54296875" style="52"/>
    <col min="39" max="39" width="11.7265625" style="52" customWidth="1"/>
    <col min="40" max="40" width="12.54296875" style="52"/>
    <col min="41" max="41" width="6.453125" style="52" customWidth="1"/>
    <col min="42" max="16384" width="12.54296875" style="52"/>
  </cols>
  <sheetData>
    <row r="1" spans="1:42" s="1" customFormat="1" ht="15.5">
      <c r="B1" s="2" t="s">
        <v>338</v>
      </c>
      <c r="C1" s="3"/>
      <c r="D1" s="4"/>
      <c r="E1" s="4"/>
      <c r="F1" s="4"/>
      <c r="G1" s="4"/>
      <c r="O1" s="5"/>
      <c r="P1" s="5"/>
      <c r="Q1" s="5"/>
      <c r="R1" s="5"/>
      <c r="S1" s="5"/>
      <c r="T1" s="5"/>
      <c r="U1" s="5"/>
      <c r="V1" s="5"/>
      <c r="W1" s="5"/>
      <c r="X1" s="6"/>
      <c r="Y1" s="7"/>
      <c r="Z1" s="6"/>
      <c r="AA1" s="6"/>
      <c r="AB1" s="8"/>
      <c r="AC1" s="8"/>
      <c r="AE1" s="9"/>
      <c r="AG1" s="9" t="s">
        <v>0</v>
      </c>
      <c r="AH1" s="9"/>
      <c r="AI1" s="9"/>
      <c r="AJ1" s="9"/>
      <c r="AK1" s="9"/>
      <c r="AM1" s="5"/>
    </row>
    <row r="2" spans="1:42" s="10" customFormat="1" ht="50.5" customHeight="1">
      <c r="B2" s="11" t="s">
        <v>1</v>
      </c>
      <c r="C2" s="12" t="s">
        <v>341</v>
      </c>
      <c r="D2" s="13" t="s">
        <v>2</v>
      </c>
      <c r="E2" s="13" t="s">
        <v>3</v>
      </c>
      <c r="F2" s="13" t="s">
        <v>4</v>
      </c>
      <c r="G2" s="13" t="s">
        <v>5</v>
      </c>
      <c r="H2" s="13" t="s">
        <v>6</v>
      </c>
      <c r="I2" s="13" t="s">
        <v>7</v>
      </c>
      <c r="J2" s="14" t="s">
        <v>8</v>
      </c>
      <c r="K2" s="15" t="s">
        <v>769</v>
      </c>
      <c r="L2" s="15" t="s">
        <v>10</v>
      </c>
      <c r="M2" s="15" t="s">
        <v>11</v>
      </c>
      <c r="N2" s="14" t="s">
        <v>12</v>
      </c>
      <c r="O2" s="16" t="s">
        <v>13</v>
      </c>
      <c r="P2" s="13" t="s">
        <v>14</v>
      </c>
      <c r="Q2" s="13" t="s">
        <v>15</v>
      </c>
      <c r="R2" s="17" t="s">
        <v>16</v>
      </c>
      <c r="S2" s="18" t="s">
        <v>17</v>
      </c>
      <c r="T2" s="13" t="s">
        <v>18</v>
      </c>
      <c r="U2" s="19" t="s">
        <v>19</v>
      </c>
      <c r="V2" s="20" t="s">
        <v>20</v>
      </c>
      <c r="W2" s="21" t="s">
        <v>21</v>
      </c>
      <c r="X2" s="21" t="s">
        <v>22</v>
      </c>
      <c r="Y2" s="22" t="s">
        <v>23</v>
      </c>
      <c r="Z2" s="13" t="s">
        <v>24</v>
      </c>
      <c r="AA2" s="13" t="s">
        <v>25</v>
      </c>
      <c r="AB2" s="13" t="s">
        <v>26</v>
      </c>
      <c r="AC2" s="13" t="s">
        <v>27</v>
      </c>
      <c r="AD2" s="23" t="s">
        <v>1081</v>
      </c>
      <c r="AE2" s="24" t="s">
        <v>28</v>
      </c>
      <c r="AF2" s="25"/>
      <c r="AG2" s="26" t="s">
        <v>29</v>
      </c>
      <c r="AH2" s="22" t="s">
        <v>30</v>
      </c>
      <c r="AI2" s="22" t="s">
        <v>31</v>
      </c>
      <c r="AJ2" s="22" t="s">
        <v>32</v>
      </c>
      <c r="AK2" s="22" t="s">
        <v>33</v>
      </c>
      <c r="AL2" s="27" t="s">
        <v>34</v>
      </c>
      <c r="AM2" s="27" t="s">
        <v>35</v>
      </c>
      <c r="AN2" s="28" t="s">
        <v>36</v>
      </c>
      <c r="AP2" s="29" t="s">
        <v>37</v>
      </c>
    </row>
    <row r="3" spans="1:42">
      <c r="A3" s="30">
        <v>2676784153</v>
      </c>
      <c r="B3" s="31" t="s">
        <v>38</v>
      </c>
      <c r="C3" s="32"/>
      <c r="D3" s="33"/>
      <c r="E3" s="33"/>
      <c r="F3" s="33"/>
      <c r="G3" s="34"/>
      <c r="H3" s="35">
        <v>142.97999999999999</v>
      </c>
      <c r="I3" s="33">
        <f t="shared" ref="I3:I16" si="0">C3*H3</f>
        <v>0</v>
      </c>
      <c r="J3" s="36"/>
      <c r="K3" s="32">
        <v>4</v>
      </c>
      <c r="L3" s="36"/>
      <c r="M3" s="36"/>
      <c r="N3" s="37">
        <f>K3/4</f>
        <v>1</v>
      </c>
      <c r="O3" s="38">
        <f>R3/4</f>
        <v>0.25</v>
      </c>
      <c r="P3" s="39">
        <f>SUMIFS('Отчет 01-04.01'!H:H,'Отчет 01-04.01'!D:D,"Выручка",'Отчет 01-04.01'!E:E,B3)</f>
        <v>1</v>
      </c>
      <c r="Q3" s="39">
        <f>SUMIFS('Отчет 01-04.01'!H:H,'Отчет 01-04.01'!D:D,"Возврат выручки",'Отчет 01-04.01'!E:E,B3)</f>
        <v>0</v>
      </c>
      <c r="R3" s="40">
        <f t="shared" ref="R3:R7" si="1">P3-Q3</f>
        <v>1</v>
      </c>
      <c r="S3" s="41">
        <f>SUMIFS('Отчет 01-04.01'!P:P,'Отчет 01-04.01'!C:C,"Продажи",'Отчет 01-04.01'!E:E,B3)</f>
        <v>1650</v>
      </c>
      <c r="T3" s="42">
        <f>SUMIFS('Отчет 01-04.01'!P:P,'Отчет 01-04.01'!C:C,"Возвраты",'Отчет 01-04.01'!E:E,B3)</f>
        <v>0</v>
      </c>
      <c r="U3" s="40">
        <f t="shared" ref="U3:U7" si="2">S3+T3</f>
        <v>1650</v>
      </c>
      <c r="V3" s="43">
        <f t="shared" ref="V3:V14" si="3">U3/$U$24</f>
        <v>1.956436676666232E-2</v>
      </c>
      <c r="W3" s="44">
        <f t="shared" ref="W3:W7" si="4">R3*H3</f>
        <v>142.97999999999999</v>
      </c>
      <c r="X3" s="42">
        <f>-SUMIFS('Отчет 01-04.01'!P:P,'Отчет 01-04.01'!C:C,"Вознаграждение Ozon",'Отчет 01-04.01'!E:E,B3)</f>
        <v>709.5</v>
      </c>
      <c r="Y3" s="45">
        <f t="shared" ref="Y3" si="5">IF(U3=0,0,X3/U3)</f>
        <v>0.43</v>
      </c>
      <c r="Z3" s="42">
        <f>-SUMIFS('Отчет 01-04.01'!P:P,'Отчет 01-04.01'!C:C,"Услуги доставки",'Отчет 01-04.01'!E:E,B3)</f>
        <v>124.33</v>
      </c>
      <c r="AA3" s="32">
        <v>379.5</v>
      </c>
      <c r="AB3" s="42"/>
      <c r="AC3" s="42"/>
      <c r="AD3" s="46">
        <f t="shared" ref="AD3:AD16" si="6">U3*1%</f>
        <v>16.5</v>
      </c>
      <c r="AE3" s="47">
        <f t="shared" ref="AE3:AE7" si="7">U3-W3-X3-Z3-AA3-AB3-AC3-AD3</f>
        <v>277.18999999999994</v>
      </c>
      <c r="AF3" s="46"/>
      <c r="AG3" s="48">
        <f t="shared" ref="AG3:AG7" si="8">IF(R3=0,0,U3/R3)</f>
        <v>1650</v>
      </c>
      <c r="AH3" s="49">
        <f t="shared" ref="AH3:AH7" si="9">H3</f>
        <v>142.97999999999999</v>
      </c>
      <c r="AI3" s="49">
        <f t="shared" ref="AI3:AI7" si="10">IF(R3=0,0,X3/R3)</f>
        <v>709.5</v>
      </c>
      <c r="AJ3" s="49">
        <f t="shared" ref="AJ3:AJ7" si="11">IF(P3=0,Z3/1,Z3/P3)</f>
        <v>124.33</v>
      </c>
      <c r="AK3" s="49">
        <f t="shared" ref="AK3:AK7" si="12">IF(P3=0,0,AA3/P3)</f>
        <v>379.5</v>
      </c>
      <c r="AL3" s="49">
        <f>_xlfn.IFS(R3=0,AE3,R3&lt;0,AE3/-R3,R3&gt;0,AE3/R3)</f>
        <v>277.18999999999994</v>
      </c>
      <c r="AM3" s="50">
        <f t="shared" ref="AM3:AM7" si="13">IF(AG3=0,0,AL3/AG3)</f>
        <v>0.16799393939393936</v>
      </c>
      <c r="AN3" s="51">
        <f t="shared" ref="AN3:AN7" si="14">IF(AH3=0,0,AL3/AH3)</f>
        <v>1.9386627500349696</v>
      </c>
      <c r="AP3" s="53">
        <f t="shared" ref="AP3:AP7" si="15">AL3*C3</f>
        <v>0</v>
      </c>
    </row>
    <row r="4" spans="1:42">
      <c r="A4" s="30">
        <v>2676784638</v>
      </c>
      <c r="B4" s="31" t="s">
        <v>39</v>
      </c>
      <c r="C4" s="32"/>
      <c r="D4" s="33"/>
      <c r="E4" s="33"/>
      <c r="F4" s="33"/>
      <c r="G4" s="34"/>
      <c r="H4" s="35">
        <v>123.09</v>
      </c>
      <c r="I4" s="33">
        <f t="shared" si="0"/>
        <v>0</v>
      </c>
      <c r="J4" s="36"/>
      <c r="K4" s="32">
        <v>4</v>
      </c>
      <c r="L4" s="36"/>
      <c r="M4" s="36"/>
      <c r="N4" s="37">
        <f t="shared" ref="N4:N16" si="16">K4/4</f>
        <v>1</v>
      </c>
      <c r="O4" s="38">
        <f t="shared" ref="O4:O16" si="17">R4/4</f>
        <v>0.25</v>
      </c>
      <c r="P4" s="39">
        <f>SUMIFS('Отчет 01-04.01'!H:H,'Отчет 01-04.01'!D:D,"Выручка",'Отчет 01-04.01'!E:E,B4)</f>
        <v>1</v>
      </c>
      <c r="Q4" s="39">
        <f>SUMIFS('Отчет 01-04.01'!H:H,'Отчет 01-04.01'!D:D,"Возврат выручки",'Отчет 01-04.01'!E:E,B4)</f>
        <v>0</v>
      </c>
      <c r="R4" s="40">
        <f t="shared" si="1"/>
        <v>1</v>
      </c>
      <c r="S4" s="41">
        <f>SUMIFS('Отчет 01-04.01'!P:P,'Отчет 01-04.01'!C:C,"Продажи",'Отчет 01-04.01'!E:E,B4)</f>
        <v>1650</v>
      </c>
      <c r="T4" s="42">
        <f>SUMIFS('Отчет 01-04.01'!P:P,'Отчет 01-04.01'!C:C,"Возвраты",'Отчет 01-04.01'!E:E,B4)</f>
        <v>0</v>
      </c>
      <c r="U4" s="40">
        <f t="shared" si="2"/>
        <v>1650</v>
      </c>
      <c r="V4" s="43">
        <f t="shared" si="3"/>
        <v>1.956436676666232E-2</v>
      </c>
      <c r="W4" s="44">
        <f t="shared" si="4"/>
        <v>123.09</v>
      </c>
      <c r="X4" s="42">
        <f>-SUMIFS('Отчет 01-04.01'!P:P,'Отчет 01-04.01'!C:C,"Вознаграждение Ozon",'Отчет 01-04.01'!E:E,B4)</f>
        <v>709.5</v>
      </c>
      <c r="Y4" s="45">
        <f t="shared" ref="Y4:Y16" si="18">IF(U4=0,0,X4/U4)</f>
        <v>0.43</v>
      </c>
      <c r="Z4" s="42">
        <f>-SUMIFS('Отчет 01-04.01'!P:P,'Отчет 01-04.01'!C:C,"Услуги доставки",'Отчет 01-04.01'!E:E,B4)</f>
        <v>116.58</v>
      </c>
      <c r="AA4" s="32">
        <v>0</v>
      </c>
      <c r="AB4" s="42"/>
      <c r="AC4" s="42"/>
      <c r="AD4" s="46">
        <f t="shared" si="6"/>
        <v>16.5</v>
      </c>
      <c r="AE4" s="47">
        <f t="shared" si="7"/>
        <v>684.33</v>
      </c>
      <c r="AF4" s="46"/>
      <c r="AG4" s="48">
        <f t="shared" si="8"/>
        <v>1650</v>
      </c>
      <c r="AH4" s="49">
        <f t="shared" si="9"/>
        <v>123.09</v>
      </c>
      <c r="AI4" s="49">
        <f t="shared" si="10"/>
        <v>709.5</v>
      </c>
      <c r="AJ4" s="49">
        <f t="shared" si="11"/>
        <v>116.58</v>
      </c>
      <c r="AK4" s="49">
        <f t="shared" si="12"/>
        <v>0</v>
      </c>
      <c r="AL4" s="49">
        <f t="array" ref="AL4">_xlfn.IFS(R4=0,AE4,R4&lt;0,AE4/-R4,R4&gt;0,AE4/R4)</f>
        <v>684.33</v>
      </c>
      <c r="AM4" s="50">
        <f t="shared" si="13"/>
        <v>0.41474545454545458</v>
      </c>
      <c r="AN4" s="51">
        <f t="shared" si="14"/>
        <v>5.5595905435047532</v>
      </c>
      <c r="AP4" s="53">
        <f t="shared" si="15"/>
        <v>0</v>
      </c>
    </row>
    <row r="5" spans="1:42">
      <c r="A5" s="30">
        <v>2676784504</v>
      </c>
      <c r="B5" s="31" t="s">
        <v>40</v>
      </c>
      <c r="C5" s="32"/>
      <c r="D5" s="33"/>
      <c r="E5" s="33"/>
      <c r="F5" s="33"/>
      <c r="G5" s="34"/>
      <c r="H5" s="35">
        <v>123.09</v>
      </c>
      <c r="I5" s="54">
        <f t="shared" si="0"/>
        <v>0</v>
      </c>
      <c r="J5" s="36"/>
      <c r="K5" s="32">
        <v>3</v>
      </c>
      <c r="L5" s="36"/>
      <c r="M5" s="36"/>
      <c r="N5" s="37">
        <f t="shared" si="16"/>
        <v>0.75</v>
      </c>
      <c r="O5" s="38">
        <f t="shared" si="17"/>
        <v>0</v>
      </c>
      <c r="P5" s="39">
        <f>SUMIFS('Отчет 01-04.01'!H:H,'Отчет 01-04.01'!D:D,"Выручка",'Отчет 01-04.01'!E:E,B5)</f>
        <v>0</v>
      </c>
      <c r="Q5" s="39">
        <f>SUMIFS('Отчет 01-04.01'!H:H,'Отчет 01-04.01'!D:D,"Возврат выручки",'Отчет 01-04.01'!E:E,B5)</f>
        <v>0</v>
      </c>
      <c r="R5" s="40">
        <f t="shared" si="1"/>
        <v>0</v>
      </c>
      <c r="S5" s="41">
        <f>SUMIFS('Отчет 01-04.01'!P:P,'Отчет 01-04.01'!C:C,"Продажи",'Отчет 01-04.01'!E:E,B5)</f>
        <v>0</v>
      </c>
      <c r="T5" s="42">
        <f>SUMIFS('Отчет 01-04.01'!P:P,'Отчет 01-04.01'!C:C,"Возвраты",'Отчет 01-04.01'!E:E,B5)</f>
        <v>0</v>
      </c>
      <c r="U5" s="40">
        <f t="shared" si="2"/>
        <v>0</v>
      </c>
      <c r="V5" s="43">
        <f t="shared" si="3"/>
        <v>0</v>
      </c>
      <c r="W5" s="44">
        <f t="shared" si="4"/>
        <v>0</v>
      </c>
      <c r="X5" s="42">
        <f>-SUMIFS('Отчет 01-04.01'!P:P,'Отчет 01-04.01'!C:C,"Вознаграждение Ozon",'Отчет 01-04.01'!E:E,B5)</f>
        <v>0</v>
      </c>
      <c r="Y5" s="45">
        <f t="shared" si="18"/>
        <v>0</v>
      </c>
      <c r="Z5" s="42">
        <f>-SUMIFS('Отчет 01-04.01'!P:P,'Отчет 01-04.01'!C:C,"Услуги доставки",'Отчет 01-04.01'!E:E,B5)</f>
        <v>0</v>
      </c>
      <c r="AA5" s="32">
        <v>0</v>
      </c>
      <c r="AB5" s="55"/>
      <c r="AC5" s="42"/>
      <c r="AD5" s="46">
        <f t="shared" si="6"/>
        <v>0</v>
      </c>
      <c r="AE5" s="47">
        <f t="shared" si="7"/>
        <v>0</v>
      </c>
      <c r="AF5" s="46"/>
      <c r="AG5" s="48">
        <f t="shared" si="8"/>
        <v>0</v>
      </c>
      <c r="AH5" s="49">
        <f t="shared" si="9"/>
        <v>123.09</v>
      </c>
      <c r="AI5" s="49">
        <f t="shared" si="10"/>
        <v>0</v>
      </c>
      <c r="AJ5" s="49">
        <f t="shared" si="11"/>
        <v>0</v>
      </c>
      <c r="AK5" s="49">
        <f t="shared" si="12"/>
        <v>0</v>
      </c>
      <c r="AL5" s="49">
        <f t="array" ref="AL5">_xlfn.IFS(R5=0,AE5,R5&lt;0,AE5/-R5,R5&gt;0,AE5/R5)</f>
        <v>0</v>
      </c>
      <c r="AM5" s="50">
        <f t="shared" si="13"/>
        <v>0</v>
      </c>
      <c r="AN5" s="51">
        <f t="shared" si="14"/>
        <v>0</v>
      </c>
      <c r="AP5" s="53">
        <f t="shared" si="15"/>
        <v>0</v>
      </c>
    </row>
    <row r="6" spans="1:42">
      <c r="A6" s="30">
        <v>2676784514</v>
      </c>
      <c r="B6" s="31" t="s">
        <v>41</v>
      </c>
      <c r="C6" s="32"/>
      <c r="D6" s="33"/>
      <c r="E6" s="33"/>
      <c r="F6" s="33"/>
      <c r="G6" s="34"/>
      <c r="H6" s="35">
        <v>123.09</v>
      </c>
      <c r="I6" s="54">
        <f t="shared" si="0"/>
        <v>0</v>
      </c>
      <c r="J6" s="36"/>
      <c r="K6" s="32">
        <v>15</v>
      </c>
      <c r="L6" s="36"/>
      <c r="M6" s="36"/>
      <c r="N6" s="37">
        <f t="shared" si="16"/>
        <v>3.75</v>
      </c>
      <c r="O6" s="38">
        <f t="shared" si="17"/>
        <v>1.75</v>
      </c>
      <c r="P6" s="39">
        <f>SUMIFS('Отчет 01-04.01'!H:H,'Отчет 01-04.01'!D:D,"Выручка",'Отчет 01-04.01'!E:E,B6)</f>
        <v>8</v>
      </c>
      <c r="Q6" s="39">
        <f>SUMIFS('Отчет 01-04.01'!H:H,'Отчет 01-04.01'!D:D,"Возврат выручки",'Отчет 01-04.01'!E:E,B6)</f>
        <v>1</v>
      </c>
      <c r="R6" s="40">
        <f t="shared" si="1"/>
        <v>7</v>
      </c>
      <c r="S6" s="41">
        <f>SUMIFS('Отчет 01-04.01'!P:P,'Отчет 01-04.01'!C:C,"Продажи",'Отчет 01-04.01'!E:E,B6)</f>
        <v>12800</v>
      </c>
      <c r="T6" s="42">
        <f>SUMIFS('Отчет 01-04.01'!P:P,'Отчет 01-04.01'!C:C,"Возвраты",'Отчет 01-04.01'!E:E,B6)</f>
        <v>-1600</v>
      </c>
      <c r="U6" s="40">
        <f t="shared" si="2"/>
        <v>11200</v>
      </c>
      <c r="V6" s="43">
        <f t="shared" si="3"/>
        <v>0.13280055017370787</v>
      </c>
      <c r="W6" s="44">
        <f t="shared" si="4"/>
        <v>861.63</v>
      </c>
      <c r="X6" s="42">
        <f>-SUMIFS('Отчет 01-04.01'!P:P,'Отчет 01-04.01'!C:C,"Вознаграждение Ozon",'Отчет 01-04.01'!E:E,B6)</f>
        <v>4816</v>
      </c>
      <c r="Y6" s="45">
        <f t="shared" si="18"/>
        <v>0.43</v>
      </c>
      <c r="Z6" s="42">
        <f>-SUMIFS('Отчет 01-04.01'!P:P,'Отчет 01-04.01'!C:C,"Услуги доставки",'Отчет 01-04.01'!E:E,B6)</f>
        <v>1074.9299999999998</v>
      </c>
      <c r="AA6" s="32">
        <v>6676.5060689999991</v>
      </c>
      <c r="AB6" s="55"/>
      <c r="AC6" s="42"/>
      <c r="AD6" s="46">
        <f t="shared" si="6"/>
        <v>112</v>
      </c>
      <c r="AE6" s="47">
        <f t="shared" si="7"/>
        <v>-2341.0660689999986</v>
      </c>
      <c r="AF6" s="46"/>
      <c r="AG6" s="48">
        <f t="shared" si="8"/>
        <v>1600</v>
      </c>
      <c r="AH6" s="49">
        <f t="shared" si="9"/>
        <v>123.09</v>
      </c>
      <c r="AI6" s="49">
        <f t="shared" si="10"/>
        <v>688</v>
      </c>
      <c r="AJ6" s="49">
        <f t="shared" si="11"/>
        <v>134.36624999999998</v>
      </c>
      <c r="AK6" s="49">
        <f t="shared" si="12"/>
        <v>834.56325862499989</v>
      </c>
      <c r="AL6" s="49">
        <f t="array" ref="AL6">_xlfn.IFS(R6=0,AE6,R6&lt;0,AE6/-R6,R6&gt;0,AE6/R6)</f>
        <v>-334.43800985714267</v>
      </c>
      <c r="AM6" s="50">
        <f t="shared" si="13"/>
        <v>-0.20902375616071417</v>
      </c>
      <c r="AN6" s="51">
        <f t="shared" si="14"/>
        <v>-2.7170201466986974</v>
      </c>
      <c r="AP6" s="53">
        <f t="shared" si="15"/>
        <v>0</v>
      </c>
    </row>
    <row r="7" spans="1:42">
      <c r="A7" s="30">
        <v>2676784181</v>
      </c>
      <c r="B7" s="31" t="s">
        <v>42</v>
      </c>
      <c r="C7" s="32"/>
      <c r="D7" s="33"/>
      <c r="E7" s="33"/>
      <c r="F7" s="33"/>
      <c r="G7" s="34"/>
      <c r="H7" s="35">
        <v>117.24</v>
      </c>
      <c r="I7" s="54">
        <f t="shared" si="0"/>
        <v>0</v>
      </c>
      <c r="J7" s="36"/>
      <c r="K7" s="32">
        <v>4</v>
      </c>
      <c r="L7" s="36"/>
      <c r="M7" s="36"/>
      <c r="N7" s="37">
        <f t="shared" si="16"/>
        <v>1</v>
      </c>
      <c r="O7" s="38">
        <f t="shared" si="17"/>
        <v>0.5</v>
      </c>
      <c r="P7" s="39">
        <f>SUMIFS('Отчет 01-04.01'!H:H,'Отчет 01-04.01'!D:D,"Выручка",'Отчет 01-04.01'!E:E,B7)</f>
        <v>2</v>
      </c>
      <c r="Q7" s="39">
        <f>SUMIFS('Отчет 01-04.01'!H:H,'Отчет 01-04.01'!D:D,"Возврат выручки",'Отчет 01-04.01'!E:E,B7)</f>
        <v>0</v>
      </c>
      <c r="R7" s="40">
        <f t="shared" si="1"/>
        <v>2</v>
      </c>
      <c r="S7" s="41">
        <f>SUMIFS('Отчет 01-04.01'!P:P,'Отчет 01-04.01'!C:C,"Продажи",'Отчет 01-04.01'!E:E,B7)</f>
        <v>3200</v>
      </c>
      <c r="T7" s="42">
        <f>SUMIFS('Отчет 01-04.01'!P:P,'Отчет 01-04.01'!C:C,"Возвраты",'Отчет 01-04.01'!E:E,B7)</f>
        <v>0</v>
      </c>
      <c r="U7" s="40">
        <f t="shared" si="2"/>
        <v>3200</v>
      </c>
      <c r="V7" s="43">
        <f t="shared" si="3"/>
        <v>3.7943014335345103E-2</v>
      </c>
      <c r="W7" s="44">
        <f t="shared" si="4"/>
        <v>234.48</v>
      </c>
      <c r="X7" s="42">
        <f>-SUMIFS('Отчет 01-04.01'!P:P,'Отчет 01-04.01'!C:C,"Вознаграждение Ozon",'Отчет 01-04.01'!E:E,B7)</f>
        <v>1376</v>
      </c>
      <c r="Y7" s="45">
        <f t="shared" si="18"/>
        <v>0.43</v>
      </c>
      <c r="Z7" s="42">
        <f>-SUMIFS('Отчет 01-04.01'!P:P,'Отчет 01-04.01'!C:C,"Услуги доставки",'Отчет 01-04.01'!E:E,B7)</f>
        <v>436.55</v>
      </c>
      <c r="AA7" s="32">
        <v>368</v>
      </c>
      <c r="AB7" s="55"/>
      <c r="AC7" s="42"/>
      <c r="AD7" s="46">
        <f t="shared" si="6"/>
        <v>32</v>
      </c>
      <c r="AE7" s="47">
        <f t="shared" si="7"/>
        <v>752.97</v>
      </c>
      <c r="AF7" s="46"/>
      <c r="AG7" s="48">
        <f t="shared" si="8"/>
        <v>1600</v>
      </c>
      <c r="AH7" s="49">
        <f t="shared" si="9"/>
        <v>117.24</v>
      </c>
      <c r="AI7" s="49">
        <f t="shared" si="10"/>
        <v>688</v>
      </c>
      <c r="AJ7" s="49">
        <f t="shared" si="11"/>
        <v>218.27500000000001</v>
      </c>
      <c r="AK7" s="49">
        <f t="shared" si="12"/>
        <v>184</v>
      </c>
      <c r="AL7" s="49">
        <f t="array" ref="AL7">_xlfn.IFS(R7=0,AE7,R7&lt;0,AE7/-R7,R7&gt;0,AE7/R7)</f>
        <v>376.48500000000001</v>
      </c>
      <c r="AM7" s="50">
        <f t="shared" si="13"/>
        <v>0.235303125</v>
      </c>
      <c r="AN7" s="51">
        <f t="shared" si="14"/>
        <v>3.2112333674513822</v>
      </c>
      <c r="AP7" s="53">
        <f t="shared" si="15"/>
        <v>0</v>
      </c>
    </row>
    <row r="8" spans="1:42">
      <c r="A8" s="30">
        <v>2676783005</v>
      </c>
      <c r="B8" s="31" t="s">
        <v>43</v>
      </c>
      <c r="C8" s="32"/>
      <c r="D8" s="33"/>
      <c r="E8" s="33"/>
      <c r="F8" s="33"/>
      <c r="G8" s="34"/>
      <c r="H8" s="35">
        <v>169.89</v>
      </c>
      <c r="I8" s="54">
        <f t="shared" si="0"/>
        <v>0</v>
      </c>
      <c r="J8" s="36"/>
      <c r="K8" s="32">
        <v>10</v>
      </c>
      <c r="L8" s="36"/>
      <c r="M8" s="36"/>
      <c r="N8" s="37">
        <f t="shared" si="16"/>
        <v>2.5</v>
      </c>
      <c r="O8" s="38">
        <f t="shared" si="17"/>
        <v>0.5</v>
      </c>
      <c r="P8" s="39">
        <f>SUMIFS('Отчет 01-04.01'!H:H,'Отчет 01-04.01'!D:D,"Выручка",'Отчет 01-04.01'!E:E,B8)</f>
        <v>2</v>
      </c>
      <c r="Q8" s="39">
        <f>SUMIFS('Отчет 01-04.01'!H:H,'Отчет 01-04.01'!D:D,"Возврат выручки",'Отчет 01-04.01'!E:E,B8)</f>
        <v>0</v>
      </c>
      <c r="R8" s="40">
        <f>P8-Q8</f>
        <v>2</v>
      </c>
      <c r="S8" s="41">
        <f>SUMIFS('Отчет 01-04.01'!P:P,'Отчет 01-04.01'!C:C,"Продажи",'Отчет 01-04.01'!E:E,B8)</f>
        <v>2404</v>
      </c>
      <c r="T8" s="42">
        <f>SUMIFS('Отчет 01-04.01'!P:P,'Отчет 01-04.01'!C:C,"Возвраты",'Отчет 01-04.01'!E:E,B8)</f>
        <v>0</v>
      </c>
      <c r="U8" s="40">
        <f>S8+T8</f>
        <v>2404</v>
      </c>
      <c r="V8" s="43">
        <f t="shared" si="3"/>
        <v>2.8504689519428011E-2</v>
      </c>
      <c r="W8" s="44">
        <f>R8*H8</f>
        <v>339.78</v>
      </c>
      <c r="X8" s="42">
        <f>-SUMIFS('Отчет 01-04.01'!P:P,'Отчет 01-04.01'!C:C,"Вознаграждение Ozon",'Отчет 01-04.01'!E:E,B8)</f>
        <v>1033.72</v>
      </c>
      <c r="Y8" s="45">
        <f t="shared" si="18"/>
        <v>0.43</v>
      </c>
      <c r="Z8" s="42">
        <f>-SUMIFS('Отчет 01-04.01'!P:P,'Отчет 01-04.01'!C:C,"Услуги доставки",'Отчет 01-04.01'!E:E,B8)</f>
        <v>319.85000000000002</v>
      </c>
      <c r="AA8" s="32">
        <v>1105.8399999999999</v>
      </c>
      <c r="AB8" s="55"/>
      <c r="AC8" s="42"/>
      <c r="AD8" s="46">
        <f t="shared" si="6"/>
        <v>24.04</v>
      </c>
      <c r="AE8" s="47">
        <f>U8-W8-X8-Z8-AA8-AB8-AC8-AD8</f>
        <v>-419.22999999999973</v>
      </c>
      <c r="AF8" s="46"/>
      <c r="AG8" s="48">
        <f>IF(R8=0,0,U8/R8)</f>
        <v>1202</v>
      </c>
      <c r="AH8" s="49">
        <f>H8</f>
        <v>169.89</v>
      </c>
      <c r="AI8" s="49">
        <f>IF(R8=0,0,X8/R8)</f>
        <v>516.86</v>
      </c>
      <c r="AJ8" s="49">
        <f>IF(P8=0,Z8/1,Z8/P8)</f>
        <v>159.92500000000001</v>
      </c>
      <c r="AK8" s="49">
        <f>IF(P8=0,0,AA8/P8)</f>
        <v>552.91999999999996</v>
      </c>
      <c r="AL8" s="49">
        <f t="array" ref="AL8">_xlfn.IFS(R8=0,AE8,R8&lt;0,AE8/-R8,R8&gt;0,AE8/R8)</f>
        <v>-209.61499999999987</v>
      </c>
      <c r="AM8" s="50">
        <f>IF(AG8=0,0,AL8/AG8)</f>
        <v>-0.17438851913477527</v>
      </c>
      <c r="AN8" s="51">
        <f>IF(AH8=0,0,AL8/AH8)</f>
        <v>-1.2338277709105885</v>
      </c>
      <c r="AP8" s="53">
        <f>AL8*C8</f>
        <v>0</v>
      </c>
    </row>
    <row r="9" spans="1:42">
      <c r="A9" s="30">
        <v>3405092860</v>
      </c>
      <c r="B9" s="31" t="s">
        <v>55</v>
      </c>
      <c r="C9" s="32"/>
      <c r="D9" s="33"/>
      <c r="E9" s="33"/>
      <c r="F9" s="33"/>
      <c r="G9" s="34"/>
      <c r="H9" s="35">
        <v>123</v>
      </c>
      <c r="I9" s="54">
        <f t="shared" si="0"/>
        <v>0</v>
      </c>
      <c r="J9" s="36"/>
      <c r="K9" s="32">
        <v>0</v>
      </c>
      <c r="L9" s="36"/>
      <c r="M9" s="36"/>
      <c r="N9" s="37">
        <f t="shared" si="16"/>
        <v>0</v>
      </c>
      <c r="O9" s="38">
        <f t="shared" si="17"/>
        <v>0</v>
      </c>
      <c r="P9" s="39">
        <f>SUMIFS('Отчет 01-04.01'!H:H,'Отчет 01-04.01'!D:D,"Выручка",'Отчет 01-04.01'!E:E,B9)</f>
        <v>0</v>
      </c>
      <c r="Q9" s="39">
        <f>SUMIFS('Отчет 01-04.01'!H:H,'Отчет 01-04.01'!D:D,"Возврат выручки",'Отчет 01-04.01'!E:E,B9)</f>
        <v>0</v>
      </c>
      <c r="R9" s="40">
        <f t="shared" ref="R9:R16" si="19">P9-Q9</f>
        <v>0</v>
      </c>
      <c r="S9" s="41">
        <f>SUMIFS('Отчет 01-04.01'!P:P,'Отчет 01-04.01'!C:C,"Продажи",'Отчет 01-04.01'!E:E,B9)</f>
        <v>0</v>
      </c>
      <c r="T9" s="42">
        <f>SUMIFS('Отчет 01-04.01'!P:P,'Отчет 01-04.01'!C:C,"Возвраты",'Отчет 01-04.01'!E:E,B9)</f>
        <v>0</v>
      </c>
      <c r="U9" s="40">
        <f t="shared" ref="U9:U16" si="20">S9+T9</f>
        <v>0</v>
      </c>
      <c r="V9" s="43">
        <f t="shared" si="3"/>
        <v>0</v>
      </c>
      <c r="W9" s="44">
        <f t="shared" ref="W9:W16" si="21">R9*H9</f>
        <v>0</v>
      </c>
      <c r="X9" s="42">
        <f>-SUMIFS('Отчет 01-04.01'!P:P,'Отчет 01-04.01'!C:C,"Вознаграждение Ozon",'Отчет 01-04.01'!E:E,B9)</f>
        <v>0</v>
      </c>
      <c r="Y9" s="45">
        <f t="shared" si="18"/>
        <v>0</v>
      </c>
      <c r="Z9" s="42">
        <f>-SUMIFS('Отчет 01-04.01'!P:P,'Отчет 01-04.01'!C:C,"Услуги доставки",'Отчет 01-04.01'!E:E,B9)</f>
        <v>0</v>
      </c>
      <c r="AA9" s="32">
        <v>0</v>
      </c>
      <c r="AB9" s="55"/>
      <c r="AC9" s="42"/>
      <c r="AD9" s="46">
        <f t="shared" si="6"/>
        <v>0</v>
      </c>
      <c r="AE9" s="47">
        <f t="shared" ref="AE9:AE16" si="22">U9-W9-X9-Z9-AA9-AB9-AC9-AD9</f>
        <v>0</v>
      </c>
      <c r="AF9" s="46"/>
      <c r="AG9" s="48">
        <f t="shared" ref="AG9:AG16" si="23">IF(R9=0,0,U9/R9)</f>
        <v>0</v>
      </c>
      <c r="AH9" s="49">
        <f t="shared" ref="AH9:AH16" si="24">H9</f>
        <v>123</v>
      </c>
      <c r="AI9" s="49">
        <f t="shared" ref="AI9:AI16" si="25">IF(R9=0,0,X9/R9)</f>
        <v>0</v>
      </c>
      <c r="AJ9" s="49">
        <f t="shared" ref="AJ9:AJ16" si="26">IF(P9=0,Z9/1,Z9/P9)</f>
        <v>0</v>
      </c>
      <c r="AK9" s="49">
        <f t="shared" ref="AK9:AK16" si="27">IF(P9=0,0,AA9/P9)</f>
        <v>0</v>
      </c>
      <c r="AL9" s="49">
        <f t="array" ref="AL9">_xlfn.IFS(R9=0,AE9,R9&lt;0,AE9/-R9,R9&gt;0,AE9/R9)</f>
        <v>0</v>
      </c>
      <c r="AM9" s="50">
        <f t="shared" ref="AM9:AM16" si="28">IF(AG9=0,0,AL9/AG9)</f>
        <v>0</v>
      </c>
      <c r="AN9" s="51">
        <f t="shared" ref="AN9:AN16" si="29">IF(AH9=0,0,AL9/AH9)</f>
        <v>0</v>
      </c>
      <c r="AP9" s="53">
        <f t="shared" ref="AP9:AP16" si="30">AL9*C9</f>
        <v>0</v>
      </c>
    </row>
    <row r="10" spans="1:42">
      <c r="A10" s="30">
        <v>3405092836</v>
      </c>
      <c r="B10" s="31" t="s">
        <v>56</v>
      </c>
      <c r="C10" s="32"/>
      <c r="D10" s="33"/>
      <c r="E10" s="33"/>
      <c r="F10" s="33"/>
      <c r="G10" s="34"/>
      <c r="H10" s="35">
        <v>123</v>
      </c>
      <c r="I10" s="54">
        <f t="shared" si="0"/>
        <v>0</v>
      </c>
      <c r="J10" s="36"/>
      <c r="K10" s="32">
        <v>0</v>
      </c>
      <c r="L10" s="36"/>
      <c r="M10" s="36"/>
      <c r="N10" s="37">
        <f t="shared" si="16"/>
        <v>0</v>
      </c>
      <c r="O10" s="38">
        <f t="shared" si="17"/>
        <v>0</v>
      </c>
      <c r="P10" s="39">
        <f>SUMIFS('Отчет 01-04.01'!H:H,'Отчет 01-04.01'!D:D,"Выручка",'Отчет 01-04.01'!E:E,B10)</f>
        <v>0</v>
      </c>
      <c r="Q10" s="39">
        <f>SUMIFS('Отчет 01-04.01'!H:H,'Отчет 01-04.01'!D:D,"Возврат выручки",'Отчет 01-04.01'!E:E,B10)</f>
        <v>0</v>
      </c>
      <c r="R10" s="40">
        <f t="shared" si="19"/>
        <v>0</v>
      </c>
      <c r="S10" s="41">
        <f>SUMIFS('Отчет 01-04.01'!P:P,'Отчет 01-04.01'!C:C,"Продажи",'Отчет 01-04.01'!E:E,B10)</f>
        <v>0</v>
      </c>
      <c r="T10" s="42">
        <f>SUMIFS('Отчет 01-04.01'!P:P,'Отчет 01-04.01'!C:C,"Возвраты",'Отчет 01-04.01'!E:E,B10)</f>
        <v>0</v>
      </c>
      <c r="U10" s="40">
        <f t="shared" si="20"/>
        <v>0</v>
      </c>
      <c r="V10" s="43">
        <f t="shared" si="3"/>
        <v>0</v>
      </c>
      <c r="W10" s="44">
        <f t="shared" si="21"/>
        <v>0</v>
      </c>
      <c r="X10" s="42">
        <f>-SUMIFS('Отчет 01-04.01'!P:P,'Отчет 01-04.01'!C:C,"Вознаграждение Ozon",'Отчет 01-04.01'!E:E,B10)</f>
        <v>0</v>
      </c>
      <c r="Y10" s="45">
        <f t="shared" si="18"/>
        <v>0</v>
      </c>
      <c r="Z10" s="42">
        <f>-SUMIFS('Отчет 01-04.01'!P:P,'Отчет 01-04.01'!C:C,"Услуги доставки",'Отчет 01-04.01'!E:E,B10)</f>
        <v>0</v>
      </c>
      <c r="AA10" s="32">
        <v>0</v>
      </c>
      <c r="AB10" s="55"/>
      <c r="AC10" s="42"/>
      <c r="AD10" s="46">
        <f t="shared" si="6"/>
        <v>0</v>
      </c>
      <c r="AE10" s="47">
        <f t="shared" si="22"/>
        <v>0</v>
      </c>
      <c r="AF10" s="46"/>
      <c r="AG10" s="48">
        <f t="shared" si="23"/>
        <v>0</v>
      </c>
      <c r="AH10" s="49">
        <f t="shared" si="24"/>
        <v>123</v>
      </c>
      <c r="AI10" s="49">
        <f t="shared" si="25"/>
        <v>0</v>
      </c>
      <c r="AJ10" s="49">
        <f t="shared" si="26"/>
        <v>0</v>
      </c>
      <c r="AK10" s="49">
        <f t="shared" si="27"/>
        <v>0</v>
      </c>
      <c r="AL10" s="49">
        <f t="array" ref="AL10">_xlfn.IFS(R10=0,AE10,R10&lt;0,AE10/-R10,R10&gt;0,AE10/R10)</f>
        <v>0</v>
      </c>
      <c r="AM10" s="50">
        <f t="shared" si="28"/>
        <v>0</v>
      </c>
      <c r="AN10" s="51">
        <f t="shared" si="29"/>
        <v>0</v>
      </c>
      <c r="AP10" s="53">
        <f t="shared" si="30"/>
        <v>0</v>
      </c>
    </row>
    <row r="11" spans="1:42">
      <c r="A11" s="30">
        <v>3064346962</v>
      </c>
      <c r="B11" s="31" t="s">
        <v>52</v>
      </c>
      <c r="C11" s="32"/>
      <c r="D11" s="33"/>
      <c r="E11" s="33"/>
      <c r="F11" s="33"/>
      <c r="G11" s="34"/>
      <c r="H11" s="35">
        <v>123</v>
      </c>
      <c r="I11" s="54">
        <f t="shared" si="0"/>
        <v>0</v>
      </c>
      <c r="J11" s="36"/>
      <c r="K11" s="32">
        <v>37</v>
      </c>
      <c r="L11" s="36"/>
      <c r="M11" s="36"/>
      <c r="N11" s="37">
        <f t="shared" si="16"/>
        <v>9.25</v>
      </c>
      <c r="O11" s="38">
        <f t="shared" si="17"/>
        <v>3</v>
      </c>
      <c r="P11" s="39">
        <f>SUMIFS('Отчет 01-04.01'!H:H,'Отчет 01-04.01'!D:D,"Выручка",'Отчет 01-04.01'!E:E,B11)</f>
        <v>12</v>
      </c>
      <c r="Q11" s="39">
        <f>SUMIFS('Отчет 01-04.01'!H:H,'Отчет 01-04.01'!D:D,"Возврат выручки",'Отчет 01-04.01'!E:E,B11)</f>
        <v>0</v>
      </c>
      <c r="R11" s="40">
        <f t="shared" si="19"/>
        <v>12</v>
      </c>
      <c r="S11" s="41">
        <f>SUMIFS('Отчет 01-04.01'!P:P,'Отчет 01-04.01'!C:C,"Продажи",'Отчет 01-04.01'!E:E,B11)</f>
        <v>19452</v>
      </c>
      <c r="T11" s="42">
        <f>SUMIFS('Отчет 01-04.01'!P:P,'Отчет 01-04.01'!C:C,"Возвраты",'Отчет 01-04.01'!E:E,B11)</f>
        <v>0</v>
      </c>
      <c r="U11" s="40">
        <f t="shared" si="20"/>
        <v>19452</v>
      </c>
      <c r="V11" s="43">
        <f t="shared" si="3"/>
        <v>0.23064609839097905</v>
      </c>
      <c r="W11" s="44">
        <f t="shared" si="21"/>
        <v>1476</v>
      </c>
      <c r="X11" s="42">
        <f>-SUMIFS('Отчет 01-04.01'!P:P,'Отчет 01-04.01'!C:C,"Вознаграждение Ozon",'Отчет 01-04.01'!E:E,B11)</f>
        <v>8364.3599999999988</v>
      </c>
      <c r="Y11" s="45">
        <f t="shared" si="18"/>
        <v>0.42999999999999994</v>
      </c>
      <c r="Z11" s="42">
        <f>-SUMIFS('Отчет 01-04.01'!P:P,'Отчет 01-04.01'!C:C,"Услуги доставки",'Отчет 01-04.01'!E:E,B11)</f>
        <v>2094.4299999999998</v>
      </c>
      <c r="AA11" s="32">
        <v>12945.959366999999</v>
      </c>
      <c r="AB11" s="55"/>
      <c r="AC11" s="42"/>
      <c r="AD11" s="46">
        <f t="shared" si="6"/>
        <v>194.52</v>
      </c>
      <c r="AE11" s="47">
        <f t="shared" si="22"/>
        <v>-5623.269366999999</v>
      </c>
      <c r="AF11" s="46"/>
      <c r="AG11" s="48">
        <f t="shared" si="23"/>
        <v>1621</v>
      </c>
      <c r="AH11" s="49">
        <f t="shared" si="24"/>
        <v>123</v>
      </c>
      <c r="AI11" s="49">
        <f t="shared" si="25"/>
        <v>697.02999999999986</v>
      </c>
      <c r="AJ11" s="49">
        <f t="shared" si="26"/>
        <v>174.53583333333333</v>
      </c>
      <c r="AK11" s="49">
        <f t="shared" si="27"/>
        <v>1078.82994725</v>
      </c>
      <c r="AL11" s="49">
        <f t="array" ref="AL11">_xlfn.IFS(R11=0,AE11,R11&lt;0,AE11/-R11,R11&gt;0,AE11/R11)</f>
        <v>-468.60578058333323</v>
      </c>
      <c r="AM11" s="50">
        <f t="shared" si="28"/>
        <v>-0.28908438037219819</v>
      </c>
      <c r="AN11" s="51">
        <f t="shared" si="29"/>
        <v>-3.8098030941734411</v>
      </c>
      <c r="AP11" s="53">
        <f t="shared" si="30"/>
        <v>0</v>
      </c>
    </row>
    <row r="12" spans="1:42">
      <c r="A12" s="30">
        <v>3405092873</v>
      </c>
      <c r="B12" s="171" t="s">
        <v>57</v>
      </c>
      <c r="C12" s="32"/>
      <c r="D12" s="33"/>
      <c r="E12" s="33"/>
      <c r="F12" s="33"/>
      <c r="G12" s="34"/>
      <c r="H12" s="35">
        <v>117</v>
      </c>
      <c r="I12" s="54">
        <f t="shared" si="0"/>
        <v>0</v>
      </c>
      <c r="J12" s="36"/>
      <c r="K12" s="32">
        <v>0</v>
      </c>
      <c r="L12" s="36"/>
      <c r="M12" s="36"/>
      <c r="N12" s="37">
        <f t="shared" si="16"/>
        <v>0</v>
      </c>
      <c r="O12" s="38">
        <f t="shared" si="17"/>
        <v>0</v>
      </c>
      <c r="P12" s="39">
        <f>SUMIFS('Отчет 01-04.01'!H:H,'Отчет 01-04.01'!D:D,"Выручка",'Отчет 01-04.01'!E:E,B12)</f>
        <v>0</v>
      </c>
      <c r="Q12" s="39">
        <f>SUMIFS('Отчет 01-04.01'!H:H,'Отчет 01-04.01'!D:D,"Возврат выручки",'Отчет 01-04.01'!E:E,B12)</f>
        <v>0</v>
      </c>
      <c r="R12" s="40">
        <f t="shared" si="19"/>
        <v>0</v>
      </c>
      <c r="S12" s="41">
        <f>SUMIFS('Отчет 01-04.01'!P:P,'Отчет 01-04.01'!C:C,"Продажи",'Отчет 01-04.01'!E:E,B12)</f>
        <v>0</v>
      </c>
      <c r="T12" s="42">
        <f>SUMIFS('Отчет 01-04.01'!P:P,'Отчет 01-04.01'!C:C,"Возвраты",'Отчет 01-04.01'!E:E,B12)</f>
        <v>0</v>
      </c>
      <c r="U12" s="40">
        <f t="shared" si="20"/>
        <v>0</v>
      </c>
      <c r="V12" s="43">
        <f t="shared" si="3"/>
        <v>0</v>
      </c>
      <c r="W12" s="44">
        <f t="shared" si="21"/>
        <v>0</v>
      </c>
      <c r="X12" s="42">
        <f>-SUMIFS('Отчет 01-04.01'!P:P,'Отчет 01-04.01'!C:C,"Вознаграждение Ozon",'Отчет 01-04.01'!E:E,B12)</f>
        <v>0</v>
      </c>
      <c r="Y12" s="45">
        <f t="shared" si="18"/>
        <v>0</v>
      </c>
      <c r="Z12" s="42">
        <f>-SUMIFS('Отчет 01-04.01'!P:P,'Отчет 01-04.01'!C:C,"Услуги доставки",'Отчет 01-04.01'!E:E,B12)</f>
        <v>0</v>
      </c>
      <c r="AA12" s="32">
        <v>0</v>
      </c>
      <c r="AB12" s="55"/>
      <c r="AC12" s="42"/>
      <c r="AD12" s="46">
        <f t="shared" si="6"/>
        <v>0</v>
      </c>
      <c r="AE12" s="47">
        <f t="shared" si="22"/>
        <v>0</v>
      </c>
      <c r="AF12" s="46"/>
      <c r="AG12" s="48">
        <f t="shared" si="23"/>
        <v>0</v>
      </c>
      <c r="AH12" s="49">
        <f t="shared" si="24"/>
        <v>117</v>
      </c>
      <c r="AI12" s="49">
        <f t="shared" si="25"/>
        <v>0</v>
      </c>
      <c r="AJ12" s="49">
        <f t="shared" si="26"/>
        <v>0</v>
      </c>
      <c r="AK12" s="49">
        <f t="shared" si="27"/>
        <v>0</v>
      </c>
      <c r="AL12" s="49">
        <f t="array" ref="AL12">_xlfn.IFS(R12=0,AE12,R12&lt;0,AE12/-R12,R12&gt;0,AE12/R12)</f>
        <v>0</v>
      </c>
      <c r="AM12" s="50">
        <f t="shared" si="28"/>
        <v>0</v>
      </c>
      <c r="AN12" s="51">
        <f t="shared" si="29"/>
        <v>0</v>
      </c>
      <c r="AP12" s="53">
        <f t="shared" si="30"/>
        <v>0</v>
      </c>
    </row>
    <row r="13" spans="1:42">
      <c r="A13" s="30">
        <v>3405092993</v>
      </c>
      <c r="B13" s="31" t="s">
        <v>58</v>
      </c>
      <c r="C13" s="32"/>
      <c r="D13" s="33"/>
      <c r="E13" s="33"/>
      <c r="F13" s="33"/>
      <c r="G13" s="34"/>
      <c r="H13" s="35">
        <v>123</v>
      </c>
      <c r="I13" s="54">
        <f t="shared" si="0"/>
        <v>0</v>
      </c>
      <c r="J13" s="36"/>
      <c r="K13" s="32">
        <v>0</v>
      </c>
      <c r="L13" s="36"/>
      <c r="M13" s="36"/>
      <c r="N13" s="37">
        <f t="shared" si="16"/>
        <v>0</v>
      </c>
      <c r="O13" s="38">
        <f t="shared" si="17"/>
        <v>0</v>
      </c>
      <c r="P13" s="39">
        <f>SUMIFS('Отчет 01-04.01'!H:H,'Отчет 01-04.01'!D:D,"Выручка",'Отчет 01-04.01'!E:E,B13)</f>
        <v>0</v>
      </c>
      <c r="Q13" s="39">
        <f>SUMIFS('Отчет 01-04.01'!H:H,'Отчет 01-04.01'!D:D,"Возврат выручки",'Отчет 01-04.01'!E:E,B13)</f>
        <v>0</v>
      </c>
      <c r="R13" s="40">
        <f t="shared" si="19"/>
        <v>0</v>
      </c>
      <c r="S13" s="41">
        <f>SUMIFS('Отчет 01-04.01'!P:P,'Отчет 01-04.01'!C:C,"Продажи",'Отчет 01-04.01'!E:E,B13)</f>
        <v>0</v>
      </c>
      <c r="T13" s="42">
        <f>SUMIFS('Отчет 01-04.01'!P:P,'Отчет 01-04.01'!C:C,"Возвраты",'Отчет 01-04.01'!E:E,B13)</f>
        <v>0</v>
      </c>
      <c r="U13" s="40">
        <f t="shared" si="20"/>
        <v>0</v>
      </c>
      <c r="V13" s="43">
        <f t="shared" si="3"/>
        <v>0</v>
      </c>
      <c r="W13" s="44">
        <f t="shared" si="21"/>
        <v>0</v>
      </c>
      <c r="X13" s="42">
        <f>-SUMIFS('Отчет 01-04.01'!P:P,'Отчет 01-04.01'!C:C,"Вознаграждение Ozon",'Отчет 01-04.01'!E:E,B13)</f>
        <v>0</v>
      </c>
      <c r="Y13" s="45">
        <f t="shared" si="18"/>
        <v>0</v>
      </c>
      <c r="Z13" s="42">
        <f>-SUMIFS('Отчет 01-04.01'!P:P,'Отчет 01-04.01'!C:C,"Услуги доставки",'Отчет 01-04.01'!E:E,B13)</f>
        <v>0</v>
      </c>
      <c r="AA13" s="32">
        <v>0</v>
      </c>
      <c r="AB13" s="55"/>
      <c r="AC13" s="42"/>
      <c r="AD13" s="46">
        <f t="shared" si="6"/>
        <v>0</v>
      </c>
      <c r="AE13" s="47">
        <f t="shared" si="22"/>
        <v>0</v>
      </c>
      <c r="AF13" s="46"/>
      <c r="AG13" s="48">
        <f t="shared" si="23"/>
        <v>0</v>
      </c>
      <c r="AH13" s="49">
        <f t="shared" si="24"/>
        <v>123</v>
      </c>
      <c r="AI13" s="49">
        <f t="shared" si="25"/>
        <v>0</v>
      </c>
      <c r="AJ13" s="49">
        <f t="shared" si="26"/>
        <v>0</v>
      </c>
      <c r="AK13" s="49">
        <f t="shared" si="27"/>
        <v>0</v>
      </c>
      <c r="AL13" s="49">
        <f t="array" ref="AL13">_xlfn.IFS(R13=0,AE13,R13&lt;0,AE13/-R13,R13&gt;0,AE13/R13)</f>
        <v>0</v>
      </c>
      <c r="AM13" s="50">
        <f t="shared" si="28"/>
        <v>0</v>
      </c>
      <c r="AN13" s="51">
        <f t="shared" si="29"/>
        <v>0</v>
      </c>
      <c r="AP13" s="53">
        <f t="shared" si="30"/>
        <v>0</v>
      </c>
    </row>
    <row r="14" spans="1:42">
      <c r="A14" s="30">
        <v>3405092868</v>
      </c>
      <c r="B14" s="31" t="s">
        <v>59</v>
      </c>
      <c r="C14" s="32"/>
      <c r="H14" s="35">
        <v>123</v>
      </c>
      <c r="I14" s="54">
        <f t="shared" si="0"/>
        <v>0</v>
      </c>
      <c r="K14" s="32">
        <v>0</v>
      </c>
      <c r="N14" s="37">
        <f t="shared" si="16"/>
        <v>0</v>
      </c>
      <c r="O14" s="38">
        <f t="shared" si="17"/>
        <v>0</v>
      </c>
      <c r="P14" s="39">
        <f>SUMIFS('Отчет 01-04.01'!H:H,'Отчет 01-04.01'!D:D,"Выручка",'Отчет 01-04.01'!E:E,B14)</f>
        <v>0</v>
      </c>
      <c r="Q14" s="39">
        <f>SUMIFS('Отчет 01-04.01'!H:H,'Отчет 01-04.01'!D:D,"Возврат выручки",'Отчет 01-04.01'!E:E,B14)</f>
        <v>0</v>
      </c>
      <c r="R14" s="40">
        <f t="shared" si="19"/>
        <v>0</v>
      </c>
      <c r="S14" s="41">
        <f>SUMIFS('Отчет 01-04.01'!P:P,'Отчет 01-04.01'!C:C,"Продажи",'Отчет 01-04.01'!E:E,B14)</f>
        <v>0</v>
      </c>
      <c r="T14" s="42">
        <f>SUMIFS('Отчет 01-04.01'!P:P,'Отчет 01-04.01'!C:C,"Возвраты",'Отчет 01-04.01'!E:E,B14)</f>
        <v>0</v>
      </c>
      <c r="U14" s="40">
        <f t="shared" si="20"/>
        <v>0</v>
      </c>
      <c r="V14" s="43">
        <f t="shared" si="3"/>
        <v>0</v>
      </c>
      <c r="W14" s="44">
        <f t="shared" si="21"/>
        <v>0</v>
      </c>
      <c r="X14" s="42">
        <f>-SUMIFS('Отчет 01-04.01'!P:P,'Отчет 01-04.01'!C:C,"Вознаграждение Ozon",'Отчет 01-04.01'!E:E,B14)</f>
        <v>0</v>
      </c>
      <c r="Y14" s="45">
        <f t="shared" si="18"/>
        <v>0</v>
      </c>
      <c r="Z14" s="42">
        <f>-SUMIFS('Отчет 01-04.01'!P:P,'Отчет 01-04.01'!C:C,"Услуги доставки",'Отчет 01-04.01'!E:E,B14)</f>
        <v>0</v>
      </c>
      <c r="AA14" s="32">
        <v>0</v>
      </c>
      <c r="AB14" s="55"/>
      <c r="AC14" s="42"/>
      <c r="AD14" s="46">
        <f t="shared" si="6"/>
        <v>0</v>
      </c>
      <c r="AE14" s="47">
        <f t="shared" si="22"/>
        <v>0</v>
      </c>
      <c r="AG14" s="48">
        <f t="shared" si="23"/>
        <v>0</v>
      </c>
      <c r="AH14" s="49">
        <f t="shared" si="24"/>
        <v>123</v>
      </c>
      <c r="AI14" s="49">
        <f t="shared" si="25"/>
        <v>0</v>
      </c>
      <c r="AJ14" s="49">
        <f t="shared" si="26"/>
        <v>0</v>
      </c>
      <c r="AK14" s="49">
        <f t="shared" si="27"/>
        <v>0</v>
      </c>
      <c r="AL14" s="49">
        <f t="array" ref="AL14">_xlfn.IFS(R14=0,AE14,R14&lt;0,AE14/-R14,R14&gt;0,AE14/R14)</f>
        <v>0</v>
      </c>
      <c r="AM14" s="50">
        <f t="shared" si="28"/>
        <v>0</v>
      </c>
      <c r="AN14" s="51">
        <f t="shared" si="29"/>
        <v>0</v>
      </c>
      <c r="AP14" s="53">
        <f t="shared" si="30"/>
        <v>0</v>
      </c>
    </row>
    <row r="15" spans="1:42">
      <c r="A15" s="30">
        <v>3064346642</v>
      </c>
      <c r="B15" s="31" t="s">
        <v>53</v>
      </c>
      <c r="C15" s="32"/>
      <c r="D15" s="33"/>
      <c r="E15" s="33"/>
      <c r="F15" s="33"/>
      <c r="G15" s="34"/>
      <c r="H15" s="35">
        <v>123</v>
      </c>
      <c r="I15" s="54">
        <f t="shared" si="0"/>
        <v>0</v>
      </c>
      <c r="J15" s="36"/>
      <c r="K15" s="32">
        <v>45</v>
      </c>
      <c r="L15" s="36"/>
      <c r="M15" s="36"/>
      <c r="N15" s="37">
        <f t="shared" si="16"/>
        <v>11.25</v>
      </c>
      <c r="O15" s="38">
        <f t="shared" si="17"/>
        <v>6.25</v>
      </c>
      <c r="P15" s="39">
        <f>SUMIFS('Отчет 01-04.01'!H:H,'Отчет 01-04.01'!D:D,"Выручка",'Отчет 01-04.01'!E:E,B15)</f>
        <v>25</v>
      </c>
      <c r="Q15" s="39">
        <f>SUMIFS('Отчет 01-04.01'!H:H,'Отчет 01-04.01'!D:D,"Возврат выручки",'Отчет 01-04.01'!E:E,B15)</f>
        <v>0</v>
      </c>
      <c r="R15" s="40">
        <f t="shared" si="19"/>
        <v>25</v>
      </c>
      <c r="S15" s="41">
        <f>SUMIFS('Отчет 01-04.01'!P:P,'Отчет 01-04.01'!C:C,"Продажи",'Отчет 01-04.01'!E:E,B15)</f>
        <v>44781</v>
      </c>
      <c r="T15" s="42">
        <f>SUMIFS('Отчет 01-04.01'!P:P,'Отчет 01-04.01'!C:C,"Возвраты",'Отчет 01-04.01'!E:E,B15)</f>
        <v>0</v>
      </c>
      <c r="U15" s="40">
        <f t="shared" si="20"/>
        <v>44781</v>
      </c>
      <c r="V15" s="43">
        <f>U15/$U$24</f>
        <v>0.53097691404721536</v>
      </c>
      <c r="W15" s="44">
        <f t="shared" si="21"/>
        <v>3075</v>
      </c>
      <c r="X15" s="42">
        <f>-SUMIFS('Отчет 01-04.01'!P:P,'Отчет 01-04.01'!C:C,"Вознаграждение Ozon",'Отчет 01-04.01'!E:E,B15)</f>
        <v>19255.830000000002</v>
      </c>
      <c r="Y15" s="45">
        <f t="shared" si="18"/>
        <v>0.43000000000000005</v>
      </c>
      <c r="Z15" s="42">
        <f>-SUMIFS('Отчет 01-04.01'!P:P,'Отчет 01-04.01'!C:C,"Услуги доставки",'Отчет 01-04.01'!E:E,B15)</f>
        <v>4381.9499999999989</v>
      </c>
      <c r="AA15" s="32">
        <v>14697.144773</v>
      </c>
      <c r="AB15" s="55"/>
      <c r="AC15" s="42"/>
      <c r="AD15" s="46">
        <f t="shared" si="6"/>
        <v>447.81</v>
      </c>
      <c r="AE15" s="47">
        <f t="shared" si="22"/>
        <v>2923.2652270000012</v>
      </c>
      <c r="AF15" s="46"/>
      <c r="AG15" s="48">
        <f t="shared" si="23"/>
        <v>1791.24</v>
      </c>
      <c r="AH15" s="49">
        <f t="shared" si="24"/>
        <v>123</v>
      </c>
      <c r="AI15" s="49">
        <f t="shared" si="25"/>
        <v>770.23320000000012</v>
      </c>
      <c r="AJ15" s="49">
        <f t="shared" si="26"/>
        <v>175.27799999999996</v>
      </c>
      <c r="AK15" s="49">
        <f t="shared" si="27"/>
        <v>587.88579091999998</v>
      </c>
      <c r="AL15" s="49">
        <f t="array" ref="AL15">_xlfn.IFS(R15=0,AE15,R15&lt;0,AE15/-R15,R15&gt;0,AE15/R15)</f>
        <v>116.93060908000005</v>
      </c>
      <c r="AM15" s="50">
        <f t="shared" si="28"/>
        <v>6.527914130993058E-2</v>
      </c>
      <c r="AN15" s="51">
        <f t="shared" si="29"/>
        <v>0.95065535837398418</v>
      </c>
      <c r="AP15" s="53">
        <f t="shared" si="30"/>
        <v>0</v>
      </c>
    </row>
    <row r="16" spans="1:42">
      <c r="A16" s="30">
        <v>3405092287</v>
      </c>
      <c r="B16" s="31" t="s">
        <v>60</v>
      </c>
      <c r="C16" s="32"/>
      <c r="H16" s="35">
        <v>117</v>
      </c>
      <c r="I16" s="54">
        <f t="shared" si="0"/>
        <v>0</v>
      </c>
      <c r="K16" s="32">
        <v>0</v>
      </c>
      <c r="N16" s="37">
        <f t="shared" si="16"/>
        <v>0</v>
      </c>
      <c r="O16" s="38">
        <f t="shared" si="17"/>
        <v>0</v>
      </c>
      <c r="P16" s="39">
        <f>SUMIFS('Отчет 01-04.01'!H:H,'Отчет 01-04.01'!D:D,"Выручка",'Отчет 01-04.01'!E:E,B16)</f>
        <v>0</v>
      </c>
      <c r="Q16" s="39">
        <f>SUMIFS('Отчет 01-04.01'!H:H,'Отчет 01-04.01'!D:D,"Возврат выручки",'Отчет 01-04.01'!E:E,B16)</f>
        <v>0</v>
      </c>
      <c r="R16" s="40">
        <f t="shared" si="19"/>
        <v>0</v>
      </c>
      <c r="S16" s="41">
        <f>SUMIFS('Отчет 01-04.01'!P:P,'Отчет 01-04.01'!C:C,"Продажи",'Отчет 01-04.01'!E:E,B16)</f>
        <v>0</v>
      </c>
      <c r="T16" s="42">
        <f>SUMIFS('Отчет 01-04.01'!P:P,'Отчет 01-04.01'!C:C,"Возвраты",'Отчет 01-04.01'!E:E,B16)</f>
        <v>0</v>
      </c>
      <c r="U16" s="40">
        <f t="shared" si="20"/>
        <v>0</v>
      </c>
      <c r="V16" s="43">
        <f>U16/$U$24</f>
        <v>0</v>
      </c>
      <c r="W16" s="44">
        <f t="shared" si="21"/>
        <v>0</v>
      </c>
      <c r="X16" s="42">
        <f>-SUMIFS('Отчет 01-04.01'!P:P,'Отчет 01-04.01'!C:C,"Вознаграждение Ozon",'Отчет 01-04.01'!E:E,B16)</f>
        <v>0</v>
      </c>
      <c r="Y16" s="45">
        <f t="shared" si="18"/>
        <v>0</v>
      </c>
      <c r="Z16" s="42">
        <f>-SUMIFS('Отчет 01-04.01'!P:P,'Отчет 01-04.01'!C:C,"Услуги доставки",'Отчет 01-04.01'!E:E,B16)</f>
        <v>0</v>
      </c>
      <c r="AA16" s="32">
        <v>0</v>
      </c>
      <c r="AB16" s="55"/>
      <c r="AC16" s="42"/>
      <c r="AD16" s="46">
        <f t="shared" si="6"/>
        <v>0</v>
      </c>
      <c r="AE16" s="47">
        <f t="shared" si="22"/>
        <v>0</v>
      </c>
      <c r="AF16" s="46"/>
      <c r="AG16" s="48">
        <f t="shared" si="23"/>
        <v>0</v>
      </c>
      <c r="AH16" s="49">
        <f t="shared" si="24"/>
        <v>117</v>
      </c>
      <c r="AI16" s="49">
        <f t="shared" si="25"/>
        <v>0</v>
      </c>
      <c r="AJ16" s="49">
        <f t="shared" si="26"/>
        <v>0</v>
      </c>
      <c r="AK16" s="49">
        <f t="shared" si="27"/>
        <v>0</v>
      </c>
      <c r="AL16" s="49">
        <f t="array" ref="AL16">_xlfn.IFS(R16=0,AE16,R16&lt;0,AE16/-R16,R16&gt;0,AE16/R16)</f>
        <v>0</v>
      </c>
      <c r="AM16" s="50">
        <f t="shared" si="28"/>
        <v>0</v>
      </c>
      <c r="AN16" s="51">
        <f t="shared" si="29"/>
        <v>0</v>
      </c>
      <c r="AP16" s="53">
        <f t="shared" si="30"/>
        <v>0</v>
      </c>
    </row>
    <row r="17" spans="1:52" ht="13.75" customHeight="1">
      <c r="A17" s="30"/>
      <c r="B17" s="31"/>
      <c r="C17" s="32"/>
      <c r="D17" s="33"/>
      <c r="E17" s="33"/>
      <c r="F17" s="33"/>
      <c r="G17" s="34"/>
      <c r="H17" s="56"/>
      <c r="I17" s="54"/>
      <c r="J17" s="36"/>
      <c r="K17" s="32"/>
      <c r="L17" s="36"/>
      <c r="M17" s="36"/>
      <c r="N17" s="37"/>
      <c r="O17" s="38"/>
      <c r="P17" s="39"/>
      <c r="Q17" s="39"/>
      <c r="R17" s="40"/>
      <c r="S17" s="41"/>
      <c r="T17" s="42"/>
      <c r="U17" s="40"/>
      <c r="V17" s="43"/>
      <c r="W17" s="44"/>
      <c r="X17" s="42"/>
      <c r="Y17" s="45"/>
      <c r="Z17" s="42"/>
      <c r="AA17" s="32"/>
      <c r="AB17" s="55"/>
      <c r="AC17" s="42"/>
      <c r="AD17" s="46"/>
      <c r="AE17" s="47"/>
      <c r="AF17" s="46"/>
      <c r="AG17" s="57">
        <f t="shared" ref="AG17:AN17" si="31">AVERAGEIF(AG3:AG15,"&lt;&gt;0",AG3:AG15)</f>
        <v>1587.7485714285715</v>
      </c>
      <c r="AH17" s="58">
        <f t="shared" si="31"/>
        <v>127.26</v>
      </c>
      <c r="AI17" s="58">
        <f t="shared" si="31"/>
        <v>682.73188571428568</v>
      </c>
      <c r="AJ17" s="58">
        <f t="shared" si="31"/>
        <v>157.61286904761906</v>
      </c>
      <c r="AK17" s="58">
        <f t="shared" si="31"/>
        <v>602.94983279916664</v>
      </c>
      <c r="AL17" s="58">
        <f t="shared" si="31"/>
        <v>63.18240266278918</v>
      </c>
      <c r="AM17" s="59">
        <f t="shared" si="31"/>
        <v>3.011785779737669E-2</v>
      </c>
      <c r="AN17" s="59">
        <f t="shared" si="31"/>
        <v>0.55707014394033738</v>
      </c>
      <c r="AO17" s="60"/>
      <c r="AP17" s="61"/>
    </row>
    <row r="18" spans="1:52">
      <c r="A18" s="62" t="s">
        <v>44</v>
      </c>
      <c r="B18" s="63"/>
      <c r="C18" s="64">
        <f>SUM(C3:C16)</f>
        <v>0</v>
      </c>
      <c r="D18" s="65"/>
      <c r="E18" s="65">
        <v>108496</v>
      </c>
      <c r="F18" s="65">
        <v>597</v>
      </c>
      <c r="G18" s="65">
        <v>295</v>
      </c>
      <c r="H18" s="66"/>
      <c r="I18" s="64">
        <f>SUM(I3:I16)</f>
        <v>0</v>
      </c>
      <c r="J18" s="67"/>
      <c r="K18" s="64">
        <f>SUM(K3:K16)</f>
        <v>122</v>
      </c>
      <c r="L18" s="67"/>
      <c r="M18" s="67"/>
      <c r="N18" s="68"/>
      <c r="O18" s="69"/>
      <c r="P18" s="64">
        <f t="shared" ref="P18:X18" si="32">SUM(P3:P16)</f>
        <v>51</v>
      </c>
      <c r="Q18" s="64">
        <f t="shared" si="32"/>
        <v>1</v>
      </c>
      <c r="R18" s="64">
        <f t="shared" si="32"/>
        <v>50</v>
      </c>
      <c r="S18" s="70">
        <f t="shared" si="32"/>
        <v>85937</v>
      </c>
      <c r="T18" s="64">
        <f t="shared" si="32"/>
        <v>-1600</v>
      </c>
      <c r="U18" s="64">
        <f t="shared" si="32"/>
        <v>84337</v>
      </c>
      <c r="V18" s="71">
        <f t="shared" si="32"/>
        <v>1</v>
      </c>
      <c r="W18" s="64">
        <f t="shared" si="32"/>
        <v>6252.96</v>
      </c>
      <c r="X18" s="64">
        <f t="shared" si="32"/>
        <v>36264.910000000003</v>
      </c>
      <c r="Y18" s="72">
        <f>IF(U18=0,0,X18/U18)</f>
        <v>0.43000000000000005</v>
      </c>
      <c r="Z18" s="64">
        <f>SUM(Z3:Z16)</f>
        <v>8548.619999999999</v>
      </c>
      <c r="AA18" s="64">
        <f>IFERROR(P18*AA24/P24,0)</f>
        <v>36772.949999999997</v>
      </c>
      <c r="AB18" s="64">
        <f>SUM(AB3:AB16)</f>
        <v>0</v>
      </c>
      <c r="AC18" s="64">
        <f>SUM(AC3:AC16)</f>
        <v>0</v>
      </c>
      <c r="AD18" s="73">
        <f>SUM(AD3:AD16)</f>
        <v>843.37</v>
      </c>
      <c r="AE18" s="74">
        <f>SUM(AE3:AE16)</f>
        <v>-3745.8102089999961</v>
      </c>
      <c r="AF18" s="75"/>
      <c r="AG18" s="76"/>
      <c r="AH18" s="77"/>
      <c r="AI18" s="77"/>
      <c r="AJ18" s="77"/>
      <c r="AK18" s="78"/>
      <c r="AL18" s="77"/>
      <c r="AM18" s="79"/>
      <c r="AN18" s="80"/>
      <c r="AO18" s="81"/>
      <c r="AP18" s="82">
        <f>SUM(AP3:AP16)</f>
        <v>0</v>
      </c>
      <c r="AZ18" s="52">
        <v>18592777.379413977</v>
      </c>
    </row>
    <row r="19" spans="1:52" ht="13.75" customHeight="1">
      <c r="A19" s="30"/>
      <c r="B19" s="31"/>
      <c r="C19" s="32"/>
      <c r="D19" s="33"/>
      <c r="E19" s="33"/>
      <c r="F19" s="33"/>
      <c r="G19" s="34"/>
      <c r="H19" s="56"/>
      <c r="I19" s="54"/>
      <c r="J19" s="36"/>
      <c r="K19" s="32"/>
      <c r="L19" s="36"/>
      <c r="M19" s="36"/>
      <c r="N19" s="37"/>
      <c r="O19" s="38"/>
      <c r="P19" s="39"/>
      <c r="Q19" s="39"/>
      <c r="R19" s="40"/>
      <c r="S19" s="41"/>
      <c r="T19" s="42"/>
      <c r="U19" s="40"/>
      <c r="V19" s="43"/>
      <c r="W19" s="44"/>
      <c r="X19" s="42"/>
      <c r="Y19" s="45"/>
      <c r="Z19" s="42"/>
      <c r="AA19" s="83">
        <f>SUM(AA3:AA16)</f>
        <v>36172.950209000002</v>
      </c>
      <c r="AB19" s="55"/>
      <c r="AC19" s="42"/>
      <c r="AD19" s="46"/>
      <c r="AE19" s="47"/>
      <c r="AF19" s="46"/>
      <c r="AG19" s="48"/>
      <c r="AH19" s="49"/>
      <c r="AI19" s="49"/>
      <c r="AJ19" s="49"/>
      <c r="AK19" s="49"/>
      <c r="AL19" s="49"/>
      <c r="AM19" s="50"/>
      <c r="AN19" s="51"/>
      <c r="AP19" s="53"/>
    </row>
    <row r="20" spans="1:52" hidden="1" outlineLevel="1">
      <c r="A20" s="30"/>
      <c r="B20" s="31"/>
      <c r="C20" s="32"/>
      <c r="D20" s="33"/>
      <c r="E20" s="33"/>
      <c r="F20" s="33"/>
      <c r="G20" s="34"/>
      <c r="H20" s="84"/>
      <c r="I20" s="54"/>
      <c r="J20" s="36"/>
      <c r="K20" s="32"/>
      <c r="L20" s="36"/>
      <c r="M20" s="36"/>
      <c r="N20" s="37"/>
      <c r="O20" s="38"/>
      <c r="P20" s="39"/>
      <c r="Q20" s="39"/>
      <c r="R20" s="40"/>
      <c r="S20" s="41"/>
      <c r="T20" s="42"/>
      <c r="U20" s="40"/>
      <c r="V20" s="43"/>
      <c r="W20" s="44"/>
      <c r="X20" s="42"/>
      <c r="Y20" s="45"/>
      <c r="Z20" s="42"/>
      <c r="AA20" s="32"/>
      <c r="AB20" s="55"/>
      <c r="AC20" s="42"/>
      <c r="AD20" s="46"/>
      <c r="AE20" s="47"/>
      <c r="AF20" s="46"/>
      <c r="AG20" s="48"/>
      <c r="AH20" s="49"/>
      <c r="AI20" s="49"/>
      <c r="AJ20" s="49"/>
      <c r="AK20" s="49"/>
      <c r="AL20" s="49"/>
      <c r="AM20" s="50"/>
      <c r="AN20" s="51"/>
      <c r="AP20" s="53"/>
    </row>
    <row r="21" spans="1:52" hidden="1" outlineLevel="1">
      <c r="A21" s="30"/>
      <c r="B21" s="31"/>
      <c r="C21" s="32"/>
      <c r="D21" s="33"/>
      <c r="E21" s="33"/>
      <c r="F21" s="33"/>
      <c r="G21" s="34"/>
      <c r="H21" s="84"/>
      <c r="I21" s="54"/>
      <c r="J21" s="36"/>
      <c r="K21" s="32"/>
      <c r="L21" s="36"/>
      <c r="M21" s="36"/>
      <c r="N21" s="37"/>
      <c r="O21" s="38"/>
      <c r="P21" s="39"/>
      <c r="Q21" s="39"/>
      <c r="R21" s="40"/>
      <c r="S21" s="41"/>
      <c r="T21" s="42"/>
      <c r="U21" s="40"/>
      <c r="V21" s="43"/>
      <c r="W21" s="44"/>
      <c r="X21" s="42"/>
      <c r="Y21" s="45"/>
      <c r="Z21" s="42"/>
      <c r="AA21" s="32"/>
      <c r="AB21" s="55"/>
      <c r="AC21" s="42"/>
      <c r="AD21" s="46"/>
      <c r="AE21" s="47"/>
      <c r="AF21" s="46"/>
      <c r="AG21" s="85" t="e">
        <f t="shared" ref="AG21:AN21" si="33">AVERAGEIF(AG20:AG20,"&lt;&gt;0",AG20:AG20)</f>
        <v>#DIV/0!</v>
      </c>
      <c r="AH21" s="86" t="e">
        <f t="shared" si="33"/>
        <v>#DIV/0!</v>
      </c>
      <c r="AI21" s="86" t="e">
        <f t="shared" si="33"/>
        <v>#DIV/0!</v>
      </c>
      <c r="AJ21" s="86" t="e">
        <f t="shared" si="33"/>
        <v>#DIV/0!</v>
      </c>
      <c r="AK21" s="86" t="e">
        <f t="shared" si="33"/>
        <v>#DIV/0!</v>
      </c>
      <c r="AL21" s="86" t="e">
        <f t="shared" si="33"/>
        <v>#DIV/0!</v>
      </c>
      <c r="AM21" s="87" t="e">
        <f t="shared" si="33"/>
        <v>#DIV/0!</v>
      </c>
      <c r="AN21" s="87" t="e">
        <f t="shared" si="33"/>
        <v>#DIV/0!</v>
      </c>
      <c r="AO21" s="60"/>
      <c r="AP21" s="61"/>
    </row>
    <row r="22" spans="1:52" hidden="1" outlineLevel="1">
      <c r="A22" s="88"/>
      <c r="B22" s="89"/>
      <c r="C22" s="90">
        <f>SUM(C20:C20)</f>
        <v>0</v>
      </c>
      <c r="D22" s="91"/>
      <c r="E22" s="91"/>
      <c r="F22" s="91"/>
      <c r="G22" s="91"/>
      <c r="H22" s="92"/>
      <c r="I22" s="90">
        <f>SUM(I20:I20)</f>
        <v>0</v>
      </c>
      <c r="J22" s="93"/>
      <c r="K22" s="90">
        <f>SUM(K20:K20)</f>
        <v>0</v>
      </c>
      <c r="L22" s="93"/>
      <c r="M22" s="93"/>
      <c r="N22" s="94"/>
      <c r="O22" s="95"/>
      <c r="P22" s="90">
        <f t="shared" ref="P22:X22" si="34">SUM(P20:P20)</f>
        <v>0</v>
      </c>
      <c r="Q22" s="90">
        <f t="shared" si="34"/>
        <v>0</v>
      </c>
      <c r="R22" s="96">
        <f t="shared" si="34"/>
        <v>0</v>
      </c>
      <c r="S22" s="90">
        <f t="shared" si="34"/>
        <v>0</v>
      </c>
      <c r="T22" s="90">
        <f t="shared" si="34"/>
        <v>0</v>
      </c>
      <c r="U22" s="96">
        <f t="shared" si="34"/>
        <v>0</v>
      </c>
      <c r="V22" s="97">
        <f t="shared" si="34"/>
        <v>0</v>
      </c>
      <c r="W22" s="90">
        <f t="shared" si="34"/>
        <v>0</v>
      </c>
      <c r="X22" s="90">
        <f t="shared" si="34"/>
        <v>0</v>
      </c>
      <c r="Y22" s="98">
        <f>IF(U22=0,0,X22/U22)</f>
        <v>0</v>
      </c>
      <c r="Z22" s="90">
        <f>SUM(Z20:Z20)</f>
        <v>0</v>
      </c>
      <c r="AA22" s="90">
        <f>IFERROR(P22*AA24/P24,0)</f>
        <v>0</v>
      </c>
      <c r="AB22" s="90">
        <f>SUM(AB20:AB20)</f>
        <v>0</v>
      </c>
      <c r="AC22" s="90">
        <f>SUM(AC20:AC20)</f>
        <v>0</v>
      </c>
      <c r="AD22" s="96">
        <f>SUM(AD20:AD20)</f>
        <v>0</v>
      </c>
      <c r="AE22" s="90">
        <f>SUM(AE20:AE20)</f>
        <v>0</v>
      </c>
      <c r="AF22" s="75"/>
      <c r="AG22" s="99"/>
      <c r="AH22" s="100"/>
      <c r="AI22" s="100"/>
      <c r="AJ22" s="100"/>
      <c r="AK22" s="101"/>
      <c r="AL22" s="100"/>
      <c r="AM22" s="102"/>
      <c r="AN22" s="103"/>
      <c r="AO22" s="81"/>
      <c r="AP22" s="104">
        <f>SUM(AP20:AP20)</f>
        <v>0</v>
      </c>
    </row>
    <row r="23" spans="1:52" collapsed="1">
      <c r="A23" s="105"/>
      <c r="B23" s="106"/>
      <c r="C23" s="107"/>
      <c r="D23" s="44"/>
      <c r="E23" s="44"/>
      <c r="F23" s="44"/>
      <c r="G23" s="34"/>
      <c r="H23" s="44"/>
      <c r="I23" s="44"/>
      <c r="J23" s="108"/>
      <c r="K23" s="109"/>
      <c r="L23" s="109"/>
      <c r="M23" s="109"/>
      <c r="N23" s="108"/>
      <c r="O23" s="110"/>
      <c r="P23" s="109"/>
      <c r="Q23" s="109"/>
      <c r="R23" s="111"/>
      <c r="S23" s="109"/>
      <c r="T23" s="109"/>
      <c r="U23" s="111"/>
      <c r="V23" s="112"/>
      <c r="W23" s="109"/>
      <c r="X23" s="109"/>
      <c r="Y23" s="45"/>
      <c r="Z23" s="109"/>
      <c r="AA23" s="113">
        <f>SUM(AA20:AA20)</f>
        <v>0</v>
      </c>
      <c r="AB23" s="42"/>
      <c r="AC23" s="42"/>
      <c r="AD23" s="46"/>
      <c r="AE23" s="47"/>
      <c r="AF23" s="46"/>
      <c r="AG23" s="114"/>
      <c r="AH23" s="115"/>
      <c r="AI23" s="115"/>
      <c r="AJ23" s="115"/>
      <c r="AK23" s="115"/>
      <c r="AL23" s="115"/>
      <c r="AM23" s="50"/>
      <c r="AN23" s="51"/>
      <c r="AP23" s="53"/>
    </row>
    <row r="24" spans="1:52" s="131" customFormat="1" ht="15" customHeight="1">
      <c r="A24" s="116" t="s">
        <v>45</v>
      </c>
      <c r="B24" s="117"/>
      <c r="C24" s="118">
        <f>C18+C22</f>
        <v>0</v>
      </c>
      <c r="D24" s="119">
        <f>SUM(D3:D20)</f>
        <v>0</v>
      </c>
      <c r="E24" s="119">
        <f>SUM(E3:E20)</f>
        <v>108496</v>
      </c>
      <c r="F24" s="119">
        <f>SUM(F3:F20)</f>
        <v>597</v>
      </c>
      <c r="G24" s="119">
        <f>SUM(G3:G20)</f>
        <v>295</v>
      </c>
      <c r="H24" s="119"/>
      <c r="I24" s="118">
        <f>I18+I22</f>
        <v>0</v>
      </c>
      <c r="J24" s="118">
        <f>J18+J22</f>
        <v>0</v>
      </c>
      <c r="K24" s="118">
        <f>K18+K22</f>
        <v>122</v>
      </c>
      <c r="L24" s="119"/>
      <c r="M24" s="119"/>
      <c r="N24" s="119"/>
      <c r="O24" s="119"/>
      <c r="P24" s="120">
        <f>P18+P22</f>
        <v>51</v>
      </c>
      <c r="Q24" s="118">
        <f>Q18+Q22</f>
        <v>1</v>
      </c>
      <c r="R24" s="121">
        <f>R18-R22</f>
        <v>50</v>
      </c>
      <c r="S24" s="118">
        <f t="shared" ref="S24:X24" si="35">S18+S22</f>
        <v>85937</v>
      </c>
      <c r="T24" s="118">
        <f t="shared" si="35"/>
        <v>-1600</v>
      </c>
      <c r="U24" s="121">
        <f t="shared" si="35"/>
        <v>84337</v>
      </c>
      <c r="V24" s="122">
        <f t="shared" si="35"/>
        <v>1</v>
      </c>
      <c r="W24" s="118">
        <f t="shared" si="35"/>
        <v>6252.96</v>
      </c>
      <c r="X24" s="118">
        <f t="shared" si="35"/>
        <v>36264.910000000003</v>
      </c>
      <c r="Y24" s="123">
        <f>X24/U24</f>
        <v>0.43000000000000005</v>
      </c>
      <c r="Z24" s="118">
        <f>Z18+Z22</f>
        <v>8548.619999999999</v>
      </c>
      <c r="AA24" s="124">
        <v>36772.949999999997</v>
      </c>
      <c r="AB24" s="125"/>
      <c r="AC24" s="125">
        <f>SUM(AC3:AC20)</f>
        <v>0</v>
      </c>
      <c r="AD24" s="118">
        <f>AD18+AD22</f>
        <v>843.37</v>
      </c>
      <c r="AE24" s="126">
        <f>AE18+AE22</f>
        <v>-3745.8102089999961</v>
      </c>
      <c r="AF24" s="127"/>
      <c r="AG24" s="128"/>
      <c r="AH24" s="129"/>
      <c r="AI24" s="129"/>
      <c r="AJ24" s="129"/>
      <c r="AK24" s="129">
        <f>AA25/P24</f>
        <v>721.03823529411761</v>
      </c>
      <c r="AL24" s="129"/>
      <c r="AM24" s="129"/>
      <c r="AN24" s="130"/>
      <c r="AP24" s="126">
        <f>SUM(AP3:AP20)</f>
        <v>0</v>
      </c>
    </row>
    <row r="25" spans="1:52" s="132" customFormat="1">
      <c r="B25" s="133"/>
      <c r="C25" s="134"/>
      <c r="K25" s="135"/>
      <c r="L25" s="135"/>
      <c r="M25" s="135"/>
      <c r="O25" s="136"/>
      <c r="P25" s="137"/>
      <c r="Q25" s="137"/>
      <c r="R25" s="138"/>
      <c r="S25" s="137"/>
      <c r="T25" s="138"/>
      <c r="U25" s="138"/>
      <c r="X25" s="139"/>
      <c r="Z25" s="137"/>
      <c r="AA25" s="140">
        <f>AA18+AA22</f>
        <v>36772.949999999997</v>
      </c>
      <c r="AB25" s="141"/>
      <c r="AC25" s="142"/>
    </row>
    <row r="26" spans="1:52" s="132" customFormat="1">
      <c r="B26" s="133"/>
      <c r="C26" s="134"/>
      <c r="I26" s="143"/>
      <c r="J26" s="143"/>
      <c r="K26" s="135"/>
      <c r="L26" s="135"/>
      <c r="M26" s="135"/>
      <c r="P26" s="144"/>
      <c r="Q26" s="135"/>
      <c r="X26" s="144"/>
      <c r="Y26" s="135"/>
      <c r="Z26" s="145"/>
      <c r="AA26" s="146">
        <f>AA19+AA23</f>
        <v>36172.950209000002</v>
      </c>
      <c r="AB26" s="141"/>
      <c r="AC26" s="6"/>
    </row>
    <row r="27" spans="1:52" s="132" customFormat="1">
      <c r="B27" s="133"/>
      <c r="C27" s="134"/>
      <c r="J27" s="143"/>
      <c r="K27" s="135"/>
      <c r="L27" s="135"/>
      <c r="M27" s="135"/>
      <c r="P27" s="144"/>
      <c r="Q27" s="135"/>
      <c r="X27" s="144"/>
      <c r="Y27" s="135"/>
      <c r="Z27" s="147"/>
      <c r="AA27" s="147"/>
      <c r="AB27" s="141"/>
      <c r="AC27" s="6"/>
    </row>
    <row r="28" spans="1:52" s="132" customFormat="1">
      <c r="B28" s="133"/>
      <c r="C28" s="134"/>
      <c r="K28" s="135"/>
      <c r="L28" s="135"/>
      <c r="M28" s="135"/>
      <c r="P28" s="144"/>
      <c r="Q28" s="135"/>
      <c r="X28" s="144"/>
      <c r="Y28" s="135"/>
      <c r="Z28" s="145"/>
      <c r="AA28" s="145"/>
      <c r="AB28" s="141"/>
      <c r="AC28" s="6"/>
    </row>
    <row r="29" spans="1:52" ht="29">
      <c r="B29" s="148"/>
      <c r="H29" s="150"/>
      <c r="I29" s="151" t="s">
        <v>7</v>
      </c>
      <c r="J29" s="151"/>
      <c r="K29" s="152" t="s">
        <v>37</v>
      </c>
      <c r="L29" s="152" t="s">
        <v>46</v>
      </c>
      <c r="W29" s="155"/>
      <c r="X29" s="155"/>
      <c r="Z29" s="156"/>
      <c r="AA29" s="156"/>
      <c r="AM29" s="153"/>
    </row>
    <row r="30" spans="1:52" ht="15.5">
      <c r="B30" s="148"/>
      <c r="H30" s="150"/>
      <c r="I30" s="151"/>
      <c r="J30" s="151"/>
      <c r="K30" s="152"/>
      <c r="L30" s="152"/>
      <c r="Y30" s="155"/>
    </row>
    <row r="31" spans="1:52" ht="15.5">
      <c r="B31" s="148"/>
      <c r="H31" s="157" t="s">
        <v>47</v>
      </c>
      <c r="I31" s="158">
        <f>SUMIF(J3:J20,"&lt;60",I3:I20)</f>
        <v>0</v>
      </c>
      <c r="J31" s="159" t="e">
        <f>I31/I24</f>
        <v>#DIV/0!</v>
      </c>
      <c r="K31" s="160">
        <f>SUMIF(J3:J20,"&lt;60",AP3:AP20)</f>
        <v>0</v>
      </c>
      <c r="L31" s="161" t="e">
        <f>K31/I31</f>
        <v>#DIV/0!</v>
      </c>
    </row>
    <row r="32" spans="1:52" ht="15.5">
      <c r="B32" s="148"/>
      <c r="H32" s="162" t="s">
        <v>48</v>
      </c>
      <c r="I32" s="163">
        <f>I24-I33-I31</f>
        <v>0</v>
      </c>
      <c r="J32" s="164" t="e">
        <f>I32/I24</f>
        <v>#DIV/0!</v>
      </c>
      <c r="K32" s="160">
        <f>AP24-K31-K33</f>
        <v>0</v>
      </c>
      <c r="L32" s="161" t="e">
        <f>K32/I32</f>
        <v>#DIV/0!</v>
      </c>
    </row>
    <row r="33" spans="2:12" ht="15.5">
      <c r="B33" s="148"/>
      <c r="C33" s="165"/>
      <c r="D33" s="166"/>
      <c r="E33" s="166"/>
      <c r="F33" s="166"/>
      <c r="G33" s="166"/>
      <c r="H33" s="167" t="s">
        <v>49</v>
      </c>
      <c r="I33" s="168">
        <f>SUMIF(J3:J20,"&gt;120",I3:I20)</f>
        <v>0</v>
      </c>
      <c r="J33" s="169" t="e">
        <f>I33/I24</f>
        <v>#DIV/0!</v>
      </c>
      <c r="K33" s="160">
        <f>SUMIF(J3:J20,"&gt;120",AP3:AP20)</f>
        <v>0</v>
      </c>
      <c r="L33" s="161" t="e">
        <f>K33/I33</f>
        <v>#DIV/0!</v>
      </c>
    </row>
    <row r="34" spans="2:12" ht="15.5">
      <c r="B34" s="148"/>
      <c r="C34" s="165"/>
      <c r="D34" s="166"/>
      <c r="E34" s="166"/>
      <c r="F34" s="166"/>
      <c r="G34" s="166"/>
    </row>
    <row r="35" spans="2:12" ht="15.5">
      <c r="B35" s="148"/>
      <c r="H35" s="52" t="s">
        <v>50</v>
      </c>
    </row>
    <row r="36" spans="2:12" ht="15.5">
      <c r="B36" s="148"/>
    </row>
    <row r="37" spans="2:12" ht="15.5">
      <c r="B37" s="148"/>
    </row>
  </sheetData>
  <conditionalFormatting sqref="J23:L23 J15 J3:J13 J17:J22">
    <cfRule type="cellIs" dxfId="12" priority="19" operator="greaterThan">
      <formula>120</formula>
    </cfRule>
  </conditionalFormatting>
  <conditionalFormatting sqref="N23">
    <cfRule type="cellIs" dxfId="11" priority="18" operator="between">
      <formula>0.000001</formula>
      <formula>25</formula>
    </cfRule>
  </conditionalFormatting>
  <conditionalFormatting sqref="V1 V25:V28 V30:V1048576">
    <cfRule type="cellIs" dxfId="10" priority="20" operator="greaterThan">
      <formula>0.23</formula>
    </cfRule>
  </conditionalFormatting>
  <conditionalFormatting sqref="AM29">
    <cfRule type="dataBar" priority="1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{A0467ABE-F92B-445F-9968-E6BD6C08EB07}</x14:id>
        </ext>
      </extLst>
    </cfRule>
  </conditionalFormatting>
  <conditionalFormatting sqref="U21:V21 U19:V19 U17:V17">
    <cfRule type="dataBar" priority="2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{05B0AB2F-3337-4706-883B-DD2C21EB1C17}</x14:id>
        </ext>
      </extLst>
    </cfRule>
  </conditionalFormatting>
  <conditionalFormatting sqref="V19 V21 V17">
    <cfRule type="dataBar" priority="2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{49AE29AF-AD81-4C23-86A4-DA58ED5D4616}</x14:id>
        </ext>
      </extLst>
    </cfRule>
  </conditionalFormatting>
  <conditionalFormatting sqref="AP17">
    <cfRule type="dataBar" priority="1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{ADAFB175-4217-45CC-814C-D5FEEC9FE890}</x14:id>
        </ext>
      </extLst>
    </cfRule>
  </conditionalFormatting>
  <conditionalFormatting sqref="AP17">
    <cfRule type="dataBar" priority="1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{DD79989D-D722-4454-B2B8-549BD999488A}</x14:id>
        </ext>
      </extLst>
    </cfRule>
  </conditionalFormatting>
  <conditionalFormatting sqref="P23">
    <cfRule type="cellIs" dxfId="9" priority="14" operator="greaterThan">
      <formula>120</formula>
    </cfRule>
  </conditionalFormatting>
  <conditionalFormatting sqref="Q23">
    <cfRule type="cellIs" dxfId="8" priority="13" operator="greaterThan">
      <formula>120</formula>
    </cfRule>
  </conditionalFormatting>
  <conditionalFormatting sqref="R23">
    <cfRule type="cellIs" dxfId="7" priority="12" operator="greaterThan">
      <formula>120</formula>
    </cfRule>
  </conditionalFormatting>
  <conditionalFormatting sqref="S23">
    <cfRule type="cellIs" dxfId="6" priority="11" operator="greaterThan">
      <formula>120</formula>
    </cfRule>
  </conditionalFormatting>
  <conditionalFormatting sqref="T23">
    <cfRule type="cellIs" dxfId="5" priority="10" operator="greaterThan">
      <formula>120</formula>
    </cfRule>
  </conditionalFormatting>
  <conditionalFormatting sqref="U23">
    <cfRule type="cellIs" dxfId="4" priority="9" operator="greaterThan">
      <formula>120</formula>
    </cfRule>
  </conditionalFormatting>
  <conditionalFormatting sqref="V23">
    <cfRule type="cellIs" dxfId="3" priority="8" operator="greaterThan">
      <formula>120</formula>
    </cfRule>
  </conditionalFormatting>
  <conditionalFormatting sqref="W23">
    <cfRule type="cellIs" dxfId="2" priority="7" operator="greaterThan">
      <formula>120</formula>
    </cfRule>
  </conditionalFormatting>
  <conditionalFormatting sqref="X23">
    <cfRule type="cellIs" dxfId="1" priority="6" operator="greaterThan">
      <formula>120</formula>
    </cfRule>
  </conditionalFormatting>
  <conditionalFormatting sqref="Z23">
    <cfRule type="cellIs" dxfId="0" priority="5" operator="greaterThan">
      <formula>120</formula>
    </cfRule>
  </conditionalFormatting>
  <conditionalFormatting sqref="AP21">
    <cfRule type="dataBar" priority="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{61441FE3-20F8-4112-AC38-D976CB3EABF1}</x14:id>
        </ext>
      </extLst>
    </cfRule>
  </conditionalFormatting>
  <conditionalFormatting sqref="AP21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{05A38E4F-E527-47B8-A51D-3BA657142ADA}</x14:id>
        </ext>
      </extLst>
    </cfRule>
  </conditionalFormatting>
  <conditionalFormatting sqref="U20:V20">
    <cfRule type="dataBar" priority="23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{DFA2F8E9-2D41-4594-95C5-F936297CDF89}</x14:id>
        </ext>
      </extLst>
    </cfRule>
  </conditionalFormatting>
  <conditionalFormatting sqref="V20">
    <cfRule type="dataBar" priority="2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{67415886-FF6D-4AEB-9E44-8DF7F51C7BED}</x14:id>
        </ext>
      </extLst>
    </cfRule>
  </conditionalFormatting>
  <conditionalFormatting sqref="AP19:AP20 AP23 AP3:AP14">
    <cfRule type="dataBar" priority="25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{C1E51F02-D6A1-442E-80E8-C9EBCAA8A2F5}</x14:id>
        </ext>
      </extLst>
    </cfRule>
  </conditionalFormatting>
  <conditionalFormatting sqref="AE19:AE21 AE23 AE17 AE3:AE14">
    <cfRule type="dataBar" priority="26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{036A1FA5-366D-4A84-826F-ABD785EC95E4}</x14:id>
        </ext>
      </extLst>
    </cfRule>
  </conditionalFormatting>
  <conditionalFormatting sqref="AL19:AL20 AL23 AL3:AL14">
    <cfRule type="dataBar" priority="27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{1CDA4702-2C76-4A77-A816-AA4C3D60E890}</x14:id>
        </ext>
      </extLst>
    </cfRule>
  </conditionalFormatting>
  <conditionalFormatting sqref="AM23:AN23 AM19:AN20 AM3:AN14">
    <cfRule type="dataBar" priority="28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{365063A7-1E3F-4D25-887B-0E41093A4ABE}</x14:id>
        </ext>
      </extLst>
    </cfRule>
  </conditionalFormatting>
  <conditionalFormatting sqref="AP19:AP20 AP3:AP14">
    <cfRule type="dataBar" priority="29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{4F6506DA-57A0-433D-8EE6-D398F6D74D43}</x14:id>
        </ext>
      </extLst>
    </cfRule>
  </conditionalFormatting>
  <conditionalFormatting sqref="AE19:AE21 AE17 AE3:AE14">
    <cfRule type="dataBar" priority="30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{5A84C719-BC3A-4C72-9D72-2A4893F171EF}</x14:id>
        </ext>
      </extLst>
    </cfRule>
  </conditionalFormatting>
  <conditionalFormatting sqref="AP15:AP16">
    <cfRule type="dataBar" priority="31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{FE316CD6-2F0A-4218-BBE8-328FEDD6EFCE}</x14:id>
        </ext>
      </extLst>
    </cfRule>
  </conditionalFormatting>
  <conditionalFormatting sqref="AE15:AE16">
    <cfRule type="dataBar" priority="32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{5B90552E-8168-4653-853A-F3E3E477538F}</x14:id>
        </ext>
      </extLst>
    </cfRule>
  </conditionalFormatting>
  <conditionalFormatting sqref="AL15:AL16">
    <cfRule type="dataBar" priority="33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{CF0D76C5-B3D2-4D8A-ABFF-BFFF5E4203E5}</x14:id>
        </ext>
      </extLst>
    </cfRule>
  </conditionalFormatting>
  <conditionalFormatting sqref="AM15:AN16">
    <cfRule type="dataBar" priority="34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{C28C1DF7-3D10-44E7-A105-B8DC88CEB5E0}</x14:id>
        </ext>
      </extLst>
    </cfRule>
  </conditionalFormatting>
  <conditionalFormatting sqref="U3:V16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{79E61D71-B25B-4B3C-9828-93858F14177E}</x14:id>
        </ext>
      </extLst>
    </cfRule>
  </conditionalFormatting>
  <conditionalFormatting sqref="V3:V1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{60409664-8376-463A-8752-68F639962300}</x14:id>
        </ext>
      </extLst>
    </cfRule>
  </conditionalFormatting>
  <pageMargins left="0.7" right="0.7" top="0.75" bottom="0.75" header="0.3" footer="0.3"/>
  <pageSetup paperSize="9" orientation="portrait" horizontalDpi="1200" verticalDpi="1200"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0467ABE-F92B-445F-9968-E6BD6C08EB07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AM29</xm:sqref>
        </x14:conditionalFormatting>
        <x14:conditionalFormatting xmlns:xm="http://schemas.microsoft.com/office/excel/2006/main">
          <x14:cfRule type="dataBar" id="{05B0AB2F-3337-4706-883B-DD2C21EB1C17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U21:V21 U19:V19 U17:V17</xm:sqref>
        </x14:conditionalFormatting>
        <x14:conditionalFormatting xmlns:xm="http://schemas.microsoft.com/office/excel/2006/main">
          <x14:cfRule type="dataBar" id="{49AE29AF-AD81-4C23-86A4-DA58ED5D461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V19 V21 V17</xm:sqref>
        </x14:conditionalFormatting>
        <x14:conditionalFormatting xmlns:xm="http://schemas.microsoft.com/office/excel/2006/main">
          <x14:cfRule type="dataBar" id="{ADAFB175-4217-45CC-814C-D5FEEC9F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DD79989D-D722-4454-B2B8-549BD999488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AP17</xm:sqref>
        </x14:conditionalFormatting>
        <x14:conditionalFormatting xmlns:xm="http://schemas.microsoft.com/office/excel/2006/main">
          <x14:cfRule type="dataBar" id="{61441FE3-20F8-4112-AC38-D976CB3EABF1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05A38E4F-E527-47B8-A51D-3BA657142ADA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AP21</xm:sqref>
        </x14:conditionalFormatting>
        <x14:conditionalFormatting xmlns:xm="http://schemas.microsoft.com/office/excel/2006/main">
          <x14:cfRule type="dataBar" id="{DFA2F8E9-2D41-4594-95C5-F936297CDF8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U20:V20</xm:sqref>
        </x14:conditionalFormatting>
        <x14:conditionalFormatting xmlns:xm="http://schemas.microsoft.com/office/excel/2006/main">
          <x14:cfRule type="dataBar" id="{67415886-FF6D-4AEB-9E44-8DF7F51C7BED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V20</xm:sqref>
        </x14:conditionalFormatting>
        <x14:conditionalFormatting xmlns:xm="http://schemas.microsoft.com/office/excel/2006/main">
          <x14:cfRule type="dataBar" id="{C1E51F02-D6A1-442E-80E8-C9EBCAA8A2F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AP23 AP3:AP14</xm:sqref>
        </x14:conditionalFormatting>
        <x14:conditionalFormatting xmlns:xm="http://schemas.microsoft.com/office/excel/2006/main">
          <x14:cfRule type="dataBar" id="{036A1FA5-366D-4A84-826F-ABD785EC95E4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AE23 AE17 AE3:AE14</xm:sqref>
        </x14:conditionalFormatting>
        <x14:conditionalFormatting xmlns:xm="http://schemas.microsoft.com/office/excel/2006/main">
          <x14:cfRule type="dataBar" id="{1CDA4702-2C76-4A77-A816-AA4C3D60E890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AL19:AL20 AL23 AL3:AL14</xm:sqref>
        </x14:conditionalFormatting>
        <x14:conditionalFormatting xmlns:xm="http://schemas.microsoft.com/office/excel/2006/main">
          <x14:cfRule type="dataBar" id="{365063A7-1E3F-4D25-887B-0E41093A4AB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AM23:AN23 AM19:AN20 AM3:AN14</xm:sqref>
        </x14:conditionalFormatting>
        <x14:conditionalFormatting xmlns:xm="http://schemas.microsoft.com/office/excel/2006/main">
          <x14:cfRule type="dataBar" id="{4F6506DA-57A0-433D-8EE6-D398F6D74D43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AP19:AP20 AP3:AP14</xm:sqref>
        </x14:conditionalFormatting>
        <x14:conditionalFormatting xmlns:xm="http://schemas.microsoft.com/office/excel/2006/main">
          <x14:cfRule type="dataBar" id="{5A84C719-BC3A-4C72-9D72-2A4893F171E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AE19:AE21 AE17 AE3:AE14</xm:sqref>
        </x14:conditionalFormatting>
        <x14:conditionalFormatting xmlns:xm="http://schemas.microsoft.com/office/excel/2006/main">
          <x14:cfRule type="dataBar" id="{FE316CD6-2F0A-4218-BBE8-328FEDD6EFCE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AP15:AP16</xm:sqref>
        </x14:conditionalFormatting>
        <x14:conditionalFormatting xmlns:xm="http://schemas.microsoft.com/office/excel/2006/main">
          <x14:cfRule type="dataBar" id="{5B90552E-8168-4653-853A-F3E3E477538F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AE15:AE16</xm:sqref>
        </x14:conditionalFormatting>
        <x14:conditionalFormatting xmlns:xm="http://schemas.microsoft.com/office/excel/2006/main">
          <x14:cfRule type="dataBar" id="{CF0D76C5-B3D2-4D8A-ABFF-BFFF5E4203E5}">
            <x14:dataBar minLength="0" maxLength="100" border="1" negativeBarBorderColorSameAsPositive="0">
              <x14:cfvo type="autoMin"/>
              <x14:cfvo type="autoMax"/>
              <x14:borderColor rgb="FF638EC6"/>
              <x14:negativeFillColor rgb="FFFF0000"/>
              <x14:negativeBorderColor rgb="FFFF0000"/>
              <x14:axisColor rgb="FF000000"/>
            </x14:dataBar>
          </x14:cfRule>
          <xm:sqref>AL15:AL16</xm:sqref>
        </x14:conditionalFormatting>
        <x14:conditionalFormatting xmlns:xm="http://schemas.microsoft.com/office/excel/2006/main">
          <x14:cfRule type="dataBar" id="{C28C1DF7-3D10-44E7-A105-B8DC88CEB5E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AM15:AN16</xm:sqref>
        </x14:conditionalFormatting>
        <x14:conditionalFormatting xmlns:xm="http://schemas.microsoft.com/office/excel/2006/main">
          <x14:cfRule type="dataBar" id="{79E61D71-B25B-4B3C-9828-93858F14177E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U3:V16</xm:sqref>
        </x14:conditionalFormatting>
        <x14:conditionalFormatting xmlns:xm="http://schemas.microsoft.com/office/excel/2006/main">
          <x14:cfRule type="dataBar" id="{60409664-8376-463A-8752-68F639962300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V3:V16</xm:sqref>
        </x14:conditionalFormatting>
      </x14:conditionalFormatting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FE11C1-A05F-46AB-ABF1-F640C833F5A5}">
  <dimension ref="A1"/>
  <sheetViews>
    <sheetView workbookViewId="0">
      <selection activeCell="J12" sqref="J12"/>
    </sheetView>
  </sheetViews>
  <sheetFormatPr defaultRowHeight="14.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33FDE-04DF-49E4-ADBB-8489F961BB5A}">
  <dimension ref="A1:P167"/>
  <sheetViews>
    <sheetView workbookViewId="0">
      <selection activeCell="D7" sqref="D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1355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85</v>
      </c>
      <c r="B3" s="176">
        <v>46054</v>
      </c>
      <c r="C3" s="172" t="s">
        <v>109</v>
      </c>
      <c r="D3" s="172" t="s">
        <v>110</v>
      </c>
      <c r="E3" s="172" t="s">
        <v>85</v>
      </c>
      <c r="F3" s="172" t="s">
        <v>85</v>
      </c>
      <c r="G3" s="172" t="s">
        <v>1356</v>
      </c>
      <c r="H3" s="177">
        <v>0</v>
      </c>
      <c r="I3" s="178">
        <v>0</v>
      </c>
      <c r="J3" s="176">
        <v>46054</v>
      </c>
      <c r="K3" s="172" t="s">
        <v>85</v>
      </c>
      <c r="L3" s="172" t="s">
        <v>85</v>
      </c>
      <c r="M3" s="179">
        <v>0</v>
      </c>
      <c r="N3" s="177"/>
      <c r="O3" s="177"/>
      <c r="P3" s="180">
        <v>-150</v>
      </c>
    </row>
    <row r="4" spans="1:16" ht="19.5" customHeight="1">
      <c r="A4" s="172" t="s">
        <v>1357</v>
      </c>
      <c r="B4" s="176">
        <v>46054</v>
      </c>
      <c r="C4" s="172" t="s">
        <v>92</v>
      </c>
      <c r="D4" s="172" t="s">
        <v>24</v>
      </c>
      <c r="E4" s="172" t="s">
        <v>53</v>
      </c>
      <c r="F4" s="172" t="s">
        <v>120</v>
      </c>
      <c r="G4" s="172" t="s">
        <v>84</v>
      </c>
      <c r="H4" s="177">
        <v>1</v>
      </c>
      <c r="I4" s="178">
        <v>1812</v>
      </c>
      <c r="J4" s="176">
        <v>46049</v>
      </c>
      <c r="K4" s="172" t="s">
        <v>93</v>
      </c>
      <c r="L4" s="172" t="s">
        <v>94</v>
      </c>
      <c r="M4" s="179">
        <v>0.43</v>
      </c>
      <c r="N4" s="177"/>
      <c r="O4" s="177">
        <v>45</v>
      </c>
      <c r="P4" s="180">
        <v>-154.32</v>
      </c>
    </row>
    <row r="5" spans="1:16" ht="19.5" customHeight="1">
      <c r="A5" s="172" t="s">
        <v>1357</v>
      </c>
      <c r="B5" s="176">
        <v>46054</v>
      </c>
      <c r="C5" s="172" t="s">
        <v>100</v>
      </c>
      <c r="D5" s="172" t="s">
        <v>101</v>
      </c>
      <c r="E5" s="172" t="s">
        <v>53</v>
      </c>
      <c r="F5" s="172" t="s">
        <v>120</v>
      </c>
      <c r="G5" s="172" t="s">
        <v>84</v>
      </c>
      <c r="H5" s="177">
        <v>1</v>
      </c>
      <c r="I5" s="178">
        <v>1812</v>
      </c>
      <c r="J5" s="176">
        <v>46049</v>
      </c>
      <c r="K5" s="172" t="s">
        <v>93</v>
      </c>
      <c r="L5" s="172" t="s">
        <v>94</v>
      </c>
      <c r="M5" s="179">
        <v>0</v>
      </c>
      <c r="N5" s="177"/>
      <c r="O5" s="177"/>
      <c r="P5" s="180">
        <v>631.42999999999995</v>
      </c>
    </row>
    <row r="6" spans="1:16" ht="19.5" customHeight="1">
      <c r="A6" s="172" t="s">
        <v>1357</v>
      </c>
      <c r="B6" s="176">
        <v>46054</v>
      </c>
      <c r="C6" s="172" t="s">
        <v>100</v>
      </c>
      <c r="D6" s="172" t="s">
        <v>102</v>
      </c>
      <c r="E6" s="172" t="s">
        <v>53</v>
      </c>
      <c r="F6" s="172" t="s">
        <v>120</v>
      </c>
      <c r="G6" s="172" t="s">
        <v>84</v>
      </c>
      <c r="H6" s="177">
        <v>1</v>
      </c>
      <c r="I6" s="178">
        <v>1812</v>
      </c>
      <c r="J6" s="176">
        <v>46049</v>
      </c>
      <c r="K6" s="172" t="s">
        <v>93</v>
      </c>
      <c r="L6" s="172" t="s">
        <v>94</v>
      </c>
      <c r="M6" s="179">
        <v>0</v>
      </c>
      <c r="N6" s="177"/>
      <c r="O6" s="177"/>
      <c r="P6" s="180">
        <v>6.31</v>
      </c>
    </row>
    <row r="7" spans="1:16" ht="19.5" customHeight="1">
      <c r="A7" s="172" t="s">
        <v>1357</v>
      </c>
      <c r="B7" s="176">
        <v>46054</v>
      </c>
      <c r="C7" s="172" t="s">
        <v>100</v>
      </c>
      <c r="D7" s="172" t="s">
        <v>103</v>
      </c>
      <c r="E7" s="172" t="s">
        <v>53</v>
      </c>
      <c r="F7" s="172" t="s">
        <v>120</v>
      </c>
      <c r="G7" s="172" t="s">
        <v>84</v>
      </c>
      <c r="H7" s="177">
        <v>1</v>
      </c>
      <c r="I7" s="178">
        <v>1812</v>
      </c>
      <c r="J7" s="176">
        <v>46049</v>
      </c>
      <c r="K7" s="172" t="s">
        <v>93</v>
      </c>
      <c r="L7" s="172" t="s">
        <v>94</v>
      </c>
      <c r="M7" s="179">
        <v>0</v>
      </c>
      <c r="N7" s="177"/>
      <c r="O7" s="177"/>
      <c r="P7" s="180">
        <v>1174.26</v>
      </c>
    </row>
    <row r="8" spans="1:16" ht="19.5" customHeight="1">
      <c r="A8" s="172" t="s">
        <v>1357</v>
      </c>
      <c r="B8" s="176">
        <v>46054</v>
      </c>
      <c r="C8" s="172" t="s">
        <v>104</v>
      </c>
      <c r="D8" s="172" t="s">
        <v>105</v>
      </c>
      <c r="E8" s="172" t="s">
        <v>53</v>
      </c>
      <c r="F8" s="172" t="s">
        <v>120</v>
      </c>
      <c r="G8" s="172" t="s">
        <v>84</v>
      </c>
      <c r="H8" s="177">
        <v>1</v>
      </c>
      <c r="I8" s="178">
        <v>1812</v>
      </c>
      <c r="J8" s="176">
        <v>46049</v>
      </c>
      <c r="K8" s="172" t="s">
        <v>93</v>
      </c>
      <c r="L8" s="172" t="s">
        <v>94</v>
      </c>
      <c r="M8" s="179">
        <v>0.43</v>
      </c>
      <c r="N8" s="177"/>
      <c r="O8" s="177"/>
      <c r="P8" s="180">
        <v>-779.16</v>
      </c>
    </row>
    <row r="9" spans="1:16" ht="19.5" customHeight="1">
      <c r="A9" s="172" t="s">
        <v>1357</v>
      </c>
      <c r="B9" s="176">
        <v>46054</v>
      </c>
      <c r="C9" s="172" t="s">
        <v>81</v>
      </c>
      <c r="D9" s="172" t="s">
        <v>95</v>
      </c>
      <c r="E9" s="172" t="s">
        <v>53</v>
      </c>
      <c r="F9" s="172" t="s">
        <v>120</v>
      </c>
      <c r="G9" s="172" t="s">
        <v>84</v>
      </c>
      <c r="H9" s="177">
        <v>1</v>
      </c>
      <c r="I9" s="178">
        <v>1812</v>
      </c>
      <c r="J9" s="176">
        <v>46049</v>
      </c>
      <c r="K9" s="172" t="s">
        <v>93</v>
      </c>
      <c r="L9" s="172" t="s">
        <v>94</v>
      </c>
      <c r="M9" s="179">
        <v>0.43</v>
      </c>
      <c r="N9" s="177"/>
      <c r="O9" s="177"/>
      <c r="P9" s="180">
        <v>-25</v>
      </c>
    </row>
    <row r="10" spans="1:16" ht="19.5" customHeight="1">
      <c r="A10" s="172" t="s">
        <v>1357</v>
      </c>
      <c r="B10" s="176">
        <v>46054</v>
      </c>
      <c r="C10" s="172" t="s">
        <v>81</v>
      </c>
      <c r="D10" s="172" t="s">
        <v>82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46049</v>
      </c>
      <c r="K10" s="172" t="s">
        <v>85</v>
      </c>
      <c r="L10" s="172" t="s">
        <v>85</v>
      </c>
      <c r="M10" s="179">
        <v>0</v>
      </c>
      <c r="N10" s="177"/>
      <c r="O10" s="177"/>
      <c r="P10" s="180">
        <v>-12</v>
      </c>
    </row>
    <row r="11" spans="1:16" ht="19.5" customHeight="1">
      <c r="A11" s="172" t="s">
        <v>1358</v>
      </c>
      <c r="B11" s="176">
        <v>46054</v>
      </c>
      <c r="C11" s="172" t="s">
        <v>92</v>
      </c>
      <c r="D11" s="172" t="s">
        <v>24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1800</v>
      </c>
      <c r="J11" s="176">
        <v>46046</v>
      </c>
      <c r="K11" s="172" t="s">
        <v>93</v>
      </c>
      <c r="L11" s="172" t="s">
        <v>94</v>
      </c>
      <c r="M11" s="179">
        <v>0.43</v>
      </c>
      <c r="N11" s="177"/>
      <c r="O11" s="177">
        <v>40</v>
      </c>
      <c r="P11" s="180">
        <v>-131.88</v>
      </c>
    </row>
    <row r="12" spans="1:16" ht="19.5" customHeight="1">
      <c r="A12" s="172" t="s">
        <v>1358</v>
      </c>
      <c r="B12" s="176">
        <v>46054</v>
      </c>
      <c r="C12" s="172" t="s">
        <v>100</v>
      </c>
      <c r="D12" s="172" t="s">
        <v>101</v>
      </c>
      <c r="E12" s="172" t="s">
        <v>52</v>
      </c>
      <c r="F12" s="172" t="s">
        <v>90</v>
      </c>
      <c r="G12" s="172" t="s">
        <v>84</v>
      </c>
      <c r="H12" s="177">
        <v>1</v>
      </c>
      <c r="I12" s="178">
        <v>1800</v>
      </c>
      <c r="J12" s="176">
        <v>46046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690.77</v>
      </c>
    </row>
    <row r="13" spans="1:16" ht="19.5" customHeight="1">
      <c r="A13" s="172" t="s">
        <v>1358</v>
      </c>
      <c r="B13" s="176">
        <v>46054</v>
      </c>
      <c r="C13" s="172" t="s">
        <v>100</v>
      </c>
      <c r="D13" s="172" t="s">
        <v>102</v>
      </c>
      <c r="E13" s="172" t="s">
        <v>52</v>
      </c>
      <c r="F13" s="172" t="s">
        <v>90</v>
      </c>
      <c r="G13" s="172" t="s">
        <v>84</v>
      </c>
      <c r="H13" s="177">
        <v>1</v>
      </c>
      <c r="I13" s="178">
        <v>1800</v>
      </c>
      <c r="J13" s="176">
        <v>46046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6.91</v>
      </c>
    </row>
    <row r="14" spans="1:16" ht="19.5" customHeight="1">
      <c r="A14" s="172" t="s">
        <v>1358</v>
      </c>
      <c r="B14" s="176">
        <v>46054</v>
      </c>
      <c r="C14" s="172" t="s">
        <v>100</v>
      </c>
      <c r="D14" s="172" t="s">
        <v>103</v>
      </c>
      <c r="E14" s="172" t="s">
        <v>52</v>
      </c>
      <c r="F14" s="172" t="s">
        <v>90</v>
      </c>
      <c r="G14" s="172" t="s">
        <v>84</v>
      </c>
      <c r="H14" s="177">
        <v>1</v>
      </c>
      <c r="I14" s="178">
        <v>1800</v>
      </c>
      <c r="J14" s="176">
        <v>46046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1102.32</v>
      </c>
    </row>
    <row r="15" spans="1:16" ht="19.5" customHeight="1">
      <c r="A15" s="172" t="s">
        <v>1358</v>
      </c>
      <c r="B15" s="176">
        <v>46054</v>
      </c>
      <c r="C15" s="172" t="s">
        <v>104</v>
      </c>
      <c r="D15" s="172" t="s">
        <v>105</v>
      </c>
      <c r="E15" s="172" t="s">
        <v>52</v>
      </c>
      <c r="F15" s="172" t="s">
        <v>90</v>
      </c>
      <c r="G15" s="172" t="s">
        <v>84</v>
      </c>
      <c r="H15" s="177">
        <v>1</v>
      </c>
      <c r="I15" s="178">
        <v>1800</v>
      </c>
      <c r="J15" s="176">
        <v>46046</v>
      </c>
      <c r="K15" s="172" t="s">
        <v>93</v>
      </c>
      <c r="L15" s="172" t="s">
        <v>94</v>
      </c>
      <c r="M15" s="179">
        <v>0.43</v>
      </c>
      <c r="N15" s="177"/>
      <c r="O15" s="177"/>
      <c r="P15" s="180">
        <v>-774</v>
      </c>
    </row>
    <row r="16" spans="1:16" ht="19.5" customHeight="1">
      <c r="A16" s="172" t="s">
        <v>1358</v>
      </c>
      <c r="B16" s="176">
        <v>46054</v>
      </c>
      <c r="C16" s="172" t="s">
        <v>81</v>
      </c>
      <c r="D16" s="172" t="s">
        <v>95</v>
      </c>
      <c r="E16" s="172" t="s">
        <v>52</v>
      </c>
      <c r="F16" s="172" t="s">
        <v>90</v>
      </c>
      <c r="G16" s="172" t="s">
        <v>84</v>
      </c>
      <c r="H16" s="177">
        <v>1</v>
      </c>
      <c r="I16" s="178">
        <v>1800</v>
      </c>
      <c r="J16" s="176">
        <v>46046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-9.48</v>
      </c>
    </row>
    <row r="17" spans="1:16" ht="19.5" customHeight="1">
      <c r="A17" s="172" t="s">
        <v>1359</v>
      </c>
      <c r="B17" s="176">
        <v>46054</v>
      </c>
      <c r="C17" s="172" t="s">
        <v>81</v>
      </c>
      <c r="D17" s="172" t="s">
        <v>82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46054</v>
      </c>
      <c r="K17" s="172" t="s">
        <v>85</v>
      </c>
      <c r="L17" s="172" t="s">
        <v>85</v>
      </c>
      <c r="M17" s="179">
        <v>0</v>
      </c>
      <c r="N17" s="177"/>
      <c r="O17" s="177"/>
      <c r="P17" s="180">
        <v>-4.63</v>
      </c>
    </row>
    <row r="18" spans="1:16" ht="19.5" customHeight="1">
      <c r="A18" s="172" t="s">
        <v>1338</v>
      </c>
      <c r="B18" s="176">
        <v>46054</v>
      </c>
      <c r="C18" s="172" t="s">
        <v>166</v>
      </c>
      <c r="D18" s="172" t="s">
        <v>167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-1750</v>
      </c>
      <c r="J18" s="176">
        <v>46052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-623.80999999999995</v>
      </c>
    </row>
    <row r="19" spans="1:16" ht="19.5" customHeight="1">
      <c r="A19" s="172" t="s">
        <v>1338</v>
      </c>
      <c r="B19" s="176">
        <v>46054</v>
      </c>
      <c r="C19" s="172" t="s">
        <v>166</v>
      </c>
      <c r="D19" s="172" t="s">
        <v>102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-1750</v>
      </c>
      <c r="J19" s="176">
        <v>46052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-6.24</v>
      </c>
    </row>
    <row r="20" spans="1:16" ht="19.5" customHeight="1">
      <c r="A20" s="172" t="s">
        <v>1338</v>
      </c>
      <c r="B20" s="176">
        <v>46054</v>
      </c>
      <c r="C20" s="172" t="s">
        <v>166</v>
      </c>
      <c r="D20" s="172" t="s">
        <v>103</v>
      </c>
      <c r="E20" s="172" t="s">
        <v>42</v>
      </c>
      <c r="F20" s="172" t="s">
        <v>89</v>
      </c>
      <c r="G20" s="172" t="s">
        <v>84</v>
      </c>
      <c r="H20" s="177">
        <v>1</v>
      </c>
      <c r="I20" s="178">
        <v>-1750</v>
      </c>
      <c r="J20" s="176">
        <v>46052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-1119.95</v>
      </c>
    </row>
    <row r="21" spans="1:16" ht="19.5" customHeight="1">
      <c r="A21" s="172" t="s">
        <v>1338</v>
      </c>
      <c r="B21" s="176">
        <v>46054</v>
      </c>
      <c r="C21" s="172" t="s">
        <v>104</v>
      </c>
      <c r="D21" s="172" t="s">
        <v>168</v>
      </c>
      <c r="E21" s="172" t="s">
        <v>42</v>
      </c>
      <c r="F21" s="172" t="s">
        <v>89</v>
      </c>
      <c r="G21" s="172" t="s">
        <v>84</v>
      </c>
      <c r="H21" s="177">
        <v>1</v>
      </c>
      <c r="I21" s="178">
        <v>-1750</v>
      </c>
      <c r="J21" s="176">
        <v>46052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752.5</v>
      </c>
    </row>
    <row r="22" spans="1:16" ht="19.5" customHeight="1">
      <c r="A22" s="172" t="s">
        <v>1338</v>
      </c>
      <c r="B22" s="176">
        <v>46054</v>
      </c>
      <c r="C22" s="172" t="s">
        <v>81</v>
      </c>
      <c r="D22" s="172" t="s">
        <v>82</v>
      </c>
      <c r="E22" s="172" t="s">
        <v>42</v>
      </c>
      <c r="F22" s="172" t="s">
        <v>89</v>
      </c>
      <c r="G22" s="172" t="s">
        <v>84</v>
      </c>
      <c r="H22" s="177">
        <v>1</v>
      </c>
      <c r="I22" s="178">
        <v>0</v>
      </c>
      <c r="J22" s="176">
        <v>46052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11.85</v>
      </c>
    </row>
    <row r="23" spans="1:16" ht="19.5" customHeight="1">
      <c r="A23" s="172" t="s">
        <v>1360</v>
      </c>
      <c r="B23" s="176">
        <v>46054</v>
      </c>
      <c r="C23" s="172" t="s">
        <v>92</v>
      </c>
      <c r="D23" s="172" t="s">
        <v>24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1812</v>
      </c>
      <c r="J23" s="176">
        <v>46052</v>
      </c>
      <c r="K23" s="172" t="s">
        <v>93</v>
      </c>
      <c r="L23" s="172" t="s">
        <v>94</v>
      </c>
      <c r="M23" s="179">
        <v>0.43</v>
      </c>
      <c r="N23" s="177"/>
      <c r="O23" s="177">
        <v>44</v>
      </c>
      <c r="P23" s="180">
        <v>-149.88999999999999</v>
      </c>
    </row>
    <row r="24" spans="1:16" ht="19.5" customHeight="1">
      <c r="A24" s="172" t="s">
        <v>1360</v>
      </c>
      <c r="B24" s="176">
        <v>46054</v>
      </c>
      <c r="C24" s="172" t="s">
        <v>100</v>
      </c>
      <c r="D24" s="172" t="s">
        <v>101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1812</v>
      </c>
      <c r="J24" s="176">
        <v>46052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628.44000000000005</v>
      </c>
    </row>
    <row r="25" spans="1:16" ht="19.5" customHeight="1">
      <c r="A25" s="172" t="s">
        <v>1360</v>
      </c>
      <c r="B25" s="176">
        <v>46054</v>
      </c>
      <c r="C25" s="172" t="s">
        <v>100</v>
      </c>
      <c r="D25" s="172" t="s">
        <v>102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1812</v>
      </c>
      <c r="J25" s="176">
        <v>46052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6.28</v>
      </c>
    </row>
    <row r="26" spans="1:16" ht="19.5" customHeight="1">
      <c r="A26" s="172" t="s">
        <v>1360</v>
      </c>
      <c r="B26" s="176">
        <v>46054</v>
      </c>
      <c r="C26" s="172" t="s">
        <v>100</v>
      </c>
      <c r="D26" s="172" t="s">
        <v>103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1812</v>
      </c>
      <c r="J26" s="176">
        <v>46052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1177.28</v>
      </c>
    </row>
    <row r="27" spans="1:16" ht="19.5" customHeight="1">
      <c r="A27" s="172" t="s">
        <v>1360</v>
      </c>
      <c r="B27" s="176">
        <v>46054</v>
      </c>
      <c r="C27" s="172" t="s">
        <v>104</v>
      </c>
      <c r="D27" s="172" t="s">
        <v>105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1812</v>
      </c>
      <c r="J27" s="176">
        <v>46052</v>
      </c>
      <c r="K27" s="172" t="s">
        <v>93</v>
      </c>
      <c r="L27" s="172" t="s">
        <v>94</v>
      </c>
      <c r="M27" s="179">
        <v>0.43</v>
      </c>
      <c r="N27" s="177"/>
      <c r="O27" s="177"/>
      <c r="P27" s="180">
        <v>-779.16</v>
      </c>
    </row>
    <row r="28" spans="1:16" ht="19.5" customHeight="1">
      <c r="A28" s="172" t="s">
        <v>1360</v>
      </c>
      <c r="B28" s="176">
        <v>46054</v>
      </c>
      <c r="C28" s="172" t="s">
        <v>81</v>
      </c>
      <c r="D28" s="172" t="s">
        <v>95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1812</v>
      </c>
      <c r="J28" s="176">
        <v>46052</v>
      </c>
      <c r="K28" s="172" t="s">
        <v>93</v>
      </c>
      <c r="L28" s="172" t="s">
        <v>94</v>
      </c>
      <c r="M28" s="179">
        <v>0.43</v>
      </c>
      <c r="N28" s="177"/>
      <c r="O28" s="177"/>
      <c r="P28" s="180">
        <v>-11.61</v>
      </c>
    </row>
    <row r="29" spans="1:16" ht="19.5" customHeight="1">
      <c r="A29" s="172" t="s">
        <v>1361</v>
      </c>
      <c r="B29" s="176">
        <v>46054</v>
      </c>
      <c r="C29" s="172" t="s">
        <v>92</v>
      </c>
      <c r="D29" s="172" t="s">
        <v>24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1750</v>
      </c>
      <c r="J29" s="176">
        <v>46051</v>
      </c>
      <c r="K29" s="172" t="s">
        <v>93</v>
      </c>
      <c r="L29" s="172" t="s">
        <v>94</v>
      </c>
      <c r="M29" s="179">
        <v>0.43</v>
      </c>
      <c r="N29" s="177"/>
      <c r="O29" s="177">
        <v>44</v>
      </c>
      <c r="P29" s="180">
        <v>-131.37</v>
      </c>
    </row>
    <row r="30" spans="1:16" ht="19.5" customHeight="1">
      <c r="A30" s="172" t="s">
        <v>1361</v>
      </c>
      <c r="B30" s="176">
        <v>46054</v>
      </c>
      <c r="C30" s="172" t="s">
        <v>100</v>
      </c>
      <c r="D30" s="172" t="s">
        <v>101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1750</v>
      </c>
      <c r="J30" s="176">
        <v>46051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609.52</v>
      </c>
    </row>
    <row r="31" spans="1:16" ht="19.5" customHeight="1">
      <c r="A31" s="172" t="s">
        <v>1361</v>
      </c>
      <c r="B31" s="176">
        <v>46054</v>
      </c>
      <c r="C31" s="172" t="s">
        <v>100</v>
      </c>
      <c r="D31" s="172" t="s">
        <v>102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1750</v>
      </c>
      <c r="J31" s="176">
        <v>46051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6.1</v>
      </c>
    </row>
    <row r="32" spans="1:16" ht="19.5" customHeight="1">
      <c r="A32" s="172" t="s">
        <v>1361</v>
      </c>
      <c r="B32" s="176">
        <v>46054</v>
      </c>
      <c r="C32" s="172" t="s">
        <v>100</v>
      </c>
      <c r="D32" s="172" t="s">
        <v>103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1750</v>
      </c>
      <c r="J32" s="176">
        <v>46051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1134.3800000000001</v>
      </c>
    </row>
    <row r="33" spans="1:16" ht="19.5" customHeight="1">
      <c r="A33" s="172" t="s">
        <v>1361</v>
      </c>
      <c r="B33" s="176">
        <v>46054</v>
      </c>
      <c r="C33" s="172" t="s">
        <v>104</v>
      </c>
      <c r="D33" s="172" t="s">
        <v>105</v>
      </c>
      <c r="E33" s="172" t="s">
        <v>42</v>
      </c>
      <c r="F33" s="172" t="s">
        <v>89</v>
      </c>
      <c r="G33" s="172" t="s">
        <v>84</v>
      </c>
      <c r="H33" s="177">
        <v>1</v>
      </c>
      <c r="I33" s="178">
        <v>1750</v>
      </c>
      <c r="J33" s="176">
        <v>46051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-752.5</v>
      </c>
    </row>
    <row r="34" spans="1:16" ht="19.5" customHeight="1">
      <c r="A34" s="172" t="s">
        <v>1361</v>
      </c>
      <c r="B34" s="176">
        <v>46054</v>
      </c>
      <c r="C34" s="172" t="s">
        <v>81</v>
      </c>
      <c r="D34" s="172" t="s">
        <v>95</v>
      </c>
      <c r="E34" s="172" t="s">
        <v>42</v>
      </c>
      <c r="F34" s="172" t="s">
        <v>89</v>
      </c>
      <c r="G34" s="172" t="s">
        <v>84</v>
      </c>
      <c r="H34" s="177">
        <v>1</v>
      </c>
      <c r="I34" s="178">
        <v>1750</v>
      </c>
      <c r="J34" s="176">
        <v>46051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-23.21</v>
      </c>
    </row>
    <row r="35" spans="1:16" ht="19.5" customHeight="1">
      <c r="A35" s="172" t="s">
        <v>1362</v>
      </c>
      <c r="B35" s="176">
        <v>46054</v>
      </c>
      <c r="C35" s="172" t="s">
        <v>92</v>
      </c>
      <c r="D35" s="172" t="s">
        <v>24</v>
      </c>
      <c r="E35" s="172" t="s">
        <v>57</v>
      </c>
      <c r="F35" s="172" t="s">
        <v>1265</v>
      </c>
      <c r="G35" s="172" t="s">
        <v>84</v>
      </c>
      <c r="H35" s="177">
        <v>1</v>
      </c>
      <c r="I35" s="178">
        <v>2000</v>
      </c>
      <c r="J35" s="176">
        <v>46052</v>
      </c>
      <c r="K35" s="172" t="s">
        <v>93</v>
      </c>
      <c r="L35" s="172" t="s">
        <v>94</v>
      </c>
      <c r="M35" s="179">
        <v>0.43</v>
      </c>
      <c r="N35" s="177"/>
      <c r="O35" s="177">
        <v>44</v>
      </c>
      <c r="P35" s="180">
        <v>-155.81</v>
      </c>
    </row>
    <row r="36" spans="1:16" ht="19.5" customHeight="1">
      <c r="A36" s="172" t="s">
        <v>1362</v>
      </c>
      <c r="B36" s="176">
        <v>46054</v>
      </c>
      <c r="C36" s="172" t="s">
        <v>100</v>
      </c>
      <c r="D36" s="172" t="s">
        <v>101</v>
      </c>
      <c r="E36" s="172" t="s">
        <v>57</v>
      </c>
      <c r="F36" s="172" t="s">
        <v>1265</v>
      </c>
      <c r="G36" s="172" t="s">
        <v>84</v>
      </c>
      <c r="H36" s="177">
        <v>1</v>
      </c>
      <c r="I36" s="178">
        <v>2000</v>
      </c>
      <c r="J36" s="176">
        <v>46052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1169.52</v>
      </c>
    </row>
    <row r="37" spans="1:16" ht="19.5" customHeight="1">
      <c r="A37" s="172" t="s">
        <v>1362</v>
      </c>
      <c r="B37" s="176">
        <v>46054</v>
      </c>
      <c r="C37" s="172" t="s">
        <v>100</v>
      </c>
      <c r="D37" s="172" t="s">
        <v>102</v>
      </c>
      <c r="E37" s="172" t="s">
        <v>57</v>
      </c>
      <c r="F37" s="172" t="s">
        <v>1265</v>
      </c>
      <c r="G37" s="172" t="s">
        <v>84</v>
      </c>
      <c r="H37" s="177">
        <v>1</v>
      </c>
      <c r="I37" s="178">
        <v>2000</v>
      </c>
      <c r="J37" s="176">
        <v>46052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11.7</v>
      </c>
    </row>
    <row r="38" spans="1:16" ht="19.5" customHeight="1">
      <c r="A38" s="172" t="s">
        <v>1362</v>
      </c>
      <c r="B38" s="176">
        <v>46054</v>
      </c>
      <c r="C38" s="172" t="s">
        <v>100</v>
      </c>
      <c r="D38" s="172" t="s">
        <v>103</v>
      </c>
      <c r="E38" s="172" t="s">
        <v>57</v>
      </c>
      <c r="F38" s="172" t="s">
        <v>1265</v>
      </c>
      <c r="G38" s="172" t="s">
        <v>84</v>
      </c>
      <c r="H38" s="177">
        <v>1</v>
      </c>
      <c r="I38" s="178">
        <v>2000</v>
      </c>
      <c r="J38" s="176">
        <v>46052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818.78</v>
      </c>
    </row>
    <row r="39" spans="1:16" ht="19.5" customHeight="1">
      <c r="A39" s="172" t="s">
        <v>1362</v>
      </c>
      <c r="B39" s="176">
        <v>46054</v>
      </c>
      <c r="C39" s="172" t="s">
        <v>104</v>
      </c>
      <c r="D39" s="172" t="s">
        <v>105</v>
      </c>
      <c r="E39" s="172" t="s">
        <v>57</v>
      </c>
      <c r="F39" s="172" t="s">
        <v>1265</v>
      </c>
      <c r="G39" s="172" t="s">
        <v>84</v>
      </c>
      <c r="H39" s="177">
        <v>1</v>
      </c>
      <c r="I39" s="178">
        <v>2000</v>
      </c>
      <c r="J39" s="176">
        <v>46052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-860</v>
      </c>
    </row>
    <row r="40" spans="1:16" ht="19.5" customHeight="1">
      <c r="A40" s="172" t="s">
        <v>1360</v>
      </c>
      <c r="B40" s="176">
        <v>46054</v>
      </c>
      <c r="C40" s="172" t="s">
        <v>81</v>
      </c>
      <c r="D40" s="172" t="s">
        <v>82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46052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-11.94</v>
      </c>
    </row>
    <row r="41" spans="1:16" ht="19.5" customHeight="1">
      <c r="A41" s="172" t="s">
        <v>1363</v>
      </c>
      <c r="B41" s="176">
        <v>46054</v>
      </c>
      <c r="C41" s="172" t="s">
        <v>81</v>
      </c>
      <c r="D41" s="172" t="s">
        <v>82</v>
      </c>
      <c r="E41" s="172" t="s">
        <v>42</v>
      </c>
      <c r="F41" s="172" t="s">
        <v>89</v>
      </c>
      <c r="G41" s="172" t="s">
        <v>84</v>
      </c>
      <c r="H41" s="177">
        <v>1</v>
      </c>
      <c r="I41" s="178">
        <v>0</v>
      </c>
      <c r="J41" s="176">
        <v>46054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-11.64</v>
      </c>
    </row>
    <row r="42" spans="1:16" ht="19.5" customHeight="1">
      <c r="A42" s="172" t="s">
        <v>1364</v>
      </c>
      <c r="B42" s="176">
        <v>46054</v>
      </c>
      <c r="C42" s="172" t="s">
        <v>92</v>
      </c>
      <c r="D42" s="172" t="s">
        <v>24</v>
      </c>
      <c r="E42" s="172" t="s">
        <v>39</v>
      </c>
      <c r="F42" s="172" t="s">
        <v>117</v>
      </c>
      <c r="G42" s="172" t="s">
        <v>84</v>
      </c>
      <c r="H42" s="177">
        <v>1</v>
      </c>
      <c r="I42" s="178">
        <v>1750</v>
      </c>
      <c r="J42" s="176">
        <v>46047</v>
      </c>
      <c r="K42" s="172" t="s">
        <v>93</v>
      </c>
      <c r="L42" s="172" t="s">
        <v>94</v>
      </c>
      <c r="M42" s="179">
        <v>0.43</v>
      </c>
      <c r="N42" s="177"/>
      <c r="O42" s="177">
        <v>41</v>
      </c>
      <c r="P42" s="180">
        <v>-119.28</v>
      </c>
    </row>
    <row r="43" spans="1:16" ht="19.5" customHeight="1">
      <c r="A43" s="172" t="s">
        <v>1364</v>
      </c>
      <c r="B43" s="176">
        <v>46054</v>
      </c>
      <c r="C43" s="172" t="s">
        <v>100</v>
      </c>
      <c r="D43" s="172" t="s">
        <v>101</v>
      </c>
      <c r="E43" s="172" t="s">
        <v>39</v>
      </c>
      <c r="F43" s="172" t="s">
        <v>117</v>
      </c>
      <c r="G43" s="172" t="s">
        <v>84</v>
      </c>
      <c r="H43" s="177">
        <v>1</v>
      </c>
      <c r="I43" s="178">
        <v>1750</v>
      </c>
      <c r="J43" s="176">
        <v>46047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684.76</v>
      </c>
    </row>
    <row r="44" spans="1:16" ht="19.5" customHeight="1">
      <c r="A44" s="172" t="s">
        <v>1364</v>
      </c>
      <c r="B44" s="176">
        <v>46054</v>
      </c>
      <c r="C44" s="172" t="s">
        <v>100</v>
      </c>
      <c r="D44" s="172" t="s">
        <v>102</v>
      </c>
      <c r="E44" s="172" t="s">
        <v>39</v>
      </c>
      <c r="F44" s="172" t="s">
        <v>117</v>
      </c>
      <c r="G44" s="172" t="s">
        <v>84</v>
      </c>
      <c r="H44" s="177">
        <v>1</v>
      </c>
      <c r="I44" s="178">
        <v>1750</v>
      </c>
      <c r="J44" s="176">
        <v>46047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6.85</v>
      </c>
    </row>
    <row r="45" spans="1:16" ht="19.5" customHeight="1">
      <c r="A45" s="172" t="s">
        <v>1364</v>
      </c>
      <c r="B45" s="176">
        <v>46054</v>
      </c>
      <c r="C45" s="172" t="s">
        <v>100</v>
      </c>
      <c r="D45" s="172" t="s">
        <v>103</v>
      </c>
      <c r="E45" s="172" t="s">
        <v>39</v>
      </c>
      <c r="F45" s="172" t="s">
        <v>117</v>
      </c>
      <c r="G45" s="172" t="s">
        <v>84</v>
      </c>
      <c r="H45" s="177">
        <v>1</v>
      </c>
      <c r="I45" s="178">
        <v>1750</v>
      </c>
      <c r="J45" s="176">
        <v>46047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1058.3900000000001</v>
      </c>
    </row>
    <row r="46" spans="1:16" ht="19.5" customHeight="1">
      <c r="A46" s="172" t="s">
        <v>1364</v>
      </c>
      <c r="B46" s="176">
        <v>46054</v>
      </c>
      <c r="C46" s="172" t="s">
        <v>104</v>
      </c>
      <c r="D46" s="172" t="s">
        <v>105</v>
      </c>
      <c r="E46" s="172" t="s">
        <v>39</v>
      </c>
      <c r="F46" s="172" t="s">
        <v>117</v>
      </c>
      <c r="G46" s="172" t="s">
        <v>84</v>
      </c>
      <c r="H46" s="177">
        <v>1</v>
      </c>
      <c r="I46" s="178">
        <v>1750</v>
      </c>
      <c r="J46" s="176">
        <v>46047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-752.5</v>
      </c>
    </row>
    <row r="47" spans="1:16" ht="19.5" customHeight="1">
      <c r="A47" s="172" t="s">
        <v>1364</v>
      </c>
      <c r="B47" s="176">
        <v>46054</v>
      </c>
      <c r="C47" s="172" t="s">
        <v>81</v>
      </c>
      <c r="D47" s="172" t="s">
        <v>95</v>
      </c>
      <c r="E47" s="172" t="s">
        <v>39</v>
      </c>
      <c r="F47" s="172" t="s">
        <v>117</v>
      </c>
      <c r="G47" s="172" t="s">
        <v>84</v>
      </c>
      <c r="H47" s="177">
        <v>1</v>
      </c>
      <c r="I47" s="178">
        <v>1750</v>
      </c>
      <c r="J47" s="176">
        <v>46047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-11.92</v>
      </c>
    </row>
    <row r="48" spans="1:16" ht="19.5" customHeight="1">
      <c r="A48" s="172" t="s">
        <v>1365</v>
      </c>
      <c r="B48" s="176">
        <v>46054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0</v>
      </c>
      <c r="J48" s="176">
        <v>46035</v>
      </c>
      <c r="K48" s="172" t="s">
        <v>93</v>
      </c>
      <c r="L48" s="172" t="s">
        <v>94</v>
      </c>
      <c r="M48" s="179">
        <v>0</v>
      </c>
      <c r="N48" s="177"/>
      <c r="O48" s="177">
        <v>45</v>
      </c>
      <c r="P48" s="180">
        <v>-56</v>
      </c>
    </row>
    <row r="49" spans="1:16" ht="19.5" customHeight="1">
      <c r="A49" s="172" t="s">
        <v>1365</v>
      </c>
      <c r="B49" s="176">
        <v>46054</v>
      </c>
      <c r="C49" s="172" t="s">
        <v>81</v>
      </c>
      <c r="D49" s="172" t="s">
        <v>95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0</v>
      </c>
      <c r="J49" s="176">
        <v>46035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-10.23</v>
      </c>
    </row>
    <row r="50" spans="1:16" ht="19.5" customHeight="1">
      <c r="A50" s="172" t="s">
        <v>1365</v>
      </c>
      <c r="B50" s="176">
        <v>46054</v>
      </c>
      <c r="C50" s="172" t="s">
        <v>92</v>
      </c>
      <c r="D50" s="172" t="s">
        <v>96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46035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0</v>
      </c>
    </row>
    <row r="51" spans="1:16" ht="19.5" customHeight="1">
      <c r="A51" s="172" t="s">
        <v>1365</v>
      </c>
      <c r="B51" s="176">
        <v>46054</v>
      </c>
      <c r="C51" s="172" t="s">
        <v>92</v>
      </c>
      <c r="D51" s="172" t="s">
        <v>97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46035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-56</v>
      </c>
    </row>
    <row r="52" spans="1:16" ht="19.5" customHeight="1">
      <c r="A52" s="172" t="s">
        <v>1365</v>
      </c>
      <c r="B52" s="176">
        <v>46054</v>
      </c>
      <c r="C52" s="172" t="s">
        <v>81</v>
      </c>
      <c r="D52" s="172" t="s">
        <v>98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46035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-15</v>
      </c>
    </row>
    <row r="53" spans="1:16" ht="19.5" customHeight="1">
      <c r="A53" s="172" t="s">
        <v>1366</v>
      </c>
      <c r="B53" s="176">
        <v>46054</v>
      </c>
      <c r="C53" s="172" t="s">
        <v>92</v>
      </c>
      <c r="D53" s="172" t="s">
        <v>24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1800</v>
      </c>
      <c r="J53" s="176">
        <v>46048</v>
      </c>
      <c r="K53" s="172" t="s">
        <v>93</v>
      </c>
      <c r="L53" s="172" t="s">
        <v>94</v>
      </c>
      <c r="M53" s="179">
        <v>0.43</v>
      </c>
      <c r="N53" s="177"/>
      <c r="O53" s="177">
        <v>44</v>
      </c>
      <c r="P53" s="180">
        <v>-147.97999999999999</v>
      </c>
    </row>
    <row r="54" spans="1:16" ht="19.5" customHeight="1">
      <c r="A54" s="172" t="s">
        <v>1366</v>
      </c>
      <c r="B54" s="176">
        <v>46054</v>
      </c>
      <c r="C54" s="172" t="s">
        <v>100</v>
      </c>
      <c r="D54" s="172" t="s">
        <v>101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1800</v>
      </c>
      <c r="J54" s="176">
        <v>46048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742.86</v>
      </c>
    </row>
    <row r="55" spans="1:16" ht="19.5" customHeight="1">
      <c r="A55" s="172" t="s">
        <v>1366</v>
      </c>
      <c r="B55" s="176">
        <v>46054</v>
      </c>
      <c r="C55" s="172" t="s">
        <v>100</v>
      </c>
      <c r="D55" s="172" t="s">
        <v>102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1800</v>
      </c>
      <c r="J55" s="176">
        <v>46048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0</v>
      </c>
    </row>
    <row r="56" spans="1:16" ht="19.5" customHeight="1">
      <c r="A56" s="172" t="s">
        <v>1366</v>
      </c>
      <c r="B56" s="176">
        <v>46054</v>
      </c>
      <c r="C56" s="172" t="s">
        <v>100</v>
      </c>
      <c r="D56" s="172" t="s">
        <v>103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1800</v>
      </c>
      <c r="J56" s="176">
        <v>46048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1057.1400000000001</v>
      </c>
    </row>
    <row r="57" spans="1:16" ht="19.5" customHeight="1">
      <c r="A57" s="172" t="s">
        <v>1366</v>
      </c>
      <c r="B57" s="176">
        <v>46054</v>
      </c>
      <c r="C57" s="172" t="s">
        <v>104</v>
      </c>
      <c r="D57" s="172" t="s">
        <v>105</v>
      </c>
      <c r="E57" s="172" t="s">
        <v>52</v>
      </c>
      <c r="F57" s="172" t="s">
        <v>90</v>
      </c>
      <c r="G57" s="172" t="s">
        <v>84</v>
      </c>
      <c r="H57" s="177">
        <v>1</v>
      </c>
      <c r="I57" s="178">
        <v>1800</v>
      </c>
      <c r="J57" s="176">
        <v>46048</v>
      </c>
      <c r="K57" s="172" t="s">
        <v>93</v>
      </c>
      <c r="L57" s="172" t="s">
        <v>94</v>
      </c>
      <c r="M57" s="179">
        <v>0.43</v>
      </c>
      <c r="N57" s="177"/>
      <c r="O57" s="177"/>
      <c r="P57" s="180">
        <v>-774</v>
      </c>
    </row>
    <row r="58" spans="1:16" ht="19.5" customHeight="1">
      <c r="A58" s="172" t="s">
        <v>1366</v>
      </c>
      <c r="B58" s="176">
        <v>46054</v>
      </c>
      <c r="C58" s="172" t="s">
        <v>81</v>
      </c>
      <c r="D58" s="172" t="s">
        <v>95</v>
      </c>
      <c r="E58" s="172" t="s">
        <v>52</v>
      </c>
      <c r="F58" s="172" t="s">
        <v>90</v>
      </c>
      <c r="G58" s="172" t="s">
        <v>84</v>
      </c>
      <c r="H58" s="177">
        <v>1</v>
      </c>
      <c r="I58" s="178">
        <v>1800</v>
      </c>
      <c r="J58" s="176">
        <v>46048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-11.2</v>
      </c>
    </row>
    <row r="59" spans="1:16" ht="19.5" customHeight="1">
      <c r="A59" s="172" t="s">
        <v>1364</v>
      </c>
      <c r="B59" s="176">
        <v>46054</v>
      </c>
      <c r="C59" s="172" t="s">
        <v>81</v>
      </c>
      <c r="D59" s="172" t="s">
        <v>82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46047</v>
      </c>
      <c r="K59" s="172" t="s">
        <v>85</v>
      </c>
      <c r="L59" s="172" t="s">
        <v>85</v>
      </c>
      <c r="M59" s="179">
        <v>0</v>
      </c>
      <c r="N59" s="177"/>
      <c r="O59" s="177"/>
      <c r="P59" s="180">
        <v>-13.01</v>
      </c>
    </row>
    <row r="60" spans="1:16" ht="19.5" customHeight="1">
      <c r="A60" s="172" t="s">
        <v>1367</v>
      </c>
      <c r="B60" s="176">
        <v>46054</v>
      </c>
      <c r="C60" s="172" t="s">
        <v>92</v>
      </c>
      <c r="D60" s="172" t="s">
        <v>24</v>
      </c>
      <c r="E60" s="172" t="s">
        <v>43</v>
      </c>
      <c r="F60" s="172" t="s">
        <v>125</v>
      </c>
      <c r="G60" s="172" t="s">
        <v>84</v>
      </c>
      <c r="H60" s="177">
        <v>1</v>
      </c>
      <c r="I60" s="178">
        <v>1750</v>
      </c>
      <c r="J60" s="176">
        <v>46051</v>
      </c>
      <c r="K60" s="172" t="s">
        <v>93</v>
      </c>
      <c r="L60" s="172" t="s">
        <v>94</v>
      </c>
      <c r="M60" s="179">
        <v>0.43</v>
      </c>
      <c r="N60" s="177"/>
      <c r="O60" s="177">
        <v>44</v>
      </c>
      <c r="P60" s="180">
        <v>-131.37</v>
      </c>
    </row>
    <row r="61" spans="1:16" ht="19.5" customHeight="1">
      <c r="A61" s="172" t="s">
        <v>1367</v>
      </c>
      <c r="B61" s="176">
        <v>46054</v>
      </c>
      <c r="C61" s="172" t="s">
        <v>100</v>
      </c>
      <c r="D61" s="172" t="s">
        <v>101</v>
      </c>
      <c r="E61" s="172" t="s">
        <v>43</v>
      </c>
      <c r="F61" s="172" t="s">
        <v>125</v>
      </c>
      <c r="G61" s="172" t="s">
        <v>84</v>
      </c>
      <c r="H61" s="177">
        <v>1</v>
      </c>
      <c r="I61" s="178">
        <v>1750</v>
      </c>
      <c r="J61" s="176">
        <v>46051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608.94000000000005</v>
      </c>
    </row>
    <row r="62" spans="1:16" ht="19.5" customHeight="1">
      <c r="A62" s="172" t="s">
        <v>1367</v>
      </c>
      <c r="B62" s="176">
        <v>46054</v>
      </c>
      <c r="C62" s="172" t="s">
        <v>100</v>
      </c>
      <c r="D62" s="172" t="s">
        <v>102</v>
      </c>
      <c r="E62" s="172" t="s">
        <v>43</v>
      </c>
      <c r="F62" s="172" t="s">
        <v>125</v>
      </c>
      <c r="G62" s="172" t="s">
        <v>84</v>
      </c>
      <c r="H62" s="177">
        <v>1</v>
      </c>
      <c r="I62" s="178">
        <v>1750</v>
      </c>
      <c r="J62" s="176">
        <v>46051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6.09</v>
      </c>
    </row>
    <row r="63" spans="1:16" ht="19.5" customHeight="1">
      <c r="A63" s="172" t="s">
        <v>1367</v>
      </c>
      <c r="B63" s="176">
        <v>46054</v>
      </c>
      <c r="C63" s="172" t="s">
        <v>100</v>
      </c>
      <c r="D63" s="172" t="s">
        <v>103</v>
      </c>
      <c r="E63" s="172" t="s">
        <v>43</v>
      </c>
      <c r="F63" s="172" t="s">
        <v>125</v>
      </c>
      <c r="G63" s="172" t="s">
        <v>84</v>
      </c>
      <c r="H63" s="177">
        <v>1</v>
      </c>
      <c r="I63" s="178">
        <v>1750</v>
      </c>
      <c r="J63" s="176">
        <v>46051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1134.97</v>
      </c>
    </row>
    <row r="64" spans="1:16" ht="19.5" customHeight="1">
      <c r="A64" s="172" t="s">
        <v>1367</v>
      </c>
      <c r="B64" s="176">
        <v>46054</v>
      </c>
      <c r="C64" s="172" t="s">
        <v>104</v>
      </c>
      <c r="D64" s="172" t="s">
        <v>105</v>
      </c>
      <c r="E64" s="172" t="s">
        <v>43</v>
      </c>
      <c r="F64" s="172" t="s">
        <v>125</v>
      </c>
      <c r="G64" s="172" t="s">
        <v>84</v>
      </c>
      <c r="H64" s="177">
        <v>1</v>
      </c>
      <c r="I64" s="178">
        <v>1750</v>
      </c>
      <c r="J64" s="176">
        <v>46051</v>
      </c>
      <c r="K64" s="172" t="s">
        <v>93</v>
      </c>
      <c r="L64" s="172" t="s">
        <v>94</v>
      </c>
      <c r="M64" s="179">
        <v>0.43</v>
      </c>
      <c r="N64" s="177"/>
      <c r="O64" s="177"/>
      <c r="P64" s="180">
        <v>-752.5</v>
      </c>
    </row>
    <row r="65" spans="1:16" ht="19.5" customHeight="1">
      <c r="A65" s="172" t="s">
        <v>1367</v>
      </c>
      <c r="B65" s="176">
        <v>46054</v>
      </c>
      <c r="C65" s="172" t="s">
        <v>81</v>
      </c>
      <c r="D65" s="172" t="s">
        <v>95</v>
      </c>
      <c r="E65" s="172" t="s">
        <v>43</v>
      </c>
      <c r="F65" s="172" t="s">
        <v>125</v>
      </c>
      <c r="G65" s="172" t="s">
        <v>84</v>
      </c>
      <c r="H65" s="177">
        <v>1</v>
      </c>
      <c r="I65" s="178">
        <v>1750</v>
      </c>
      <c r="J65" s="176">
        <v>46051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-10.31</v>
      </c>
    </row>
    <row r="66" spans="1:16" ht="19.5" customHeight="1">
      <c r="A66" s="172" t="s">
        <v>1368</v>
      </c>
      <c r="B66" s="176">
        <v>46054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1812</v>
      </c>
      <c r="J66" s="176">
        <v>46048</v>
      </c>
      <c r="K66" s="172" t="s">
        <v>93</v>
      </c>
      <c r="L66" s="172" t="s">
        <v>94</v>
      </c>
      <c r="M66" s="179">
        <v>0.43</v>
      </c>
      <c r="N66" s="177"/>
      <c r="O66" s="177">
        <v>44</v>
      </c>
      <c r="P66" s="180">
        <v>-148.36000000000001</v>
      </c>
    </row>
    <row r="67" spans="1:16" ht="19.5" customHeight="1">
      <c r="A67" s="172" t="s">
        <v>1368</v>
      </c>
      <c r="B67" s="176">
        <v>46054</v>
      </c>
      <c r="C67" s="172" t="s">
        <v>100</v>
      </c>
      <c r="D67" s="172" t="s">
        <v>101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1812</v>
      </c>
      <c r="J67" s="176">
        <v>46048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664.45</v>
      </c>
    </row>
    <row r="68" spans="1:16" ht="19.5" customHeight="1">
      <c r="A68" s="172" t="s">
        <v>1368</v>
      </c>
      <c r="B68" s="176">
        <v>46054</v>
      </c>
      <c r="C68" s="172" t="s">
        <v>100</v>
      </c>
      <c r="D68" s="172" t="s">
        <v>102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1812</v>
      </c>
      <c r="J68" s="176">
        <v>46048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6.64</v>
      </c>
    </row>
    <row r="69" spans="1:16" ht="19.5" customHeight="1">
      <c r="A69" s="172" t="s">
        <v>1368</v>
      </c>
      <c r="B69" s="176">
        <v>46054</v>
      </c>
      <c r="C69" s="172" t="s">
        <v>100</v>
      </c>
      <c r="D69" s="172" t="s">
        <v>103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1812</v>
      </c>
      <c r="J69" s="176">
        <v>46048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1140.9100000000001</v>
      </c>
    </row>
    <row r="70" spans="1:16" ht="19.5" customHeight="1">
      <c r="A70" s="172" t="s">
        <v>1368</v>
      </c>
      <c r="B70" s="176">
        <v>46054</v>
      </c>
      <c r="C70" s="172" t="s">
        <v>104</v>
      </c>
      <c r="D70" s="172" t="s">
        <v>105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1812</v>
      </c>
      <c r="J70" s="176">
        <v>46048</v>
      </c>
      <c r="K70" s="172" t="s">
        <v>93</v>
      </c>
      <c r="L70" s="172" t="s">
        <v>94</v>
      </c>
      <c r="M70" s="179">
        <v>0.43</v>
      </c>
      <c r="N70" s="177"/>
      <c r="O70" s="177"/>
      <c r="P70" s="180">
        <v>-779.16</v>
      </c>
    </row>
    <row r="71" spans="1:16" ht="19.5" customHeight="1">
      <c r="A71" s="172" t="s">
        <v>1368</v>
      </c>
      <c r="B71" s="176">
        <v>46054</v>
      </c>
      <c r="C71" s="172" t="s">
        <v>81</v>
      </c>
      <c r="D71" s="172" t="s">
        <v>95</v>
      </c>
      <c r="E71" s="172" t="s">
        <v>53</v>
      </c>
      <c r="F71" s="172" t="s">
        <v>120</v>
      </c>
      <c r="G71" s="172" t="s">
        <v>84</v>
      </c>
      <c r="H71" s="177">
        <v>1</v>
      </c>
      <c r="I71" s="178">
        <v>1812</v>
      </c>
      <c r="J71" s="176">
        <v>46048</v>
      </c>
      <c r="K71" s="172" t="s">
        <v>93</v>
      </c>
      <c r="L71" s="172" t="s">
        <v>94</v>
      </c>
      <c r="M71" s="179">
        <v>0.43</v>
      </c>
      <c r="N71" s="177"/>
      <c r="O71" s="177"/>
      <c r="P71" s="180">
        <v>-12.17</v>
      </c>
    </row>
    <row r="72" spans="1:16" ht="19.5" customHeight="1">
      <c r="A72" s="172" t="s">
        <v>1367</v>
      </c>
      <c r="B72" s="176">
        <v>46054</v>
      </c>
      <c r="C72" s="172" t="s">
        <v>81</v>
      </c>
      <c r="D72" s="172" t="s">
        <v>82</v>
      </c>
      <c r="E72" s="172" t="s">
        <v>43</v>
      </c>
      <c r="F72" s="172" t="s">
        <v>125</v>
      </c>
      <c r="G72" s="172" t="s">
        <v>84</v>
      </c>
      <c r="H72" s="177">
        <v>1</v>
      </c>
      <c r="I72" s="178">
        <v>0</v>
      </c>
      <c r="J72" s="176">
        <v>46051</v>
      </c>
      <c r="K72" s="172" t="s">
        <v>85</v>
      </c>
      <c r="L72" s="172" t="s">
        <v>85</v>
      </c>
      <c r="M72" s="179">
        <v>0</v>
      </c>
      <c r="N72" s="177"/>
      <c r="O72" s="177"/>
      <c r="P72" s="180">
        <v>-11.57</v>
      </c>
    </row>
    <row r="73" spans="1:16" ht="19.5" customHeight="1">
      <c r="A73" s="172" t="s">
        <v>1369</v>
      </c>
      <c r="B73" s="176">
        <v>46054</v>
      </c>
      <c r="C73" s="172" t="s">
        <v>81</v>
      </c>
      <c r="D73" s="172" t="s">
        <v>82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0</v>
      </c>
      <c r="J73" s="176">
        <v>46054</v>
      </c>
      <c r="K73" s="172" t="s">
        <v>85</v>
      </c>
      <c r="L73" s="172" t="s">
        <v>85</v>
      </c>
      <c r="M73" s="179">
        <v>0</v>
      </c>
      <c r="N73" s="177"/>
      <c r="O73" s="177"/>
      <c r="P73" s="180">
        <v>-12</v>
      </c>
    </row>
    <row r="74" spans="1:16" ht="19.5" customHeight="1">
      <c r="A74" s="172" t="s">
        <v>1368</v>
      </c>
      <c r="B74" s="176">
        <v>46054</v>
      </c>
      <c r="C74" s="172" t="s">
        <v>81</v>
      </c>
      <c r="D74" s="172" t="s">
        <v>82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0</v>
      </c>
      <c r="J74" s="176">
        <v>46048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-12.62</v>
      </c>
    </row>
    <row r="75" spans="1:16" ht="19.5" customHeight="1">
      <c r="A75" s="172" t="s">
        <v>1370</v>
      </c>
      <c r="B75" s="176">
        <v>46054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1812</v>
      </c>
      <c r="J75" s="176">
        <v>46050</v>
      </c>
      <c r="K75" s="172" t="s">
        <v>93</v>
      </c>
      <c r="L75" s="172" t="s">
        <v>94</v>
      </c>
      <c r="M75" s="179">
        <v>0.43</v>
      </c>
      <c r="N75" s="177"/>
      <c r="O75" s="177">
        <v>44</v>
      </c>
      <c r="P75" s="180">
        <v>-148.36000000000001</v>
      </c>
    </row>
    <row r="76" spans="1:16" ht="19.5" customHeight="1">
      <c r="A76" s="172" t="s">
        <v>1370</v>
      </c>
      <c r="B76" s="176">
        <v>46054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1812</v>
      </c>
      <c r="J76" s="176">
        <v>46050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631.42999999999995</v>
      </c>
    </row>
    <row r="77" spans="1:16" ht="19.5" customHeight="1">
      <c r="A77" s="172" t="s">
        <v>1370</v>
      </c>
      <c r="B77" s="176">
        <v>46054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1812</v>
      </c>
      <c r="J77" s="176">
        <v>46050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6.31</v>
      </c>
    </row>
    <row r="78" spans="1:16" ht="19.5" customHeight="1">
      <c r="A78" s="172" t="s">
        <v>1370</v>
      </c>
      <c r="B78" s="176">
        <v>46054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1812</v>
      </c>
      <c r="J78" s="176">
        <v>46050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1174.26</v>
      </c>
    </row>
    <row r="79" spans="1:16" ht="19.5" customHeight="1">
      <c r="A79" s="172" t="s">
        <v>1370</v>
      </c>
      <c r="B79" s="176">
        <v>46054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1812</v>
      </c>
      <c r="J79" s="176">
        <v>46050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-779.16</v>
      </c>
    </row>
    <row r="80" spans="1:16" ht="19.5" customHeight="1">
      <c r="A80" s="172" t="s">
        <v>1370</v>
      </c>
      <c r="B80" s="176">
        <v>46054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1812</v>
      </c>
      <c r="J80" s="176">
        <v>46050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-22.16</v>
      </c>
    </row>
    <row r="81" spans="1:16" ht="19.5" customHeight="1">
      <c r="A81" s="172" t="s">
        <v>1371</v>
      </c>
      <c r="B81" s="176">
        <v>46054</v>
      </c>
      <c r="C81" s="172" t="s">
        <v>92</v>
      </c>
      <c r="D81" s="172" t="s">
        <v>24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1800</v>
      </c>
      <c r="J81" s="176">
        <v>46053</v>
      </c>
      <c r="K81" s="172" t="s">
        <v>93</v>
      </c>
      <c r="L81" s="172" t="s">
        <v>94</v>
      </c>
      <c r="M81" s="179">
        <v>0.43</v>
      </c>
      <c r="N81" s="177"/>
      <c r="O81" s="177">
        <v>44</v>
      </c>
      <c r="P81" s="180">
        <v>-147.97999999999999</v>
      </c>
    </row>
    <row r="82" spans="1:16" ht="19.5" customHeight="1">
      <c r="A82" s="172" t="s">
        <v>1371</v>
      </c>
      <c r="B82" s="176">
        <v>46054</v>
      </c>
      <c r="C82" s="172" t="s">
        <v>100</v>
      </c>
      <c r="D82" s="172" t="s">
        <v>101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1800</v>
      </c>
      <c r="J82" s="176">
        <v>46053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627.62</v>
      </c>
    </row>
    <row r="83" spans="1:16" ht="19.5" customHeight="1">
      <c r="A83" s="172" t="s">
        <v>1371</v>
      </c>
      <c r="B83" s="176">
        <v>46054</v>
      </c>
      <c r="C83" s="172" t="s">
        <v>100</v>
      </c>
      <c r="D83" s="172" t="s">
        <v>102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1800</v>
      </c>
      <c r="J83" s="176">
        <v>46053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6.28</v>
      </c>
    </row>
    <row r="84" spans="1:16" ht="19.5" customHeight="1">
      <c r="A84" s="172" t="s">
        <v>1371</v>
      </c>
      <c r="B84" s="176">
        <v>46054</v>
      </c>
      <c r="C84" s="172" t="s">
        <v>100</v>
      </c>
      <c r="D84" s="172" t="s">
        <v>103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1800</v>
      </c>
      <c r="J84" s="176">
        <v>46053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1166.0999999999999</v>
      </c>
    </row>
    <row r="85" spans="1:16" ht="19.5" customHeight="1">
      <c r="A85" s="172" t="s">
        <v>1371</v>
      </c>
      <c r="B85" s="176">
        <v>46054</v>
      </c>
      <c r="C85" s="172" t="s">
        <v>104</v>
      </c>
      <c r="D85" s="172" t="s">
        <v>105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1800</v>
      </c>
      <c r="J85" s="176">
        <v>46053</v>
      </c>
      <c r="K85" s="172" t="s">
        <v>93</v>
      </c>
      <c r="L85" s="172" t="s">
        <v>94</v>
      </c>
      <c r="M85" s="179">
        <v>0.43</v>
      </c>
      <c r="N85" s="177"/>
      <c r="O85" s="177"/>
      <c r="P85" s="180">
        <v>-774</v>
      </c>
    </row>
    <row r="86" spans="1:16" ht="19.5" customHeight="1">
      <c r="A86" s="172" t="s">
        <v>1371</v>
      </c>
      <c r="B86" s="176">
        <v>46054</v>
      </c>
      <c r="C86" s="172" t="s">
        <v>81</v>
      </c>
      <c r="D86" s="172" t="s">
        <v>95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1800</v>
      </c>
      <c r="J86" s="176">
        <v>46053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-9.4600000000000009</v>
      </c>
    </row>
    <row r="87" spans="1:16" ht="19.5" customHeight="1">
      <c r="A87" s="172" t="s">
        <v>1372</v>
      </c>
      <c r="B87" s="176">
        <v>46054</v>
      </c>
      <c r="C87" s="172" t="s">
        <v>81</v>
      </c>
      <c r="D87" s="172" t="s">
        <v>82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0</v>
      </c>
      <c r="J87" s="176">
        <v>46054</v>
      </c>
      <c r="K87" s="172" t="s">
        <v>85</v>
      </c>
      <c r="L87" s="172" t="s">
        <v>85</v>
      </c>
      <c r="M87" s="179">
        <v>0</v>
      </c>
      <c r="N87" s="177"/>
      <c r="O87" s="177"/>
      <c r="P87" s="180">
        <v>-4.59</v>
      </c>
    </row>
    <row r="88" spans="1:16" ht="19.5" customHeight="1">
      <c r="A88" s="172" t="s">
        <v>1373</v>
      </c>
      <c r="B88" s="176">
        <v>46054</v>
      </c>
      <c r="C88" s="172" t="s">
        <v>92</v>
      </c>
      <c r="D88" s="172" t="s">
        <v>24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0</v>
      </c>
      <c r="J88" s="176">
        <v>46047</v>
      </c>
      <c r="K88" s="172" t="s">
        <v>93</v>
      </c>
      <c r="L88" s="172" t="s">
        <v>94</v>
      </c>
      <c r="M88" s="179">
        <v>0</v>
      </c>
      <c r="N88" s="177"/>
      <c r="O88" s="177">
        <v>41</v>
      </c>
      <c r="P88" s="180">
        <v>-56</v>
      </c>
    </row>
    <row r="89" spans="1:16" ht="19.5" customHeight="1">
      <c r="A89" s="172" t="s">
        <v>1373</v>
      </c>
      <c r="B89" s="176">
        <v>46054</v>
      </c>
      <c r="C89" s="172" t="s">
        <v>81</v>
      </c>
      <c r="D89" s="172" t="s">
        <v>95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46047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-8.57</v>
      </c>
    </row>
    <row r="90" spans="1:16" ht="19.5" customHeight="1">
      <c r="A90" s="172" t="s">
        <v>1374</v>
      </c>
      <c r="B90" s="176">
        <v>46054</v>
      </c>
      <c r="C90" s="172" t="s">
        <v>92</v>
      </c>
      <c r="D90" s="172" t="s">
        <v>24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46049</v>
      </c>
      <c r="K90" s="172" t="s">
        <v>93</v>
      </c>
      <c r="L90" s="172" t="s">
        <v>94</v>
      </c>
      <c r="M90" s="179">
        <v>0</v>
      </c>
      <c r="N90" s="177"/>
      <c r="O90" s="177">
        <v>45</v>
      </c>
      <c r="P90" s="180">
        <v>-56.94</v>
      </c>
    </row>
    <row r="91" spans="1:16" ht="19.5" customHeight="1">
      <c r="A91" s="172" t="s">
        <v>1374</v>
      </c>
      <c r="B91" s="176">
        <v>46054</v>
      </c>
      <c r="C91" s="172" t="s">
        <v>81</v>
      </c>
      <c r="D91" s="172" t="s">
        <v>95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46049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-15.72</v>
      </c>
    </row>
    <row r="92" spans="1:16" ht="19.5" customHeight="1">
      <c r="A92" s="172" t="s">
        <v>1373</v>
      </c>
      <c r="B92" s="176">
        <v>46054</v>
      </c>
      <c r="C92" s="172" t="s">
        <v>92</v>
      </c>
      <c r="D92" s="172" t="s">
        <v>96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46047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0</v>
      </c>
    </row>
    <row r="93" spans="1:16" ht="19.5" customHeight="1">
      <c r="A93" s="172" t="s">
        <v>1373</v>
      </c>
      <c r="B93" s="176">
        <v>46054</v>
      </c>
      <c r="C93" s="172" t="s">
        <v>92</v>
      </c>
      <c r="D93" s="172" t="s">
        <v>97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46047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-56</v>
      </c>
    </row>
    <row r="94" spans="1:16" ht="19.5" customHeight="1">
      <c r="A94" s="172" t="s">
        <v>1373</v>
      </c>
      <c r="B94" s="176">
        <v>46054</v>
      </c>
      <c r="C94" s="172" t="s">
        <v>81</v>
      </c>
      <c r="D94" s="172" t="s">
        <v>98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46047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-15</v>
      </c>
    </row>
    <row r="95" spans="1:16" ht="19.5" customHeight="1">
      <c r="A95" s="172" t="s">
        <v>1374</v>
      </c>
      <c r="B95" s="176">
        <v>46054</v>
      </c>
      <c r="C95" s="172" t="s">
        <v>92</v>
      </c>
      <c r="D95" s="172" t="s">
        <v>96</v>
      </c>
      <c r="E95" s="172" t="s">
        <v>52</v>
      </c>
      <c r="F95" s="172" t="s">
        <v>90</v>
      </c>
      <c r="G95" s="172" t="s">
        <v>84</v>
      </c>
      <c r="H95" s="177">
        <v>1</v>
      </c>
      <c r="I95" s="178">
        <v>0</v>
      </c>
      <c r="J95" s="176">
        <v>46049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0</v>
      </c>
    </row>
    <row r="96" spans="1:16" ht="19.5" customHeight="1">
      <c r="A96" s="172" t="s">
        <v>1374</v>
      </c>
      <c r="B96" s="176">
        <v>46054</v>
      </c>
      <c r="C96" s="172" t="s">
        <v>92</v>
      </c>
      <c r="D96" s="172" t="s">
        <v>97</v>
      </c>
      <c r="E96" s="172" t="s">
        <v>52</v>
      </c>
      <c r="F96" s="172" t="s">
        <v>90</v>
      </c>
      <c r="G96" s="172" t="s">
        <v>84</v>
      </c>
      <c r="H96" s="177">
        <v>1</v>
      </c>
      <c r="I96" s="178">
        <v>0</v>
      </c>
      <c r="J96" s="176">
        <v>46049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-56.94</v>
      </c>
    </row>
    <row r="97" spans="1:16" ht="19.5" customHeight="1">
      <c r="A97" s="172" t="s">
        <v>1375</v>
      </c>
      <c r="B97" s="176">
        <v>46054</v>
      </c>
      <c r="C97" s="172" t="s">
        <v>92</v>
      </c>
      <c r="D97" s="172" t="s">
        <v>24</v>
      </c>
      <c r="E97" s="172" t="s">
        <v>52</v>
      </c>
      <c r="F97" s="172" t="s">
        <v>90</v>
      </c>
      <c r="G97" s="172" t="s">
        <v>84</v>
      </c>
      <c r="H97" s="177">
        <v>1</v>
      </c>
      <c r="I97" s="178">
        <v>1712</v>
      </c>
      <c r="J97" s="176">
        <v>46051</v>
      </c>
      <c r="K97" s="172" t="s">
        <v>93</v>
      </c>
      <c r="L97" s="172" t="s">
        <v>94</v>
      </c>
      <c r="M97" s="179">
        <v>0.43</v>
      </c>
      <c r="N97" s="177"/>
      <c r="O97" s="177">
        <v>44</v>
      </c>
      <c r="P97" s="180">
        <v>-146.74</v>
      </c>
    </row>
    <row r="98" spans="1:16" ht="19.5" customHeight="1">
      <c r="A98" s="172" t="s">
        <v>1375</v>
      </c>
      <c r="B98" s="176">
        <v>46054</v>
      </c>
      <c r="C98" s="172" t="s">
        <v>100</v>
      </c>
      <c r="D98" s="172" t="s">
        <v>101</v>
      </c>
      <c r="E98" s="172" t="s">
        <v>52</v>
      </c>
      <c r="F98" s="172" t="s">
        <v>90</v>
      </c>
      <c r="G98" s="172" t="s">
        <v>84</v>
      </c>
      <c r="H98" s="177">
        <v>1</v>
      </c>
      <c r="I98" s="178">
        <v>1712</v>
      </c>
      <c r="J98" s="176">
        <v>46051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595.62</v>
      </c>
    </row>
    <row r="99" spans="1:16" ht="19.5" customHeight="1">
      <c r="A99" s="172" t="s">
        <v>1375</v>
      </c>
      <c r="B99" s="176">
        <v>46054</v>
      </c>
      <c r="C99" s="172" t="s">
        <v>100</v>
      </c>
      <c r="D99" s="172" t="s">
        <v>102</v>
      </c>
      <c r="E99" s="172" t="s">
        <v>52</v>
      </c>
      <c r="F99" s="172" t="s">
        <v>90</v>
      </c>
      <c r="G99" s="172" t="s">
        <v>84</v>
      </c>
      <c r="H99" s="177">
        <v>1</v>
      </c>
      <c r="I99" s="178">
        <v>1712</v>
      </c>
      <c r="J99" s="176">
        <v>46051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5.96</v>
      </c>
    </row>
    <row r="100" spans="1:16" ht="19.5" customHeight="1">
      <c r="A100" s="172" t="s">
        <v>1375</v>
      </c>
      <c r="B100" s="176">
        <v>46054</v>
      </c>
      <c r="C100" s="172" t="s">
        <v>100</v>
      </c>
      <c r="D100" s="172" t="s">
        <v>103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1712</v>
      </c>
      <c r="J100" s="176">
        <v>46051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1110.42</v>
      </c>
    </row>
    <row r="101" spans="1:16" ht="19.5" customHeight="1">
      <c r="A101" s="172" t="s">
        <v>1375</v>
      </c>
      <c r="B101" s="176">
        <v>46054</v>
      </c>
      <c r="C101" s="172" t="s">
        <v>104</v>
      </c>
      <c r="D101" s="172" t="s">
        <v>105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1712</v>
      </c>
      <c r="J101" s="176">
        <v>46051</v>
      </c>
      <c r="K101" s="172" t="s">
        <v>93</v>
      </c>
      <c r="L101" s="172" t="s">
        <v>94</v>
      </c>
      <c r="M101" s="179">
        <v>0.43</v>
      </c>
      <c r="N101" s="177"/>
      <c r="O101" s="177"/>
      <c r="P101" s="180">
        <v>-736.16</v>
      </c>
    </row>
    <row r="102" spans="1:16" ht="19.5" customHeight="1">
      <c r="A102" s="172" t="s">
        <v>1375</v>
      </c>
      <c r="B102" s="176">
        <v>46054</v>
      </c>
      <c r="C102" s="172" t="s">
        <v>81</v>
      </c>
      <c r="D102" s="172" t="s">
        <v>95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1712</v>
      </c>
      <c r="J102" s="176">
        <v>46051</v>
      </c>
      <c r="K102" s="172" t="s">
        <v>93</v>
      </c>
      <c r="L102" s="172" t="s">
        <v>94</v>
      </c>
      <c r="M102" s="179">
        <v>0.43</v>
      </c>
      <c r="N102" s="177"/>
      <c r="O102" s="177"/>
      <c r="P102" s="180">
        <v>-12.13</v>
      </c>
    </row>
    <row r="103" spans="1:16" ht="19.5" customHeight="1">
      <c r="A103" s="172" t="s">
        <v>1376</v>
      </c>
      <c r="B103" s="176">
        <v>46054</v>
      </c>
      <c r="C103" s="172" t="s">
        <v>92</v>
      </c>
      <c r="D103" s="172" t="s">
        <v>24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1800</v>
      </c>
      <c r="J103" s="176">
        <v>46045</v>
      </c>
      <c r="K103" s="172" t="s">
        <v>93</v>
      </c>
      <c r="L103" s="172" t="s">
        <v>94</v>
      </c>
      <c r="M103" s="179">
        <v>0.43</v>
      </c>
      <c r="N103" s="177"/>
      <c r="O103" s="177">
        <v>40</v>
      </c>
      <c r="P103" s="180">
        <v>-131.88</v>
      </c>
    </row>
    <row r="104" spans="1:16" ht="19.5" customHeight="1">
      <c r="A104" s="172" t="s">
        <v>1376</v>
      </c>
      <c r="B104" s="176">
        <v>46054</v>
      </c>
      <c r="C104" s="172" t="s">
        <v>100</v>
      </c>
      <c r="D104" s="172" t="s">
        <v>101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1800</v>
      </c>
      <c r="J104" s="176">
        <v>46045</v>
      </c>
      <c r="K104" s="172" t="s">
        <v>93</v>
      </c>
      <c r="L104" s="172" t="s">
        <v>94</v>
      </c>
      <c r="M104" s="179">
        <v>0</v>
      </c>
      <c r="N104" s="177"/>
      <c r="O104" s="177"/>
      <c r="P104" s="180">
        <v>628.57000000000005</v>
      </c>
    </row>
    <row r="105" spans="1:16" ht="19.5" customHeight="1">
      <c r="A105" s="172" t="s">
        <v>1376</v>
      </c>
      <c r="B105" s="176">
        <v>46054</v>
      </c>
      <c r="C105" s="172" t="s">
        <v>100</v>
      </c>
      <c r="D105" s="172" t="s">
        <v>102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1800</v>
      </c>
      <c r="J105" s="176">
        <v>46045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6.29</v>
      </c>
    </row>
    <row r="106" spans="1:16" ht="19.5" customHeight="1">
      <c r="A106" s="172" t="s">
        <v>1376</v>
      </c>
      <c r="B106" s="176">
        <v>46054</v>
      </c>
      <c r="C106" s="172" t="s">
        <v>100</v>
      </c>
      <c r="D106" s="172" t="s">
        <v>103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1800</v>
      </c>
      <c r="J106" s="176">
        <v>46045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1165.1400000000001</v>
      </c>
    </row>
    <row r="107" spans="1:16" ht="19.5" customHeight="1">
      <c r="A107" s="172" t="s">
        <v>1376</v>
      </c>
      <c r="B107" s="176">
        <v>46054</v>
      </c>
      <c r="C107" s="172" t="s">
        <v>104</v>
      </c>
      <c r="D107" s="172" t="s">
        <v>105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1800</v>
      </c>
      <c r="J107" s="176">
        <v>46045</v>
      </c>
      <c r="K107" s="172" t="s">
        <v>93</v>
      </c>
      <c r="L107" s="172" t="s">
        <v>94</v>
      </c>
      <c r="M107" s="179">
        <v>0.43</v>
      </c>
      <c r="N107" s="177"/>
      <c r="O107" s="177"/>
      <c r="P107" s="180">
        <v>-774</v>
      </c>
    </row>
    <row r="108" spans="1:16" ht="19.5" customHeight="1">
      <c r="A108" s="172" t="s">
        <v>1376</v>
      </c>
      <c r="B108" s="176">
        <v>46054</v>
      </c>
      <c r="C108" s="172" t="s">
        <v>81</v>
      </c>
      <c r="D108" s="172" t="s">
        <v>95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1800</v>
      </c>
      <c r="J108" s="176">
        <v>46045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-7.33</v>
      </c>
    </row>
    <row r="109" spans="1:16" ht="19.5" customHeight="1">
      <c r="A109" s="172" t="s">
        <v>1376</v>
      </c>
      <c r="B109" s="176">
        <v>46054</v>
      </c>
      <c r="C109" s="172" t="s">
        <v>81</v>
      </c>
      <c r="D109" s="172" t="s">
        <v>82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0</v>
      </c>
      <c r="J109" s="176">
        <v>46045</v>
      </c>
      <c r="K109" s="172" t="s">
        <v>85</v>
      </c>
      <c r="L109" s="172" t="s">
        <v>85</v>
      </c>
      <c r="M109" s="179">
        <v>0</v>
      </c>
      <c r="N109" s="177"/>
      <c r="O109" s="177"/>
      <c r="P109" s="180">
        <v>-11.94</v>
      </c>
    </row>
    <row r="110" spans="1:16" ht="19.5" customHeight="1">
      <c r="A110" s="172" t="s">
        <v>1377</v>
      </c>
      <c r="B110" s="176">
        <v>46054</v>
      </c>
      <c r="C110" s="172" t="s">
        <v>81</v>
      </c>
      <c r="D110" s="172" t="s">
        <v>82</v>
      </c>
      <c r="E110" s="172" t="s">
        <v>43</v>
      </c>
      <c r="F110" s="172" t="s">
        <v>125</v>
      </c>
      <c r="G110" s="172" t="s">
        <v>84</v>
      </c>
      <c r="H110" s="177">
        <v>1</v>
      </c>
      <c r="I110" s="178">
        <v>0</v>
      </c>
      <c r="J110" s="176">
        <v>46054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-11.58</v>
      </c>
    </row>
    <row r="111" spans="1:16" ht="19.5" customHeight="1">
      <c r="A111" s="172" t="s">
        <v>1378</v>
      </c>
      <c r="B111" s="176">
        <v>46054</v>
      </c>
      <c r="C111" s="172" t="s">
        <v>92</v>
      </c>
      <c r="D111" s="172" t="s">
        <v>24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1800</v>
      </c>
      <c r="J111" s="176">
        <v>46052</v>
      </c>
      <c r="K111" s="172" t="s">
        <v>93</v>
      </c>
      <c r="L111" s="172" t="s">
        <v>94</v>
      </c>
      <c r="M111" s="179">
        <v>0.43</v>
      </c>
      <c r="N111" s="177"/>
      <c r="O111" s="177">
        <v>44</v>
      </c>
      <c r="P111" s="180">
        <v>-147.97999999999999</v>
      </c>
    </row>
    <row r="112" spans="1:16" ht="19.5" customHeight="1">
      <c r="A112" s="172" t="s">
        <v>1378</v>
      </c>
      <c r="B112" s="176">
        <v>46054</v>
      </c>
      <c r="C112" s="172" t="s">
        <v>100</v>
      </c>
      <c r="D112" s="172" t="s">
        <v>101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1800</v>
      </c>
      <c r="J112" s="176">
        <v>46052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627.62</v>
      </c>
    </row>
    <row r="113" spans="1:16" ht="19.5" customHeight="1">
      <c r="A113" s="172" t="s">
        <v>1378</v>
      </c>
      <c r="B113" s="176">
        <v>46054</v>
      </c>
      <c r="C113" s="172" t="s">
        <v>100</v>
      </c>
      <c r="D113" s="172" t="s">
        <v>102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1800</v>
      </c>
      <c r="J113" s="176">
        <v>46052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6.28</v>
      </c>
    </row>
    <row r="114" spans="1:16" ht="19.5" customHeight="1">
      <c r="A114" s="172" t="s">
        <v>1378</v>
      </c>
      <c r="B114" s="176">
        <v>46054</v>
      </c>
      <c r="C114" s="172" t="s">
        <v>100</v>
      </c>
      <c r="D114" s="172" t="s">
        <v>103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1800</v>
      </c>
      <c r="J114" s="176">
        <v>46052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1166.0999999999999</v>
      </c>
    </row>
    <row r="115" spans="1:16" ht="19.5" customHeight="1">
      <c r="A115" s="172" t="s">
        <v>1378</v>
      </c>
      <c r="B115" s="176">
        <v>46054</v>
      </c>
      <c r="C115" s="172" t="s">
        <v>104</v>
      </c>
      <c r="D115" s="172" t="s">
        <v>105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1800</v>
      </c>
      <c r="J115" s="176">
        <v>46052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-774</v>
      </c>
    </row>
    <row r="116" spans="1:16" ht="19.5" customHeight="1">
      <c r="A116" s="172" t="s">
        <v>1378</v>
      </c>
      <c r="B116" s="176">
        <v>46054</v>
      </c>
      <c r="C116" s="172" t="s">
        <v>81</v>
      </c>
      <c r="D116" s="172" t="s">
        <v>95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1800</v>
      </c>
      <c r="J116" s="176">
        <v>46052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-0.88</v>
      </c>
    </row>
    <row r="117" spans="1:16" ht="19.5" customHeight="1">
      <c r="A117" s="172" t="s">
        <v>1379</v>
      </c>
      <c r="B117" s="176">
        <v>46054</v>
      </c>
      <c r="C117" s="172" t="s">
        <v>92</v>
      </c>
      <c r="D117" s="172" t="s">
        <v>24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1800</v>
      </c>
      <c r="J117" s="176">
        <v>46053</v>
      </c>
      <c r="K117" s="172" t="s">
        <v>93</v>
      </c>
      <c r="L117" s="172" t="s">
        <v>94</v>
      </c>
      <c r="M117" s="179">
        <v>0.43</v>
      </c>
      <c r="N117" s="177"/>
      <c r="O117" s="177">
        <v>44</v>
      </c>
      <c r="P117" s="180">
        <v>-149.51</v>
      </c>
    </row>
    <row r="118" spans="1:16" ht="19.5" customHeight="1">
      <c r="A118" s="172" t="s">
        <v>1379</v>
      </c>
      <c r="B118" s="176">
        <v>46054</v>
      </c>
      <c r="C118" s="172" t="s">
        <v>100</v>
      </c>
      <c r="D118" s="172" t="s">
        <v>101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1800</v>
      </c>
      <c r="J118" s="176">
        <v>46053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627.62</v>
      </c>
    </row>
    <row r="119" spans="1:16" ht="19.5" customHeight="1">
      <c r="A119" s="172" t="s">
        <v>1379</v>
      </c>
      <c r="B119" s="176">
        <v>46054</v>
      </c>
      <c r="C119" s="172" t="s">
        <v>100</v>
      </c>
      <c r="D119" s="172" t="s">
        <v>102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1800</v>
      </c>
      <c r="J119" s="176">
        <v>46053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6.28</v>
      </c>
    </row>
    <row r="120" spans="1:16" ht="19.5" customHeight="1">
      <c r="A120" s="172" t="s">
        <v>1379</v>
      </c>
      <c r="B120" s="176">
        <v>46054</v>
      </c>
      <c r="C120" s="172" t="s">
        <v>100</v>
      </c>
      <c r="D120" s="172" t="s">
        <v>103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1800</v>
      </c>
      <c r="J120" s="176">
        <v>46053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1166.0999999999999</v>
      </c>
    </row>
    <row r="121" spans="1:16" ht="19.5" customHeight="1">
      <c r="A121" s="172" t="s">
        <v>1379</v>
      </c>
      <c r="B121" s="176">
        <v>46054</v>
      </c>
      <c r="C121" s="172" t="s">
        <v>104</v>
      </c>
      <c r="D121" s="172" t="s">
        <v>105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1800</v>
      </c>
      <c r="J121" s="176">
        <v>46053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-774</v>
      </c>
    </row>
    <row r="122" spans="1:16" ht="19.5" customHeight="1">
      <c r="A122" s="172" t="s">
        <v>1379</v>
      </c>
      <c r="B122" s="176">
        <v>46054</v>
      </c>
      <c r="C122" s="172" t="s">
        <v>81</v>
      </c>
      <c r="D122" s="172" t="s">
        <v>95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1800</v>
      </c>
      <c r="J122" s="176">
        <v>46053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-16.32</v>
      </c>
    </row>
    <row r="123" spans="1:16" ht="19.5" customHeight="1">
      <c r="A123" s="172" t="s">
        <v>1380</v>
      </c>
      <c r="B123" s="176">
        <v>46054</v>
      </c>
      <c r="C123" s="172" t="s">
        <v>92</v>
      </c>
      <c r="D123" s="172" t="s">
        <v>24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1800</v>
      </c>
      <c r="J123" s="176">
        <v>46048</v>
      </c>
      <c r="K123" s="172" t="s">
        <v>93</v>
      </c>
      <c r="L123" s="172" t="s">
        <v>94</v>
      </c>
      <c r="M123" s="179">
        <v>0.43</v>
      </c>
      <c r="N123" s="177"/>
      <c r="O123" s="177">
        <v>44</v>
      </c>
      <c r="P123" s="180">
        <v>-149.51</v>
      </c>
    </row>
    <row r="124" spans="1:16" ht="19.5" customHeight="1">
      <c r="A124" s="172" t="s">
        <v>1380</v>
      </c>
      <c r="B124" s="176">
        <v>46054</v>
      </c>
      <c r="C124" s="172" t="s">
        <v>100</v>
      </c>
      <c r="D124" s="172" t="s">
        <v>101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1800</v>
      </c>
      <c r="J124" s="176">
        <v>46048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627.62</v>
      </c>
    </row>
    <row r="125" spans="1:16" ht="19.5" customHeight="1">
      <c r="A125" s="172" t="s">
        <v>1380</v>
      </c>
      <c r="B125" s="176">
        <v>46054</v>
      </c>
      <c r="C125" s="172" t="s">
        <v>100</v>
      </c>
      <c r="D125" s="172" t="s">
        <v>102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1800</v>
      </c>
      <c r="J125" s="176">
        <v>46048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6.28</v>
      </c>
    </row>
    <row r="126" spans="1:16" ht="19.5" customHeight="1">
      <c r="A126" s="172" t="s">
        <v>1380</v>
      </c>
      <c r="B126" s="176">
        <v>46054</v>
      </c>
      <c r="C126" s="172" t="s">
        <v>100</v>
      </c>
      <c r="D126" s="172" t="s">
        <v>103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1800</v>
      </c>
      <c r="J126" s="176">
        <v>46048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1166.0999999999999</v>
      </c>
    </row>
    <row r="127" spans="1:16" ht="19.5" customHeight="1">
      <c r="A127" s="172" t="s">
        <v>1380</v>
      </c>
      <c r="B127" s="176">
        <v>46054</v>
      </c>
      <c r="C127" s="172" t="s">
        <v>104</v>
      </c>
      <c r="D127" s="172" t="s">
        <v>105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1800</v>
      </c>
      <c r="J127" s="176">
        <v>46048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-774</v>
      </c>
    </row>
    <row r="128" spans="1:16" ht="19.5" customHeight="1">
      <c r="A128" s="172" t="s">
        <v>1380</v>
      </c>
      <c r="B128" s="176">
        <v>46054</v>
      </c>
      <c r="C128" s="172" t="s">
        <v>81</v>
      </c>
      <c r="D128" s="172" t="s">
        <v>95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1800</v>
      </c>
      <c r="J128" s="176">
        <v>46048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-11.28</v>
      </c>
    </row>
    <row r="129" spans="1:16" ht="19.5" customHeight="1">
      <c r="A129" s="172" t="s">
        <v>1381</v>
      </c>
      <c r="B129" s="176">
        <v>46054</v>
      </c>
      <c r="C129" s="172" t="s">
        <v>81</v>
      </c>
      <c r="D129" s="172" t="s">
        <v>82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0</v>
      </c>
      <c r="J129" s="176">
        <v>46054</v>
      </c>
      <c r="K129" s="172" t="s">
        <v>85</v>
      </c>
      <c r="L129" s="172" t="s">
        <v>85</v>
      </c>
      <c r="M129" s="179">
        <v>0</v>
      </c>
      <c r="N129" s="177"/>
      <c r="O129" s="177"/>
      <c r="P129" s="180">
        <v>-5.2</v>
      </c>
    </row>
    <row r="130" spans="1:16" ht="19.5" customHeight="1">
      <c r="A130" s="172" t="s">
        <v>1380</v>
      </c>
      <c r="B130" s="176">
        <v>46054</v>
      </c>
      <c r="C130" s="172" t="s">
        <v>81</v>
      </c>
      <c r="D130" s="172" t="s">
        <v>82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0</v>
      </c>
      <c r="J130" s="176">
        <v>46048</v>
      </c>
      <c r="K130" s="172" t="s">
        <v>85</v>
      </c>
      <c r="L130" s="172" t="s">
        <v>85</v>
      </c>
      <c r="M130" s="179">
        <v>0</v>
      </c>
      <c r="N130" s="177"/>
      <c r="O130" s="177"/>
      <c r="P130" s="180">
        <v>-11.92</v>
      </c>
    </row>
    <row r="131" spans="1:16" ht="19.5" customHeight="1">
      <c r="A131" s="172" t="s">
        <v>1382</v>
      </c>
      <c r="B131" s="176">
        <v>46054</v>
      </c>
      <c r="C131" s="172" t="s">
        <v>81</v>
      </c>
      <c r="D131" s="172" t="s">
        <v>82</v>
      </c>
      <c r="E131" s="172" t="s">
        <v>42</v>
      </c>
      <c r="F131" s="172" t="s">
        <v>89</v>
      </c>
      <c r="G131" s="172" t="s">
        <v>84</v>
      </c>
      <c r="H131" s="177">
        <v>1</v>
      </c>
      <c r="I131" s="178">
        <v>0</v>
      </c>
      <c r="J131" s="176">
        <v>46054</v>
      </c>
      <c r="K131" s="172" t="s">
        <v>85</v>
      </c>
      <c r="L131" s="172" t="s">
        <v>85</v>
      </c>
      <c r="M131" s="179">
        <v>0</v>
      </c>
      <c r="N131" s="177"/>
      <c r="O131" s="177"/>
      <c r="P131" s="180">
        <v>-11.58</v>
      </c>
    </row>
    <row r="132" spans="1:16" ht="19.5" customHeight="1">
      <c r="A132" s="172" t="s">
        <v>1383</v>
      </c>
      <c r="B132" s="176">
        <v>46054</v>
      </c>
      <c r="C132" s="172" t="s">
        <v>92</v>
      </c>
      <c r="D132" s="172" t="s">
        <v>24</v>
      </c>
      <c r="E132" s="172" t="s">
        <v>56</v>
      </c>
      <c r="F132" s="172" t="s">
        <v>1215</v>
      </c>
      <c r="G132" s="172" t="s">
        <v>84</v>
      </c>
      <c r="H132" s="177">
        <v>1</v>
      </c>
      <c r="I132" s="178">
        <v>2000</v>
      </c>
      <c r="J132" s="176">
        <v>46052</v>
      </c>
      <c r="K132" s="172" t="s">
        <v>93</v>
      </c>
      <c r="L132" s="172" t="s">
        <v>94</v>
      </c>
      <c r="M132" s="179">
        <v>0.43</v>
      </c>
      <c r="N132" s="177"/>
      <c r="O132" s="177">
        <v>44</v>
      </c>
      <c r="P132" s="180">
        <v>-155.81</v>
      </c>
    </row>
    <row r="133" spans="1:16" ht="19.5" customHeight="1">
      <c r="A133" s="172" t="s">
        <v>1383</v>
      </c>
      <c r="B133" s="176">
        <v>46054</v>
      </c>
      <c r="C133" s="172" t="s">
        <v>100</v>
      </c>
      <c r="D133" s="172" t="s">
        <v>101</v>
      </c>
      <c r="E133" s="172" t="s">
        <v>56</v>
      </c>
      <c r="F133" s="172" t="s">
        <v>1215</v>
      </c>
      <c r="G133" s="172" t="s">
        <v>84</v>
      </c>
      <c r="H133" s="177">
        <v>1</v>
      </c>
      <c r="I133" s="178">
        <v>2000</v>
      </c>
      <c r="J133" s="176">
        <v>46052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749.52</v>
      </c>
    </row>
    <row r="134" spans="1:16" ht="19.5" customHeight="1">
      <c r="A134" s="172" t="s">
        <v>1383</v>
      </c>
      <c r="B134" s="176">
        <v>46054</v>
      </c>
      <c r="C134" s="172" t="s">
        <v>100</v>
      </c>
      <c r="D134" s="172" t="s">
        <v>102</v>
      </c>
      <c r="E134" s="172" t="s">
        <v>56</v>
      </c>
      <c r="F134" s="172" t="s">
        <v>1215</v>
      </c>
      <c r="G134" s="172" t="s">
        <v>84</v>
      </c>
      <c r="H134" s="177">
        <v>1</v>
      </c>
      <c r="I134" s="178">
        <v>2000</v>
      </c>
      <c r="J134" s="176">
        <v>46052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7.5</v>
      </c>
    </row>
    <row r="135" spans="1:16" ht="19.5" customHeight="1">
      <c r="A135" s="172" t="s">
        <v>1383</v>
      </c>
      <c r="B135" s="176">
        <v>46054</v>
      </c>
      <c r="C135" s="172" t="s">
        <v>100</v>
      </c>
      <c r="D135" s="172" t="s">
        <v>103</v>
      </c>
      <c r="E135" s="172" t="s">
        <v>56</v>
      </c>
      <c r="F135" s="172" t="s">
        <v>1215</v>
      </c>
      <c r="G135" s="172" t="s">
        <v>84</v>
      </c>
      <c r="H135" s="177">
        <v>1</v>
      </c>
      <c r="I135" s="178">
        <v>2000</v>
      </c>
      <c r="J135" s="176">
        <v>46052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1242.98</v>
      </c>
    </row>
    <row r="136" spans="1:16" ht="19.5" customHeight="1">
      <c r="A136" s="172" t="s">
        <v>1383</v>
      </c>
      <c r="B136" s="176">
        <v>46054</v>
      </c>
      <c r="C136" s="172" t="s">
        <v>104</v>
      </c>
      <c r="D136" s="172" t="s">
        <v>105</v>
      </c>
      <c r="E136" s="172" t="s">
        <v>56</v>
      </c>
      <c r="F136" s="172" t="s">
        <v>1215</v>
      </c>
      <c r="G136" s="172" t="s">
        <v>84</v>
      </c>
      <c r="H136" s="177">
        <v>1</v>
      </c>
      <c r="I136" s="178">
        <v>2000</v>
      </c>
      <c r="J136" s="176">
        <v>46052</v>
      </c>
      <c r="K136" s="172" t="s">
        <v>93</v>
      </c>
      <c r="L136" s="172" t="s">
        <v>94</v>
      </c>
      <c r="M136" s="179">
        <v>0.43</v>
      </c>
      <c r="N136" s="177"/>
      <c r="O136" s="177"/>
      <c r="P136" s="180">
        <v>-860</v>
      </c>
    </row>
    <row r="137" spans="1:16" ht="19.5" customHeight="1">
      <c r="A137" s="172" t="s">
        <v>1383</v>
      </c>
      <c r="B137" s="176">
        <v>46054</v>
      </c>
      <c r="C137" s="172" t="s">
        <v>81</v>
      </c>
      <c r="D137" s="172" t="s">
        <v>95</v>
      </c>
      <c r="E137" s="172" t="s">
        <v>56</v>
      </c>
      <c r="F137" s="172" t="s">
        <v>1215</v>
      </c>
      <c r="G137" s="172" t="s">
        <v>84</v>
      </c>
      <c r="H137" s="177">
        <v>1</v>
      </c>
      <c r="I137" s="178">
        <v>2000</v>
      </c>
      <c r="J137" s="176">
        <v>46052</v>
      </c>
      <c r="K137" s="172" t="s">
        <v>93</v>
      </c>
      <c r="L137" s="172" t="s">
        <v>94</v>
      </c>
      <c r="M137" s="179">
        <v>0.43</v>
      </c>
      <c r="N137" s="177"/>
      <c r="O137" s="177"/>
      <c r="P137" s="180">
        <v>-16.43</v>
      </c>
    </row>
    <row r="138" spans="1:16" ht="19.5" customHeight="1">
      <c r="A138" s="172" t="s">
        <v>1384</v>
      </c>
      <c r="B138" s="176">
        <v>46054</v>
      </c>
      <c r="C138" s="172" t="s">
        <v>92</v>
      </c>
      <c r="D138" s="172" t="s">
        <v>24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1750</v>
      </c>
      <c r="J138" s="176">
        <v>46053</v>
      </c>
      <c r="K138" s="172" t="s">
        <v>93</v>
      </c>
      <c r="L138" s="172" t="s">
        <v>94</v>
      </c>
      <c r="M138" s="179">
        <v>0.43</v>
      </c>
      <c r="N138" s="177"/>
      <c r="O138" s="177">
        <v>44</v>
      </c>
      <c r="P138" s="180">
        <v>-131.37</v>
      </c>
    </row>
    <row r="139" spans="1:16" ht="19.5" customHeight="1">
      <c r="A139" s="172" t="s">
        <v>1384</v>
      </c>
      <c r="B139" s="176">
        <v>46054</v>
      </c>
      <c r="C139" s="172" t="s">
        <v>100</v>
      </c>
      <c r="D139" s="172" t="s">
        <v>101</v>
      </c>
      <c r="E139" s="172" t="s">
        <v>42</v>
      </c>
      <c r="F139" s="172" t="s">
        <v>89</v>
      </c>
      <c r="G139" s="172" t="s">
        <v>84</v>
      </c>
      <c r="H139" s="177">
        <v>1</v>
      </c>
      <c r="I139" s="178">
        <v>1750</v>
      </c>
      <c r="J139" s="176">
        <v>46053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609.52</v>
      </c>
    </row>
    <row r="140" spans="1:16" ht="19.5" customHeight="1">
      <c r="A140" s="172" t="s">
        <v>1384</v>
      </c>
      <c r="B140" s="176">
        <v>46054</v>
      </c>
      <c r="C140" s="172" t="s">
        <v>100</v>
      </c>
      <c r="D140" s="172" t="s">
        <v>102</v>
      </c>
      <c r="E140" s="172" t="s">
        <v>42</v>
      </c>
      <c r="F140" s="172" t="s">
        <v>89</v>
      </c>
      <c r="G140" s="172" t="s">
        <v>84</v>
      </c>
      <c r="H140" s="177">
        <v>1</v>
      </c>
      <c r="I140" s="178">
        <v>1750</v>
      </c>
      <c r="J140" s="176">
        <v>46053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6.1</v>
      </c>
    </row>
    <row r="141" spans="1:16" ht="19.5" customHeight="1">
      <c r="A141" s="172" t="s">
        <v>1384</v>
      </c>
      <c r="B141" s="176">
        <v>46054</v>
      </c>
      <c r="C141" s="172" t="s">
        <v>100</v>
      </c>
      <c r="D141" s="172" t="s">
        <v>103</v>
      </c>
      <c r="E141" s="172" t="s">
        <v>42</v>
      </c>
      <c r="F141" s="172" t="s">
        <v>89</v>
      </c>
      <c r="G141" s="172" t="s">
        <v>84</v>
      </c>
      <c r="H141" s="177">
        <v>1</v>
      </c>
      <c r="I141" s="178">
        <v>1750</v>
      </c>
      <c r="J141" s="176">
        <v>46053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1134.3800000000001</v>
      </c>
    </row>
    <row r="142" spans="1:16" ht="19.5" customHeight="1">
      <c r="A142" s="172" t="s">
        <v>1384</v>
      </c>
      <c r="B142" s="176">
        <v>46054</v>
      </c>
      <c r="C142" s="172" t="s">
        <v>104</v>
      </c>
      <c r="D142" s="172" t="s">
        <v>105</v>
      </c>
      <c r="E142" s="172" t="s">
        <v>42</v>
      </c>
      <c r="F142" s="172" t="s">
        <v>89</v>
      </c>
      <c r="G142" s="172" t="s">
        <v>84</v>
      </c>
      <c r="H142" s="177">
        <v>1</v>
      </c>
      <c r="I142" s="178">
        <v>1750</v>
      </c>
      <c r="J142" s="176">
        <v>46053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-752.5</v>
      </c>
    </row>
    <row r="143" spans="1:16" ht="19.5" customHeight="1">
      <c r="A143" s="172" t="s">
        <v>1384</v>
      </c>
      <c r="B143" s="176">
        <v>46054</v>
      </c>
      <c r="C143" s="172" t="s">
        <v>81</v>
      </c>
      <c r="D143" s="172" t="s">
        <v>95</v>
      </c>
      <c r="E143" s="172" t="s">
        <v>42</v>
      </c>
      <c r="F143" s="172" t="s">
        <v>89</v>
      </c>
      <c r="G143" s="172" t="s">
        <v>84</v>
      </c>
      <c r="H143" s="177">
        <v>1</v>
      </c>
      <c r="I143" s="178">
        <v>1750</v>
      </c>
      <c r="J143" s="176">
        <v>46053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-10.92</v>
      </c>
    </row>
    <row r="144" spans="1:16" ht="19.5" customHeight="1">
      <c r="A144" s="172" t="s">
        <v>1385</v>
      </c>
      <c r="B144" s="176">
        <v>46054</v>
      </c>
      <c r="C144" s="172" t="s">
        <v>92</v>
      </c>
      <c r="D144" s="172" t="s">
        <v>24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1812</v>
      </c>
      <c r="J144" s="176">
        <v>46052</v>
      </c>
      <c r="K144" s="172" t="s">
        <v>93</v>
      </c>
      <c r="L144" s="172" t="s">
        <v>94</v>
      </c>
      <c r="M144" s="179">
        <v>0.43</v>
      </c>
      <c r="N144" s="177"/>
      <c r="O144" s="177">
        <v>44</v>
      </c>
      <c r="P144" s="180">
        <v>-148.36000000000001</v>
      </c>
    </row>
    <row r="145" spans="1:16" ht="19.5" customHeight="1">
      <c r="A145" s="172" t="s">
        <v>1385</v>
      </c>
      <c r="B145" s="176">
        <v>46054</v>
      </c>
      <c r="C145" s="172" t="s">
        <v>100</v>
      </c>
      <c r="D145" s="172" t="s">
        <v>101</v>
      </c>
      <c r="E145" s="172" t="s">
        <v>53</v>
      </c>
      <c r="F145" s="172" t="s">
        <v>120</v>
      </c>
      <c r="G145" s="172" t="s">
        <v>84</v>
      </c>
      <c r="H145" s="177">
        <v>1</v>
      </c>
      <c r="I145" s="178">
        <v>1812</v>
      </c>
      <c r="J145" s="176">
        <v>46052</v>
      </c>
      <c r="K145" s="172" t="s">
        <v>93</v>
      </c>
      <c r="L145" s="172" t="s">
        <v>94</v>
      </c>
      <c r="M145" s="179">
        <v>0</v>
      </c>
      <c r="N145" s="177"/>
      <c r="O145" s="177"/>
      <c r="P145" s="180">
        <v>631.42999999999995</v>
      </c>
    </row>
    <row r="146" spans="1:16" ht="19.5" customHeight="1">
      <c r="A146" s="172" t="s">
        <v>1385</v>
      </c>
      <c r="B146" s="176">
        <v>46054</v>
      </c>
      <c r="C146" s="172" t="s">
        <v>100</v>
      </c>
      <c r="D146" s="172" t="s">
        <v>102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1812</v>
      </c>
      <c r="J146" s="176">
        <v>46052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6.31</v>
      </c>
    </row>
    <row r="147" spans="1:16" ht="19.5" customHeight="1">
      <c r="A147" s="172" t="s">
        <v>1385</v>
      </c>
      <c r="B147" s="176">
        <v>46054</v>
      </c>
      <c r="C147" s="172" t="s">
        <v>100</v>
      </c>
      <c r="D147" s="172" t="s">
        <v>103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1812</v>
      </c>
      <c r="J147" s="176">
        <v>46052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1174.26</v>
      </c>
    </row>
    <row r="148" spans="1:16" ht="19.5" customHeight="1">
      <c r="A148" s="172" t="s">
        <v>1385</v>
      </c>
      <c r="B148" s="176">
        <v>46054</v>
      </c>
      <c r="C148" s="172" t="s">
        <v>104</v>
      </c>
      <c r="D148" s="172" t="s">
        <v>105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1812</v>
      </c>
      <c r="J148" s="176">
        <v>46052</v>
      </c>
      <c r="K148" s="172" t="s">
        <v>93</v>
      </c>
      <c r="L148" s="172" t="s">
        <v>94</v>
      </c>
      <c r="M148" s="179">
        <v>0.43</v>
      </c>
      <c r="N148" s="177"/>
      <c r="O148" s="177"/>
      <c r="P148" s="180">
        <v>-779.16</v>
      </c>
    </row>
    <row r="149" spans="1:16" ht="19.5" customHeight="1">
      <c r="A149" s="172" t="s">
        <v>1385</v>
      </c>
      <c r="B149" s="176">
        <v>46054</v>
      </c>
      <c r="C149" s="172" t="s">
        <v>81</v>
      </c>
      <c r="D149" s="172" t="s">
        <v>95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1812</v>
      </c>
      <c r="J149" s="176">
        <v>46052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-10.01</v>
      </c>
    </row>
    <row r="150" spans="1:16" ht="19.5" customHeight="1">
      <c r="A150" s="172" t="s">
        <v>1383</v>
      </c>
      <c r="B150" s="176">
        <v>46054</v>
      </c>
      <c r="C150" s="172" t="s">
        <v>81</v>
      </c>
      <c r="D150" s="172" t="s">
        <v>82</v>
      </c>
      <c r="E150" s="172" t="s">
        <v>56</v>
      </c>
      <c r="F150" s="172" t="s">
        <v>1215</v>
      </c>
      <c r="G150" s="172" t="s">
        <v>84</v>
      </c>
      <c r="H150" s="177">
        <v>1</v>
      </c>
      <c r="I150" s="178">
        <v>0</v>
      </c>
      <c r="J150" s="176">
        <v>46052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-14.24</v>
      </c>
    </row>
    <row r="151" spans="1:16" ht="19.5" customHeight="1">
      <c r="A151" s="172" t="s">
        <v>1385</v>
      </c>
      <c r="B151" s="176">
        <v>46054</v>
      </c>
      <c r="C151" s="172" t="s">
        <v>81</v>
      </c>
      <c r="D151" s="172" t="s">
        <v>82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46052</v>
      </c>
      <c r="K151" s="172" t="s">
        <v>85</v>
      </c>
      <c r="L151" s="172" t="s">
        <v>85</v>
      </c>
      <c r="M151" s="179">
        <v>0</v>
      </c>
      <c r="N151" s="177"/>
      <c r="O151" s="177"/>
      <c r="P151" s="180">
        <v>-12</v>
      </c>
    </row>
    <row r="152" spans="1:16" ht="19.5" customHeight="1">
      <c r="A152" s="172" t="s">
        <v>1386</v>
      </c>
      <c r="B152" s="176">
        <v>46054</v>
      </c>
      <c r="C152" s="172" t="s">
        <v>81</v>
      </c>
      <c r="D152" s="172" t="s">
        <v>82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46054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-12</v>
      </c>
    </row>
    <row r="153" spans="1:16" ht="19.5" customHeight="1">
      <c r="A153" s="172" t="s">
        <v>1384</v>
      </c>
      <c r="B153" s="176">
        <v>46054</v>
      </c>
      <c r="C153" s="172" t="s">
        <v>81</v>
      </c>
      <c r="D153" s="172" t="s">
        <v>82</v>
      </c>
      <c r="E153" s="172" t="s">
        <v>42</v>
      </c>
      <c r="F153" s="172" t="s">
        <v>89</v>
      </c>
      <c r="G153" s="172" t="s">
        <v>84</v>
      </c>
      <c r="H153" s="177">
        <v>1</v>
      </c>
      <c r="I153" s="178">
        <v>0</v>
      </c>
      <c r="J153" s="176">
        <v>46053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-11.58</v>
      </c>
    </row>
    <row r="154" spans="1:16" ht="19.5" customHeight="1">
      <c r="A154" s="172" t="s">
        <v>1387</v>
      </c>
      <c r="B154" s="176">
        <v>46054</v>
      </c>
      <c r="C154" s="172" t="s">
        <v>92</v>
      </c>
      <c r="D154" s="172" t="s">
        <v>24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46050</v>
      </c>
      <c r="K154" s="172" t="s">
        <v>93</v>
      </c>
      <c r="L154" s="172" t="s">
        <v>94</v>
      </c>
      <c r="M154" s="179">
        <v>0</v>
      </c>
      <c r="N154" s="177"/>
      <c r="O154" s="177">
        <v>44</v>
      </c>
      <c r="P154" s="180">
        <v>-56.94</v>
      </c>
    </row>
    <row r="155" spans="1:16" ht="19.5" customHeight="1">
      <c r="A155" s="172" t="s">
        <v>1387</v>
      </c>
      <c r="B155" s="176">
        <v>46054</v>
      </c>
      <c r="C155" s="172" t="s">
        <v>81</v>
      </c>
      <c r="D155" s="172" t="s">
        <v>95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46050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-10.23</v>
      </c>
    </row>
    <row r="156" spans="1:16" ht="19.5" customHeight="1">
      <c r="A156" s="172" t="s">
        <v>1387</v>
      </c>
      <c r="B156" s="176">
        <v>46054</v>
      </c>
      <c r="C156" s="172" t="s">
        <v>92</v>
      </c>
      <c r="D156" s="172" t="s">
        <v>96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0</v>
      </c>
      <c r="J156" s="176">
        <v>46050</v>
      </c>
      <c r="K156" s="172" t="s">
        <v>93</v>
      </c>
      <c r="L156" s="172" t="s">
        <v>94</v>
      </c>
      <c r="M156" s="179">
        <v>0</v>
      </c>
      <c r="N156" s="177"/>
      <c r="O156" s="177"/>
      <c r="P156" s="180">
        <v>0</v>
      </c>
    </row>
    <row r="157" spans="1:16" ht="19.5" customHeight="1">
      <c r="A157" s="172" t="s">
        <v>1387</v>
      </c>
      <c r="B157" s="176">
        <v>46054</v>
      </c>
      <c r="C157" s="172" t="s">
        <v>92</v>
      </c>
      <c r="D157" s="172" t="s">
        <v>97</v>
      </c>
      <c r="E157" s="172" t="s">
        <v>53</v>
      </c>
      <c r="F157" s="172" t="s">
        <v>120</v>
      </c>
      <c r="G157" s="172" t="s">
        <v>84</v>
      </c>
      <c r="H157" s="177">
        <v>1</v>
      </c>
      <c r="I157" s="178">
        <v>0</v>
      </c>
      <c r="J157" s="176">
        <v>46050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-56.94</v>
      </c>
    </row>
    <row r="158" spans="1:16" ht="19.5" customHeight="1">
      <c r="A158" s="172" t="s">
        <v>1387</v>
      </c>
      <c r="B158" s="176">
        <v>46054</v>
      </c>
      <c r="C158" s="172" t="s">
        <v>81</v>
      </c>
      <c r="D158" s="172" t="s">
        <v>98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46050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-15</v>
      </c>
    </row>
    <row r="159" spans="1:16" ht="19.5" customHeight="1">
      <c r="A159" s="172" t="s">
        <v>1388</v>
      </c>
      <c r="B159" s="176">
        <v>46054</v>
      </c>
      <c r="C159" s="172" t="s">
        <v>81</v>
      </c>
      <c r="D159" s="172" t="s">
        <v>82</v>
      </c>
      <c r="E159" s="172" t="s">
        <v>59</v>
      </c>
      <c r="F159" s="172" t="s">
        <v>1389</v>
      </c>
      <c r="G159" s="172" t="s">
        <v>84</v>
      </c>
      <c r="H159" s="177">
        <v>1</v>
      </c>
      <c r="I159" s="178">
        <v>0</v>
      </c>
      <c r="J159" s="176">
        <v>46054</v>
      </c>
      <c r="K159" s="172" t="s">
        <v>85</v>
      </c>
      <c r="L159" s="172" t="s">
        <v>85</v>
      </c>
      <c r="M159" s="179">
        <v>0</v>
      </c>
      <c r="N159" s="177"/>
      <c r="O159" s="177"/>
      <c r="P159" s="180">
        <v>-15.65</v>
      </c>
    </row>
    <row r="160" spans="1:16" ht="19.5" customHeight="1">
      <c r="A160" s="172" t="s">
        <v>1390</v>
      </c>
      <c r="B160" s="176">
        <v>46054</v>
      </c>
      <c r="C160" s="172" t="s">
        <v>81</v>
      </c>
      <c r="D160" s="172" t="s">
        <v>82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46054</v>
      </c>
      <c r="K160" s="172" t="s">
        <v>85</v>
      </c>
      <c r="L160" s="172" t="s">
        <v>85</v>
      </c>
      <c r="M160" s="179">
        <v>0</v>
      </c>
      <c r="N160" s="177"/>
      <c r="O160" s="177"/>
      <c r="P160" s="180">
        <v>-11.92</v>
      </c>
    </row>
    <row r="161" spans="1:16" ht="19.5" customHeight="1">
      <c r="A161" s="172" t="s">
        <v>1208</v>
      </c>
      <c r="B161" s="176">
        <v>46054</v>
      </c>
      <c r="C161" s="172" t="s">
        <v>109</v>
      </c>
      <c r="D161" s="172" t="s">
        <v>139</v>
      </c>
      <c r="E161" s="172" t="s">
        <v>85</v>
      </c>
      <c r="F161" s="172" t="s">
        <v>85</v>
      </c>
      <c r="G161" s="172" t="s">
        <v>85</v>
      </c>
      <c r="H161" s="177">
        <v>0</v>
      </c>
      <c r="I161" s="178">
        <v>0</v>
      </c>
      <c r="J161" s="176">
        <v>46054</v>
      </c>
      <c r="K161" s="172" t="s">
        <v>85</v>
      </c>
      <c r="L161" s="172" t="s">
        <v>85</v>
      </c>
      <c r="M161" s="179">
        <v>0</v>
      </c>
      <c r="N161" s="177"/>
      <c r="O161" s="177"/>
      <c r="P161" s="180">
        <v>-279.89</v>
      </c>
    </row>
    <row r="162" spans="1:16" ht="19.5" customHeight="1">
      <c r="A162" s="172" t="s">
        <v>1207</v>
      </c>
      <c r="B162" s="176">
        <v>46054</v>
      </c>
      <c r="C162" s="172" t="s">
        <v>109</v>
      </c>
      <c r="D162" s="172" t="s">
        <v>139</v>
      </c>
      <c r="E162" s="172" t="s">
        <v>85</v>
      </c>
      <c r="F162" s="172" t="s">
        <v>85</v>
      </c>
      <c r="G162" s="172" t="s">
        <v>85</v>
      </c>
      <c r="H162" s="177">
        <v>0</v>
      </c>
      <c r="I162" s="178">
        <v>0</v>
      </c>
      <c r="J162" s="176">
        <v>46054</v>
      </c>
      <c r="K162" s="172" t="s">
        <v>85</v>
      </c>
      <c r="L162" s="172" t="s">
        <v>85</v>
      </c>
      <c r="M162" s="179">
        <v>0</v>
      </c>
      <c r="N162" s="177"/>
      <c r="O162" s="177"/>
      <c r="P162" s="180">
        <v>-287.43</v>
      </c>
    </row>
    <row r="163" spans="1:16" ht="19.5" customHeight="1">
      <c r="A163" s="172" t="s">
        <v>141</v>
      </c>
      <c r="B163" s="176">
        <v>46054</v>
      </c>
      <c r="C163" s="172" t="s">
        <v>109</v>
      </c>
      <c r="D163" s="172" t="s">
        <v>139</v>
      </c>
      <c r="E163" s="172" t="s">
        <v>85</v>
      </c>
      <c r="F163" s="172" t="s">
        <v>85</v>
      </c>
      <c r="G163" s="172" t="s">
        <v>85</v>
      </c>
      <c r="H163" s="177">
        <v>0</v>
      </c>
      <c r="I163" s="178">
        <v>0</v>
      </c>
      <c r="J163" s="176">
        <v>46054</v>
      </c>
      <c r="K163" s="172" t="s">
        <v>85</v>
      </c>
      <c r="L163" s="172" t="s">
        <v>85</v>
      </c>
      <c r="M163" s="179">
        <v>0</v>
      </c>
      <c r="N163" s="177"/>
      <c r="O163" s="177"/>
      <c r="P163" s="180">
        <v>-437.07</v>
      </c>
    </row>
    <row r="164" spans="1:16" ht="19.5" customHeight="1">
      <c r="A164" s="172" t="s">
        <v>145</v>
      </c>
      <c r="B164" s="176">
        <v>46054</v>
      </c>
      <c r="C164" s="172" t="s">
        <v>109</v>
      </c>
      <c r="D164" s="172" t="s">
        <v>139</v>
      </c>
      <c r="E164" s="172" t="s">
        <v>85</v>
      </c>
      <c r="F164" s="172" t="s">
        <v>85</v>
      </c>
      <c r="G164" s="172" t="s">
        <v>85</v>
      </c>
      <c r="H164" s="177">
        <v>0</v>
      </c>
      <c r="I164" s="178">
        <v>0</v>
      </c>
      <c r="J164" s="176">
        <v>46054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-1000.19</v>
      </c>
    </row>
    <row r="165" spans="1:16" ht="19.5" customHeight="1">
      <c r="A165" s="172" t="s">
        <v>144</v>
      </c>
      <c r="B165" s="176">
        <v>46054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46054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-1175.6199999999999</v>
      </c>
    </row>
    <row r="166" spans="1:16" ht="19.5" customHeight="1">
      <c r="A166" s="172" t="s">
        <v>138</v>
      </c>
      <c r="B166" s="176">
        <v>46054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46054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-1151.5</v>
      </c>
    </row>
    <row r="167" spans="1:16" ht="19.5" customHeight="1">
      <c r="A167" s="172" t="s">
        <v>142</v>
      </c>
      <c r="B167" s="176">
        <v>46054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46054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-3076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8C3EFF-DE28-4B87-BC4F-6858DF90FA38}">
  <dimension ref="A1:P1104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227" t="s">
        <v>1082</v>
      </c>
    </row>
    <row r="2" spans="1:16" ht="78.75" customHeight="1">
      <c r="A2" s="228" t="s">
        <v>64</v>
      </c>
      <c r="B2" s="228" t="s">
        <v>65</v>
      </c>
      <c r="C2" s="228" t="s">
        <v>66</v>
      </c>
      <c r="D2" s="228" t="s">
        <v>67</v>
      </c>
      <c r="E2" s="228" t="s">
        <v>68</v>
      </c>
      <c r="F2" s="228" t="s">
        <v>69</v>
      </c>
      <c r="G2" s="228" t="s">
        <v>70</v>
      </c>
      <c r="H2" s="228" t="s">
        <v>71</v>
      </c>
      <c r="I2" s="228" t="s">
        <v>72</v>
      </c>
      <c r="J2" s="228" t="s">
        <v>73</v>
      </c>
      <c r="K2" s="228" t="s">
        <v>74</v>
      </c>
      <c r="L2" s="228" t="s">
        <v>75</v>
      </c>
      <c r="M2" s="228" t="s">
        <v>76</v>
      </c>
      <c r="N2" s="228" t="s">
        <v>77</v>
      </c>
      <c r="O2" s="228" t="s">
        <v>78</v>
      </c>
      <c r="P2" s="229" t="s">
        <v>79</v>
      </c>
    </row>
    <row r="3" spans="1:16" ht="19.5" customHeight="1">
      <c r="A3" s="227" t="s">
        <v>1083</v>
      </c>
      <c r="B3" s="230">
        <v>46048</v>
      </c>
      <c r="C3" s="227" t="s">
        <v>81</v>
      </c>
      <c r="D3" s="227" t="s">
        <v>82</v>
      </c>
      <c r="E3" s="227" t="s">
        <v>52</v>
      </c>
      <c r="F3" s="227" t="s">
        <v>90</v>
      </c>
      <c r="G3" s="227" t="s">
        <v>84</v>
      </c>
      <c r="H3" s="231">
        <v>1</v>
      </c>
      <c r="I3" s="232">
        <v>0</v>
      </c>
      <c r="J3" s="230">
        <v>46048</v>
      </c>
      <c r="K3" s="227" t="s">
        <v>85</v>
      </c>
      <c r="L3" s="227" t="s">
        <v>85</v>
      </c>
      <c r="M3" s="233">
        <v>0</v>
      </c>
      <c r="N3" s="231"/>
      <c r="O3" s="231"/>
      <c r="P3" s="234">
        <v>-5.65</v>
      </c>
    </row>
    <row r="4" spans="1:16" ht="19.5" customHeight="1">
      <c r="A4" s="227" t="s">
        <v>247</v>
      </c>
      <c r="B4" s="230">
        <v>46048</v>
      </c>
      <c r="C4" s="227" t="s">
        <v>92</v>
      </c>
      <c r="D4" s="227" t="s">
        <v>272</v>
      </c>
      <c r="E4" s="227" t="s">
        <v>43</v>
      </c>
      <c r="F4" s="227" t="s">
        <v>125</v>
      </c>
      <c r="G4" s="227" t="s">
        <v>84</v>
      </c>
      <c r="H4" s="231">
        <v>1</v>
      </c>
      <c r="I4" s="232">
        <v>0</v>
      </c>
      <c r="J4" s="230">
        <v>46025</v>
      </c>
      <c r="K4" s="227" t="s">
        <v>93</v>
      </c>
      <c r="L4" s="227" t="s">
        <v>94</v>
      </c>
      <c r="M4" s="233">
        <v>0</v>
      </c>
      <c r="N4" s="231"/>
      <c r="O4" s="231"/>
      <c r="P4" s="234">
        <v>0</v>
      </c>
    </row>
    <row r="5" spans="1:16" ht="19.5" customHeight="1">
      <c r="A5" s="227" t="s">
        <v>247</v>
      </c>
      <c r="B5" s="230">
        <v>46048</v>
      </c>
      <c r="C5" s="227" t="s">
        <v>92</v>
      </c>
      <c r="D5" s="227" t="s">
        <v>97</v>
      </c>
      <c r="E5" s="227" t="s">
        <v>43</v>
      </c>
      <c r="F5" s="227" t="s">
        <v>125</v>
      </c>
      <c r="G5" s="227" t="s">
        <v>84</v>
      </c>
      <c r="H5" s="231">
        <v>1</v>
      </c>
      <c r="I5" s="232">
        <v>0</v>
      </c>
      <c r="J5" s="230">
        <v>46025</v>
      </c>
      <c r="K5" s="227" t="s">
        <v>93</v>
      </c>
      <c r="L5" s="227" t="s">
        <v>94</v>
      </c>
      <c r="M5" s="233">
        <v>0</v>
      </c>
      <c r="N5" s="231"/>
      <c r="O5" s="231"/>
      <c r="P5" s="234">
        <v>-46.77</v>
      </c>
    </row>
    <row r="6" spans="1:16" ht="19.5" customHeight="1">
      <c r="A6" s="227" t="s">
        <v>247</v>
      </c>
      <c r="B6" s="230">
        <v>46048</v>
      </c>
      <c r="C6" s="227" t="s">
        <v>81</v>
      </c>
      <c r="D6" s="227" t="s">
        <v>98</v>
      </c>
      <c r="E6" s="227" t="s">
        <v>43</v>
      </c>
      <c r="F6" s="227" t="s">
        <v>125</v>
      </c>
      <c r="G6" s="227" t="s">
        <v>84</v>
      </c>
      <c r="H6" s="231">
        <v>1</v>
      </c>
      <c r="I6" s="232">
        <v>0</v>
      </c>
      <c r="J6" s="230">
        <v>46025</v>
      </c>
      <c r="K6" s="227" t="s">
        <v>93</v>
      </c>
      <c r="L6" s="227" t="s">
        <v>94</v>
      </c>
      <c r="M6" s="233">
        <v>0</v>
      </c>
      <c r="N6" s="231"/>
      <c r="O6" s="231"/>
      <c r="P6" s="234">
        <v>-15</v>
      </c>
    </row>
    <row r="7" spans="1:16" ht="19.5" customHeight="1">
      <c r="A7" s="227" t="s">
        <v>1084</v>
      </c>
      <c r="B7" s="230">
        <v>46048</v>
      </c>
      <c r="C7" s="227" t="s">
        <v>92</v>
      </c>
      <c r="D7" s="227" t="s">
        <v>96</v>
      </c>
      <c r="E7" s="227" t="s">
        <v>52</v>
      </c>
      <c r="F7" s="227" t="s">
        <v>90</v>
      </c>
      <c r="G7" s="227" t="s">
        <v>84</v>
      </c>
      <c r="H7" s="231">
        <v>1</v>
      </c>
      <c r="I7" s="232">
        <v>0</v>
      </c>
      <c r="J7" s="230">
        <v>46041</v>
      </c>
      <c r="K7" s="227" t="s">
        <v>93</v>
      </c>
      <c r="L7" s="227" t="s">
        <v>94</v>
      </c>
      <c r="M7" s="233">
        <v>0</v>
      </c>
      <c r="N7" s="231"/>
      <c r="O7" s="231"/>
      <c r="P7" s="234">
        <v>0</v>
      </c>
    </row>
    <row r="8" spans="1:16" ht="19.5" customHeight="1">
      <c r="A8" s="227" t="s">
        <v>1084</v>
      </c>
      <c r="B8" s="230">
        <v>46048</v>
      </c>
      <c r="C8" s="227" t="s">
        <v>92</v>
      </c>
      <c r="D8" s="227" t="s">
        <v>97</v>
      </c>
      <c r="E8" s="227" t="s">
        <v>52</v>
      </c>
      <c r="F8" s="227" t="s">
        <v>90</v>
      </c>
      <c r="G8" s="227" t="s">
        <v>84</v>
      </c>
      <c r="H8" s="231">
        <v>1</v>
      </c>
      <c r="I8" s="232">
        <v>0</v>
      </c>
      <c r="J8" s="230">
        <v>46041</v>
      </c>
      <c r="K8" s="227" t="s">
        <v>93</v>
      </c>
      <c r="L8" s="227" t="s">
        <v>94</v>
      </c>
      <c r="M8" s="233">
        <v>0</v>
      </c>
      <c r="N8" s="231"/>
      <c r="O8" s="231"/>
      <c r="P8" s="234">
        <v>-56</v>
      </c>
    </row>
    <row r="9" spans="1:16" ht="19.5" customHeight="1">
      <c r="A9" s="227" t="s">
        <v>1084</v>
      </c>
      <c r="B9" s="230">
        <v>46048</v>
      </c>
      <c r="C9" s="227" t="s">
        <v>81</v>
      </c>
      <c r="D9" s="227" t="s">
        <v>98</v>
      </c>
      <c r="E9" s="227" t="s">
        <v>52</v>
      </c>
      <c r="F9" s="227" t="s">
        <v>90</v>
      </c>
      <c r="G9" s="227" t="s">
        <v>84</v>
      </c>
      <c r="H9" s="231">
        <v>1</v>
      </c>
      <c r="I9" s="232">
        <v>0</v>
      </c>
      <c r="J9" s="230">
        <v>46041</v>
      </c>
      <c r="K9" s="227" t="s">
        <v>93</v>
      </c>
      <c r="L9" s="227" t="s">
        <v>94</v>
      </c>
      <c r="M9" s="233">
        <v>0</v>
      </c>
      <c r="N9" s="231"/>
      <c r="O9" s="231"/>
      <c r="P9" s="234">
        <v>-15</v>
      </c>
    </row>
    <row r="10" spans="1:16" ht="19.5" customHeight="1">
      <c r="A10" s="227" t="s">
        <v>1084</v>
      </c>
      <c r="B10" s="230">
        <v>46048</v>
      </c>
      <c r="C10" s="227" t="s">
        <v>92</v>
      </c>
      <c r="D10" s="227" t="s">
        <v>24</v>
      </c>
      <c r="E10" s="227" t="s">
        <v>52</v>
      </c>
      <c r="F10" s="227" t="s">
        <v>90</v>
      </c>
      <c r="G10" s="227" t="s">
        <v>84</v>
      </c>
      <c r="H10" s="231">
        <v>1</v>
      </c>
      <c r="I10" s="232">
        <v>0</v>
      </c>
      <c r="J10" s="230">
        <v>46041</v>
      </c>
      <c r="K10" s="227" t="s">
        <v>93</v>
      </c>
      <c r="L10" s="227" t="s">
        <v>94</v>
      </c>
      <c r="M10" s="233">
        <v>0</v>
      </c>
      <c r="N10" s="231"/>
      <c r="O10" s="231">
        <v>44</v>
      </c>
      <c r="P10" s="234">
        <v>-56</v>
      </c>
    </row>
    <row r="11" spans="1:16" ht="19.5" customHeight="1">
      <c r="A11" s="227" t="s">
        <v>1084</v>
      </c>
      <c r="B11" s="230">
        <v>46048</v>
      </c>
      <c r="C11" s="227" t="s">
        <v>81</v>
      </c>
      <c r="D11" s="227" t="s">
        <v>95</v>
      </c>
      <c r="E11" s="227" t="s">
        <v>52</v>
      </c>
      <c r="F11" s="227" t="s">
        <v>90</v>
      </c>
      <c r="G11" s="227" t="s">
        <v>84</v>
      </c>
      <c r="H11" s="231">
        <v>1</v>
      </c>
      <c r="I11" s="232">
        <v>0</v>
      </c>
      <c r="J11" s="230">
        <v>46041</v>
      </c>
      <c r="K11" s="227" t="s">
        <v>93</v>
      </c>
      <c r="L11" s="227" t="s">
        <v>94</v>
      </c>
      <c r="M11" s="233">
        <v>0</v>
      </c>
      <c r="N11" s="231"/>
      <c r="O11" s="231"/>
      <c r="P11" s="234">
        <v>-9.6199999999999992</v>
      </c>
    </row>
    <row r="12" spans="1:16" ht="19.5" customHeight="1">
      <c r="A12" s="227" t="s">
        <v>1085</v>
      </c>
      <c r="B12" s="230">
        <v>46048</v>
      </c>
      <c r="C12" s="227" t="s">
        <v>92</v>
      </c>
      <c r="D12" s="227" t="s">
        <v>24</v>
      </c>
      <c r="E12" s="227" t="s">
        <v>38</v>
      </c>
      <c r="F12" s="227" t="s">
        <v>87</v>
      </c>
      <c r="G12" s="227" t="s">
        <v>84</v>
      </c>
      <c r="H12" s="231">
        <v>1</v>
      </c>
      <c r="I12" s="232">
        <v>0</v>
      </c>
      <c r="J12" s="230">
        <v>46044</v>
      </c>
      <c r="K12" s="227" t="s">
        <v>93</v>
      </c>
      <c r="L12" s="227" t="s">
        <v>94</v>
      </c>
      <c r="M12" s="233">
        <v>0</v>
      </c>
      <c r="N12" s="231"/>
      <c r="O12" s="231">
        <v>42</v>
      </c>
      <c r="P12" s="234">
        <v>-46.77</v>
      </c>
    </row>
    <row r="13" spans="1:16" ht="19.5" customHeight="1">
      <c r="A13" s="227" t="s">
        <v>1085</v>
      </c>
      <c r="B13" s="230">
        <v>46048</v>
      </c>
      <c r="C13" s="227" t="s">
        <v>81</v>
      </c>
      <c r="D13" s="227" t="s">
        <v>95</v>
      </c>
      <c r="E13" s="227" t="s">
        <v>38</v>
      </c>
      <c r="F13" s="227" t="s">
        <v>87</v>
      </c>
      <c r="G13" s="227" t="s">
        <v>84</v>
      </c>
      <c r="H13" s="231">
        <v>1</v>
      </c>
      <c r="I13" s="232">
        <v>0</v>
      </c>
      <c r="J13" s="230">
        <v>46044</v>
      </c>
      <c r="K13" s="227" t="s">
        <v>93</v>
      </c>
      <c r="L13" s="227" t="s">
        <v>94</v>
      </c>
      <c r="M13" s="233">
        <v>0</v>
      </c>
      <c r="N13" s="231"/>
      <c r="O13" s="231"/>
      <c r="P13" s="234">
        <v>-16.739999999999998</v>
      </c>
    </row>
    <row r="14" spans="1:16" ht="19.5" customHeight="1">
      <c r="A14" s="227" t="s">
        <v>1085</v>
      </c>
      <c r="B14" s="230">
        <v>46048</v>
      </c>
      <c r="C14" s="227" t="s">
        <v>92</v>
      </c>
      <c r="D14" s="227" t="s">
        <v>96</v>
      </c>
      <c r="E14" s="227" t="s">
        <v>38</v>
      </c>
      <c r="F14" s="227" t="s">
        <v>87</v>
      </c>
      <c r="G14" s="227" t="s">
        <v>84</v>
      </c>
      <c r="H14" s="231">
        <v>1</v>
      </c>
      <c r="I14" s="232">
        <v>0</v>
      </c>
      <c r="J14" s="230">
        <v>46044</v>
      </c>
      <c r="K14" s="227" t="s">
        <v>93</v>
      </c>
      <c r="L14" s="227" t="s">
        <v>94</v>
      </c>
      <c r="M14" s="233">
        <v>0</v>
      </c>
      <c r="N14" s="231"/>
      <c r="O14" s="231"/>
      <c r="P14" s="234">
        <v>0</v>
      </c>
    </row>
    <row r="15" spans="1:16" ht="19.5" customHeight="1">
      <c r="A15" s="227" t="s">
        <v>1085</v>
      </c>
      <c r="B15" s="230">
        <v>46048</v>
      </c>
      <c r="C15" s="227" t="s">
        <v>92</v>
      </c>
      <c r="D15" s="227" t="s">
        <v>97</v>
      </c>
      <c r="E15" s="227" t="s">
        <v>38</v>
      </c>
      <c r="F15" s="227" t="s">
        <v>87</v>
      </c>
      <c r="G15" s="227" t="s">
        <v>84</v>
      </c>
      <c r="H15" s="231">
        <v>1</v>
      </c>
      <c r="I15" s="232">
        <v>0</v>
      </c>
      <c r="J15" s="230">
        <v>46044</v>
      </c>
      <c r="K15" s="227" t="s">
        <v>93</v>
      </c>
      <c r="L15" s="227" t="s">
        <v>94</v>
      </c>
      <c r="M15" s="233">
        <v>0</v>
      </c>
      <c r="N15" s="231"/>
      <c r="O15" s="231"/>
      <c r="P15" s="234">
        <v>-46.77</v>
      </c>
    </row>
    <row r="16" spans="1:16" ht="19.5" customHeight="1">
      <c r="A16" s="227" t="s">
        <v>1085</v>
      </c>
      <c r="B16" s="230">
        <v>46048</v>
      </c>
      <c r="C16" s="227" t="s">
        <v>81</v>
      </c>
      <c r="D16" s="227" t="s">
        <v>98</v>
      </c>
      <c r="E16" s="227" t="s">
        <v>38</v>
      </c>
      <c r="F16" s="227" t="s">
        <v>87</v>
      </c>
      <c r="G16" s="227" t="s">
        <v>84</v>
      </c>
      <c r="H16" s="231">
        <v>1</v>
      </c>
      <c r="I16" s="232">
        <v>0</v>
      </c>
      <c r="J16" s="230">
        <v>46044</v>
      </c>
      <c r="K16" s="227" t="s">
        <v>93</v>
      </c>
      <c r="L16" s="227" t="s">
        <v>94</v>
      </c>
      <c r="M16" s="233">
        <v>0</v>
      </c>
      <c r="N16" s="231"/>
      <c r="O16" s="231"/>
      <c r="P16" s="234">
        <v>-15</v>
      </c>
    </row>
    <row r="17" spans="1:16" ht="19.5" customHeight="1">
      <c r="A17" s="227" t="s">
        <v>1086</v>
      </c>
      <c r="B17" s="230">
        <v>46048</v>
      </c>
      <c r="C17" s="227" t="s">
        <v>81</v>
      </c>
      <c r="D17" s="227" t="s">
        <v>82</v>
      </c>
      <c r="E17" s="227" t="s">
        <v>42</v>
      </c>
      <c r="F17" s="227" t="s">
        <v>89</v>
      </c>
      <c r="G17" s="227" t="s">
        <v>84</v>
      </c>
      <c r="H17" s="231">
        <v>1</v>
      </c>
      <c r="I17" s="232">
        <v>0</v>
      </c>
      <c r="J17" s="230">
        <v>46048</v>
      </c>
      <c r="K17" s="227" t="s">
        <v>85</v>
      </c>
      <c r="L17" s="227" t="s">
        <v>85</v>
      </c>
      <c r="M17" s="233">
        <v>0</v>
      </c>
      <c r="N17" s="231"/>
      <c r="O17" s="231"/>
      <c r="P17" s="234">
        <v>-6.53</v>
      </c>
    </row>
    <row r="18" spans="1:16" ht="19.5" customHeight="1">
      <c r="A18" s="227" t="s">
        <v>1087</v>
      </c>
      <c r="B18" s="230">
        <v>46048</v>
      </c>
      <c r="C18" s="227" t="s">
        <v>81</v>
      </c>
      <c r="D18" s="227" t="s">
        <v>82</v>
      </c>
      <c r="E18" s="227" t="s">
        <v>52</v>
      </c>
      <c r="F18" s="227" t="s">
        <v>90</v>
      </c>
      <c r="G18" s="227" t="s">
        <v>84</v>
      </c>
      <c r="H18" s="231">
        <v>2</v>
      </c>
      <c r="I18" s="232">
        <v>0</v>
      </c>
      <c r="J18" s="230">
        <v>46048</v>
      </c>
      <c r="K18" s="227" t="s">
        <v>85</v>
      </c>
      <c r="L18" s="227" t="s">
        <v>85</v>
      </c>
      <c r="M18" s="233">
        <v>0</v>
      </c>
      <c r="N18" s="231"/>
      <c r="O18" s="231"/>
      <c r="P18" s="234">
        <v>-25.82</v>
      </c>
    </row>
    <row r="19" spans="1:16" ht="19.5" customHeight="1">
      <c r="A19" s="227" t="s">
        <v>85</v>
      </c>
      <c r="B19" s="230">
        <v>46048</v>
      </c>
      <c r="C19" s="227" t="s">
        <v>109</v>
      </c>
      <c r="D19" s="227" t="s">
        <v>110</v>
      </c>
      <c r="E19" s="227" t="s">
        <v>85</v>
      </c>
      <c r="F19" s="227" t="s">
        <v>85</v>
      </c>
      <c r="G19" s="227" t="s">
        <v>1088</v>
      </c>
      <c r="H19" s="231">
        <v>0</v>
      </c>
      <c r="I19" s="232">
        <v>0</v>
      </c>
      <c r="J19" s="230">
        <v>46048</v>
      </c>
      <c r="K19" s="227" t="s">
        <v>85</v>
      </c>
      <c r="L19" s="227" t="s">
        <v>85</v>
      </c>
      <c r="M19" s="233">
        <v>0</v>
      </c>
      <c r="N19" s="231"/>
      <c r="O19" s="231"/>
      <c r="P19" s="234">
        <v>-150</v>
      </c>
    </row>
    <row r="20" spans="1:16" ht="19.5" customHeight="1">
      <c r="A20" s="227" t="s">
        <v>1089</v>
      </c>
      <c r="B20" s="230">
        <v>46048</v>
      </c>
      <c r="C20" s="227" t="s">
        <v>92</v>
      </c>
      <c r="D20" s="227" t="s">
        <v>24</v>
      </c>
      <c r="E20" s="227" t="s">
        <v>53</v>
      </c>
      <c r="F20" s="227" t="s">
        <v>120</v>
      </c>
      <c r="G20" s="227" t="s">
        <v>84</v>
      </c>
      <c r="H20" s="231">
        <v>1</v>
      </c>
      <c r="I20" s="232">
        <v>1845</v>
      </c>
      <c r="J20" s="230">
        <v>46040</v>
      </c>
      <c r="K20" s="227" t="s">
        <v>93</v>
      </c>
      <c r="L20" s="227" t="s">
        <v>94</v>
      </c>
      <c r="M20" s="233">
        <v>0.43</v>
      </c>
      <c r="N20" s="231"/>
      <c r="O20" s="231">
        <v>45</v>
      </c>
      <c r="P20" s="234">
        <v>-155.41</v>
      </c>
    </row>
    <row r="21" spans="1:16" ht="19.5" customHeight="1">
      <c r="A21" s="227" t="s">
        <v>1089</v>
      </c>
      <c r="B21" s="230">
        <v>46048</v>
      </c>
      <c r="C21" s="227" t="s">
        <v>100</v>
      </c>
      <c r="D21" s="227" t="s">
        <v>101</v>
      </c>
      <c r="E21" s="227" t="s">
        <v>53</v>
      </c>
      <c r="F21" s="227" t="s">
        <v>120</v>
      </c>
      <c r="G21" s="227" t="s">
        <v>84</v>
      </c>
      <c r="H21" s="231">
        <v>1</v>
      </c>
      <c r="I21" s="232">
        <v>1845</v>
      </c>
      <c r="J21" s="230">
        <v>46040</v>
      </c>
      <c r="K21" s="227" t="s">
        <v>93</v>
      </c>
      <c r="L21" s="227" t="s">
        <v>94</v>
      </c>
      <c r="M21" s="233">
        <v>0</v>
      </c>
      <c r="N21" s="231"/>
      <c r="O21" s="231"/>
      <c r="P21" s="234">
        <v>727.62</v>
      </c>
    </row>
    <row r="22" spans="1:16" ht="19.5" customHeight="1">
      <c r="A22" s="227" t="s">
        <v>1089</v>
      </c>
      <c r="B22" s="230">
        <v>46048</v>
      </c>
      <c r="C22" s="227" t="s">
        <v>100</v>
      </c>
      <c r="D22" s="227" t="s">
        <v>102</v>
      </c>
      <c r="E22" s="227" t="s">
        <v>53</v>
      </c>
      <c r="F22" s="227" t="s">
        <v>120</v>
      </c>
      <c r="G22" s="227" t="s">
        <v>84</v>
      </c>
      <c r="H22" s="231">
        <v>1</v>
      </c>
      <c r="I22" s="232">
        <v>1845</v>
      </c>
      <c r="J22" s="230">
        <v>46040</v>
      </c>
      <c r="K22" s="227" t="s">
        <v>93</v>
      </c>
      <c r="L22" s="227" t="s">
        <v>94</v>
      </c>
      <c r="M22" s="233">
        <v>0</v>
      </c>
      <c r="N22" s="231"/>
      <c r="O22" s="231"/>
      <c r="P22" s="234">
        <v>7.28</v>
      </c>
    </row>
    <row r="23" spans="1:16" ht="19.5" customHeight="1">
      <c r="A23" s="227" t="s">
        <v>1089</v>
      </c>
      <c r="B23" s="230">
        <v>46048</v>
      </c>
      <c r="C23" s="227" t="s">
        <v>100</v>
      </c>
      <c r="D23" s="227" t="s">
        <v>103</v>
      </c>
      <c r="E23" s="227" t="s">
        <v>53</v>
      </c>
      <c r="F23" s="227" t="s">
        <v>120</v>
      </c>
      <c r="G23" s="227" t="s">
        <v>84</v>
      </c>
      <c r="H23" s="231">
        <v>1</v>
      </c>
      <c r="I23" s="232">
        <v>1845</v>
      </c>
      <c r="J23" s="230">
        <v>46040</v>
      </c>
      <c r="K23" s="227" t="s">
        <v>93</v>
      </c>
      <c r="L23" s="227" t="s">
        <v>94</v>
      </c>
      <c r="M23" s="233">
        <v>0</v>
      </c>
      <c r="N23" s="231"/>
      <c r="O23" s="231"/>
      <c r="P23" s="234">
        <v>1110.0999999999999</v>
      </c>
    </row>
    <row r="24" spans="1:16" ht="19.5" customHeight="1">
      <c r="A24" s="227" t="s">
        <v>1089</v>
      </c>
      <c r="B24" s="230">
        <v>46048</v>
      </c>
      <c r="C24" s="227" t="s">
        <v>104</v>
      </c>
      <c r="D24" s="227" t="s">
        <v>105</v>
      </c>
      <c r="E24" s="227" t="s">
        <v>53</v>
      </c>
      <c r="F24" s="227" t="s">
        <v>120</v>
      </c>
      <c r="G24" s="227" t="s">
        <v>84</v>
      </c>
      <c r="H24" s="231">
        <v>1</v>
      </c>
      <c r="I24" s="232">
        <v>1845</v>
      </c>
      <c r="J24" s="230">
        <v>46040</v>
      </c>
      <c r="K24" s="227" t="s">
        <v>93</v>
      </c>
      <c r="L24" s="227" t="s">
        <v>94</v>
      </c>
      <c r="M24" s="233">
        <v>0.43</v>
      </c>
      <c r="N24" s="231"/>
      <c r="O24" s="231"/>
      <c r="P24" s="234">
        <v>-793.35</v>
      </c>
    </row>
    <row r="25" spans="1:16" ht="19.5" customHeight="1">
      <c r="A25" s="227" t="s">
        <v>1089</v>
      </c>
      <c r="B25" s="230">
        <v>46048</v>
      </c>
      <c r="C25" s="227" t="s">
        <v>81</v>
      </c>
      <c r="D25" s="227" t="s">
        <v>95</v>
      </c>
      <c r="E25" s="227" t="s">
        <v>53</v>
      </c>
      <c r="F25" s="227" t="s">
        <v>120</v>
      </c>
      <c r="G25" s="227" t="s">
        <v>84</v>
      </c>
      <c r="H25" s="231">
        <v>1</v>
      </c>
      <c r="I25" s="232">
        <v>1845</v>
      </c>
      <c r="J25" s="230">
        <v>46040</v>
      </c>
      <c r="K25" s="227" t="s">
        <v>93</v>
      </c>
      <c r="L25" s="227" t="s">
        <v>94</v>
      </c>
      <c r="M25" s="233">
        <v>0.43</v>
      </c>
      <c r="N25" s="231"/>
      <c r="O25" s="231"/>
      <c r="P25" s="234">
        <v>-25</v>
      </c>
    </row>
    <row r="26" spans="1:16" ht="19.5" customHeight="1">
      <c r="A26" s="227" t="s">
        <v>1089</v>
      </c>
      <c r="B26" s="230">
        <v>46048</v>
      </c>
      <c r="C26" s="227" t="s">
        <v>81</v>
      </c>
      <c r="D26" s="227" t="s">
        <v>82</v>
      </c>
      <c r="E26" s="227" t="s">
        <v>53</v>
      </c>
      <c r="F26" s="227" t="s">
        <v>120</v>
      </c>
      <c r="G26" s="227" t="s">
        <v>84</v>
      </c>
      <c r="H26" s="231">
        <v>1</v>
      </c>
      <c r="I26" s="232">
        <v>0</v>
      </c>
      <c r="J26" s="230">
        <v>46040</v>
      </c>
      <c r="K26" s="227" t="s">
        <v>85</v>
      </c>
      <c r="L26" s="227" t="s">
        <v>85</v>
      </c>
      <c r="M26" s="233">
        <v>0</v>
      </c>
      <c r="N26" s="231"/>
      <c r="O26" s="231"/>
      <c r="P26" s="234">
        <v>-13.82</v>
      </c>
    </row>
    <row r="27" spans="1:16" ht="19.5" customHeight="1">
      <c r="A27" s="227" t="s">
        <v>1090</v>
      </c>
      <c r="B27" s="230">
        <v>46048</v>
      </c>
      <c r="C27" s="227" t="s">
        <v>92</v>
      </c>
      <c r="D27" s="227" t="s">
        <v>24</v>
      </c>
      <c r="E27" s="227" t="s">
        <v>42</v>
      </c>
      <c r="F27" s="227" t="s">
        <v>89</v>
      </c>
      <c r="G27" s="227" t="s">
        <v>84</v>
      </c>
      <c r="H27" s="231">
        <v>1</v>
      </c>
      <c r="I27" s="232">
        <v>1750</v>
      </c>
      <c r="J27" s="230">
        <v>46046</v>
      </c>
      <c r="K27" s="227" t="s">
        <v>93</v>
      </c>
      <c r="L27" s="227" t="s">
        <v>94</v>
      </c>
      <c r="M27" s="233">
        <v>0.43</v>
      </c>
      <c r="N27" s="231"/>
      <c r="O27" s="231">
        <v>40</v>
      </c>
      <c r="P27" s="234">
        <v>-115.25</v>
      </c>
    </row>
    <row r="28" spans="1:16" ht="19.5" customHeight="1">
      <c r="A28" s="227" t="s">
        <v>1090</v>
      </c>
      <c r="B28" s="230">
        <v>46048</v>
      </c>
      <c r="C28" s="227" t="s">
        <v>100</v>
      </c>
      <c r="D28" s="227" t="s">
        <v>101</v>
      </c>
      <c r="E28" s="227" t="s">
        <v>42</v>
      </c>
      <c r="F28" s="227" t="s">
        <v>89</v>
      </c>
      <c r="G28" s="227" t="s">
        <v>84</v>
      </c>
      <c r="H28" s="231">
        <v>1</v>
      </c>
      <c r="I28" s="232">
        <v>1750</v>
      </c>
      <c r="J28" s="230">
        <v>46046</v>
      </c>
      <c r="K28" s="227" t="s">
        <v>93</v>
      </c>
      <c r="L28" s="227" t="s">
        <v>94</v>
      </c>
      <c r="M28" s="233">
        <v>0</v>
      </c>
      <c r="N28" s="231"/>
      <c r="O28" s="231"/>
      <c r="P28" s="234">
        <v>647.62</v>
      </c>
    </row>
    <row r="29" spans="1:16" ht="19.5" customHeight="1">
      <c r="A29" s="227" t="s">
        <v>1090</v>
      </c>
      <c r="B29" s="230">
        <v>46048</v>
      </c>
      <c r="C29" s="227" t="s">
        <v>100</v>
      </c>
      <c r="D29" s="227" t="s">
        <v>102</v>
      </c>
      <c r="E29" s="227" t="s">
        <v>42</v>
      </c>
      <c r="F29" s="227" t="s">
        <v>89</v>
      </c>
      <c r="G29" s="227" t="s">
        <v>84</v>
      </c>
      <c r="H29" s="231">
        <v>1</v>
      </c>
      <c r="I29" s="232">
        <v>1750</v>
      </c>
      <c r="J29" s="230">
        <v>46046</v>
      </c>
      <c r="K29" s="227" t="s">
        <v>93</v>
      </c>
      <c r="L29" s="227" t="s">
        <v>94</v>
      </c>
      <c r="M29" s="233">
        <v>0</v>
      </c>
      <c r="N29" s="231"/>
      <c r="O29" s="231"/>
      <c r="P29" s="234">
        <v>6.48</v>
      </c>
    </row>
    <row r="30" spans="1:16" ht="19.5" customHeight="1">
      <c r="A30" s="227" t="s">
        <v>1090</v>
      </c>
      <c r="B30" s="230">
        <v>46048</v>
      </c>
      <c r="C30" s="227" t="s">
        <v>100</v>
      </c>
      <c r="D30" s="227" t="s">
        <v>103</v>
      </c>
      <c r="E30" s="227" t="s">
        <v>42</v>
      </c>
      <c r="F30" s="227" t="s">
        <v>89</v>
      </c>
      <c r="G30" s="227" t="s">
        <v>84</v>
      </c>
      <c r="H30" s="231">
        <v>1</v>
      </c>
      <c r="I30" s="232">
        <v>1750</v>
      </c>
      <c r="J30" s="230">
        <v>46046</v>
      </c>
      <c r="K30" s="227" t="s">
        <v>93</v>
      </c>
      <c r="L30" s="227" t="s">
        <v>94</v>
      </c>
      <c r="M30" s="233">
        <v>0</v>
      </c>
      <c r="N30" s="231"/>
      <c r="O30" s="231"/>
      <c r="P30" s="234">
        <v>1095.9000000000001</v>
      </c>
    </row>
    <row r="31" spans="1:16" ht="19.5" customHeight="1">
      <c r="A31" s="227" t="s">
        <v>1090</v>
      </c>
      <c r="B31" s="230">
        <v>46048</v>
      </c>
      <c r="C31" s="227" t="s">
        <v>104</v>
      </c>
      <c r="D31" s="227" t="s">
        <v>105</v>
      </c>
      <c r="E31" s="227" t="s">
        <v>42</v>
      </c>
      <c r="F31" s="227" t="s">
        <v>89</v>
      </c>
      <c r="G31" s="227" t="s">
        <v>84</v>
      </c>
      <c r="H31" s="231">
        <v>1</v>
      </c>
      <c r="I31" s="232">
        <v>1750</v>
      </c>
      <c r="J31" s="230">
        <v>46046</v>
      </c>
      <c r="K31" s="227" t="s">
        <v>93</v>
      </c>
      <c r="L31" s="227" t="s">
        <v>94</v>
      </c>
      <c r="M31" s="233">
        <v>0.43</v>
      </c>
      <c r="N31" s="231"/>
      <c r="O31" s="231"/>
      <c r="P31" s="234">
        <v>-752.5</v>
      </c>
    </row>
    <row r="32" spans="1:16" ht="19.5" customHeight="1">
      <c r="A32" s="227" t="s">
        <v>1090</v>
      </c>
      <c r="B32" s="230">
        <v>46048</v>
      </c>
      <c r="C32" s="227" t="s">
        <v>81</v>
      </c>
      <c r="D32" s="227" t="s">
        <v>95</v>
      </c>
      <c r="E32" s="227" t="s">
        <v>42</v>
      </c>
      <c r="F32" s="227" t="s">
        <v>89</v>
      </c>
      <c r="G32" s="227" t="s">
        <v>84</v>
      </c>
      <c r="H32" s="231">
        <v>1</v>
      </c>
      <c r="I32" s="232">
        <v>1750</v>
      </c>
      <c r="J32" s="230">
        <v>46046</v>
      </c>
      <c r="K32" s="227" t="s">
        <v>93</v>
      </c>
      <c r="L32" s="227" t="s">
        <v>94</v>
      </c>
      <c r="M32" s="233">
        <v>0.43</v>
      </c>
      <c r="N32" s="231"/>
      <c r="O32" s="231"/>
      <c r="P32" s="234">
        <v>-13.63</v>
      </c>
    </row>
    <row r="33" spans="1:16" ht="19.5" customHeight="1">
      <c r="A33" s="227" t="s">
        <v>1090</v>
      </c>
      <c r="B33" s="230">
        <v>46048</v>
      </c>
      <c r="C33" s="227" t="s">
        <v>81</v>
      </c>
      <c r="D33" s="227" t="s">
        <v>82</v>
      </c>
      <c r="E33" s="227" t="s">
        <v>42</v>
      </c>
      <c r="F33" s="227" t="s">
        <v>89</v>
      </c>
      <c r="G33" s="227" t="s">
        <v>84</v>
      </c>
      <c r="H33" s="231">
        <v>1</v>
      </c>
      <c r="I33" s="232">
        <v>0</v>
      </c>
      <c r="J33" s="230">
        <v>46046</v>
      </c>
      <c r="K33" s="227" t="s">
        <v>85</v>
      </c>
      <c r="L33" s="227" t="s">
        <v>85</v>
      </c>
      <c r="M33" s="233">
        <v>0</v>
      </c>
      <c r="N33" s="231"/>
      <c r="O33" s="231"/>
      <c r="P33" s="234">
        <v>-12.3</v>
      </c>
    </row>
    <row r="34" spans="1:16" ht="19.5" customHeight="1">
      <c r="A34" s="227" t="s">
        <v>1091</v>
      </c>
      <c r="B34" s="230">
        <v>46048</v>
      </c>
      <c r="C34" s="227" t="s">
        <v>92</v>
      </c>
      <c r="D34" s="227" t="s">
        <v>24</v>
      </c>
      <c r="E34" s="227" t="s">
        <v>53</v>
      </c>
      <c r="F34" s="227" t="s">
        <v>120</v>
      </c>
      <c r="G34" s="227" t="s">
        <v>84</v>
      </c>
      <c r="H34" s="231">
        <v>1</v>
      </c>
      <c r="I34" s="232">
        <v>1812</v>
      </c>
      <c r="J34" s="230">
        <v>46045</v>
      </c>
      <c r="K34" s="227" t="s">
        <v>93</v>
      </c>
      <c r="L34" s="227" t="s">
        <v>94</v>
      </c>
      <c r="M34" s="233">
        <v>0.43</v>
      </c>
      <c r="N34" s="231"/>
      <c r="O34" s="231">
        <v>40</v>
      </c>
      <c r="P34" s="234">
        <v>-130.77000000000001</v>
      </c>
    </row>
    <row r="35" spans="1:16" ht="19.5" customHeight="1">
      <c r="A35" s="227" t="s">
        <v>1091</v>
      </c>
      <c r="B35" s="230">
        <v>46048</v>
      </c>
      <c r="C35" s="227" t="s">
        <v>100</v>
      </c>
      <c r="D35" s="227" t="s">
        <v>101</v>
      </c>
      <c r="E35" s="227" t="s">
        <v>53</v>
      </c>
      <c r="F35" s="227" t="s">
        <v>120</v>
      </c>
      <c r="G35" s="227" t="s">
        <v>84</v>
      </c>
      <c r="H35" s="231">
        <v>1</v>
      </c>
      <c r="I35" s="232">
        <v>1812</v>
      </c>
      <c r="J35" s="230">
        <v>46045</v>
      </c>
      <c r="K35" s="227" t="s">
        <v>93</v>
      </c>
      <c r="L35" s="227" t="s">
        <v>94</v>
      </c>
      <c r="M35" s="233">
        <v>0</v>
      </c>
      <c r="N35" s="231"/>
      <c r="O35" s="231"/>
      <c r="P35" s="234">
        <v>631.42999999999995</v>
      </c>
    </row>
    <row r="36" spans="1:16" ht="19.5" customHeight="1">
      <c r="A36" s="227" t="s">
        <v>1091</v>
      </c>
      <c r="B36" s="230">
        <v>46048</v>
      </c>
      <c r="C36" s="227" t="s">
        <v>100</v>
      </c>
      <c r="D36" s="227" t="s">
        <v>102</v>
      </c>
      <c r="E36" s="227" t="s">
        <v>53</v>
      </c>
      <c r="F36" s="227" t="s">
        <v>120</v>
      </c>
      <c r="G36" s="227" t="s">
        <v>84</v>
      </c>
      <c r="H36" s="231">
        <v>1</v>
      </c>
      <c r="I36" s="232">
        <v>1812</v>
      </c>
      <c r="J36" s="230">
        <v>46045</v>
      </c>
      <c r="K36" s="227" t="s">
        <v>93</v>
      </c>
      <c r="L36" s="227" t="s">
        <v>94</v>
      </c>
      <c r="M36" s="233">
        <v>0</v>
      </c>
      <c r="N36" s="231"/>
      <c r="O36" s="231"/>
      <c r="P36" s="234">
        <v>6.31</v>
      </c>
    </row>
    <row r="37" spans="1:16" ht="19.5" customHeight="1">
      <c r="A37" s="227" t="s">
        <v>1091</v>
      </c>
      <c r="B37" s="230">
        <v>46048</v>
      </c>
      <c r="C37" s="227" t="s">
        <v>100</v>
      </c>
      <c r="D37" s="227" t="s">
        <v>103</v>
      </c>
      <c r="E37" s="227" t="s">
        <v>53</v>
      </c>
      <c r="F37" s="227" t="s">
        <v>120</v>
      </c>
      <c r="G37" s="227" t="s">
        <v>84</v>
      </c>
      <c r="H37" s="231">
        <v>1</v>
      </c>
      <c r="I37" s="232">
        <v>1812</v>
      </c>
      <c r="J37" s="230">
        <v>46045</v>
      </c>
      <c r="K37" s="227" t="s">
        <v>93</v>
      </c>
      <c r="L37" s="227" t="s">
        <v>94</v>
      </c>
      <c r="M37" s="233">
        <v>0</v>
      </c>
      <c r="N37" s="231"/>
      <c r="O37" s="231"/>
      <c r="P37" s="234">
        <v>1174.26</v>
      </c>
    </row>
    <row r="38" spans="1:16" ht="19.5" customHeight="1">
      <c r="A38" s="227" t="s">
        <v>1091</v>
      </c>
      <c r="B38" s="230">
        <v>46048</v>
      </c>
      <c r="C38" s="227" t="s">
        <v>104</v>
      </c>
      <c r="D38" s="227" t="s">
        <v>105</v>
      </c>
      <c r="E38" s="227" t="s">
        <v>53</v>
      </c>
      <c r="F38" s="227" t="s">
        <v>120</v>
      </c>
      <c r="G38" s="227" t="s">
        <v>84</v>
      </c>
      <c r="H38" s="231">
        <v>1</v>
      </c>
      <c r="I38" s="232">
        <v>1812</v>
      </c>
      <c r="J38" s="230">
        <v>46045</v>
      </c>
      <c r="K38" s="227" t="s">
        <v>93</v>
      </c>
      <c r="L38" s="227" t="s">
        <v>94</v>
      </c>
      <c r="M38" s="233">
        <v>0.43</v>
      </c>
      <c r="N38" s="231"/>
      <c r="O38" s="231"/>
      <c r="P38" s="234">
        <v>-779.16</v>
      </c>
    </row>
    <row r="39" spans="1:16" ht="19.5" customHeight="1">
      <c r="A39" s="227" t="s">
        <v>1091</v>
      </c>
      <c r="B39" s="230">
        <v>46048</v>
      </c>
      <c r="C39" s="227" t="s">
        <v>81</v>
      </c>
      <c r="D39" s="227" t="s">
        <v>95</v>
      </c>
      <c r="E39" s="227" t="s">
        <v>53</v>
      </c>
      <c r="F39" s="227" t="s">
        <v>120</v>
      </c>
      <c r="G39" s="227" t="s">
        <v>84</v>
      </c>
      <c r="H39" s="231">
        <v>1</v>
      </c>
      <c r="I39" s="232">
        <v>1812</v>
      </c>
      <c r="J39" s="230">
        <v>46045</v>
      </c>
      <c r="K39" s="227" t="s">
        <v>93</v>
      </c>
      <c r="L39" s="227" t="s">
        <v>94</v>
      </c>
      <c r="M39" s="233">
        <v>0.43</v>
      </c>
      <c r="N39" s="231"/>
      <c r="O39" s="231"/>
      <c r="P39" s="234">
        <v>-9.07</v>
      </c>
    </row>
    <row r="40" spans="1:16" ht="19.5" customHeight="1">
      <c r="A40" s="227" t="s">
        <v>1092</v>
      </c>
      <c r="B40" s="230">
        <v>46048</v>
      </c>
      <c r="C40" s="227" t="s">
        <v>92</v>
      </c>
      <c r="D40" s="227" t="s">
        <v>24</v>
      </c>
      <c r="E40" s="227" t="s">
        <v>53</v>
      </c>
      <c r="F40" s="227" t="s">
        <v>120</v>
      </c>
      <c r="G40" s="227" t="s">
        <v>84</v>
      </c>
      <c r="H40" s="231">
        <v>1</v>
      </c>
      <c r="I40" s="232">
        <v>0</v>
      </c>
      <c r="J40" s="230">
        <v>46028</v>
      </c>
      <c r="K40" s="227" t="s">
        <v>93</v>
      </c>
      <c r="L40" s="227" t="s">
        <v>94</v>
      </c>
      <c r="M40" s="233">
        <v>0</v>
      </c>
      <c r="N40" s="231"/>
      <c r="O40" s="231">
        <v>44</v>
      </c>
      <c r="P40" s="234">
        <v>-56</v>
      </c>
    </row>
    <row r="41" spans="1:16" ht="19.5" customHeight="1">
      <c r="A41" s="227" t="s">
        <v>1092</v>
      </c>
      <c r="B41" s="230">
        <v>46048</v>
      </c>
      <c r="C41" s="227" t="s">
        <v>81</v>
      </c>
      <c r="D41" s="227" t="s">
        <v>95</v>
      </c>
      <c r="E41" s="227" t="s">
        <v>53</v>
      </c>
      <c r="F41" s="227" t="s">
        <v>120</v>
      </c>
      <c r="G41" s="227" t="s">
        <v>84</v>
      </c>
      <c r="H41" s="231">
        <v>1</v>
      </c>
      <c r="I41" s="232">
        <v>0</v>
      </c>
      <c r="J41" s="230">
        <v>46028</v>
      </c>
      <c r="K41" s="227" t="s">
        <v>93</v>
      </c>
      <c r="L41" s="227" t="s">
        <v>94</v>
      </c>
      <c r="M41" s="233">
        <v>0</v>
      </c>
      <c r="N41" s="231"/>
      <c r="O41" s="231"/>
      <c r="P41" s="234">
        <v>-18.190000000000001</v>
      </c>
    </row>
    <row r="42" spans="1:16" ht="19.5" customHeight="1">
      <c r="A42" s="227" t="s">
        <v>1092</v>
      </c>
      <c r="B42" s="230">
        <v>46048</v>
      </c>
      <c r="C42" s="227" t="s">
        <v>92</v>
      </c>
      <c r="D42" s="227" t="s">
        <v>96</v>
      </c>
      <c r="E42" s="227" t="s">
        <v>53</v>
      </c>
      <c r="F42" s="227" t="s">
        <v>120</v>
      </c>
      <c r="G42" s="227" t="s">
        <v>84</v>
      </c>
      <c r="H42" s="231">
        <v>1</v>
      </c>
      <c r="I42" s="232">
        <v>0</v>
      </c>
      <c r="J42" s="230">
        <v>46028</v>
      </c>
      <c r="K42" s="227" t="s">
        <v>93</v>
      </c>
      <c r="L42" s="227" t="s">
        <v>94</v>
      </c>
      <c r="M42" s="233">
        <v>0</v>
      </c>
      <c r="N42" s="231"/>
      <c r="O42" s="231"/>
      <c r="P42" s="234">
        <v>0</v>
      </c>
    </row>
    <row r="43" spans="1:16" ht="19.5" customHeight="1">
      <c r="A43" s="227" t="s">
        <v>1092</v>
      </c>
      <c r="B43" s="230">
        <v>46048</v>
      </c>
      <c r="C43" s="227" t="s">
        <v>92</v>
      </c>
      <c r="D43" s="227" t="s">
        <v>97</v>
      </c>
      <c r="E43" s="227" t="s">
        <v>53</v>
      </c>
      <c r="F43" s="227" t="s">
        <v>120</v>
      </c>
      <c r="G43" s="227" t="s">
        <v>84</v>
      </c>
      <c r="H43" s="231">
        <v>1</v>
      </c>
      <c r="I43" s="232">
        <v>0</v>
      </c>
      <c r="J43" s="230">
        <v>46028</v>
      </c>
      <c r="K43" s="227" t="s">
        <v>93</v>
      </c>
      <c r="L43" s="227" t="s">
        <v>94</v>
      </c>
      <c r="M43" s="233">
        <v>0</v>
      </c>
      <c r="N43" s="231"/>
      <c r="O43" s="231"/>
      <c r="P43" s="234">
        <v>-56</v>
      </c>
    </row>
    <row r="44" spans="1:16" ht="19.5" customHeight="1">
      <c r="A44" s="227" t="s">
        <v>1091</v>
      </c>
      <c r="B44" s="230">
        <v>46048</v>
      </c>
      <c r="C44" s="227" t="s">
        <v>81</v>
      </c>
      <c r="D44" s="227" t="s">
        <v>82</v>
      </c>
      <c r="E44" s="227" t="s">
        <v>53</v>
      </c>
      <c r="F44" s="227" t="s">
        <v>120</v>
      </c>
      <c r="G44" s="227" t="s">
        <v>84</v>
      </c>
      <c r="H44" s="231">
        <v>1</v>
      </c>
      <c r="I44" s="232">
        <v>0</v>
      </c>
      <c r="J44" s="230">
        <v>46045</v>
      </c>
      <c r="K44" s="227" t="s">
        <v>85</v>
      </c>
      <c r="L44" s="227" t="s">
        <v>85</v>
      </c>
      <c r="M44" s="233">
        <v>0</v>
      </c>
      <c r="N44" s="231"/>
      <c r="O44" s="231"/>
      <c r="P44" s="234">
        <v>-12</v>
      </c>
    </row>
    <row r="45" spans="1:16" ht="19.5" customHeight="1">
      <c r="A45" s="227" t="s">
        <v>1093</v>
      </c>
      <c r="B45" s="230">
        <v>46048</v>
      </c>
      <c r="C45" s="227" t="s">
        <v>81</v>
      </c>
      <c r="D45" s="227" t="s">
        <v>82</v>
      </c>
      <c r="E45" s="227" t="s">
        <v>52</v>
      </c>
      <c r="F45" s="227" t="s">
        <v>90</v>
      </c>
      <c r="G45" s="227" t="s">
        <v>84</v>
      </c>
      <c r="H45" s="231">
        <v>1</v>
      </c>
      <c r="I45" s="232">
        <v>0</v>
      </c>
      <c r="J45" s="230">
        <v>46048</v>
      </c>
      <c r="K45" s="227" t="s">
        <v>85</v>
      </c>
      <c r="L45" s="227" t="s">
        <v>85</v>
      </c>
      <c r="M45" s="233">
        <v>0</v>
      </c>
      <c r="N45" s="231"/>
      <c r="O45" s="231"/>
      <c r="P45" s="234">
        <v>-2.97</v>
      </c>
    </row>
    <row r="46" spans="1:16" ht="19.5" customHeight="1">
      <c r="A46" s="227" t="s">
        <v>1094</v>
      </c>
      <c r="B46" s="230">
        <v>46048</v>
      </c>
      <c r="C46" s="227" t="s">
        <v>81</v>
      </c>
      <c r="D46" s="227" t="s">
        <v>82</v>
      </c>
      <c r="E46" s="227" t="s">
        <v>53</v>
      </c>
      <c r="F46" s="227" t="s">
        <v>120</v>
      </c>
      <c r="G46" s="227" t="s">
        <v>84</v>
      </c>
      <c r="H46" s="231">
        <v>1</v>
      </c>
      <c r="I46" s="232">
        <v>0</v>
      </c>
      <c r="J46" s="230">
        <v>46048</v>
      </c>
      <c r="K46" s="227" t="s">
        <v>85</v>
      </c>
      <c r="L46" s="227" t="s">
        <v>85</v>
      </c>
      <c r="M46" s="233">
        <v>0</v>
      </c>
      <c r="N46" s="231"/>
      <c r="O46" s="231"/>
      <c r="P46" s="234">
        <v>-12.7</v>
      </c>
    </row>
    <row r="47" spans="1:16" ht="19.5" customHeight="1">
      <c r="A47" s="227" t="s">
        <v>1095</v>
      </c>
      <c r="B47" s="230">
        <v>46048</v>
      </c>
      <c r="C47" s="227" t="s">
        <v>92</v>
      </c>
      <c r="D47" s="227" t="s">
        <v>24</v>
      </c>
      <c r="E47" s="227" t="s">
        <v>43</v>
      </c>
      <c r="F47" s="227" t="s">
        <v>125</v>
      </c>
      <c r="G47" s="227" t="s">
        <v>84</v>
      </c>
      <c r="H47" s="231">
        <v>1</v>
      </c>
      <c r="I47" s="232">
        <v>1750</v>
      </c>
      <c r="J47" s="230">
        <v>46047</v>
      </c>
      <c r="K47" s="227" t="s">
        <v>93</v>
      </c>
      <c r="L47" s="227" t="s">
        <v>94</v>
      </c>
      <c r="M47" s="233">
        <v>0.43</v>
      </c>
      <c r="N47" s="231"/>
      <c r="O47" s="231">
        <v>41</v>
      </c>
      <c r="P47" s="234">
        <v>-119.28</v>
      </c>
    </row>
    <row r="48" spans="1:16" ht="19.5" customHeight="1">
      <c r="A48" s="227" t="s">
        <v>1095</v>
      </c>
      <c r="B48" s="230">
        <v>46048</v>
      </c>
      <c r="C48" s="227" t="s">
        <v>100</v>
      </c>
      <c r="D48" s="227" t="s">
        <v>101</v>
      </c>
      <c r="E48" s="227" t="s">
        <v>43</v>
      </c>
      <c r="F48" s="227" t="s">
        <v>125</v>
      </c>
      <c r="G48" s="227" t="s">
        <v>84</v>
      </c>
      <c r="H48" s="231">
        <v>1</v>
      </c>
      <c r="I48" s="232">
        <v>1750</v>
      </c>
      <c r="J48" s="230">
        <v>46047</v>
      </c>
      <c r="K48" s="227" t="s">
        <v>93</v>
      </c>
      <c r="L48" s="227" t="s">
        <v>94</v>
      </c>
      <c r="M48" s="233">
        <v>0</v>
      </c>
      <c r="N48" s="231"/>
      <c r="O48" s="231"/>
      <c r="P48" s="234">
        <v>657.14</v>
      </c>
    </row>
    <row r="49" spans="1:16" ht="19.5" customHeight="1">
      <c r="A49" s="227" t="s">
        <v>1095</v>
      </c>
      <c r="B49" s="230">
        <v>46048</v>
      </c>
      <c r="C49" s="227" t="s">
        <v>100</v>
      </c>
      <c r="D49" s="227" t="s">
        <v>102</v>
      </c>
      <c r="E49" s="227" t="s">
        <v>43</v>
      </c>
      <c r="F49" s="227" t="s">
        <v>125</v>
      </c>
      <c r="G49" s="227" t="s">
        <v>84</v>
      </c>
      <c r="H49" s="231">
        <v>1</v>
      </c>
      <c r="I49" s="232">
        <v>1750</v>
      </c>
      <c r="J49" s="230">
        <v>46047</v>
      </c>
      <c r="K49" s="227" t="s">
        <v>93</v>
      </c>
      <c r="L49" s="227" t="s">
        <v>94</v>
      </c>
      <c r="M49" s="233">
        <v>0</v>
      </c>
      <c r="N49" s="231"/>
      <c r="O49" s="231"/>
      <c r="P49" s="234">
        <v>6.57</v>
      </c>
    </row>
    <row r="50" spans="1:16" ht="19.5" customHeight="1">
      <c r="A50" s="227" t="s">
        <v>1095</v>
      </c>
      <c r="B50" s="230">
        <v>46048</v>
      </c>
      <c r="C50" s="227" t="s">
        <v>100</v>
      </c>
      <c r="D50" s="227" t="s">
        <v>103</v>
      </c>
      <c r="E50" s="227" t="s">
        <v>43</v>
      </c>
      <c r="F50" s="227" t="s">
        <v>125</v>
      </c>
      <c r="G50" s="227" t="s">
        <v>84</v>
      </c>
      <c r="H50" s="231">
        <v>1</v>
      </c>
      <c r="I50" s="232">
        <v>1750</v>
      </c>
      <c r="J50" s="230">
        <v>46047</v>
      </c>
      <c r="K50" s="227" t="s">
        <v>93</v>
      </c>
      <c r="L50" s="227" t="s">
        <v>94</v>
      </c>
      <c r="M50" s="233">
        <v>0</v>
      </c>
      <c r="N50" s="231"/>
      <c r="O50" s="231"/>
      <c r="P50" s="234">
        <v>1086.29</v>
      </c>
    </row>
    <row r="51" spans="1:16" ht="19.5" customHeight="1">
      <c r="A51" s="227" t="s">
        <v>1095</v>
      </c>
      <c r="B51" s="230">
        <v>46048</v>
      </c>
      <c r="C51" s="227" t="s">
        <v>104</v>
      </c>
      <c r="D51" s="227" t="s">
        <v>105</v>
      </c>
      <c r="E51" s="227" t="s">
        <v>43</v>
      </c>
      <c r="F51" s="227" t="s">
        <v>125</v>
      </c>
      <c r="G51" s="227" t="s">
        <v>84</v>
      </c>
      <c r="H51" s="231">
        <v>1</v>
      </c>
      <c r="I51" s="232">
        <v>1750</v>
      </c>
      <c r="J51" s="230">
        <v>46047</v>
      </c>
      <c r="K51" s="227" t="s">
        <v>93</v>
      </c>
      <c r="L51" s="227" t="s">
        <v>94</v>
      </c>
      <c r="M51" s="233">
        <v>0.43</v>
      </c>
      <c r="N51" s="231"/>
      <c r="O51" s="231"/>
      <c r="P51" s="234">
        <v>-752.5</v>
      </c>
    </row>
    <row r="52" spans="1:16" ht="19.5" customHeight="1">
      <c r="A52" s="227" t="s">
        <v>1095</v>
      </c>
      <c r="B52" s="230">
        <v>46048</v>
      </c>
      <c r="C52" s="227" t="s">
        <v>81</v>
      </c>
      <c r="D52" s="227" t="s">
        <v>95</v>
      </c>
      <c r="E52" s="227" t="s">
        <v>43</v>
      </c>
      <c r="F52" s="227" t="s">
        <v>125</v>
      </c>
      <c r="G52" s="227" t="s">
        <v>84</v>
      </c>
      <c r="H52" s="231">
        <v>1</v>
      </c>
      <c r="I52" s="232">
        <v>1750</v>
      </c>
      <c r="J52" s="230">
        <v>46047</v>
      </c>
      <c r="K52" s="227" t="s">
        <v>93</v>
      </c>
      <c r="L52" s="227" t="s">
        <v>94</v>
      </c>
      <c r="M52" s="233">
        <v>0.43</v>
      </c>
      <c r="N52" s="231"/>
      <c r="O52" s="231"/>
      <c r="P52" s="234">
        <v>-12.32</v>
      </c>
    </row>
    <row r="53" spans="1:16" ht="19.5" customHeight="1">
      <c r="A53" s="227" t="s">
        <v>1096</v>
      </c>
      <c r="B53" s="230">
        <v>46048</v>
      </c>
      <c r="C53" s="227" t="s">
        <v>81</v>
      </c>
      <c r="D53" s="227" t="s">
        <v>82</v>
      </c>
      <c r="E53" s="227" t="s">
        <v>52</v>
      </c>
      <c r="F53" s="227" t="s">
        <v>90</v>
      </c>
      <c r="G53" s="227" t="s">
        <v>84</v>
      </c>
      <c r="H53" s="231">
        <v>1</v>
      </c>
      <c r="I53" s="232">
        <v>0</v>
      </c>
      <c r="J53" s="230">
        <v>46048</v>
      </c>
      <c r="K53" s="227" t="s">
        <v>85</v>
      </c>
      <c r="L53" s="227" t="s">
        <v>85</v>
      </c>
      <c r="M53" s="233">
        <v>0</v>
      </c>
      <c r="N53" s="231"/>
      <c r="O53" s="231"/>
      <c r="P53" s="234">
        <v>-12.16</v>
      </c>
    </row>
    <row r="54" spans="1:16" ht="19.5" customHeight="1">
      <c r="A54" s="227" t="s">
        <v>1097</v>
      </c>
      <c r="B54" s="230">
        <v>46048</v>
      </c>
      <c r="C54" s="227" t="s">
        <v>92</v>
      </c>
      <c r="D54" s="227" t="s">
        <v>24</v>
      </c>
      <c r="E54" s="227" t="s">
        <v>52</v>
      </c>
      <c r="F54" s="227" t="s">
        <v>90</v>
      </c>
      <c r="G54" s="227" t="s">
        <v>84</v>
      </c>
      <c r="H54" s="231">
        <v>1</v>
      </c>
      <c r="I54" s="232">
        <v>1885</v>
      </c>
      <c r="J54" s="230">
        <v>46040</v>
      </c>
      <c r="K54" s="227" t="s">
        <v>93</v>
      </c>
      <c r="L54" s="227" t="s">
        <v>94</v>
      </c>
      <c r="M54" s="233">
        <v>0.43</v>
      </c>
      <c r="N54" s="231"/>
      <c r="O54" s="231">
        <v>45</v>
      </c>
      <c r="P54" s="234">
        <v>-155.16999999999999</v>
      </c>
    </row>
    <row r="55" spans="1:16" ht="19.5" customHeight="1">
      <c r="A55" s="227" t="s">
        <v>1097</v>
      </c>
      <c r="B55" s="230">
        <v>46048</v>
      </c>
      <c r="C55" s="227" t="s">
        <v>100</v>
      </c>
      <c r="D55" s="227" t="s">
        <v>101</v>
      </c>
      <c r="E55" s="227" t="s">
        <v>52</v>
      </c>
      <c r="F55" s="227" t="s">
        <v>90</v>
      </c>
      <c r="G55" s="227" t="s">
        <v>84</v>
      </c>
      <c r="H55" s="231">
        <v>1</v>
      </c>
      <c r="I55" s="232">
        <v>1885</v>
      </c>
      <c r="J55" s="230">
        <v>46040</v>
      </c>
      <c r="K55" s="227" t="s">
        <v>93</v>
      </c>
      <c r="L55" s="227" t="s">
        <v>94</v>
      </c>
      <c r="M55" s="233">
        <v>0</v>
      </c>
      <c r="N55" s="231"/>
      <c r="O55" s="231"/>
      <c r="P55" s="234">
        <v>784.02</v>
      </c>
    </row>
    <row r="56" spans="1:16" ht="19.5" customHeight="1">
      <c r="A56" s="227" t="s">
        <v>1097</v>
      </c>
      <c r="B56" s="230">
        <v>46048</v>
      </c>
      <c r="C56" s="227" t="s">
        <v>100</v>
      </c>
      <c r="D56" s="227" t="s">
        <v>102</v>
      </c>
      <c r="E56" s="227" t="s">
        <v>52</v>
      </c>
      <c r="F56" s="227" t="s">
        <v>90</v>
      </c>
      <c r="G56" s="227" t="s">
        <v>84</v>
      </c>
      <c r="H56" s="231">
        <v>1</v>
      </c>
      <c r="I56" s="232">
        <v>1885</v>
      </c>
      <c r="J56" s="230">
        <v>46040</v>
      </c>
      <c r="K56" s="227" t="s">
        <v>93</v>
      </c>
      <c r="L56" s="227" t="s">
        <v>94</v>
      </c>
      <c r="M56" s="233">
        <v>0</v>
      </c>
      <c r="N56" s="231"/>
      <c r="O56" s="231"/>
      <c r="P56" s="234">
        <v>7.84</v>
      </c>
    </row>
    <row r="57" spans="1:16" ht="19.5" customHeight="1">
      <c r="A57" s="227" t="s">
        <v>1097</v>
      </c>
      <c r="B57" s="230">
        <v>46048</v>
      </c>
      <c r="C57" s="227" t="s">
        <v>100</v>
      </c>
      <c r="D57" s="227" t="s">
        <v>103</v>
      </c>
      <c r="E57" s="227" t="s">
        <v>52</v>
      </c>
      <c r="F57" s="227" t="s">
        <v>90</v>
      </c>
      <c r="G57" s="227" t="s">
        <v>84</v>
      </c>
      <c r="H57" s="231">
        <v>1</v>
      </c>
      <c r="I57" s="232">
        <v>1885</v>
      </c>
      <c r="J57" s="230">
        <v>46040</v>
      </c>
      <c r="K57" s="227" t="s">
        <v>93</v>
      </c>
      <c r="L57" s="227" t="s">
        <v>94</v>
      </c>
      <c r="M57" s="233">
        <v>0</v>
      </c>
      <c r="N57" s="231"/>
      <c r="O57" s="231"/>
      <c r="P57" s="234">
        <v>1093.1400000000001</v>
      </c>
    </row>
    <row r="58" spans="1:16" ht="19.5" customHeight="1">
      <c r="A58" s="227" t="s">
        <v>1097</v>
      </c>
      <c r="B58" s="230">
        <v>46048</v>
      </c>
      <c r="C58" s="227" t="s">
        <v>104</v>
      </c>
      <c r="D58" s="227" t="s">
        <v>105</v>
      </c>
      <c r="E58" s="227" t="s">
        <v>52</v>
      </c>
      <c r="F58" s="227" t="s">
        <v>90</v>
      </c>
      <c r="G58" s="227" t="s">
        <v>84</v>
      </c>
      <c r="H58" s="231">
        <v>1</v>
      </c>
      <c r="I58" s="232">
        <v>1885</v>
      </c>
      <c r="J58" s="230">
        <v>46040</v>
      </c>
      <c r="K58" s="227" t="s">
        <v>93</v>
      </c>
      <c r="L58" s="227" t="s">
        <v>94</v>
      </c>
      <c r="M58" s="233">
        <v>0.43</v>
      </c>
      <c r="N58" s="231"/>
      <c r="O58" s="231"/>
      <c r="P58" s="234">
        <v>-810.55</v>
      </c>
    </row>
    <row r="59" spans="1:16" ht="19.5" customHeight="1">
      <c r="A59" s="227" t="s">
        <v>1097</v>
      </c>
      <c r="B59" s="230">
        <v>46048</v>
      </c>
      <c r="C59" s="227" t="s">
        <v>81</v>
      </c>
      <c r="D59" s="227" t="s">
        <v>95</v>
      </c>
      <c r="E59" s="227" t="s">
        <v>52</v>
      </c>
      <c r="F59" s="227" t="s">
        <v>90</v>
      </c>
      <c r="G59" s="227" t="s">
        <v>84</v>
      </c>
      <c r="H59" s="231">
        <v>1</v>
      </c>
      <c r="I59" s="232">
        <v>1885</v>
      </c>
      <c r="J59" s="230">
        <v>46040</v>
      </c>
      <c r="K59" s="227" t="s">
        <v>93</v>
      </c>
      <c r="L59" s="227" t="s">
        <v>94</v>
      </c>
      <c r="M59" s="233">
        <v>0.43</v>
      </c>
      <c r="N59" s="231"/>
      <c r="O59" s="231"/>
      <c r="P59" s="234">
        <v>-0.98</v>
      </c>
    </row>
    <row r="60" spans="1:16" ht="19.5" customHeight="1">
      <c r="A60" s="227" t="s">
        <v>277</v>
      </c>
      <c r="B60" s="230">
        <v>46048</v>
      </c>
      <c r="C60" s="227" t="s">
        <v>128</v>
      </c>
      <c r="D60" s="227" t="s">
        <v>926</v>
      </c>
      <c r="E60" s="227" t="s">
        <v>53</v>
      </c>
      <c r="F60" s="227" t="s">
        <v>120</v>
      </c>
      <c r="G60" s="227" t="s">
        <v>84</v>
      </c>
      <c r="H60" s="231">
        <v>1</v>
      </c>
      <c r="I60" s="232">
        <v>0</v>
      </c>
      <c r="J60" s="230">
        <v>46048</v>
      </c>
      <c r="K60" s="227" t="s">
        <v>85</v>
      </c>
      <c r="L60" s="227" t="s">
        <v>85</v>
      </c>
      <c r="M60" s="233">
        <v>0</v>
      </c>
      <c r="N60" s="231"/>
      <c r="O60" s="231"/>
      <c r="P60" s="234">
        <v>-75</v>
      </c>
    </row>
    <row r="61" spans="1:16" ht="19.5" customHeight="1">
      <c r="A61" s="227" t="s">
        <v>275</v>
      </c>
      <c r="B61" s="230">
        <v>46048</v>
      </c>
      <c r="C61" s="227" t="s">
        <v>128</v>
      </c>
      <c r="D61" s="227" t="s">
        <v>926</v>
      </c>
      <c r="E61" s="227" t="s">
        <v>41</v>
      </c>
      <c r="F61" s="227" t="s">
        <v>83</v>
      </c>
      <c r="G61" s="227" t="s">
        <v>84</v>
      </c>
      <c r="H61" s="231">
        <v>1</v>
      </c>
      <c r="I61" s="232">
        <v>0</v>
      </c>
      <c r="J61" s="230">
        <v>46048</v>
      </c>
      <c r="K61" s="227" t="s">
        <v>85</v>
      </c>
      <c r="L61" s="227" t="s">
        <v>85</v>
      </c>
      <c r="M61" s="233">
        <v>0</v>
      </c>
      <c r="N61" s="231"/>
      <c r="O61" s="231"/>
      <c r="P61" s="234">
        <v>-75</v>
      </c>
    </row>
    <row r="62" spans="1:16" ht="19.5" customHeight="1">
      <c r="A62" s="227" t="s">
        <v>1098</v>
      </c>
      <c r="B62" s="230">
        <v>46048</v>
      </c>
      <c r="C62" s="227" t="s">
        <v>81</v>
      </c>
      <c r="D62" s="227" t="s">
        <v>82</v>
      </c>
      <c r="E62" s="227" t="s">
        <v>52</v>
      </c>
      <c r="F62" s="227" t="s">
        <v>90</v>
      </c>
      <c r="G62" s="227" t="s">
        <v>84</v>
      </c>
      <c r="H62" s="231">
        <v>1</v>
      </c>
      <c r="I62" s="232">
        <v>0</v>
      </c>
      <c r="J62" s="230">
        <v>46048</v>
      </c>
      <c r="K62" s="227" t="s">
        <v>85</v>
      </c>
      <c r="L62" s="227" t="s">
        <v>85</v>
      </c>
      <c r="M62" s="233">
        <v>0</v>
      </c>
      <c r="N62" s="231"/>
      <c r="O62" s="231"/>
      <c r="P62" s="234">
        <v>-11.91</v>
      </c>
    </row>
    <row r="63" spans="1:16" ht="19.5" customHeight="1">
      <c r="A63" s="227" t="s">
        <v>1097</v>
      </c>
      <c r="B63" s="230">
        <v>46048</v>
      </c>
      <c r="C63" s="227" t="s">
        <v>81</v>
      </c>
      <c r="D63" s="227" t="s">
        <v>82</v>
      </c>
      <c r="E63" s="227" t="s">
        <v>52</v>
      </c>
      <c r="F63" s="227" t="s">
        <v>90</v>
      </c>
      <c r="G63" s="227" t="s">
        <v>84</v>
      </c>
      <c r="H63" s="231">
        <v>1</v>
      </c>
      <c r="I63" s="232">
        <v>0</v>
      </c>
      <c r="J63" s="230">
        <v>46040</v>
      </c>
      <c r="K63" s="227" t="s">
        <v>85</v>
      </c>
      <c r="L63" s="227" t="s">
        <v>85</v>
      </c>
      <c r="M63" s="233">
        <v>0</v>
      </c>
      <c r="N63" s="231"/>
      <c r="O63" s="231"/>
      <c r="P63" s="234">
        <v>-14.9</v>
      </c>
    </row>
    <row r="64" spans="1:16" ht="19.5" customHeight="1">
      <c r="A64" s="227" t="s">
        <v>1099</v>
      </c>
      <c r="B64" s="230">
        <v>46048</v>
      </c>
      <c r="C64" s="227" t="s">
        <v>81</v>
      </c>
      <c r="D64" s="227" t="s">
        <v>82</v>
      </c>
      <c r="E64" s="227" t="s">
        <v>52</v>
      </c>
      <c r="F64" s="227" t="s">
        <v>90</v>
      </c>
      <c r="G64" s="227" t="s">
        <v>84</v>
      </c>
      <c r="H64" s="231">
        <v>1</v>
      </c>
      <c r="I64" s="232">
        <v>0</v>
      </c>
      <c r="J64" s="230">
        <v>46048</v>
      </c>
      <c r="K64" s="227" t="s">
        <v>85</v>
      </c>
      <c r="L64" s="227" t="s">
        <v>85</v>
      </c>
      <c r="M64" s="233">
        <v>0</v>
      </c>
      <c r="N64" s="231"/>
      <c r="O64" s="231"/>
      <c r="P64" s="234">
        <v>-11.33</v>
      </c>
    </row>
    <row r="65" spans="1:16" ht="19.5" customHeight="1">
      <c r="A65" s="227" t="s">
        <v>1100</v>
      </c>
      <c r="B65" s="230">
        <v>46048</v>
      </c>
      <c r="C65" s="227" t="s">
        <v>81</v>
      </c>
      <c r="D65" s="227" t="s">
        <v>82</v>
      </c>
      <c r="E65" s="227" t="s">
        <v>43</v>
      </c>
      <c r="F65" s="227" t="s">
        <v>125</v>
      </c>
      <c r="G65" s="227" t="s">
        <v>84</v>
      </c>
      <c r="H65" s="231">
        <v>1</v>
      </c>
      <c r="I65" s="232">
        <v>0</v>
      </c>
      <c r="J65" s="230">
        <v>46048</v>
      </c>
      <c r="K65" s="227" t="s">
        <v>85</v>
      </c>
      <c r="L65" s="227" t="s">
        <v>85</v>
      </c>
      <c r="M65" s="233">
        <v>0</v>
      </c>
      <c r="N65" s="231"/>
      <c r="O65" s="231"/>
      <c r="P65" s="234">
        <v>-4.47</v>
      </c>
    </row>
    <row r="66" spans="1:16" ht="19.5" customHeight="1">
      <c r="A66" s="227" t="s">
        <v>1101</v>
      </c>
      <c r="B66" s="230">
        <v>46048</v>
      </c>
      <c r="C66" s="227" t="s">
        <v>92</v>
      </c>
      <c r="D66" s="227" t="s">
        <v>24</v>
      </c>
      <c r="E66" s="227" t="s">
        <v>52</v>
      </c>
      <c r="F66" s="227" t="s">
        <v>90</v>
      </c>
      <c r="G66" s="227" t="s">
        <v>84</v>
      </c>
      <c r="H66" s="231">
        <v>1</v>
      </c>
      <c r="I66" s="232">
        <v>1800</v>
      </c>
      <c r="J66" s="230">
        <v>46045</v>
      </c>
      <c r="K66" s="227" t="s">
        <v>93</v>
      </c>
      <c r="L66" s="227" t="s">
        <v>94</v>
      </c>
      <c r="M66" s="233">
        <v>0.43</v>
      </c>
      <c r="N66" s="231"/>
      <c r="O66" s="231">
        <v>40</v>
      </c>
      <c r="P66" s="234">
        <v>-130.46</v>
      </c>
    </row>
    <row r="67" spans="1:16" ht="19.5" customHeight="1">
      <c r="A67" s="227" t="s">
        <v>1101</v>
      </c>
      <c r="B67" s="230">
        <v>46048</v>
      </c>
      <c r="C67" s="227" t="s">
        <v>100</v>
      </c>
      <c r="D67" s="227" t="s">
        <v>101</v>
      </c>
      <c r="E67" s="227" t="s">
        <v>52</v>
      </c>
      <c r="F67" s="227" t="s">
        <v>90</v>
      </c>
      <c r="G67" s="227" t="s">
        <v>84</v>
      </c>
      <c r="H67" s="231">
        <v>1</v>
      </c>
      <c r="I67" s="232">
        <v>1800</v>
      </c>
      <c r="J67" s="230">
        <v>46045</v>
      </c>
      <c r="K67" s="227" t="s">
        <v>93</v>
      </c>
      <c r="L67" s="227" t="s">
        <v>94</v>
      </c>
      <c r="M67" s="233">
        <v>0</v>
      </c>
      <c r="N67" s="231"/>
      <c r="O67" s="231"/>
      <c r="P67" s="234">
        <v>688.57</v>
      </c>
    </row>
    <row r="68" spans="1:16" ht="19.5" customHeight="1">
      <c r="A68" s="227" t="s">
        <v>1101</v>
      </c>
      <c r="B68" s="230">
        <v>46048</v>
      </c>
      <c r="C68" s="227" t="s">
        <v>100</v>
      </c>
      <c r="D68" s="227" t="s">
        <v>102</v>
      </c>
      <c r="E68" s="227" t="s">
        <v>52</v>
      </c>
      <c r="F68" s="227" t="s">
        <v>90</v>
      </c>
      <c r="G68" s="227" t="s">
        <v>84</v>
      </c>
      <c r="H68" s="231">
        <v>1</v>
      </c>
      <c r="I68" s="232">
        <v>1800</v>
      </c>
      <c r="J68" s="230">
        <v>46045</v>
      </c>
      <c r="K68" s="227" t="s">
        <v>93</v>
      </c>
      <c r="L68" s="227" t="s">
        <v>94</v>
      </c>
      <c r="M68" s="233">
        <v>0</v>
      </c>
      <c r="N68" s="231"/>
      <c r="O68" s="231"/>
      <c r="P68" s="234">
        <v>0</v>
      </c>
    </row>
    <row r="69" spans="1:16" ht="19.5" customHeight="1">
      <c r="A69" s="227" t="s">
        <v>1101</v>
      </c>
      <c r="B69" s="230">
        <v>46048</v>
      </c>
      <c r="C69" s="227" t="s">
        <v>100</v>
      </c>
      <c r="D69" s="227" t="s">
        <v>103</v>
      </c>
      <c r="E69" s="227" t="s">
        <v>52</v>
      </c>
      <c r="F69" s="227" t="s">
        <v>90</v>
      </c>
      <c r="G69" s="227" t="s">
        <v>84</v>
      </c>
      <c r="H69" s="231">
        <v>1</v>
      </c>
      <c r="I69" s="232">
        <v>1800</v>
      </c>
      <c r="J69" s="230">
        <v>46045</v>
      </c>
      <c r="K69" s="227" t="s">
        <v>93</v>
      </c>
      <c r="L69" s="227" t="s">
        <v>94</v>
      </c>
      <c r="M69" s="233">
        <v>0</v>
      </c>
      <c r="N69" s="231"/>
      <c r="O69" s="231"/>
      <c r="P69" s="234">
        <v>1111.43</v>
      </c>
    </row>
    <row r="70" spans="1:16" ht="19.5" customHeight="1">
      <c r="A70" s="227" t="s">
        <v>1101</v>
      </c>
      <c r="B70" s="230">
        <v>46048</v>
      </c>
      <c r="C70" s="227" t="s">
        <v>104</v>
      </c>
      <c r="D70" s="227" t="s">
        <v>105</v>
      </c>
      <c r="E70" s="227" t="s">
        <v>52</v>
      </c>
      <c r="F70" s="227" t="s">
        <v>90</v>
      </c>
      <c r="G70" s="227" t="s">
        <v>84</v>
      </c>
      <c r="H70" s="231">
        <v>1</v>
      </c>
      <c r="I70" s="232">
        <v>1800</v>
      </c>
      <c r="J70" s="230">
        <v>46045</v>
      </c>
      <c r="K70" s="227" t="s">
        <v>93</v>
      </c>
      <c r="L70" s="227" t="s">
        <v>94</v>
      </c>
      <c r="M70" s="233">
        <v>0.43</v>
      </c>
      <c r="N70" s="231"/>
      <c r="O70" s="231"/>
      <c r="P70" s="234">
        <v>-774</v>
      </c>
    </row>
    <row r="71" spans="1:16" ht="19.5" customHeight="1">
      <c r="A71" s="227" t="s">
        <v>1101</v>
      </c>
      <c r="B71" s="230">
        <v>46048</v>
      </c>
      <c r="C71" s="227" t="s">
        <v>81</v>
      </c>
      <c r="D71" s="227" t="s">
        <v>95</v>
      </c>
      <c r="E71" s="227" t="s">
        <v>52</v>
      </c>
      <c r="F71" s="227" t="s">
        <v>90</v>
      </c>
      <c r="G71" s="227" t="s">
        <v>84</v>
      </c>
      <c r="H71" s="231">
        <v>1</v>
      </c>
      <c r="I71" s="232">
        <v>1800</v>
      </c>
      <c r="J71" s="230">
        <v>46045</v>
      </c>
      <c r="K71" s="227" t="s">
        <v>93</v>
      </c>
      <c r="L71" s="227" t="s">
        <v>94</v>
      </c>
      <c r="M71" s="233">
        <v>0.43</v>
      </c>
      <c r="N71" s="231"/>
      <c r="O71" s="231"/>
      <c r="P71" s="234">
        <v>-11.45</v>
      </c>
    </row>
    <row r="72" spans="1:16" ht="19.5" customHeight="1">
      <c r="A72" s="227" t="s">
        <v>1102</v>
      </c>
      <c r="B72" s="230">
        <v>46048</v>
      </c>
      <c r="C72" s="227" t="s">
        <v>92</v>
      </c>
      <c r="D72" s="227" t="s">
        <v>24</v>
      </c>
      <c r="E72" s="227" t="s">
        <v>52</v>
      </c>
      <c r="F72" s="227" t="s">
        <v>90</v>
      </c>
      <c r="G72" s="227" t="s">
        <v>84</v>
      </c>
      <c r="H72" s="231">
        <v>1</v>
      </c>
      <c r="I72" s="232">
        <v>0</v>
      </c>
      <c r="J72" s="230">
        <v>46033</v>
      </c>
      <c r="K72" s="227" t="s">
        <v>93</v>
      </c>
      <c r="L72" s="227" t="s">
        <v>94</v>
      </c>
      <c r="M72" s="233">
        <v>0</v>
      </c>
      <c r="N72" s="231"/>
      <c r="O72" s="231">
        <v>42</v>
      </c>
      <c r="P72" s="234">
        <v>-56</v>
      </c>
    </row>
    <row r="73" spans="1:16" ht="19.5" customHeight="1">
      <c r="A73" s="227" t="s">
        <v>1102</v>
      </c>
      <c r="B73" s="230">
        <v>46048</v>
      </c>
      <c r="C73" s="227" t="s">
        <v>81</v>
      </c>
      <c r="D73" s="227" t="s">
        <v>95</v>
      </c>
      <c r="E73" s="227" t="s">
        <v>52</v>
      </c>
      <c r="F73" s="227" t="s">
        <v>90</v>
      </c>
      <c r="G73" s="227" t="s">
        <v>84</v>
      </c>
      <c r="H73" s="231">
        <v>1</v>
      </c>
      <c r="I73" s="232">
        <v>0</v>
      </c>
      <c r="J73" s="230">
        <v>46033</v>
      </c>
      <c r="K73" s="227" t="s">
        <v>93</v>
      </c>
      <c r="L73" s="227" t="s">
        <v>94</v>
      </c>
      <c r="M73" s="233">
        <v>0</v>
      </c>
      <c r="N73" s="231"/>
      <c r="O73" s="231"/>
      <c r="P73" s="234">
        <v>-25</v>
      </c>
    </row>
    <row r="74" spans="1:16" ht="19.5" customHeight="1">
      <c r="A74" s="227" t="s">
        <v>1102</v>
      </c>
      <c r="B74" s="230">
        <v>46048</v>
      </c>
      <c r="C74" s="227" t="s">
        <v>92</v>
      </c>
      <c r="D74" s="227" t="s">
        <v>96</v>
      </c>
      <c r="E74" s="227" t="s">
        <v>52</v>
      </c>
      <c r="F74" s="227" t="s">
        <v>90</v>
      </c>
      <c r="G74" s="227" t="s">
        <v>84</v>
      </c>
      <c r="H74" s="231">
        <v>1</v>
      </c>
      <c r="I74" s="232">
        <v>0</v>
      </c>
      <c r="J74" s="230">
        <v>46033</v>
      </c>
      <c r="K74" s="227" t="s">
        <v>93</v>
      </c>
      <c r="L74" s="227" t="s">
        <v>94</v>
      </c>
      <c r="M74" s="233">
        <v>0</v>
      </c>
      <c r="N74" s="231"/>
      <c r="O74" s="231"/>
      <c r="P74" s="234">
        <v>0</v>
      </c>
    </row>
    <row r="75" spans="1:16" ht="19.5" customHeight="1">
      <c r="A75" s="227" t="s">
        <v>1102</v>
      </c>
      <c r="B75" s="230">
        <v>46048</v>
      </c>
      <c r="C75" s="227" t="s">
        <v>92</v>
      </c>
      <c r="D75" s="227" t="s">
        <v>97</v>
      </c>
      <c r="E75" s="227" t="s">
        <v>52</v>
      </c>
      <c r="F75" s="227" t="s">
        <v>90</v>
      </c>
      <c r="G75" s="227" t="s">
        <v>84</v>
      </c>
      <c r="H75" s="231">
        <v>1</v>
      </c>
      <c r="I75" s="232">
        <v>0</v>
      </c>
      <c r="J75" s="230">
        <v>46033</v>
      </c>
      <c r="K75" s="227" t="s">
        <v>93</v>
      </c>
      <c r="L75" s="227" t="s">
        <v>94</v>
      </c>
      <c r="M75" s="233">
        <v>0</v>
      </c>
      <c r="N75" s="231"/>
      <c r="O75" s="231"/>
      <c r="P75" s="234">
        <v>-56</v>
      </c>
    </row>
    <row r="76" spans="1:16" ht="19.5" customHeight="1">
      <c r="A76" s="227" t="s">
        <v>1102</v>
      </c>
      <c r="B76" s="230">
        <v>46048</v>
      </c>
      <c r="C76" s="227" t="s">
        <v>81</v>
      </c>
      <c r="D76" s="227" t="s">
        <v>98</v>
      </c>
      <c r="E76" s="227" t="s">
        <v>52</v>
      </c>
      <c r="F76" s="227" t="s">
        <v>90</v>
      </c>
      <c r="G76" s="227" t="s">
        <v>84</v>
      </c>
      <c r="H76" s="231">
        <v>1</v>
      </c>
      <c r="I76" s="232">
        <v>0</v>
      </c>
      <c r="J76" s="230">
        <v>46033</v>
      </c>
      <c r="K76" s="227" t="s">
        <v>93</v>
      </c>
      <c r="L76" s="227" t="s">
        <v>94</v>
      </c>
      <c r="M76" s="233">
        <v>0</v>
      </c>
      <c r="N76" s="231"/>
      <c r="O76" s="231"/>
      <c r="P76" s="234">
        <v>-15</v>
      </c>
    </row>
    <row r="77" spans="1:16" ht="19.5" customHeight="1">
      <c r="A77" s="227" t="s">
        <v>1103</v>
      </c>
      <c r="B77" s="230">
        <v>46048</v>
      </c>
      <c r="C77" s="227" t="s">
        <v>92</v>
      </c>
      <c r="D77" s="227" t="s">
        <v>24</v>
      </c>
      <c r="E77" s="227" t="s">
        <v>43</v>
      </c>
      <c r="F77" s="227" t="s">
        <v>125</v>
      </c>
      <c r="G77" s="227" t="s">
        <v>84</v>
      </c>
      <c r="H77" s="231">
        <v>1</v>
      </c>
      <c r="I77" s="232">
        <v>1750</v>
      </c>
      <c r="J77" s="230">
        <v>46046</v>
      </c>
      <c r="K77" s="227" t="s">
        <v>93</v>
      </c>
      <c r="L77" s="227" t="s">
        <v>94</v>
      </c>
      <c r="M77" s="233">
        <v>0.43</v>
      </c>
      <c r="N77" s="231"/>
      <c r="O77" s="231">
        <v>40</v>
      </c>
      <c r="P77" s="234">
        <v>-115.25</v>
      </c>
    </row>
    <row r="78" spans="1:16" ht="19.5" customHeight="1">
      <c r="A78" s="227" t="s">
        <v>1103</v>
      </c>
      <c r="B78" s="230">
        <v>46048</v>
      </c>
      <c r="C78" s="227" t="s">
        <v>100</v>
      </c>
      <c r="D78" s="227" t="s">
        <v>101</v>
      </c>
      <c r="E78" s="227" t="s">
        <v>43</v>
      </c>
      <c r="F78" s="227" t="s">
        <v>125</v>
      </c>
      <c r="G78" s="227" t="s">
        <v>84</v>
      </c>
      <c r="H78" s="231">
        <v>1</v>
      </c>
      <c r="I78" s="232">
        <v>1750</v>
      </c>
      <c r="J78" s="230">
        <v>46046</v>
      </c>
      <c r="K78" s="227" t="s">
        <v>93</v>
      </c>
      <c r="L78" s="227" t="s">
        <v>94</v>
      </c>
      <c r="M78" s="233">
        <v>0</v>
      </c>
      <c r="N78" s="231"/>
      <c r="O78" s="231"/>
      <c r="P78" s="234">
        <v>656.52</v>
      </c>
    </row>
    <row r="79" spans="1:16" ht="19.5" customHeight="1">
      <c r="A79" s="227" t="s">
        <v>1103</v>
      </c>
      <c r="B79" s="230">
        <v>46048</v>
      </c>
      <c r="C79" s="227" t="s">
        <v>100</v>
      </c>
      <c r="D79" s="227" t="s">
        <v>102</v>
      </c>
      <c r="E79" s="227" t="s">
        <v>43</v>
      </c>
      <c r="F79" s="227" t="s">
        <v>125</v>
      </c>
      <c r="G79" s="227" t="s">
        <v>84</v>
      </c>
      <c r="H79" s="231">
        <v>1</v>
      </c>
      <c r="I79" s="232">
        <v>1750</v>
      </c>
      <c r="J79" s="230">
        <v>46046</v>
      </c>
      <c r="K79" s="227" t="s">
        <v>93</v>
      </c>
      <c r="L79" s="227" t="s">
        <v>94</v>
      </c>
      <c r="M79" s="233">
        <v>0</v>
      </c>
      <c r="N79" s="231"/>
      <c r="O79" s="231"/>
      <c r="P79" s="234">
        <v>6.57</v>
      </c>
    </row>
    <row r="80" spans="1:16" ht="19.5" customHeight="1">
      <c r="A80" s="227" t="s">
        <v>1103</v>
      </c>
      <c r="B80" s="230">
        <v>46048</v>
      </c>
      <c r="C80" s="227" t="s">
        <v>100</v>
      </c>
      <c r="D80" s="227" t="s">
        <v>103</v>
      </c>
      <c r="E80" s="227" t="s">
        <v>43</v>
      </c>
      <c r="F80" s="227" t="s">
        <v>125</v>
      </c>
      <c r="G80" s="227" t="s">
        <v>84</v>
      </c>
      <c r="H80" s="231">
        <v>1</v>
      </c>
      <c r="I80" s="232">
        <v>1750</v>
      </c>
      <c r="J80" s="230">
        <v>46046</v>
      </c>
      <c r="K80" s="227" t="s">
        <v>93</v>
      </c>
      <c r="L80" s="227" t="s">
        <v>94</v>
      </c>
      <c r="M80" s="233">
        <v>0</v>
      </c>
      <c r="N80" s="231"/>
      <c r="O80" s="231"/>
      <c r="P80" s="234">
        <v>1086.9100000000001</v>
      </c>
    </row>
    <row r="81" spans="1:16" ht="19.5" customHeight="1">
      <c r="A81" s="227" t="s">
        <v>1103</v>
      </c>
      <c r="B81" s="230">
        <v>46048</v>
      </c>
      <c r="C81" s="227" t="s">
        <v>104</v>
      </c>
      <c r="D81" s="227" t="s">
        <v>105</v>
      </c>
      <c r="E81" s="227" t="s">
        <v>43</v>
      </c>
      <c r="F81" s="227" t="s">
        <v>125</v>
      </c>
      <c r="G81" s="227" t="s">
        <v>84</v>
      </c>
      <c r="H81" s="231">
        <v>1</v>
      </c>
      <c r="I81" s="232">
        <v>1750</v>
      </c>
      <c r="J81" s="230">
        <v>46046</v>
      </c>
      <c r="K81" s="227" t="s">
        <v>93</v>
      </c>
      <c r="L81" s="227" t="s">
        <v>94</v>
      </c>
      <c r="M81" s="233">
        <v>0.43</v>
      </c>
      <c r="N81" s="231"/>
      <c r="O81" s="231"/>
      <c r="P81" s="234">
        <v>-752.5</v>
      </c>
    </row>
    <row r="82" spans="1:16" ht="19.5" customHeight="1">
      <c r="A82" s="227" t="s">
        <v>1103</v>
      </c>
      <c r="B82" s="230">
        <v>46048</v>
      </c>
      <c r="C82" s="227" t="s">
        <v>81</v>
      </c>
      <c r="D82" s="227" t="s">
        <v>95</v>
      </c>
      <c r="E82" s="227" t="s">
        <v>43</v>
      </c>
      <c r="F82" s="227" t="s">
        <v>125</v>
      </c>
      <c r="G82" s="227" t="s">
        <v>84</v>
      </c>
      <c r="H82" s="231">
        <v>1</v>
      </c>
      <c r="I82" s="232">
        <v>1750</v>
      </c>
      <c r="J82" s="230">
        <v>46046</v>
      </c>
      <c r="K82" s="227" t="s">
        <v>93</v>
      </c>
      <c r="L82" s="227" t="s">
        <v>94</v>
      </c>
      <c r="M82" s="233">
        <v>0.43</v>
      </c>
      <c r="N82" s="231"/>
      <c r="O82" s="231"/>
      <c r="P82" s="234">
        <v>-9.59</v>
      </c>
    </row>
    <row r="83" spans="1:16" ht="19.5" customHeight="1">
      <c r="A83" s="227" t="s">
        <v>1104</v>
      </c>
      <c r="B83" s="230">
        <v>46048</v>
      </c>
      <c r="C83" s="227" t="s">
        <v>81</v>
      </c>
      <c r="D83" s="227" t="s">
        <v>82</v>
      </c>
      <c r="E83" s="227" t="s">
        <v>41</v>
      </c>
      <c r="F83" s="227" t="s">
        <v>83</v>
      </c>
      <c r="G83" s="227" t="s">
        <v>84</v>
      </c>
      <c r="H83" s="231">
        <v>1</v>
      </c>
      <c r="I83" s="232">
        <v>0</v>
      </c>
      <c r="J83" s="230">
        <v>46048</v>
      </c>
      <c r="K83" s="227" t="s">
        <v>85</v>
      </c>
      <c r="L83" s="227" t="s">
        <v>85</v>
      </c>
      <c r="M83" s="233">
        <v>0</v>
      </c>
      <c r="N83" s="231"/>
      <c r="O83" s="231"/>
      <c r="P83" s="234">
        <v>-6.87</v>
      </c>
    </row>
    <row r="84" spans="1:16" ht="19.5" customHeight="1">
      <c r="A84" s="227" t="s">
        <v>1105</v>
      </c>
      <c r="B84" s="230">
        <v>46048</v>
      </c>
      <c r="C84" s="227" t="s">
        <v>92</v>
      </c>
      <c r="D84" s="227" t="s">
        <v>24</v>
      </c>
      <c r="E84" s="227" t="s">
        <v>52</v>
      </c>
      <c r="F84" s="227" t="s">
        <v>90</v>
      </c>
      <c r="G84" s="227" t="s">
        <v>84</v>
      </c>
      <c r="H84" s="231">
        <v>1</v>
      </c>
      <c r="I84" s="232">
        <v>1885</v>
      </c>
      <c r="J84" s="230">
        <v>46040</v>
      </c>
      <c r="K84" s="227" t="s">
        <v>93</v>
      </c>
      <c r="L84" s="227" t="s">
        <v>94</v>
      </c>
      <c r="M84" s="233">
        <v>0.43</v>
      </c>
      <c r="N84" s="231"/>
      <c r="O84" s="231">
        <v>45</v>
      </c>
      <c r="P84" s="234">
        <v>-156.72999999999999</v>
      </c>
    </row>
    <row r="85" spans="1:16" ht="19.5" customHeight="1">
      <c r="A85" s="227" t="s">
        <v>1105</v>
      </c>
      <c r="B85" s="230">
        <v>46048</v>
      </c>
      <c r="C85" s="227" t="s">
        <v>100</v>
      </c>
      <c r="D85" s="227" t="s">
        <v>101</v>
      </c>
      <c r="E85" s="227" t="s">
        <v>52</v>
      </c>
      <c r="F85" s="227" t="s">
        <v>90</v>
      </c>
      <c r="G85" s="227" t="s">
        <v>84</v>
      </c>
      <c r="H85" s="231">
        <v>1</v>
      </c>
      <c r="I85" s="232">
        <v>1885</v>
      </c>
      <c r="J85" s="230">
        <v>46040</v>
      </c>
      <c r="K85" s="227" t="s">
        <v>93</v>
      </c>
      <c r="L85" s="227" t="s">
        <v>94</v>
      </c>
      <c r="M85" s="233">
        <v>0</v>
      </c>
      <c r="N85" s="231"/>
      <c r="O85" s="231"/>
      <c r="P85" s="234">
        <v>825.71</v>
      </c>
    </row>
    <row r="86" spans="1:16" ht="19.5" customHeight="1">
      <c r="A86" s="227" t="s">
        <v>1105</v>
      </c>
      <c r="B86" s="230">
        <v>46048</v>
      </c>
      <c r="C86" s="227" t="s">
        <v>100</v>
      </c>
      <c r="D86" s="227" t="s">
        <v>102</v>
      </c>
      <c r="E86" s="227" t="s">
        <v>52</v>
      </c>
      <c r="F86" s="227" t="s">
        <v>90</v>
      </c>
      <c r="G86" s="227" t="s">
        <v>84</v>
      </c>
      <c r="H86" s="231">
        <v>1</v>
      </c>
      <c r="I86" s="232">
        <v>1885</v>
      </c>
      <c r="J86" s="230">
        <v>46040</v>
      </c>
      <c r="K86" s="227" t="s">
        <v>93</v>
      </c>
      <c r="L86" s="227" t="s">
        <v>94</v>
      </c>
      <c r="M86" s="233">
        <v>0</v>
      </c>
      <c r="N86" s="231"/>
      <c r="O86" s="231"/>
      <c r="P86" s="234">
        <v>8.26</v>
      </c>
    </row>
    <row r="87" spans="1:16" ht="19.5" customHeight="1">
      <c r="A87" s="227" t="s">
        <v>1105</v>
      </c>
      <c r="B87" s="230">
        <v>46048</v>
      </c>
      <c r="C87" s="227" t="s">
        <v>100</v>
      </c>
      <c r="D87" s="227" t="s">
        <v>103</v>
      </c>
      <c r="E87" s="227" t="s">
        <v>52</v>
      </c>
      <c r="F87" s="227" t="s">
        <v>90</v>
      </c>
      <c r="G87" s="227" t="s">
        <v>84</v>
      </c>
      <c r="H87" s="231">
        <v>1</v>
      </c>
      <c r="I87" s="232">
        <v>1885</v>
      </c>
      <c r="J87" s="230">
        <v>46040</v>
      </c>
      <c r="K87" s="227" t="s">
        <v>93</v>
      </c>
      <c r="L87" s="227" t="s">
        <v>94</v>
      </c>
      <c r="M87" s="233">
        <v>0</v>
      </c>
      <c r="N87" s="231"/>
      <c r="O87" s="231"/>
      <c r="P87" s="234">
        <v>1051.03</v>
      </c>
    </row>
    <row r="88" spans="1:16" ht="19.5" customHeight="1">
      <c r="A88" s="227" t="s">
        <v>1105</v>
      </c>
      <c r="B88" s="230">
        <v>46048</v>
      </c>
      <c r="C88" s="227" t="s">
        <v>104</v>
      </c>
      <c r="D88" s="227" t="s">
        <v>105</v>
      </c>
      <c r="E88" s="227" t="s">
        <v>52</v>
      </c>
      <c r="F88" s="227" t="s">
        <v>90</v>
      </c>
      <c r="G88" s="227" t="s">
        <v>84</v>
      </c>
      <c r="H88" s="231">
        <v>1</v>
      </c>
      <c r="I88" s="232">
        <v>1885</v>
      </c>
      <c r="J88" s="230">
        <v>46040</v>
      </c>
      <c r="K88" s="227" t="s">
        <v>93</v>
      </c>
      <c r="L88" s="227" t="s">
        <v>94</v>
      </c>
      <c r="M88" s="233">
        <v>0.43</v>
      </c>
      <c r="N88" s="231"/>
      <c r="O88" s="231"/>
      <c r="P88" s="234">
        <v>-810.55</v>
      </c>
    </row>
    <row r="89" spans="1:16" ht="19.5" customHeight="1">
      <c r="A89" s="227" t="s">
        <v>1105</v>
      </c>
      <c r="B89" s="230">
        <v>46048</v>
      </c>
      <c r="C89" s="227" t="s">
        <v>81</v>
      </c>
      <c r="D89" s="227" t="s">
        <v>95</v>
      </c>
      <c r="E89" s="227" t="s">
        <v>52</v>
      </c>
      <c r="F89" s="227" t="s">
        <v>90</v>
      </c>
      <c r="G89" s="227" t="s">
        <v>84</v>
      </c>
      <c r="H89" s="231">
        <v>1</v>
      </c>
      <c r="I89" s="232">
        <v>1885</v>
      </c>
      <c r="J89" s="230">
        <v>46040</v>
      </c>
      <c r="K89" s="227" t="s">
        <v>93</v>
      </c>
      <c r="L89" s="227" t="s">
        <v>94</v>
      </c>
      <c r="M89" s="233">
        <v>0.43</v>
      </c>
      <c r="N89" s="231"/>
      <c r="O89" s="231"/>
      <c r="P89" s="234">
        <v>-14.79</v>
      </c>
    </row>
    <row r="90" spans="1:16" ht="19.5" customHeight="1">
      <c r="A90" s="227" t="s">
        <v>1105</v>
      </c>
      <c r="B90" s="230">
        <v>46048</v>
      </c>
      <c r="C90" s="227" t="s">
        <v>81</v>
      </c>
      <c r="D90" s="227" t="s">
        <v>82</v>
      </c>
      <c r="E90" s="227" t="s">
        <v>52</v>
      </c>
      <c r="F90" s="227" t="s">
        <v>90</v>
      </c>
      <c r="G90" s="227" t="s">
        <v>84</v>
      </c>
      <c r="H90" s="231">
        <v>1</v>
      </c>
      <c r="I90" s="232">
        <v>0</v>
      </c>
      <c r="J90" s="230">
        <v>46040</v>
      </c>
      <c r="K90" s="227" t="s">
        <v>85</v>
      </c>
      <c r="L90" s="227" t="s">
        <v>85</v>
      </c>
      <c r="M90" s="233">
        <v>0</v>
      </c>
      <c r="N90" s="231"/>
      <c r="O90" s="231"/>
      <c r="P90" s="234">
        <v>-15.69</v>
      </c>
    </row>
    <row r="91" spans="1:16" ht="19.5" customHeight="1">
      <c r="A91" s="227" t="s">
        <v>1106</v>
      </c>
      <c r="B91" s="230">
        <v>46048</v>
      </c>
      <c r="C91" s="227" t="s">
        <v>92</v>
      </c>
      <c r="D91" s="227" t="s">
        <v>24</v>
      </c>
      <c r="E91" s="227" t="s">
        <v>41</v>
      </c>
      <c r="F91" s="227" t="s">
        <v>83</v>
      </c>
      <c r="G91" s="227" t="s">
        <v>84</v>
      </c>
      <c r="H91" s="231">
        <v>1</v>
      </c>
      <c r="I91" s="232">
        <v>1750</v>
      </c>
      <c r="J91" s="230">
        <v>46047</v>
      </c>
      <c r="K91" s="227" t="s">
        <v>93</v>
      </c>
      <c r="L91" s="227" t="s">
        <v>94</v>
      </c>
      <c r="M91" s="233">
        <v>0.43</v>
      </c>
      <c r="N91" s="231"/>
      <c r="O91" s="231">
        <v>41</v>
      </c>
      <c r="P91" s="234">
        <v>-119.28</v>
      </c>
    </row>
    <row r="92" spans="1:16" ht="19.5" customHeight="1">
      <c r="A92" s="227" t="s">
        <v>1106</v>
      </c>
      <c r="B92" s="230">
        <v>46048</v>
      </c>
      <c r="C92" s="227" t="s">
        <v>100</v>
      </c>
      <c r="D92" s="227" t="s">
        <v>101</v>
      </c>
      <c r="E92" s="227" t="s">
        <v>41</v>
      </c>
      <c r="F92" s="227" t="s">
        <v>83</v>
      </c>
      <c r="G92" s="227" t="s">
        <v>84</v>
      </c>
      <c r="H92" s="231">
        <v>1</v>
      </c>
      <c r="I92" s="232">
        <v>1750</v>
      </c>
      <c r="J92" s="230">
        <v>46047</v>
      </c>
      <c r="K92" s="227" t="s">
        <v>93</v>
      </c>
      <c r="L92" s="227" t="s">
        <v>94</v>
      </c>
      <c r="M92" s="233">
        <v>0</v>
      </c>
      <c r="N92" s="231"/>
      <c r="O92" s="231"/>
      <c r="P92" s="234">
        <v>723.81</v>
      </c>
    </row>
    <row r="93" spans="1:16" ht="19.5" customHeight="1">
      <c r="A93" s="227" t="s">
        <v>1106</v>
      </c>
      <c r="B93" s="230">
        <v>46048</v>
      </c>
      <c r="C93" s="227" t="s">
        <v>100</v>
      </c>
      <c r="D93" s="227" t="s">
        <v>102</v>
      </c>
      <c r="E93" s="227" t="s">
        <v>41</v>
      </c>
      <c r="F93" s="227" t="s">
        <v>83</v>
      </c>
      <c r="G93" s="227" t="s">
        <v>84</v>
      </c>
      <c r="H93" s="231">
        <v>1</v>
      </c>
      <c r="I93" s="232">
        <v>1750</v>
      </c>
      <c r="J93" s="230">
        <v>46047</v>
      </c>
      <c r="K93" s="227" t="s">
        <v>93</v>
      </c>
      <c r="L93" s="227" t="s">
        <v>94</v>
      </c>
      <c r="M93" s="233">
        <v>0</v>
      </c>
      <c r="N93" s="231"/>
      <c r="O93" s="231"/>
      <c r="P93" s="234">
        <v>7.24</v>
      </c>
    </row>
    <row r="94" spans="1:16" ht="19.5" customHeight="1">
      <c r="A94" s="227" t="s">
        <v>1106</v>
      </c>
      <c r="B94" s="230">
        <v>46048</v>
      </c>
      <c r="C94" s="227" t="s">
        <v>100</v>
      </c>
      <c r="D94" s="227" t="s">
        <v>103</v>
      </c>
      <c r="E94" s="227" t="s">
        <v>41</v>
      </c>
      <c r="F94" s="227" t="s">
        <v>83</v>
      </c>
      <c r="G94" s="227" t="s">
        <v>84</v>
      </c>
      <c r="H94" s="231">
        <v>1</v>
      </c>
      <c r="I94" s="232">
        <v>1750</v>
      </c>
      <c r="J94" s="230">
        <v>46047</v>
      </c>
      <c r="K94" s="227" t="s">
        <v>93</v>
      </c>
      <c r="L94" s="227" t="s">
        <v>94</v>
      </c>
      <c r="M94" s="233">
        <v>0</v>
      </c>
      <c r="N94" s="231"/>
      <c r="O94" s="231"/>
      <c r="P94" s="234">
        <v>1018.95</v>
      </c>
    </row>
    <row r="95" spans="1:16" ht="19.5" customHeight="1">
      <c r="A95" s="227" t="s">
        <v>1106</v>
      </c>
      <c r="B95" s="230">
        <v>46048</v>
      </c>
      <c r="C95" s="227" t="s">
        <v>104</v>
      </c>
      <c r="D95" s="227" t="s">
        <v>105</v>
      </c>
      <c r="E95" s="227" t="s">
        <v>41</v>
      </c>
      <c r="F95" s="227" t="s">
        <v>83</v>
      </c>
      <c r="G95" s="227" t="s">
        <v>84</v>
      </c>
      <c r="H95" s="231">
        <v>1</v>
      </c>
      <c r="I95" s="232">
        <v>1750</v>
      </c>
      <c r="J95" s="230">
        <v>46047</v>
      </c>
      <c r="K95" s="227" t="s">
        <v>93</v>
      </c>
      <c r="L95" s="227" t="s">
        <v>94</v>
      </c>
      <c r="M95" s="233">
        <v>0.43</v>
      </c>
      <c r="N95" s="231"/>
      <c r="O95" s="231"/>
      <c r="P95" s="234">
        <v>-752.5</v>
      </c>
    </row>
    <row r="96" spans="1:16" ht="19.5" customHeight="1">
      <c r="A96" s="227" t="s">
        <v>1106</v>
      </c>
      <c r="B96" s="230">
        <v>46048</v>
      </c>
      <c r="C96" s="227" t="s">
        <v>81</v>
      </c>
      <c r="D96" s="227" t="s">
        <v>95</v>
      </c>
      <c r="E96" s="227" t="s">
        <v>41</v>
      </c>
      <c r="F96" s="227" t="s">
        <v>83</v>
      </c>
      <c r="G96" s="227" t="s">
        <v>84</v>
      </c>
      <c r="H96" s="231">
        <v>1</v>
      </c>
      <c r="I96" s="232">
        <v>1750</v>
      </c>
      <c r="J96" s="230">
        <v>46047</v>
      </c>
      <c r="K96" s="227" t="s">
        <v>93</v>
      </c>
      <c r="L96" s="227" t="s">
        <v>94</v>
      </c>
      <c r="M96" s="233">
        <v>0.43</v>
      </c>
      <c r="N96" s="231"/>
      <c r="O96" s="231"/>
      <c r="P96" s="234">
        <v>-13.37</v>
      </c>
    </row>
    <row r="97" spans="1:16" ht="19.5" customHeight="1">
      <c r="A97" s="227" t="s">
        <v>1107</v>
      </c>
      <c r="B97" s="230">
        <v>46048</v>
      </c>
      <c r="C97" s="227" t="s">
        <v>92</v>
      </c>
      <c r="D97" s="227" t="s">
        <v>24</v>
      </c>
      <c r="E97" s="227" t="s">
        <v>39</v>
      </c>
      <c r="F97" s="227" t="s">
        <v>117</v>
      </c>
      <c r="G97" s="227" t="s">
        <v>84</v>
      </c>
      <c r="H97" s="231">
        <v>1</v>
      </c>
      <c r="I97" s="232">
        <v>1750</v>
      </c>
      <c r="J97" s="230">
        <v>46046</v>
      </c>
      <c r="K97" s="227" t="s">
        <v>93</v>
      </c>
      <c r="L97" s="227" t="s">
        <v>94</v>
      </c>
      <c r="M97" s="233">
        <v>0.43</v>
      </c>
      <c r="N97" s="231"/>
      <c r="O97" s="231">
        <v>40</v>
      </c>
      <c r="P97" s="234">
        <v>-115.25</v>
      </c>
    </row>
    <row r="98" spans="1:16" ht="19.5" customHeight="1">
      <c r="A98" s="227" t="s">
        <v>1107</v>
      </c>
      <c r="B98" s="230">
        <v>46048</v>
      </c>
      <c r="C98" s="227" t="s">
        <v>100</v>
      </c>
      <c r="D98" s="227" t="s">
        <v>101</v>
      </c>
      <c r="E98" s="227" t="s">
        <v>39</v>
      </c>
      <c r="F98" s="227" t="s">
        <v>117</v>
      </c>
      <c r="G98" s="227" t="s">
        <v>84</v>
      </c>
      <c r="H98" s="231">
        <v>1</v>
      </c>
      <c r="I98" s="232">
        <v>1750</v>
      </c>
      <c r="J98" s="230">
        <v>46046</v>
      </c>
      <c r="K98" s="227" t="s">
        <v>93</v>
      </c>
      <c r="L98" s="227" t="s">
        <v>94</v>
      </c>
      <c r="M98" s="233">
        <v>0</v>
      </c>
      <c r="N98" s="231"/>
      <c r="O98" s="231"/>
      <c r="P98" s="234">
        <v>749.52</v>
      </c>
    </row>
    <row r="99" spans="1:16" ht="19.5" customHeight="1">
      <c r="A99" s="227" t="s">
        <v>1107</v>
      </c>
      <c r="B99" s="230">
        <v>46048</v>
      </c>
      <c r="C99" s="227" t="s">
        <v>100</v>
      </c>
      <c r="D99" s="227" t="s">
        <v>102</v>
      </c>
      <c r="E99" s="227" t="s">
        <v>39</v>
      </c>
      <c r="F99" s="227" t="s">
        <v>117</v>
      </c>
      <c r="G99" s="227" t="s">
        <v>84</v>
      </c>
      <c r="H99" s="231">
        <v>1</v>
      </c>
      <c r="I99" s="232">
        <v>1750</v>
      </c>
      <c r="J99" s="230">
        <v>46046</v>
      </c>
      <c r="K99" s="227" t="s">
        <v>93</v>
      </c>
      <c r="L99" s="227" t="s">
        <v>94</v>
      </c>
      <c r="M99" s="233">
        <v>0</v>
      </c>
      <c r="N99" s="231"/>
      <c r="O99" s="231"/>
      <c r="P99" s="234">
        <v>0</v>
      </c>
    </row>
    <row r="100" spans="1:16" ht="19.5" customHeight="1">
      <c r="A100" s="227" t="s">
        <v>1107</v>
      </c>
      <c r="B100" s="230">
        <v>46048</v>
      </c>
      <c r="C100" s="227" t="s">
        <v>100</v>
      </c>
      <c r="D100" s="227" t="s">
        <v>103</v>
      </c>
      <c r="E100" s="227" t="s">
        <v>39</v>
      </c>
      <c r="F100" s="227" t="s">
        <v>117</v>
      </c>
      <c r="G100" s="227" t="s">
        <v>84</v>
      </c>
      <c r="H100" s="231">
        <v>1</v>
      </c>
      <c r="I100" s="232">
        <v>1750</v>
      </c>
      <c r="J100" s="230">
        <v>46046</v>
      </c>
      <c r="K100" s="227" t="s">
        <v>93</v>
      </c>
      <c r="L100" s="227" t="s">
        <v>94</v>
      </c>
      <c r="M100" s="233">
        <v>0</v>
      </c>
      <c r="N100" s="231"/>
      <c r="O100" s="231"/>
      <c r="P100" s="234">
        <v>1000.48</v>
      </c>
    </row>
    <row r="101" spans="1:16" ht="19.5" customHeight="1">
      <c r="A101" s="227" t="s">
        <v>1107</v>
      </c>
      <c r="B101" s="230">
        <v>46048</v>
      </c>
      <c r="C101" s="227" t="s">
        <v>104</v>
      </c>
      <c r="D101" s="227" t="s">
        <v>105</v>
      </c>
      <c r="E101" s="227" t="s">
        <v>39</v>
      </c>
      <c r="F101" s="227" t="s">
        <v>117</v>
      </c>
      <c r="G101" s="227" t="s">
        <v>84</v>
      </c>
      <c r="H101" s="231">
        <v>1</v>
      </c>
      <c r="I101" s="232">
        <v>1750</v>
      </c>
      <c r="J101" s="230">
        <v>46046</v>
      </c>
      <c r="K101" s="227" t="s">
        <v>93</v>
      </c>
      <c r="L101" s="227" t="s">
        <v>94</v>
      </c>
      <c r="M101" s="233">
        <v>0.43</v>
      </c>
      <c r="N101" s="231"/>
      <c r="O101" s="231"/>
      <c r="P101" s="234">
        <v>-752.5</v>
      </c>
    </row>
    <row r="102" spans="1:16" ht="19.5" customHeight="1">
      <c r="A102" s="227" t="s">
        <v>1107</v>
      </c>
      <c r="B102" s="230">
        <v>46048</v>
      </c>
      <c r="C102" s="227" t="s">
        <v>81</v>
      </c>
      <c r="D102" s="227" t="s">
        <v>95</v>
      </c>
      <c r="E102" s="227" t="s">
        <v>39</v>
      </c>
      <c r="F102" s="227" t="s">
        <v>117</v>
      </c>
      <c r="G102" s="227" t="s">
        <v>84</v>
      </c>
      <c r="H102" s="231">
        <v>1</v>
      </c>
      <c r="I102" s="232">
        <v>1750</v>
      </c>
      <c r="J102" s="230">
        <v>46046</v>
      </c>
      <c r="K102" s="227" t="s">
        <v>93</v>
      </c>
      <c r="L102" s="227" t="s">
        <v>94</v>
      </c>
      <c r="M102" s="233">
        <v>0.43</v>
      </c>
      <c r="N102" s="231"/>
      <c r="O102" s="231"/>
      <c r="P102" s="234">
        <v>-9.24</v>
      </c>
    </row>
    <row r="103" spans="1:16" ht="19.5" customHeight="1">
      <c r="A103" s="227" t="s">
        <v>1108</v>
      </c>
      <c r="B103" s="230">
        <v>46048</v>
      </c>
      <c r="C103" s="227" t="s">
        <v>92</v>
      </c>
      <c r="D103" s="227" t="s">
        <v>24</v>
      </c>
      <c r="E103" s="227" t="s">
        <v>52</v>
      </c>
      <c r="F103" s="227" t="s">
        <v>90</v>
      </c>
      <c r="G103" s="227" t="s">
        <v>84</v>
      </c>
      <c r="H103" s="231">
        <v>1</v>
      </c>
      <c r="I103" s="232">
        <v>1800</v>
      </c>
      <c r="J103" s="230">
        <v>46046</v>
      </c>
      <c r="K103" s="227" t="s">
        <v>93</v>
      </c>
      <c r="L103" s="227" t="s">
        <v>94</v>
      </c>
      <c r="M103" s="233">
        <v>0.43</v>
      </c>
      <c r="N103" s="231"/>
      <c r="O103" s="231">
        <v>40</v>
      </c>
      <c r="P103" s="234">
        <v>-130.46</v>
      </c>
    </row>
    <row r="104" spans="1:16" ht="19.5" customHeight="1">
      <c r="A104" s="227" t="s">
        <v>1108</v>
      </c>
      <c r="B104" s="230">
        <v>46048</v>
      </c>
      <c r="C104" s="227" t="s">
        <v>100</v>
      </c>
      <c r="D104" s="227" t="s">
        <v>101</v>
      </c>
      <c r="E104" s="227" t="s">
        <v>52</v>
      </c>
      <c r="F104" s="227" t="s">
        <v>90</v>
      </c>
      <c r="G104" s="227" t="s">
        <v>84</v>
      </c>
      <c r="H104" s="231">
        <v>1</v>
      </c>
      <c r="I104" s="232">
        <v>1800</v>
      </c>
      <c r="J104" s="230">
        <v>46046</v>
      </c>
      <c r="K104" s="227" t="s">
        <v>93</v>
      </c>
      <c r="L104" s="227" t="s">
        <v>94</v>
      </c>
      <c r="M104" s="233">
        <v>0</v>
      </c>
      <c r="N104" s="231"/>
      <c r="O104" s="231"/>
      <c r="P104" s="234">
        <v>627.62</v>
      </c>
    </row>
    <row r="105" spans="1:16" ht="19.5" customHeight="1">
      <c r="A105" s="227" t="s">
        <v>1108</v>
      </c>
      <c r="B105" s="230">
        <v>46048</v>
      </c>
      <c r="C105" s="227" t="s">
        <v>100</v>
      </c>
      <c r="D105" s="227" t="s">
        <v>102</v>
      </c>
      <c r="E105" s="227" t="s">
        <v>52</v>
      </c>
      <c r="F105" s="227" t="s">
        <v>90</v>
      </c>
      <c r="G105" s="227" t="s">
        <v>84</v>
      </c>
      <c r="H105" s="231">
        <v>1</v>
      </c>
      <c r="I105" s="232">
        <v>1800</v>
      </c>
      <c r="J105" s="230">
        <v>46046</v>
      </c>
      <c r="K105" s="227" t="s">
        <v>93</v>
      </c>
      <c r="L105" s="227" t="s">
        <v>94</v>
      </c>
      <c r="M105" s="233">
        <v>0</v>
      </c>
      <c r="N105" s="231"/>
      <c r="O105" s="231"/>
      <c r="P105" s="234">
        <v>6.28</v>
      </c>
    </row>
    <row r="106" spans="1:16" ht="19.5" customHeight="1">
      <c r="A106" s="227" t="s">
        <v>1108</v>
      </c>
      <c r="B106" s="230">
        <v>46048</v>
      </c>
      <c r="C106" s="227" t="s">
        <v>100</v>
      </c>
      <c r="D106" s="227" t="s">
        <v>103</v>
      </c>
      <c r="E106" s="227" t="s">
        <v>52</v>
      </c>
      <c r="F106" s="227" t="s">
        <v>90</v>
      </c>
      <c r="G106" s="227" t="s">
        <v>84</v>
      </c>
      <c r="H106" s="231">
        <v>1</v>
      </c>
      <c r="I106" s="232">
        <v>1800</v>
      </c>
      <c r="J106" s="230">
        <v>46046</v>
      </c>
      <c r="K106" s="227" t="s">
        <v>93</v>
      </c>
      <c r="L106" s="227" t="s">
        <v>94</v>
      </c>
      <c r="M106" s="233">
        <v>0</v>
      </c>
      <c r="N106" s="231"/>
      <c r="O106" s="231"/>
      <c r="P106" s="234">
        <v>1166.0999999999999</v>
      </c>
    </row>
    <row r="107" spans="1:16" ht="19.5" customHeight="1">
      <c r="A107" s="227" t="s">
        <v>1108</v>
      </c>
      <c r="B107" s="230">
        <v>46048</v>
      </c>
      <c r="C107" s="227" t="s">
        <v>104</v>
      </c>
      <c r="D107" s="227" t="s">
        <v>105</v>
      </c>
      <c r="E107" s="227" t="s">
        <v>52</v>
      </c>
      <c r="F107" s="227" t="s">
        <v>90</v>
      </c>
      <c r="G107" s="227" t="s">
        <v>84</v>
      </c>
      <c r="H107" s="231">
        <v>1</v>
      </c>
      <c r="I107" s="232">
        <v>1800</v>
      </c>
      <c r="J107" s="230">
        <v>46046</v>
      </c>
      <c r="K107" s="227" t="s">
        <v>93</v>
      </c>
      <c r="L107" s="227" t="s">
        <v>94</v>
      </c>
      <c r="M107" s="233">
        <v>0.43</v>
      </c>
      <c r="N107" s="231"/>
      <c r="O107" s="231"/>
      <c r="P107" s="234">
        <v>-774</v>
      </c>
    </row>
    <row r="108" spans="1:16" ht="19.5" customHeight="1">
      <c r="A108" s="227" t="s">
        <v>1108</v>
      </c>
      <c r="B108" s="230">
        <v>46048</v>
      </c>
      <c r="C108" s="227" t="s">
        <v>81</v>
      </c>
      <c r="D108" s="227" t="s">
        <v>95</v>
      </c>
      <c r="E108" s="227" t="s">
        <v>52</v>
      </c>
      <c r="F108" s="227" t="s">
        <v>90</v>
      </c>
      <c r="G108" s="227" t="s">
        <v>84</v>
      </c>
      <c r="H108" s="231">
        <v>1</v>
      </c>
      <c r="I108" s="232">
        <v>1800</v>
      </c>
      <c r="J108" s="230">
        <v>46046</v>
      </c>
      <c r="K108" s="227" t="s">
        <v>93</v>
      </c>
      <c r="L108" s="227" t="s">
        <v>94</v>
      </c>
      <c r="M108" s="233">
        <v>0.43</v>
      </c>
      <c r="N108" s="231"/>
      <c r="O108" s="231"/>
      <c r="P108" s="234">
        <v>-10.45</v>
      </c>
    </row>
    <row r="109" spans="1:16" ht="19.5" customHeight="1">
      <c r="A109" s="227" t="s">
        <v>1109</v>
      </c>
      <c r="B109" s="230">
        <v>46048</v>
      </c>
      <c r="C109" s="227" t="s">
        <v>92</v>
      </c>
      <c r="D109" s="227" t="s">
        <v>24</v>
      </c>
      <c r="E109" s="227" t="s">
        <v>53</v>
      </c>
      <c r="F109" s="227" t="s">
        <v>120</v>
      </c>
      <c r="G109" s="227" t="s">
        <v>84</v>
      </c>
      <c r="H109" s="231">
        <v>1</v>
      </c>
      <c r="I109" s="232">
        <v>1812</v>
      </c>
      <c r="J109" s="230">
        <v>46046</v>
      </c>
      <c r="K109" s="227" t="s">
        <v>93</v>
      </c>
      <c r="L109" s="227" t="s">
        <v>94</v>
      </c>
      <c r="M109" s="233">
        <v>0.43</v>
      </c>
      <c r="N109" s="231"/>
      <c r="O109" s="231">
        <v>40</v>
      </c>
      <c r="P109" s="234">
        <v>-130.77000000000001</v>
      </c>
    </row>
    <row r="110" spans="1:16" ht="19.5" customHeight="1">
      <c r="A110" s="227" t="s">
        <v>1109</v>
      </c>
      <c r="B110" s="230">
        <v>46048</v>
      </c>
      <c r="C110" s="227" t="s">
        <v>100</v>
      </c>
      <c r="D110" s="227" t="s">
        <v>101</v>
      </c>
      <c r="E110" s="227" t="s">
        <v>53</v>
      </c>
      <c r="F110" s="227" t="s">
        <v>120</v>
      </c>
      <c r="G110" s="227" t="s">
        <v>84</v>
      </c>
      <c r="H110" s="231">
        <v>1</v>
      </c>
      <c r="I110" s="232">
        <v>1812</v>
      </c>
      <c r="J110" s="230">
        <v>46046</v>
      </c>
      <c r="K110" s="227" t="s">
        <v>93</v>
      </c>
      <c r="L110" s="227" t="s">
        <v>94</v>
      </c>
      <c r="M110" s="233">
        <v>0</v>
      </c>
      <c r="N110" s="231"/>
      <c r="O110" s="231"/>
      <c r="P110" s="234">
        <v>712.38</v>
      </c>
    </row>
    <row r="111" spans="1:16" ht="19.5" customHeight="1">
      <c r="A111" s="227" t="s">
        <v>1109</v>
      </c>
      <c r="B111" s="230">
        <v>46048</v>
      </c>
      <c r="C111" s="227" t="s">
        <v>100</v>
      </c>
      <c r="D111" s="227" t="s">
        <v>102</v>
      </c>
      <c r="E111" s="227" t="s">
        <v>53</v>
      </c>
      <c r="F111" s="227" t="s">
        <v>120</v>
      </c>
      <c r="G111" s="227" t="s">
        <v>84</v>
      </c>
      <c r="H111" s="231">
        <v>1</v>
      </c>
      <c r="I111" s="232">
        <v>1812</v>
      </c>
      <c r="J111" s="230">
        <v>46046</v>
      </c>
      <c r="K111" s="227" t="s">
        <v>93</v>
      </c>
      <c r="L111" s="227" t="s">
        <v>94</v>
      </c>
      <c r="M111" s="233">
        <v>0</v>
      </c>
      <c r="N111" s="231"/>
      <c r="O111" s="231"/>
      <c r="P111" s="234">
        <v>7.12</v>
      </c>
    </row>
    <row r="112" spans="1:16" ht="19.5" customHeight="1">
      <c r="A112" s="227" t="s">
        <v>1109</v>
      </c>
      <c r="B112" s="230">
        <v>46048</v>
      </c>
      <c r="C112" s="227" t="s">
        <v>100</v>
      </c>
      <c r="D112" s="227" t="s">
        <v>103</v>
      </c>
      <c r="E112" s="227" t="s">
        <v>53</v>
      </c>
      <c r="F112" s="227" t="s">
        <v>120</v>
      </c>
      <c r="G112" s="227" t="s">
        <v>84</v>
      </c>
      <c r="H112" s="231">
        <v>1</v>
      </c>
      <c r="I112" s="232">
        <v>1812</v>
      </c>
      <c r="J112" s="230">
        <v>46046</v>
      </c>
      <c r="K112" s="227" t="s">
        <v>93</v>
      </c>
      <c r="L112" s="227" t="s">
        <v>94</v>
      </c>
      <c r="M112" s="233">
        <v>0</v>
      </c>
      <c r="N112" s="231"/>
      <c r="O112" s="231"/>
      <c r="P112" s="234">
        <v>1092.5</v>
      </c>
    </row>
    <row r="113" spans="1:16" ht="19.5" customHeight="1">
      <c r="A113" s="227" t="s">
        <v>1109</v>
      </c>
      <c r="B113" s="230">
        <v>46048</v>
      </c>
      <c r="C113" s="227" t="s">
        <v>104</v>
      </c>
      <c r="D113" s="227" t="s">
        <v>105</v>
      </c>
      <c r="E113" s="227" t="s">
        <v>53</v>
      </c>
      <c r="F113" s="227" t="s">
        <v>120</v>
      </c>
      <c r="G113" s="227" t="s">
        <v>84</v>
      </c>
      <c r="H113" s="231">
        <v>1</v>
      </c>
      <c r="I113" s="232">
        <v>1812</v>
      </c>
      <c r="J113" s="230">
        <v>46046</v>
      </c>
      <c r="K113" s="227" t="s">
        <v>93</v>
      </c>
      <c r="L113" s="227" t="s">
        <v>94</v>
      </c>
      <c r="M113" s="233">
        <v>0.43</v>
      </c>
      <c r="N113" s="231"/>
      <c r="O113" s="231"/>
      <c r="P113" s="234">
        <v>-779.16</v>
      </c>
    </row>
    <row r="114" spans="1:16" ht="19.5" customHeight="1">
      <c r="A114" s="227" t="s">
        <v>1109</v>
      </c>
      <c r="B114" s="230">
        <v>46048</v>
      </c>
      <c r="C114" s="227" t="s">
        <v>81</v>
      </c>
      <c r="D114" s="227" t="s">
        <v>95</v>
      </c>
      <c r="E114" s="227" t="s">
        <v>53</v>
      </c>
      <c r="F114" s="227" t="s">
        <v>120</v>
      </c>
      <c r="G114" s="227" t="s">
        <v>84</v>
      </c>
      <c r="H114" s="231">
        <v>1</v>
      </c>
      <c r="I114" s="232">
        <v>1812</v>
      </c>
      <c r="J114" s="230">
        <v>46046</v>
      </c>
      <c r="K114" s="227" t="s">
        <v>93</v>
      </c>
      <c r="L114" s="227" t="s">
        <v>94</v>
      </c>
      <c r="M114" s="233">
        <v>0.43</v>
      </c>
      <c r="N114" s="231"/>
      <c r="O114" s="231"/>
      <c r="P114" s="234">
        <v>-12.89</v>
      </c>
    </row>
    <row r="115" spans="1:16" ht="19.5" customHeight="1">
      <c r="A115" s="227" t="s">
        <v>1110</v>
      </c>
      <c r="B115" s="230">
        <v>46048</v>
      </c>
      <c r="C115" s="227" t="s">
        <v>92</v>
      </c>
      <c r="D115" s="227" t="s">
        <v>24</v>
      </c>
      <c r="E115" s="227" t="s">
        <v>41</v>
      </c>
      <c r="F115" s="227" t="s">
        <v>83</v>
      </c>
      <c r="G115" s="227" t="s">
        <v>84</v>
      </c>
      <c r="H115" s="231">
        <v>1</v>
      </c>
      <c r="I115" s="232">
        <v>0</v>
      </c>
      <c r="J115" s="230">
        <v>46042</v>
      </c>
      <c r="K115" s="227" t="s">
        <v>93</v>
      </c>
      <c r="L115" s="227" t="s">
        <v>94</v>
      </c>
      <c r="M115" s="233">
        <v>0</v>
      </c>
      <c r="N115" s="231"/>
      <c r="O115" s="231">
        <v>43</v>
      </c>
      <c r="P115" s="234">
        <v>-46.77</v>
      </c>
    </row>
    <row r="116" spans="1:16" ht="19.5" customHeight="1">
      <c r="A116" s="227" t="s">
        <v>1110</v>
      </c>
      <c r="B116" s="230">
        <v>46048</v>
      </c>
      <c r="C116" s="227" t="s">
        <v>81</v>
      </c>
      <c r="D116" s="227" t="s">
        <v>95</v>
      </c>
      <c r="E116" s="227" t="s">
        <v>41</v>
      </c>
      <c r="F116" s="227" t="s">
        <v>83</v>
      </c>
      <c r="G116" s="227" t="s">
        <v>84</v>
      </c>
      <c r="H116" s="231">
        <v>1</v>
      </c>
      <c r="I116" s="232">
        <v>0</v>
      </c>
      <c r="J116" s="230">
        <v>46042</v>
      </c>
      <c r="K116" s="227" t="s">
        <v>93</v>
      </c>
      <c r="L116" s="227" t="s">
        <v>94</v>
      </c>
      <c r="M116" s="233">
        <v>0</v>
      </c>
      <c r="N116" s="231"/>
      <c r="O116" s="231"/>
      <c r="P116" s="234">
        <v>-10.78</v>
      </c>
    </row>
    <row r="117" spans="1:16" ht="19.5" customHeight="1">
      <c r="A117" s="227" t="s">
        <v>1108</v>
      </c>
      <c r="B117" s="230">
        <v>46048</v>
      </c>
      <c r="C117" s="227" t="s">
        <v>81</v>
      </c>
      <c r="D117" s="227" t="s">
        <v>82</v>
      </c>
      <c r="E117" s="227" t="s">
        <v>52</v>
      </c>
      <c r="F117" s="227" t="s">
        <v>90</v>
      </c>
      <c r="G117" s="227" t="s">
        <v>84</v>
      </c>
      <c r="H117" s="231">
        <v>1</v>
      </c>
      <c r="I117" s="232">
        <v>0</v>
      </c>
      <c r="J117" s="230">
        <v>46046</v>
      </c>
      <c r="K117" s="227" t="s">
        <v>85</v>
      </c>
      <c r="L117" s="227" t="s">
        <v>85</v>
      </c>
      <c r="M117" s="233">
        <v>0</v>
      </c>
      <c r="N117" s="231"/>
      <c r="O117" s="231"/>
      <c r="P117" s="234">
        <v>-11.92</v>
      </c>
    </row>
    <row r="118" spans="1:16" ht="19.5" customHeight="1">
      <c r="A118" s="227" t="s">
        <v>1110</v>
      </c>
      <c r="B118" s="230">
        <v>46048</v>
      </c>
      <c r="C118" s="227" t="s">
        <v>92</v>
      </c>
      <c r="D118" s="227" t="s">
        <v>96</v>
      </c>
      <c r="E118" s="227" t="s">
        <v>41</v>
      </c>
      <c r="F118" s="227" t="s">
        <v>83</v>
      </c>
      <c r="G118" s="227" t="s">
        <v>84</v>
      </c>
      <c r="H118" s="231">
        <v>1</v>
      </c>
      <c r="I118" s="232">
        <v>0</v>
      </c>
      <c r="J118" s="230">
        <v>46042</v>
      </c>
      <c r="K118" s="227" t="s">
        <v>93</v>
      </c>
      <c r="L118" s="227" t="s">
        <v>94</v>
      </c>
      <c r="M118" s="233">
        <v>0</v>
      </c>
      <c r="N118" s="231"/>
      <c r="O118" s="231"/>
      <c r="P118" s="234">
        <v>0</v>
      </c>
    </row>
    <row r="119" spans="1:16" ht="19.5" customHeight="1">
      <c r="A119" s="227" t="s">
        <v>1110</v>
      </c>
      <c r="B119" s="230">
        <v>46048</v>
      </c>
      <c r="C119" s="227" t="s">
        <v>92</v>
      </c>
      <c r="D119" s="227" t="s">
        <v>97</v>
      </c>
      <c r="E119" s="227" t="s">
        <v>41</v>
      </c>
      <c r="F119" s="227" t="s">
        <v>83</v>
      </c>
      <c r="G119" s="227" t="s">
        <v>84</v>
      </c>
      <c r="H119" s="231">
        <v>1</v>
      </c>
      <c r="I119" s="232">
        <v>0</v>
      </c>
      <c r="J119" s="230">
        <v>46042</v>
      </c>
      <c r="K119" s="227" t="s">
        <v>93</v>
      </c>
      <c r="L119" s="227" t="s">
        <v>94</v>
      </c>
      <c r="M119" s="233">
        <v>0</v>
      </c>
      <c r="N119" s="231"/>
      <c r="O119" s="231"/>
      <c r="P119" s="234">
        <v>-46.77</v>
      </c>
    </row>
    <row r="120" spans="1:16" ht="19.5" customHeight="1">
      <c r="A120" s="227" t="s">
        <v>1110</v>
      </c>
      <c r="B120" s="230">
        <v>46048</v>
      </c>
      <c r="C120" s="227" t="s">
        <v>81</v>
      </c>
      <c r="D120" s="227" t="s">
        <v>98</v>
      </c>
      <c r="E120" s="227" t="s">
        <v>41</v>
      </c>
      <c r="F120" s="227" t="s">
        <v>83</v>
      </c>
      <c r="G120" s="227" t="s">
        <v>84</v>
      </c>
      <c r="H120" s="231">
        <v>1</v>
      </c>
      <c r="I120" s="232">
        <v>0</v>
      </c>
      <c r="J120" s="230">
        <v>46042</v>
      </c>
      <c r="K120" s="227" t="s">
        <v>93</v>
      </c>
      <c r="L120" s="227" t="s">
        <v>94</v>
      </c>
      <c r="M120" s="233">
        <v>0</v>
      </c>
      <c r="N120" s="231"/>
      <c r="O120" s="231"/>
      <c r="P120" s="234">
        <v>-15</v>
      </c>
    </row>
    <row r="121" spans="1:16" ht="19.5" customHeight="1">
      <c r="A121" s="227" t="s">
        <v>1111</v>
      </c>
      <c r="B121" s="230">
        <v>46048</v>
      </c>
      <c r="C121" s="227" t="s">
        <v>92</v>
      </c>
      <c r="D121" s="227" t="s">
        <v>24</v>
      </c>
      <c r="E121" s="227" t="s">
        <v>53</v>
      </c>
      <c r="F121" s="227" t="s">
        <v>120</v>
      </c>
      <c r="G121" s="227" t="s">
        <v>84</v>
      </c>
      <c r="H121" s="231">
        <v>1</v>
      </c>
      <c r="I121" s="232">
        <v>1812</v>
      </c>
      <c r="J121" s="230">
        <v>46047</v>
      </c>
      <c r="K121" s="227" t="s">
        <v>93</v>
      </c>
      <c r="L121" s="227" t="s">
        <v>94</v>
      </c>
      <c r="M121" s="233">
        <v>0.43</v>
      </c>
      <c r="N121" s="231"/>
      <c r="O121" s="231">
        <v>41</v>
      </c>
      <c r="P121" s="234">
        <v>-135.16</v>
      </c>
    </row>
    <row r="122" spans="1:16" ht="19.5" customHeight="1">
      <c r="A122" s="227" t="s">
        <v>1111</v>
      </c>
      <c r="B122" s="230">
        <v>46048</v>
      </c>
      <c r="C122" s="227" t="s">
        <v>100</v>
      </c>
      <c r="D122" s="227" t="s">
        <v>101</v>
      </c>
      <c r="E122" s="227" t="s">
        <v>53</v>
      </c>
      <c r="F122" s="227" t="s">
        <v>120</v>
      </c>
      <c r="G122" s="227" t="s">
        <v>84</v>
      </c>
      <c r="H122" s="231">
        <v>1</v>
      </c>
      <c r="I122" s="232">
        <v>1812</v>
      </c>
      <c r="J122" s="230">
        <v>46047</v>
      </c>
      <c r="K122" s="227" t="s">
        <v>93</v>
      </c>
      <c r="L122" s="227" t="s">
        <v>94</v>
      </c>
      <c r="M122" s="233">
        <v>0</v>
      </c>
      <c r="N122" s="231"/>
      <c r="O122" s="231"/>
      <c r="P122" s="234">
        <v>672.38</v>
      </c>
    </row>
    <row r="123" spans="1:16" ht="19.5" customHeight="1">
      <c r="A123" s="227" t="s">
        <v>1111</v>
      </c>
      <c r="B123" s="230">
        <v>46048</v>
      </c>
      <c r="C123" s="227" t="s">
        <v>100</v>
      </c>
      <c r="D123" s="227" t="s">
        <v>102</v>
      </c>
      <c r="E123" s="227" t="s">
        <v>53</v>
      </c>
      <c r="F123" s="227" t="s">
        <v>120</v>
      </c>
      <c r="G123" s="227" t="s">
        <v>84</v>
      </c>
      <c r="H123" s="231">
        <v>1</v>
      </c>
      <c r="I123" s="232">
        <v>1812</v>
      </c>
      <c r="J123" s="230">
        <v>46047</v>
      </c>
      <c r="K123" s="227" t="s">
        <v>93</v>
      </c>
      <c r="L123" s="227" t="s">
        <v>94</v>
      </c>
      <c r="M123" s="233">
        <v>0</v>
      </c>
      <c r="N123" s="231"/>
      <c r="O123" s="231"/>
      <c r="P123" s="234">
        <v>6.72</v>
      </c>
    </row>
    <row r="124" spans="1:16" ht="19.5" customHeight="1">
      <c r="A124" s="227" t="s">
        <v>1111</v>
      </c>
      <c r="B124" s="230">
        <v>46048</v>
      </c>
      <c r="C124" s="227" t="s">
        <v>100</v>
      </c>
      <c r="D124" s="227" t="s">
        <v>103</v>
      </c>
      <c r="E124" s="227" t="s">
        <v>53</v>
      </c>
      <c r="F124" s="227" t="s">
        <v>120</v>
      </c>
      <c r="G124" s="227" t="s">
        <v>84</v>
      </c>
      <c r="H124" s="231">
        <v>1</v>
      </c>
      <c r="I124" s="232">
        <v>1812</v>
      </c>
      <c r="J124" s="230">
        <v>46047</v>
      </c>
      <c r="K124" s="227" t="s">
        <v>93</v>
      </c>
      <c r="L124" s="227" t="s">
        <v>94</v>
      </c>
      <c r="M124" s="233">
        <v>0</v>
      </c>
      <c r="N124" s="231"/>
      <c r="O124" s="231"/>
      <c r="P124" s="234">
        <v>1132.9000000000001</v>
      </c>
    </row>
    <row r="125" spans="1:16" ht="19.5" customHeight="1">
      <c r="A125" s="227" t="s">
        <v>1111</v>
      </c>
      <c r="B125" s="230">
        <v>46048</v>
      </c>
      <c r="C125" s="227" t="s">
        <v>104</v>
      </c>
      <c r="D125" s="227" t="s">
        <v>105</v>
      </c>
      <c r="E125" s="227" t="s">
        <v>53</v>
      </c>
      <c r="F125" s="227" t="s">
        <v>120</v>
      </c>
      <c r="G125" s="227" t="s">
        <v>84</v>
      </c>
      <c r="H125" s="231">
        <v>1</v>
      </c>
      <c r="I125" s="232">
        <v>1812</v>
      </c>
      <c r="J125" s="230">
        <v>46047</v>
      </c>
      <c r="K125" s="227" t="s">
        <v>93</v>
      </c>
      <c r="L125" s="227" t="s">
        <v>94</v>
      </c>
      <c r="M125" s="233">
        <v>0.43</v>
      </c>
      <c r="N125" s="231"/>
      <c r="O125" s="231"/>
      <c r="P125" s="234">
        <v>-779.16</v>
      </c>
    </row>
    <row r="126" spans="1:16" ht="19.5" customHeight="1">
      <c r="A126" s="227" t="s">
        <v>1111</v>
      </c>
      <c r="B126" s="230">
        <v>46048</v>
      </c>
      <c r="C126" s="227" t="s">
        <v>81</v>
      </c>
      <c r="D126" s="227" t="s">
        <v>95</v>
      </c>
      <c r="E126" s="227" t="s">
        <v>53</v>
      </c>
      <c r="F126" s="227" t="s">
        <v>120</v>
      </c>
      <c r="G126" s="227" t="s">
        <v>84</v>
      </c>
      <c r="H126" s="231">
        <v>1</v>
      </c>
      <c r="I126" s="232">
        <v>1812</v>
      </c>
      <c r="J126" s="230">
        <v>46047</v>
      </c>
      <c r="K126" s="227" t="s">
        <v>93</v>
      </c>
      <c r="L126" s="227" t="s">
        <v>94</v>
      </c>
      <c r="M126" s="233">
        <v>0.43</v>
      </c>
      <c r="N126" s="231"/>
      <c r="O126" s="231"/>
      <c r="P126" s="234">
        <v>-9.52</v>
      </c>
    </row>
    <row r="127" spans="1:16" ht="19.5" customHeight="1">
      <c r="A127" s="227" t="s">
        <v>1112</v>
      </c>
      <c r="B127" s="230">
        <v>46048</v>
      </c>
      <c r="C127" s="227" t="s">
        <v>92</v>
      </c>
      <c r="D127" s="227" t="s">
        <v>24</v>
      </c>
      <c r="E127" s="227" t="s">
        <v>52</v>
      </c>
      <c r="F127" s="227" t="s">
        <v>90</v>
      </c>
      <c r="G127" s="227" t="s">
        <v>84</v>
      </c>
      <c r="H127" s="231">
        <v>1</v>
      </c>
      <c r="I127" s="232">
        <v>1800</v>
      </c>
      <c r="J127" s="230">
        <v>46047</v>
      </c>
      <c r="K127" s="227" t="s">
        <v>93</v>
      </c>
      <c r="L127" s="227" t="s">
        <v>94</v>
      </c>
      <c r="M127" s="233">
        <v>0.43</v>
      </c>
      <c r="N127" s="231"/>
      <c r="O127" s="231">
        <v>41</v>
      </c>
      <c r="P127" s="234">
        <v>-134.84</v>
      </c>
    </row>
    <row r="128" spans="1:16" ht="19.5" customHeight="1">
      <c r="A128" s="227" t="s">
        <v>1112</v>
      </c>
      <c r="B128" s="230">
        <v>46048</v>
      </c>
      <c r="C128" s="227" t="s">
        <v>100</v>
      </c>
      <c r="D128" s="227" t="s">
        <v>101</v>
      </c>
      <c r="E128" s="227" t="s">
        <v>52</v>
      </c>
      <c r="F128" s="227" t="s">
        <v>90</v>
      </c>
      <c r="G128" s="227" t="s">
        <v>84</v>
      </c>
      <c r="H128" s="231">
        <v>1</v>
      </c>
      <c r="I128" s="232">
        <v>1800</v>
      </c>
      <c r="J128" s="230">
        <v>46047</v>
      </c>
      <c r="K128" s="227" t="s">
        <v>93</v>
      </c>
      <c r="L128" s="227" t="s">
        <v>94</v>
      </c>
      <c r="M128" s="233">
        <v>0</v>
      </c>
      <c r="N128" s="231"/>
      <c r="O128" s="231"/>
      <c r="P128" s="234">
        <v>651.76</v>
      </c>
    </row>
    <row r="129" spans="1:16" ht="19.5" customHeight="1">
      <c r="A129" s="227" t="s">
        <v>1112</v>
      </c>
      <c r="B129" s="230">
        <v>46048</v>
      </c>
      <c r="C129" s="227" t="s">
        <v>100</v>
      </c>
      <c r="D129" s="227" t="s">
        <v>102</v>
      </c>
      <c r="E129" s="227" t="s">
        <v>52</v>
      </c>
      <c r="F129" s="227" t="s">
        <v>90</v>
      </c>
      <c r="G129" s="227" t="s">
        <v>84</v>
      </c>
      <c r="H129" s="231">
        <v>1</v>
      </c>
      <c r="I129" s="232">
        <v>1800</v>
      </c>
      <c r="J129" s="230">
        <v>46047</v>
      </c>
      <c r="K129" s="227" t="s">
        <v>93</v>
      </c>
      <c r="L129" s="227" t="s">
        <v>94</v>
      </c>
      <c r="M129" s="233">
        <v>0</v>
      </c>
      <c r="N129" s="231"/>
      <c r="O129" s="231"/>
      <c r="P129" s="234">
        <v>6.52</v>
      </c>
    </row>
    <row r="130" spans="1:16" ht="19.5" customHeight="1">
      <c r="A130" s="227" t="s">
        <v>1112</v>
      </c>
      <c r="B130" s="230">
        <v>46048</v>
      </c>
      <c r="C130" s="227" t="s">
        <v>100</v>
      </c>
      <c r="D130" s="227" t="s">
        <v>103</v>
      </c>
      <c r="E130" s="227" t="s">
        <v>52</v>
      </c>
      <c r="F130" s="227" t="s">
        <v>90</v>
      </c>
      <c r="G130" s="227" t="s">
        <v>84</v>
      </c>
      <c r="H130" s="231">
        <v>1</v>
      </c>
      <c r="I130" s="232">
        <v>1800</v>
      </c>
      <c r="J130" s="230">
        <v>46047</v>
      </c>
      <c r="K130" s="227" t="s">
        <v>93</v>
      </c>
      <c r="L130" s="227" t="s">
        <v>94</v>
      </c>
      <c r="M130" s="233">
        <v>0</v>
      </c>
      <c r="N130" s="231"/>
      <c r="O130" s="231"/>
      <c r="P130" s="234">
        <v>1141.72</v>
      </c>
    </row>
    <row r="131" spans="1:16" ht="19.5" customHeight="1">
      <c r="A131" s="227" t="s">
        <v>1112</v>
      </c>
      <c r="B131" s="230">
        <v>46048</v>
      </c>
      <c r="C131" s="227" t="s">
        <v>104</v>
      </c>
      <c r="D131" s="227" t="s">
        <v>105</v>
      </c>
      <c r="E131" s="227" t="s">
        <v>52</v>
      </c>
      <c r="F131" s="227" t="s">
        <v>90</v>
      </c>
      <c r="G131" s="227" t="s">
        <v>84</v>
      </c>
      <c r="H131" s="231">
        <v>1</v>
      </c>
      <c r="I131" s="232">
        <v>1800</v>
      </c>
      <c r="J131" s="230">
        <v>46047</v>
      </c>
      <c r="K131" s="227" t="s">
        <v>93</v>
      </c>
      <c r="L131" s="227" t="s">
        <v>94</v>
      </c>
      <c r="M131" s="233">
        <v>0.43</v>
      </c>
      <c r="N131" s="231"/>
      <c r="O131" s="231"/>
      <c r="P131" s="234">
        <v>-774</v>
      </c>
    </row>
    <row r="132" spans="1:16" ht="19.5" customHeight="1">
      <c r="A132" s="227" t="s">
        <v>1112</v>
      </c>
      <c r="B132" s="230">
        <v>46048</v>
      </c>
      <c r="C132" s="227" t="s">
        <v>81</v>
      </c>
      <c r="D132" s="227" t="s">
        <v>95</v>
      </c>
      <c r="E132" s="227" t="s">
        <v>52</v>
      </c>
      <c r="F132" s="227" t="s">
        <v>90</v>
      </c>
      <c r="G132" s="227" t="s">
        <v>84</v>
      </c>
      <c r="H132" s="231">
        <v>1</v>
      </c>
      <c r="I132" s="232">
        <v>1800</v>
      </c>
      <c r="J132" s="230">
        <v>46047</v>
      </c>
      <c r="K132" s="227" t="s">
        <v>93</v>
      </c>
      <c r="L132" s="227" t="s">
        <v>94</v>
      </c>
      <c r="M132" s="233">
        <v>0.43</v>
      </c>
      <c r="N132" s="231"/>
      <c r="O132" s="231"/>
      <c r="P132" s="234">
        <v>-8.64</v>
      </c>
    </row>
    <row r="133" spans="1:16" ht="19.5" customHeight="1">
      <c r="A133" s="227" t="s">
        <v>1111</v>
      </c>
      <c r="B133" s="230">
        <v>46048</v>
      </c>
      <c r="C133" s="227" t="s">
        <v>81</v>
      </c>
      <c r="D133" s="227" t="s">
        <v>82</v>
      </c>
      <c r="E133" s="227" t="s">
        <v>53</v>
      </c>
      <c r="F133" s="227" t="s">
        <v>120</v>
      </c>
      <c r="G133" s="227" t="s">
        <v>84</v>
      </c>
      <c r="H133" s="231">
        <v>1</v>
      </c>
      <c r="I133" s="232">
        <v>0</v>
      </c>
      <c r="J133" s="230">
        <v>46047</v>
      </c>
      <c r="K133" s="227" t="s">
        <v>85</v>
      </c>
      <c r="L133" s="227" t="s">
        <v>85</v>
      </c>
      <c r="M133" s="233">
        <v>0</v>
      </c>
      <c r="N133" s="231"/>
      <c r="O133" s="231"/>
      <c r="P133" s="234">
        <v>-12.78</v>
      </c>
    </row>
    <row r="134" spans="1:16" ht="19.5" customHeight="1">
      <c r="A134" s="227" t="s">
        <v>1113</v>
      </c>
      <c r="B134" s="230">
        <v>46048</v>
      </c>
      <c r="C134" s="227" t="s">
        <v>92</v>
      </c>
      <c r="D134" s="227" t="s">
        <v>24</v>
      </c>
      <c r="E134" s="227" t="s">
        <v>42</v>
      </c>
      <c r="F134" s="227" t="s">
        <v>89</v>
      </c>
      <c r="G134" s="227" t="s">
        <v>84</v>
      </c>
      <c r="H134" s="231">
        <v>1</v>
      </c>
      <c r="I134" s="232">
        <v>1750</v>
      </c>
      <c r="J134" s="230">
        <v>46045</v>
      </c>
      <c r="K134" s="227" t="s">
        <v>93</v>
      </c>
      <c r="L134" s="227" t="s">
        <v>94</v>
      </c>
      <c r="M134" s="233">
        <v>0.43</v>
      </c>
      <c r="N134" s="231"/>
      <c r="O134" s="231">
        <v>40</v>
      </c>
      <c r="P134" s="234">
        <v>-115.25</v>
      </c>
    </row>
    <row r="135" spans="1:16" ht="19.5" customHeight="1">
      <c r="A135" s="227" t="s">
        <v>1113</v>
      </c>
      <c r="B135" s="230">
        <v>46048</v>
      </c>
      <c r="C135" s="227" t="s">
        <v>100</v>
      </c>
      <c r="D135" s="227" t="s">
        <v>101</v>
      </c>
      <c r="E135" s="227" t="s">
        <v>42</v>
      </c>
      <c r="F135" s="227" t="s">
        <v>89</v>
      </c>
      <c r="G135" s="227" t="s">
        <v>84</v>
      </c>
      <c r="H135" s="231">
        <v>1</v>
      </c>
      <c r="I135" s="232">
        <v>1750</v>
      </c>
      <c r="J135" s="230">
        <v>46045</v>
      </c>
      <c r="K135" s="227" t="s">
        <v>93</v>
      </c>
      <c r="L135" s="227" t="s">
        <v>94</v>
      </c>
      <c r="M135" s="233">
        <v>0</v>
      </c>
      <c r="N135" s="231"/>
      <c r="O135" s="231"/>
      <c r="P135" s="234">
        <v>606.64</v>
      </c>
    </row>
    <row r="136" spans="1:16" ht="19.5" customHeight="1">
      <c r="A136" s="227" t="s">
        <v>1113</v>
      </c>
      <c r="B136" s="230">
        <v>46048</v>
      </c>
      <c r="C136" s="227" t="s">
        <v>100</v>
      </c>
      <c r="D136" s="227" t="s">
        <v>102</v>
      </c>
      <c r="E136" s="227" t="s">
        <v>42</v>
      </c>
      <c r="F136" s="227" t="s">
        <v>89</v>
      </c>
      <c r="G136" s="227" t="s">
        <v>84</v>
      </c>
      <c r="H136" s="231">
        <v>1</v>
      </c>
      <c r="I136" s="232">
        <v>1750</v>
      </c>
      <c r="J136" s="230">
        <v>46045</v>
      </c>
      <c r="K136" s="227" t="s">
        <v>93</v>
      </c>
      <c r="L136" s="227" t="s">
        <v>94</v>
      </c>
      <c r="M136" s="233">
        <v>0</v>
      </c>
      <c r="N136" s="231"/>
      <c r="O136" s="231"/>
      <c r="P136" s="234">
        <v>6.07</v>
      </c>
    </row>
    <row r="137" spans="1:16" ht="19.5" customHeight="1">
      <c r="A137" s="227" t="s">
        <v>1113</v>
      </c>
      <c r="B137" s="230">
        <v>46048</v>
      </c>
      <c r="C137" s="227" t="s">
        <v>100</v>
      </c>
      <c r="D137" s="227" t="s">
        <v>103</v>
      </c>
      <c r="E137" s="227" t="s">
        <v>42</v>
      </c>
      <c r="F137" s="227" t="s">
        <v>89</v>
      </c>
      <c r="G137" s="227" t="s">
        <v>84</v>
      </c>
      <c r="H137" s="231">
        <v>1</v>
      </c>
      <c r="I137" s="232">
        <v>1750</v>
      </c>
      <c r="J137" s="230">
        <v>46045</v>
      </c>
      <c r="K137" s="227" t="s">
        <v>93</v>
      </c>
      <c r="L137" s="227" t="s">
        <v>94</v>
      </c>
      <c r="M137" s="233">
        <v>0</v>
      </c>
      <c r="N137" s="231"/>
      <c r="O137" s="231"/>
      <c r="P137" s="234">
        <v>1137.29</v>
      </c>
    </row>
    <row r="138" spans="1:16" ht="19.5" customHeight="1">
      <c r="A138" s="227" t="s">
        <v>1113</v>
      </c>
      <c r="B138" s="230">
        <v>46048</v>
      </c>
      <c r="C138" s="227" t="s">
        <v>104</v>
      </c>
      <c r="D138" s="227" t="s">
        <v>105</v>
      </c>
      <c r="E138" s="227" t="s">
        <v>42</v>
      </c>
      <c r="F138" s="227" t="s">
        <v>89</v>
      </c>
      <c r="G138" s="227" t="s">
        <v>84</v>
      </c>
      <c r="H138" s="231">
        <v>1</v>
      </c>
      <c r="I138" s="232">
        <v>1750</v>
      </c>
      <c r="J138" s="230">
        <v>46045</v>
      </c>
      <c r="K138" s="227" t="s">
        <v>93</v>
      </c>
      <c r="L138" s="227" t="s">
        <v>94</v>
      </c>
      <c r="M138" s="233">
        <v>0.43</v>
      </c>
      <c r="N138" s="231"/>
      <c r="O138" s="231"/>
      <c r="P138" s="234">
        <v>-752.5</v>
      </c>
    </row>
    <row r="139" spans="1:16" ht="19.5" customHeight="1">
      <c r="A139" s="227" t="s">
        <v>1113</v>
      </c>
      <c r="B139" s="230">
        <v>46048</v>
      </c>
      <c r="C139" s="227" t="s">
        <v>81</v>
      </c>
      <c r="D139" s="227" t="s">
        <v>95</v>
      </c>
      <c r="E139" s="227" t="s">
        <v>42</v>
      </c>
      <c r="F139" s="227" t="s">
        <v>89</v>
      </c>
      <c r="G139" s="227" t="s">
        <v>84</v>
      </c>
      <c r="H139" s="231">
        <v>1</v>
      </c>
      <c r="I139" s="232">
        <v>1750</v>
      </c>
      <c r="J139" s="230">
        <v>46045</v>
      </c>
      <c r="K139" s="227" t="s">
        <v>93</v>
      </c>
      <c r="L139" s="227" t="s">
        <v>94</v>
      </c>
      <c r="M139" s="233">
        <v>0.43</v>
      </c>
      <c r="N139" s="231"/>
      <c r="O139" s="231"/>
      <c r="P139" s="234">
        <v>-11.02</v>
      </c>
    </row>
    <row r="140" spans="1:16" ht="19.5" customHeight="1">
      <c r="A140" s="227" t="s">
        <v>1114</v>
      </c>
      <c r="B140" s="230">
        <v>46048</v>
      </c>
      <c r="C140" s="227" t="s">
        <v>81</v>
      </c>
      <c r="D140" s="227" t="s">
        <v>82</v>
      </c>
      <c r="E140" s="227" t="s">
        <v>52</v>
      </c>
      <c r="F140" s="227" t="s">
        <v>90</v>
      </c>
      <c r="G140" s="227" t="s">
        <v>84</v>
      </c>
      <c r="H140" s="231">
        <v>1</v>
      </c>
      <c r="I140" s="232">
        <v>0</v>
      </c>
      <c r="J140" s="230">
        <v>46048</v>
      </c>
      <c r="K140" s="227" t="s">
        <v>85</v>
      </c>
      <c r="L140" s="227" t="s">
        <v>85</v>
      </c>
      <c r="M140" s="233">
        <v>0</v>
      </c>
      <c r="N140" s="231"/>
      <c r="O140" s="231"/>
      <c r="P140" s="234">
        <v>-12.16</v>
      </c>
    </row>
    <row r="141" spans="1:16" ht="19.5" customHeight="1">
      <c r="A141" s="227" t="s">
        <v>1115</v>
      </c>
      <c r="B141" s="230">
        <v>46048</v>
      </c>
      <c r="C141" s="227" t="s">
        <v>81</v>
      </c>
      <c r="D141" s="227" t="s">
        <v>82</v>
      </c>
      <c r="E141" s="227" t="s">
        <v>53</v>
      </c>
      <c r="F141" s="227" t="s">
        <v>120</v>
      </c>
      <c r="G141" s="227" t="s">
        <v>84</v>
      </c>
      <c r="H141" s="231">
        <v>1</v>
      </c>
      <c r="I141" s="232">
        <v>0</v>
      </c>
      <c r="J141" s="230">
        <v>46048</v>
      </c>
      <c r="K141" s="227" t="s">
        <v>85</v>
      </c>
      <c r="L141" s="227" t="s">
        <v>85</v>
      </c>
      <c r="M141" s="233">
        <v>0</v>
      </c>
      <c r="N141" s="231"/>
      <c r="O141" s="231"/>
      <c r="P141" s="234">
        <v>-12</v>
      </c>
    </row>
    <row r="142" spans="1:16" ht="19.5" customHeight="1">
      <c r="A142" s="227" t="s">
        <v>1116</v>
      </c>
      <c r="B142" s="230">
        <v>46048</v>
      </c>
      <c r="C142" s="227" t="s">
        <v>92</v>
      </c>
      <c r="D142" s="227" t="s">
        <v>24</v>
      </c>
      <c r="E142" s="227" t="s">
        <v>42</v>
      </c>
      <c r="F142" s="227" t="s">
        <v>89</v>
      </c>
      <c r="G142" s="227" t="s">
        <v>84</v>
      </c>
      <c r="H142" s="231">
        <v>1</v>
      </c>
      <c r="I142" s="232">
        <v>1750</v>
      </c>
      <c r="J142" s="230">
        <v>46046</v>
      </c>
      <c r="K142" s="227" t="s">
        <v>93</v>
      </c>
      <c r="L142" s="227" t="s">
        <v>94</v>
      </c>
      <c r="M142" s="233">
        <v>0.43</v>
      </c>
      <c r="N142" s="231"/>
      <c r="O142" s="231">
        <v>40</v>
      </c>
      <c r="P142" s="234">
        <v>-115.25</v>
      </c>
    </row>
    <row r="143" spans="1:16" ht="19.5" customHeight="1">
      <c r="A143" s="227" t="s">
        <v>1116</v>
      </c>
      <c r="B143" s="230">
        <v>46048</v>
      </c>
      <c r="C143" s="227" t="s">
        <v>100</v>
      </c>
      <c r="D143" s="227" t="s">
        <v>101</v>
      </c>
      <c r="E143" s="227" t="s">
        <v>42</v>
      </c>
      <c r="F143" s="227" t="s">
        <v>89</v>
      </c>
      <c r="G143" s="227" t="s">
        <v>84</v>
      </c>
      <c r="H143" s="231">
        <v>1</v>
      </c>
      <c r="I143" s="232">
        <v>1750</v>
      </c>
      <c r="J143" s="230">
        <v>46046</v>
      </c>
      <c r="K143" s="227" t="s">
        <v>93</v>
      </c>
      <c r="L143" s="227" t="s">
        <v>94</v>
      </c>
      <c r="M143" s="233">
        <v>0</v>
      </c>
      <c r="N143" s="231"/>
      <c r="O143" s="231"/>
      <c r="P143" s="234">
        <v>663.51</v>
      </c>
    </row>
    <row r="144" spans="1:16" ht="19.5" customHeight="1">
      <c r="A144" s="227" t="s">
        <v>1116</v>
      </c>
      <c r="B144" s="230">
        <v>46048</v>
      </c>
      <c r="C144" s="227" t="s">
        <v>100</v>
      </c>
      <c r="D144" s="227" t="s">
        <v>102</v>
      </c>
      <c r="E144" s="227" t="s">
        <v>42</v>
      </c>
      <c r="F144" s="227" t="s">
        <v>89</v>
      </c>
      <c r="G144" s="227" t="s">
        <v>84</v>
      </c>
      <c r="H144" s="231">
        <v>1</v>
      </c>
      <c r="I144" s="232">
        <v>1750</v>
      </c>
      <c r="J144" s="230">
        <v>46046</v>
      </c>
      <c r="K144" s="227" t="s">
        <v>93</v>
      </c>
      <c r="L144" s="227" t="s">
        <v>94</v>
      </c>
      <c r="M144" s="233">
        <v>0</v>
      </c>
      <c r="N144" s="231"/>
      <c r="O144" s="231"/>
      <c r="P144" s="234">
        <v>0</v>
      </c>
    </row>
    <row r="145" spans="1:16" ht="19.5" customHeight="1">
      <c r="A145" s="227" t="s">
        <v>1116</v>
      </c>
      <c r="B145" s="230">
        <v>46048</v>
      </c>
      <c r="C145" s="227" t="s">
        <v>100</v>
      </c>
      <c r="D145" s="227" t="s">
        <v>103</v>
      </c>
      <c r="E145" s="227" t="s">
        <v>42</v>
      </c>
      <c r="F145" s="227" t="s">
        <v>89</v>
      </c>
      <c r="G145" s="227" t="s">
        <v>84</v>
      </c>
      <c r="H145" s="231">
        <v>1</v>
      </c>
      <c r="I145" s="232">
        <v>1750</v>
      </c>
      <c r="J145" s="230">
        <v>46046</v>
      </c>
      <c r="K145" s="227" t="s">
        <v>93</v>
      </c>
      <c r="L145" s="227" t="s">
        <v>94</v>
      </c>
      <c r="M145" s="233">
        <v>0</v>
      </c>
      <c r="N145" s="231"/>
      <c r="O145" s="231"/>
      <c r="P145" s="234">
        <v>1086.49</v>
      </c>
    </row>
    <row r="146" spans="1:16" ht="19.5" customHeight="1">
      <c r="A146" s="227" t="s">
        <v>1116</v>
      </c>
      <c r="B146" s="230">
        <v>46048</v>
      </c>
      <c r="C146" s="227" t="s">
        <v>104</v>
      </c>
      <c r="D146" s="227" t="s">
        <v>105</v>
      </c>
      <c r="E146" s="227" t="s">
        <v>42</v>
      </c>
      <c r="F146" s="227" t="s">
        <v>89</v>
      </c>
      <c r="G146" s="227" t="s">
        <v>84</v>
      </c>
      <c r="H146" s="231">
        <v>1</v>
      </c>
      <c r="I146" s="232">
        <v>1750</v>
      </c>
      <c r="J146" s="230">
        <v>46046</v>
      </c>
      <c r="K146" s="227" t="s">
        <v>93</v>
      </c>
      <c r="L146" s="227" t="s">
        <v>94</v>
      </c>
      <c r="M146" s="233">
        <v>0.43</v>
      </c>
      <c r="N146" s="231"/>
      <c r="O146" s="231"/>
      <c r="P146" s="234">
        <v>-752.5</v>
      </c>
    </row>
    <row r="147" spans="1:16" ht="19.5" customHeight="1">
      <c r="A147" s="227" t="s">
        <v>1116</v>
      </c>
      <c r="B147" s="230">
        <v>46048</v>
      </c>
      <c r="C147" s="227" t="s">
        <v>81</v>
      </c>
      <c r="D147" s="227" t="s">
        <v>95</v>
      </c>
      <c r="E147" s="227" t="s">
        <v>42</v>
      </c>
      <c r="F147" s="227" t="s">
        <v>89</v>
      </c>
      <c r="G147" s="227" t="s">
        <v>84</v>
      </c>
      <c r="H147" s="231">
        <v>1</v>
      </c>
      <c r="I147" s="232">
        <v>1750</v>
      </c>
      <c r="J147" s="230">
        <v>46046</v>
      </c>
      <c r="K147" s="227" t="s">
        <v>93</v>
      </c>
      <c r="L147" s="227" t="s">
        <v>94</v>
      </c>
      <c r="M147" s="233">
        <v>0.43</v>
      </c>
      <c r="N147" s="231"/>
      <c r="O147" s="231"/>
      <c r="P147" s="234">
        <v>-9.43</v>
      </c>
    </row>
    <row r="148" spans="1:16" ht="19.5" customHeight="1">
      <c r="A148" s="227" t="s">
        <v>1117</v>
      </c>
      <c r="B148" s="230">
        <v>46048</v>
      </c>
      <c r="C148" s="227" t="s">
        <v>81</v>
      </c>
      <c r="D148" s="227" t="s">
        <v>82</v>
      </c>
      <c r="E148" s="227" t="s">
        <v>41</v>
      </c>
      <c r="F148" s="227" t="s">
        <v>83</v>
      </c>
      <c r="G148" s="227" t="s">
        <v>84</v>
      </c>
      <c r="H148" s="231">
        <v>1</v>
      </c>
      <c r="I148" s="232">
        <v>0</v>
      </c>
      <c r="J148" s="230">
        <v>46048</v>
      </c>
      <c r="K148" s="227" t="s">
        <v>85</v>
      </c>
      <c r="L148" s="227" t="s">
        <v>85</v>
      </c>
      <c r="M148" s="233">
        <v>0</v>
      </c>
      <c r="N148" s="231"/>
      <c r="O148" s="231"/>
      <c r="P148" s="234">
        <v>-13.18</v>
      </c>
    </row>
    <row r="149" spans="1:16" ht="19.5" customHeight="1">
      <c r="A149" s="227" t="s">
        <v>1118</v>
      </c>
      <c r="B149" s="230">
        <v>46048</v>
      </c>
      <c r="C149" s="227" t="s">
        <v>92</v>
      </c>
      <c r="D149" s="227" t="s">
        <v>96</v>
      </c>
      <c r="E149" s="227" t="s">
        <v>53</v>
      </c>
      <c r="F149" s="227" t="s">
        <v>120</v>
      </c>
      <c r="G149" s="227" t="s">
        <v>84</v>
      </c>
      <c r="H149" s="231">
        <v>1</v>
      </c>
      <c r="I149" s="232">
        <v>0</v>
      </c>
      <c r="J149" s="230">
        <v>46044</v>
      </c>
      <c r="K149" s="227" t="s">
        <v>93</v>
      </c>
      <c r="L149" s="227" t="s">
        <v>94</v>
      </c>
      <c r="M149" s="233">
        <v>0</v>
      </c>
      <c r="N149" s="231"/>
      <c r="O149" s="231"/>
      <c r="P149" s="234">
        <v>0</v>
      </c>
    </row>
    <row r="150" spans="1:16" ht="19.5" customHeight="1">
      <c r="A150" s="227" t="s">
        <v>1118</v>
      </c>
      <c r="B150" s="230">
        <v>46048</v>
      </c>
      <c r="C150" s="227" t="s">
        <v>92</v>
      </c>
      <c r="D150" s="227" t="s">
        <v>97</v>
      </c>
      <c r="E150" s="227" t="s">
        <v>53</v>
      </c>
      <c r="F150" s="227" t="s">
        <v>120</v>
      </c>
      <c r="G150" s="227" t="s">
        <v>84</v>
      </c>
      <c r="H150" s="231">
        <v>1</v>
      </c>
      <c r="I150" s="232">
        <v>0</v>
      </c>
      <c r="J150" s="230">
        <v>46044</v>
      </c>
      <c r="K150" s="227" t="s">
        <v>93</v>
      </c>
      <c r="L150" s="227" t="s">
        <v>94</v>
      </c>
      <c r="M150" s="233">
        <v>0</v>
      </c>
      <c r="N150" s="231"/>
      <c r="O150" s="231"/>
      <c r="P150" s="234">
        <v>-56</v>
      </c>
    </row>
    <row r="151" spans="1:16" ht="19.5" customHeight="1">
      <c r="A151" s="227" t="s">
        <v>1118</v>
      </c>
      <c r="B151" s="230">
        <v>46048</v>
      </c>
      <c r="C151" s="227" t="s">
        <v>92</v>
      </c>
      <c r="D151" s="227" t="s">
        <v>24</v>
      </c>
      <c r="E151" s="227" t="s">
        <v>53</v>
      </c>
      <c r="F151" s="227" t="s">
        <v>120</v>
      </c>
      <c r="G151" s="227" t="s">
        <v>84</v>
      </c>
      <c r="H151" s="231">
        <v>1</v>
      </c>
      <c r="I151" s="232">
        <v>0</v>
      </c>
      <c r="J151" s="230">
        <v>46044</v>
      </c>
      <c r="K151" s="227" t="s">
        <v>93</v>
      </c>
      <c r="L151" s="227" t="s">
        <v>94</v>
      </c>
      <c r="M151" s="233">
        <v>0</v>
      </c>
      <c r="N151" s="231"/>
      <c r="O151" s="231">
        <v>42</v>
      </c>
      <c r="P151" s="234">
        <v>-56</v>
      </c>
    </row>
    <row r="152" spans="1:16" ht="19.5" customHeight="1">
      <c r="A152" s="227" t="s">
        <v>298</v>
      </c>
      <c r="B152" s="230">
        <v>46048</v>
      </c>
      <c r="C152" s="227" t="s">
        <v>81</v>
      </c>
      <c r="D152" s="227" t="s">
        <v>82</v>
      </c>
      <c r="E152" s="227" t="s">
        <v>53</v>
      </c>
      <c r="F152" s="227" t="s">
        <v>120</v>
      </c>
      <c r="G152" s="227" t="s">
        <v>84</v>
      </c>
      <c r="H152" s="231">
        <v>1</v>
      </c>
      <c r="I152" s="232">
        <v>0</v>
      </c>
      <c r="J152" s="230">
        <v>46046</v>
      </c>
      <c r="K152" s="227" t="s">
        <v>85</v>
      </c>
      <c r="L152" s="227" t="s">
        <v>85</v>
      </c>
      <c r="M152" s="233">
        <v>0</v>
      </c>
      <c r="N152" s="231"/>
      <c r="O152" s="231"/>
      <c r="P152" s="234">
        <v>5.22</v>
      </c>
    </row>
    <row r="153" spans="1:16" ht="19.5" customHeight="1">
      <c r="A153" s="227" t="s">
        <v>1119</v>
      </c>
      <c r="B153" s="230">
        <v>46048</v>
      </c>
      <c r="C153" s="227" t="s">
        <v>92</v>
      </c>
      <c r="D153" s="227" t="s">
        <v>24</v>
      </c>
      <c r="E153" s="227" t="s">
        <v>53</v>
      </c>
      <c r="F153" s="227" t="s">
        <v>120</v>
      </c>
      <c r="G153" s="227" t="s">
        <v>84</v>
      </c>
      <c r="H153" s="231">
        <v>1</v>
      </c>
      <c r="I153" s="232">
        <v>0</v>
      </c>
      <c r="J153" s="230">
        <v>46031</v>
      </c>
      <c r="K153" s="227" t="s">
        <v>93</v>
      </c>
      <c r="L153" s="227" t="s">
        <v>94</v>
      </c>
      <c r="M153" s="233">
        <v>0</v>
      </c>
      <c r="N153" s="231"/>
      <c r="O153" s="231">
        <v>42</v>
      </c>
      <c r="P153" s="234">
        <v>-56</v>
      </c>
    </row>
    <row r="154" spans="1:16" ht="19.5" customHeight="1">
      <c r="A154" s="227" t="s">
        <v>1119</v>
      </c>
      <c r="B154" s="230">
        <v>46048</v>
      </c>
      <c r="C154" s="227" t="s">
        <v>81</v>
      </c>
      <c r="D154" s="227" t="s">
        <v>95</v>
      </c>
      <c r="E154" s="227" t="s">
        <v>53</v>
      </c>
      <c r="F154" s="227" t="s">
        <v>120</v>
      </c>
      <c r="G154" s="227" t="s">
        <v>84</v>
      </c>
      <c r="H154" s="231">
        <v>1</v>
      </c>
      <c r="I154" s="232">
        <v>0</v>
      </c>
      <c r="J154" s="230">
        <v>46031</v>
      </c>
      <c r="K154" s="227" t="s">
        <v>93</v>
      </c>
      <c r="L154" s="227" t="s">
        <v>94</v>
      </c>
      <c r="M154" s="233">
        <v>0</v>
      </c>
      <c r="N154" s="231"/>
      <c r="O154" s="231"/>
      <c r="P154" s="234">
        <v>-16.39</v>
      </c>
    </row>
    <row r="155" spans="1:16" ht="19.5" customHeight="1">
      <c r="A155" s="227" t="s">
        <v>1119</v>
      </c>
      <c r="B155" s="230">
        <v>46048</v>
      </c>
      <c r="C155" s="227" t="s">
        <v>92</v>
      </c>
      <c r="D155" s="227" t="s">
        <v>96</v>
      </c>
      <c r="E155" s="227" t="s">
        <v>53</v>
      </c>
      <c r="F155" s="227" t="s">
        <v>120</v>
      </c>
      <c r="G155" s="227" t="s">
        <v>84</v>
      </c>
      <c r="H155" s="231">
        <v>1</v>
      </c>
      <c r="I155" s="232">
        <v>0</v>
      </c>
      <c r="J155" s="230">
        <v>46031</v>
      </c>
      <c r="K155" s="227" t="s">
        <v>93</v>
      </c>
      <c r="L155" s="227" t="s">
        <v>94</v>
      </c>
      <c r="M155" s="233">
        <v>0</v>
      </c>
      <c r="N155" s="231"/>
      <c r="O155" s="231"/>
      <c r="P155" s="234">
        <v>0</v>
      </c>
    </row>
    <row r="156" spans="1:16" ht="19.5" customHeight="1">
      <c r="A156" s="227" t="s">
        <v>1119</v>
      </c>
      <c r="B156" s="230">
        <v>46048</v>
      </c>
      <c r="C156" s="227" t="s">
        <v>92</v>
      </c>
      <c r="D156" s="227" t="s">
        <v>97</v>
      </c>
      <c r="E156" s="227" t="s">
        <v>53</v>
      </c>
      <c r="F156" s="227" t="s">
        <v>120</v>
      </c>
      <c r="G156" s="227" t="s">
        <v>84</v>
      </c>
      <c r="H156" s="231">
        <v>1</v>
      </c>
      <c r="I156" s="232">
        <v>0</v>
      </c>
      <c r="J156" s="230">
        <v>46031</v>
      </c>
      <c r="K156" s="227" t="s">
        <v>93</v>
      </c>
      <c r="L156" s="227" t="s">
        <v>94</v>
      </c>
      <c r="M156" s="233">
        <v>0</v>
      </c>
      <c r="N156" s="231"/>
      <c r="O156" s="231"/>
      <c r="P156" s="234">
        <v>-56</v>
      </c>
    </row>
    <row r="157" spans="1:16" ht="19.5" customHeight="1">
      <c r="A157" s="227" t="s">
        <v>1120</v>
      </c>
      <c r="B157" s="230">
        <v>46048</v>
      </c>
      <c r="C157" s="227" t="s">
        <v>81</v>
      </c>
      <c r="D157" s="227" t="s">
        <v>82</v>
      </c>
      <c r="E157" s="227" t="s">
        <v>52</v>
      </c>
      <c r="F157" s="227" t="s">
        <v>90</v>
      </c>
      <c r="G157" s="227" t="s">
        <v>84</v>
      </c>
      <c r="H157" s="231">
        <v>1</v>
      </c>
      <c r="I157" s="232">
        <v>0</v>
      </c>
      <c r="J157" s="230">
        <v>46048</v>
      </c>
      <c r="K157" s="227" t="s">
        <v>85</v>
      </c>
      <c r="L157" s="227" t="s">
        <v>85</v>
      </c>
      <c r="M157" s="233">
        <v>0</v>
      </c>
      <c r="N157" s="231"/>
      <c r="O157" s="231"/>
      <c r="P157" s="234">
        <v>-12.56</v>
      </c>
    </row>
    <row r="158" spans="1:16" ht="19.5" customHeight="1">
      <c r="A158" s="227" t="s">
        <v>1121</v>
      </c>
      <c r="B158" s="230">
        <v>46048</v>
      </c>
      <c r="C158" s="227" t="s">
        <v>354</v>
      </c>
      <c r="D158" s="227" t="s">
        <v>892</v>
      </c>
      <c r="E158" s="227" t="s">
        <v>85</v>
      </c>
      <c r="F158" s="227" t="s">
        <v>85</v>
      </c>
      <c r="G158" s="227" t="s">
        <v>85</v>
      </c>
      <c r="H158" s="231">
        <v>0</v>
      </c>
      <c r="I158" s="232">
        <v>0</v>
      </c>
      <c r="J158" s="230">
        <v>46041</v>
      </c>
      <c r="K158" s="227" t="s">
        <v>85</v>
      </c>
      <c r="L158" s="227" t="s">
        <v>85</v>
      </c>
      <c r="M158" s="233">
        <v>0</v>
      </c>
      <c r="N158" s="231"/>
      <c r="O158" s="231"/>
      <c r="P158" s="234">
        <v>-2283.6</v>
      </c>
    </row>
    <row r="159" spans="1:16" ht="19.5" customHeight="1">
      <c r="A159" s="227" t="s">
        <v>1121</v>
      </c>
      <c r="B159" s="230">
        <v>46048</v>
      </c>
      <c r="C159" s="227" t="s">
        <v>354</v>
      </c>
      <c r="D159" s="227" t="s">
        <v>892</v>
      </c>
      <c r="E159" s="227" t="s">
        <v>85</v>
      </c>
      <c r="F159" s="227" t="s">
        <v>85</v>
      </c>
      <c r="G159" s="227" t="s">
        <v>85</v>
      </c>
      <c r="H159" s="231">
        <v>0</v>
      </c>
      <c r="I159" s="232">
        <v>0</v>
      </c>
      <c r="J159" s="230">
        <v>46041</v>
      </c>
      <c r="K159" s="227" t="s">
        <v>85</v>
      </c>
      <c r="L159" s="227" t="s">
        <v>85</v>
      </c>
      <c r="M159" s="233">
        <v>0</v>
      </c>
      <c r="N159" s="231"/>
      <c r="O159" s="231"/>
      <c r="P159" s="234">
        <v>-2283.6</v>
      </c>
    </row>
    <row r="160" spans="1:16" ht="19.5" customHeight="1">
      <c r="A160" s="227" t="s">
        <v>1121</v>
      </c>
      <c r="B160" s="230">
        <v>46048</v>
      </c>
      <c r="C160" s="227" t="s">
        <v>354</v>
      </c>
      <c r="D160" s="227" t="s">
        <v>892</v>
      </c>
      <c r="E160" s="227" t="s">
        <v>85</v>
      </c>
      <c r="F160" s="227" t="s">
        <v>85</v>
      </c>
      <c r="G160" s="227" t="s">
        <v>85</v>
      </c>
      <c r="H160" s="231">
        <v>0</v>
      </c>
      <c r="I160" s="232">
        <v>0</v>
      </c>
      <c r="J160" s="230">
        <v>46041</v>
      </c>
      <c r="K160" s="227" t="s">
        <v>85</v>
      </c>
      <c r="L160" s="227" t="s">
        <v>85</v>
      </c>
      <c r="M160" s="233">
        <v>0</v>
      </c>
      <c r="N160" s="231"/>
      <c r="O160" s="231"/>
      <c r="P160" s="234">
        <v>-2283.6</v>
      </c>
    </row>
    <row r="161" spans="1:16" ht="19.5" customHeight="1">
      <c r="A161" s="227" t="s">
        <v>1121</v>
      </c>
      <c r="B161" s="230">
        <v>46048</v>
      </c>
      <c r="C161" s="227" t="s">
        <v>354</v>
      </c>
      <c r="D161" s="227" t="s">
        <v>892</v>
      </c>
      <c r="E161" s="227" t="s">
        <v>85</v>
      </c>
      <c r="F161" s="227" t="s">
        <v>85</v>
      </c>
      <c r="G161" s="227" t="s">
        <v>85</v>
      </c>
      <c r="H161" s="231">
        <v>0</v>
      </c>
      <c r="I161" s="232">
        <v>0</v>
      </c>
      <c r="J161" s="230">
        <v>46041</v>
      </c>
      <c r="K161" s="227" t="s">
        <v>85</v>
      </c>
      <c r="L161" s="227" t="s">
        <v>85</v>
      </c>
      <c r="M161" s="233">
        <v>0</v>
      </c>
      <c r="N161" s="231"/>
      <c r="O161" s="231"/>
      <c r="P161" s="234">
        <v>-2283.6</v>
      </c>
    </row>
    <row r="162" spans="1:16" ht="19.5" customHeight="1">
      <c r="A162" s="227" t="s">
        <v>1122</v>
      </c>
      <c r="B162" s="230">
        <v>46048</v>
      </c>
      <c r="C162" s="227" t="s">
        <v>81</v>
      </c>
      <c r="D162" s="227" t="s">
        <v>82</v>
      </c>
      <c r="E162" s="227" t="s">
        <v>52</v>
      </c>
      <c r="F162" s="227" t="s">
        <v>90</v>
      </c>
      <c r="G162" s="227" t="s">
        <v>84</v>
      </c>
      <c r="H162" s="231">
        <v>1</v>
      </c>
      <c r="I162" s="232">
        <v>0</v>
      </c>
      <c r="J162" s="230">
        <v>46048</v>
      </c>
      <c r="K162" s="227" t="s">
        <v>85</v>
      </c>
      <c r="L162" s="227" t="s">
        <v>85</v>
      </c>
      <c r="M162" s="233">
        <v>0</v>
      </c>
      <c r="N162" s="231"/>
      <c r="O162" s="231"/>
      <c r="P162" s="234">
        <v>-11.91</v>
      </c>
    </row>
    <row r="163" spans="1:16" ht="19.5" customHeight="1">
      <c r="A163" s="227" t="s">
        <v>226</v>
      </c>
      <c r="B163" s="230">
        <v>46048</v>
      </c>
      <c r="C163" s="227" t="s">
        <v>81</v>
      </c>
      <c r="D163" s="227" t="s">
        <v>82</v>
      </c>
      <c r="E163" s="227" t="s">
        <v>42</v>
      </c>
      <c r="F163" s="227" t="s">
        <v>89</v>
      </c>
      <c r="G163" s="227" t="s">
        <v>84</v>
      </c>
      <c r="H163" s="231">
        <v>1</v>
      </c>
      <c r="I163" s="232">
        <v>0</v>
      </c>
      <c r="J163" s="230">
        <v>46044</v>
      </c>
      <c r="K163" s="227" t="s">
        <v>85</v>
      </c>
      <c r="L163" s="227" t="s">
        <v>85</v>
      </c>
      <c r="M163" s="233">
        <v>0</v>
      </c>
      <c r="N163" s="231"/>
      <c r="O163" s="231"/>
      <c r="P163" s="234">
        <v>11.53</v>
      </c>
    </row>
    <row r="164" spans="1:16" ht="19.5" customHeight="1">
      <c r="A164" s="227" t="s">
        <v>1123</v>
      </c>
      <c r="B164" s="230">
        <v>46048</v>
      </c>
      <c r="C164" s="227" t="s">
        <v>81</v>
      </c>
      <c r="D164" s="227" t="s">
        <v>82</v>
      </c>
      <c r="E164" s="227" t="s">
        <v>53</v>
      </c>
      <c r="F164" s="227" t="s">
        <v>120</v>
      </c>
      <c r="G164" s="227" t="s">
        <v>84</v>
      </c>
      <c r="H164" s="231">
        <v>1</v>
      </c>
      <c r="I164" s="232">
        <v>0</v>
      </c>
      <c r="J164" s="230">
        <v>46048</v>
      </c>
      <c r="K164" s="227" t="s">
        <v>85</v>
      </c>
      <c r="L164" s="227" t="s">
        <v>85</v>
      </c>
      <c r="M164" s="233">
        <v>0</v>
      </c>
      <c r="N164" s="231"/>
      <c r="O164" s="231"/>
      <c r="P164" s="234">
        <v>-12.67</v>
      </c>
    </row>
    <row r="165" spans="1:16" ht="19.5" customHeight="1">
      <c r="A165" s="227" t="s">
        <v>1124</v>
      </c>
      <c r="B165" s="230">
        <v>46048</v>
      </c>
      <c r="C165" s="227" t="s">
        <v>81</v>
      </c>
      <c r="D165" s="227" t="s">
        <v>82</v>
      </c>
      <c r="E165" s="227" t="s">
        <v>42</v>
      </c>
      <c r="F165" s="227" t="s">
        <v>89</v>
      </c>
      <c r="G165" s="227" t="s">
        <v>84</v>
      </c>
      <c r="H165" s="231">
        <v>1</v>
      </c>
      <c r="I165" s="232">
        <v>0</v>
      </c>
      <c r="J165" s="230">
        <v>46048</v>
      </c>
      <c r="K165" s="227" t="s">
        <v>85</v>
      </c>
      <c r="L165" s="227" t="s">
        <v>85</v>
      </c>
      <c r="M165" s="233">
        <v>0</v>
      </c>
      <c r="N165" s="231"/>
      <c r="O165" s="231"/>
      <c r="P165" s="234">
        <v>-5.07</v>
      </c>
    </row>
    <row r="166" spans="1:16" ht="19.5" customHeight="1">
      <c r="A166" s="227" t="s">
        <v>141</v>
      </c>
      <c r="B166" s="230">
        <v>46048</v>
      </c>
      <c r="C166" s="227" t="s">
        <v>109</v>
      </c>
      <c r="D166" s="227" t="s">
        <v>139</v>
      </c>
      <c r="E166" s="227" t="s">
        <v>85</v>
      </c>
      <c r="F166" s="227" t="s">
        <v>85</v>
      </c>
      <c r="G166" s="227" t="s">
        <v>85</v>
      </c>
      <c r="H166" s="231">
        <v>0</v>
      </c>
      <c r="I166" s="232">
        <v>0</v>
      </c>
      <c r="J166" s="230">
        <v>46048</v>
      </c>
      <c r="K166" s="227" t="s">
        <v>85</v>
      </c>
      <c r="L166" s="227" t="s">
        <v>85</v>
      </c>
      <c r="M166" s="233">
        <v>0</v>
      </c>
      <c r="N166" s="231"/>
      <c r="O166" s="231"/>
      <c r="P166" s="234">
        <v>-414.96</v>
      </c>
    </row>
    <row r="167" spans="1:16" ht="19.5" customHeight="1">
      <c r="A167" s="227" t="s">
        <v>145</v>
      </c>
      <c r="B167" s="230">
        <v>46048</v>
      </c>
      <c r="C167" s="227" t="s">
        <v>109</v>
      </c>
      <c r="D167" s="227" t="s">
        <v>139</v>
      </c>
      <c r="E167" s="227" t="s">
        <v>85</v>
      </c>
      <c r="F167" s="227" t="s">
        <v>85</v>
      </c>
      <c r="G167" s="227" t="s">
        <v>85</v>
      </c>
      <c r="H167" s="231">
        <v>0</v>
      </c>
      <c r="I167" s="232">
        <v>0</v>
      </c>
      <c r="J167" s="230">
        <v>46048</v>
      </c>
      <c r="K167" s="227" t="s">
        <v>85</v>
      </c>
      <c r="L167" s="227" t="s">
        <v>85</v>
      </c>
      <c r="M167" s="233">
        <v>0</v>
      </c>
      <c r="N167" s="231"/>
      <c r="O167" s="231"/>
      <c r="P167" s="234">
        <v>-708.04</v>
      </c>
    </row>
    <row r="168" spans="1:16" ht="19.5" customHeight="1">
      <c r="A168" s="227" t="s">
        <v>138</v>
      </c>
      <c r="B168" s="230">
        <v>46048</v>
      </c>
      <c r="C168" s="227" t="s">
        <v>109</v>
      </c>
      <c r="D168" s="227" t="s">
        <v>139</v>
      </c>
      <c r="E168" s="227" t="s">
        <v>85</v>
      </c>
      <c r="F168" s="227" t="s">
        <v>85</v>
      </c>
      <c r="G168" s="227" t="s">
        <v>85</v>
      </c>
      <c r="H168" s="231">
        <v>0</v>
      </c>
      <c r="I168" s="232">
        <v>0</v>
      </c>
      <c r="J168" s="230">
        <v>46048</v>
      </c>
      <c r="K168" s="227" t="s">
        <v>85</v>
      </c>
      <c r="L168" s="227" t="s">
        <v>85</v>
      </c>
      <c r="M168" s="233">
        <v>0</v>
      </c>
      <c r="N168" s="231"/>
      <c r="O168" s="231"/>
      <c r="P168" s="234">
        <v>-1840.48</v>
      </c>
    </row>
    <row r="169" spans="1:16" ht="19.5" customHeight="1">
      <c r="A169" s="227" t="s">
        <v>144</v>
      </c>
      <c r="B169" s="230">
        <v>46048</v>
      </c>
      <c r="C169" s="227" t="s">
        <v>109</v>
      </c>
      <c r="D169" s="227" t="s">
        <v>139</v>
      </c>
      <c r="E169" s="227" t="s">
        <v>85</v>
      </c>
      <c r="F169" s="227" t="s">
        <v>85</v>
      </c>
      <c r="G169" s="227" t="s">
        <v>85</v>
      </c>
      <c r="H169" s="231">
        <v>0</v>
      </c>
      <c r="I169" s="232">
        <v>0</v>
      </c>
      <c r="J169" s="230">
        <v>46048</v>
      </c>
      <c r="K169" s="227" t="s">
        <v>85</v>
      </c>
      <c r="L169" s="227" t="s">
        <v>85</v>
      </c>
      <c r="M169" s="233">
        <v>0</v>
      </c>
      <c r="N169" s="231"/>
      <c r="O169" s="231"/>
      <c r="P169" s="234">
        <v>-1537.17</v>
      </c>
    </row>
    <row r="170" spans="1:16" ht="19.5" customHeight="1">
      <c r="A170" s="227" t="s">
        <v>142</v>
      </c>
      <c r="B170" s="230">
        <v>46048</v>
      </c>
      <c r="C170" s="227" t="s">
        <v>109</v>
      </c>
      <c r="D170" s="227" t="s">
        <v>143</v>
      </c>
      <c r="E170" s="227" t="s">
        <v>85</v>
      </c>
      <c r="F170" s="227" t="s">
        <v>85</v>
      </c>
      <c r="G170" s="227" t="s">
        <v>85</v>
      </c>
      <c r="H170" s="231">
        <v>0</v>
      </c>
      <c r="I170" s="232">
        <v>0</v>
      </c>
      <c r="J170" s="230">
        <v>46048</v>
      </c>
      <c r="K170" s="227" t="s">
        <v>85</v>
      </c>
      <c r="L170" s="227" t="s">
        <v>85</v>
      </c>
      <c r="M170" s="233">
        <v>0</v>
      </c>
      <c r="N170" s="231"/>
      <c r="O170" s="231"/>
      <c r="P170" s="234">
        <v>-4704.2</v>
      </c>
    </row>
    <row r="171" spans="1:16" ht="19.5" customHeight="1">
      <c r="A171" s="227" t="s">
        <v>1125</v>
      </c>
      <c r="B171" s="230">
        <v>46049</v>
      </c>
      <c r="C171" s="227" t="s">
        <v>92</v>
      </c>
      <c r="D171" s="227" t="s">
        <v>96</v>
      </c>
      <c r="E171" s="227" t="s">
        <v>42</v>
      </c>
      <c r="F171" s="227" t="s">
        <v>89</v>
      </c>
      <c r="G171" s="227" t="s">
        <v>84</v>
      </c>
      <c r="H171" s="231">
        <v>1</v>
      </c>
      <c r="I171" s="232">
        <v>0</v>
      </c>
      <c r="J171" s="230">
        <v>46043</v>
      </c>
      <c r="K171" s="227" t="s">
        <v>93</v>
      </c>
      <c r="L171" s="227" t="s">
        <v>94</v>
      </c>
      <c r="M171" s="233">
        <v>0</v>
      </c>
      <c r="N171" s="231"/>
      <c r="O171" s="231"/>
      <c r="P171" s="234">
        <v>0</v>
      </c>
    </row>
    <row r="172" spans="1:16" ht="19.5" customHeight="1">
      <c r="A172" s="227" t="s">
        <v>1125</v>
      </c>
      <c r="B172" s="230">
        <v>46049</v>
      </c>
      <c r="C172" s="227" t="s">
        <v>92</v>
      </c>
      <c r="D172" s="227" t="s">
        <v>97</v>
      </c>
      <c r="E172" s="227" t="s">
        <v>42</v>
      </c>
      <c r="F172" s="227" t="s">
        <v>89</v>
      </c>
      <c r="G172" s="227" t="s">
        <v>84</v>
      </c>
      <c r="H172" s="231">
        <v>1</v>
      </c>
      <c r="I172" s="232">
        <v>0</v>
      </c>
      <c r="J172" s="230">
        <v>46043</v>
      </c>
      <c r="K172" s="227" t="s">
        <v>93</v>
      </c>
      <c r="L172" s="227" t="s">
        <v>94</v>
      </c>
      <c r="M172" s="233">
        <v>0</v>
      </c>
      <c r="N172" s="231"/>
      <c r="O172" s="231"/>
      <c r="P172" s="234">
        <v>-46.77</v>
      </c>
    </row>
    <row r="173" spans="1:16" ht="19.5" customHeight="1">
      <c r="A173" s="227" t="s">
        <v>1125</v>
      </c>
      <c r="B173" s="230">
        <v>46049</v>
      </c>
      <c r="C173" s="227" t="s">
        <v>81</v>
      </c>
      <c r="D173" s="227" t="s">
        <v>98</v>
      </c>
      <c r="E173" s="227" t="s">
        <v>42</v>
      </c>
      <c r="F173" s="227" t="s">
        <v>89</v>
      </c>
      <c r="G173" s="227" t="s">
        <v>84</v>
      </c>
      <c r="H173" s="231">
        <v>1</v>
      </c>
      <c r="I173" s="232">
        <v>0</v>
      </c>
      <c r="J173" s="230">
        <v>46043</v>
      </c>
      <c r="K173" s="227" t="s">
        <v>93</v>
      </c>
      <c r="L173" s="227" t="s">
        <v>94</v>
      </c>
      <c r="M173" s="233">
        <v>0</v>
      </c>
      <c r="N173" s="231"/>
      <c r="O173" s="231"/>
      <c r="P173" s="234">
        <v>-15</v>
      </c>
    </row>
    <row r="174" spans="1:16" ht="19.5" customHeight="1">
      <c r="A174" s="227" t="s">
        <v>1125</v>
      </c>
      <c r="B174" s="230">
        <v>46049</v>
      </c>
      <c r="C174" s="227" t="s">
        <v>92</v>
      </c>
      <c r="D174" s="227" t="s">
        <v>24</v>
      </c>
      <c r="E174" s="227" t="s">
        <v>42</v>
      </c>
      <c r="F174" s="227" t="s">
        <v>89</v>
      </c>
      <c r="G174" s="227" t="s">
        <v>84</v>
      </c>
      <c r="H174" s="231">
        <v>1</v>
      </c>
      <c r="I174" s="232">
        <v>0</v>
      </c>
      <c r="J174" s="230">
        <v>46043</v>
      </c>
      <c r="K174" s="227" t="s">
        <v>93</v>
      </c>
      <c r="L174" s="227" t="s">
        <v>94</v>
      </c>
      <c r="M174" s="233">
        <v>0</v>
      </c>
      <c r="N174" s="231"/>
      <c r="O174" s="231">
        <v>43</v>
      </c>
      <c r="P174" s="234">
        <v>-46.77</v>
      </c>
    </row>
    <row r="175" spans="1:16" ht="19.5" customHeight="1">
      <c r="A175" s="227" t="s">
        <v>1125</v>
      </c>
      <c r="B175" s="230">
        <v>46049</v>
      </c>
      <c r="C175" s="227" t="s">
        <v>81</v>
      </c>
      <c r="D175" s="227" t="s">
        <v>95</v>
      </c>
      <c r="E175" s="227" t="s">
        <v>42</v>
      </c>
      <c r="F175" s="227" t="s">
        <v>89</v>
      </c>
      <c r="G175" s="227" t="s">
        <v>84</v>
      </c>
      <c r="H175" s="231">
        <v>1</v>
      </c>
      <c r="I175" s="232">
        <v>0</v>
      </c>
      <c r="J175" s="230">
        <v>46043</v>
      </c>
      <c r="K175" s="227" t="s">
        <v>93</v>
      </c>
      <c r="L175" s="227" t="s">
        <v>94</v>
      </c>
      <c r="M175" s="233">
        <v>0</v>
      </c>
      <c r="N175" s="231"/>
      <c r="O175" s="231"/>
      <c r="P175" s="234">
        <v>-10.23</v>
      </c>
    </row>
    <row r="176" spans="1:16" ht="19.5" customHeight="1">
      <c r="A176" s="227" t="s">
        <v>1126</v>
      </c>
      <c r="B176" s="230">
        <v>46049</v>
      </c>
      <c r="C176" s="227" t="s">
        <v>92</v>
      </c>
      <c r="D176" s="227" t="s">
        <v>24</v>
      </c>
      <c r="E176" s="227" t="s">
        <v>42</v>
      </c>
      <c r="F176" s="227" t="s">
        <v>89</v>
      </c>
      <c r="G176" s="227" t="s">
        <v>84</v>
      </c>
      <c r="H176" s="231">
        <v>1</v>
      </c>
      <c r="I176" s="232">
        <v>0</v>
      </c>
      <c r="J176" s="230">
        <v>46041</v>
      </c>
      <c r="K176" s="227" t="s">
        <v>93</v>
      </c>
      <c r="L176" s="227" t="s">
        <v>94</v>
      </c>
      <c r="M176" s="233">
        <v>0</v>
      </c>
      <c r="N176" s="231"/>
      <c r="O176" s="231">
        <v>44</v>
      </c>
      <c r="P176" s="234">
        <v>-46.77</v>
      </c>
    </row>
    <row r="177" spans="1:16" ht="19.5" customHeight="1">
      <c r="A177" s="227" t="s">
        <v>1126</v>
      </c>
      <c r="B177" s="230">
        <v>46049</v>
      </c>
      <c r="C177" s="227" t="s">
        <v>81</v>
      </c>
      <c r="D177" s="227" t="s">
        <v>95</v>
      </c>
      <c r="E177" s="227" t="s">
        <v>42</v>
      </c>
      <c r="F177" s="227" t="s">
        <v>89</v>
      </c>
      <c r="G177" s="227" t="s">
        <v>84</v>
      </c>
      <c r="H177" s="231">
        <v>1</v>
      </c>
      <c r="I177" s="232">
        <v>0</v>
      </c>
      <c r="J177" s="230">
        <v>46041</v>
      </c>
      <c r="K177" s="227" t="s">
        <v>93</v>
      </c>
      <c r="L177" s="227" t="s">
        <v>94</v>
      </c>
      <c r="M177" s="233">
        <v>0</v>
      </c>
      <c r="N177" s="231"/>
      <c r="O177" s="231"/>
      <c r="P177" s="234">
        <v>-11.57</v>
      </c>
    </row>
    <row r="178" spans="1:16" ht="19.5" customHeight="1">
      <c r="A178" s="227" t="s">
        <v>1126</v>
      </c>
      <c r="B178" s="230">
        <v>46049</v>
      </c>
      <c r="C178" s="227" t="s">
        <v>92</v>
      </c>
      <c r="D178" s="227" t="s">
        <v>96</v>
      </c>
      <c r="E178" s="227" t="s">
        <v>42</v>
      </c>
      <c r="F178" s="227" t="s">
        <v>89</v>
      </c>
      <c r="G178" s="227" t="s">
        <v>84</v>
      </c>
      <c r="H178" s="231">
        <v>1</v>
      </c>
      <c r="I178" s="232">
        <v>0</v>
      </c>
      <c r="J178" s="230">
        <v>46041</v>
      </c>
      <c r="K178" s="227" t="s">
        <v>93</v>
      </c>
      <c r="L178" s="227" t="s">
        <v>94</v>
      </c>
      <c r="M178" s="233">
        <v>0</v>
      </c>
      <c r="N178" s="231"/>
      <c r="O178" s="231"/>
      <c r="P178" s="234">
        <v>0</v>
      </c>
    </row>
    <row r="179" spans="1:16" ht="19.5" customHeight="1">
      <c r="A179" s="227" t="s">
        <v>1126</v>
      </c>
      <c r="B179" s="230">
        <v>46049</v>
      </c>
      <c r="C179" s="227" t="s">
        <v>92</v>
      </c>
      <c r="D179" s="227" t="s">
        <v>97</v>
      </c>
      <c r="E179" s="227" t="s">
        <v>42</v>
      </c>
      <c r="F179" s="227" t="s">
        <v>89</v>
      </c>
      <c r="G179" s="227" t="s">
        <v>84</v>
      </c>
      <c r="H179" s="231">
        <v>1</v>
      </c>
      <c r="I179" s="232">
        <v>0</v>
      </c>
      <c r="J179" s="230">
        <v>46041</v>
      </c>
      <c r="K179" s="227" t="s">
        <v>93</v>
      </c>
      <c r="L179" s="227" t="s">
        <v>94</v>
      </c>
      <c r="M179" s="233">
        <v>0</v>
      </c>
      <c r="N179" s="231"/>
      <c r="O179" s="231"/>
      <c r="P179" s="234">
        <v>-46.77</v>
      </c>
    </row>
    <row r="180" spans="1:16" ht="19.5" customHeight="1">
      <c r="A180" s="227" t="s">
        <v>1126</v>
      </c>
      <c r="B180" s="230">
        <v>46049</v>
      </c>
      <c r="C180" s="227" t="s">
        <v>81</v>
      </c>
      <c r="D180" s="227" t="s">
        <v>98</v>
      </c>
      <c r="E180" s="227" t="s">
        <v>42</v>
      </c>
      <c r="F180" s="227" t="s">
        <v>89</v>
      </c>
      <c r="G180" s="227" t="s">
        <v>84</v>
      </c>
      <c r="H180" s="231">
        <v>1</v>
      </c>
      <c r="I180" s="232">
        <v>0</v>
      </c>
      <c r="J180" s="230">
        <v>46041</v>
      </c>
      <c r="K180" s="227" t="s">
        <v>93</v>
      </c>
      <c r="L180" s="227" t="s">
        <v>94</v>
      </c>
      <c r="M180" s="233">
        <v>0</v>
      </c>
      <c r="N180" s="231"/>
      <c r="O180" s="231"/>
      <c r="P180" s="234">
        <v>-15</v>
      </c>
    </row>
    <row r="181" spans="1:16" ht="19.5" customHeight="1">
      <c r="A181" s="227" t="s">
        <v>1127</v>
      </c>
      <c r="B181" s="230">
        <v>46049</v>
      </c>
      <c r="C181" s="227" t="s">
        <v>92</v>
      </c>
      <c r="D181" s="227" t="s">
        <v>24</v>
      </c>
      <c r="E181" s="227" t="s">
        <v>42</v>
      </c>
      <c r="F181" s="227" t="s">
        <v>89</v>
      </c>
      <c r="G181" s="227" t="s">
        <v>84</v>
      </c>
      <c r="H181" s="231">
        <v>1</v>
      </c>
      <c r="I181" s="232">
        <v>0</v>
      </c>
      <c r="J181" s="230">
        <v>46041</v>
      </c>
      <c r="K181" s="227" t="s">
        <v>93</v>
      </c>
      <c r="L181" s="227" t="s">
        <v>94</v>
      </c>
      <c r="M181" s="233">
        <v>0</v>
      </c>
      <c r="N181" s="231"/>
      <c r="O181" s="231">
        <v>44</v>
      </c>
      <c r="P181" s="234">
        <v>-46.77</v>
      </c>
    </row>
    <row r="182" spans="1:16" ht="19.5" customHeight="1">
      <c r="A182" s="227" t="s">
        <v>1127</v>
      </c>
      <c r="B182" s="230">
        <v>46049</v>
      </c>
      <c r="C182" s="227" t="s">
        <v>81</v>
      </c>
      <c r="D182" s="227" t="s">
        <v>95</v>
      </c>
      <c r="E182" s="227" t="s">
        <v>42</v>
      </c>
      <c r="F182" s="227" t="s">
        <v>89</v>
      </c>
      <c r="G182" s="227" t="s">
        <v>84</v>
      </c>
      <c r="H182" s="231">
        <v>1</v>
      </c>
      <c r="I182" s="232">
        <v>0</v>
      </c>
      <c r="J182" s="230">
        <v>46041</v>
      </c>
      <c r="K182" s="227" t="s">
        <v>93</v>
      </c>
      <c r="L182" s="227" t="s">
        <v>94</v>
      </c>
      <c r="M182" s="233">
        <v>0</v>
      </c>
      <c r="N182" s="231"/>
      <c r="O182" s="231"/>
      <c r="P182" s="234">
        <v>-9.18</v>
      </c>
    </row>
    <row r="183" spans="1:16" ht="19.5" customHeight="1">
      <c r="A183" s="227" t="s">
        <v>1127</v>
      </c>
      <c r="B183" s="230">
        <v>46049</v>
      </c>
      <c r="C183" s="227" t="s">
        <v>92</v>
      </c>
      <c r="D183" s="227" t="s">
        <v>96</v>
      </c>
      <c r="E183" s="227" t="s">
        <v>42</v>
      </c>
      <c r="F183" s="227" t="s">
        <v>89</v>
      </c>
      <c r="G183" s="227" t="s">
        <v>84</v>
      </c>
      <c r="H183" s="231">
        <v>1</v>
      </c>
      <c r="I183" s="232">
        <v>0</v>
      </c>
      <c r="J183" s="230">
        <v>46041</v>
      </c>
      <c r="K183" s="227" t="s">
        <v>93</v>
      </c>
      <c r="L183" s="227" t="s">
        <v>94</v>
      </c>
      <c r="M183" s="233">
        <v>0</v>
      </c>
      <c r="N183" s="231"/>
      <c r="O183" s="231"/>
      <c r="P183" s="234">
        <v>0</v>
      </c>
    </row>
    <row r="184" spans="1:16" ht="19.5" customHeight="1">
      <c r="A184" s="227" t="s">
        <v>1127</v>
      </c>
      <c r="B184" s="230">
        <v>46049</v>
      </c>
      <c r="C184" s="227" t="s">
        <v>92</v>
      </c>
      <c r="D184" s="227" t="s">
        <v>97</v>
      </c>
      <c r="E184" s="227" t="s">
        <v>42</v>
      </c>
      <c r="F184" s="227" t="s">
        <v>89</v>
      </c>
      <c r="G184" s="227" t="s">
        <v>84</v>
      </c>
      <c r="H184" s="231">
        <v>1</v>
      </c>
      <c r="I184" s="232">
        <v>0</v>
      </c>
      <c r="J184" s="230">
        <v>46041</v>
      </c>
      <c r="K184" s="227" t="s">
        <v>93</v>
      </c>
      <c r="L184" s="227" t="s">
        <v>94</v>
      </c>
      <c r="M184" s="233">
        <v>0</v>
      </c>
      <c r="N184" s="231"/>
      <c r="O184" s="231"/>
      <c r="P184" s="234">
        <v>-46.77</v>
      </c>
    </row>
    <row r="185" spans="1:16" ht="19.5" customHeight="1">
      <c r="A185" s="227" t="s">
        <v>1127</v>
      </c>
      <c r="B185" s="230">
        <v>46049</v>
      </c>
      <c r="C185" s="227" t="s">
        <v>81</v>
      </c>
      <c r="D185" s="227" t="s">
        <v>98</v>
      </c>
      <c r="E185" s="227" t="s">
        <v>42</v>
      </c>
      <c r="F185" s="227" t="s">
        <v>89</v>
      </c>
      <c r="G185" s="227" t="s">
        <v>84</v>
      </c>
      <c r="H185" s="231">
        <v>1</v>
      </c>
      <c r="I185" s="232">
        <v>0</v>
      </c>
      <c r="J185" s="230">
        <v>46041</v>
      </c>
      <c r="K185" s="227" t="s">
        <v>93</v>
      </c>
      <c r="L185" s="227" t="s">
        <v>94</v>
      </c>
      <c r="M185" s="233">
        <v>0</v>
      </c>
      <c r="N185" s="231"/>
      <c r="O185" s="231"/>
      <c r="P185" s="234">
        <v>-15</v>
      </c>
    </row>
    <row r="186" spans="1:16" ht="19.5" customHeight="1">
      <c r="A186" s="227" t="s">
        <v>1128</v>
      </c>
      <c r="B186" s="230">
        <v>46049</v>
      </c>
      <c r="C186" s="227" t="s">
        <v>92</v>
      </c>
      <c r="D186" s="227" t="s">
        <v>24</v>
      </c>
      <c r="E186" s="227" t="s">
        <v>53</v>
      </c>
      <c r="F186" s="227" t="s">
        <v>120</v>
      </c>
      <c r="G186" s="227" t="s">
        <v>84</v>
      </c>
      <c r="H186" s="231">
        <v>1</v>
      </c>
      <c r="I186" s="232">
        <v>0</v>
      </c>
      <c r="J186" s="230">
        <v>46039</v>
      </c>
      <c r="K186" s="227" t="s">
        <v>93</v>
      </c>
      <c r="L186" s="227" t="s">
        <v>94</v>
      </c>
      <c r="M186" s="233">
        <v>0</v>
      </c>
      <c r="N186" s="231"/>
      <c r="O186" s="231">
        <v>47</v>
      </c>
      <c r="P186" s="234">
        <v>-56</v>
      </c>
    </row>
    <row r="187" spans="1:16" ht="19.5" customHeight="1">
      <c r="A187" s="227" t="s">
        <v>1128</v>
      </c>
      <c r="B187" s="230">
        <v>46049</v>
      </c>
      <c r="C187" s="227" t="s">
        <v>92</v>
      </c>
      <c r="D187" s="227" t="s">
        <v>96</v>
      </c>
      <c r="E187" s="227" t="s">
        <v>53</v>
      </c>
      <c r="F187" s="227" t="s">
        <v>120</v>
      </c>
      <c r="G187" s="227" t="s">
        <v>84</v>
      </c>
      <c r="H187" s="231">
        <v>1</v>
      </c>
      <c r="I187" s="232">
        <v>0</v>
      </c>
      <c r="J187" s="230">
        <v>46039</v>
      </c>
      <c r="K187" s="227" t="s">
        <v>93</v>
      </c>
      <c r="L187" s="227" t="s">
        <v>94</v>
      </c>
      <c r="M187" s="233">
        <v>0</v>
      </c>
      <c r="N187" s="231"/>
      <c r="O187" s="231"/>
      <c r="P187" s="234">
        <v>0</v>
      </c>
    </row>
    <row r="188" spans="1:16" ht="19.5" customHeight="1">
      <c r="A188" s="227" t="s">
        <v>1128</v>
      </c>
      <c r="B188" s="230">
        <v>46049</v>
      </c>
      <c r="C188" s="227" t="s">
        <v>92</v>
      </c>
      <c r="D188" s="227" t="s">
        <v>97</v>
      </c>
      <c r="E188" s="227" t="s">
        <v>53</v>
      </c>
      <c r="F188" s="227" t="s">
        <v>120</v>
      </c>
      <c r="G188" s="227" t="s">
        <v>84</v>
      </c>
      <c r="H188" s="231">
        <v>1</v>
      </c>
      <c r="I188" s="232">
        <v>0</v>
      </c>
      <c r="J188" s="230">
        <v>46039</v>
      </c>
      <c r="K188" s="227" t="s">
        <v>93</v>
      </c>
      <c r="L188" s="227" t="s">
        <v>94</v>
      </c>
      <c r="M188" s="233">
        <v>0</v>
      </c>
      <c r="N188" s="231"/>
      <c r="O188" s="231"/>
      <c r="P188" s="234">
        <v>-56</v>
      </c>
    </row>
    <row r="189" spans="1:16" ht="19.5" customHeight="1">
      <c r="A189" s="227" t="s">
        <v>1128</v>
      </c>
      <c r="B189" s="230">
        <v>46049</v>
      </c>
      <c r="C189" s="227" t="s">
        <v>81</v>
      </c>
      <c r="D189" s="227" t="s">
        <v>98</v>
      </c>
      <c r="E189" s="227" t="s">
        <v>53</v>
      </c>
      <c r="F189" s="227" t="s">
        <v>120</v>
      </c>
      <c r="G189" s="227" t="s">
        <v>84</v>
      </c>
      <c r="H189" s="231">
        <v>1</v>
      </c>
      <c r="I189" s="232">
        <v>0</v>
      </c>
      <c r="J189" s="230">
        <v>46039</v>
      </c>
      <c r="K189" s="227" t="s">
        <v>93</v>
      </c>
      <c r="L189" s="227" t="s">
        <v>94</v>
      </c>
      <c r="M189" s="233">
        <v>0</v>
      </c>
      <c r="N189" s="231"/>
      <c r="O189" s="231"/>
      <c r="P189" s="234">
        <v>-15</v>
      </c>
    </row>
    <row r="190" spans="1:16" ht="19.5" customHeight="1">
      <c r="A190" s="227" t="s">
        <v>85</v>
      </c>
      <c r="B190" s="230">
        <v>46049</v>
      </c>
      <c r="C190" s="227" t="s">
        <v>109</v>
      </c>
      <c r="D190" s="227" t="s">
        <v>110</v>
      </c>
      <c r="E190" s="227" t="s">
        <v>85</v>
      </c>
      <c r="F190" s="227" t="s">
        <v>85</v>
      </c>
      <c r="G190" s="227" t="s">
        <v>1129</v>
      </c>
      <c r="H190" s="231">
        <v>0</v>
      </c>
      <c r="I190" s="232">
        <v>0</v>
      </c>
      <c r="J190" s="230">
        <v>46049</v>
      </c>
      <c r="K190" s="227" t="s">
        <v>85</v>
      </c>
      <c r="L190" s="227" t="s">
        <v>85</v>
      </c>
      <c r="M190" s="233">
        <v>0</v>
      </c>
      <c r="N190" s="231"/>
      <c r="O190" s="231"/>
      <c r="P190" s="234">
        <v>-150</v>
      </c>
    </row>
    <row r="191" spans="1:16" ht="19.5" customHeight="1">
      <c r="A191" s="227" t="s">
        <v>1121</v>
      </c>
      <c r="B191" s="230">
        <v>46049</v>
      </c>
      <c r="C191" s="227" t="s">
        <v>354</v>
      </c>
      <c r="D191" s="227" t="s">
        <v>467</v>
      </c>
      <c r="E191" s="227" t="s">
        <v>85</v>
      </c>
      <c r="F191" s="227" t="s">
        <v>85</v>
      </c>
      <c r="G191" s="227" t="s">
        <v>85</v>
      </c>
      <c r="H191" s="231">
        <v>0</v>
      </c>
      <c r="I191" s="232">
        <v>0</v>
      </c>
      <c r="J191" s="230">
        <v>46049</v>
      </c>
      <c r="K191" s="227" t="s">
        <v>85</v>
      </c>
      <c r="L191" s="227" t="s">
        <v>85</v>
      </c>
      <c r="M191" s="233">
        <v>0</v>
      </c>
      <c r="N191" s="231"/>
      <c r="O191" s="231"/>
      <c r="P191" s="234">
        <v>-1920</v>
      </c>
    </row>
    <row r="192" spans="1:16" ht="19.5" customHeight="1">
      <c r="A192" s="227" t="s">
        <v>1130</v>
      </c>
      <c r="B192" s="230">
        <v>46049</v>
      </c>
      <c r="C192" s="227" t="s">
        <v>81</v>
      </c>
      <c r="D192" s="227" t="s">
        <v>82</v>
      </c>
      <c r="E192" s="227" t="s">
        <v>53</v>
      </c>
      <c r="F192" s="227" t="s">
        <v>120</v>
      </c>
      <c r="G192" s="227" t="s">
        <v>84</v>
      </c>
      <c r="H192" s="231">
        <v>1</v>
      </c>
      <c r="I192" s="232">
        <v>0</v>
      </c>
      <c r="J192" s="230">
        <v>46049</v>
      </c>
      <c r="K192" s="227" t="s">
        <v>85</v>
      </c>
      <c r="L192" s="227" t="s">
        <v>85</v>
      </c>
      <c r="M192" s="233">
        <v>0</v>
      </c>
      <c r="N192" s="231"/>
      <c r="O192" s="231"/>
      <c r="P192" s="234">
        <v>-12</v>
      </c>
    </row>
    <row r="193" spans="1:16" ht="19.5" customHeight="1">
      <c r="A193" s="227" t="s">
        <v>1131</v>
      </c>
      <c r="B193" s="230">
        <v>46049</v>
      </c>
      <c r="C193" s="227" t="s">
        <v>92</v>
      </c>
      <c r="D193" s="227" t="s">
        <v>24</v>
      </c>
      <c r="E193" s="227" t="s">
        <v>53</v>
      </c>
      <c r="F193" s="227" t="s">
        <v>120</v>
      </c>
      <c r="G193" s="227" t="s">
        <v>84</v>
      </c>
      <c r="H193" s="231">
        <v>1</v>
      </c>
      <c r="I193" s="232">
        <v>1812</v>
      </c>
      <c r="J193" s="230">
        <v>46045</v>
      </c>
      <c r="K193" s="227" t="s">
        <v>93</v>
      </c>
      <c r="L193" s="227" t="s">
        <v>94</v>
      </c>
      <c r="M193" s="233">
        <v>0.43</v>
      </c>
      <c r="N193" s="231"/>
      <c r="O193" s="231">
        <v>40</v>
      </c>
      <c r="P193" s="234">
        <v>-130.77000000000001</v>
      </c>
    </row>
    <row r="194" spans="1:16" ht="19.5" customHeight="1">
      <c r="A194" s="227" t="s">
        <v>1131</v>
      </c>
      <c r="B194" s="230">
        <v>46049</v>
      </c>
      <c r="C194" s="227" t="s">
        <v>100</v>
      </c>
      <c r="D194" s="227" t="s">
        <v>101</v>
      </c>
      <c r="E194" s="227" t="s">
        <v>53</v>
      </c>
      <c r="F194" s="227" t="s">
        <v>120</v>
      </c>
      <c r="G194" s="227" t="s">
        <v>84</v>
      </c>
      <c r="H194" s="231">
        <v>1</v>
      </c>
      <c r="I194" s="232">
        <v>1812</v>
      </c>
      <c r="J194" s="230">
        <v>46045</v>
      </c>
      <c r="K194" s="227" t="s">
        <v>93</v>
      </c>
      <c r="L194" s="227" t="s">
        <v>94</v>
      </c>
      <c r="M194" s="233">
        <v>0</v>
      </c>
      <c r="N194" s="231"/>
      <c r="O194" s="231"/>
      <c r="P194" s="234">
        <v>652.38</v>
      </c>
    </row>
    <row r="195" spans="1:16" ht="19.5" customHeight="1">
      <c r="A195" s="227" t="s">
        <v>1131</v>
      </c>
      <c r="B195" s="230">
        <v>46049</v>
      </c>
      <c r="C195" s="227" t="s">
        <v>100</v>
      </c>
      <c r="D195" s="227" t="s">
        <v>102</v>
      </c>
      <c r="E195" s="227" t="s">
        <v>53</v>
      </c>
      <c r="F195" s="227" t="s">
        <v>120</v>
      </c>
      <c r="G195" s="227" t="s">
        <v>84</v>
      </c>
      <c r="H195" s="231">
        <v>1</v>
      </c>
      <c r="I195" s="232">
        <v>1812</v>
      </c>
      <c r="J195" s="230">
        <v>46045</v>
      </c>
      <c r="K195" s="227" t="s">
        <v>93</v>
      </c>
      <c r="L195" s="227" t="s">
        <v>94</v>
      </c>
      <c r="M195" s="233">
        <v>0</v>
      </c>
      <c r="N195" s="231"/>
      <c r="O195" s="231"/>
      <c r="P195" s="234">
        <v>6.52</v>
      </c>
    </row>
    <row r="196" spans="1:16" ht="19.5" customHeight="1">
      <c r="A196" s="227" t="s">
        <v>1131</v>
      </c>
      <c r="B196" s="230">
        <v>46049</v>
      </c>
      <c r="C196" s="227" t="s">
        <v>100</v>
      </c>
      <c r="D196" s="227" t="s">
        <v>103</v>
      </c>
      <c r="E196" s="227" t="s">
        <v>53</v>
      </c>
      <c r="F196" s="227" t="s">
        <v>120</v>
      </c>
      <c r="G196" s="227" t="s">
        <v>84</v>
      </c>
      <c r="H196" s="231">
        <v>1</v>
      </c>
      <c r="I196" s="232">
        <v>1812</v>
      </c>
      <c r="J196" s="230">
        <v>46045</v>
      </c>
      <c r="K196" s="227" t="s">
        <v>93</v>
      </c>
      <c r="L196" s="227" t="s">
        <v>94</v>
      </c>
      <c r="M196" s="233">
        <v>0</v>
      </c>
      <c r="N196" s="231"/>
      <c r="O196" s="231"/>
      <c r="P196" s="234">
        <v>1153.0999999999999</v>
      </c>
    </row>
    <row r="197" spans="1:16" ht="19.5" customHeight="1">
      <c r="A197" s="227" t="s">
        <v>1131</v>
      </c>
      <c r="B197" s="230">
        <v>46049</v>
      </c>
      <c r="C197" s="227" t="s">
        <v>104</v>
      </c>
      <c r="D197" s="227" t="s">
        <v>105</v>
      </c>
      <c r="E197" s="227" t="s">
        <v>53</v>
      </c>
      <c r="F197" s="227" t="s">
        <v>120</v>
      </c>
      <c r="G197" s="227" t="s">
        <v>84</v>
      </c>
      <c r="H197" s="231">
        <v>1</v>
      </c>
      <c r="I197" s="232">
        <v>1812</v>
      </c>
      <c r="J197" s="230">
        <v>46045</v>
      </c>
      <c r="K197" s="227" t="s">
        <v>93</v>
      </c>
      <c r="L197" s="227" t="s">
        <v>94</v>
      </c>
      <c r="M197" s="233">
        <v>0.43</v>
      </c>
      <c r="N197" s="231"/>
      <c r="O197" s="231"/>
      <c r="P197" s="234">
        <v>-779.16</v>
      </c>
    </row>
    <row r="198" spans="1:16" ht="19.5" customHeight="1">
      <c r="A198" s="227" t="s">
        <v>1131</v>
      </c>
      <c r="B198" s="230">
        <v>46049</v>
      </c>
      <c r="C198" s="227" t="s">
        <v>81</v>
      </c>
      <c r="D198" s="227" t="s">
        <v>95</v>
      </c>
      <c r="E198" s="227" t="s">
        <v>53</v>
      </c>
      <c r="F198" s="227" t="s">
        <v>120</v>
      </c>
      <c r="G198" s="227" t="s">
        <v>84</v>
      </c>
      <c r="H198" s="231">
        <v>1</v>
      </c>
      <c r="I198" s="232">
        <v>1812</v>
      </c>
      <c r="J198" s="230">
        <v>46045</v>
      </c>
      <c r="K198" s="227" t="s">
        <v>93</v>
      </c>
      <c r="L198" s="227" t="s">
        <v>94</v>
      </c>
      <c r="M198" s="233">
        <v>0.43</v>
      </c>
      <c r="N198" s="231"/>
      <c r="O198" s="231"/>
      <c r="P198" s="234">
        <v>-12.45</v>
      </c>
    </row>
    <row r="199" spans="1:16" ht="19.5" customHeight="1">
      <c r="A199" s="227" t="s">
        <v>1132</v>
      </c>
      <c r="B199" s="230">
        <v>46049</v>
      </c>
      <c r="C199" s="227" t="s">
        <v>81</v>
      </c>
      <c r="D199" s="227" t="s">
        <v>82</v>
      </c>
      <c r="E199" s="227" t="s">
        <v>52</v>
      </c>
      <c r="F199" s="227" t="s">
        <v>90</v>
      </c>
      <c r="G199" s="227" t="s">
        <v>84</v>
      </c>
      <c r="H199" s="231">
        <v>1</v>
      </c>
      <c r="I199" s="232">
        <v>0</v>
      </c>
      <c r="J199" s="230">
        <v>46049</v>
      </c>
      <c r="K199" s="227" t="s">
        <v>85</v>
      </c>
      <c r="L199" s="227" t="s">
        <v>85</v>
      </c>
      <c r="M199" s="233">
        <v>0</v>
      </c>
      <c r="N199" s="231"/>
      <c r="O199" s="231"/>
      <c r="P199" s="234">
        <v>-12.56</v>
      </c>
    </row>
    <row r="200" spans="1:16" ht="19.5" customHeight="1">
      <c r="A200" s="227" t="s">
        <v>1133</v>
      </c>
      <c r="B200" s="230">
        <v>46049</v>
      </c>
      <c r="C200" s="227" t="s">
        <v>92</v>
      </c>
      <c r="D200" s="227" t="s">
        <v>24</v>
      </c>
      <c r="E200" s="227" t="s">
        <v>42</v>
      </c>
      <c r="F200" s="227" t="s">
        <v>89</v>
      </c>
      <c r="G200" s="227" t="s">
        <v>84</v>
      </c>
      <c r="H200" s="231">
        <v>1</v>
      </c>
      <c r="I200" s="232">
        <v>0</v>
      </c>
      <c r="J200" s="230">
        <v>46043</v>
      </c>
      <c r="K200" s="227" t="s">
        <v>93</v>
      </c>
      <c r="L200" s="227" t="s">
        <v>94</v>
      </c>
      <c r="M200" s="233">
        <v>0</v>
      </c>
      <c r="N200" s="231"/>
      <c r="O200" s="231">
        <v>43</v>
      </c>
      <c r="P200" s="234">
        <v>-46.77</v>
      </c>
    </row>
    <row r="201" spans="1:16" ht="19.5" customHeight="1">
      <c r="A201" s="227" t="s">
        <v>1133</v>
      </c>
      <c r="B201" s="230">
        <v>46049</v>
      </c>
      <c r="C201" s="227" t="s">
        <v>81</v>
      </c>
      <c r="D201" s="227" t="s">
        <v>95</v>
      </c>
      <c r="E201" s="227" t="s">
        <v>42</v>
      </c>
      <c r="F201" s="227" t="s">
        <v>89</v>
      </c>
      <c r="G201" s="227" t="s">
        <v>84</v>
      </c>
      <c r="H201" s="231">
        <v>1</v>
      </c>
      <c r="I201" s="232">
        <v>0</v>
      </c>
      <c r="J201" s="230">
        <v>46043</v>
      </c>
      <c r="K201" s="227" t="s">
        <v>93</v>
      </c>
      <c r="L201" s="227" t="s">
        <v>94</v>
      </c>
      <c r="M201" s="233">
        <v>0</v>
      </c>
      <c r="N201" s="231"/>
      <c r="O201" s="231"/>
      <c r="P201" s="234">
        <v>-8.52</v>
      </c>
    </row>
    <row r="202" spans="1:16" ht="19.5" customHeight="1">
      <c r="A202" s="227" t="s">
        <v>1133</v>
      </c>
      <c r="B202" s="230">
        <v>46049</v>
      </c>
      <c r="C202" s="227" t="s">
        <v>92</v>
      </c>
      <c r="D202" s="227" t="s">
        <v>96</v>
      </c>
      <c r="E202" s="227" t="s">
        <v>42</v>
      </c>
      <c r="F202" s="227" t="s">
        <v>89</v>
      </c>
      <c r="G202" s="227" t="s">
        <v>84</v>
      </c>
      <c r="H202" s="231">
        <v>1</v>
      </c>
      <c r="I202" s="232">
        <v>0</v>
      </c>
      <c r="J202" s="230">
        <v>46043</v>
      </c>
      <c r="K202" s="227" t="s">
        <v>93</v>
      </c>
      <c r="L202" s="227" t="s">
        <v>94</v>
      </c>
      <c r="M202" s="233">
        <v>0</v>
      </c>
      <c r="N202" s="231"/>
      <c r="O202" s="231"/>
      <c r="P202" s="234">
        <v>0</v>
      </c>
    </row>
    <row r="203" spans="1:16" ht="19.5" customHeight="1">
      <c r="A203" s="227" t="s">
        <v>1133</v>
      </c>
      <c r="B203" s="230">
        <v>46049</v>
      </c>
      <c r="C203" s="227" t="s">
        <v>92</v>
      </c>
      <c r="D203" s="227" t="s">
        <v>97</v>
      </c>
      <c r="E203" s="227" t="s">
        <v>42</v>
      </c>
      <c r="F203" s="227" t="s">
        <v>89</v>
      </c>
      <c r="G203" s="227" t="s">
        <v>84</v>
      </c>
      <c r="H203" s="231">
        <v>1</v>
      </c>
      <c r="I203" s="232">
        <v>0</v>
      </c>
      <c r="J203" s="230">
        <v>46043</v>
      </c>
      <c r="K203" s="227" t="s">
        <v>93</v>
      </c>
      <c r="L203" s="227" t="s">
        <v>94</v>
      </c>
      <c r="M203" s="233">
        <v>0</v>
      </c>
      <c r="N203" s="231"/>
      <c r="O203" s="231"/>
      <c r="P203" s="234">
        <v>-46.77</v>
      </c>
    </row>
    <row r="204" spans="1:16" ht="19.5" customHeight="1">
      <c r="A204" s="227" t="s">
        <v>1133</v>
      </c>
      <c r="B204" s="230">
        <v>46049</v>
      </c>
      <c r="C204" s="227" t="s">
        <v>81</v>
      </c>
      <c r="D204" s="227" t="s">
        <v>98</v>
      </c>
      <c r="E204" s="227" t="s">
        <v>42</v>
      </c>
      <c r="F204" s="227" t="s">
        <v>89</v>
      </c>
      <c r="G204" s="227" t="s">
        <v>84</v>
      </c>
      <c r="H204" s="231">
        <v>1</v>
      </c>
      <c r="I204" s="232">
        <v>0</v>
      </c>
      <c r="J204" s="230">
        <v>46043</v>
      </c>
      <c r="K204" s="227" t="s">
        <v>93</v>
      </c>
      <c r="L204" s="227" t="s">
        <v>94</v>
      </c>
      <c r="M204" s="233">
        <v>0</v>
      </c>
      <c r="N204" s="231"/>
      <c r="O204" s="231"/>
      <c r="P204" s="234">
        <v>-15</v>
      </c>
    </row>
    <row r="205" spans="1:16" ht="19.5" customHeight="1">
      <c r="A205" s="227" t="s">
        <v>1134</v>
      </c>
      <c r="B205" s="230">
        <v>46049</v>
      </c>
      <c r="C205" s="227" t="s">
        <v>92</v>
      </c>
      <c r="D205" s="227" t="s">
        <v>24</v>
      </c>
      <c r="E205" s="227" t="s">
        <v>43</v>
      </c>
      <c r="F205" s="227" t="s">
        <v>125</v>
      </c>
      <c r="G205" s="227" t="s">
        <v>84</v>
      </c>
      <c r="H205" s="231">
        <v>1</v>
      </c>
      <c r="I205" s="232">
        <v>0</v>
      </c>
      <c r="J205" s="230">
        <v>46047</v>
      </c>
      <c r="K205" s="227" t="s">
        <v>93</v>
      </c>
      <c r="L205" s="227" t="s">
        <v>94</v>
      </c>
      <c r="M205" s="233">
        <v>0</v>
      </c>
      <c r="N205" s="231"/>
      <c r="O205" s="231">
        <v>41</v>
      </c>
      <c r="P205" s="234">
        <v>-46.77</v>
      </c>
    </row>
    <row r="206" spans="1:16" ht="19.5" customHeight="1">
      <c r="A206" s="227" t="s">
        <v>1134</v>
      </c>
      <c r="B206" s="230">
        <v>46049</v>
      </c>
      <c r="C206" s="227" t="s">
        <v>81</v>
      </c>
      <c r="D206" s="227" t="s">
        <v>95</v>
      </c>
      <c r="E206" s="227" t="s">
        <v>43</v>
      </c>
      <c r="F206" s="227" t="s">
        <v>125</v>
      </c>
      <c r="G206" s="227" t="s">
        <v>84</v>
      </c>
      <c r="H206" s="231">
        <v>1</v>
      </c>
      <c r="I206" s="232">
        <v>0</v>
      </c>
      <c r="J206" s="230">
        <v>46047</v>
      </c>
      <c r="K206" s="227" t="s">
        <v>93</v>
      </c>
      <c r="L206" s="227" t="s">
        <v>94</v>
      </c>
      <c r="M206" s="233">
        <v>0</v>
      </c>
      <c r="N206" s="231"/>
      <c r="O206" s="231"/>
      <c r="P206" s="234">
        <v>-10.11</v>
      </c>
    </row>
    <row r="207" spans="1:16" ht="19.5" customHeight="1">
      <c r="A207" s="227" t="s">
        <v>1134</v>
      </c>
      <c r="B207" s="230">
        <v>46049</v>
      </c>
      <c r="C207" s="227" t="s">
        <v>92</v>
      </c>
      <c r="D207" s="227" t="s">
        <v>96</v>
      </c>
      <c r="E207" s="227" t="s">
        <v>43</v>
      </c>
      <c r="F207" s="227" t="s">
        <v>125</v>
      </c>
      <c r="G207" s="227" t="s">
        <v>84</v>
      </c>
      <c r="H207" s="231">
        <v>1</v>
      </c>
      <c r="I207" s="232">
        <v>0</v>
      </c>
      <c r="J207" s="230">
        <v>46047</v>
      </c>
      <c r="K207" s="227" t="s">
        <v>93</v>
      </c>
      <c r="L207" s="227" t="s">
        <v>94</v>
      </c>
      <c r="M207" s="233">
        <v>0</v>
      </c>
      <c r="N207" s="231"/>
      <c r="O207" s="231"/>
      <c r="P207" s="234">
        <v>0</v>
      </c>
    </row>
    <row r="208" spans="1:16" ht="19.5" customHeight="1">
      <c r="A208" s="227" t="s">
        <v>1134</v>
      </c>
      <c r="B208" s="230">
        <v>46049</v>
      </c>
      <c r="C208" s="227" t="s">
        <v>92</v>
      </c>
      <c r="D208" s="227" t="s">
        <v>97</v>
      </c>
      <c r="E208" s="227" t="s">
        <v>43</v>
      </c>
      <c r="F208" s="227" t="s">
        <v>125</v>
      </c>
      <c r="G208" s="227" t="s">
        <v>84</v>
      </c>
      <c r="H208" s="231">
        <v>1</v>
      </c>
      <c r="I208" s="232">
        <v>0</v>
      </c>
      <c r="J208" s="230">
        <v>46047</v>
      </c>
      <c r="K208" s="227" t="s">
        <v>93</v>
      </c>
      <c r="L208" s="227" t="s">
        <v>94</v>
      </c>
      <c r="M208" s="233">
        <v>0</v>
      </c>
      <c r="N208" s="231"/>
      <c r="O208" s="231"/>
      <c r="P208" s="234">
        <v>-46.77</v>
      </c>
    </row>
    <row r="209" spans="1:16" ht="19.5" customHeight="1">
      <c r="A209" s="227" t="s">
        <v>1134</v>
      </c>
      <c r="B209" s="230">
        <v>46049</v>
      </c>
      <c r="C209" s="227" t="s">
        <v>81</v>
      </c>
      <c r="D209" s="227" t="s">
        <v>98</v>
      </c>
      <c r="E209" s="227" t="s">
        <v>43</v>
      </c>
      <c r="F209" s="227" t="s">
        <v>125</v>
      </c>
      <c r="G209" s="227" t="s">
        <v>84</v>
      </c>
      <c r="H209" s="231">
        <v>1</v>
      </c>
      <c r="I209" s="232">
        <v>0</v>
      </c>
      <c r="J209" s="230">
        <v>46047</v>
      </c>
      <c r="K209" s="227" t="s">
        <v>93</v>
      </c>
      <c r="L209" s="227" t="s">
        <v>94</v>
      </c>
      <c r="M209" s="233">
        <v>0</v>
      </c>
      <c r="N209" s="231"/>
      <c r="O209" s="231"/>
      <c r="P209" s="234">
        <v>-15</v>
      </c>
    </row>
    <row r="210" spans="1:16" ht="19.5" customHeight="1">
      <c r="A210" s="227" t="s">
        <v>1135</v>
      </c>
      <c r="B210" s="230">
        <v>46049</v>
      </c>
      <c r="C210" s="227" t="s">
        <v>92</v>
      </c>
      <c r="D210" s="227" t="s">
        <v>24</v>
      </c>
      <c r="E210" s="227" t="s">
        <v>42</v>
      </c>
      <c r="F210" s="227" t="s">
        <v>89</v>
      </c>
      <c r="G210" s="227" t="s">
        <v>84</v>
      </c>
      <c r="H210" s="231">
        <v>1</v>
      </c>
      <c r="I210" s="232">
        <v>0</v>
      </c>
      <c r="J210" s="230">
        <v>46045</v>
      </c>
      <c r="K210" s="227" t="s">
        <v>93</v>
      </c>
      <c r="L210" s="227" t="s">
        <v>94</v>
      </c>
      <c r="M210" s="233">
        <v>0</v>
      </c>
      <c r="N210" s="231"/>
      <c r="O210" s="231">
        <v>40</v>
      </c>
      <c r="P210" s="234">
        <v>-115.25</v>
      </c>
    </row>
    <row r="211" spans="1:16" ht="19.5" customHeight="1">
      <c r="A211" s="227" t="s">
        <v>1136</v>
      </c>
      <c r="B211" s="230">
        <v>46049</v>
      </c>
      <c r="C211" s="227" t="s">
        <v>92</v>
      </c>
      <c r="D211" s="227" t="s">
        <v>24</v>
      </c>
      <c r="E211" s="227" t="s">
        <v>53</v>
      </c>
      <c r="F211" s="227" t="s">
        <v>120</v>
      </c>
      <c r="G211" s="227" t="s">
        <v>84</v>
      </c>
      <c r="H211" s="231">
        <v>1</v>
      </c>
      <c r="I211" s="232">
        <v>0</v>
      </c>
      <c r="J211" s="230">
        <v>46043</v>
      </c>
      <c r="K211" s="227" t="s">
        <v>93</v>
      </c>
      <c r="L211" s="227" t="s">
        <v>94</v>
      </c>
      <c r="M211" s="233">
        <v>0</v>
      </c>
      <c r="N211" s="231"/>
      <c r="O211" s="231">
        <v>43</v>
      </c>
      <c r="P211" s="234">
        <v>-146.44999999999999</v>
      </c>
    </row>
    <row r="212" spans="1:16" ht="19.5" customHeight="1">
      <c r="A212" s="227" t="s">
        <v>1137</v>
      </c>
      <c r="B212" s="230">
        <v>46049</v>
      </c>
      <c r="C212" s="227" t="s">
        <v>92</v>
      </c>
      <c r="D212" s="227" t="s">
        <v>24</v>
      </c>
      <c r="E212" s="227" t="s">
        <v>52</v>
      </c>
      <c r="F212" s="227" t="s">
        <v>90</v>
      </c>
      <c r="G212" s="227" t="s">
        <v>84</v>
      </c>
      <c r="H212" s="231">
        <v>1</v>
      </c>
      <c r="I212" s="232">
        <v>1800</v>
      </c>
      <c r="J212" s="230">
        <v>46046</v>
      </c>
      <c r="K212" s="227" t="s">
        <v>93</v>
      </c>
      <c r="L212" s="227" t="s">
        <v>94</v>
      </c>
      <c r="M212" s="233">
        <v>0.43</v>
      </c>
      <c r="N212" s="231"/>
      <c r="O212" s="231">
        <v>40</v>
      </c>
      <c r="P212" s="234">
        <v>-130.46</v>
      </c>
    </row>
    <row r="213" spans="1:16" ht="19.5" customHeight="1">
      <c r="A213" s="227" t="s">
        <v>1137</v>
      </c>
      <c r="B213" s="230">
        <v>46049</v>
      </c>
      <c r="C213" s="227" t="s">
        <v>100</v>
      </c>
      <c r="D213" s="227" t="s">
        <v>101</v>
      </c>
      <c r="E213" s="227" t="s">
        <v>52</v>
      </c>
      <c r="F213" s="227" t="s">
        <v>90</v>
      </c>
      <c r="G213" s="227" t="s">
        <v>84</v>
      </c>
      <c r="H213" s="231">
        <v>1</v>
      </c>
      <c r="I213" s="232">
        <v>1800</v>
      </c>
      <c r="J213" s="230">
        <v>46046</v>
      </c>
      <c r="K213" s="227" t="s">
        <v>93</v>
      </c>
      <c r="L213" s="227" t="s">
        <v>94</v>
      </c>
      <c r="M213" s="233">
        <v>0</v>
      </c>
      <c r="N213" s="231"/>
      <c r="O213" s="231"/>
      <c r="P213" s="234">
        <v>677.14</v>
      </c>
    </row>
    <row r="214" spans="1:16" ht="19.5" customHeight="1">
      <c r="A214" s="227" t="s">
        <v>1137</v>
      </c>
      <c r="B214" s="230">
        <v>46049</v>
      </c>
      <c r="C214" s="227" t="s">
        <v>100</v>
      </c>
      <c r="D214" s="227" t="s">
        <v>102</v>
      </c>
      <c r="E214" s="227" t="s">
        <v>52</v>
      </c>
      <c r="F214" s="227" t="s">
        <v>90</v>
      </c>
      <c r="G214" s="227" t="s">
        <v>84</v>
      </c>
      <c r="H214" s="231">
        <v>1</v>
      </c>
      <c r="I214" s="232">
        <v>1800</v>
      </c>
      <c r="J214" s="230">
        <v>46046</v>
      </c>
      <c r="K214" s="227" t="s">
        <v>93</v>
      </c>
      <c r="L214" s="227" t="s">
        <v>94</v>
      </c>
      <c r="M214" s="233">
        <v>0</v>
      </c>
      <c r="N214" s="231"/>
      <c r="O214" s="231"/>
      <c r="P214" s="234">
        <v>6.77</v>
      </c>
    </row>
    <row r="215" spans="1:16" ht="19.5" customHeight="1">
      <c r="A215" s="227" t="s">
        <v>1137</v>
      </c>
      <c r="B215" s="230">
        <v>46049</v>
      </c>
      <c r="C215" s="227" t="s">
        <v>100</v>
      </c>
      <c r="D215" s="227" t="s">
        <v>103</v>
      </c>
      <c r="E215" s="227" t="s">
        <v>52</v>
      </c>
      <c r="F215" s="227" t="s">
        <v>90</v>
      </c>
      <c r="G215" s="227" t="s">
        <v>84</v>
      </c>
      <c r="H215" s="231">
        <v>1</v>
      </c>
      <c r="I215" s="232">
        <v>1800</v>
      </c>
      <c r="J215" s="230">
        <v>46046</v>
      </c>
      <c r="K215" s="227" t="s">
        <v>93</v>
      </c>
      <c r="L215" s="227" t="s">
        <v>94</v>
      </c>
      <c r="M215" s="233">
        <v>0</v>
      </c>
      <c r="N215" s="231"/>
      <c r="O215" s="231"/>
      <c r="P215" s="234">
        <v>1116.0899999999999</v>
      </c>
    </row>
    <row r="216" spans="1:16" ht="19.5" customHeight="1">
      <c r="A216" s="227" t="s">
        <v>1137</v>
      </c>
      <c r="B216" s="230">
        <v>46049</v>
      </c>
      <c r="C216" s="227" t="s">
        <v>104</v>
      </c>
      <c r="D216" s="227" t="s">
        <v>105</v>
      </c>
      <c r="E216" s="227" t="s">
        <v>52</v>
      </c>
      <c r="F216" s="227" t="s">
        <v>90</v>
      </c>
      <c r="G216" s="227" t="s">
        <v>84</v>
      </c>
      <c r="H216" s="231">
        <v>1</v>
      </c>
      <c r="I216" s="232">
        <v>1800</v>
      </c>
      <c r="J216" s="230">
        <v>46046</v>
      </c>
      <c r="K216" s="227" t="s">
        <v>93</v>
      </c>
      <c r="L216" s="227" t="s">
        <v>94</v>
      </c>
      <c r="M216" s="233">
        <v>0.43</v>
      </c>
      <c r="N216" s="231"/>
      <c r="O216" s="231"/>
      <c r="P216" s="234">
        <v>-774</v>
      </c>
    </row>
    <row r="217" spans="1:16" ht="19.5" customHeight="1">
      <c r="A217" s="227" t="s">
        <v>1137</v>
      </c>
      <c r="B217" s="230">
        <v>46049</v>
      </c>
      <c r="C217" s="227" t="s">
        <v>81</v>
      </c>
      <c r="D217" s="227" t="s">
        <v>95</v>
      </c>
      <c r="E217" s="227" t="s">
        <v>52</v>
      </c>
      <c r="F217" s="227" t="s">
        <v>90</v>
      </c>
      <c r="G217" s="227" t="s">
        <v>84</v>
      </c>
      <c r="H217" s="231">
        <v>1</v>
      </c>
      <c r="I217" s="232">
        <v>1800</v>
      </c>
      <c r="J217" s="230">
        <v>46046</v>
      </c>
      <c r="K217" s="227" t="s">
        <v>93</v>
      </c>
      <c r="L217" s="227" t="s">
        <v>94</v>
      </c>
      <c r="M217" s="233">
        <v>0.43</v>
      </c>
      <c r="N217" s="231"/>
      <c r="O217" s="231"/>
      <c r="P217" s="234">
        <v>-8.07</v>
      </c>
    </row>
    <row r="218" spans="1:16" ht="19.5" customHeight="1">
      <c r="A218" s="227" t="s">
        <v>1137</v>
      </c>
      <c r="B218" s="230">
        <v>46049</v>
      </c>
      <c r="C218" s="227" t="s">
        <v>81</v>
      </c>
      <c r="D218" s="227" t="s">
        <v>82</v>
      </c>
      <c r="E218" s="227" t="s">
        <v>52</v>
      </c>
      <c r="F218" s="227" t="s">
        <v>90</v>
      </c>
      <c r="G218" s="227" t="s">
        <v>84</v>
      </c>
      <c r="H218" s="231">
        <v>1</v>
      </c>
      <c r="I218" s="232">
        <v>0</v>
      </c>
      <c r="J218" s="230">
        <v>46046</v>
      </c>
      <c r="K218" s="227" t="s">
        <v>85</v>
      </c>
      <c r="L218" s="227" t="s">
        <v>85</v>
      </c>
      <c r="M218" s="233">
        <v>0</v>
      </c>
      <c r="N218" s="231"/>
      <c r="O218" s="231"/>
      <c r="P218" s="234">
        <v>-12.87</v>
      </c>
    </row>
    <row r="219" spans="1:16" ht="19.5" customHeight="1">
      <c r="A219" s="227" t="s">
        <v>287</v>
      </c>
      <c r="B219" s="230">
        <v>46049</v>
      </c>
      <c r="C219" s="227" t="s">
        <v>166</v>
      </c>
      <c r="D219" s="227" t="s">
        <v>167</v>
      </c>
      <c r="E219" s="227" t="s">
        <v>53</v>
      </c>
      <c r="F219" s="227" t="s">
        <v>120</v>
      </c>
      <c r="G219" s="227" t="s">
        <v>84</v>
      </c>
      <c r="H219" s="231">
        <v>1</v>
      </c>
      <c r="I219" s="232">
        <v>-1845</v>
      </c>
      <c r="J219" s="230">
        <v>46044</v>
      </c>
      <c r="K219" s="227" t="s">
        <v>93</v>
      </c>
      <c r="L219" s="227" t="s">
        <v>94</v>
      </c>
      <c r="M219" s="233">
        <v>0</v>
      </c>
      <c r="N219" s="231"/>
      <c r="O219" s="231"/>
      <c r="P219" s="234">
        <v>-658.42</v>
      </c>
    </row>
    <row r="220" spans="1:16" ht="19.5" customHeight="1">
      <c r="A220" s="227" t="s">
        <v>287</v>
      </c>
      <c r="B220" s="230">
        <v>46049</v>
      </c>
      <c r="C220" s="227" t="s">
        <v>166</v>
      </c>
      <c r="D220" s="227" t="s">
        <v>102</v>
      </c>
      <c r="E220" s="227" t="s">
        <v>53</v>
      </c>
      <c r="F220" s="227" t="s">
        <v>120</v>
      </c>
      <c r="G220" s="227" t="s">
        <v>84</v>
      </c>
      <c r="H220" s="231">
        <v>1</v>
      </c>
      <c r="I220" s="232">
        <v>-1845</v>
      </c>
      <c r="J220" s="230">
        <v>46044</v>
      </c>
      <c r="K220" s="227" t="s">
        <v>93</v>
      </c>
      <c r="L220" s="227" t="s">
        <v>94</v>
      </c>
      <c r="M220" s="233">
        <v>0</v>
      </c>
      <c r="N220" s="231"/>
      <c r="O220" s="231"/>
      <c r="P220" s="234">
        <v>-6.58</v>
      </c>
    </row>
    <row r="221" spans="1:16" ht="19.5" customHeight="1">
      <c r="A221" s="227" t="s">
        <v>287</v>
      </c>
      <c r="B221" s="230">
        <v>46049</v>
      </c>
      <c r="C221" s="227" t="s">
        <v>166</v>
      </c>
      <c r="D221" s="227" t="s">
        <v>103</v>
      </c>
      <c r="E221" s="227" t="s">
        <v>53</v>
      </c>
      <c r="F221" s="227" t="s">
        <v>120</v>
      </c>
      <c r="G221" s="227" t="s">
        <v>84</v>
      </c>
      <c r="H221" s="231">
        <v>1</v>
      </c>
      <c r="I221" s="232">
        <v>-1845</v>
      </c>
      <c r="J221" s="230">
        <v>46044</v>
      </c>
      <c r="K221" s="227" t="s">
        <v>93</v>
      </c>
      <c r="L221" s="227" t="s">
        <v>94</v>
      </c>
      <c r="M221" s="233">
        <v>0</v>
      </c>
      <c r="N221" s="231"/>
      <c r="O221" s="231"/>
      <c r="P221" s="234">
        <v>-1180</v>
      </c>
    </row>
    <row r="222" spans="1:16" ht="19.5" customHeight="1">
      <c r="A222" s="227" t="s">
        <v>287</v>
      </c>
      <c r="B222" s="230">
        <v>46049</v>
      </c>
      <c r="C222" s="227" t="s">
        <v>104</v>
      </c>
      <c r="D222" s="227" t="s">
        <v>168</v>
      </c>
      <c r="E222" s="227" t="s">
        <v>53</v>
      </c>
      <c r="F222" s="227" t="s">
        <v>120</v>
      </c>
      <c r="G222" s="227" t="s">
        <v>84</v>
      </c>
      <c r="H222" s="231">
        <v>1</v>
      </c>
      <c r="I222" s="232">
        <v>-1845</v>
      </c>
      <c r="J222" s="230">
        <v>46044</v>
      </c>
      <c r="K222" s="227" t="s">
        <v>93</v>
      </c>
      <c r="L222" s="227" t="s">
        <v>94</v>
      </c>
      <c r="M222" s="233">
        <v>0.43</v>
      </c>
      <c r="N222" s="231"/>
      <c r="O222" s="231"/>
      <c r="P222" s="234">
        <v>793.35</v>
      </c>
    </row>
    <row r="223" spans="1:16" ht="19.5" customHeight="1">
      <c r="A223" s="227" t="s">
        <v>217</v>
      </c>
      <c r="B223" s="230">
        <v>46049</v>
      </c>
      <c r="C223" s="227" t="s">
        <v>81</v>
      </c>
      <c r="D223" s="227" t="s">
        <v>82</v>
      </c>
      <c r="E223" s="227" t="s">
        <v>53</v>
      </c>
      <c r="F223" s="227" t="s">
        <v>120</v>
      </c>
      <c r="G223" s="227" t="s">
        <v>84</v>
      </c>
      <c r="H223" s="231">
        <v>1</v>
      </c>
      <c r="I223" s="232">
        <v>0</v>
      </c>
      <c r="J223" s="230">
        <v>46044</v>
      </c>
      <c r="K223" s="227" t="s">
        <v>85</v>
      </c>
      <c r="L223" s="227" t="s">
        <v>85</v>
      </c>
      <c r="M223" s="233">
        <v>0</v>
      </c>
      <c r="N223" s="231"/>
      <c r="O223" s="231"/>
      <c r="P223" s="234">
        <v>12.51</v>
      </c>
    </row>
    <row r="224" spans="1:16" ht="19.5" customHeight="1">
      <c r="A224" s="227" t="s">
        <v>1138</v>
      </c>
      <c r="B224" s="230">
        <v>46049</v>
      </c>
      <c r="C224" s="227" t="s">
        <v>92</v>
      </c>
      <c r="D224" s="227" t="s">
        <v>24</v>
      </c>
      <c r="E224" s="227" t="s">
        <v>41</v>
      </c>
      <c r="F224" s="227" t="s">
        <v>83</v>
      </c>
      <c r="G224" s="227" t="s">
        <v>84</v>
      </c>
      <c r="H224" s="231">
        <v>1</v>
      </c>
      <c r="I224" s="232">
        <v>1750</v>
      </c>
      <c r="J224" s="230">
        <v>46048</v>
      </c>
      <c r="K224" s="227" t="s">
        <v>93</v>
      </c>
      <c r="L224" s="227" t="s">
        <v>94</v>
      </c>
      <c r="M224" s="233">
        <v>0.43</v>
      </c>
      <c r="N224" s="231"/>
      <c r="O224" s="231">
        <v>44</v>
      </c>
      <c r="P224" s="234">
        <v>-130.11000000000001</v>
      </c>
    </row>
    <row r="225" spans="1:16" ht="19.5" customHeight="1">
      <c r="A225" s="227" t="s">
        <v>1138</v>
      </c>
      <c r="B225" s="230">
        <v>46049</v>
      </c>
      <c r="C225" s="227" t="s">
        <v>100</v>
      </c>
      <c r="D225" s="227" t="s">
        <v>101</v>
      </c>
      <c r="E225" s="227" t="s">
        <v>41</v>
      </c>
      <c r="F225" s="227" t="s">
        <v>83</v>
      </c>
      <c r="G225" s="227" t="s">
        <v>84</v>
      </c>
      <c r="H225" s="231">
        <v>1</v>
      </c>
      <c r="I225" s="232">
        <v>1750</v>
      </c>
      <c r="J225" s="230">
        <v>46048</v>
      </c>
      <c r="K225" s="227" t="s">
        <v>93</v>
      </c>
      <c r="L225" s="227" t="s">
        <v>94</v>
      </c>
      <c r="M225" s="233">
        <v>0</v>
      </c>
      <c r="N225" s="231"/>
      <c r="O225" s="231"/>
      <c r="P225" s="234">
        <v>780.42</v>
      </c>
    </row>
    <row r="226" spans="1:16" ht="19.5" customHeight="1">
      <c r="A226" s="227" t="s">
        <v>1138</v>
      </c>
      <c r="B226" s="230">
        <v>46049</v>
      </c>
      <c r="C226" s="227" t="s">
        <v>100</v>
      </c>
      <c r="D226" s="227" t="s">
        <v>102</v>
      </c>
      <c r="E226" s="227" t="s">
        <v>41</v>
      </c>
      <c r="F226" s="227" t="s">
        <v>83</v>
      </c>
      <c r="G226" s="227" t="s">
        <v>84</v>
      </c>
      <c r="H226" s="231">
        <v>1</v>
      </c>
      <c r="I226" s="232">
        <v>1750</v>
      </c>
      <c r="J226" s="230">
        <v>46048</v>
      </c>
      <c r="K226" s="227" t="s">
        <v>93</v>
      </c>
      <c r="L226" s="227" t="s">
        <v>94</v>
      </c>
      <c r="M226" s="233">
        <v>0</v>
      </c>
      <c r="N226" s="231"/>
      <c r="O226" s="231"/>
      <c r="P226" s="234">
        <v>0</v>
      </c>
    </row>
    <row r="227" spans="1:16" ht="19.5" customHeight="1">
      <c r="A227" s="227" t="s">
        <v>1138</v>
      </c>
      <c r="B227" s="230">
        <v>46049</v>
      </c>
      <c r="C227" s="227" t="s">
        <v>100</v>
      </c>
      <c r="D227" s="227" t="s">
        <v>103</v>
      </c>
      <c r="E227" s="227" t="s">
        <v>41</v>
      </c>
      <c r="F227" s="227" t="s">
        <v>83</v>
      </c>
      <c r="G227" s="227" t="s">
        <v>84</v>
      </c>
      <c r="H227" s="231">
        <v>1</v>
      </c>
      <c r="I227" s="232">
        <v>1750</v>
      </c>
      <c r="J227" s="230">
        <v>46048</v>
      </c>
      <c r="K227" s="227" t="s">
        <v>93</v>
      </c>
      <c r="L227" s="227" t="s">
        <v>94</v>
      </c>
      <c r="M227" s="233">
        <v>0</v>
      </c>
      <c r="N227" s="231"/>
      <c r="O227" s="231"/>
      <c r="P227" s="234">
        <v>969.58</v>
      </c>
    </row>
    <row r="228" spans="1:16" ht="19.5" customHeight="1">
      <c r="A228" s="227" t="s">
        <v>1138</v>
      </c>
      <c r="B228" s="230">
        <v>46049</v>
      </c>
      <c r="C228" s="227" t="s">
        <v>104</v>
      </c>
      <c r="D228" s="227" t="s">
        <v>105</v>
      </c>
      <c r="E228" s="227" t="s">
        <v>41</v>
      </c>
      <c r="F228" s="227" t="s">
        <v>83</v>
      </c>
      <c r="G228" s="227" t="s">
        <v>84</v>
      </c>
      <c r="H228" s="231">
        <v>1</v>
      </c>
      <c r="I228" s="232">
        <v>1750</v>
      </c>
      <c r="J228" s="230">
        <v>46048</v>
      </c>
      <c r="K228" s="227" t="s">
        <v>93</v>
      </c>
      <c r="L228" s="227" t="s">
        <v>94</v>
      </c>
      <c r="M228" s="233">
        <v>0.43</v>
      </c>
      <c r="N228" s="231"/>
      <c r="O228" s="231"/>
      <c r="P228" s="234">
        <v>-752.5</v>
      </c>
    </row>
    <row r="229" spans="1:16" ht="19.5" customHeight="1">
      <c r="A229" s="227" t="s">
        <v>1138</v>
      </c>
      <c r="B229" s="230">
        <v>46049</v>
      </c>
      <c r="C229" s="227" t="s">
        <v>81</v>
      </c>
      <c r="D229" s="227" t="s">
        <v>95</v>
      </c>
      <c r="E229" s="227" t="s">
        <v>41</v>
      </c>
      <c r="F229" s="227" t="s">
        <v>83</v>
      </c>
      <c r="G229" s="227" t="s">
        <v>84</v>
      </c>
      <c r="H229" s="231">
        <v>1</v>
      </c>
      <c r="I229" s="232">
        <v>1750</v>
      </c>
      <c r="J229" s="230">
        <v>46048</v>
      </c>
      <c r="K229" s="227" t="s">
        <v>93</v>
      </c>
      <c r="L229" s="227" t="s">
        <v>94</v>
      </c>
      <c r="M229" s="233">
        <v>0.43</v>
      </c>
      <c r="N229" s="231"/>
      <c r="O229" s="231"/>
      <c r="P229" s="234">
        <v>-15.11</v>
      </c>
    </row>
    <row r="230" spans="1:16" ht="19.5" customHeight="1">
      <c r="A230" s="227" t="s">
        <v>1139</v>
      </c>
      <c r="B230" s="230">
        <v>46049</v>
      </c>
      <c r="C230" s="227" t="s">
        <v>92</v>
      </c>
      <c r="D230" s="227" t="s">
        <v>24</v>
      </c>
      <c r="E230" s="227" t="s">
        <v>42</v>
      </c>
      <c r="F230" s="227" t="s">
        <v>89</v>
      </c>
      <c r="G230" s="227" t="s">
        <v>84</v>
      </c>
      <c r="H230" s="231">
        <v>1</v>
      </c>
      <c r="I230" s="232">
        <v>1750</v>
      </c>
      <c r="J230" s="230">
        <v>46044</v>
      </c>
      <c r="K230" s="227" t="s">
        <v>93</v>
      </c>
      <c r="L230" s="227" t="s">
        <v>94</v>
      </c>
      <c r="M230" s="233">
        <v>0.43</v>
      </c>
      <c r="N230" s="231"/>
      <c r="O230" s="231">
        <v>42</v>
      </c>
      <c r="P230" s="234">
        <v>-123.31</v>
      </c>
    </row>
    <row r="231" spans="1:16" ht="19.5" customHeight="1">
      <c r="A231" s="227" t="s">
        <v>1139</v>
      </c>
      <c r="B231" s="230">
        <v>46049</v>
      </c>
      <c r="C231" s="227" t="s">
        <v>100</v>
      </c>
      <c r="D231" s="227" t="s">
        <v>101</v>
      </c>
      <c r="E231" s="227" t="s">
        <v>42</v>
      </c>
      <c r="F231" s="227" t="s">
        <v>89</v>
      </c>
      <c r="G231" s="227" t="s">
        <v>84</v>
      </c>
      <c r="H231" s="231">
        <v>1</v>
      </c>
      <c r="I231" s="232">
        <v>1750</v>
      </c>
      <c r="J231" s="230">
        <v>46044</v>
      </c>
      <c r="K231" s="227" t="s">
        <v>93</v>
      </c>
      <c r="L231" s="227" t="s">
        <v>94</v>
      </c>
      <c r="M231" s="233">
        <v>0</v>
      </c>
      <c r="N231" s="231"/>
      <c r="O231" s="231"/>
      <c r="P231" s="234">
        <v>609.52</v>
      </c>
    </row>
    <row r="232" spans="1:16" ht="19.5" customHeight="1">
      <c r="A232" s="227" t="s">
        <v>1139</v>
      </c>
      <c r="B232" s="230">
        <v>46049</v>
      </c>
      <c r="C232" s="227" t="s">
        <v>100</v>
      </c>
      <c r="D232" s="227" t="s">
        <v>102</v>
      </c>
      <c r="E232" s="227" t="s">
        <v>42</v>
      </c>
      <c r="F232" s="227" t="s">
        <v>89</v>
      </c>
      <c r="G232" s="227" t="s">
        <v>84</v>
      </c>
      <c r="H232" s="231">
        <v>1</v>
      </c>
      <c r="I232" s="232">
        <v>1750</v>
      </c>
      <c r="J232" s="230">
        <v>46044</v>
      </c>
      <c r="K232" s="227" t="s">
        <v>93</v>
      </c>
      <c r="L232" s="227" t="s">
        <v>94</v>
      </c>
      <c r="M232" s="233">
        <v>0</v>
      </c>
      <c r="N232" s="231"/>
      <c r="O232" s="231"/>
      <c r="P232" s="234">
        <v>6.1</v>
      </c>
    </row>
    <row r="233" spans="1:16" ht="19.5" customHeight="1">
      <c r="A233" s="227" t="s">
        <v>1139</v>
      </c>
      <c r="B233" s="230">
        <v>46049</v>
      </c>
      <c r="C233" s="227" t="s">
        <v>100</v>
      </c>
      <c r="D233" s="227" t="s">
        <v>103</v>
      </c>
      <c r="E233" s="227" t="s">
        <v>42</v>
      </c>
      <c r="F233" s="227" t="s">
        <v>89</v>
      </c>
      <c r="G233" s="227" t="s">
        <v>84</v>
      </c>
      <c r="H233" s="231">
        <v>1</v>
      </c>
      <c r="I233" s="232">
        <v>1750</v>
      </c>
      <c r="J233" s="230">
        <v>46044</v>
      </c>
      <c r="K233" s="227" t="s">
        <v>93</v>
      </c>
      <c r="L233" s="227" t="s">
        <v>94</v>
      </c>
      <c r="M233" s="233">
        <v>0</v>
      </c>
      <c r="N233" s="231"/>
      <c r="O233" s="231"/>
      <c r="P233" s="234">
        <v>1134.3800000000001</v>
      </c>
    </row>
    <row r="234" spans="1:16" ht="19.5" customHeight="1">
      <c r="A234" s="227" t="s">
        <v>1139</v>
      </c>
      <c r="B234" s="230">
        <v>46049</v>
      </c>
      <c r="C234" s="227" t="s">
        <v>104</v>
      </c>
      <c r="D234" s="227" t="s">
        <v>105</v>
      </c>
      <c r="E234" s="227" t="s">
        <v>42</v>
      </c>
      <c r="F234" s="227" t="s">
        <v>89</v>
      </c>
      <c r="G234" s="227" t="s">
        <v>84</v>
      </c>
      <c r="H234" s="231">
        <v>1</v>
      </c>
      <c r="I234" s="232">
        <v>1750</v>
      </c>
      <c r="J234" s="230">
        <v>46044</v>
      </c>
      <c r="K234" s="227" t="s">
        <v>93</v>
      </c>
      <c r="L234" s="227" t="s">
        <v>94</v>
      </c>
      <c r="M234" s="233">
        <v>0.43</v>
      </c>
      <c r="N234" s="231"/>
      <c r="O234" s="231"/>
      <c r="P234" s="234">
        <v>-752.5</v>
      </c>
    </row>
    <row r="235" spans="1:16" ht="19.5" customHeight="1">
      <c r="A235" s="227" t="s">
        <v>1139</v>
      </c>
      <c r="B235" s="230">
        <v>46049</v>
      </c>
      <c r="C235" s="227" t="s">
        <v>81</v>
      </c>
      <c r="D235" s="227" t="s">
        <v>95</v>
      </c>
      <c r="E235" s="227" t="s">
        <v>42</v>
      </c>
      <c r="F235" s="227" t="s">
        <v>89</v>
      </c>
      <c r="G235" s="227" t="s">
        <v>84</v>
      </c>
      <c r="H235" s="231">
        <v>1</v>
      </c>
      <c r="I235" s="232">
        <v>1750</v>
      </c>
      <c r="J235" s="230">
        <v>46044</v>
      </c>
      <c r="K235" s="227" t="s">
        <v>93</v>
      </c>
      <c r="L235" s="227" t="s">
        <v>94</v>
      </c>
      <c r="M235" s="233">
        <v>0.43</v>
      </c>
      <c r="N235" s="231"/>
      <c r="O235" s="231"/>
      <c r="P235" s="234">
        <v>-10.36</v>
      </c>
    </row>
    <row r="236" spans="1:16" ht="19.5" customHeight="1">
      <c r="A236" s="227" t="s">
        <v>1140</v>
      </c>
      <c r="B236" s="230">
        <v>46049</v>
      </c>
      <c r="C236" s="227" t="s">
        <v>92</v>
      </c>
      <c r="D236" s="227" t="s">
        <v>24</v>
      </c>
      <c r="E236" s="227" t="s">
        <v>53</v>
      </c>
      <c r="F236" s="227" t="s">
        <v>120</v>
      </c>
      <c r="G236" s="227" t="s">
        <v>84</v>
      </c>
      <c r="H236" s="231">
        <v>1</v>
      </c>
      <c r="I236" s="232">
        <v>1812</v>
      </c>
      <c r="J236" s="230">
        <v>46045</v>
      </c>
      <c r="K236" s="227" t="s">
        <v>93</v>
      </c>
      <c r="L236" s="227" t="s">
        <v>94</v>
      </c>
      <c r="M236" s="233">
        <v>0.43</v>
      </c>
      <c r="N236" s="231"/>
      <c r="O236" s="231">
        <v>40</v>
      </c>
      <c r="P236" s="234">
        <v>-130.77000000000001</v>
      </c>
    </row>
    <row r="237" spans="1:16" ht="19.5" customHeight="1">
      <c r="A237" s="227" t="s">
        <v>1140</v>
      </c>
      <c r="B237" s="230">
        <v>46049</v>
      </c>
      <c r="C237" s="227" t="s">
        <v>100</v>
      </c>
      <c r="D237" s="227" t="s">
        <v>101</v>
      </c>
      <c r="E237" s="227" t="s">
        <v>53</v>
      </c>
      <c r="F237" s="227" t="s">
        <v>120</v>
      </c>
      <c r="G237" s="227" t="s">
        <v>84</v>
      </c>
      <c r="H237" s="231">
        <v>1</v>
      </c>
      <c r="I237" s="232">
        <v>1812</v>
      </c>
      <c r="J237" s="230">
        <v>46045</v>
      </c>
      <c r="K237" s="227" t="s">
        <v>93</v>
      </c>
      <c r="L237" s="227" t="s">
        <v>94</v>
      </c>
      <c r="M237" s="233">
        <v>0</v>
      </c>
      <c r="N237" s="231"/>
      <c r="O237" s="231"/>
      <c r="P237" s="234">
        <v>692.97</v>
      </c>
    </row>
    <row r="238" spans="1:16" ht="19.5" customHeight="1">
      <c r="A238" s="227" t="s">
        <v>1140</v>
      </c>
      <c r="B238" s="230">
        <v>46049</v>
      </c>
      <c r="C238" s="227" t="s">
        <v>100</v>
      </c>
      <c r="D238" s="227" t="s">
        <v>102</v>
      </c>
      <c r="E238" s="227" t="s">
        <v>53</v>
      </c>
      <c r="F238" s="227" t="s">
        <v>120</v>
      </c>
      <c r="G238" s="227" t="s">
        <v>84</v>
      </c>
      <c r="H238" s="231">
        <v>1</v>
      </c>
      <c r="I238" s="232">
        <v>1812</v>
      </c>
      <c r="J238" s="230">
        <v>46045</v>
      </c>
      <c r="K238" s="227" t="s">
        <v>93</v>
      </c>
      <c r="L238" s="227" t="s">
        <v>94</v>
      </c>
      <c r="M238" s="233">
        <v>0</v>
      </c>
      <c r="N238" s="231"/>
      <c r="O238" s="231"/>
      <c r="P238" s="234">
        <v>6.93</v>
      </c>
    </row>
    <row r="239" spans="1:16" ht="19.5" customHeight="1">
      <c r="A239" s="227" t="s">
        <v>1140</v>
      </c>
      <c r="B239" s="230">
        <v>46049</v>
      </c>
      <c r="C239" s="227" t="s">
        <v>100</v>
      </c>
      <c r="D239" s="227" t="s">
        <v>103</v>
      </c>
      <c r="E239" s="227" t="s">
        <v>53</v>
      </c>
      <c r="F239" s="227" t="s">
        <v>120</v>
      </c>
      <c r="G239" s="227" t="s">
        <v>84</v>
      </c>
      <c r="H239" s="231">
        <v>1</v>
      </c>
      <c r="I239" s="232">
        <v>1812</v>
      </c>
      <c r="J239" s="230">
        <v>46045</v>
      </c>
      <c r="K239" s="227" t="s">
        <v>93</v>
      </c>
      <c r="L239" s="227" t="s">
        <v>94</v>
      </c>
      <c r="M239" s="233">
        <v>0</v>
      </c>
      <c r="N239" s="231"/>
      <c r="O239" s="231"/>
      <c r="P239" s="234">
        <v>1112.0999999999999</v>
      </c>
    </row>
    <row r="240" spans="1:16" ht="19.5" customHeight="1">
      <c r="A240" s="227" t="s">
        <v>1140</v>
      </c>
      <c r="B240" s="230">
        <v>46049</v>
      </c>
      <c r="C240" s="227" t="s">
        <v>104</v>
      </c>
      <c r="D240" s="227" t="s">
        <v>105</v>
      </c>
      <c r="E240" s="227" t="s">
        <v>53</v>
      </c>
      <c r="F240" s="227" t="s">
        <v>120</v>
      </c>
      <c r="G240" s="227" t="s">
        <v>84</v>
      </c>
      <c r="H240" s="231">
        <v>1</v>
      </c>
      <c r="I240" s="232">
        <v>1812</v>
      </c>
      <c r="J240" s="230">
        <v>46045</v>
      </c>
      <c r="K240" s="227" t="s">
        <v>93</v>
      </c>
      <c r="L240" s="227" t="s">
        <v>94</v>
      </c>
      <c r="M240" s="233">
        <v>0.43</v>
      </c>
      <c r="N240" s="231"/>
      <c r="O240" s="231"/>
      <c r="P240" s="234">
        <v>-779.16</v>
      </c>
    </row>
    <row r="241" spans="1:16" ht="19.5" customHeight="1">
      <c r="A241" s="227" t="s">
        <v>1140</v>
      </c>
      <c r="B241" s="230">
        <v>46049</v>
      </c>
      <c r="C241" s="227" t="s">
        <v>81</v>
      </c>
      <c r="D241" s="227" t="s">
        <v>95</v>
      </c>
      <c r="E241" s="227" t="s">
        <v>53</v>
      </c>
      <c r="F241" s="227" t="s">
        <v>120</v>
      </c>
      <c r="G241" s="227" t="s">
        <v>84</v>
      </c>
      <c r="H241" s="231">
        <v>1</v>
      </c>
      <c r="I241" s="232">
        <v>1812</v>
      </c>
      <c r="J241" s="230">
        <v>46045</v>
      </c>
      <c r="K241" s="227" t="s">
        <v>93</v>
      </c>
      <c r="L241" s="227" t="s">
        <v>94</v>
      </c>
      <c r="M241" s="233">
        <v>0.43</v>
      </c>
      <c r="N241" s="231"/>
      <c r="O241" s="231"/>
      <c r="P241" s="234">
        <v>-9.43</v>
      </c>
    </row>
    <row r="242" spans="1:16" ht="19.5" customHeight="1">
      <c r="A242" s="227" t="s">
        <v>1141</v>
      </c>
      <c r="B242" s="230">
        <v>46049</v>
      </c>
      <c r="C242" s="227" t="s">
        <v>92</v>
      </c>
      <c r="D242" s="227" t="s">
        <v>24</v>
      </c>
      <c r="E242" s="227" t="s">
        <v>43</v>
      </c>
      <c r="F242" s="227" t="s">
        <v>125</v>
      </c>
      <c r="G242" s="227" t="s">
        <v>84</v>
      </c>
      <c r="H242" s="231">
        <v>1</v>
      </c>
      <c r="I242" s="232">
        <v>1750</v>
      </c>
      <c r="J242" s="230">
        <v>46047</v>
      </c>
      <c r="K242" s="227" t="s">
        <v>93</v>
      </c>
      <c r="L242" s="227" t="s">
        <v>94</v>
      </c>
      <c r="M242" s="233">
        <v>0.43</v>
      </c>
      <c r="N242" s="231"/>
      <c r="O242" s="231">
        <v>41</v>
      </c>
      <c r="P242" s="234">
        <v>-119.28</v>
      </c>
    </row>
    <row r="243" spans="1:16" ht="19.5" customHeight="1">
      <c r="A243" s="227" t="s">
        <v>1141</v>
      </c>
      <c r="B243" s="230">
        <v>46049</v>
      </c>
      <c r="C243" s="227" t="s">
        <v>100</v>
      </c>
      <c r="D243" s="227" t="s">
        <v>101</v>
      </c>
      <c r="E243" s="227" t="s">
        <v>43</v>
      </c>
      <c r="F243" s="227" t="s">
        <v>125</v>
      </c>
      <c r="G243" s="227" t="s">
        <v>84</v>
      </c>
      <c r="H243" s="231">
        <v>1</v>
      </c>
      <c r="I243" s="232">
        <v>1750</v>
      </c>
      <c r="J243" s="230">
        <v>46047</v>
      </c>
      <c r="K243" s="227" t="s">
        <v>93</v>
      </c>
      <c r="L243" s="227" t="s">
        <v>94</v>
      </c>
      <c r="M243" s="233">
        <v>0</v>
      </c>
      <c r="N243" s="231"/>
      <c r="O243" s="231"/>
      <c r="P243" s="234">
        <v>609.52</v>
      </c>
    </row>
    <row r="244" spans="1:16" ht="19.5" customHeight="1">
      <c r="A244" s="227" t="s">
        <v>1141</v>
      </c>
      <c r="B244" s="230">
        <v>46049</v>
      </c>
      <c r="C244" s="227" t="s">
        <v>100</v>
      </c>
      <c r="D244" s="227" t="s">
        <v>102</v>
      </c>
      <c r="E244" s="227" t="s">
        <v>43</v>
      </c>
      <c r="F244" s="227" t="s">
        <v>125</v>
      </c>
      <c r="G244" s="227" t="s">
        <v>84</v>
      </c>
      <c r="H244" s="231">
        <v>1</v>
      </c>
      <c r="I244" s="232">
        <v>1750</v>
      </c>
      <c r="J244" s="230">
        <v>46047</v>
      </c>
      <c r="K244" s="227" t="s">
        <v>93</v>
      </c>
      <c r="L244" s="227" t="s">
        <v>94</v>
      </c>
      <c r="M244" s="233">
        <v>0</v>
      </c>
      <c r="N244" s="231"/>
      <c r="O244" s="231"/>
      <c r="P244" s="234">
        <v>6.1</v>
      </c>
    </row>
    <row r="245" spans="1:16" ht="19.5" customHeight="1">
      <c r="A245" s="227" t="s">
        <v>1141</v>
      </c>
      <c r="B245" s="230">
        <v>46049</v>
      </c>
      <c r="C245" s="227" t="s">
        <v>100</v>
      </c>
      <c r="D245" s="227" t="s">
        <v>103</v>
      </c>
      <c r="E245" s="227" t="s">
        <v>43</v>
      </c>
      <c r="F245" s="227" t="s">
        <v>125</v>
      </c>
      <c r="G245" s="227" t="s">
        <v>84</v>
      </c>
      <c r="H245" s="231">
        <v>1</v>
      </c>
      <c r="I245" s="232">
        <v>1750</v>
      </c>
      <c r="J245" s="230">
        <v>46047</v>
      </c>
      <c r="K245" s="227" t="s">
        <v>93</v>
      </c>
      <c r="L245" s="227" t="s">
        <v>94</v>
      </c>
      <c r="M245" s="233">
        <v>0</v>
      </c>
      <c r="N245" s="231"/>
      <c r="O245" s="231"/>
      <c r="P245" s="234">
        <v>1134.3800000000001</v>
      </c>
    </row>
    <row r="246" spans="1:16" ht="19.5" customHeight="1">
      <c r="A246" s="227" t="s">
        <v>1141</v>
      </c>
      <c r="B246" s="230">
        <v>46049</v>
      </c>
      <c r="C246" s="227" t="s">
        <v>104</v>
      </c>
      <c r="D246" s="227" t="s">
        <v>105</v>
      </c>
      <c r="E246" s="227" t="s">
        <v>43</v>
      </c>
      <c r="F246" s="227" t="s">
        <v>125</v>
      </c>
      <c r="G246" s="227" t="s">
        <v>84</v>
      </c>
      <c r="H246" s="231">
        <v>1</v>
      </c>
      <c r="I246" s="232">
        <v>1750</v>
      </c>
      <c r="J246" s="230">
        <v>46047</v>
      </c>
      <c r="K246" s="227" t="s">
        <v>93</v>
      </c>
      <c r="L246" s="227" t="s">
        <v>94</v>
      </c>
      <c r="M246" s="233">
        <v>0.43</v>
      </c>
      <c r="N246" s="231"/>
      <c r="O246" s="231"/>
      <c r="P246" s="234">
        <v>-752.5</v>
      </c>
    </row>
    <row r="247" spans="1:16" ht="19.5" customHeight="1">
      <c r="A247" s="227" t="s">
        <v>1141</v>
      </c>
      <c r="B247" s="230">
        <v>46049</v>
      </c>
      <c r="C247" s="227" t="s">
        <v>81</v>
      </c>
      <c r="D247" s="227" t="s">
        <v>95</v>
      </c>
      <c r="E247" s="227" t="s">
        <v>43</v>
      </c>
      <c r="F247" s="227" t="s">
        <v>125</v>
      </c>
      <c r="G247" s="227" t="s">
        <v>84</v>
      </c>
      <c r="H247" s="231">
        <v>1</v>
      </c>
      <c r="I247" s="232">
        <v>1750</v>
      </c>
      <c r="J247" s="230">
        <v>46047</v>
      </c>
      <c r="K247" s="227" t="s">
        <v>93</v>
      </c>
      <c r="L247" s="227" t="s">
        <v>94</v>
      </c>
      <c r="M247" s="233">
        <v>0.43</v>
      </c>
      <c r="N247" s="231"/>
      <c r="O247" s="231"/>
      <c r="P247" s="234">
        <v>-7.89</v>
      </c>
    </row>
    <row r="248" spans="1:16" ht="19.5" customHeight="1">
      <c r="A248" s="227" t="s">
        <v>1142</v>
      </c>
      <c r="B248" s="230">
        <v>46049</v>
      </c>
      <c r="C248" s="227" t="s">
        <v>92</v>
      </c>
      <c r="D248" s="227" t="s">
        <v>24</v>
      </c>
      <c r="E248" s="227" t="s">
        <v>52</v>
      </c>
      <c r="F248" s="227" t="s">
        <v>90</v>
      </c>
      <c r="G248" s="227" t="s">
        <v>84</v>
      </c>
      <c r="H248" s="231">
        <v>1</v>
      </c>
      <c r="I248" s="232">
        <v>1800</v>
      </c>
      <c r="J248" s="230">
        <v>46046</v>
      </c>
      <c r="K248" s="227" t="s">
        <v>93</v>
      </c>
      <c r="L248" s="227" t="s">
        <v>94</v>
      </c>
      <c r="M248" s="233">
        <v>0.43</v>
      </c>
      <c r="N248" s="231"/>
      <c r="O248" s="231">
        <v>40</v>
      </c>
      <c r="P248" s="234">
        <v>-131.88</v>
      </c>
    </row>
    <row r="249" spans="1:16" ht="19.5" customHeight="1">
      <c r="A249" s="227" t="s">
        <v>1142</v>
      </c>
      <c r="B249" s="230">
        <v>46049</v>
      </c>
      <c r="C249" s="227" t="s">
        <v>100</v>
      </c>
      <c r="D249" s="227" t="s">
        <v>101</v>
      </c>
      <c r="E249" s="227" t="s">
        <v>52</v>
      </c>
      <c r="F249" s="227" t="s">
        <v>90</v>
      </c>
      <c r="G249" s="227" t="s">
        <v>84</v>
      </c>
      <c r="H249" s="231">
        <v>1</v>
      </c>
      <c r="I249" s="232">
        <v>1800</v>
      </c>
      <c r="J249" s="230">
        <v>46046</v>
      </c>
      <c r="K249" s="227" t="s">
        <v>93</v>
      </c>
      <c r="L249" s="227" t="s">
        <v>94</v>
      </c>
      <c r="M249" s="233">
        <v>0</v>
      </c>
      <c r="N249" s="231"/>
      <c r="O249" s="231"/>
      <c r="P249" s="234">
        <v>638.1</v>
      </c>
    </row>
    <row r="250" spans="1:16" ht="19.5" customHeight="1">
      <c r="A250" s="227" t="s">
        <v>1142</v>
      </c>
      <c r="B250" s="230">
        <v>46049</v>
      </c>
      <c r="C250" s="227" t="s">
        <v>100</v>
      </c>
      <c r="D250" s="227" t="s">
        <v>102</v>
      </c>
      <c r="E250" s="227" t="s">
        <v>52</v>
      </c>
      <c r="F250" s="227" t="s">
        <v>90</v>
      </c>
      <c r="G250" s="227" t="s">
        <v>84</v>
      </c>
      <c r="H250" s="231">
        <v>1</v>
      </c>
      <c r="I250" s="232">
        <v>1800</v>
      </c>
      <c r="J250" s="230">
        <v>46046</v>
      </c>
      <c r="K250" s="227" t="s">
        <v>93</v>
      </c>
      <c r="L250" s="227" t="s">
        <v>94</v>
      </c>
      <c r="M250" s="233">
        <v>0</v>
      </c>
      <c r="N250" s="231"/>
      <c r="O250" s="231"/>
      <c r="P250" s="234">
        <v>6.38</v>
      </c>
    </row>
    <row r="251" spans="1:16" ht="19.5" customHeight="1">
      <c r="A251" s="227" t="s">
        <v>1142</v>
      </c>
      <c r="B251" s="230">
        <v>46049</v>
      </c>
      <c r="C251" s="227" t="s">
        <v>100</v>
      </c>
      <c r="D251" s="227" t="s">
        <v>103</v>
      </c>
      <c r="E251" s="227" t="s">
        <v>52</v>
      </c>
      <c r="F251" s="227" t="s">
        <v>90</v>
      </c>
      <c r="G251" s="227" t="s">
        <v>84</v>
      </c>
      <c r="H251" s="231">
        <v>1</v>
      </c>
      <c r="I251" s="232">
        <v>1800</v>
      </c>
      <c r="J251" s="230">
        <v>46046</v>
      </c>
      <c r="K251" s="227" t="s">
        <v>93</v>
      </c>
      <c r="L251" s="227" t="s">
        <v>94</v>
      </c>
      <c r="M251" s="233">
        <v>0</v>
      </c>
      <c r="N251" s="231"/>
      <c r="O251" s="231"/>
      <c r="P251" s="234">
        <v>1155.52</v>
      </c>
    </row>
    <row r="252" spans="1:16" ht="19.5" customHeight="1">
      <c r="A252" s="227" t="s">
        <v>1142</v>
      </c>
      <c r="B252" s="230">
        <v>46049</v>
      </c>
      <c r="C252" s="227" t="s">
        <v>104</v>
      </c>
      <c r="D252" s="227" t="s">
        <v>105</v>
      </c>
      <c r="E252" s="227" t="s">
        <v>52</v>
      </c>
      <c r="F252" s="227" t="s">
        <v>90</v>
      </c>
      <c r="G252" s="227" t="s">
        <v>84</v>
      </c>
      <c r="H252" s="231">
        <v>1</v>
      </c>
      <c r="I252" s="232">
        <v>1800</v>
      </c>
      <c r="J252" s="230">
        <v>46046</v>
      </c>
      <c r="K252" s="227" t="s">
        <v>93</v>
      </c>
      <c r="L252" s="227" t="s">
        <v>94</v>
      </c>
      <c r="M252" s="233">
        <v>0.43</v>
      </c>
      <c r="N252" s="231"/>
      <c r="O252" s="231"/>
      <c r="P252" s="234">
        <v>-774</v>
      </c>
    </row>
    <row r="253" spans="1:16" ht="19.5" customHeight="1">
      <c r="A253" s="227" t="s">
        <v>1142</v>
      </c>
      <c r="B253" s="230">
        <v>46049</v>
      </c>
      <c r="C253" s="227" t="s">
        <v>81</v>
      </c>
      <c r="D253" s="227" t="s">
        <v>95</v>
      </c>
      <c r="E253" s="227" t="s">
        <v>52</v>
      </c>
      <c r="F253" s="227" t="s">
        <v>90</v>
      </c>
      <c r="G253" s="227" t="s">
        <v>84</v>
      </c>
      <c r="H253" s="231">
        <v>1</v>
      </c>
      <c r="I253" s="232">
        <v>1800</v>
      </c>
      <c r="J253" s="230">
        <v>46046</v>
      </c>
      <c r="K253" s="227" t="s">
        <v>93</v>
      </c>
      <c r="L253" s="227" t="s">
        <v>94</v>
      </c>
      <c r="M253" s="233">
        <v>0.43</v>
      </c>
      <c r="N253" s="231"/>
      <c r="O253" s="231"/>
      <c r="P253" s="234">
        <v>-12.56</v>
      </c>
    </row>
    <row r="254" spans="1:16" ht="19.5" customHeight="1">
      <c r="A254" s="227" t="s">
        <v>1139</v>
      </c>
      <c r="B254" s="230">
        <v>46049</v>
      </c>
      <c r="C254" s="227" t="s">
        <v>81</v>
      </c>
      <c r="D254" s="227" t="s">
        <v>82</v>
      </c>
      <c r="E254" s="227" t="s">
        <v>42</v>
      </c>
      <c r="F254" s="227" t="s">
        <v>89</v>
      </c>
      <c r="G254" s="227" t="s">
        <v>84</v>
      </c>
      <c r="H254" s="231">
        <v>1</v>
      </c>
      <c r="I254" s="232">
        <v>0</v>
      </c>
      <c r="J254" s="230">
        <v>46044</v>
      </c>
      <c r="K254" s="227" t="s">
        <v>85</v>
      </c>
      <c r="L254" s="227" t="s">
        <v>85</v>
      </c>
      <c r="M254" s="233">
        <v>0</v>
      </c>
      <c r="N254" s="231"/>
      <c r="O254" s="231"/>
      <c r="P254" s="234">
        <v>-11.58</v>
      </c>
    </row>
    <row r="255" spans="1:16" ht="19.5" customHeight="1">
      <c r="A255" s="227" t="s">
        <v>1142</v>
      </c>
      <c r="B255" s="230">
        <v>46049</v>
      </c>
      <c r="C255" s="227" t="s">
        <v>81</v>
      </c>
      <c r="D255" s="227" t="s">
        <v>82</v>
      </c>
      <c r="E255" s="227" t="s">
        <v>52</v>
      </c>
      <c r="F255" s="227" t="s">
        <v>90</v>
      </c>
      <c r="G255" s="227" t="s">
        <v>84</v>
      </c>
      <c r="H255" s="231">
        <v>1</v>
      </c>
      <c r="I255" s="232">
        <v>0</v>
      </c>
      <c r="J255" s="230">
        <v>46046</v>
      </c>
      <c r="K255" s="227" t="s">
        <v>85</v>
      </c>
      <c r="L255" s="227" t="s">
        <v>85</v>
      </c>
      <c r="M255" s="233">
        <v>0</v>
      </c>
      <c r="N255" s="231"/>
      <c r="O255" s="231"/>
      <c r="P255" s="234">
        <v>-12.12</v>
      </c>
    </row>
    <row r="256" spans="1:16" ht="19.5" customHeight="1">
      <c r="A256" s="227" t="s">
        <v>1143</v>
      </c>
      <c r="B256" s="230">
        <v>46049</v>
      </c>
      <c r="C256" s="227" t="s">
        <v>92</v>
      </c>
      <c r="D256" s="227" t="s">
        <v>24</v>
      </c>
      <c r="E256" s="227" t="s">
        <v>52</v>
      </c>
      <c r="F256" s="227" t="s">
        <v>90</v>
      </c>
      <c r="G256" s="227" t="s">
        <v>84</v>
      </c>
      <c r="H256" s="231">
        <v>1</v>
      </c>
      <c r="I256" s="232">
        <v>0</v>
      </c>
      <c r="J256" s="230">
        <v>46044</v>
      </c>
      <c r="K256" s="227" t="s">
        <v>93</v>
      </c>
      <c r="L256" s="227" t="s">
        <v>94</v>
      </c>
      <c r="M256" s="233">
        <v>0</v>
      </c>
      <c r="N256" s="231"/>
      <c r="O256" s="231">
        <v>42</v>
      </c>
      <c r="P256" s="234">
        <v>-141.63999999999999</v>
      </c>
    </row>
    <row r="257" spans="1:16" ht="19.5" customHeight="1">
      <c r="A257" s="227" t="s">
        <v>1144</v>
      </c>
      <c r="B257" s="230">
        <v>46049</v>
      </c>
      <c r="C257" s="227" t="s">
        <v>92</v>
      </c>
      <c r="D257" s="227" t="s">
        <v>24</v>
      </c>
      <c r="E257" s="227" t="s">
        <v>53</v>
      </c>
      <c r="F257" s="227" t="s">
        <v>120</v>
      </c>
      <c r="G257" s="227" t="s">
        <v>84</v>
      </c>
      <c r="H257" s="231">
        <v>1</v>
      </c>
      <c r="I257" s="232">
        <v>1812</v>
      </c>
      <c r="J257" s="230">
        <v>46045</v>
      </c>
      <c r="K257" s="227" t="s">
        <v>93</v>
      </c>
      <c r="L257" s="227" t="s">
        <v>94</v>
      </c>
      <c r="M257" s="233">
        <v>0.43</v>
      </c>
      <c r="N257" s="231"/>
      <c r="O257" s="231">
        <v>40</v>
      </c>
      <c r="P257" s="234">
        <v>-130.77000000000001</v>
      </c>
    </row>
    <row r="258" spans="1:16" ht="19.5" customHeight="1">
      <c r="A258" s="227" t="s">
        <v>1144</v>
      </c>
      <c r="B258" s="230">
        <v>46049</v>
      </c>
      <c r="C258" s="227" t="s">
        <v>100</v>
      </c>
      <c r="D258" s="227" t="s">
        <v>101</v>
      </c>
      <c r="E258" s="227" t="s">
        <v>53</v>
      </c>
      <c r="F258" s="227" t="s">
        <v>120</v>
      </c>
      <c r="G258" s="227" t="s">
        <v>84</v>
      </c>
      <c r="H258" s="231">
        <v>1</v>
      </c>
      <c r="I258" s="232">
        <v>1812</v>
      </c>
      <c r="J258" s="230">
        <v>46045</v>
      </c>
      <c r="K258" s="227" t="s">
        <v>93</v>
      </c>
      <c r="L258" s="227" t="s">
        <v>94</v>
      </c>
      <c r="M258" s="233">
        <v>0</v>
      </c>
      <c r="N258" s="231"/>
      <c r="O258" s="231"/>
      <c r="P258" s="234">
        <v>631.42999999999995</v>
      </c>
    </row>
    <row r="259" spans="1:16" ht="19.5" customHeight="1">
      <c r="A259" s="227" t="s">
        <v>1144</v>
      </c>
      <c r="B259" s="230">
        <v>46049</v>
      </c>
      <c r="C259" s="227" t="s">
        <v>100</v>
      </c>
      <c r="D259" s="227" t="s">
        <v>102</v>
      </c>
      <c r="E259" s="227" t="s">
        <v>53</v>
      </c>
      <c r="F259" s="227" t="s">
        <v>120</v>
      </c>
      <c r="G259" s="227" t="s">
        <v>84</v>
      </c>
      <c r="H259" s="231">
        <v>1</v>
      </c>
      <c r="I259" s="232">
        <v>1812</v>
      </c>
      <c r="J259" s="230">
        <v>46045</v>
      </c>
      <c r="K259" s="227" t="s">
        <v>93</v>
      </c>
      <c r="L259" s="227" t="s">
        <v>94</v>
      </c>
      <c r="M259" s="233">
        <v>0</v>
      </c>
      <c r="N259" s="231"/>
      <c r="O259" s="231"/>
      <c r="P259" s="234">
        <v>6.31</v>
      </c>
    </row>
    <row r="260" spans="1:16" ht="19.5" customHeight="1">
      <c r="A260" s="227" t="s">
        <v>1144</v>
      </c>
      <c r="B260" s="230">
        <v>46049</v>
      </c>
      <c r="C260" s="227" t="s">
        <v>100</v>
      </c>
      <c r="D260" s="227" t="s">
        <v>103</v>
      </c>
      <c r="E260" s="227" t="s">
        <v>53</v>
      </c>
      <c r="F260" s="227" t="s">
        <v>120</v>
      </c>
      <c r="G260" s="227" t="s">
        <v>84</v>
      </c>
      <c r="H260" s="231">
        <v>1</v>
      </c>
      <c r="I260" s="232">
        <v>1812</v>
      </c>
      <c r="J260" s="230">
        <v>46045</v>
      </c>
      <c r="K260" s="227" t="s">
        <v>93</v>
      </c>
      <c r="L260" s="227" t="s">
        <v>94</v>
      </c>
      <c r="M260" s="233">
        <v>0</v>
      </c>
      <c r="N260" s="231"/>
      <c r="O260" s="231"/>
      <c r="P260" s="234">
        <v>1174.26</v>
      </c>
    </row>
    <row r="261" spans="1:16" ht="19.5" customHeight="1">
      <c r="A261" s="227" t="s">
        <v>1144</v>
      </c>
      <c r="B261" s="230">
        <v>46049</v>
      </c>
      <c r="C261" s="227" t="s">
        <v>104</v>
      </c>
      <c r="D261" s="227" t="s">
        <v>105</v>
      </c>
      <c r="E261" s="227" t="s">
        <v>53</v>
      </c>
      <c r="F261" s="227" t="s">
        <v>120</v>
      </c>
      <c r="G261" s="227" t="s">
        <v>84</v>
      </c>
      <c r="H261" s="231">
        <v>1</v>
      </c>
      <c r="I261" s="232">
        <v>1812</v>
      </c>
      <c r="J261" s="230">
        <v>46045</v>
      </c>
      <c r="K261" s="227" t="s">
        <v>93</v>
      </c>
      <c r="L261" s="227" t="s">
        <v>94</v>
      </c>
      <c r="M261" s="233">
        <v>0.43</v>
      </c>
      <c r="N261" s="231"/>
      <c r="O261" s="231"/>
      <c r="P261" s="234">
        <v>-779.16</v>
      </c>
    </row>
    <row r="262" spans="1:16" ht="19.5" customHeight="1">
      <c r="A262" s="227" t="s">
        <v>1145</v>
      </c>
      <c r="B262" s="230">
        <v>46049</v>
      </c>
      <c r="C262" s="227" t="s">
        <v>92</v>
      </c>
      <c r="D262" s="227" t="s">
        <v>24</v>
      </c>
      <c r="E262" s="227" t="s">
        <v>43</v>
      </c>
      <c r="F262" s="227" t="s">
        <v>125</v>
      </c>
      <c r="G262" s="227" t="s">
        <v>84</v>
      </c>
      <c r="H262" s="231">
        <v>1</v>
      </c>
      <c r="I262" s="232">
        <v>1750</v>
      </c>
      <c r="J262" s="230">
        <v>46047</v>
      </c>
      <c r="K262" s="227" t="s">
        <v>93</v>
      </c>
      <c r="L262" s="227" t="s">
        <v>94</v>
      </c>
      <c r="M262" s="233">
        <v>0.43</v>
      </c>
      <c r="N262" s="231"/>
      <c r="O262" s="231">
        <v>41</v>
      </c>
      <c r="P262" s="234">
        <v>-119.28</v>
      </c>
    </row>
    <row r="263" spans="1:16" ht="19.5" customHeight="1">
      <c r="A263" s="227" t="s">
        <v>1145</v>
      </c>
      <c r="B263" s="230">
        <v>46049</v>
      </c>
      <c r="C263" s="227" t="s">
        <v>100</v>
      </c>
      <c r="D263" s="227" t="s">
        <v>101</v>
      </c>
      <c r="E263" s="227" t="s">
        <v>43</v>
      </c>
      <c r="F263" s="227" t="s">
        <v>125</v>
      </c>
      <c r="G263" s="227" t="s">
        <v>84</v>
      </c>
      <c r="H263" s="231">
        <v>1</v>
      </c>
      <c r="I263" s="232">
        <v>1750</v>
      </c>
      <c r="J263" s="230">
        <v>46047</v>
      </c>
      <c r="K263" s="227" t="s">
        <v>93</v>
      </c>
      <c r="L263" s="227" t="s">
        <v>94</v>
      </c>
      <c r="M263" s="233">
        <v>0</v>
      </c>
      <c r="N263" s="231"/>
      <c r="O263" s="231"/>
      <c r="P263" s="234">
        <v>718.1</v>
      </c>
    </row>
    <row r="264" spans="1:16" ht="19.5" customHeight="1">
      <c r="A264" s="227" t="s">
        <v>1145</v>
      </c>
      <c r="B264" s="230">
        <v>46049</v>
      </c>
      <c r="C264" s="227" t="s">
        <v>100</v>
      </c>
      <c r="D264" s="227" t="s">
        <v>102</v>
      </c>
      <c r="E264" s="227" t="s">
        <v>43</v>
      </c>
      <c r="F264" s="227" t="s">
        <v>125</v>
      </c>
      <c r="G264" s="227" t="s">
        <v>84</v>
      </c>
      <c r="H264" s="231">
        <v>1</v>
      </c>
      <c r="I264" s="232">
        <v>1750</v>
      </c>
      <c r="J264" s="230">
        <v>46047</v>
      </c>
      <c r="K264" s="227" t="s">
        <v>93</v>
      </c>
      <c r="L264" s="227" t="s">
        <v>94</v>
      </c>
      <c r="M264" s="233">
        <v>0</v>
      </c>
      <c r="N264" s="231"/>
      <c r="O264" s="231"/>
      <c r="P264" s="234">
        <v>0</v>
      </c>
    </row>
    <row r="265" spans="1:16" ht="19.5" customHeight="1">
      <c r="A265" s="227" t="s">
        <v>1145</v>
      </c>
      <c r="B265" s="230">
        <v>46049</v>
      </c>
      <c r="C265" s="227" t="s">
        <v>100</v>
      </c>
      <c r="D265" s="227" t="s">
        <v>103</v>
      </c>
      <c r="E265" s="227" t="s">
        <v>43</v>
      </c>
      <c r="F265" s="227" t="s">
        <v>125</v>
      </c>
      <c r="G265" s="227" t="s">
        <v>84</v>
      </c>
      <c r="H265" s="231">
        <v>1</v>
      </c>
      <c r="I265" s="232">
        <v>1750</v>
      </c>
      <c r="J265" s="230">
        <v>46047</v>
      </c>
      <c r="K265" s="227" t="s">
        <v>93</v>
      </c>
      <c r="L265" s="227" t="s">
        <v>94</v>
      </c>
      <c r="M265" s="233">
        <v>0</v>
      </c>
      <c r="N265" s="231"/>
      <c r="O265" s="231"/>
      <c r="P265" s="234">
        <v>1031.9000000000001</v>
      </c>
    </row>
    <row r="266" spans="1:16" ht="19.5" customHeight="1">
      <c r="A266" s="227" t="s">
        <v>1145</v>
      </c>
      <c r="B266" s="230">
        <v>46049</v>
      </c>
      <c r="C266" s="227" t="s">
        <v>104</v>
      </c>
      <c r="D266" s="227" t="s">
        <v>105</v>
      </c>
      <c r="E266" s="227" t="s">
        <v>43</v>
      </c>
      <c r="F266" s="227" t="s">
        <v>125</v>
      </c>
      <c r="G266" s="227" t="s">
        <v>84</v>
      </c>
      <c r="H266" s="231">
        <v>1</v>
      </c>
      <c r="I266" s="232">
        <v>1750</v>
      </c>
      <c r="J266" s="230">
        <v>46047</v>
      </c>
      <c r="K266" s="227" t="s">
        <v>93</v>
      </c>
      <c r="L266" s="227" t="s">
        <v>94</v>
      </c>
      <c r="M266" s="233">
        <v>0.43</v>
      </c>
      <c r="N266" s="231"/>
      <c r="O266" s="231"/>
      <c r="P266" s="234">
        <v>-752.5</v>
      </c>
    </row>
    <row r="267" spans="1:16" ht="19.5" customHeight="1">
      <c r="A267" s="227" t="s">
        <v>1145</v>
      </c>
      <c r="B267" s="230">
        <v>46049</v>
      </c>
      <c r="C267" s="227" t="s">
        <v>81</v>
      </c>
      <c r="D267" s="227" t="s">
        <v>95</v>
      </c>
      <c r="E267" s="227" t="s">
        <v>43</v>
      </c>
      <c r="F267" s="227" t="s">
        <v>125</v>
      </c>
      <c r="G267" s="227" t="s">
        <v>84</v>
      </c>
      <c r="H267" s="231">
        <v>1</v>
      </c>
      <c r="I267" s="232">
        <v>1750</v>
      </c>
      <c r="J267" s="230">
        <v>46047</v>
      </c>
      <c r="K267" s="227" t="s">
        <v>93</v>
      </c>
      <c r="L267" s="227" t="s">
        <v>94</v>
      </c>
      <c r="M267" s="233">
        <v>0.43</v>
      </c>
      <c r="N267" s="231"/>
      <c r="O267" s="231"/>
      <c r="P267" s="234">
        <v>-25</v>
      </c>
    </row>
    <row r="268" spans="1:16" ht="19.5" customHeight="1">
      <c r="A268" s="227" t="s">
        <v>1130</v>
      </c>
      <c r="B268" s="230">
        <v>46049</v>
      </c>
      <c r="C268" s="227" t="s">
        <v>81</v>
      </c>
      <c r="D268" s="227" t="s">
        <v>82</v>
      </c>
      <c r="E268" s="227" t="s">
        <v>53</v>
      </c>
      <c r="F268" s="227" t="s">
        <v>120</v>
      </c>
      <c r="G268" s="227" t="s">
        <v>84</v>
      </c>
      <c r="H268" s="231">
        <v>1</v>
      </c>
      <c r="I268" s="232">
        <v>0</v>
      </c>
      <c r="J268" s="230">
        <v>46049</v>
      </c>
      <c r="K268" s="227" t="s">
        <v>85</v>
      </c>
      <c r="L268" s="227" t="s">
        <v>85</v>
      </c>
      <c r="M268" s="233">
        <v>0</v>
      </c>
      <c r="N268" s="231"/>
      <c r="O268" s="231"/>
      <c r="P268" s="234">
        <v>12</v>
      </c>
    </row>
    <row r="269" spans="1:16" ht="19.5" customHeight="1">
      <c r="A269" s="227" t="s">
        <v>1144</v>
      </c>
      <c r="B269" s="230">
        <v>46049</v>
      </c>
      <c r="C269" s="227" t="s">
        <v>81</v>
      </c>
      <c r="D269" s="227" t="s">
        <v>82</v>
      </c>
      <c r="E269" s="227" t="s">
        <v>53</v>
      </c>
      <c r="F269" s="227" t="s">
        <v>120</v>
      </c>
      <c r="G269" s="227" t="s">
        <v>84</v>
      </c>
      <c r="H269" s="231">
        <v>1</v>
      </c>
      <c r="I269" s="232">
        <v>0</v>
      </c>
      <c r="J269" s="230">
        <v>46045</v>
      </c>
      <c r="K269" s="227" t="s">
        <v>85</v>
      </c>
      <c r="L269" s="227" t="s">
        <v>85</v>
      </c>
      <c r="M269" s="233">
        <v>0</v>
      </c>
      <c r="N269" s="231"/>
      <c r="O269" s="231"/>
      <c r="P269" s="234">
        <v>-12</v>
      </c>
    </row>
    <row r="270" spans="1:16" ht="19.5" customHeight="1">
      <c r="A270" s="227" t="s">
        <v>1146</v>
      </c>
      <c r="B270" s="230">
        <v>46049</v>
      </c>
      <c r="C270" s="227" t="s">
        <v>92</v>
      </c>
      <c r="D270" s="227" t="s">
        <v>24</v>
      </c>
      <c r="E270" s="227" t="s">
        <v>53</v>
      </c>
      <c r="F270" s="227" t="s">
        <v>120</v>
      </c>
      <c r="G270" s="227" t="s">
        <v>84</v>
      </c>
      <c r="H270" s="231">
        <v>1</v>
      </c>
      <c r="I270" s="232">
        <v>1812</v>
      </c>
      <c r="J270" s="230">
        <v>46045</v>
      </c>
      <c r="K270" s="227" t="s">
        <v>93</v>
      </c>
      <c r="L270" s="227" t="s">
        <v>94</v>
      </c>
      <c r="M270" s="233">
        <v>0.43</v>
      </c>
      <c r="N270" s="231"/>
      <c r="O270" s="231">
        <v>40</v>
      </c>
      <c r="P270" s="234">
        <v>-130.77000000000001</v>
      </c>
    </row>
    <row r="271" spans="1:16" ht="19.5" customHeight="1">
      <c r="A271" s="227" t="s">
        <v>1146</v>
      </c>
      <c r="B271" s="230">
        <v>46049</v>
      </c>
      <c r="C271" s="227" t="s">
        <v>100</v>
      </c>
      <c r="D271" s="227" t="s">
        <v>101</v>
      </c>
      <c r="E271" s="227" t="s">
        <v>53</v>
      </c>
      <c r="F271" s="227" t="s">
        <v>120</v>
      </c>
      <c r="G271" s="227" t="s">
        <v>84</v>
      </c>
      <c r="H271" s="231">
        <v>1</v>
      </c>
      <c r="I271" s="232">
        <v>1812</v>
      </c>
      <c r="J271" s="230">
        <v>46045</v>
      </c>
      <c r="K271" s="227" t="s">
        <v>93</v>
      </c>
      <c r="L271" s="227" t="s">
        <v>94</v>
      </c>
      <c r="M271" s="233">
        <v>0</v>
      </c>
      <c r="N271" s="231"/>
      <c r="O271" s="231"/>
      <c r="P271" s="234">
        <v>750.48</v>
      </c>
    </row>
    <row r="272" spans="1:16" ht="19.5" customHeight="1">
      <c r="A272" s="227" t="s">
        <v>1146</v>
      </c>
      <c r="B272" s="230">
        <v>46049</v>
      </c>
      <c r="C272" s="227" t="s">
        <v>100</v>
      </c>
      <c r="D272" s="227" t="s">
        <v>102</v>
      </c>
      <c r="E272" s="227" t="s">
        <v>53</v>
      </c>
      <c r="F272" s="227" t="s">
        <v>120</v>
      </c>
      <c r="G272" s="227" t="s">
        <v>84</v>
      </c>
      <c r="H272" s="231">
        <v>1</v>
      </c>
      <c r="I272" s="232">
        <v>1812</v>
      </c>
      <c r="J272" s="230">
        <v>46045</v>
      </c>
      <c r="K272" s="227" t="s">
        <v>93</v>
      </c>
      <c r="L272" s="227" t="s">
        <v>94</v>
      </c>
      <c r="M272" s="233">
        <v>0</v>
      </c>
      <c r="N272" s="231"/>
      <c r="O272" s="231"/>
      <c r="P272" s="234">
        <v>0</v>
      </c>
    </row>
    <row r="273" spans="1:16" ht="19.5" customHeight="1">
      <c r="A273" s="227" t="s">
        <v>1146</v>
      </c>
      <c r="B273" s="230">
        <v>46049</v>
      </c>
      <c r="C273" s="227" t="s">
        <v>100</v>
      </c>
      <c r="D273" s="227" t="s">
        <v>103</v>
      </c>
      <c r="E273" s="227" t="s">
        <v>53</v>
      </c>
      <c r="F273" s="227" t="s">
        <v>120</v>
      </c>
      <c r="G273" s="227" t="s">
        <v>84</v>
      </c>
      <c r="H273" s="231">
        <v>1</v>
      </c>
      <c r="I273" s="232">
        <v>1812</v>
      </c>
      <c r="J273" s="230">
        <v>46045</v>
      </c>
      <c r="K273" s="227" t="s">
        <v>93</v>
      </c>
      <c r="L273" s="227" t="s">
        <v>94</v>
      </c>
      <c r="M273" s="233">
        <v>0</v>
      </c>
      <c r="N273" s="231"/>
      <c r="O273" s="231"/>
      <c r="P273" s="234">
        <v>1061.52</v>
      </c>
    </row>
    <row r="274" spans="1:16" ht="19.5" customHeight="1">
      <c r="A274" s="227" t="s">
        <v>1146</v>
      </c>
      <c r="B274" s="230">
        <v>46049</v>
      </c>
      <c r="C274" s="227" t="s">
        <v>104</v>
      </c>
      <c r="D274" s="227" t="s">
        <v>105</v>
      </c>
      <c r="E274" s="227" t="s">
        <v>53</v>
      </c>
      <c r="F274" s="227" t="s">
        <v>120</v>
      </c>
      <c r="G274" s="227" t="s">
        <v>84</v>
      </c>
      <c r="H274" s="231">
        <v>1</v>
      </c>
      <c r="I274" s="232">
        <v>1812</v>
      </c>
      <c r="J274" s="230">
        <v>46045</v>
      </c>
      <c r="K274" s="227" t="s">
        <v>93</v>
      </c>
      <c r="L274" s="227" t="s">
        <v>94</v>
      </c>
      <c r="M274" s="233">
        <v>0.43</v>
      </c>
      <c r="N274" s="231"/>
      <c r="O274" s="231"/>
      <c r="P274" s="234">
        <v>-779.16</v>
      </c>
    </row>
    <row r="275" spans="1:16" ht="19.5" customHeight="1">
      <c r="A275" s="227" t="s">
        <v>1146</v>
      </c>
      <c r="B275" s="230">
        <v>46049</v>
      </c>
      <c r="C275" s="227" t="s">
        <v>81</v>
      </c>
      <c r="D275" s="227" t="s">
        <v>95</v>
      </c>
      <c r="E275" s="227" t="s">
        <v>53</v>
      </c>
      <c r="F275" s="227" t="s">
        <v>120</v>
      </c>
      <c r="G275" s="227" t="s">
        <v>84</v>
      </c>
      <c r="H275" s="231">
        <v>1</v>
      </c>
      <c r="I275" s="232">
        <v>1812</v>
      </c>
      <c r="J275" s="230">
        <v>46045</v>
      </c>
      <c r="K275" s="227" t="s">
        <v>93</v>
      </c>
      <c r="L275" s="227" t="s">
        <v>94</v>
      </c>
      <c r="M275" s="233">
        <v>0.43</v>
      </c>
      <c r="N275" s="231"/>
      <c r="O275" s="231"/>
      <c r="P275" s="234">
        <v>-10.66</v>
      </c>
    </row>
    <row r="276" spans="1:16" ht="19.5" customHeight="1">
      <c r="A276" s="227" t="s">
        <v>1117</v>
      </c>
      <c r="B276" s="230">
        <v>46049</v>
      </c>
      <c r="C276" s="227" t="s">
        <v>81</v>
      </c>
      <c r="D276" s="227" t="s">
        <v>82</v>
      </c>
      <c r="E276" s="227" t="s">
        <v>41</v>
      </c>
      <c r="F276" s="227" t="s">
        <v>83</v>
      </c>
      <c r="G276" s="227" t="s">
        <v>84</v>
      </c>
      <c r="H276" s="231">
        <v>1</v>
      </c>
      <c r="I276" s="232">
        <v>0</v>
      </c>
      <c r="J276" s="230">
        <v>46048</v>
      </c>
      <c r="K276" s="227" t="s">
        <v>85</v>
      </c>
      <c r="L276" s="227" t="s">
        <v>85</v>
      </c>
      <c r="M276" s="233">
        <v>0</v>
      </c>
      <c r="N276" s="231"/>
      <c r="O276" s="231"/>
      <c r="P276" s="234">
        <v>13.18</v>
      </c>
    </row>
    <row r="277" spans="1:16" ht="19.5" customHeight="1">
      <c r="A277" s="227" t="s">
        <v>1147</v>
      </c>
      <c r="B277" s="230">
        <v>46049</v>
      </c>
      <c r="C277" s="227" t="s">
        <v>92</v>
      </c>
      <c r="D277" s="227" t="s">
        <v>24</v>
      </c>
      <c r="E277" s="227" t="s">
        <v>42</v>
      </c>
      <c r="F277" s="227" t="s">
        <v>89</v>
      </c>
      <c r="G277" s="227" t="s">
        <v>84</v>
      </c>
      <c r="H277" s="231">
        <v>1</v>
      </c>
      <c r="I277" s="232">
        <v>1750</v>
      </c>
      <c r="J277" s="230">
        <v>46047</v>
      </c>
      <c r="K277" s="227" t="s">
        <v>93</v>
      </c>
      <c r="L277" s="227" t="s">
        <v>94</v>
      </c>
      <c r="M277" s="233">
        <v>0.43</v>
      </c>
      <c r="N277" s="231"/>
      <c r="O277" s="231">
        <v>41</v>
      </c>
      <c r="P277" s="234">
        <v>-119.28</v>
      </c>
    </row>
    <row r="278" spans="1:16" ht="19.5" customHeight="1">
      <c r="A278" s="227" t="s">
        <v>1147</v>
      </c>
      <c r="B278" s="230">
        <v>46049</v>
      </c>
      <c r="C278" s="227" t="s">
        <v>100</v>
      </c>
      <c r="D278" s="227" t="s">
        <v>101</v>
      </c>
      <c r="E278" s="227" t="s">
        <v>42</v>
      </c>
      <c r="F278" s="227" t="s">
        <v>89</v>
      </c>
      <c r="G278" s="227" t="s">
        <v>84</v>
      </c>
      <c r="H278" s="231">
        <v>1</v>
      </c>
      <c r="I278" s="232">
        <v>1750</v>
      </c>
      <c r="J278" s="230">
        <v>46047</v>
      </c>
      <c r="K278" s="227" t="s">
        <v>93</v>
      </c>
      <c r="L278" s="227" t="s">
        <v>94</v>
      </c>
      <c r="M278" s="233">
        <v>0</v>
      </c>
      <c r="N278" s="231"/>
      <c r="O278" s="231"/>
      <c r="P278" s="234">
        <v>665.4</v>
      </c>
    </row>
    <row r="279" spans="1:16" ht="19.5" customHeight="1">
      <c r="A279" s="227" t="s">
        <v>1147</v>
      </c>
      <c r="B279" s="230">
        <v>46049</v>
      </c>
      <c r="C279" s="227" t="s">
        <v>100</v>
      </c>
      <c r="D279" s="227" t="s">
        <v>102</v>
      </c>
      <c r="E279" s="227" t="s">
        <v>42</v>
      </c>
      <c r="F279" s="227" t="s">
        <v>89</v>
      </c>
      <c r="G279" s="227" t="s">
        <v>84</v>
      </c>
      <c r="H279" s="231">
        <v>1</v>
      </c>
      <c r="I279" s="232">
        <v>1750</v>
      </c>
      <c r="J279" s="230">
        <v>46047</v>
      </c>
      <c r="K279" s="227" t="s">
        <v>93</v>
      </c>
      <c r="L279" s="227" t="s">
        <v>94</v>
      </c>
      <c r="M279" s="233">
        <v>0</v>
      </c>
      <c r="N279" s="231"/>
      <c r="O279" s="231"/>
      <c r="P279" s="234">
        <v>0</v>
      </c>
    </row>
    <row r="280" spans="1:16" ht="19.5" customHeight="1">
      <c r="A280" s="227" t="s">
        <v>1147</v>
      </c>
      <c r="B280" s="230">
        <v>46049</v>
      </c>
      <c r="C280" s="227" t="s">
        <v>100</v>
      </c>
      <c r="D280" s="227" t="s">
        <v>103</v>
      </c>
      <c r="E280" s="227" t="s">
        <v>42</v>
      </c>
      <c r="F280" s="227" t="s">
        <v>89</v>
      </c>
      <c r="G280" s="227" t="s">
        <v>84</v>
      </c>
      <c r="H280" s="231">
        <v>1</v>
      </c>
      <c r="I280" s="232">
        <v>1750</v>
      </c>
      <c r="J280" s="230">
        <v>46047</v>
      </c>
      <c r="K280" s="227" t="s">
        <v>93</v>
      </c>
      <c r="L280" s="227" t="s">
        <v>94</v>
      </c>
      <c r="M280" s="233">
        <v>0</v>
      </c>
      <c r="N280" s="231"/>
      <c r="O280" s="231"/>
      <c r="P280" s="234">
        <v>1084.5999999999999</v>
      </c>
    </row>
    <row r="281" spans="1:16" ht="19.5" customHeight="1">
      <c r="A281" s="227" t="s">
        <v>1147</v>
      </c>
      <c r="B281" s="230">
        <v>46049</v>
      </c>
      <c r="C281" s="227" t="s">
        <v>104</v>
      </c>
      <c r="D281" s="227" t="s">
        <v>105</v>
      </c>
      <c r="E281" s="227" t="s">
        <v>42</v>
      </c>
      <c r="F281" s="227" t="s">
        <v>89</v>
      </c>
      <c r="G281" s="227" t="s">
        <v>84</v>
      </c>
      <c r="H281" s="231">
        <v>1</v>
      </c>
      <c r="I281" s="232">
        <v>1750</v>
      </c>
      <c r="J281" s="230">
        <v>46047</v>
      </c>
      <c r="K281" s="227" t="s">
        <v>93</v>
      </c>
      <c r="L281" s="227" t="s">
        <v>94</v>
      </c>
      <c r="M281" s="233">
        <v>0.43</v>
      </c>
      <c r="N281" s="231"/>
      <c r="O281" s="231"/>
      <c r="P281" s="234">
        <v>-752.5</v>
      </c>
    </row>
    <row r="282" spans="1:16" ht="19.5" customHeight="1">
      <c r="A282" s="227" t="s">
        <v>1147</v>
      </c>
      <c r="B282" s="230">
        <v>46049</v>
      </c>
      <c r="C282" s="227" t="s">
        <v>81</v>
      </c>
      <c r="D282" s="227" t="s">
        <v>95</v>
      </c>
      <c r="E282" s="227" t="s">
        <v>42</v>
      </c>
      <c r="F282" s="227" t="s">
        <v>89</v>
      </c>
      <c r="G282" s="227" t="s">
        <v>84</v>
      </c>
      <c r="H282" s="231">
        <v>1</v>
      </c>
      <c r="I282" s="232">
        <v>1750</v>
      </c>
      <c r="J282" s="230">
        <v>46047</v>
      </c>
      <c r="K282" s="227" t="s">
        <v>93</v>
      </c>
      <c r="L282" s="227" t="s">
        <v>94</v>
      </c>
      <c r="M282" s="233">
        <v>0.43</v>
      </c>
      <c r="N282" s="231"/>
      <c r="O282" s="231"/>
      <c r="P282" s="234">
        <v>-13.63</v>
      </c>
    </row>
    <row r="283" spans="1:16" ht="19.5" customHeight="1">
      <c r="A283" s="227" t="s">
        <v>1148</v>
      </c>
      <c r="B283" s="230">
        <v>46049</v>
      </c>
      <c r="C283" s="227" t="s">
        <v>81</v>
      </c>
      <c r="D283" s="227" t="s">
        <v>82</v>
      </c>
      <c r="E283" s="227" t="s">
        <v>52</v>
      </c>
      <c r="F283" s="227" t="s">
        <v>90</v>
      </c>
      <c r="G283" s="227" t="s">
        <v>84</v>
      </c>
      <c r="H283" s="231">
        <v>1</v>
      </c>
      <c r="I283" s="232">
        <v>0</v>
      </c>
      <c r="J283" s="230">
        <v>46049</v>
      </c>
      <c r="K283" s="227" t="s">
        <v>85</v>
      </c>
      <c r="L283" s="227" t="s">
        <v>85</v>
      </c>
      <c r="M283" s="233">
        <v>0</v>
      </c>
      <c r="N283" s="231"/>
      <c r="O283" s="231"/>
      <c r="P283" s="234">
        <v>-11.92</v>
      </c>
    </row>
    <row r="284" spans="1:16" ht="19.5" customHeight="1">
      <c r="A284" s="227" t="s">
        <v>1149</v>
      </c>
      <c r="B284" s="230">
        <v>46049</v>
      </c>
      <c r="C284" s="227" t="s">
        <v>354</v>
      </c>
      <c r="D284" s="227" t="s">
        <v>892</v>
      </c>
      <c r="E284" s="227" t="s">
        <v>85</v>
      </c>
      <c r="F284" s="227" t="s">
        <v>85</v>
      </c>
      <c r="G284" s="227" t="s">
        <v>85</v>
      </c>
      <c r="H284" s="231">
        <v>0</v>
      </c>
      <c r="I284" s="232">
        <v>0</v>
      </c>
      <c r="J284" s="230">
        <v>46044</v>
      </c>
      <c r="K284" s="227" t="s">
        <v>85</v>
      </c>
      <c r="L284" s="227" t="s">
        <v>85</v>
      </c>
      <c r="M284" s="233">
        <v>0</v>
      </c>
      <c r="N284" s="231"/>
      <c r="O284" s="231"/>
      <c r="P284" s="234">
        <v>-1972.2</v>
      </c>
    </row>
    <row r="285" spans="1:16" ht="19.5" customHeight="1">
      <c r="A285" s="227" t="s">
        <v>1149</v>
      </c>
      <c r="B285" s="230">
        <v>46049</v>
      </c>
      <c r="C285" s="227" t="s">
        <v>354</v>
      </c>
      <c r="D285" s="227" t="s">
        <v>892</v>
      </c>
      <c r="E285" s="227" t="s">
        <v>85</v>
      </c>
      <c r="F285" s="227" t="s">
        <v>85</v>
      </c>
      <c r="G285" s="227" t="s">
        <v>85</v>
      </c>
      <c r="H285" s="231">
        <v>0</v>
      </c>
      <c r="I285" s="232">
        <v>0</v>
      </c>
      <c r="J285" s="230">
        <v>46044</v>
      </c>
      <c r="K285" s="227" t="s">
        <v>85</v>
      </c>
      <c r="L285" s="227" t="s">
        <v>85</v>
      </c>
      <c r="M285" s="233">
        <v>0</v>
      </c>
      <c r="N285" s="231"/>
      <c r="O285" s="231"/>
      <c r="P285" s="234">
        <v>-1972.2</v>
      </c>
    </row>
    <row r="286" spans="1:16" ht="19.5" customHeight="1">
      <c r="A286" s="227" t="s">
        <v>1150</v>
      </c>
      <c r="B286" s="230">
        <v>46049</v>
      </c>
      <c r="C286" s="227" t="s">
        <v>92</v>
      </c>
      <c r="D286" s="227" t="s">
        <v>24</v>
      </c>
      <c r="E286" s="227" t="s">
        <v>53</v>
      </c>
      <c r="F286" s="227" t="s">
        <v>120</v>
      </c>
      <c r="G286" s="227" t="s">
        <v>84</v>
      </c>
      <c r="H286" s="231">
        <v>1</v>
      </c>
      <c r="I286" s="232">
        <v>1845</v>
      </c>
      <c r="J286" s="230">
        <v>46044</v>
      </c>
      <c r="K286" s="227" t="s">
        <v>93</v>
      </c>
      <c r="L286" s="227" t="s">
        <v>94</v>
      </c>
      <c r="M286" s="233">
        <v>0.43</v>
      </c>
      <c r="N286" s="231"/>
      <c r="O286" s="231">
        <v>42</v>
      </c>
      <c r="P286" s="234">
        <v>-140.5</v>
      </c>
    </row>
    <row r="287" spans="1:16" ht="19.5" customHeight="1">
      <c r="A287" s="227" t="s">
        <v>1150</v>
      </c>
      <c r="B287" s="230">
        <v>46049</v>
      </c>
      <c r="C287" s="227" t="s">
        <v>100</v>
      </c>
      <c r="D287" s="227" t="s">
        <v>101</v>
      </c>
      <c r="E287" s="227" t="s">
        <v>53</v>
      </c>
      <c r="F287" s="227" t="s">
        <v>120</v>
      </c>
      <c r="G287" s="227" t="s">
        <v>84</v>
      </c>
      <c r="H287" s="231">
        <v>1</v>
      </c>
      <c r="I287" s="232">
        <v>1845</v>
      </c>
      <c r="J287" s="230">
        <v>46044</v>
      </c>
      <c r="K287" s="227" t="s">
        <v>93</v>
      </c>
      <c r="L287" s="227" t="s">
        <v>94</v>
      </c>
      <c r="M287" s="233">
        <v>0</v>
      </c>
      <c r="N287" s="231"/>
      <c r="O287" s="231"/>
      <c r="P287" s="234">
        <v>642.86</v>
      </c>
    </row>
    <row r="288" spans="1:16" ht="19.5" customHeight="1">
      <c r="A288" s="227" t="s">
        <v>1150</v>
      </c>
      <c r="B288" s="230">
        <v>46049</v>
      </c>
      <c r="C288" s="227" t="s">
        <v>100</v>
      </c>
      <c r="D288" s="227" t="s">
        <v>102</v>
      </c>
      <c r="E288" s="227" t="s">
        <v>53</v>
      </c>
      <c r="F288" s="227" t="s">
        <v>120</v>
      </c>
      <c r="G288" s="227" t="s">
        <v>84</v>
      </c>
      <c r="H288" s="231">
        <v>1</v>
      </c>
      <c r="I288" s="232">
        <v>1845</v>
      </c>
      <c r="J288" s="230">
        <v>46044</v>
      </c>
      <c r="K288" s="227" t="s">
        <v>93</v>
      </c>
      <c r="L288" s="227" t="s">
        <v>94</v>
      </c>
      <c r="M288" s="233">
        <v>0</v>
      </c>
      <c r="N288" s="231"/>
      <c r="O288" s="231"/>
      <c r="P288" s="234">
        <v>6.43</v>
      </c>
    </row>
    <row r="289" spans="1:16" ht="19.5" customHeight="1">
      <c r="A289" s="227" t="s">
        <v>1150</v>
      </c>
      <c r="B289" s="230">
        <v>46049</v>
      </c>
      <c r="C289" s="227" t="s">
        <v>100</v>
      </c>
      <c r="D289" s="227" t="s">
        <v>103</v>
      </c>
      <c r="E289" s="227" t="s">
        <v>53</v>
      </c>
      <c r="F289" s="227" t="s">
        <v>120</v>
      </c>
      <c r="G289" s="227" t="s">
        <v>84</v>
      </c>
      <c r="H289" s="231">
        <v>1</v>
      </c>
      <c r="I289" s="232">
        <v>1845</v>
      </c>
      <c r="J289" s="230">
        <v>46044</v>
      </c>
      <c r="K289" s="227" t="s">
        <v>93</v>
      </c>
      <c r="L289" s="227" t="s">
        <v>94</v>
      </c>
      <c r="M289" s="233">
        <v>0</v>
      </c>
      <c r="N289" s="231"/>
      <c r="O289" s="231"/>
      <c r="P289" s="234">
        <v>1195.71</v>
      </c>
    </row>
    <row r="290" spans="1:16" ht="19.5" customHeight="1">
      <c r="A290" s="227" t="s">
        <v>1150</v>
      </c>
      <c r="B290" s="230">
        <v>46049</v>
      </c>
      <c r="C290" s="227" t="s">
        <v>104</v>
      </c>
      <c r="D290" s="227" t="s">
        <v>105</v>
      </c>
      <c r="E290" s="227" t="s">
        <v>53</v>
      </c>
      <c r="F290" s="227" t="s">
        <v>120</v>
      </c>
      <c r="G290" s="227" t="s">
        <v>84</v>
      </c>
      <c r="H290" s="231">
        <v>1</v>
      </c>
      <c r="I290" s="232">
        <v>1845</v>
      </c>
      <c r="J290" s="230">
        <v>46044</v>
      </c>
      <c r="K290" s="227" t="s">
        <v>93</v>
      </c>
      <c r="L290" s="227" t="s">
        <v>94</v>
      </c>
      <c r="M290" s="233">
        <v>0.43</v>
      </c>
      <c r="N290" s="231"/>
      <c r="O290" s="231"/>
      <c r="P290" s="234">
        <v>-793.35</v>
      </c>
    </row>
    <row r="291" spans="1:16" ht="19.5" customHeight="1">
      <c r="A291" s="227" t="s">
        <v>1150</v>
      </c>
      <c r="B291" s="230">
        <v>46049</v>
      </c>
      <c r="C291" s="227" t="s">
        <v>81</v>
      </c>
      <c r="D291" s="227" t="s">
        <v>95</v>
      </c>
      <c r="E291" s="227" t="s">
        <v>53</v>
      </c>
      <c r="F291" s="227" t="s">
        <v>120</v>
      </c>
      <c r="G291" s="227" t="s">
        <v>84</v>
      </c>
      <c r="H291" s="231">
        <v>1</v>
      </c>
      <c r="I291" s="232">
        <v>1845</v>
      </c>
      <c r="J291" s="230">
        <v>46044</v>
      </c>
      <c r="K291" s="227" t="s">
        <v>93</v>
      </c>
      <c r="L291" s="227" t="s">
        <v>94</v>
      </c>
      <c r="M291" s="233">
        <v>0.43</v>
      </c>
      <c r="N291" s="231"/>
      <c r="O291" s="231"/>
      <c r="P291" s="234">
        <v>-17.57</v>
      </c>
    </row>
    <row r="292" spans="1:16" ht="19.5" customHeight="1">
      <c r="A292" s="227" t="s">
        <v>1151</v>
      </c>
      <c r="B292" s="230">
        <v>46049</v>
      </c>
      <c r="C292" s="227" t="s">
        <v>81</v>
      </c>
      <c r="D292" s="227" t="s">
        <v>82</v>
      </c>
      <c r="E292" s="227" t="s">
        <v>53</v>
      </c>
      <c r="F292" s="227" t="s">
        <v>120</v>
      </c>
      <c r="G292" s="227" t="s">
        <v>84</v>
      </c>
      <c r="H292" s="231">
        <v>1</v>
      </c>
      <c r="I292" s="232">
        <v>0</v>
      </c>
      <c r="J292" s="230">
        <v>46049</v>
      </c>
      <c r="K292" s="227" t="s">
        <v>85</v>
      </c>
      <c r="L292" s="227" t="s">
        <v>85</v>
      </c>
      <c r="M292" s="233">
        <v>0</v>
      </c>
      <c r="N292" s="231"/>
      <c r="O292" s="231"/>
      <c r="P292" s="234">
        <v>-11.94</v>
      </c>
    </row>
    <row r="293" spans="1:16" ht="19.5" customHeight="1">
      <c r="A293" s="227" t="s">
        <v>1152</v>
      </c>
      <c r="B293" s="230">
        <v>46049</v>
      </c>
      <c r="C293" s="227" t="s">
        <v>81</v>
      </c>
      <c r="D293" s="227" t="s">
        <v>82</v>
      </c>
      <c r="E293" s="227" t="s">
        <v>53</v>
      </c>
      <c r="F293" s="227" t="s">
        <v>120</v>
      </c>
      <c r="G293" s="227" t="s">
        <v>84</v>
      </c>
      <c r="H293" s="231">
        <v>1</v>
      </c>
      <c r="I293" s="232">
        <v>0</v>
      </c>
      <c r="J293" s="230">
        <v>46049</v>
      </c>
      <c r="K293" s="227" t="s">
        <v>85</v>
      </c>
      <c r="L293" s="227" t="s">
        <v>85</v>
      </c>
      <c r="M293" s="233">
        <v>0</v>
      </c>
      <c r="N293" s="231"/>
      <c r="O293" s="231"/>
      <c r="P293" s="234">
        <v>-4.5999999999999996</v>
      </c>
    </row>
    <row r="294" spans="1:16" ht="19.5" customHeight="1">
      <c r="A294" s="227" t="s">
        <v>1153</v>
      </c>
      <c r="B294" s="230">
        <v>46049</v>
      </c>
      <c r="C294" s="227" t="s">
        <v>81</v>
      </c>
      <c r="D294" s="227" t="s">
        <v>82</v>
      </c>
      <c r="E294" s="227" t="s">
        <v>52</v>
      </c>
      <c r="F294" s="227" t="s">
        <v>90</v>
      </c>
      <c r="G294" s="227" t="s">
        <v>84</v>
      </c>
      <c r="H294" s="231">
        <v>1</v>
      </c>
      <c r="I294" s="232">
        <v>0</v>
      </c>
      <c r="J294" s="230">
        <v>46049</v>
      </c>
      <c r="K294" s="227" t="s">
        <v>85</v>
      </c>
      <c r="L294" s="227" t="s">
        <v>85</v>
      </c>
      <c r="M294" s="233">
        <v>0</v>
      </c>
      <c r="N294" s="231"/>
      <c r="O294" s="231"/>
      <c r="P294" s="234">
        <v>-12.23</v>
      </c>
    </row>
    <row r="295" spans="1:16" ht="19.5" customHeight="1">
      <c r="A295" s="227" t="s">
        <v>1154</v>
      </c>
      <c r="B295" s="230">
        <v>46049</v>
      </c>
      <c r="C295" s="227" t="s">
        <v>92</v>
      </c>
      <c r="D295" s="227" t="s">
        <v>24</v>
      </c>
      <c r="E295" s="227" t="s">
        <v>38</v>
      </c>
      <c r="F295" s="227" t="s">
        <v>87</v>
      </c>
      <c r="G295" s="227" t="s">
        <v>84</v>
      </c>
      <c r="H295" s="231">
        <v>1</v>
      </c>
      <c r="I295" s="232">
        <v>1750</v>
      </c>
      <c r="J295" s="230">
        <v>46048</v>
      </c>
      <c r="K295" s="227" t="s">
        <v>93</v>
      </c>
      <c r="L295" s="227" t="s">
        <v>94</v>
      </c>
      <c r="M295" s="233">
        <v>0.43</v>
      </c>
      <c r="N295" s="231"/>
      <c r="O295" s="231">
        <v>44</v>
      </c>
      <c r="P295" s="234">
        <v>-131.37</v>
      </c>
    </row>
    <row r="296" spans="1:16" ht="19.5" customHeight="1">
      <c r="A296" s="227" t="s">
        <v>1154</v>
      </c>
      <c r="B296" s="230">
        <v>46049</v>
      </c>
      <c r="C296" s="227" t="s">
        <v>100</v>
      </c>
      <c r="D296" s="227" t="s">
        <v>101</v>
      </c>
      <c r="E296" s="227" t="s">
        <v>38</v>
      </c>
      <c r="F296" s="227" t="s">
        <v>87</v>
      </c>
      <c r="G296" s="227" t="s">
        <v>84</v>
      </c>
      <c r="H296" s="231">
        <v>1</v>
      </c>
      <c r="I296" s="232">
        <v>1750</v>
      </c>
      <c r="J296" s="230">
        <v>46048</v>
      </c>
      <c r="K296" s="227" t="s">
        <v>93</v>
      </c>
      <c r="L296" s="227" t="s">
        <v>94</v>
      </c>
      <c r="M296" s="233">
        <v>0</v>
      </c>
      <c r="N296" s="231"/>
      <c r="O296" s="231"/>
      <c r="P296" s="234">
        <v>1020</v>
      </c>
    </row>
    <row r="297" spans="1:16" ht="19.5" customHeight="1">
      <c r="A297" s="227" t="s">
        <v>1154</v>
      </c>
      <c r="B297" s="230">
        <v>46049</v>
      </c>
      <c r="C297" s="227" t="s">
        <v>100</v>
      </c>
      <c r="D297" s="227" t="s">
        <v>102</v>
      </c>
      <c r="E297" s="227" t="s">
        <v>38</v>
      </c>
      <c r="F297" s="227" t="s">
        <v>87</v>
      </c>
      <c r="G297" s="227" t="s">
        <v>84</v>
      </c>
      <c r="H297" s="231">
        <v>1</v>
      </c>
      <c r="I297" s="232">
        <v>1750</v>
      </c>
      <c r="J297" s="230">
        <v>46048</v>
      </c>
      <c r="K297" s="227" t="s">
        <v>93</v>
      </c>
      <c r="L297" s="227" t="s">
        <v>94</v>
      </c>
      <c r="M297" s="233">
        <v>0</v>
      </c>
      <c r="N297" s="231"/>
      <c r="O297" s="231"/>
      <c r="P297" s="234">
        <v>10.199999999999999</v>
      </c>
    </row>
    <row r="298" spans="1:16" ht="19.5" customHeight="1">
      <c r="A298" s="227" t="s">
        <v>1154</v>
      </c>
      <c r="B298" s="230">
        <v>46049</v>
      </c>
      <c r="C298" s="227" t="s">
        <v>100</v>
      </c>
      <c r="D298" s="227" t="s">
        <v>103</v>
      </c>
      <c r="E298" s="227" t="s">
        <v>38</v>
      </c>
      <c r="F298" s="227" t="s">
        <v>87</v>
      </c>
      <c r="G298" s="227" t="s">
        <v>84</v>
      </c>
      <c r="H298" s="231">
        <v>1</v>
      </c>
      <c r="I298" s="232">
        <v>1750</v>
      </c>
      <c r="J298" s="230">
        <v>46048</v>
      </c>
      <c r="K298" s="227" t="s">
        <v>93</v>
      </c>
      <c r="L298" s="227" t="s">
        <v>94</v>
      </c>
      <c r="M298" s="233">
        <v>0</v>
      </c>
      <c r="N298" s="231"/>
      <c r="O298" s="231"/>
      <c r="P298" s="234">
        <v>719.8</v>
      </c>
    </row>
    <row r="299" spans="1:16" ht="19.5" customHeight="1">
      <c r="A299" s="227" t="s">
        <v>1154</v>
      </c>
      <c r="B299" s="230">
        <v>46049</v>
      </c>
      <c r="C299" s="227" t="s">
        <v>104</v>
      </c>
      <c r="D299" s="227" t="s">
        <v>105</v>
      </c>
      <c r="E299" s="227" t="s">
        <v>38</v>
      </c>
      <c r="F299" s="227" t="s">
        <v>87</v>
      </c>
      <c r="G299" s="227" t="s">
        <v>84</v>
      </c>
      <c r="H299" s="231">
        <v>1</v>
      </c>
      <c r="I299" s="232">
        <v>1750</v>
      </c>
      <c r="J299" s="230">
        <v>46048</v>
      </c>
      <c r="K299" s="227" t="s">
        <v>93</v>
      </c>
      <c r="L299" s="227" t="s">
        <v>94</v>
      </c>
      <c r="M299" s="233">
        <v>0.43</v>
      </c>
      <c r="N299" s="231"/>
      <c r="O299" s="231"/>
      <c r="P299" s="234">
        <v>-752.5</v>
      </c>
    </row>
    <row r="300" spans="1:16" ht="19.5" customHeight="1">
      <c r="A300" s="227" t="s">
        <v>1154</v>
      </c>
      <c r="B300" s="230">
        <v>46049</v>
      </c>
      <c r="C300" s="227" t="s">
        <v>81</v>
      </c>
      <c r="D300" s="227" t="s">
        <v>95</v>
      </c>
      <c r="E300" s="227" t="s">
        <v>38</v>
      </c>
      <c r="F300" s="227" t="s">
        <v>87</v>
      </c>
      <c r="G300" s="227" t="s">
        <v>84</v>
      </c>
      <c r="H300" s="231">
        <v>1</v>
      </c>
      <c r="I300" s="232">
        <v>1750</v>
      </c>
      <c r="J300" s="230">
        <v>46048</v>
      </c>
      <c r="K300" s="227" t="s">
        <v>93</v>
      </c>
      <c r="L300" s="227" t="s">
        <v>94</v>
      </c>
      <c r="M300" s="233">
        <v>0.43</v>
      </c>
      <c r="N300" s="231"/>
      <c r="O300" s="231"/>
      <c r="P300" s="234">
        <v>-13.36</v>
      </c>
    </row>
    <row r="301" spans="1:16" ht="19.5" customHeight="1">
      <c r="A301" s="227" t="s">
        <v>1155</v>
      </c>
      <c r="B301" s="230">
        <v>46049</v>
      </c>
      <c r="C301" s="227" t="s">
        <v>92</v>
      </c>
      <c r="D301" s="227" t="s">
        <v>24</v>
      </c>
      <c r="E301" s="227" t="s">
        <v>52</v>
      </c>
      <c r="F301" s="227" t="s">
        <v>90</v>
      </c>
      <c r="G301" s="227" t="s">
        <v>84</v>
      </c>
      <c r="H301" s="231">
        <v>1</v>
      </c>
      <c r="I301" s="232">
        <v>1800</v>
      </c>
      <c r="J301" s="230">
        <v>46047</v>
      </c>
      <c r="K301" s="227" t="s">
        <v>93</v>
      </c>
      <c r="L301" s="227" t="s">
        <v>94</v>
      </c>
      <c r="M301" s="233">
        <v>0.43</v>
      </c>
      <c r="N301" s="231"/>
      <c r="O301" s="231">
        <v>41</v>
      </c>
      <c r="P301" s="234">
        <v>-134.84</v>
      </c>
    </row>
    <row r="302" spans="1:16" ht="19.5" customHeight="1">
      <c r="A302" s="227" t="s">
        <v>1155</v>
      </c>
      <c r="B302" s="230">
        <v>46049</v>
      </c>
      <c r="C302" s="227" t="s">
        <v>100</v>
      </c>
      <c r="D302" s="227" t="s">
        <v>101</v>
      </c>
      <c r="E302" s="227" t="s">
        <v>52</v>
      </c>
      <c r="F302" s="227" t="s">
        <v>90</v>
      </c>
      <c r="G302" s="227" t="s">
        <v>84</v>
      </c>
      <c r="H302" s="231">
        <v>1</v>
      </c>
      <c r="I302" s="232">
        <v>1800</v>
      </c>
      <c r="J302" s="230">
        <v>46047</v>
      </c>
      <c r="K302" s="227" t="s">
        <v>93</v>
      </c>
      <c r="L302" s="227" t="s">
        <v>94</v>
      </c>
      <c r="M302" s="233">
        <v>0</v>
      </c>
      <c r="N302" s="231"/>
      <c r="O302" s="231"/>
      <c r="P302" s="234">
        <v>651.14</v>
      </c>
    </row>
    <row r="303" spans="1:16" ht="19.5" customHeight="1">
      <c r="A303" s="227" t="s">
        <v>1155</v>
      </c>
      <c r="B303" s="230">
        <v>46049</v>
      </c>
      <c r="C303" s="227" t="s">
        <v>100</v>
      </c>
      <c r="D303" s="227" t="s">
        <v>102</v>
      </c>
      <c r="E303" s="227" t="s">
        <v>52</v>
      </c>
      <c r="F303" s="227" t="s">
        <v>90</v>
      </c>
      <c r="G303" s="227" t="s">
        <v>84</v>
      </c>
      <c r="H303" s="231">
        <v>1</v>
      </c>
      <c r="I303" s="232">
        <v>1800</v>
      </c>
      <c r="J303" s="230">
        <v>46047</v>
      </c>
      <c r="K303" s="227" t="s">
        <v>93</v>
      </c>
      <c r="L303" s="227" t="s">
        <v>94</v>
      </c>
      <c r="M303" s="233">
        <v>0</v>
      </c>
      <c r="N303" s="231"/>
      <c r="O303" s="231"/>
      <c r="P303" s="234">
        <v>6.51</v>
      </c>
    </row>
    <row r="304" spans="1:16" ht="19.5" customHeight="1">
      <c r="A304" s="227" t="s">
        <v>1155</v>
      </c>
      <c r="B304" s="230">
        <v>46049</v>
      </c>
      <c r="C304" s="227" t="s">
        <v>100</v>
      </c>
      <c r="D304" s="227" t="s">
        <v>103</v>
      </c>
      <c r="E304" s="227" t="s">
        <v>52</v>
      </c>
      <c r="F304" s="227" t="s">
        <v>90</v>
      </c>
      <c r="G304" s="227" t="s">
        <v>84</v>
      </c>
      <c r="H304" s="231">
        <v>1</v>
      </c>
      <c r="I304" s="232">
        <v>1800</v>
      </c>
      <c r="J304" s="230">
        <v>46047</v>
      </c>
      <c r="K304" s="227" t="s">
        <v>93</v>
      </c>
      <c r="L304" s="227" t="s">
        <v>94</v>
      </c>
      <c r="M304" s="233">
        <v>0</v>
      </c>
      <c r="N304" s="231"/>
      <c r="O304" s="231"/>
      <c r="P304" s="234">
        <v>1142.3499999999999</v>
      </c>
    </row>
    <row r="305" spans="1:16" ht="19.5" customHeight="1">
      <c r="A305" s="227" t="s">
        <v>1155</v>
      </c>
      <c r="B305" s="230">
        <v>46049</v>
      </c>
      <c r="C305" s="227" t="s">
        <v>104</v>
      </c>
      <c r="D305" s="227" t="s">
        <v>105</v>
      </c>
      <c r="E305" s="227" t="s">
        <v>52</v>
      </c>
      <c r="F305" s="227" t="s">
        <v>90</v>
      </c>
      <c r="G305" s="227" t="s">
        <v>84</v>
      </c>
      <c r="H305" s="231">
        <v>1</v>
      </c>
      <c r="I305" s="232">
        <v>1800</v>
      </c>
      <c r="J305" s="230">
        <v>46047</v>
      </c>
      <c r="K305" s="227" t="s">
        <v>93</v>
      </c>
      <c r="L305" s="227" t="s">
        <v>94</v>
      </c>
      <c r="M305" s="233">
        <v>0.43</v>
      </c>
      <c r="N305" s="231"/>
      <c r="O305" s="231"/>
      <c r="P305" s="234">
        <v>-774</v>
      </c>
    </row>
    <row r="306" spans="1:16" ht="19.5" customHeight="1">
      <c r="A306" s="227" t="s">
        <v>1155</v>
      </c>
      <c r="B306" s="230">
        <v>46049</v>
      </c>
      <c r="C306" s="227" t="s">
        <v>81</v>
      </c>
      <c r="D306" s="227" t="s">
        <v>95</v>
      </c>
      <c r="E306" s="227" t="s">
        <v>52</v>
      </c>
      <c r="F306" s="227" t="s">
        <v>90</v>
      </c>
      <c r="G306" s="227" t="s">
        <v>84</v>
      </c>
      <c r="H306" s="231">
        <v>1</v>
      </c>
      <c r="I306" s="232">
        <v>1800</v>
      </c>
      <c r="J306" s="230">
        <v>46047</v>
      </c>
      <c r="K306" s="227" t="s">
        <v>93</v>
      </c>
      <c r="L306" s="227" t="s">
        <v>94</v>
      </c>
      <c r="M306" s="233">
        <v>0.43</v>
      </c>
      <c r="N306" s="231"/>
      <c r="O306" s="231"/>
      <c r="P306" s="234">
        <v>-9.23</v>
      </c>
    </row>
    <row r="307" spans="1:16" ht="19.5" customHeight="1">
      <c r="A307" s="227" t="s">
        <v>1156</v>
      </c>
      <c r="B307" s="230">
        <v>46049</v>
      </c>
      <c r="C307" s="227" t="s">
        <v>92</v>
      </c>
      <c r="D307" s="227" t="s">
        <v>24</v>
      </c>
      <c r="E307" s="227" t="s">
        <v>39</v>
      </c>
      <c r="F307" s="227" t="s">
        <v>117</v>
      </c>
      <c r="G307" s="227" t="s">
        <v>84</v>
      </c>
      <c r="H307" s="231">
        <v>1</v>
      </c>
      <c r="I307" s="232">
        <v>1750</v>
      </c>
      <c r="J307" s="230">
        <v>46047</v>
      </c>
      <c r="K307" s="227" t="s">
        <v>93</v>
      </c>
      <c r="L307" s="227" t="s">
        <v>94</v>
      </c>
      <c r="M307" s="233">
        <v>0.43</v>
      </c>
      <c r="N307" s="231"/>
      <c r="O307" s="231">
        <v>41</v>
      </c>
      <c r="P307" s="234">
        <v>-119.28</v>
      </c>
    </row>
    <row r="308" spans="1:16" ht="19.5" customHeight="1">
      <c r="A308" s="227" t="s">
        <v>1156</v>
      </c>
      <c r="B308" s="230">
        <v>46049</v>
      </c>
      <c r="C308" s="227" t="s">
        <v>100</v>
      </c>
      <c r="D308" s="227" t="s">
        <v>101</v>
      </c>
      <c r="E308" s="227" t="s">
        <v>39</v>
      </c>
      <c r="F308" s="227" t="s">
        <v>117</v>
      </c>
      <c r="G308" s="227" t="s">
        <v>84</v>
      </c>
      <c r="H308" s="231">
        <v>1</v>
      </c>
      <c r="I308" s="232">
        <v>1750</v>
      </c>
      <c r="J308" s="230">
        <v>46047</v>
      </c>
      <c r="K308" s="227" t="s">
        <v>93</v>
      </c>
      <c r="L308" s="227" t="s">
        <v>94</v>
      </c>
      <c r="M308" s="233">
        <v>0</v>
      </c>
      <c r="N308" s="231"/>
      <c r="O308" s="231"/>
      <c r="P308" s="234">
        <v>785.24</v>
      </c>
    </row>
    <row r="309" spans="1:16" ht="19.5" customHeight="1">
      <c r="A309" s="227" t="s">
        <v>1156</v>
      </c>
      <c r="B309" s="230">
        <v>46049</v>
      </c>
      <c r="C309" s="227" t="s">
        <v>100</v>
      </c>
      <c r="D309" s="227" t="s">
        <v>102</v>
      </c>
      <c r="E309" s="227" t="s">
        <v>39</v>
      </c>
      <c r="F309" s="227" t="s">
        <v>117</v>
      </c>
      <c r="G309" s="227" t="s">
        <v>84</v>
      </c>
      <c r="H309" s="231">
        <v>1</v>
      </c>
      <c r="I309" s="232">
        <v>1750</v>
      </c>
      <c r="J309" s="230">
        <v>46047</v>
      </c>
      <c r="K309" s="227" t="s">
        <v>93</v>
      </c>
      <c r="L309" s="227" t="s">
        <v>94</v>
      </c>
      <c r="M309" s="233">
        <v>0</v>
      </c>
      <c r="N309" s="231"/>
      <c r="O309" s="231"/>
      <c r="P309" s="234">
        <v>0</v>
      </c>
    </row>
    <row r="310" spans="1:16" ht="19.5" customHeight="1">
      <c r="A310" s="227" t="s">
        <v>1156</v>
      </c>
      <c r="B310" s="230">
        <v>46049</v>
      </c>
      <c r="C310" s="227" t="s">
        <v>100</v>
      </c>
      <c r="D310" s="227" t="s">
        <v>103</v>
      </c>
      <c r="E310" s="227" t="s">
        <v>39</v>
      </c>
      <c r="F310" s="227" t="s">
        <v>117</v>
      </c>
      <c r="G310" s="227" t="s">
        <v>84</v>
      </c>
      <c r="H310" s="231">
        <v>1</v>
      </c>
      <c r="I310" s="232">
        <v>1750</v>
      </c>
      <c r="J310" s="230">
        <v>46047</v>
      </c>
      <c r="K310" s="227" t="s">
        <v>93</v>
      </c>
      <c r="L310" s="227" t="s">
        <v>94</v>
      </c>
      <c r="M310" s="233">
        <v>0</v>
      </c>
      <c r="N310" s="231"/>
      <c r="O310" s="231"/>
      <c r="P310" s="234">
        <v>964.76</v>
      </c>
    </row>
    <row r="311" spans="1:16" ht="19.5" customHeight="1">
      <c r="A311" s="227" t="s">
        <v>1156</v>
      </c>
      <c r="B311" s="230">
        <v>46049</v>
      </c>
      <c r="C311" s="227" t="s">
        <v>104</v>
      </c>
      <c r="D311" s="227" t="s">
        <v>105</v>
      </c>
      <c r="E311" s="227" t="s">
        <v>39</v>
      </c>
      <c r="F311" s="227" t="s">
        <v>117</v>
      </c>
      <c r="G311" s="227" t="s">
        <v>84</v>
      </c>
      <c r="H311" s="231">
        <v>1</v>
      </c>
      <c r="I311" s="232">
        <v>1750</v>
      </c>
      <c r="J311" s="230">
        <v>46047</v>
      </c>
      <c r="K311" s="227" t="s">
        <v>93</v>
      </c>
      <c r="L311" s="227" t="s">
        <v>94</v>
      </c>
      <c r="M311" s="233">
        <v>0.43</v>
      </c>
      <c r="N311" s="231"/>
      <c r="O311" s="231"/>
      <c r="P311" s="234">
        <v>-752.5</v>
      </c>
    </row>
    <row r="312" spans="1:16" ht="19.5" customHeight="1">
      <c r="A312" s="227" t="s">
        <v>1156</v>
      </c>
      <c r="B312" s="230">
        <v>46049</v>
      </c>
      <c r="C312" s="227" t="s">
        <v>81</v>
      </c>
      <c r="D312" s="227" t="s">
        <v>95</v>
      </c>
      <c r="E312" s="227" t="s">
        <v>39</v>
      </c>
      <c r="F312" s="227" t="s">
        <v>117</v>
      </c>
      <c r="G312" s="227" t="s">
        <v>84</v>
      </c>
      <c r="H312" s="231">
        <v>1</v>
      </c>
      <c r="I312" s="232">
        <v>1750</v>
      </c>
      <c r="J312" s="230">
        <v>46047</v>
      </c>
      <c r="K312" s="227" t="s">
        <v>93</v>
      </c>
      <c r="L312" s="227" t="s">
        <v>94</v>
      </c>
      <c r="M312" s="233">
        <v>0.43</v>
      </c>
      <c r="N312" s="231"/>
      <c r="O312" s="231"/>
      <c r="P312" s="234">
        <v>-10.01</v>
      </c>
    </row>
    <row r="313" spans="1:16" ht="19.5" customHeight="1">
      <c r="A313" s="227" t="s">
        <v>1154</v>
      </c>
      <c r="B313" s="230">
        <v>46049</v>
      </c>
      <c r="C313" s="227" t="s">
        <v>81</v>
      </c>
      <c r="D313" s="227" t="s">
        <v>82</v>
      </c>
      <c r="E313" s="227" t="s">
        <v>38</v>
      </c>
      <c r="F313" s="227" t="s">
        <v>87</v>
      </c>
      <c r="G313" s="227" t="s">
        <v>84</v>
      </c>
      <c r="H313" s="231">
        <v>1</v>
      </c>
      <c r="I313" s="232">
        <v>0</v>
      </c>
      <c r="J313" s="230">
        <v>46048</v>
      </c>
      <c r="K313" s="227" t="s">
        <v>85</v>
      </c>
      <c r="L313" s="227" t="s">
        <v>85</v>
      </c>
      <c r="M313" s="233">
        <v>0</v>
      </c>
      <c r="N313" s="231"/>
      <c r="O313" s="231"/>
      <c r="P313" s="234">
        <v>-19.38</v>
      </c>
    </row>
    <row r="314" spans="1:16" ht="19.5" customHeight="1">
      <c r="A314" s="227" t="s">
        <v>1155</v>
      </c>
      <c r="B314" s="230">
        <v>46049</v>
      </c>
      <c r="C314" s="227" t="s">
        <v>81</v>
      </c>
      <c r="D314" s="227" t="s">
        <v>82</v>
      </c>
      <c r="E314" s="227" t="s">
        <v>52</v>
      </c>
      <c r="F314" s="227" t="s">
        <v>90</v>
      </c>
      <c r="G314" s="227" t="s">
        <v>84</v>
      </c>
      <c r="H314" s="231">
        <v>1</v>
      </c>
      <c r="I314" s="232">
        <v>0</v>
      </c>
      <c r="J314" s="230">
        <v>46047</v>
      </c>
      <c r="K314" s="227" t="s">
        <v>85</v>
      </c>
      <c r="L314" s="227" t="s">
        <v>85</v>
      </c>
      <c r="M314" s="233">
        <v>0</v>
      </c>
      <c r="N314" s="231"/>
      <c r="O314" s="231"/>
      <c r="P314" s="234">
        <v>-12.37</v>
      </c>
    </row>
    <row r="315" spans="1:16" ht="19.5" customHeight="1">
      <c r="A315" s="227" t="s">
        <v>1157</v>
      </c>
      <c r="B315" s="230">
        <v>46049</v>
      </c>
      <c r="C315" s="227" t="s">
        <v>92</v>
      </c>
      <c r="D315" s="227" t="s">
        <v>24</v>
      </c>
      <c r="E315" s="227" t="s">
        <v>42</v>
      </c>
      <c r="F315" s="227" t="s">
        <v>89</v>
      </c>
      <c r="G315" s="227" t="s">
        <v>84</v>
      </c>
      <c r="H315" s="231">
        <v>1</v>
      </c>
      <c r="I315" s="232">
        <v>0</v>
      </c>
      <c r="J315" s="230">
        <v>46045</v>
      </c>
      <c r="K315" s="227" t="s">
        <v>93</v>
      </c>
      <c r="L315" s="227" t="s">
        <v>94</v>
      </c>
      <c r="M315" s="233">
        <v>0</v>
      </c>
      <c r="N315" s="231"/>
      <c r="O315" s="231">
        <v>40</v>
      </c>
      <c r="P315" s="234">
        <v>-46.77</v>
      </c>
    </row>
    <row r="316" spans="1:16" ht="19.5" customHeight="1">
      <c r="A316" s="227" t="s">
        <v>1157</v>
      </c>
      <c r="B316" s="230">
        <v>46049</v>
      </c>
      <c r="C316" s="227" t="s">
        <v>81</v>
      </c>
      <c r="D316" s="227" t="s">
        <v>95</v>
      </c>
      <c r="E316" s="227" t="s">
        <v>42</v>
      </c>
      <c r="F316" s="227" t="s">
        <v>89</v>
      </c>
      <c r="G316" s="227" t="s">
        <v>84</v>
      </c>
      <c r="H316" s="231">
        <v>1</v>
      </c>
      <c r="I316" s="232">
        <v>0</v>
      </c>
      <c r="J316" s="230">
        <v>46045</v>
      </c>
      <c r="K316" s="227" t="s">
        <v>93</v>
      </c>
      <c r="L316" s="227" t="s">
        <v>94</v>
      </c>
      <c r="M316" s="233">
        <v>0</v>
      </c>
      <c r="N316" s="231"/>
      <c r="O316" s="231"/>
      <c r="P316" s="234">
        <v>-8.5</v>
      </c>
    </row>
    <row r="317" spans="1:16" ht="19.5" customHeight="1">
      <c r="A317" s="227" t="s">
        <v>1157</v>
      </c>
      <c r="B317" s="230">
        <v>46049</v>
      </c>
      <c r="C317" s="227" t="s">
        <v>92</v>
      </c>
      <c r="D317" s="227" t="s">
        <v>96</v>
      </c>
      <c r="E317" s="227" t="s">
        <v>42</v>
      </c>
      <c r="F317" s="227" t="s">
        <v>89</v>
      </c>
      <c r="G317" s="227" t="s">
        <v>84</v>
      </c>
      <c r="H317" s="231">
        <v>1</v>
      </c>
      <c r="I317" s="232">
        <v>0</v>
      </c>
      <c r="J317" s="230">
        <v>46045</v>
      </c>
      <c r="K317" s="227" t="s">
        <v>93</v>
      </c>
      <c r="L317" s="227" t="s">
        <v>94</v>
      </c>
      <c r="M317" s="233">
        <v>0</v>
      </c>
      <c r="N317" s="231"/>
      <c r="O317" s="231"/>
      <c r="P317" s="234">
        <v>0</v>
      </c>
    </row>
    <row r="318" spans="1:16" ht="19.5" customHeight="1">
      <c r="A318" s="227" t="s">
        <v>1157</v>
      </c>
      <c r="B318" s="230">
        <v>46049</v>
      </c>
      <c r="C318" s="227" t="s">
        <v>92</v>
      </c>
      <c r="D318" s="227" t="s">
        <v>97</v>
      </c>
      <c r="E318" s="227" t="s">
        <v>42</v>
      </c>
      <c r="F318" s="227" t="s">
        <v>89</v>
      </c>
      <c r="G318" s="227" t="s">
        <v>84</v>
      </c>
      <c r="H318" s="231">
        <v>1</v>
      </c>
      <c r="I318" s="232">
        <v>0</v>
      </c>
      <c r="J318" s="230">
        <v>46045</v>
      </c>
      <c r="K318" s="227" t="s">
        <v>93</v>
      </c>
      <c r="L318" s="227" t="s">
        <v>94</v>
      </c>
      <c r="M318" s="233">
        <v>0</v>
      </c>
      <c r="N318" s="231"/>
      <c r="O318" s="231"/>
      <c r="P318" s="234">
        <v>-46.77</v>
      </c>
    </row>
    <row r="319" spans="1:16" ht="19.5" customHeight="1">
      <c r="A319" s="227" t="s">
        <v>1157</v>
      </c>
      <c r="B319" s="230">
        <v>46049</v>
      </c>
      <c r="C319" s="227" t="s">
        <v>81</v>
      </c>
      <c r="D319" s="227" t="s">
        <v>98</v>
      </c>
      <c r="E319" s="227" t="s">
        <v>42</v>
      </c>
      <c r="F319" s="227" t="s">
        <v>89</v>
      </c>
      <c r="G319" s="227" t="s">
        <v>84</v>
      </c>
      <c r="H319" s="231">
        <v>1</v>
      </c>
      <c r="I319" s="232">
        <v>0</v>
      </c>
      <c r="J319" s="230">
        <v>46045</v>
      </c>
      <c r="K319" s="227" t="s">
        <v>93</v>
      </c>
      <c r="L319" s="227" t="s">
        <v>94</v>
      </c>
      <c r="M319" s="233">
        <v>0</v>
      </c>
      <c r="N319" s="231"/>
      <c r="O319" s="231"/>
      <c r="P319" s="234">
        <v>-15</v>
      </c>
    </row>
    <row r="320" spans="1:16" ht="19.5" customHeight="1">
      <c r="A320" s="227" t="s">
        <v>1158</v>
      </c>
      <c r="B320" s="230">
        <v>46049</v>
      </c>
      <c r="C320" s="227" t="s">
        <v>92</v>
      </c>
      <c r="D320" s="227" t="s">
        <v>24</v>
      </c>
      <c r="E320" s="227" t="s">
        <v>41</v>
      </c>
      <c r="F320" s="227" t="s">
        <v>83</v>
      </c>
      <c r="G320" s="227" t="s">
        <v>84</v>
      </c>
      <c r="H320" s="231">
        <v>1</v>
      </c>
      <c r="I320" s="232">
        <v>1750</v>
      </c>
      <c r="J320" s="230">
        <v>46047</v>
      </c>
      <c r="K320" s="227" t="s">
        <v>93</v>
      </c>
      <c r="L320" s="227" t="s">
        <v>94</v>
      </c>
      <c r="M320" s="233">
        <v>0.43</v>
      </c>
      <c r="N320" s="231"/>
      <c r="O320" s="231">
        <v>41</v>
      </c>
      <c r="P320" s="234">
        <v>-119.28</v>
      </c>
    </row>
    <row r="321" spans="1:16" ht="19.5" customHeight="1">
      <c r="A321" s="227" t="s">
        <v>1158</v>
      </c>
      <c r="B321" s="230">
        <v>46049</v>
      </c>
      <c r="C321" s="227" t="s">
        <v>100</v>
      </c>
      <c r="D321" s="227" t="s">
        <v>101</v>
      </c>
      <c r="E321" s="227" t="s">
        <v>41</v>
      </c>
      <c r="F321" s="227" t="s">
        <v>83</v>
      </c>
      <c r="G321" s="227" t="s">
        <v>84</v>
      </c>
      <c r="H321" s="231">
        <v>1</v>
      </c>
      <c r="I321" s="232">
        <v>1750</v>
      </c>
      <c r="J321" s="230">
        <v>46047</v>
      </c>
      <c r="K321" s="227" t="s">
        <v>93</v>
      </c>
      <c r="L321" s="227" t="s">
        <v>94</v>
      </c>
      <c r="M321" s="233">
        <v>0</v>
      </c>
      <c r="N321" s="231"/>
      <c r="O321" s="231"/>
      <c r="P321" s="234">
        <v>633.87</v>
      </c>
    </row>
    <row r="322" spans="1:16" ht="19.5" customHeight="1">
      <c r="A322" s="227" t="s">
        <v>1158</v>
      </c>
      <c r="B322" s="230">
        <v>46049</v>
      </c>
      <c r="C322" s="227" t="s">
        <v>100</v>
      </c>
      <c r="D322" s="227" t="s">
        <v>102</v>
      </c>
      <c r="E322" s="227" t="s">
        <v>41</v>
      </c>
      <c r="F322" s="227" t="s">
        <v>83</v>
      </c>
      <c r="G322" s="227" t="s">
        <v>84</v>
      </c>
      <c r="H322" s="231">
        <v>1</v>
      </c>
      <c r="I322" s="232">
        <v>1750</v>
      </c>
      <c r="J322" s="230">
        <v>46047</v>
      </c>
      <c r="K322" s="227" t="s">
        <v>93</v>
      </c>
      <c r="L322" s="227" t="s">
        <v>94</v>
      </c>
      <c r="M322" s="233">
        <v>0</v>
      </c>
      <c r="N322" s="231"/>
      <c r="O322" s="231"/>
      <c r="P322" s="234">
        <v>6.34</v>
      </c>
    </row>
    <row r="323" spans="1:16" ht="19.5" customHeight="1">
      <c r="A323" s="227" t="s">
        <v>1158</v>
      </c>
      <c r="B323" s="230">
        <v>46049</v>
      </c>
      <c r="C323" s="227" t="s">
        <v>100</v>
      </c>
      <c r="D323" s="227" t="s">
        <v>103</v>
      </c>
      <c r="E323" s="227" t="s">
        <v>41</v>
      </c>
      <c r="F323" s="227" t="s">
        <v>83</v>
      </c>
      <c r="G323" s="227" t="s">
        <v>84</v>
      </c>
      <c r="H323" s="231">
        <v>1</v>
      </c>
      <c r="I323" s="232">
        <v>1750</v>
      </c>
      <c r="J323" s="230">
        <v>46047</v>
      </c>
      <c r="K323" s="227" t="s">
        <v>93</v>
      </c>
      <c r="L323" s="227" t="s">
        <v>94</v>
      </c>
      <c r="M323" s="233">
        <v>0</v>
      </c>
      <c r="N323" s="231"/>
      <c r="O323" s="231"/>
      <c r="P323" s="234">
        <v>1109.79</v>
      </c>
    </row>
    <row r="324" spans="1:16" ht="19.5" customHeight="1">
      <c r="A324" s="227" t="s">
        <v>1158</v>
      </c>
      <c r="B324" s="230">
        <v>46049</v>
      </c>
      <c r="C324" s="227" t="s">
        <v>104</v>
      </c>
      <c r="D324" s="227" t="s">
        <v>105</v>
      </c>
      <c r="E324" s="227" t="s">
        <v>41</v>
      </c>
      <c r="F324" s="227" t="s">
        <v>83</v>
      </c>
      <c r="G324" s="227" t="s">
        <v>84</v>
      </c>
      <c r="H324" s="231">
        <v>1</v>
      </c>
      <c r="I324" s="232">
        <v>1750</v>
      </c>
      <c r="J324" s="230">
        <v>46047</v>
      </c>
      <c r="K324" s="227" t="s">
        <v>93</v>
      </c>
      <c r="L324" s="227" t="s">
        <v>94</v>
      </c>
      <c r="M324" s="233">
        <v>0.43</v>
      </c>
      <c r="N324" s="231"/>
      <c r="O324" s="231"/>
      <c r="P324" s="234">
        <v>-752.5</v>
      </c>
    </row>
    <row r="325" spans="1:16" ht="19.5" customHeight="1">
      <c r="A325" s="227" t="s">
        <v>1158</v>
      </c>
      <c r="B325" s="230">
        <v>46049</v>
      </c>
      <c r="C325" s="227" t="s">
        <v>81</v>
      </c>
      <c r="D325" s="227" t="s">
        <v>95</v>
      </c>
      <c r="E325" s="227" t="s">
        <v>41</v>
      </c>
      <c r="F325" s="227" t="s">
        <v>83</v>
      </c>
      <c r="G325" s="227" t="s">
        <v>84</v>
      </c>
      <c r="H325" s="231">
        <v>1</v>
      </c>
      <c r="I325" s="232">
        <v>1750</v>
      </c>
      <c r="J325" s="230">
        <v>46047</v>
      </c>
      <c r="K325" s="227" t="s">
        <v>93</v>
      </c>
      <c r="L325" s="227" t="s">
        <v>94</v>
      </c>
      <c r="M325" s="233">
        <v>0.43</v>
      </c>
      <c r="N325" s="231"/>
      <c r="O325" s="231"/>
      <c r="P325" s="234">
        <v>-8.68</v>
      </c>
    </row>
    <row r="326" spans="1:16" ht="19.5" customHeight="1">
      <c r="A326" s="227" t="s">
        <v>1159</v>
      </c>
      <c r="B326" s="230">
        <v>46049</v>
      </c>
      <c r="C326" s="227" t="s">
        <v>92</v>
      </c>
      <c r="D326" s="227" t="s">
        <v>96</v>
      </c>
      <c r="E326" s="227" t="s">
        <v>53</v>
      </c>
      <c r="F326" s="227" t="s">
        <v>120</v>
      </c>
      <c r="G326" s="227" t="s">
        <v>84</v>
      </c>
      <c r="H326" s="231">
        <v>1</v>
      </c>
      <c r="I326" s="232">
        <v>0</v>
      </c>
      <c r="J326" s="230">
        <v>46040</v>
      </c>
      <c r="K326" s="227" t="s">
        <v>93</v>
      </c>
      <c r="L326" s="227" t="s">
        <v>94</v>
      </c>
      <c r="M326" s="233">
        <v>0</v>
      </c>
      <c r="N326" s="231"/>
      <c r="O326" s="231"/>
      <c r="P326" s="234">
        <v>0</v>
      </c>
    </row>
    <row r="327" spans="1:16" ht="19.5" customHeight="1">
      <c r="A327" s="227" t="s">
        <v>1159</v>
      </c>
      <c r="B327" s="230">
        <v>46049</v>
      </c>
      <c r="C327" s="227" t="s">
        <v>92</v>
      </c>
      <c r="D327" s="227" t="s">
        <v>97</v>
      </c>
      <c r="E327" s="227" t="s">
        <v>53</v>
      </c>
      <c r="F327" s="227" t="s">
        <v>120</v>
      </c>
      <c r="G327" s="227" t="s">
        <v>84</v>
      </c>
      <c r="H327" s="231">
        <v>1</v>
      </c>
      <c r="I327" s="232">
        <v>0</v>
      </c>
      <c r="J327" s="230">
        <v>46040</v>
      </c>
      <c r="K327" s="227" t="s">
        <v>93</v>
      </c>
      <c r="L327" s="227" t="s">
        <v>94</v>
      </c>
      <c r="M327" s="233">
        <v>0</v>
      </c>
      <c r="N327" s="231"/>
      <c r="O327" s="231"/>
      <c r="P327" s="234">
        <v>-56</v>
      </c>
    </row>
    <row r="328" spans="1:16" ht="19.5" customHeight="1">
      <c r="A328" s="227" t="s">
        <v>1159</v>
      </c>
      <c r="B328" s="230">
        <v>46049</v>
      </c>
      <c r="C328" s="227" t="s">
        <v>81</v>
      </c>
      <c r="D328" s="227" t="s">
        <v>98</v>
      </c>
      <c r="E328" s="227" t="s">
        <v>53</v>
      </c>
      <c r="F328" s="227" t="s">
        <v>120</v>
      </c>
      <c r="G328" s="227" t="s">
        <v>84</v>
      </c>
      <c r="H328" s="231">
        <v>1</v>
      </c>
      <c r="I328" s="232">
        <v>0</v>
      </c>
      <c r="J328" s="230">
        <v>46040</v>
      </c>
      <c r="K328" s="227" t="s">
        <v>93</v>
      </c>
      <c r="L328" s="227" t="s">
        <v>94</v>
      </c>
      <c r="M328" s="233">
        <v>0</v>
      </c>
      <c r="N328" s="231"/>
      <c r="O328" s="231"/>
      <c r="P328" s="234">
        <v>-15</v>
      </c>
    </row>
    <row r="329" spans="1:16" ht="19.5" customHeight="1">
      <c r="A329" s="227" t="s">
        <v>1159</v>
      </c>
      <c r="B329" s="230">
        <v>46049</v>
      </c>
      <c r="C329" s="227" t="s">
        <v>92</v>
      </c>
      <c r="D329" s="227" t="s">
        <v>24</v>
      </c>
      <c r="E329" s="227" t="s">
        <v>53</v>
      </c>
      <c r="F329" s="227" t="s">
        <v>120</v>
      </c>
      <c r="G329" s="227" t="s">
        <v>84</v>
      </c>
      <c r="H329" s="231">
        <v>1</v>
      </c>
      <c r="I329" s="232">
        <v>0</v>
      </c>
      <c r="J329" s="230">
        <v>46040</v>
      </c>
      <c r="K329" s="227" t="s">
        <v>93</v>
      </c>
      <c r="L329" s="227" t="s">
        <v>94</v>
      </c>
      <c r="M329" s="233">
        <v>0</v>
      </c>
      <c r="N329" s="231"/>
      <c r="O329" s="231">
        <v>45</v>
      </c>
      <c r="P329" s="234">
        <v>-56</v>
      </c>
    </row>
    <row r="330" spans="1:16" ht="19.5" customHeight="1">
      <c r="A330" s="227" t="s">
        <v>1159</v>
      </c>
      <c r="B330" s="230">
        <v>46049</v>
      </c>
      <c r="C330" s="227" t="s">
        <v>81</v>
      </c>
      <c r="D330" s="227" t="s">
        <v>95</v>
      </c>
      <c r="E330" s="227" t="s">
        <v>53</v>
      </c>
      <c r="F330" s="227" t="s">
        <v>120</v>
      </c>
      <c r="G330" s="227" t="s">
        <v>84</v>
      </c>
      <c r="H330" s="231">
        <v>1</v>
      </c>
      <c r="I330" s="232">
        <v>0</v>
      </c>
      <c r="J330" s="230">
        <v>46040</v>
      </c>
      <c r="K330" s="227" t="s">
        <v>93</v>
      </c>
      <c r="L330" s="227" t="s">
        <v>94</v>
      </c>
      <c r="M330" s="233">
        <v>0</v>
      </c>
      <c r="N330" s="231"/>
      <c r="O330" s="231"/>
      <c r="P330" s="234">
        <v>-17.88</v>
      </c>
    </row>
    <row r="331" spans="1:16" ht="19.5" customHeight="1">
      <c r="A331" s="227" t="s">
        <v>1158</v>
      </c>
      <c r="B331" s="230">
        <v>46049</v>
      </c>
      <c r="C331" s="227" t="s">
        <v>81</v>
      </c>
      <c r="D331" s="227" t="s">
        <v>82</v>
      </c>
      <c r="E331" s="227" t="s">
        <v>41</v>
      </c>
      <c r="F331" s="227" t="s">
        <v>83</v>
      </c>
      <c r="G331" s="227" t="s">
        <v>84</v>
      </c>
      <c r="H331" s="231">
        <v>1</v>
      </c>
      <c r="I331" s="232">
        <v>0</v>
      </c>
      <c r="J331" s="230">
        <v>46047</v>
      </c>
      <c r="K331" s="227" t="s">
        <v>85</v>
      </c>
      <c r="L331" s="227" t="s">
        <v>85</v>
      </c>
      <c r="M331" s="233">
        <v>0</v>
      </c>
      <c r="N331" s="231"/>
      <c r="O331" s="231"/>
      <c r="P331" s="234">
        <v>-12.04</v>
      </c>
    </row>
    <row r="332" spans="1:16" ht="19.5" customHeight="1">
      <c r="A332" s="227" t="s">
        <v>1160</v>
      </c>
      <c r="B332" s="230">
        <v>46049</v>
      </c>
      <c r="C332" s="227" t="s">
        <v>92</v>
      </c>
      <c r="D332" s="227" t="s">
        <v>96</v>
      </c>
      <c r="E332" s="227" t="s">
        <v>39</v>
      </c>
      <c r="F332" s="227" t="s">
        <v>117</v>
      </c>
      <c r="G332" s="227" t="s">
        <v>84</v>
      </c>
      <c r="H332" s="231">
        <v>1</v>
      </c>
      <c r="I332" s="232">
        <v>0</v>
      </c>
      <c r="J332" s="230">
        <v>46045</v>
      </c>
      <c r="K332" s="227" t="s">
        <v>93</v>
      </c>
      <c r="L332" s="227" t="s">
        <v>94</v>
      </c>
      <c r="M332" s="233">
        <v>0</v>
      </c>
      <c r="N332" s="231"/>
      <c r="O332" s="231"/>
      <c r="P332" s="234">
        <v>0</v>
      </c>
    </row>
    <row r="333" spans="1:16" ht="19.5" customHeight="1">
      <c r="A333" s="227" t="s">
        <v>1160</v>
      </c>
      <c r="B333" s="230">
        <v>46049</v>
      </c>
      <c r="C333" s="227" t="s">
        <v>92</v>
      </c>
      <c r="D333" s="227" t="s">
        <v>97</v>
      </c>
      <c r="E333" s="227" t="s">
        <v>39</v>
      </c>
      <c r="F333" s="227" t="s">
        <v>117</v>
      </c>
      <c r="G333" s="227" t="s">
        <v>84</v>
      </c>
      <c r="H333" s="231">
        <v>1</v>
      </c>
      <c r="I333" s="232">
        <v>0</v>
      </c>
      <c r="J333" s="230">
        <v>46045</v>
      </c>
      <c r="K333" s="227" t="s">
        <v>93</v>
      </c>
      <c r="L333" s="227" t="s">
        <v>94</v>
      </c>
      <c r="M333" s="233">
        <v>0</v>
      </c>
      <c r="N333" s="231"/>
      <c r="O333" s="231"/>
      <c r="P333" s="234">
        <v>-46.77</v>
      </c>
    </row>
    <row r="334" spans="1:16" ht="19.5" customHeight="1">
      <c r="A334" s="227" t="s">
        <v>1160</v>
      </c>
      <c r="B334" s="230">
        <v>46049</v>
      </c>
      <c r="C334" s="227" t="s">
        <v>81</v>
      </c>
      <c r="D334" s="227" t="s">
        <v>98</v>
      </c>
      <c r="E334" s="227" t="s">
        <v>39</v>
      </c>
      <c r="F334" s="227" t="s">
        <v>117</v>
      </c>
      <c r="G334" s="227" t="s">
        <v>84</v>
      </c>
      <c r="H334" s="231">
        <v>1</v>
      </c>
      <c r="I334" s="232">
        <v>0</v>
      </c>
      <c r="J334" s="230">
        <v>46045</v>
      </c>
      <c r="K334" s="227" t="s">
        <v>93</v>
      </c>
      <c r="L334" s="227" t="s">
        <v>94</v>
      </c>
      <c r="M334" s="233">
        <v>0</v>
      </c>
      <c r="N334" s="231"/>
      <c r="O334" s="231"/>
      <c r="P334" s="234">
        <v>-15</v>
      </c>
    </row>
    <row r="335" spans="1:16" ht="19.5" customHeight="1">
      <c r="A335" s="227" t="s">
        <v>1160</v>
      </c>
      <c r="B335" s="230">
        <v>46049</v>
      </c>
      <c r="C335" s="227" t="s">
        <v>92</v>
      </c>
      <c r="D335" s="227" t="s">
        <v>24</v>
      </c>
      <c r="E335" s="227" t="s">
        <v>39</v>
      </c>
      <c r="F335" s="227" t="s">
        <v>117</v>
      </c>
      <c r="G335" s="227" t="s">
        <v>84</v>
      </c>
      <c r="H335" s="231">
        <v>1</v>
      </c>
      <c r="I335" s="232">
        <v>0</v>
      </c>
      <c r="J335" s="230">
        <v>46045</v>
      </c>
      <c r="K335" s="227" t="s">
        <v>93</v>
      </c>
      <c r="L335" s="227" t="s">
        <v>94</v>
      </c>
      <c r="M335" s="233">
        <v>0</v>
      </c>
      <c r="N335" s="231"/>
      <c r="O335" s="231">
        <v>40</v>
      </c>
      <c r="P335" s="234">
        <v>-46.77</v>
      </c>
    </row>
    <row r="336" spans="1:16" ht="19.5" customHeight="1">
      <c r="A336" s="227" t="s">
        <v>1160</v>
      </c>
      <c r="B336" s="230">
        <v>46049</v>
      </c>
      <c r="C336" s="227" t="s">
        <v>81</v>
      </c>
      <c r="D336" s="227" t="s">
        <v>95</v>
      </c>
      <c r="E336" s="227" t="s">
        <v>39</v>
      </c>
      <c r="F336" s="227" t="s">
        <v>117</v>
      </c>
      <c r="G336" s="227" t="s">
        <v>84</v>
      </c>
      <c r="H336" s="231">
        <v>1</v>
      </c>
      <c r="I336" s="232">
        <v>0</v>
      </c>
      <c r="J336" s="230">
        <v>46045</v>
      </c>
      <c r="K336" s="227" t="s">
        <v>93</v>
      </c>
      <c r="L336" s="227" t="s">
        <v>94</v>
      </c>
      <c r="M336" s="233">
        <v>0</v>
      </c>
      <c r="N336" s="231"/>
      <c r="O336" s="231"/>
      <c r="P336" s="234">
        <v>-8.5</v>
      </c>
    </row>
    <row r="337" spans="1:16" ht="19.5" customHeight="1">
      <c r="A337" s="227" t="s">
        <v>1161</v>
      </c>
      <c r="B337" s="230">
        <v>46049</v>
      </c>
      <c r="C337" s="227" t="s">
        <v>81</v>
      </c>
      <c r="D337" s="227" t="s">
        <v>82</v>
      </c>
      <c r="E337" s="227" t="s">
        <v>53</v>
      </c>
      <c r="F337" s="227" t="s">
        <v>120</v>
      </c>
      <c r="G337" s="227" t="s">
        <v>84</v>
      </c>
      <c r="H337" s="231">
        <v>1</v>
      </c>
      <c r="I337" s="232">
        <v>0</v>
      </c>
      <c r="J337" s="230">
        <v>46049</v>
      </c>
      <c r="K337" s="227" t="s">
        <v>85</v>
      </c>
      <c r="L337" s="227" t="s">
        <v>85</v>
      </c>
      <c r="M337" s="233">
        <v>0</v>
      </c>
      <c r="N337" s="231"/>
      <c r="O337" s="231"/>
      <c r="P337" s="234">
        <v>-4.63</v>
      </c>
    </row>
    <row r="338" spans="1:16" ht="19.5" customHeight="1">
      <c r="A338" s="227" t="s">
        <v>1162</v>
      </c>
      <c r="B338" s="230">
        <v>46049</v>
      </c>
      <c r="C338" s="227" t="s">
        <v>81</v>
      </c>
      <c r="D338" s="227" t="s">
        <v>82</v>
      </c>
      <c r="E338" s="227" t="s">
        <v>42</v>
      </c>
      <c r="F338" s="227" t="s">
        <v>89</v>
      </c>
      <c r="G338" s="227" t="s">
        <v>84</v>
      </c>
      <c r="H338" s="231">
        <v>1</v>
      </c>
      <c r="I338" s="232">
        <v>0</v>
      </c>
      <c r="J338" s="230">
        <v>46049</v>
      </c>
      <c r="K338" s="227" t="s">
        <v>85</v>
      </c>
      <c r="L338" s="227" t="s">
        <v>85</v>
      </c>
      <c r="M338" s="233">
        <v>0</v>
      </c>
      <c r="N338" s="231"/>
      <c r="O338" s="231"/>
      <c r="P338" s="234">
        <v>-11.58</v>
      </c>
    </row>
    <row r="339" spans="1:16" ht="19.5" customHeight="1">
      <c r="A339" s="227" t="s">
        <v>1163</v>
      </c>
      <c r="B339" s="230">
        <v>46049</v>
      </c>
      <c r="C339" s="227" t="s">
        <v>81</v>
      </c>
      <c r="D339" s="227" t="s">
        <v>82</v>
      </c>
      <c r="E339" s="227" t="s">
        <v>52</v>
      </c>
      <c r="F339" s="227" t="s">
        <v>90</v>
      </c>
      <c r="G339" s="227" t="s">
        <v>84</v>
      </c>
      <c r="H339" s="231">
        <v>1</v>
      </c>
      <c r="I339" s="232">
        <v>0</v>
      </c>
      <c r="J339" s="230">
        <v>46049</v>
      </c>
      <c r="K339" s="227" t="s">
        <v>85</v>
      </c>
      <c r="L339" s="227" t="s">
        <v>85</v>
      </c>
      <c r="M339" s="233">
        <v>0</v>
      </c>
      <c r="N339" s="231"/>
      <c r="O339" s="231"/>
      <c r="P339" s="234">
        <v>-5.05</v>
      </c>
    </row>
    <row r="340" spans="1:16" ht="19.5" customHeight="1">
      <c r="A340" s="227" t="s">
        <v>141</v>
      </c>
      <c r="B340" s="230">
        <v>46049</v>
      </c>
      <c r="C340" s="227" t="s">
        <v>109</v>
      </c>
      <c r="D340" s="227" t="s">
        <v>139</v>
      </c>
      <c r="E340" s="227" t="s">
        <v>85</v>
      </c>
      <c r="F340" s="227" t="s">
        <v>85</v>
      </c>
      <c r="G340" s="227" t="s">
        <v>85</v>
      </c>
      <c r="H340" s="231">
        <v>0</v>
      </c>
      <c r="I340" s="232">
        <v>0</v>
      </c>
      <c r="J340" s="230">
        <v>46049</v>
      </c>
      <c r="K340" s="227" t="s">
        <v>85</v>
      </c>
      <c r="L340" s="227" t="s">
        <v>85</v>
      </c>
      <c r="M340" s="233">
        <v>0</v>
      </c>
      <c r="N340" s="231"/>
      <c r="O340" s="231"/>
      <c r="P340" s="234">
        <v>-423.42</v>
      </c>
    </row>
    <row r="341" spans="1:16" ht="19.5" customHeight="1">
      <c r="A341" s="227" t="s">
        <v>145</v>
      </c>
      <c r="B341" s="230">
        <v>46049</v>
      </c>
      <c r="C341" s="227" t="s">
        <v>109</v>
      </c>
      <c r="D341" s="227" t="s">
        <v>139</v>
      </c>
      <c r="E341" s="227" t="s">
        <v>85</v>
      </c>
      <c r="F341" s="227" t="s">
        <v>85</v>
      </c>
      <c r="G341" s="227" t="s">
        <v>85</v>
      </c>
      <c r="H341" s="231">
        <v>0</v>
      </c>
      <c r="I341" s="232">
        <v>0</v>
      </c>
      <c r="J341" s="230">
        <v>46049</v>
      </c>
      <c r="K341" s="227" t="s">
        <v>85</v>
      </c>
      <c r="L341" s="227" t="s">
        <v>85</v>
      </c>
      <c r="M341" s="233">
        <v>0</v>
      </c>
      <c r="N341" s="231"/>
      <c r="O341" s="231"/>
      <c r="P341" s="234">
        <v>-1200.68</v>
      </c>
    </row>
    <row r="342" spans="1:16" ht="19.5" customHeight="1">
      <c r="A342" s="227" t="s">
        <v>138</v>
      </c>
      <c r="B342" s="230">
        <v>46049</v>
      </c>
      <c r="C342" s="227" t="s">
        <v>109</v>
      </c>
      <c r="D342" s="227" t="s">
        <v>139</v>
      </c>
      <c r="E342" s="227" t="s">
        <v>85</v>
      </c>
      <c r="F342" s="227" t="s">
        <v>85</v>
      </c>
      <c r="G342" s="227" t="s">
        <v>85</v>
      </c>
      <c r="H342" s="231">
        <v>0</v>
      </c>
      <c r="I342" s="232">
        <v>0</v>
      </c>
      <c r="J342" s="230">
        <v>46049</v>
      </c>
      <c r="K342" s="227" t="s">
        <v>85</v>
      </c>
      <c r="L342" s="227" t="s">
        <v>85</v>
      </c>
      <c r="M342" s="233">
        <v>0</v>
      </c>
      <c r="N342" s="231"/>
      <c r="O342" s="231"/>
      <c r="P342" s="234">
        <v>-1112.96</v>
      </c>
    </row>
    <row r="343" spans="1:16" ht="19.5" customHeight="1">
      <c r="A343" s="227" t="s">
        <v>144</v>
      </c>
      <c r="B343" s="230">
        <v>46049</v>
      </c>
      <c r="C343" s="227" t="s">
        <v>109</v>
      </c>
      <c r="D343" s="227" t="s">
        <v>139</v>
      </c>
      <c r="E343" s="227" t="s">
        <v>85</v>
      </c>
      <c r="F343" s="227" t="s">
        <v>85</v>
      </c>
      <c r="G343" s="227" t="s">
        <v>85</v>
      </c>
      <c r="H343" s="231">
        <v>0</v>
      </c>
      <c r="I343" s="232">
        <v>0</v>
      </c>
      <c r="J343" s="230">
        <v>46049</v>
      </c>
      <c r="K343" s="227" t="s">
        <v>85</v>
      </c>
      <c r="L343" s="227" t="s">
        <v>85</v>
      </c>
      <c r="M343" s="233">
        <v>0</v>
      </c>
      <c r="N343" s="231"/>
      <c r="O343" s="231"/>
      <c r="P343" s="234">
        <v>-1092.71</v>
      </c>
    </row>
    <row r="344" spans="1:16" ht="19.5" customHeight="1">
      <c r="A344" s="227" t="s">
        <v>142</v>
      </c>
      <c r="B344" s="230">
        <v>46049</v>
      </c>
      <c r="C344" s="227" t="s">
        <v>109</v>
      </c>
      <c r="D344" s="227" t="s">
        <v>143</v>
      </c>
      <c r="E344" s="227" t="s">
        <v>85</v>
      </c>
      <c r="F344" s="227" t="s">
        <v>85</v>
      </c>
      <c r="G344" s="227" t="s">
        <v>85</v>
      </c>
      <c r="H344" s="231">
        <v>0</v>
      </c>
      <c r="I344" s="232">
        <v>0</v>
      </c>
      <c r="J344" s="230">
        <v>46049</v>
      </c>
      <c r="K344" s="227" t="s">
        <v>85</v>
      </c>
      <c r="L344" s="227" t="s">
        <v>85</v>
      </c>
      <c r="M344" s="233">
        <v>0</v>
      </c>
      <c r="N344" s="231"/>
      <c r="O344" s="231"/>
      <c r="P344" s="234">
        <v>-2915.8</v>
      </c>
    </row>
    <row r="345" spans="1:16" ht="19.5" customHeight="1">
      <c r="A345" s="227" t="s">
        <v>1164</v>
      </c>
      <c r="B345" s="230">
        <v>46050</v>
      </c>
      <c r="C345" s="227" t="s">
        <v>92</v>
      </c>
      <c r="D345" s="227" t="s">
        <v>24</v>
      </c>
      <c r="E345" s="227" t="s">
        <v>41</v>
      </c>
      <c r="F345" s="227" t="s">
        <v>83</v>
      </c>
      <c r="G345" s="227" t="s">
        <v>84</v>
      </c>
      <c r="H345" s="231">
        <v>1</v>
      </c>
      <c r="I345" s="232">
        <v>0</v>
      </c>
      <c r="J345" s="230">
        <v>46041</v>
      </c>
      <c r="K345" s="227" t="s">
        <v>93</v>
      </c>
      <c r="L345" s="227" t="s">
        <v>94</v>
      </c>
      <c r="M345" s="233">
        <v>0</v>
      </c>
      <c r="N345" s="231"/>
      <c r="O345" s="231">
        <v>44</v>
      </c>
      <c r="P345" s="234">
        <v>-46</v>
      </c>
    </row>
    <row r="346" spans="1:16" ht="19.5" customHeight="1">
      <c r="A346" s="227" t="s">
        <v>1164</v>
      </c>
      <c r="B346" s="230">
        <v>46050</v>
      </c>
      <c r="C346" s="227" t="s">
        <v>81</v>
      </c>
      <c r="D346" s="227" t="s">
        <v>95</v>
      </c>
      <c r="E346" s="227" t="s">
        <v>41</v>
      </c>
      <c r="F346" s="227" t="s">
        <v>83</v>
      </c>
      <c r="G346" s="227" t="s">
        <v>84</v>
      </c>
      <c r="H346" s="231">
        <v>1</v>
      </c>
      <c r="I346" s="232">
        <v>0</v>
      </c>
      <c r="J346" s="230">
        <v>46041</v>
      </c>
      <c r="K346" s="227" t="s">
        <v>93</v>
      </c>
      <c r="L346" s="227" t="s">
        <v>94</v>
      </c>
      <c r="M346" s="233">
        <v>0</v>
      </c>
      <c r="N346" s="231"/>
      <c r="O346" s="231"/>
      <c r="P346" s="234">
        <v>-14.75</v>
      </c>
    </row>
    <row r="347" spans="1:16" ht="19.5" customHeight="1">
      <c r="A347" s="227" t="s">
        <v>1164</v>
      </c>
      <c r="B347" s="230">
        <v>46050</v>
      </c>
      <c r="C347" s="227" t="s">
        <v>92</v>
      </c>
      <c r="D347" s="227" t="s">
        <v>96</v>
      </c>
      <c r="E347" s="227" t="s">
        <v>41</v>
      </c>
      <c r="F347" s="227" t="s">
        <v>83</v>
      </c>
      <c r="G347" s="227" t="s">
        <v>84</v>
      </c>
      <c r="H347" s="231">
        <v>1</v>
      </c>
      <c r="I347" s="232">
        <v>0</v>
      </c>
      <c r="J347" s="230">
        <v>46041</v>
      </c>
      <c r="K347" s="227" t="s">
        <v>93</v>
      </c>
      <c r="L347" s="227" t="s">
        <v>94</v>
      </c>
      <c r="M347" s="233">
        <v>0</v>
      </c>
      <c r="N347" s="231"/>
      <c r="O347" s="231"/>
      <c r="P347" s="234">
        <v>0</v>
      </c>
    </row>
    <row r="348" spans="1:16" ht="19.5" customHeight="1">
      <c r="A348" s="227" t="s">
        <v>1164</v>
      </c>
      <c r="B348" s="230">
        <v>46050</v>
      </c>
      <c r="C348" s="227" t="s">
        <v>92</v>
      </c>
      <c r="D348" s="227" t="s">
        <v>97</v>
      </c>
      <c r="E348" s="227" t="s">
        <v>41</v>
      </c>
      <c r="F348" s="227" t="s">
        <v>83</v>
      </c>
      <c r="G348" s="227" t="s">
        <v>84</v>
      </c>
      <c r="H348" s="231">
        <v>1</v>
      </c>
      <c r="I348" s="232">
        <v>0</v>
      </c>
      <c r="J348" s="230">
        <v>46041</v>
      </c>
      <c r="K348" s="227" t="s">
        <v>93</v>
      </c>
      <c r="L348" s="227" t="s">
        <v>94</v>
      </c>
      <c r="M348" s="233">
        <v>0</v>
      </c>
      <c r="N348" s="231"/>
      <c r="O348" s="231"/>
      <c r="P348" s="234">
        <v>-46</v>
      </c>
    </row>
    <row r="349" spans="1:16" ht="19.5" customHeight="1">
      <c r="A349" s="227" t="s">
        <v>1164</v>
      </c>
      <c r="B349" s="230">
        <v>46050</v>
      </c>
      <c r="C349" s="227" t="s">
        <v>81</v>
      </c>
      <c r="D349" s="227" t="s">
        <v>98</v>
      </c>
      <c r="E349" s="227" t="s">
        <v>41</v>
      </c>
      <c r="F349" s="227" t="s">
        <v>83</v>
      </c>
      <c r="G349" s="227" t="s">
        <v>84</v>
      </c>
      <c r="H349" s="231">
        <v>1</v>
      </c>
      <c r="I349" s="232">
        <v>0</v>
      </c>
      <c r="J349" s="230">
        <v>46041</v>
      </c>
      <c r="K349" s="227" t="s">
        <v>93</v>
      </c>
      <c r="L349" s="227" t="s">
        <v>94</v>
      </c>
      <c r="M349" s="233">
        <v>0</v>
      </c>
      <c r="N349" s="231"/>
      <c r="O349" s="231"/>
      <c r="P349" s="234">
        <v>-15</v>
      </c>
    </row>
    <row r="350" spans="1:16" ht="19.5" customHeight="1">
      <c r="A350" s="227" t="s">
        <v>1165</v>
      </c>
      <c r="B350" s="230">
        <v>46050</v>
      </c>
      <c r="C350" s="227" t="s">
        <v>92</v>
      </c>
      <c r="D350" s="227" t="s">
        <v>24</v>
      </c>
      <c r="E350" s="227" t="s">
        <v>53</v>
      </c>
      <c r="F350" s="227" t="s">
        <v>120</v>
      </c>
      <c r="G350" s="227" t="s">
        <v>84</v>
      </c>
      <c r="H350" s="231">
        <v>1</v>
      </c>
      <c r="I350" s="232">
        <v>0</v>
      </c>
      <c r="J350" s="230">
        <v>46045</v>
      </c>
      <c r="K350" s="227" t="s">
        <v>93</v>
      </c>
      <c r="L350" s="227" t="s">
        <v>94</v>
      </c>
      <c r="M350" s="233">
        <v>0</v>
      </c>
      <c r="N350" s="231"/>
      <c r="O350" s="231">
        <v>40</v>
      </c>
      <c r="P350" s="234">
        <v>-56</v>
      </c>
    </row>
    <row r="351" spans="1:16" ht="19.5" customHeight="1">
      <c r="A351" s="227" t="s">
        <v>1165</v>
      </c>
      <c r="B351" s="230">
        <v>46050</v>
      </c>
      <c r="C351" s="227" t="s">
        <v>81</v>
      </c>
      <c r="D351" s="227" t="s">
        <v>95</v>
      </c>
      <c r="E351" s="227" t="s">
        <v>53</v>
      </c>
      <c r="F351" s="227" t="s">
        <v>120</v>
      </c>
      <c r="G351" s="227" t="s">
        <v>84</v>
      </c>
      <c r="H351" s="231">
        <v>1</v>
      </c>
      <c r="I351" s="232">
        <v>0</v>
      </c>
      <c r="J351" s="230">
        <v>46045</v>
      </c>
      <c r="K351" s="227" t="s">
        <v>93</v>
      </c>
      <c r="L351" s="227" t="s">
        <v>94</v>
      </c>
      <c r="M351" s="233">
        <v>0</v>
      </c>
      <c r="N351" s="231"/>
      <c r="O351" s="231"/>
      <c r="P351" s="234">
        <v>-9.5500000000000007</v>
      </c>
    </row>
    <row r="352" spans="1:16" ht="19.5" customHeight="1">
      <c r="A352" s="227" t="s">
        <v>1165</v>
      </c>
      <c r="B352" s="230">
        <v>46050</v>
      </c>
      <c r="C352" s="227" t="s">
        <v>92</v>
      </c>
      <c r="D352" s="227" t="s">
        <v>96</v>
      </c>
      <c r="E352" s="227" t="s">
        <v>53</v>
      </c>
      <c r="F352" s="227" t="s">
        <v>120</v>
      </c>
      <c r="G352" s="227" t="s">
        <v>84</v>
      </c>
      <c r="H352" s="231">
        <v>1</v>
      </c>
      <c r="I352" s="232">
        <v>0</v>
      </c>
      <c r="J352" s="230">
        <v>46045</v>
      </c>
      <c r="K352" s="227" t="s">
        <v>93</v>
      </c>
      <c r="L352" s="227" t="s">
        <v>94</v>
      </c>
      <c r="M352" s="233">
        <v>0</v>
      </c>
      <c r="N352" s="231"/>
      <c r="O352" s="231"/>
      <c r="P352" s="234">
        <v>0</v>
      </c>
    </row>
    <row r="353" spans="1:16" ht="19.5" customHeight="1">
      <c r="A353" s="227" t="s">
        <v>1165</v>
      </c>
      <c r="B353" s="230">
        <v>46050</v>
      </c>
      <c r="C353" s="227" t="s">
        <v>92</v>
      </c>
      <c r="D353" s="227" t="s">
        <v>97</v>
      </c>
      <c r="E353" s="227" t="s">
        <v>53</v>
      </c>
      <c r="F353" s="227" t="s">
        <v>120</v>
      </c>
      <c r="G353" s="227" t="s">
        <v>84</v>
      </c>
      <c r="H353" s="231">
        <v>1</v>
      </c>
      <c r="I353" s="232">
        <v>0</v>
      </c>
      <c r="J353" s="230">
        <v>46045</v>
      </c>
      <c r="K353" s="227" t="s">
        <v>93</v>
      </c>
      <c r="L353" s="227" t="s">
        <v>94</v>
      </c>
      <c r="M353" s="233">
        <v>0</v>
      </c>
      <c r="N353" s="231"/>
      <c r="O353" s="231"/>
      <c r="P353" s="234">
        <v>-56</v>
      </c>
    </row>
    <row r="354" spans="1:16" ht="19.5" customHeight="1">
      <c r="A354" s="227" t="s">
        <v>1165</v>
      </c>
      <c r="B354" s="230">
        <v>46050</v>
      </c>
      <c r="C354" s="227" t="s">
        <v>81</v>
      </c>
      <c r="D354" s="227" t="s">
        <v>98</v>
      </c>
      <c r="E354" s="227" t="s">
        <v>53</v>
      </c>
      <c r="F354" s="227" t="s">
        <v>120</v>
      </c>
      <c r="G354" s="227" t="s">
        <v>84</v>
      </c>
      <c r="H354" s="231">
        <v>1</v>
      </c>
      <c r="I354" s="232">
        <v>0</v>
      </c>
      <c r="J354" s="230">
        <v>46045</v>
      </c>
      <c r="K354" s="227" t="s">
        <v>93</v>
      </c>
      <c r="L354" s="227" t="s">
        <v>94</v>
      </c>
      <c r="M354" s="233">
        <v>0</v>
      </c>
      <c r="N354" s="231"/>
      <c r="O354" s="231"/>
      <c r="P354" s="234">
        <v>-15</v>
      </c>
    </row>
    <row r="355" spans="1:16" ht="19.5" customHeight="1">
      <c r="A355" s="227" t="s">
        <v>1166</v>
      </c>
      <c r="B355" s="230">
        <v>46050</v>
      </c>
      <c r="C355" s="227" t="s">
        <v>92</v>
      </c>
      <c r="D355" s="227" t="s">
        <v>96</v>
      </c>
      <c r="E355" s="227" t="s">
        <v>52</v>
      </c>
      <c r="F355" s="227" t="s">
        <v>90</v>
      </c>
      <c r="G355" s="227" t="s">
        <v>84</v>
      </c>
      <c r="H355" s="231">
        <v>1</v>
      </c>
      <c r="I355" s="232">
        <v>0</v>
      </c>
      <c r="J355" s="230">
        <v>45995</v>
      </c>
      <c r="K355" s="227" t="s">
        <v>93</v>
      </c>
      <c r="L355" s="227" t="s">
        <v>94</v>
      </c>
      <c r="M355" s="233">
        <v>0</v>
      </c>
      <c r="N355" s="231"/>
      <c r="O355" s="231"/>
      <c r="P355" s="234">
        <v>0</v>
      </c>
    </row>
    <row r="356" spans="1:16" ht="19.5" customHeight="1">
      <c r="A356" s="227" t="s">
        <v>1166</v>
      </c>
      <c r="B356" s="230">
        <v>46050</v>
      </c>
      <c r="C356" s="227" t="s">
        <v>92</v>
      </c>
      <c r="D356" s="227" t="s">
        <v>97</v>
      </c>
      <c r="E356" s="227" t="s">
        <v>52</v>
      </c>
      <c r="F356" s="227" t="s">
        <v>90</v>
      </c>
      <c r="G356" s="227" t="s">
        <v>84</v>
      </c>
      <c r="H356" s="231">
        <v>1</v>
      </c>
      <c r="I356" s="232">
        <v>0</v>
      </c>
      <c r="J356" s="230">
        <v>45995</v>
      </c>
      <c r="K356" s="227" t="s">
        <v>93</v>
      </c>
      <c r="L356" s="227" t="s">
        <v>94</v>
      </c>
      <c r="M356" s="233">
        <v>0</v>
      </c>
      <c r="N356" s="231"/>
      <c r="O356" s="231"/>
      <c r="P356" s="234">
        <v>-56</v>
      </c>
    </row>
    <row r="357" spans="1:16" ht="19.5" customHeight="1">
      <c r="A357" s="227" t="s">
        <v>1166</v>
      </c>
      <c r="B357" s="230">
        <v>46050</v>
      </c>
      <c r="C357" s="227" t="s">
        <v>92</v>
      </c>
      <c r="D357" s="227" t="s">
        <v>24</v>
      </c>
      <c r="E357" s="227" t="s">
        <v>52</v>
      </c>
      <c r="F357" s="227" t="s">
        <v>90</v>
      </c>
      <c r="G357" s="227" t="s">
        <v>84</v>
      </c>
      <c r="H357" s="231">
        <v>1</v>
      </c>
      <c r="I357" s="232">
        <v>0</v>
      </c>
      <c r="J357" s="230">
        <v>45995</v>
      </c>
      <c r="K357" s="227" t="s">
        <v>93</v>
      </c>
      <c r="L357" s="227" t="s">
        <v>94</v>
      </c>
      <c r="M357" s="233">
        <v>0</v>
      </c>
      <c r="N357" s="231"/>
      <c r="O357" s="231"/>
      <c r="P357" s="234">
        <v>-56</v>
      </c>
    </row>
    <row r="358" spans="1:16" ht="19.5" customHeight="1">
      <c r="A358" s="227" t="s">
        <v>1167</v>
      </c>
      <c r="B358" s="230">
        <v>46050</v>
      </c>
      <c r="C358" s="227" t="s">
        <v>81</v>
      </c>
      <c r="D358" s="227" t="s">
        <v>82</v>
      </c>
      <c r="E358" s="227" t="s">
        <v>53</v>
      </c>
      <c r="F358" s="227" t="s">
        <v>120</v>
      </c>
      <c r="G358" s="227" t="s">
        <v>84</v>
      </c>
      <c r="H358" s="231">
        <v>1</v>
      </c>
      <c r="I358" s="232">
        <v>0</v>
      </c>
      <c r="J358" s="230">
        <v>46050</v>
      </c>
      <c r="K358" s="227" t="s">
        <v>85</v>
      </c>
      <c r="L358" s="227" t="s">
        <v>85</v>
      </c>
      <c r="M358" s="233">
        <v>0</v>
      </c>
      <c r="N358" s="231"/>
      <c r="O358" s="231"/>
      <c r="P358" s="234">
        <v>-12</v>
      </c>
    </row>
    <row r="359" spans="1:16" ht="19.5" customHeight="1">
      <c r="A359" s="227" t="s">
        <v>1168</v>
      </c>
      <c r="B359" s="230">
        <v>46050</v>
      </c>
      <c r="C359" s="227" t="s">
        <v>81</v>
      </c>
      <c r="D359" s="227" t="s">
        <v>82</v>
      </c>
      <c r="E359" s="227" t="s">
        <v>53</v>
      </c>
      <c r="F359" s="227" t="s">
        <v>120</v>
      </c>
      <c r="G359" s="227" t="s">
        <v>84</v>
      </c>
      <c r="H359" s="231">
        <v>1</v>
      </c>
      <c r="I359" s="232">
        <v>0</v>
      </c>
      <c r="J359" s="230">
        <v>46050</v>
      </c>
      <c r="K359" s="227" t="s">
        <v>85</v>
      </c>
      <c r="L359" s="227" t="s">
        <v>85</v>
      </c>
      <c r="M359" s="233">
        <v>0</v>
      </c>
      <c r="N359" s="231"/>
      <c r="O359" s="231"/>
      <c r="P359" s="234">
        <v>-12</v>
      </c>
    </row>
    <row r="360" spans="1:16" ht="19.5" customHeight="1">
      <c r="A360" s="227" t="s">
        <v>85</v>
      </c>
      <c r="B360" s="230">
        <v>46050</v>
      </c>
      <c r="C360" s="227" t="s">
        <v>109</v>
      </c>
      <c r="D360" s="227" t="s">
        <v>110</v>
      </c>
      <c r="E360" s="227" t="s">
        <v>85</v>
      </c>
      <c r="F360" s="227" t="s">
        <v>85</v>
      </c>
      <c r="G360" s="227" t="s">
        <v>1169</v>
      </c>
      <c r="H360" s="231">
        <v>0</v>
      </c>
      <c r="I360" s="232">
        <v>0</v>
      </c>
      <c r="J360" s="230">
        <v>46050</v>
      </c>
      <c r="K360" s="227" t="s">
        <v>85</v>
      </c>
      <c r="L360" s="227" t="s">
        <v>85</v>
      </c>
      <c r="M360" s="233">
        <v>0</v>
      </c>
      <c r="N360" s="231"/>
      <c r="O360" s="231"/>
      <c r="P360" s="234">
        <v>-150</v>
      </c>
    </row>
    <row r="361" spans="1:16" ht="19.5" customHeight="1">
      <c r="A361" s="227" t="s">
        <v>1170</v>
      </c>
      <c r="B361" s="230">
        <v>46050</v>
      </c>
      <c r="C361" s="227" t="s">
        <v>81</v>
      </c>
      <c r="D361" s="227" t="s">
        <v>82</v>
      </c>
      <c r="E361" s="227" t="s">
        <v>52</v>
      </c>
      <c r="F361" s="227" t="s">
        <v>90</v>
      </c>
      <c r="G361" s="227" t="s">
        <v>84</v>
      </c>
      <c r="H361" s="231">
        <v>1</v>
      </c>
      <c r="I361" s="232">
        <v>0</v>
      </c>
      <c r="J361" s="230">
        <v>46050</v>
      </c>
      <c r="K361" s="227" t="s">
        <v>85</v>
      </c>
      <c r="L361" s="227" t="s">
        <v>85</v>
      </c>
      <c r="M361" s="233">
        <v>0</v>
      </c>
      <c r="N361" s="231"/>
      <c r="O361" s="231"/>
      <c r="P361" s="234">
        <v>-4.75</v>
      </c>
    </row>
    <row r="362" spans="1:16" ht="19.5" customHeight="1">
      <c r="A362" s="227" t="s">
        <v>1171</v>
      </c>
      <c r="B362" s="230">
        <v>46050</v>
      </c>
      <c r="C362" s="227" t="s">
        <v>81</v>
      </c>
      <c r="D362" s="227" t="s">
        <v>82</v>
      </c>
      <c r="E362" s="227" t="s">
        <v>53</v>
      </c>
      <c r="F362" s="227" t="s">
        <v>120</v>
      </c>
      <c r="G362" s="227" t="s">
        <v>84</v>
      </c>
      <c r="H362" s="231">
        <v>1</v>
      </c>
      <c r="I362" s="232">
        <v>0</v>
      </c>
      <c r="J362" s="230">
        <v>46050</v>
      </c>
      <c r="K362" s="227" t="s">
        <v>85</v>
      </c>
      <c r="L362" s="227" t="s">
        <v>85</v>
      </c>
      <c r="M362" s="233">
        <v>0</v>
      </c>
      <c r="N362" s="231"/>
      <c r="O362" s="231"/>
      <c r="P362" s="234">
        <v>-12</v>
      </c>
    </row>
    <row r="363" spans="1:16" ht="19.5" customHeight="1">
      <c r="A363" s="227" t="s">
        <v>1171</v>
      </c>
      <c r="B363" s="230">
        <v>46050</v>
      </c>
      <c r="C363" s="227" t="s">
        <v>81</v>
      </c>
      <c r="D363" s="227" t="s">
        <v>82</v>
      </c>
      <c r="E363" s="227" t="s">
        <v>53</v>
      </c>
      <c r="F363" s="227" t="s">
        <v>120</v>
      </c>
      <c r="G363" s="227" t="s">
        <v>84</v>
      </c>
      <c r="H363" s="231">
        <v>1</v>
      </c>
      <c r="I363" s="232">
        <v>0</v>
      </c>
      <c r="J363" s="230">
        <v>46050</v>
      </c>
      <c r="K363" s="227" t="s">
        <v>85</v>
      </c>
      <c r="L363" s="227" t="s">
        <v>85</v>
      </c>
      <c r="M363" s="233">
        <v>0</v>
      </c>
      <c r="N363" s="231"/>
      <c r="O363" s="231"/>
      <c r="P363" s="234">
        <v>12</v>
      </c>
    </row>
    <row r="364" spans="1:16" ht="19.5" customHeight="1">
      <c r="A364" s="227" t="s">
        <v>1172</v>
      </c>
      <c r="B364" s="230">
        <v>46050</v>
      </c>
      <c r="C364" s="227" t="s">
        <v>92</v>
      </c>
      <c r="D364" s="227" t="s">
        <v>24</v>
      </c>
      <c r="E364" s="227" t="s">
        <v>52</v>
      </c>
      <c r="F364" s="227" t="s">
        <v>90</v>
      </c>
      <c r="G364" s="227" t="s">
        <v>84</v>
      </c>
      <c r="H364" s="231">
        <v>1</v>
      </c>
      <c r="I364" s="232">
        <v>1800</v>
      </c>
      <c r="J364" s="230">
        <v>46048</v>
      </c>
      <c r="K364" s="227" t="s">
        <v>93</v>
      </c>
      <c r="L364" s="227" t="s">
        <v>94</v>
      </c>
      <c r="M364" s="233">
        <v>0.43</v>
      </c>
      <c r="N364" s="231"/>
      <c r="O364" s="231">
        <v>44</v>
      </c>
      <c r="P364" s="234">
        <v>-147.97999999999999</v>
      </c>
    </row>
    <row r="365" spans="1:16" ht="19.5" customHeight="1">
      <c r="A365" s="227" t="s">
        <v>1172</v>
      </c>
      <c r="B365" s="230">
        <v>46050</v>
      </c>
      <c r="C365" s="227" t="s">
        <v>100</v>
      </c>
      <c r="D365" s="227" t="s">
        <v>101</v>
      </c>
      <c r="E365" s="227" t="s">
        <v>52</v>
      </c>
      <c r="F365" s="227" t="s">
        <v>90</v>
      </c>
      <c r="G365" s="227" t="s">
        <v>84</v>
      </c>
      <c r="H365" s="231">
        <v>1</v>
      </c>
      <c r="I365" s="232">
        <v>1800</v>
      </c>
      <c r="J365" s="230">
        <v>46048</v>
      </c>
      <c r="K365" s="227" t="s">
        <v>93</v>
      </c>
      <c r="L365" s="227" t="s">
        <v>94</v>
      </c>
      <c r="M365" s="233">
        <v>0</v>
      </c>
      <c r="N365" s="231"/>
      <c r="O365" s="231"/>
      <c r="P365" s="234">
        <v>742.86</v>
      </c>
    </row>
    <row r="366" spans="1:16" ht="19.5" customHeight="1">
      <c r="A366" s="227" t="s">
        <v>1172</v>
      </c>
      <c r="B366" s="230">
        <v>46050</v>
      </c>
      <c r="C366" s="227" t="s">
        <v>100</v>
      </c>
      <c r="D366" s="227" t="s">
        <v>102</v>
      </c>
      <c r="E366" s="227" t="s">
        <v>52</v>
      </c>
      <c r="F366" s="227" t="s">
        <v>90</v>
      </c>
      <c r="G366" s="227" t="s">
        <v>84</v>
      </c>
      <c r="H366" s="231">
        <v>1</v>
      </c>
      <c r="I366" s="232">
        <v>1800</v>
      </c>
      <c r="J366" s="230">
        <v>46048</v>
      </c>
      <c r="K366" s="227" t="s">
        <v>93</v>
      </c>
      <c r="L366" s="227" t="s">
        <v>94</v>
      </c>
      <c r="M366" s="233">
        <v>0</v>
      </c>
      <c r="N366" s="231"/>
      <c r="O366" s="231"/>
      <c r="P366" s="234">
        <v>0</v>
      </c>
    </row>
    <row r="367" spans="1:16" ht="19.5" customHeight="1">
      <c r="A367" s="227" t="s">
        <v>1172</v>
      </c>
      <c r="B367" s="230">
        <v>46050</v>
      </c>
      <c r="C367" s="227" t="s">
        <v>100</v>
      </c>
      <c r="D367" s="227" t="s">
        <v>103</v>
      </c>
      <c r="E367" s="227" t="s">
        <v>52</v>
      </c>
      <c r="F367" s="227" t="s">
        <v>90</v>
      </c>
      <c r="G367" s="227" t="s">
        <v>84</v>
      </c>
      <c r="H367" s="231">
        <v>1</v>
      </c>
      <c r="I367" s="232">
        <v>1800</v>
      </c>
      <c r="J367" s="230">
        <v>46048</v>
      </c>
      <c r="K367" s="227" t="s">
        <v>93</v>
      </c>
      <c r="L367" s="227" t="s">
        <v>94</v>
      </c>
      <c r="M367" s="233">
        <v>0</v>
      </c>
      <c r="N367" s="231"/>
      <c r="O367" s="231"/>
      <c r="P367" s="234">
        <v>1057.1400000000001</v>
      </c>
    </row>
    <row r="368" spans="1:16" ht="19.5" customHeight="1">
      <c r="A368" s="227" t="s">
        <v>1172</v>
      </c>
      <c r="B368" s="230">
        <v>46050</v>
      </c>
      <c r="C368" s="227" t="s">
        <v>104</v>
      </c>
      <c r="D368" s="227" t="s">
        <v>105</v>
      </c>
      <c r="E368" s="227" t="s">
        <v>52</v>
      </c>
      <c r="F368" s="227" t="s">
        <v>90</v>
      </c>
      <c r="G368" s="227" t="s">
        <v>84</v>
      </c>
      <c r="H368" s="231">
        <v>1</v>
      </c>
      <c r="I368" s="232">
        <v>1800</v>
      </c>
      <c r="J368" s="230">
        <v>46048</v>
      </c>
      <c r="K368" s="227" t="s">
        <v>93</v>
      </c>
      <c r="L368" s="227" t="s">
        <v>94</v>
      </c>
      <c r="M368" s="233">
        <v>0.43</v>
      </c>
      <c r="N368" s="231"/>
      <c r="O368" s="231"/>
      <c r="P368" s="234">
        <v>-774</v>
      </c>
    </row>
    <row r="369" spans="1:16" ht="19.5" customHeight="1">
      <c r="A369" s="227" t="s">
        <v>1172</v>
      </c>
      <c r="B369" s="230">
        <v>46050</v>
      </c>
      <c r="C369" s="227" t="s">
        <v>81</v>
      </c>
      <c r="D369" s="227" t="s">
        <v>95</v>
      </c>
      <c r="E369" s="227" t="s">
        <v>52</v>
      </c>
      <c r="F369" s="227" t="s">
        <v>90</v>
      </c>
      <c r="G369" s="227" t="s">
        <v>84</v>
      </c>
      <c r="H369" s="231">
        <v>1</v>
      </c>
      <c r="I369" s="232">
        <v>1800</v>
      </c>
      <c r="J369" s="230">
        <v>46048</v>
      </c>
      <c r="K369" s="227" t="s">
        <v>93</v>
      </c>
      <c r="L369" s="227" t="s">
        <v>94</v>
      </c>
      <c r="M369" s="233">
        <v>0.43</v>
      </c>
      <c r="N369" s="231"/>
      <c r="O369" s="231"/>
      <c r="P369" s="234">
        <v>-12.36</v>
      </c>
    </row>
    <row r="370" spans="1:16" ht="19.5" customHeight="1">
      <c r="A370" s="227" t="s">
        <v>1173</v>
      </c>
      <c r="B370" s="230">
        <v>46050</v>
      </c>
      <c r="C370" s="227" t="s">
        <v>92</v>
      </c>
      <c r="D370" s="227" t="s">
        <v>24</v>
      </c>
      <c r="E370" s="227" t="s">
        <v>43</v>
      </c>
      <c r="F370" s="227" t="s">
        <v>125</v>
      </c>
      <c r="G370" s="227" t="s">
        <v>84</v>
      </c>
      <c r="H370" s="231">
        <v>1</v>
      </c>
      <c r="I370" s="232">
        <v>1750</v>
      </c>
      <c r="J370" s="230">
        <v>46048</v>
      </c>
      <c r="K370" s="227" t="s">
        <v>93</v>
      </c>
      <c r="L370" s="227" t="s">
        <v>94</v>
      </c>
      <c r="M370" s="233">
        <v>0.43</v>
      </c>
      <c r="N370" s="231"/>
      <c r="O370" s="231">
        <v>44</v>
      </c>
      <c r="P370" s="234">
        <v>-131.37</v>
      </c>
    </row>
    <row r="371" spans="1:16" ht="19.5" customHeight="1">
      <c r="A371" s="227" t="s">
        <v>1173</v>
      </c>
      <c r="B371" s="230">
        <v>46050</v>
      </c>
      <c r="C371" s="227" t="s">
        <v>100</v>
      </c>
      <c r="D371" s="227" t="s">
        <v>101</v>
      </c>
      <c r="E371" s="227" t="s">
        <v>43</v>
      </c>
      <c r="F371" s="227" t="s">
        <v>125</v>
      </c>
      <c r="G371" s="227" t="s">
        <v>84</v>
      </c>
      <c r="H371" s="231">
        <v>1</v>
      </c>
      <c r="I371" s="232">
        <v>1750</v>
      </c>
      <c r="J371" s="230">
        <v>46048</v>
      </c>
      <c r="K371" s="227" t="s">
        <v>93</v>
      </c>
      <c r="L371" s="227" t="s">
        <v>94</v>
      </c>
      <c r="M371" s="233">
        <v>0</v>
      </c>
      <c r="N371" s="231"/>
      <c r="O371" s="231"/>
      <c r="P371" s="234">
        <v>666.67</v>
      </c>
    </row>
    <row r="372" spans="1:16" ht="19.5" customHeight="1">
      <c r="A372" s="227" t="s">
        <v>1173</v>
      </c>
      <c r="B372" s="230">
        <v>46050</v>
      </c>
      <c r="C372" s="227" t="s">
        <v>100</v>
      </c>
      <c r="D372" s="227" t="s">
        <v>102</v>
      </c>
      <c r="E372" s="227" t="s">
        <v>43</v>
      </c>
      <c r="F372" s="227" t="s">
        <v>125</v>
      </c>
      <c r="G372" s="227" t="s">
        <v>84</v>
      </c>
      <c r="H372" s="231">
        <v>1</v>
      </c>
      <c r="I372" s="232">
        <v>1750</v>
      </c>
      <c r="J372" s="230">
        <v>46048</v>
      </c>
      <c r="K372" s="227" t="s">
        <v>93</v>
      </c>
      <c r="L372" s="227" t="s">
        <v>94</v>
      </c>
      <c r="M372" s="233">
        <v>0</v>
      </c>
      <c r="N372" s="231"/>
      <c r="O372" s="231"/>
      <c r="P372" s="234">
        <v>0</v>
      </c>
    </row>
    <row r="373" spans="1:16" ht="19.5" customHeight="1">
      <c r="A373" s="227" t="s">
        <v>1173</v>
      </c>
      <c r="B373" s="230">
        <v>46050</v>
      </c>
      <c r="C373" s="227" t="s">
        <v>100</v>
      </c>
      <c r="D373" s="227" t="s">
        <v>103</v>
      </c>
      <c r="E373" s="227" t="s">
        <v>43</v>
      </c>
      <c r="F373" s="227" t="s">
        <v>125</v>
      </c>
      <c r="G373" s="227" t="s">
        <v>84</v>
      </c>
      <c r="H373" s="231">
        <v>1</v>
      </c>
      <c r="I373" s="232">
        <v>1750</v>
      </c>
      <c r="J373" s="230">
        <v>46048</v>
      </c>
      <c r="K373" s="227" t="s">
        <v>93</v>
      </c>
      <c r="L373" s="227" t="s">
        <v>94</v>
      </c>
      <c r="M373" s="233">
        <v>0</v>
      </c>
      <c r="N373" s="231"/>
      <c r="O373" s="231"/>
      <c r="P373" s="234">
        <v>1083.33</v>
      </c>
    </row>
    <row r="374" spans="1:16" ht="19.5" customHeight="1">
      <c r="A374" s="227" t="s">
        <v>1173</v>
      </c>
      <c r="B374" s="230">
        <v>46050</v>
      </c>
      <c r="C374" s="227" t="s">
        <v>104</v>
      </c>
      <c r="D374" s="227" t="s">
        <v>105</v>
      </c>
      <c r="E374" s="227" t="s">
        <v>43</v>
      </c>
      <c r="F374" s="227" t="s">
        <v>125</v>
      </c>
      <c r="G374" s="227" t="s">
        <v>84</v>
      </c>
      <c r="H374" s="231">
        <v>1</v>
      </c>
      <c r="I374" s="232">
        <v>1750</v>
      </c>
      <c r="J374" s="230">
        <v>46048</v>
      </c>
      <c r="K374" s="227" t="s">
        <v>93</v>
      </c>
      <c r="L374" s="227" t="s">
        <v>94</v>
      </c>
      <c r="M374" s="233">
        <v>0.43</v>
      </c>
      <c r="N374" s="231"/>
      <c r="O374" s="231"/>
      <c r="P374" s="234">
        <v>-752.5</v>
      </c>
    </row>
    <row r="375" spans="1:16" ht="19.5" customHeight="1">
      <c r="A375" s="227" t="s">
        <v>1173</v>
      </c>
      <c r="B375" s="230">
        <v>46050</v>
      </c>
      <c r="C375" s="227" t="s">
        <v>81</v>
      </c>
      <c r="D375" s="227" t="s">
        <v>95</v>
      </c>
      <c r="E375" s="227" t="s">
        <v>43</v>
      </c>
      <c r="F375" s="227" t="s">
        <v>125</v>
      </c>
      <c r="G375" s="227" t="s">
        <v>84</v>
      </c>
      <c r="H375" s="231">
        <v>1</v>
      </c>
      <c r="I375" s="232">
        <v>1750</v>
      </c>
      <c r="J375" s="230">
        <v>46048</v>
      </c>
      <c r="K375" s="227" t="s">
        <v>93</v>
      </c>
      <c r="L375" s="227" t="s">
        <v>94</v>
      </c>
      <c r="M375" s="233">
        <v>0.43</v>
      </c>
      <c r="N375" s="231"/>
      <c r="O375" s="231"/>
      <c r="P375" s="234">
        <v>-17.02</v>
      </c>
    </row>
    <row r="376" spans="1:16" ht="19.5" customHeight="1">
      <c r="A376" s="227" t="s">
        <v>1174</v>
      </c>
      <c r="B376" s="230">
        <v>46050</v>
      </c>
      <c r="C376" s="227" t="s">
        <v>81</v>
      </c>
      <c r="D376" s="227" t="s">
        <v>82</v>
      </c>
      <c r="E376" s="227" t="s">
        <v>52</v>
      </c>
      <c r="F376" s="227" t="s">
        <v>90</v>
      </c>
      <c r="G376" s="227" t="s">
        <v>84</v>
      </c>
      <c r="H376" s="231">
        <v>1</v>
      </c>
      <c r="I376" s="232">
        <v>0</v>
      </c>
      <c r="J376" s="230">
        <v>46050</v>
      </c>
      <c r="K376" s="227" t="s">
        <v>85</v>
      </c>
      <c r="L376" s="227" t="s">
        <v>85</v>
      </c>
      <c r="M376" s="233">
        <v>0</v>
      </c>
      <c r="N376" s="231"/>
      <c r="O376" s="231"/>
      <c r="P376" s="234">
        <v>-11.62</v>
      </c>
    </row>
    <row r="377" spans="1:16" ht="19.5" customHeight="1">
      <c r="A377" s="227" t="s">
        <v>1175</v>
      </c>
      <c r="B377" s="230">
        <v>46050</v>
      </c>
      <c r="C377" s="227" t="s">
        <v>81</v>
      </c>
      <c r="D377" s="227" t="s">
        <v>82</v>
      </c>
      <c r="E377" s="227" t="s">
        <v>53</v>
      </c>
      <c r="F377" s="227" t="s">
        <v>120</v>
      </c>
      <c r="G377" s="227" t="s">
        <v>84</v>
      </c>
      <c r="H377" s="231">
        <v>1</v>
      </c>
      <c r="I377" s="232">
        <v>0</v>
      </c>
      <c r="J377" s="230">
        <v>46050</v>
      </c>
      <c r="K377" s="227" t="s">
        <v>85</v>
      </c>
      <c r="L377" s="227" t="s">
        <v>85</v>
      </c>
      <c r="M377" s="233">
        <v>0</v>
      </c>
      <c r="N377" s="231"/>
      <c r="O377" s="231"/>
      <c r="P377" s="234">
        <v>-6.27</v>
      </c>
    </row>
    <row r="378" spans="1:16" ht="19.5" customHeight="1">
      <c r="A378" s="227" t="s">
        <v>1176</v>
      </c>
      <c r="B378" s="230">
        <v>46050</v>
      </c>
      <c r="C378" s="227" t="s">
        <v>92</v>
      </c>
      <c r="D378" s="227" t="s">
        <v>24</v>
      </c>
      <c r="E378" s="227" t="s">
        <v>53</v>
      </c>
      <c r="F378" s="227" t="s">
        <v>120</v>
      </c>
      <c r="G378" s="227" t="s">
        <v>84</v>
      </c>
      <c r="H378" s="231">
        <v>1</v>
      </c>
      <c r="I378" s="232">
        <v>1812</v>
      </c>
      <c r="J378" s="230">
        <v>46047</v>
      </c>
      <c r="K378" s="227" t="s">
        <v>93</v>
      </c>
      <c r="L378" s="227" t="s">
        <v>94</v>
      </c>
      <c r="M378" s="233">
        <v>0.43</v>
      </c>
      <c r="N378" s="231"/>
      <c r="O378" s="231">
        <v>41</v>
      </c>
      <c r="P378" s="234">
        <v>-135.16</v>
      </c>
    </row>
    <row r="379" spans="1:16" ht="19.5" customHeight="1">
      <c r="A379" s="227" t="s">
        <v>1176</v>
      </c>
      <c r="B379" s="230">
        <v>46050</v>
      </c>
      <c r="C379" s="227" t="s">
        <v>100</v>
      </c>
      <c r="D379" s="227" t="s">
        <v>101</v>
      </c>
      <c r="E379" s="227" t="s">
        <v>53</v>
      </c>
      <c r="F379" s="227" t="s">
        <v>120</v>
      </c>
      <c r="G379" s="227" t="s">
        <v>84</v>
      </c>
      <c r="H379" s="231">
        <v>1</v>
      </c>
      <c r="I379" s="232">
        <v>1812</v>
      </c>
      <c r="J379" s="230">
        <v>46047</v>
      </c>
      <c r="K379" s="227" t="s">
        <v>93</v>
      </c>
      <c r="L379" s="227" t="s">
        <v>94</v>
      </c>
      <c r="M379" s="233">
        <v>0</v>
      </c>
      <c r="N379" s="231"/>
      <c r="O379" s="231"/>
      <c r="P379" s="234">
        <v>631.42999999999995</v>
      </c>
    </row>
    <row r="380" spans="1:16" ht="19.5" customHeight="1">
      <c r="A380" s="227" t="s">
        <v>1176</v>
      </c>
      <c r="B380" s="230">
        <v>46050</v>
      </c>
      <c r="C380" s="227" t="s">
        <v>100</v>
      </c>
      <c r="D380" s="227" t="s">
        <v>102</v>
      </c>
      <c r="E380" s="227" t="s">
        <v>53</v>
      </c>
      <c r="F380" s="227" t="s">
        <v>120</v>
      </c>
      <c r="G380" s="227" t="s">
        <v>84</v>
      </c>
      <c r="H380" s="231">
        <v>1</v>
      </c>
      <c r="I380" s="232">
        <v>1812</v>
      </c>
      <c r="J380" s="230">
        <v>46047</v>
      </c>
      <c r="K380" s="227" t="s">
        <v>93</v>
      </c>
      <c r="L380" s="227" t="s">
        <v>94</v>
      </c>
      <c r="M380" s="233">
        <v>0</v>
      </c>
      <c r="N380" s="231"/>
      <c r="O380" s="231"/>
      <c r="P380" s="234">
        <v>6.31</v>
      </c>
    </row>
    <row r="381" spans="1:16" ht="19.5" customHeight="1">
      <c r="A381" s="227" t="s">
        <v>1176</v>
      </c>
      <c r="B381" s="230">
        <v>46050</v>
      </c>
      <c r="C381" s="227" t="s">
        <v>100</v>
      </c>
      <c r="D381" s="227" t="s">
        <v>103</v>
      </c>
      <c r="E381" s="227" t="s">
        <v>53</v>
      </c>
      <c r="F381" s="227" t="s">
        <v>120</v>
      </c>
      <c r="G381" s="227" t="s">
        <v>84</v>
      </c>
      <c r="H381" s="231">
        <v>1</v>
      </c>
      <c r="I381" s="232">
        <v>1812</v>
      </c>
      <c r="J381" s="230">
        <v>46047</v>
      </c>
      <c r="K381" s="227" t="s">
        <v>93</v>
      </c>
      <c r="L381" s="227" t="s">
        <v>94</v>
      </c>
      <c r="M381" s="233">
        <v>0</v>
      </c>
      <c r="N381" s="231"/>
      <c r="O381" s="231"/>
      <c r="P381" s="234">
        <v>1174.26</v>
      </c>
    </row>
    <row r="382" spans="1:16" ht="19.5" customHeight="1">
      <c r="A382" s="227" t="s">
        <v>1176</v>
      </c>
      <c r="B382" s="230">
        <v>46050</v>
      </c>
      <c r="C382" s="227" t="s">
        <v>104</v>
      </c>
      <c r="D382" s="227" t="s">
        <v>105</v>
      </c>
      <c r="E382" s="227" t="s">
        <v>53</v>
      </c>
      <c r="F382" s="227" t="s">
        <v>120</v>
      </c>
      <c r="G382" s="227" t="s">
        <v>84</v>
      </c>
      <c r="H382" s="231">
        <v>1</v>
      </c>
      <c r="I382" s="232">
        <v>1812</v>
      </c>
      <c r="J382" s="230">
        <v>46047</v>
      </c>
      <c r="K382" s="227" t="s">
        <v>93</v>
      </c>
      <c r="L382" s="227" t="s">
        <v>94</v>
      </c>
      <c r="M382" s="233">
        <v>0.43</v>
      </c>
      <c r="N382" s="231"/>
      <c r="O382" s="231"/>
      <c r="P382" s="234">
        <v>-779.16</v>
      </c>
    </row>
    <row r="383" spans="1:16" ht="19.5" customHeight="1">
      <c r="A383" s="227" t="s">
        <v>1176</v>
      </c>
      <c r="B383" s="230">
        <v>46050</v>
      </c>
      <c r="C383" s="227" t="s">
        <v>81</v>
      </c>
      <c r="D383" s="227" t="s">
        <v>95</v>
      </c>
      <c r="E383" s="227" t="s">
        <v>53</v>
      </c>
      <c r="F383" s="227" t="s">
        <v>120</v>
      </c>
      <c r="G383" s="227" t="s">
        <v>84</v>
      </c>
      <c r="H383" s="231">
        <v>1</v>
      </c>
      <c r="I383" s="232">
        <v>1812</v>
      </c>
      <c r="J383" s="230">
        <v>46047</v>
      </c>
      <c r="K383" s="227" t="s">
        <v>93</v>
      </c>
      <c r="L383" s="227" t="s">
        <v>94</v>
      </c>
      <c r="M383" s="233">
        <v>0.43</v>
      </c>
      <c r="N383" s="231"/>
      <c r="O383" s="231"/>
      <c r="P383" s="234">
        <v>-13.24</v>
      </c>
    </row>
    <row r="384" spans="1:16" ht="19.5" customHeight="1">
      <c r="A384" s="227" t="s">
        <v>1176</v>
      </c>
      <c r="B384" s="230">
        <v>46050</v>
      </c>
      <c r="C384" s="227" t="s">
        <v>81</v>
      </c>
      <c r="D384" s="227" t="s">
        <v>82</v>
      </c>
      <c r="E384" s="227" t="s">
        <v>53</v>
      </c>
      <c r="F384" s="227" t="s">
        <v>120</v>
      </c>
      <c r="G384" s="227" t="s">
        <v>84</v>
      </c>
      <c r="H384" s="231">
        <v>1</v>
      </c>
      <c r="I384" s="232">
        <v>0</v>
      </c>
      <c r="J384" s="230">
        <v>46047</v>
      </c>
      <c r="K384" s="227" t="s">
        <v>85</v>
      </c>
      <c r="L384" s="227" t="s">
        <v>85</v>
      </c>
      <c r="M384" s="233">
        <v>0</v>
      </c>
      <c r="N384" s="231"/>
      <c r="O384" s="231"/>
      <c r="P384" s="234">
        <v>-12</v>
      </c>
    </row>
    <row r="385" spans="1:16" ht="19.5" customHeight="1">
      <c r="A385" s="227" t="s">
        <v>1177</v>
      </c>
      <c r="B385" s="230">
        <v>46050</v>
      </c>
      <c r="C385" s="227" t="s">
        <v>92</v>
      </c>
      <c r="D385" s="227" t="s">
        <v>24</v>
      </c>
      <c r="E385" s="227" t="s">
        <v>53</v>
      </c>
      <c r="F385" s="227" t="s">
        <v>120</v>
      </c>
      <c r="G385" s="227" t="s">
        <v>84</v>
      </c>
      <c r="H385" s="231">
        <v>1</v>
      </c>
      <c r="I385" s="232">
        <v>1845</v>
      </c>
      <c r="J385" s="230">
        <v>46044</v>
      </c>
      <c r="K385" s="227" t="s">
        <v>93</v>
      </c>
      <c r="L385" s="227" t="s">
        <v>94</v>
      </c>
      <c r="M385" s="233">
        <v>0.43</v>
      </c>
      <c r="N385" s="231"/>
      <c r="O385" s="231">
        <v>42</v>
      </c>
      <c r="P385" s="234">
        <v>-140.5</v>
      </c>
    </row>
    <row r="386" spans="1:16" ht="19.5" customHeight="1">
      <c r="A386" s="227" t="s">
        <v>1177</v>
      </c>
      <c r="B386" s="230">
        <v>46050</v>
      </c>
      <c r="C386" s="227" t="s">
        <v>100</v>
      </c>
      <c r="D386" s="227" t="s">
        <v>101</v>
      </c>
      <c r="E386" s="227" t="s">
        <v>53</v>
      </c>
      <c r="F386" s="227" t="s">
        <v>120</v>
      </c>
      <c r="G386" s="227" t="s">
        <v>84</v>
      </c>
      <c r="H386" s="231">
        <v>1</v>
      </c>
      <c r="I386" s="232">
        <v>1845</v>
      </c>
      <c r="J386" s="230">
        <v>46044</v>
      </c>
      <c r="K386" s="227" t="s">
        <v>93</v>
      </c>
      <c r="L386" s="227" t="s">
        <v>94</v>
      </c>
      <c r="M386" s="233">
        <v>0</v>
      </c>
      <c r="N386" s="231"/>
      <c r="O386" s="231"/>
      <c r="P386" s="234">
        <v>642.86</v>
      </c>
    </row>
    <row r="387" spans="1:16" ht="19.5" customHeight="1">
      <c r="A387" s="227" t="s">
        <v>1177</v>
      </c>
      <c r="B387" s="230">
        <v>46050</v>
      </c>
      <c r="C387" s="227" t="s">
        <v>100</v>
      </c>
      <c r="D387" s="227" t="s">
        <v>102</v>
      </c>
      <c r="E387" s="227" t="s">
        <v>53</v>
      </c>
      <c r="F387" s="227" t="s">
        <v>120</v>
      </c>
      <c r="G387" s="227" t="s">
        <v>84</v>
      </c>
      <c r="H387" s="231">
        <v>1</v>
      </c>
      <c r="I387" s="232">
        <v>1845</v>
      </c>
      <c r="J387" s="230">
        <v>46044</v>
      </c>
      <c r="K387" s="227" t="s">
        <v>93</v>
      </c>
      <c r="L387" s="227" t="s">
        <v>94</v>
      </c>
      <c r="M387" s="233">
        <v>0</v>
      </c>
      <c r="N387" s="231"/>
      <c r="O387" s="231"/>
      <c r="P387" s="234">
        <v>6.43</v>
      </c>
    </row>
    <row r="388" spans="1:16" ht="19.5" customHeight="1">
      <c r="A388" s="227" t="s">
        <v>1177</v>
      </c>
      <c r="B388" s="230">
        <v>46050</v>
      </c>
      <c r="C388" s="227" t="s">
        <v>100</v>
      </c>
      <c r="D388" s="227" t="s">
        <v>103</v>
      </c>
      <c r="E388" s="227" t="s">
        <v>53</v>
      </c>
      <c r="F388" s="227" t="s">
        <v>120</v>
      </c>
      <c r="G388" s="227" t="s">
        <v>84</v>
      </c>
      <c r="H388" s="231">
        <v>1</v>
      </c>
      <c r="I388" s="232">
        <v>1845</v>
      </c>
      <c r="J388" s="230">
        <v>46044</v>
      </c>
      <c r="K388" s="227" t="s">
        <v>93</v>
      </c>
      <c r="L388" s="227" t="s">
        <v>94</v>
      </c>
      <c r="M388" s="233">
        <v>0</v>
      </c>
      <c r="N388" s="231"/>
      <c r="O388" s="231"/>
      <c r="P388" s="234">
        <v>1195.71</v>
      </c>
    </row>
    <row r="389" spans="1:16" ht="19.5" customHeight="1">
      <c r="A389" s="227" t="s">
        <v>1177</v>
      </c>
      <c r="B389" s="230">
        <v>46050</v>
      </c>
      <c r="C389" s="227" t="s">
        <v>104</v>
      </c>
      <c r="D389" s="227" t="s">
        <v>105</v>
      </c>
      <c r="E389" s="227" t="s">
        <v>53</v>
      </c>
      <c r="F389" s="227" t="s">
        <v>120</v>
      </c>
      <c r="G389" s="227" t="s">
        <v>84</v>
      </c>
      <c r="H389" s="231">
        <v>1</v>
      </c>
      <c r="I389" s="232">
        <v>1845</v>
      </c>
      <c r="J389" s="230">
        <v>46044</v>
      </c>
      <c r="K389" s="227" t="s">
        <v>93</v>
      </c>
      <c r="L389" s="227" t="s">
        <v>94</v>
      </c>
      <c r="M389" s="233">
        <v>0.43</v>
      </c>
      <c r="N389" s="231"/>
      <c r="O389" s="231"/>
      <c r="P389" s="234">
        <v>-793.35</v>
      </c>
    </row>
    <row r="390" spans="1:16" ht="19.5" customHeight="1">
      <c r="A390" s="227" t="s">
        <v>1178</v>
      </c>
      <c r="B390" s="230">
        <v>46050</v>
      </c>
      <c r="C390" s="227" t="s">
        <v>81</v>
      </c>
      <c r="D390" s="227" t="s">
        <v>82</v>
      </c>
      <c r="E390" s="227" t="s">
        <v>52</v>
      </c>
      <c r="F390" s="227" t="s">
        <v>90</v>
      </c>
      <c r="G390" s="227" t="s">
        <v>84</v>
      </c>
      <c r="H390" s="231">
        <v>1</v>
      </c>
      <c r="I390" s="232">
        <v>0</v>
      </c>
      <c r="J390" s="230">
        <v>46050</v>
      </c>
      <c r="K390" s="227" t="s">
        <v>85</v>
      </c>
      <c r="L390" s="227" t="s">
        <v>85</v>
      </c>
      <c r="M390" s="233">
        <v>0</v>
      </c>
      <c r="N390" s="231"/>
      <c r="O390" s="231"/>
      <c r="P390" s="234">
        <v>-12.23</v>
      </c>
    </row>
    <row r="391" spans="1:16" ht="19.5" customHeight="1">
      <c r="A391" s="227" t="s">
        <v>1179</v>
      </c>
      <c r="B391" s="230">
        <v>46050</v>
      </c>
      <c r="C391" s="227" t="s">
        <v>81</v>
      </c>
      <c r="D391" s="227" t="s">
        <v>82</v>
      </c>
      <c r="E391" s="227" t="s">
        <v>52</v>
      </c>
      <c r="F391" s="227" t="s">
        <v>90</v>
      </c>
      <c r="G391" s="227" t="s">
        <v>84</v>
      </c>
      <c r="H391" s="231">
        <v>1</v>
      </c>
      <c r="I391" s="232">
        <v>0</v>
      </c>
      <c r="J391" s="230">
        <v>46050</v>
      </c>
      <c r="K391" s="227" t="s">
        <v>85</v>
      </c>
      <c r="L391" s="227" t="s">
        <v>85</v>
      </c>
      <c r="M391" s="233">
        <v>0</v>
      </c>
      <c r="N391" s="231"/>
      <c r="O391" s="231"/>
      <c r="P391" s="234">
        <v>-4.71</v>
      </c>
    </row>
    <row r="392" spans="1:16" ht="19.5" customHeight="1">
      <c r="A392" s="227" t="s">
        <v>1180</v>
      </c>
      <c r="B392" s="230">
        <v>46050</v>
      </c>
      <c r="C392" s="227" t="s">
        <v>92</v>
      </c>
      <c r="D392" s="227" t="s">
        <v>24</v>
      </c>
      <c r="E392" s="227" t="s">
        <v>53</v>
      </c>
      <c r="F392" s="227" t="s">
        <v>120</v>
      </c>
      <c r="G392" s="227" t="s">
        <v>84</v>
      </c>
      <c r="H392" s="231">
        <v>1</v>
      </c>
      <c r="I392" s="232">
        <v>1812</v>
      </c>
      <c r="J392" s="230">
        <v>46048</v>
      </c>
      <c r="K392" s="227" t="s">
        <v>93</v>
      </c>
      <c r="L392" s="227" t="s">
        <v>94</v>
      </c>
      <c r="M392" s="233">
        <v>0.43</v>
      </c>
      <c r="N392" s="231"/>
      <c r="O392" s="231">
        <v>44</v>
      </c>
      <c r="P392" s="234">
        <v>-148.36000000000001</v>
      </c>
    </row>
    <row r="393" spans="1:16" ht="19.5" customHeight="1">
      <c r="A393" s="227" t="s">
        <v>1180</v>
      </c>
      <c r="B393" s="230">
        <v>46050</v>
      </c>
      <c r="C393" s="227" t="s">
        <v>100</v>
      </c>
      <c r="D393" s="227" t="s">
        <v>101</v>
      </c>
      <c r="E393" s="227" t="s">
        <v>53</v>
      </c>
      <c r="F393" s="227" t="s">
        <v>120</v>
      </c>
      <c r="G393" s="227" t="s">
        <v>84</v>
      </c>
      <c r="H393" s="231">
        <v>1</v>
      </c>
      <c r="I393" s="232">
        <v>1812</v>
      </c>
      <c r="J393" s="230">
        <v>46048</v>
      </c>
      <c r="K393" s="227" t="s">
        <v>93</v>
      </c>
      <c r="L393" s="227" t="s">
        <v>94</v>
      </c>
      <c r="M393" s="233">
        <v>0</v>
      </c>
      <c r="N393" s="231"/>
      <c r="O393" s="231"/>
      <c r="P393" s="234">
        <v>668.57</v>
      </c>
    </row>
    <row r="394" spans="1:16" ht="19.5" customHeight="1">
      <c r="A394" s="227" t="s">
        <v>1180</v>
      </c>
      <c r="B394" s="230">
        <v>46050</v>
      </c>
      <c r="C394" s="227" t="s">
        <v>100</v>
      </c>
      <c r="D394" s="227" t="s">
        <v>102</v>
      </c>
      <c r="E394" s="227" t="s">
        <v>53</v>
      </c>
      <c r="F394" s="227" t="s">
        <v>120</v>
      </c>
      <c r="G394" s="227" t="s">
        <v>84</v>
      </c>
      <c r="H394" s="231">
        <v>1</v>
      </c>
      <c r="I394" s="232">
        <v>1812</v>
      </c>
      <c r="J394" s="230">
        <v>46048</v>
      </c>
      <c r="K394" s="227" t="s">
        <v>93</v>
      </c>
      <c r="L394" s="227" t="s">
        <v>94</v>
      </c>
      <c r="M394" s="233">
        <v>0</v>
      </c>
      <c r="N394" s="231"/>
      <c r="O394" s="231"/>
      <c r="P394" s="234">
        <v>6.69</v>
      </c>
    </row>
    <row r="395" spans="1:16" ht="19.5" customHeight="1">
      <c r="A395" s="227" t="s">
        <v>1180</v>
      </c>
      <c r="B395" s="230">
        <v>46050</v>
      </c>
      <c r="C395" s="227" t="s">
        <v>100</v>
      </c>
      <c r="D395" s="227" t="s">
        <v>103</v>
      </c>
      <c r="E395" s="227" t="s">
        <v>53</v>
      </c>
      <c r="F395" s="227" t="s">
        <v>120</v>
      </c>
      <c r="G395" s="227" t="s">
        <v>84</v>
      </c>
      <c r="H395" s="231">
        <v>1</v>
      </c>
      <c r="I395" s="232">
        <v>1812</v>
      </c>
      <c r="J395" s="230">
        <v>46048</v>
      </c>
      <c r="K395" s="227" t="s">
        <v>93</v>
      </c>
      <c r="L395" s="227" t="s">
        <v>94</v>
      </c>
      <c r="M395" s="233">
        <v>0</v>
      </c>
      <c r="N395" s="231"/>
      <c r="O395" s="231"/>
      <c r="P395" s="234">
        <v>1136.74</v>
      </c>
    </row>
    <row r="396" spans="1:16" ht="19.5" customHeight="1">
      <c r="A396" s="227" t="s">
        <v>1180</v>
      </c>
      <c r="B396" s="230">
        <v>46050</v>
      </c>
      <c r="C396" s="227" t="s">
        <v>104</v>
      </c>
      <c r="D396" s="227" t="s">
        <v>105</v>
      </c>
      <c r="E396" s="227" t="s">
        <v>53</v>
      </c>
      <c r="F396" s="227" t="s">
        <v>120</v>
      </c>
      <c r="G396" s="227" t="s">
        <v>84</v>
      </c>
      <c r="H396" s="231">
        <v>1</v>
      </c>
      <c r="I396" s="232">
        <v>1812</v>
      </c>
      <c r="J396" s="230">
        <v>46048</v>
      </c>
      <c r="K396" s="227" t="s">
        <v>93</v>
      </c>
      <c r="L396" s="227" t="s">
        <v>94</v>
      </c>
      <c r="M396" s="233">
        <v>0.43</v>
      </c>
      <c r="N396" s="231"/>
      <c r="O396" s="231"/>
      <c r="P396" s="234">
        <v>-779.16</v>
      </c>
    </row>
    <row r="397" spans="1:16" ht="19.5" customHeight="1">
      <c r="A397" s="227" t="s">
        <v>1180</v>
      </c>
      <c r="B397" s="230">
        <v>46050</v>
      </c>
      <c r="C397" s="227" t="s">
        <v>81</v>
      </c>
      <c r="D397" s="227" t="s">
        <v>95</v>
      </c>
      <c r="E397" s="227" t="s">
        <v>53</v>
      </c>
      <c r="F397" s="227" t="s">
        <v>120</v>
      </c>
      <c r="G397" s="227" t="s">
        <v>84</v>
      </c>
      <c r="H397" s="231">
        <v>1</v>
      </c>
      <c r="I397" s="232">
        <v>1812</v>
      </c>
      <c r="J397" s="230">
        <v>46048</v>
      </c>
      <c r="K397" s="227" t="s">
        <v>93</v>
      </c>
      <c r="L397" s="227" t="s">
        <v>94</v>
      </c>
      <c r="M397" s="233">
        <v>0.43</v>
      </c>
      <c r="N397" s="231"/>
      <c r="O397" s="231"/>
      <c r="P397" s="234">
        <v>-9.4700000000000006</v>
      </c>
    </row>
    <row r="398" spans="1:16" ht="19.5" customHeight="1">
      <c r="A398" s="227" t="s">
        <v>1181</v>
      </c>
      <c r="B398" s="230">
        <v>46050</v>
      </c>
      <c r="C398" s="227" t="s">
        <v>81</v>
      </c>
      <c r="D398" s="227" t="s">
        <v>82</v>
      </c>
      <c r="E398" s="227" t="s">
        <v>53</v>
      </c>
      <c r="F398" s="227" t="s">
        <v>120</v>
      </c>
      <c r="G398" s="227" t="s">
        <v>84</v>
      </c>
      <c r="H398" s="231">
        <v>1</v>
      </c>
      <c r="I398" s="232">
        <v>0</v>
      </c>
      <c r="J398" s="230">
        <v>46050</v>
      </c>
      <c r="K398" s="227" t="s">
        <v>85</v>
      </c>
      <c r="L398" s="227" t="s">
        <v>85</v>
      </c>
      <c r="M398" s="233">
        <v>0</v>
      </c>
      <c r="N398" s="231"/>
      <c r="O398" s="231"/>
      <c r="P398" s="234">
        <v>-2.76</v>
      </c>
    </row>
    <row r="399" spans="1:16" ht="19.5" customHeight="1">
      <c r="A399" s="227" t="s">
        <v>1182</v>
      </c>
      <c r="B399" s="230">
        <v>46050</v>
      </c>
      <c r="C399" s="227" t="s">
        <v>92</v>
      </c>
      <c r="D399" s="227" t="s">
        <v>24</v>
      </c>
      <c r="E399" s="227" t="s">
        <v>52</v>
      </c>
      <c r="F399" s="227" t="s">
        <v>90</v>
      </c>
      <c r="G399" s="227" t="s">
        <v>84</v>
      </c>
      <c r="H399" s="231">
        <v>1</v>
      </c>
      <c r="I399" s="232">
        <v>1800</v>
      </c>
      <c r="J399" s="230">
        <v>46045</v>
      </c>
      <c r="K399" s="227" t="s">
        <v>93</v>
      </c>
      <c r="L399" s="227" t="s">
        <v>94</v>
      </c>
      <c r="M399" s="233">
        <v>0.43</v>
      </c>
      <c r="N399" s="231"/>
      <c r="O399" s="231">
        <v>40</v>
      </c>
      <c r="P399" s="234">
        <v>-130.46</v>
      </c>
    </row>
    <row r="400" spans="1:16" ht="19.5" customHeight="1">
      <c r="A400" s="227" t="s">
        <v>1182</v>
      </c>
      <c r="B400" s="230">
        <v>46050</v>
      </c>
      <c r="C400" s="227" t="s">
        <v>100</v>
      </c>
      <c r="D400" s="227" t="s">
        <v>101</v>
      </c>
      <c r="E400" s="227" t="s">
        <v>52</v>
      </c>
      <c r="F400" s="227" t="s">
        <v>90</v>
      </c>
      <c r="G400" s="227" t="s">
        <v>84</v>
      </c>
      <c r="H400" s="231">
        <v>1</v>
      </c>
      <c r="I400" s="232">
        <v>1800</v>
      </c>
      <c r="J400" s="230">
        <v>46045</v>
      </c>
      <c r="K400" s="227" t="s">
        <v>93</v>
      </c>
      <c r="L400" s="227" t="s">
        <v>94</v>
      </c>
      <c r="M400" s="233">
        <v>0</v>
      </c>
      <c r="N400" s="231"/>
      <c r="O400" s="231"/>
      <c r="P400" s="234">
        <v>685.71</v>
      </c>
    </row>
    <row r="401" spans="1:16" ht="19.5" customHeight="1">
      <c r="A401" s="227" t="s">
        <v>1182</v>
      </c>
      <c r="B401" s="230">
        <v>46050</v>
      </c>
      <c r="C401" s="227" t="s">
        <v>100</v>
      </c>
      <c r="D401" s="227" t="s">
        <v>102</v>
      </c>
      <c r="E401" s="227" t="s">
        <v>52</v>
      </c>
      <c r="F401" s="227" t="s">
        <v>90</v>
      </c>
      <c r="G401" s="227" t="s">
        <v>84</v>
      </c>
      <c r="H401" s="231">
        <v>1</v>
      </c>
      <c r="I401" s="232">
        <v>1800</v>
      </c>
      <c r="J401" s="230">
        <v>46045</v>
      </c>
      <c r="K401" s="227" t="s">
        <v>93</v>
      </c>
      <c r="L401" s="227" t="s">
        <v>94</v>
      </c>
      <c r="M401" s="233">
        <v>0</v>
      </c>
      <c r="N401" s="231"/>
      <c r="O401" s="231"/>
      <c r="P401" s="234">
        <v>0</v>
      </c>
    </row>
    <row r="402" spans="1:16" ht="19.5" customHeight="1">
      <c r="A402" s="227" t="s">
        <v>1182</v>
      </c>
      <c r="B402" s="230">
        <v>46050</v>
      </c>
      <c r="C402" s="227" t="s">
        <v>100</v>
      </c>
      <c r="D402" s="227" t="s">
        <v>103</v>
      </c>
      <c r="E402" s="227" t="s">
        <v>52</v>
      </c>
      <c r="F402" s="227" t="s">
        <v>90</v>
      </c>
      <c r="G402" s="227" t="s">
        <v>84</v>
      </c>
      <c r="H402" s="231">
        <v>1</v>
      </c>
      <c r="I402" s="232">
        <v>1800</v>
      </c>
      <c r="J402" s="230">
        <v>46045</v>
      </c>
      <c r="K402" s="227" t="s">
        <v>93</v>
      </c>
      <c r="L402" s="227" t="s">
        <v>94</v>
      </c>
      <c r="M402" s="233">
        <v>0</v>
      </c>
      <c r="N402" s="231"/>
      <c r="O402" s="231"/>
      <c r="P402" s="234">
        <v>1114.29</v>
      </c>
    </row>
    <row r="403" spans="1:16" ht="19.5" customHeight="1">
      <c r="A403" s="227" t="s">
        <v>1182</v>
      </c>
      <c r="B403" s="230">
        <v>46050</v>
      </c>
      <c r="C403" s="227" t="s">
        <v>104</v>
      </c>
      <c r="D403" s="227" t="s">
        <v>105</v>
      </c>
      <c r="E403" s="227" t="s">
        <v>52</v>
      </c>
      <c r="F403" s="227" t="s">
        <v>90</v>
      </c>
      <c r="G403" s="227" t="s">
        <v>84</v>
      </c>
      <c r="H403" s="231">
        <v>1</v>
      </c>
      <c r="I403" s="232">
        <v>1800</v>
      </c>
      <c r="J403" s="230">
        <v>46045</v>
      </c>
      <c r="K403" s="227" t="s">
        <v>93</v>
      </c>
      <c r="L403" s="227" t="s">
        <v>94</v>
      </c>
      <c r="M403" s="233">
        <v>0.43</v>
      </c>
      <c r="N403" s="231"/>
      <c r="O403" s="231"/>
      <c r="P403" s="234">
        <v>-774</v>
      </c>
    </row>
    <row r="404" spans="1:16" ht="19.5" customHeight="1">
      <c r="A404" s="227" t="s">
        <v>1182</v>
      </c>
      <c r="B404" s="230">
        <v>46050</v>
      </c>
      <c r="C404" s="227" t="s">
        <v>81</v>
      </c>
      <c r="D404" s="227" t="s">
        <v>95</v>
      </c>
      <c r="E404" s="227" t="s">
        <v>52</v>
      </c>
      <c r="F404" s="227" t="s">
        <v>90</v>
      </c>
      <c r="G404" s="227" t="s">
        <v>84</v>
      </c>
      <c r="H404" s="231">
        <v>1</v>
      </c>
      <c r="I404" s="232">
        <v>1800</v>
      </c>
      <c r="J404" s="230">
        <v>46045</v>
      </c>
      <c r="K404" s="227" t="s">
        <v>93</v>
      </c>
      <c r="L404" s="227" t="s">
        <v>94</v>
      </c>
      <c r="M404" s="233">
        <v>0.43</v>
      </c>
      <c r="N404" s="231"/>
      <c r="O404" s="231"/>
      <c r="P404" s="234">
        <v>-7.56</v>
      </c>
    </row>
    <row r="405" spans="1:16" ht="19.5" customHeight="1">
      <c r="A405" s="227" t="s">
        <v>1183</v>
      </c>
      <c r="B405" s="230">
        <v>46050</v>
      </c>
      <c r="C405" s="227" t="s">
        <v>81</v>
      </c>
      <c r="D405" s="227" t="s">
        <v>82</v>
      </c>
      <c r="E405" s="227" t="s">
        <v>52</v>
      </c>
      <c r="F405" s="227" t="s">
        <v>90</v>
      </c>
      <c r="G405" s="227" t="s">
        <v>84</v>
      </c>
      <c r="H405" s="231">
        <v>1</v>
      </c>
      <c r="I405" s="232">
        <v>0</v>
      </c>
      <c r="J405" s="230">
        <v>46050</v>
      </c>
      <c r="K405" s="227" t="s">
        <v>85</v>
      </c>
      <c r="L405" s="227" t="s">
        <v>85</v>
      </c>
      <c r="M405" s="233">
        <v>0</v>
      </c>
      <c r="N405" s="231"/>
      <c r="O405" s="231"/>
      <c r="P405" s="234">
        <v>-12.23</v>
      </c>
    </row>
    <row r="406" spans="1:16" ht="19.5" customHeight="1">
      <c r="A406" s="227" t="s">
        <v>1184</v>
      </c>
      <c r="B406" s="230">
        <v>46050</v>
      </c>
      <c r="C406" s="227" t="s">
        <v>92</v>
      </c>
      <c r="D406" s="227" t="s">
        <v>24</v>
      </c>
      <c r="E406" s="227" t="s">
        <v>42</v>
      </c>
      <c r="F406" s="227" t="s">
        <v>89</v>
      </c>
      <c r="G406" s="227" t="s">
        <v>84</v>
      </c>
      <c r="H406" s="231">
        <v>1</v>
      </c>
      <c r="I406" s="232">
        <v>1662</v>
      </c>
      <c r="J406" s="230">
        <v>46049</v>
      </c>
      <c r="K406" s="227" t="s">
        <v>93</v>
      </c>
      <c r="L406" s="227" t="s">
        <v>94</v>
      </c>
      <c r="M406" s="233">
        <v>0.43</v>
      </c>
      <c r="N406" s="231"/>
      <c r="O406" s="231">
        <v>45</v>
      </c>
      <c r="P406" s="234">
        <v>-132.49</v>
      </c>
    </row>
    <row r="407" spans="1:16" ht="19.5" customHeight="1">
      <c r="A407" s="227" t="s">
        <v>1184</v>
      </c>
      <c r="B407" s="230">
        <v>46050</v>
      </c>
      <c r="C407" s="227" t="s">
        <v>100</v>
      </c>
      <c r="D407" s="227" t="s">
        <v>101</v>
      </c>
      <c r="E407" s="227" t="s">
        <v>42</v>
      </c>
      <c r="F407" s="227" t="s">
        <v>89</v>
      </c>
      <c r="G407" s="227" t="s">
        <v>84</v>
      </c>
      <c r="H407" s="231">
        <v>1</v>
      </c>
      <c r="I407" s="232">
        <v>1662</v>
      </c>
      <c r="J407" s="230">
        <v>46049</v>
      </c>
      <c r="K407" s="227" t="s">
        <v>93</v>
      </c>
      <c r="L407" s="227" t="s">
        <v>94</v>
      </c>
      <c r="M407" s="233">
        <v>0</v>
      </c>
      <c r="N407" s="231"/>
      <c r="O407" s="231"/>
      <c r="P407" s="234">
        <v>590.48</v>
      </c>
    </row>
    <row r="408" spans="1:16" ht="19.5" customHeight="1">
      <c r="A408" s="227" t="s">
        <v>1184</v>
      </c>
      <c r="B408" s="230">
        <v>46050</v>
      </c>
      <c r="C408" s="227" t="s">
        <v>100</v>
      </c>
      <c r="D408" s="227" t="s">
        <v>102</v>
      </c>
      <c r="E408" s="227" t="s">
        <v>42</v>
      </c>
      <c r="F408" s="227" t="s">
        <v>89</v>
      </c>
      <c r="G408" s="227" t="s">
        <v>84</v>
      </c>
      <c r="H408" s="231">
        <v>1</v>
      </c>
      <c r="I408" s="232">
        <v>1662</v>
      </c>
      <c r="J408" s="230">
        <v>46049</v>
      </c>
      <c r="K408" s="227" t="s">
        <v>93</v>
      </c>
      <c r="L408" s="227" t="s">
        <v>94</v>
      </c>
      <c r="M408" s="233">
        <v>0</v>
      </c>
      <c r="N408" s="231"/>
      <c r="O408" s="231"/>
      <c r="P408" s="234">
        <v>5.9</v>
      </c>
    </row>
    <row r="409" spans="1:16" ht="19.5" customHeight="1">
      <c r="A409" s="227" t="s">
        <v>1184</v>
      </c>
      <c r="B409" s="230">
        <v>46050</v>
      </c>
      <c r="C409" s="227" t="s">
        <v>100</v>
      </c>
      <c r="D409" s="227" t="s">
        <v>103</v>
      </c>
      <c r="E409" s="227" t="s">
        <v>42</v>
      </c>
      <c r="F409" s="227" t="s">
        <v>89</v>
      </c>
      <c r="G409" s="227" t="s">
        <v>84</v>
      </c>
      <c r="H409" s="231">
        <v>1</v>
      </c>
      <c r="I409" s="232">
        <v>1662</v>
      </c>
      <c r="J409" s="230">
        <v>46049</v>
      </c>
      <c r="K409" s="227" t="s">
        <v>93</v>
      </c>
      <c r="L409" s="227" t="s">
        <v>94</v>
      </c>
      <c r="M409" s="233">
        <v>0</v>
      </c>
      <c r="N409" s="231"/>
      <c r="O409" s="231"/>
      <c r="P409" s="234">
        <v>1065.6199999999999</v>
      </c>
    </row>
    <row r="410" spans="1:16" ht="19.5" customHeight="1">
      <c r="A410" s="227" t="s">
        <v>1184</v>
      </c>
      <c r="B410" s="230">
        <v>46050</v>
      </c>
      <c r="C410" s="227" t="s">
        <v>104</v>
      </c>
      <c r="D410" s="227" t="s">
        <v>105</v>
      </c>
      <c r="E410" s="227" t="s">
        <v>42</v>
      </c>
      <c r="F410" s="227" t="s">
        <v>89</v>
      </c>
      <c r="G410" s="227" t="s">
        <v>84</v>
      </c>
      <c r="H410" s="231">
        <v>1</v>
      </c>
      <c r="I410" s="232">
        <v>1662</v>
      </c>
      <c r="J410" s="230">
        <v>46049</v>
      </c>
      <c r="K410" s="227" t="s">
        <v>93</v>
      </c>
      <c r="L410" s="227" t="s">
        <v>94</v>
      </c>
      <c r="M410" s="233">
        <v>0.43</v>
      </c>
      <c r="N410" s="231"/>
      <c r="O410" s="231"/>
      <c r="P410" s="234">
        <v>-714.66</v>
      </c>
    </row>
    <row r="411" spans="1:16" ht="19.5" customHeight="1">
      <c r="A411" s="227" t="s">
        <v>1184</v>
      </c>
      <c r="B411" s="230">
        <v>46050</v>
      </c>
      <c r="C411" s="227" t="s">
        <v>81</v>
      </c>
      <c r="D411" s="227" t="s">
        <v>95</v>
      </c>
      <c r="E411" s="227" t="s">
        <v>42</v>
      </c>
      <c r="F411" s="227" t="s">
        <v>89</v>
      </c>
      <c r="G411" s="227" t="s">
        <v>84</v>
      </c>
      <c r="H411" s="231">
        <v>1</v>
      </c>
      <c r="I411" s="232">
        <v>1662</v>
      </c>
      <c r="J411" s="230">
        <v>46049</v>
      </c>
      <c r="K411" s="227" t="s">
        <v>93</v>
      </c>
      <c r="L411" s="227" t="s">
        <v>94</v>
      </c>
      <c r="M411" s="233">
        <v>0.43</v>
      </c>
      <c r="N411" s="231"/>
      <c r="O411" s="231"/>
      <c r="P411" s="234">
        <v>-9.43</v>
      </c>
    </row>
    <row r="412" spans="1:16" ht="19.5" customHeight="1">
      <c r="A412" s="227" t="s">
        <v>1185</v>
      </c>
      <c r="B412" s="230">
        <v>46050</v>
      </c>
      <c r="C412" s="227" t="s">
        <v>92</v>
      </c>
      <c r="D412" s="227" t="s">
        <v>24</v>
      </c>
      <c r="E412" s="227" t="s">
        <v>39</v>
      </c>
      <c r="F412" s="227" t="s">
        <v>117</v>
      </c>
      <c r="G412" s="227" t="s">
        <v>84</v>
      </c>
      <c r="H412" s="231">
        <v>1</v>
      </c>
      <c r="I412" s="232">
        <v>1750</v>
      </c>
      <c r="J412" s="230">
        <v>46047</v>
      </c>
      <c r="K412" s="227" t="s">
        <v>93</v>
      </c>
      <c r="L412" s="227" t="s">
        <v>94</v>
      </c>
      <c r="M412" s="233">
        <v>0.43</v>
      </c>
      <c r="N412" s="231"/>
      <c r="O412" s="231">
        <v>41</v>
      </c>
      <c r="P412" s="234">
        <v>-119.28</v>
      </c>
    </row>
    <row r="413" spans="1:16" ht="19.5" customHeight="1">
      <c r="A413" s="227" t="s">
        <v>1185</v>
      </c>
      <c r="B413" s="230">
        <v>46050</v>
      </c>
      <c r="C413" s="227" t="s">
        <v>100</v>
      </c>
      <c r="D413" s="227" t="s">
        <v>101</v>
      </c>
      <c r="E413" s="227" t="s">
        <v>39</v>
      </c>
      <c r="F413" s="227" t="s">
        <v>117</v>
      </c>
      <c r="G413" s="227" t="s">
        <v>84</v>
      </c>
      <c r="H413" s="231">
        <v>1</v>
      </c>
      <c r="I413" s="232">
        <v>1750</v>
      </c>
      <c r="J413" s="230">
        <v>46047</v>
      </c>
      <c r="K413" s="227" t="s">
        <v>93</v>
      </c>
      <c r="L413" s="227" t="s">
        <v>94</v>
      </c>
      <c r="M413" s="233">
        <v>0</v>
      </c>
      <c r="N413" s="231"/>
      <c r="O413" s="231"/>
      <c r="P413" s="234">
        <v>722.86</v>
      </c>
    </row>
    <row r="414" spans="1:16" ht="19.5" customHeight="1">
      <c r="A414" s="227" t="s">
        <v>1185</v>
      </c>
      <c r="B414" s="230">
        <v>46050</v>
      </c>
      <c r="C414" s="227" t="s">
        <v>100</v>
      </c>
      <c r="D414" s="227" t="s">
        <v>102</v>
      </c>
      <c r="E414" s="227" t="s">
        <v>39</v>
      </c>
      <c r="F414" s="227" t="s">
        <v>117</v>
      </c>
      <c r="G414" s="227" t="s">
        <v>84</v>
      </c>
      <c r="H414" s="231">
        <v>1</v>
      </c>
      <c r="I414" s="232">
        <v>1750</v>
      </c>
      <c r="J414" s="230">
        <v>46047</v>
      </c>
      <c r="K414" s="227" t="s">
        <v>93</v>
      </c>
      <c r="L414" s="227" t="s">
        <v>94</v>
      </c>
      <c r="M414" s="233">
        <v>0</v>
      </c>
      <c r="N414" s="231"/>
      <c r="O414" s="231"/>
      <c r="P414" s="234">
        <v>7.23</v>
      </c>
    </row>
    <row r="415" spans="1:16" ht="19.5" customHeight="1">
      <c r="A415" s="227" t="s">
        <v>1185</v>
      </c>
      <c r="B415" s="230">
        <v>46050</v>
      </c>
      <c r="C415" s="227" t="s">
        <v>100</v>
      </c>
      <c r="D415" s="227" t="s">
        <v>103</v>
      </c>
      <c r="E415" s="227" t="s">
        <v>39</v>
      </c>
      <c r="F415" s="227" t="s">
        <v>117</v>
      </c>
      <c r="G415" s="227" t="s">
        <v>84</v>
      </c>
      <c r="H415" s="231">
        <v>1</v>
      </c>
      <c r="I415" s="232">
        <v>1750</v>
      </c>
      <c r="J415" s="230">
        <v>46047</v>
      </c>
      <c r="K415" s="227" t="s">
        <v>93</v>
      </c>
      <c r="L415" s="227" t="s">
        <v>94</v>
      </c>
      <c r="M415" s="233">
        <v>0</v>
      </c>
      <c r="N415" s="231"/>
      <c r="O415" s="231"/>
      <c r="P415" s="234">
        <v>1019.91</v>
      </c>
    </row>
    <row r="416" spans="1:16" ht="19.5" customHeight="1">
      <c r="A416" s="227" t="s">
        <v>1185</v>
      </c>
      <c r="B416" s="230">
        <v>46050</v>
      </c>
      <c r="C416" s="227" t="s">
        <v>104</v>
      </c>
      <c r="D416" s="227" t="s">
        <v>105</v>
      </c>
      <c r="E416" s="227" t="s">
        <v>39</v>
      </c>
      <c r="F416" s="227" t="s">
        <v>117</v>
      </c>
      <c r="G416" s="227" t="s">
        <v>84</v>
      </c>
      <c r="H416" s="231">
        <v>1</v>
      </c>
      <c r="I416" s="232">
        <v>1750</v>
      </c>
      <c r="J416" s="230">
        <v>46047</v>
      </c>
      <c r="K416" s="227" t="s">
        <v>93</v>
      </c>
      <c r="L416" s="227" t="s">
        <v>94</v>
      </c>
      <c r="M416" s="233">
        <v>0.43</v>
      </c>
      <c r="N416" s="231"/>
      <c r="O416" s="231"/>
      <c r="P416" s="234">
        <v>-752.5</v>
      </c>
    </row>
    <row r="417" spans="1:16" ht="19.5" customHeight="1">
      <c r="A417" s="227" t="s">
        <v>1185</v>
      </c>
      <c r="B417" s="230">
        <v>46050</v>
      </c>
      <c r="C417" s="227" t="s">
        <v>81</v>
      </c>
      <c r="D417" s="227" t="s">
        <v>95</v>
      </c>
      <c r="E417" s="227" t="s">
        <v>39</v>
      </c>
      <c r="F417" s="227" t="s">
        <v>117</v>
      </c>
      <c r="G417" s="227" t="s">
        <v>84</v>
      </c>
      <c r="H417" s="231">
        <v>1</v>
      </c>
      <c r="I417" s="232">
        <v>1750</v>
      </c>
      <c r="J417" s="230">
        <v>46047</v>
      </c>
      <c r="K417" s="227" t="s">
        <v>93</v>
      </c>
      <c r="L417" s="227" t="s">
        <v>94</v>
      </c>
      <c r="M417" s="233">
        <v>0.43</v>
      </c>
      <c r="N417" s="231"/>
      <c r="O417" s="231"/>
      <c r="P417" s="234">
        <v>-8.69</v>
      </c>
    </row>
    <row r="418" spans="1:16" ht="19.5" customHeight="1">
      <c r="A418" s="227" t="s">
        <v>1184</v>
      </c>
      <c r="B418" s="230">
        <v>46050</v>
      </c>
      <c r="C418" s="227" t="s">
        <v>81</v>
      </c>
      <c r="D418" s="227" t="s">
        <v>82</v>
      </c>
      <c r="E418" s="227" t="s">
        <v>42</v>
      </c>
      <c r="F418" s="227" t="s">
        <v>89</v>
      </c>
      <c r="G418" s="227" t="s">
        <v>84</v>
      </c>
      <c r="H418" s="231">
        <v>1</v>
      </c>
      <c r="I418" s="232">
        <v>0</v>
      </c>
      <c r="J418" s="230">
        <v>46049</v>
      </c>
      <c r="K418" s="227" t="s">
        <v>85</v>
      </c>
      <c r="L418" s="227" t="s">
        <v>85</v>
      </c>
      <c r="M418" s="233">
        <v>0</v>
      </c>
      <c r="N418" s="231"/>
      <c r="O418" s="231"/>
      <c r="P418" s="234">
        <v>-11.22</v>
      </c>
    </row>
    <row r="419" spans="1:16" ht="19.5" customHeight="1">
      <c r="A419" s="227" t="s">
        <v>1186</v>
      </c>
      <c r="B419" s="230">
        <v>46050</v>
      </c>
      <c r="C419" s="227" t="s">
        <v>92</v>
      </c>
      <c r="D419" s="227" t="s">
        <v>24</v>
      </c>
      <c r="E419" s="227" t="s">
        <v>53</v>
      </c>
      <c r="F419" s="227" t="s">
        <v>120</v>
      </c>
      <c r="G419" s="227" t="s">
        <v>84</v>
      </c>
      <c r="H419" s="231">
        <v>1</v>
      </c>
      <c r="I419" s="232">
        <v>1845</v>
      </c>
      <c r="J419" s="230">
        <v>46044</v>
      </c>
      <c r="K419" s="227" t="s">
        <v>93</v>
      </c>
      <c r="L419" s="227" t="s">
        <v>94</v>
      </c>
      <c r="M419" s="233">
        <v>0.43</v>
      </c>
      <c r="N419" s="231"/>
      <c r="O419" s="231">
        <v>42</v>
      </c>
      <c r="P419" s="234">
        <v>-140.5</v>
      </c>
    </row>
    <row r="420" spans="1:16" ht="19.5" customHeight="1">
      <c r="A420" s="227" t="s">
        <v>1186</v>
      </c>
      <c r="B420" s="230">
        <v>46050</v>
      </c>
      <c r="C420" s="227" t="s">
        <v>100</v>
      </c>
      <c r="D420" s="227" t="s">
        <v>101</v>
      </c>
      <c r="E420" s="227" t="s">
        <v>53</v>
      </c>
      <c r="F420" s="227" t="s">
        <v>120</v>
      </c>
      <c r="G420" s="227" t="s">
        <v>84</v>
      </c>
      <c r="H420" s="231">
        <v>1</v>
      </c>
      <c r="I420" s="232">
        <v>1845</v>
      </c>
      <c r="J420" s="230">
        <v>46044</v>
      </c>
      <c r="K420" s="227" t="s">
        <v>93</v>
      </c>
      <c r="L420" s="227" t="s">
        <v>94</v>
      </c>
      <c r="M420" s="233">
        <v>0</v>
      </c>
      <c r="N420" s="231"/>
      <c r="O420" s="231"/>
      <c r="P420" s="234">
        <v>657.79</v>
      </c>
    </row>
    <row r="421" spans="1:16" ht="19.5" customHeight="1">
      <c r="A421" s="227" t="s">
        <v>1186</v>
      </c>
      <c r="B421" s="230">
        <v>46050</v>
      </c>
      <c r="C421" s="227" t="s">
        <v>100</v>
      </c>
      <c r="D421" s="227" t="s">
        <v>102</v>
      </c>
      <c r="E421" s="227" t="s">
        <v>53</v>
      </c>
      <c r="F421" s="227" t="s">
        <v>120</v>
      </c>
      <c r="G421" s="227" t="s">
        <v>84</v>
      </c>
      <c r="H421" s="231">
        <v>1</v>
      </c>
      <c r="I421" s="232">
        <v>1845</v>
      </c>
      <c r="J421" s="230">
        <v>46044</v>
      </c>
      <c r="K421" s="227" t="s">
        <v>93</v>
      </c>
      <c r="L421" s="227" t="s">
        <v>94</v>
      </c>
      <c r="M421" s="233">
        <v>0</v>
      </c>
      <c r="N421" s="231"/>
      <c r="O421" s="231"/>
      <c r="P421" s="234">
        <v>6.58</v>
      </c>
    </row>
    <row r="422" spans="1:16" ht="19.5" customHeight="1">
      <c r="A422" s="227" t="s">
        <v>1186</v>
      </c>
      <c r="B422" s="230">
        <v>46050</v>
      </c>
      <c r="C422" s="227" t="s">
        <v>100</v>
      </c>
      <c r="D422" s="227" t="s">
        <v>103</v>
      </c>
      <c r="E422" s="227" t="s">
        <v>53</v>
      </c>
      <c r="F422" s="227" t="s">
        <v>120</v>
      </c>
      <c r="G422" s="227" t="s">
        <v>84</v>
      </c>
      <c r="H422" s="231">
        <v>1</v>
      </c>
      <c r="I422" s="232">
        <v>1845</v>
      </c>
      <c r="J422" s="230">
        <v>46044</v>
      </c>
      <c r="K422" s="227" t="s">
        <v>93</v>
      </c>
      <c r="L422" s="227" t="s">
        <v>94</v>
      </c>
      <c r="M422" s="233">
        <v>0</v>
      </c>
      <c r="N422" s="231"/>
      <c r="O422" s="231"/>
      <c r="P422" s="234">
        <v>1180.6300000000001</v>
      </c>
    </row>
    <row r="423" spans="1:16" ht="19.5" customHeight="1">
      <c r="A423" s="227" t="s">
        <v>1186</v>
      </c>
      <c r="B423" s="230">
        <v>46050</v>
      </c>
      <c r="C423" s="227" t="s">
        <v>104</v>
      </c>
      <c r="D423" s="227" t="s">
        <v>105</v>
      </c>
      <c r="E423" s="227" t="s">
        <v>53</v>
      </c>
      <c r="F423" s="227" t="s">
        <v>120</v>
      </c>
      <c r="G423" s="227" t="s">
        <v>84</v>
      </c>
      <c r="H423" s="231">
        <v>1</v>
      </c>
      <c r="I423" s="232">
        <v>1845</v>
      </c>
      <c r="J423" s="230">
        <v>46044</v>
      </c>
      <c r="K423" s="227" t="s">
        <v>93</v>
      </c>
      <c r="L423" s="227" t="s">
        <v>94</v>
      </c>
      <c r="M423" s="233">
        <v>0.43</v>
      </c>
      <c r="N423" s="231"/>
      <c r="O423" s="231"/>
      <c r="P423" s="234">
        <v>-793.35</v>
      </c>
    </row>
    <row r="424" spans="1:16" ht="19.5" customHeight="1">
      <c r="A424" s="227" t="s">
        <v>1186</v>
      </c>
      <c r="B424" s="230">
        <v>46050</v>
      </c>
      <c r="C424" s="227" t="s">
        <v>81</v>
      </c>
      <c r="D424" s="227" t="s">
        <v>95</v>
      </c>
      <c r="E424" s="227" t="s">
        <v>53</v>
      </c>
      <c r="F424" s="227" t="s">
        <v>120</v>
      </c>
      <c r="G424" s="227" t="s">
        <v>84</v>
      </c>
      <c r="H424" s="231">
        <v>1</v>
      </c>
      <c r="I424" s="232">
        <v>1845</v>
      </c>
      <c r="J424" s="230">
        <v>46044</v>
      </c>
      <c r="K424" s="227" t="s">
        <v>93</v>
      </c>
      <c r="L424" s="227" t="s">
        <v>94</v>
      </c>
      <c r="M424" s="233">
        <v>0.43</v>
      </c>
      <c r="N424" s="231"/>
      <c r="O424" s="231"/>
      <c r="P424" s="234">
        <v>-10.199999999999999</v>
      </c>
    </row>
    <row r="425" spans="1:16" ht="19.5" customHeight="1">
      <c r="A425" s="227" t="s">
        <v>1187</v>
      </c>
      <c r="B425" s="230">
        <v>46050</v>
      </c>
      <c r="C425" s="227" t="s">
        <v>92</v>
      </c>
      <c r="D425" s="227" t="s">
        <v>24</v>
      </c>
      <c r="E425" s="227" t="s">
        <v>52</v>
      </c>
      <c r="F425" s="227" t="s">
        <v>90</v>
      </c>
      <c r="G425" s="227" t="s">
        <v>84</v>
      </c>
      <c r="H425" s="231">
        <v>1</v>
      </c>
      <c r="I425" s="232">
        <v>1800</v>
      </c>
      <c r="J425" s="230">
        <v>46047</v>
      </c>
      <c r="K425" s="227" t="s">
        <v>93</v>
      </c>
      <c r="L425" s="227" t="s">
        <v>94</v>
      </c>
      <c r="M425" s="233">
        <v>0.43</v>
      </c>
      <c r="N425" s="231"/>
      <c r="O425" s="231">
        <v>41</v>
      </c>
      <c r="P425" s="234">
        <v>-134.84</v>
      </c>
    </row>
    <row r="426" spans="1:16" ht="19.5" customHeight="1">
      <c r="A426" s="227" t="s">
        <v>1187</v>
      </c>
      <c r="B426" s="230">
        <v>46050</v>
      </c>
      <c r="C426" s="227" t="s">
        <v>100</v>
      </c>
      <c r="D426" s="227" t="s">
        <v>101</v>
      </c>
      <c r="E426" s="227" t="s">
        <v>52</v>
      </c>
      <c r="F426" s="227" t="s">
        <v>90</v>
      </c>
      <c r="G426" s="227" t="s">
        <v>84</v>
      </c>
      <c r="H426" s="231">
        <v>1</v>
      </c>
      <c r="I426" s="232">
        <v>1800</v>
      </c>
      <c r="J426" s="230">
        <v>46047</v>
      </c>
      <c r="K426" s="227" t="s">
        <v>93</v>
      </c>
      <c r="L426" s="227" t="s">
        <v>94</v>
      </c>
      <c r="M426" s="233">
        <v>0</v>
      </c>
      <c r="N426" s="231"/>
      <c r="O426" s="231"/>
      <c r="P426" s="234">
        <v>700</v>
      </c>
    </row>
    <row r="427" spans="1:16" ht="19.5" customHeight="1">
      <c r="A427" s="227" t="s">
        <v>1187</v>
      </c>
      <c r="B427" s="230">
        <v>46050</v>
      </c>
      <c r="C427" s="227" t="s">
        <v>100</v>
      </c>
      <c r="D427" s="227" t="s">
        <v>102</v>
      </c>
      <c r="E427" s="227" t="s">
        <v>52</v>
      </c>
      <c r="F427" s="227" t="s">
        <v>90</v>
      </c>
      <c r="G427" s="227" t="s">
        <v>84</v>
      </c>
      <c r="H427" s="231">
        <v>1</v>
      </c>
      <c r="I427" s="232">
        <v>1800</v>
      </c>
      <c r="J427" s="230">
        <v>46047</v>
      </c>
      <c r="K427" s="227" t="s">
        <v>93</v>
      </c>
      <c r="L427" s="227" t="s">
        <v>94</v>
      </c>
      <c r="M427" s="233">
        <v>0</v>
      </c>
      <c r="N427" s="231"/>
      <c r="O427" s="231"/>
      <c r="P427" s="234">
        <v>0</v>
      </c>
    </row>
    <row r="428" spans="1:16" ht="19.5" customHeight="1">
      <c r="A428" s="227" t="s">
        <v>1187</v>
      </c>
      <c r="B428" s="230">
        <v>46050</v>
      </c>
      <c r="C428" s="227" t="s">
        <v>100</v>
      </c>
      <c r="D428" s="227" t="s">
        <v>103</v>
      </c>
      <c r="E428" s="227" t="s">
        <v>52</v>
      </c>
      <c r="F428" s="227" t="s">
        <v>90</v>
      </c>
      <c r="G428" s="227" t="s">
        <v>84</v>
      </c>
      <c r="H428" s="231">
        <v>1</v>
      </c>
      <c r="I428" s="232">
        <v>1800</v>
      </c>
      <c r="J428" s="230">
        <v>46047</v>
      </c>
      <c r="K428" s="227" t="s">
        <v>93</v>
      </c>
      <c r="L428" s="227" t="s">
        <v>94</v>
      </c>
      <c r="M428" s="233">
        <v>0</v>
      </c>
      <c r="N428" s="231"/>
      <c r="O428" s="231"/>
      <c r="P428" s="234">
        <v>1100</v>
      </c>
    </row>
    <row r="429" spans="1:16" ht="19.5" customHeight="1">
      <c r="A429" s="227" t="s">
        <v>1187</v>
      </c>
      <c r="B429" s="230">
        <v>46050</v>
      </c>
      <c r="C429" s="227" t="s">
        <v>104</v>
      </c>
      <c r="D429" s="227" t="s">
        <v>105</v>
      </c>
      <c r="E429" s="227" t="s">
        <v>52</v>
      </c>
      <c r="F429" s="227" t="s">
        <v>90</v>
      </c>
      <c r="G429" s="227" t="s">
        <v>84</v>
      </c>
      <c r="H429" s="231">
        <v>1</v>
      </c>
      <c r="I429" s="232">
        <v>1800</v>
      </c>
      <c r="J429" s="230">
        <v>46047</v>
      </c>
      <c r="K429" s="227" t="s">
        <v>93</v>
      </c>
      <c r="L429" s="227" t="s">
        <v>94</v>
      </c>
      <c r="M429" s="233">
        <v>0.43</v>
      </c>
      <c r="N429" s="231"/>
      <c r="O429" s="231"/>
      <c r="P429" s="234">
        <v>-774</v>
      </c>
    </row>
    <row r="430" spans="1:16" ht="19.5" customHeight="1">
      <c r="A430" s="227" t="s">
        <v>1187</v>
      </c>
      <c r="B430" s="230">
        <v>46050</v>
      </c>
      <c r="C430" s="227" t="s">
        <v>81</v>
      </c>
      <c r="D430" s="227" t="s">
        <v>95</v>
      </c>
      <c r="E430" s="227" t="s">
        <v>52</v>
      </c>
      <c r="F430" s="227" t="s">
        <v>90</v>
      </c>
      <c r="G430" s="227" t="s">
        <v>84</v>
      </c>
      <c r="H430" s="231">
        <v>1</v>
      </c>
      <c r="I430" s="232">
        <v>1800</v>
      </c>
      <c r="J430" s="230">
        <v>46047</v>
      </c>
      <c r="K430" s="227" t="s">
        <v>93</v>
      </c>
      <c r="L430" s="227" t="s">
        <v>94</v>
      </c>
      <c r="M430" s="233">
        <v>0.43</v>
      </c>
      <c r="N430" s="231"/>
      <c r="O430" s="231"/>
      <c r="P430" s="234">
        <v>-18.100000000000001</v>
      </c>
    </row>
    <row r="431" spans="1:16" ht="19.5" customHeight="1">
      <c r="A431" s="227" t="s">
        <v>1188</v>
      </c>
      <c r="B431" s="230">
        <v>46050</v>
      </c>
      <c r="C431" s="227" t="s">
        <v>92</v>
      </c>
      <c r="D431" s="227" t="s">
        <v>24</v>
      </c>
      <c r="E431" s="227" t="s">
        <v>43</v>
      </c>
      <c r="F431" s="227" t="s">
        <v>125</v>
      </c>
      <c r="G431" s="227" t="s">
        <v>84</v>
      </c>
      <c r="H431" s="231">
        <v>1</v>
      </c>
      <c r="I431" s="232">
        <v>1750</v>
      </c>
      <c r="J431" s="230">
        <v>46048</v>
      </c>
      <c r="K431" s="227" t="s">
        <v>93</v>
      </c>
      <c r="L431" s="227" t="s">
        <v>94</v>
      </c>
      <c r="M431" s="233">
        <v>0.43</v>
      </c>
      <c r="N431" s="231"/>
      <c r="O431" s="231">
        <v>44</v>
      </c>
      <c r="P431" s="234">
        <v>-131.37</v>
      </c>
    </row>
    <row r="432" spans="1:16" ht="19.5" customHeight="1">
      <c r="A432" s="227" t="s">
        <v>1188</v>
      </c>
      <c r="B432" s="230">
        <v>46050</v>
      </c>
      <c r="C432" s="227" t="s">
        <v>100</v>
      </c>
      <c r="D432" s="227" t="s">
        <v>101</v>
      </c>
      <c r="E432" s="227" t="s">
        <v>43</v>
      </c>
      <c r="F432" s="227" t="s">
        <v>125</v>
      </c>
      <c r="G432" s="227" t="s">
        <v>84</v>
      </c>
      <c r="H432" s="231">
        <v>1</v>
      </c>
      <c r="I432" s="232">
        <v>1750</v>
      </c>
      <c r="J432" s="230">
        <v>46048</v>
      </c>
      <c r="K432" s="227" t="s">
        <v>93</v>
      </c>
      <c r="L432" s="227" t="s">
        <v>94</v>
      </c>
      <c r="M432" s="233">
        <v>0</v>
      </c>
      <c r="N432" s="231"/>
      <c r="O432" s="231"/>
      <c r="P432" s="234">
        <v>609.52</v>
      </c>
    </row>
    <row r="433" spans="1:16" ht="19.5" customHeight="1">
      <c r="A433" s="227" t="s">
        <v>1188</v>
      </c>
      <c r="B433" s="230">
        <v>46050</v>
      </c>
      <c r="C433" s="227" t="s">
        <v>100</v>
      </c>
      <c r="D433" s="227" t="s">
        <v>102</v>
      </c>
      <c r="E433" s="227" t="s">
        <v>43</v>
      </c>
      <c r="F433" s="227" t="s">
        <v>125</v>
      </c>
      <c r="G433" s="227" t="s">
        <v>84</v>
      </c>
      <c r="H433" s="231">
        <v>1</v>
      </c>
      <c r="I433" s="232">
        <v>1750</v>
      </c>
      <c r="J433" s="230">
        <v>46048</v>
      </c>
      <c r="K433" s="227" t="s">
        <v>93</v>
      </c>
      <c r="L433" s="227" t="s">
        <v>94</v>
      </c>
      <c r="M433" s="233">
        <v>0</v>
      </c>
      <c r="N433" s="231"/>
      <c r="O433" s="231"/>
      <c r="P433" s="234">
        <v>6.1</v>
      </c>
    </row>
    <row r="434" spans="1:16" ht="19.5" customHeight="1">
      <c r="A434" s="227" t="s">
        <v>1188</v>
      </c>
      <c r="B434" s="230">
        <v>46050</v>
      </c>
      <c r="C434" s="227" t="s">
        <v>100</v>
      </c>
      <c r="D434" s="227" t="s">
        <v>103</v>
      </c>
      <c r="E434" s="227" t="s">
        <v>43</v>
      </c>
      <c r="F434" s="227" t="s">
        <v>125</v>
      </c>
      <c r="G434" s="227" t="s">
        <v>84</v>
      </c>
      <c r="H434" s="231">
        <v>1</v>
      </c>
      <c r="I434" s="232">
        <v>1750</v>
      </c>
      <c r="J434" s="230">
        <v>46048</v>
      </c>
      <c r="K434" s="227" t="s">
        <v>93</v>
      </c>
      <c r="L434" s="227" t="s">
        <v>94</v>
      </c>
      <c r="M434" s="233">
        <v>0</v>
      </c>
      <c r="N434" s="231"/>
      <c r="O434" s="231"/>
      <c r="P434" s="234">
        <v>1134.3800000000001</v>
      </c>
    </row>
    <row r="435" spans="1:16" ht="19.5" customHeight="1">
      <c r="A435" s="227" t="s">
        <v>1188</v>
      </c>
      <c r="B435" s="230">
        <v>46050</v>
      </c>
      <c r="C435" s="227" t="s">
        <v>104</v>
      </c>
      <c r="D435" s="227" t="s">
        <v>105</v>
      </c>
      <c r="E435" s="227" t="s">
        <v>43</v>
      </c>
      <c r="F435" s="227" t="s">
        <v>125</v>
      </c>
      <c r="G435" s="227" t="s">
        <v>84</v>
      </c>
      <c r="H435" s="231">
        <v>1</v>
      </c>
      <c r="I435" s="232">
        <v>1750</v>
      </c>
      <c r="J435" s="230">
        <v>46048</v>
      </c>
      <c r="K435" s="227" t="s">
        <v>93</v>
      </c>
      <c r="L435" s="227" t="s">
        <v>94</v>
      </c>
      <c r="M435" s="233">
        <v>0.43</v>
      </c>
      <c r="N435" s="231"/>
      <c r="O435" s="231"/>
      <c r="P435" s="234">
        <v>-752.5</v>
      </c>
    </row>
    <row r="436" spans="1:16" ht="19.5" customHeight="1">
      <c r="A436" s="227" t="s">
        <v>1188</v>
      </c>
      <c r="B436" s="230">
        <v>46050</v>
      </c>
      <c r="C436" s="227" t="s">
        <v>81</v>
      </c>
      <c r="D436" s="227" t="s">
        <v>95</v>
      </c>
      <c r="E436" s="227" t="s">
        <v>43</v>
      </c>
      <c r="F436" s="227" t="s">
        <v>125</v>
      </c>
      <c r="G436" s="227" t="s">
        <v>84</v>
      </c>
      <c r="H436" s="231">
        <v>1</v>
      </c>
      <c r="I436" s="232">
        <v>1750</v>
      </c>
      <c r="J436" s="230">
        <v>46048</v>
      </c>
      <c r="K436" s="227" t="s">
        <v>93</v>
      </c>
      <c r="L436" s="227" t="s">
        <v>94</v>
      </c>
      <c r="M436" s="233">
        <v>0.43</v>
      </c>
      <c r="N436" s="231"/>
      <c r="O436" s="231"/>
      <c r="P436" s="234">
        <v>-12.97</v>
      </c>
    </row>
    <row r="437" spans="1:16" ht="19.5" customHeight="1">
      <c r="A437" s="227" t="s">
        <v>1188</v>
      </c>
      <c r="B437" s="230">
        <v>46050</v>
      </c>
      <c r="C437" s="227" t="s">
        <v>81</v>
      </c>
      <c r="D437" s="227" t="s">
        <v>82</v>
      </c>
      <c r="E437" s="227" t="s">
        <v>43</v>
      </c>
      <c r="F437" s="227" t="s">
        <v>125</v>
      </c>
      <c r="G437" s="227" t="s">
        <v>84</v>
      </c>
      <c r="H437" s="231">
        <v>1</v>
      </c>
      <c r="I437" s="232">
        <v>0</v>
      </c>
      <c r="J437" s="230">
        <v>46048</v>
      </c>
      <c r="K437" s="227" t="s">
        <v>85</v>
      </c>
      <c r="L437" s="227" t="s">
        <v>85</v>
      </c>
      <c r="M437" s="233">
        <v>0</v>
      </c>
      <c r="N437" s="231"/>
      <c r="O437" s="231"/>
      <c r="P437" s="234">
        <v>-11.58</v>
      </c>
    </row>
    <row r="438" spans="1:16" ht="19.5" customHeight="1">
      <c r="A438" s="227" t="s">
        <v>1189</v>
      </c>
      <c r="B438" s="230">
        <v>46050</v>
      </c>
      <c r="C438" s="227" t="s">
        <v>81</v>
      </c>
      <c r="D438" s="227" t="s">
        <v>82</v>
      </c>
      <c r="E438" s="227" t="s">
        <v>41</v>
      </c>
      <c r="F438" s="227" t="s">
        <v>83</v>
      </c>
      <c r="G438" s="227" t="s">
        <v>84</v>
      </c>
      <c r="H438" s="231">
        <v>1</v>
      </c>
      <c r="I438" s="232">
        <v>0</v>
      </c>
      <c r="J438" s="230">
        <v>46050</v>
      </c>
      <c r="K438" s="227" t="s">
        <v>85</v>
      </c>
      <c r="L438" s="227" t="s">
        <v>85</v>
      </c>
      <c r="M438" s="233">
        <v>0</v>
      </c>
      <c r="N438" s="231"/>
      <c r="O438" s="231"/>
      <c r="P438" s="234">
        <v>-12.29</v>
      </c>
    </row>
    <row r="439" spans="1:16" ht="19.5" customHeight="1">
      <c r="A439" s="227" t="s">
        <v>1190</v>
      </c>
      <c r="B439" s="230">
        <v>46050</v>
      </c>
      <c r="C439" s="227" t="s">
        <v>92</v>
      </c>
      <c r="D439" s="227" t="s">
        <v>24</v>
      </c>
      <c r="E439" s="227" t="s">
        <v>53</v>
      </c>
      <c r="F439" s="227" t="s">
        <v>120</v>
      </c>
      <c r="G439" s="227" t="s">
        <v>84</v>
      </c>
      <c r="H439" s="231">
        <v>1</v>
      </c>
      <c r="I439" s="232">
        <v>1845</v>
      </c>
      <c r="J439" s="230">
        <v>46043</v>
      </c>
      <c r="K439" s="227" t="s">
        <v>93</v>
      </c>
      <c r="L439" s="227" t="s">
        <v>94</v>
      </c>
      <c r="M439" s="233">
        <v>0.43</v>
      </c>
      <c r="N439" s="231"/>
      <c r="O439" s="231">
        <v>43</v>
      </c>
      <c r="P439" s="234">
        <v>-144.94999999999999</v>
      </c>
    </row>
    <row r="440" spans="1:16" ht="19.5" customHeight="1">
      <c r="A440" s="227" t="s">
        <v>1190</v>
      </c>
      <c r="B440" s="230">
        <v>46050</v>
      </c>
      <c r="C440" s="227" t="s">
        <v>100</v>
      </c>
      <c r="D440" s="227" t="s">
        <v>101</v>
      </c>
      <c r="E440" s="227" t="s">
        <v>53</v>
      </c>
      <c r="F440" s="227" t="s">
        <v>120</v>
      </c>
      <c r="G440" s="227" t="s">
        <v>84</v>
      </c>
      <c r="H440" s="231">
        <v>1</v>
      </c>
      <c r="I440" s="232">
        <v>1845</v>
      </c>
      <c r="J440" s="230">
        <v>46043</v>
      </c>
      <c r="K440" s="227" t="s">
        <v>93</v>
      </c>
      <c r="L440" s="227" t="s">
        <v>94</v>
      </c>
      <c r="M440" s="233">
        <v>0</v>
      </c>
      <c r="N440" s="231"/>
      <c r="O440" s="231"/>
      <c r="P440" s="234">
        <v>642.86</v>
      </c>
    </row>
    <row r="441" spans="1:16" ht="19.5" customHeight="1">
      <c r="A441" s="227" t="s">
        <v>1190</v>
      </c>
      <c r="B441" s="230">
        <v>46050</v>
      </c>
      <c r="C441" s="227" t="s">
        <v>100</v>
      </c>
      <c r="D441" s="227" t="s">
        <v>102</v>
      </c>
      <c r="E441" s="227" t="s">
        <v>53</v>
      </c>
      <c r="F441" s="227" t="s">
        <v>120</v>
      </c>
      <c r="G441" s="227" t="s">
        <v>84</v>
      </c>
      <c r="H441" s="231">
        <v>1</v>
      </c>
      <c r="I441" s="232">
        <v>1845</v>
      </c>
      <c r="J441" s="230">
        <v>46043</v>
      </c>
      <c r="K441" s="227" t="s">
        <v>93</v>
      </c>
      <c r="L441" s="227" t="s">
        <v>94</v>
      </c>
      <c r="M441" s="233">
        <v>0</v>
      </c>
      <c r="N441" s="231"/>
      <c r="O441" s="231"/>
      <c r="P441" s="234">
        <v>6.43</v>
      </c>
    </row>
    <row r="442" spans="1:16" ht="19.5" customHeight="1">
      <c r="A442" s="227" t="s">
        <v>1190</v>
      </c>
      <c r="B442" s="230">
        <v>46050</v>
      </c>
      <c r="C442" s="227" t="s">
        <v>100</v>
      </c>
      <c r="D442" s="227" t="s">
        <v>103</v>
      </c>
      <c r="E442" s="227" t="s">
        <v>53</v>
      </c>
      <c r="F442" s="227" t="s">
        <v>120</v>
      </c>
      <c r="G442" s="227" t="s">
        <v>84</v>
      </c>
      <c r="H442" s="231">
        <v>1</v>
      </c>
      <c r="I442" s="232">
        <v>1845</v>
      </c>
      <c r="J442" s="230">
        <v>46043</v>
      </c>
      <c r="K442" s="227" t="s">
        <v>93</v>
      </c>
      <c r="L442" s="227" t="s">
        <v>94</v>
      </c>
      <c r="M442" s="233">
        <v>0</v>
      </c>
      <c r="N442" s="231"/>
      <c r="O442" s="231"/>
      <c r="P442" s="234">
        <v>1195.71</v>
      </c>
    </row>
    <row r="443" spans="1:16" ht="19.5" customHeight="1">
      <c r="A443" s="227" t="s">
        <v>1190</v>
      </c>
      <c r="B443" s="230">
        <v>46050</v>
      </c>
      <c r="C443" s="227" t="s">
        <v>104</v>
      </c>
      <c r="D443" s="227" t="s">
        <v>105</v>
      </c>
      <c r="E443" s="227" t="s">
        <v>53</v>
      </c>
      <c r="F443" s="227" t="s">
        <v>120</v>
      </c>
      <c r="G443" s="227" t="s">
        <v>84</v>
      </c>
      <c r="H443" s="231">
        <v>1</v>
      </c>
      <c r="I443" s="232">
        <v>1845</v>
      </c>
      <c r="J443" s="230">
        <v>46043</v>
      </c>
      <c r="K443" s="227" t="s">
        <v>93</v>
      </c>
      <c r="L443" s="227" t="s">
        <v>94</v>
      </c>
      <c r="M443" s="233">
        <v>0.43</v>
      </c>
      <c r="N443" s="231"/>
      <c r="O443" s="231"/>
      <c r="P443" s="234">
        <v>-793.35</v>
      </c>
    </row>
    <row r="444" spans="1:16" ht="19.5" customHeight="1">
      <c r="A444" s="227" t="s">
        <v>1190</v>
      </c>
      <c r="B444" s="230">
        <v>46050</v>
      </c>
      <c r="C444" s="227" t="s">
        <v>81</v>
      </c>
      <c r="D444" s="227" t="s">
        <v>95</v>
      </c>
      <c r="E444" s="227" t="s">
        <v>53</v>
      </c>
      <c r="F444" s="227" t="s">
        <v>120</v>
      </c>
      <c r="G444" s="227" t="s">
        <v>84</v>
      </c>
      <c r="H444" s="231">
        <v>1</v>
      </c>
      <c r="I444" s="232">
        <v>1845</v>
      </c>
      <c r="J444" s="230">
        <v>46043</v>
      </c>
      <c r="K444" s="227" t="s">
        <v>93</v>
      </c>
      <c r="L444" s="227" t="s">
        <v>94</v>
      </c>
      <c r="M444" s="233">
        <v>0.43</v>
      </c>
      <c r="N444" s="231"/>
      <c r="O444" s="231"/>
      <c r="P444" s="234">
        <v>-20.440000000000001</v>
      </c>
    </row>
    <row r="445" spans="1:16" ht="19.5" customHeight="1">
      <c r="A445" s="227" t="s">
        <v>1190</v>
      </c>
      <c r="B445" s="230">
        <v>46050</v>
      </c>
      <c r="C445" s="227" t="s">
        <v>81</v>
      </c>
      <c r="D445" s="227" t="s">
        <v>82</v>
      </c>
      <c r="E445" s="227" t="s">
        <v>53</v>
      </c>
      <c r="F445" s="227" t="s">
        <v>120</v>
      </c>
      <c r="G445" s="227" t="s">
        <v>84</v>
      </c>
      <c r="H445" s="231">
        <v>1</v>
      </c>
      <c r="I445" s="232">
        <v>0</v>
      </c>
      <c r="J445" s="230">
        <v>46043</v>
      </c>
      <c r="K445" s="227" t="s">
        <v>85</v>
      </c>
      <c r="L445" s="227" t="s">
        <v>85</v>
      </c>
      <c r="M445" s="233">
        <v>0</v>
      </c>
      <c r="N445" s="231"/>
      <c r="O445" s="231"/>
      <c r="P445" s="234">
        <v>-12.21</v>
      </c>
    </row>
    <row r="446" spans="1:16" ht="19.5" customHeight="1">
      <c r="A446" s="227" t="s">
        <v>1191</v>
      </c>
      <c r="B446" s="230">
        <v>46050</v>
      </c>
      <c r="C446" s="227" t="s">
        <v>92</v>
      </c>
      <c r="D446" s="227" t="s">
        <v>24</v>
      </c>
      <c r="E446" s="227" t="s">
        <v>53</v>
      </c>
      <c r="F446" s="227" t="s">
        <v>120</v>
      </c>
      <c r="G446" s="227" t="s">
        <v>84</v>
      </c>
      <c r="H446" s="231">
        <v>1</v>
      </c>
      <c r="I446" s="232">
        <v>1845</v>
      </c>
      <c r="J446" s="230">
        <v>46043</v>
      </c>
      <c r="K446" s="227" t="s">
        <v>93</v>
      </c>
      <c r="L446" s="227" t="s">
        <v>94</v>
      </c>
      <c r="M446" s="233">
        <v>0.43</v>
      </c>
      <c r="N446" s="231"/>
      <c r="O446" s="231">
        <v>43</v>
      </c>
      <c r="P446" s="234">
        <v>-144.94999999999999</v>
      </c>
    </row>
    <row r="447" spans="1:16" ht="19.5" customHeight="1">
      <c r="A447" s="227" t="s">
        <v>1191</v>
      </c>
      <c r="B447" s="230">
        <v>46050</v>
      </c>
      <c r="C447" s="227" t="s">
        <v>100</v>
      </c>
      <c r="D447" s="227" t="s">
        <v>101</v>
      </c>
      <c r="E447" s="227" t="s">
        <v>53</v>
      </c>
      <c r="F447" s="227" t="s">
        <v>120</v>
      </c>
      <c r="G447" s="227" t="s">
        <v>84</v>
      </c>
      <c r="H447" s="231">
        <v>1</v>
      </c>
      <c r="I447" s="232">
        <v>1845</v>
      </c>
      <c r="J447" s="230">
        <v>46043</v>
      </c>
      <c r="K447" s="227" t="s">
        <v>93</v>
      </c>
      <c r="L447" s="227" t="s">
        <v>94</v>
      </c>
      <c r="M447" s="233">
        <v>0</v>
      </c>
      <c r="N447" s="231"/>
      <c r="O447" s="231"/>
      <c r="P447" s="234">
        <v>702.86</v>
      </c>
    </row>
    <row r="448" spans="1:16" ht="19.5" customHeight="1">
      <c r="A448" s="227" t="s">
        <v>1191</v>
      </c>
      <c r="B448" s="230">
        <v>46050</v>
      </c>
      <c r="C448" s="227" t="s">
        <v>100</v>
      </c>
      <c r="D448" s="227" t="s">
        <v>102</v>
      </c>
      <c r="E448" s="227" t="s">
        <v>53</v>
      </c>
      <c r="F448" s="227" t="s">
        <v>120</v>
      </c>
      <c r="G448" s="227" t="s">
        <v>84</v>
      </c>
      <c r="H448" s="231">
        <v>1</v>
      </c>
      <c r="I448" s="232">
        <v>1845</v>
      </c>
      <c r="J448" s="230">
        <v>46043</v>
      </c>
      <c r="K448" s="227" t="s">
        <v>93</v>
      </c>
      <c r="L448" s="227" t="s">
        <v>94</v>
      </c>
      <c r="M448" s="233">
        <v>0</v>
      </c>
      <c r="N448" s="231"/>
      <c r="O448" s="231"/>
      <c r="P448" s="234">
        <v>0</v>
      </c>
    </row>
    <row r="449" spans="1:16" ht="19.5" customHeight="1">
      <c r="A449" s="227" t="s">
        <v>1191</v>
      </c>
      <c r="B449" s="230">
        <v>46050</v>
      </c>
      <c r="C449" s="227" t="s">
        <v>100</v>
      </c>
      <c r="D449" s="227" t="s">
        <v>103</v>
      </c>
      <c r="E449" s="227" t="s">
        <v>53</v>
      </c>
      <c r="F449" s="227" t="s">
        <v>120</v>
      </c>
      <c r="G449" s="227" t="s">
        <v>84</v>
      </c>
      <c r="H449" s="231">
        <v>1</v>
      </c>
      <c r="I449" s="232">
        <v>1845</v>
      </c>
      <c r="J449" s="230">
        <v>46043</v>
      </c>
      <c r="K449" s="227" t="s">
        <v>93</v>
      </c>
      <c r="L449" s="227" t="s">
        <v>94</v>
      </c>
      <c r="M449" s="233">
        <v>0</v>
      </c>
      <c r="N449" s="231"/>
      <c r="O449" s="231"/>
      <c r="P449" s="234">
        <v>1142.1400000000001</v>
      </c>
    </row>
    <row r="450" spans="1:16" ht="19.5" customHeight="1">
      <c r="A450" s="227" t="s">
        <v>1191</v>
      </c>
      <c r="B450" s="230">
        <v>46050</v>
      </c>
      <c r="C450" s="227" t="s">
        <v>104</v>
      </c>
      <c r="D450" s="227" t="s">
        <v>105</v>
      </c>
      <c r="E450" s="227" t="s">
        <v>53</v>
      </c>
      <c r="F450" s="227" t="s">
        <v>120</v>
      </c>
      <c r="G450" s="227" t="s">
        <v>84</v>
      </c>
      <c r="H450" s="231">
        <v>1</v>
      </c>
      <c r="I450" s="232">
        <v>1845</v>
      </c>
      <c r="J450" s="230">
        <v>46043</v>
      </c>
      <c r="K450" s="227" t="s">
        <v>93</v>
      </c>
      <c r="L450" s="227" t="s">
        <v>94</v>
      </c>
      <c r="M450" s="233">
        <v>0.43</v>
      </c>
      <c r="N450" s="231"/>
      <c r="O450" s="231"/>
      <c r="P450" s="234">
        <v>-793.35</v>
      </c>
    </row>
    <row r="451" spans="1:16" ht="19.5" customHeight="1">
      <c r="A451" s="227" t="s">
        <v>1191</v>
      </c>
      <c r="B451" s="230">
        <v>46050</v>
      </c>
      <c r="C451" s="227" t="s">
        <v>81</v>
      </c>
      <c r="D451" s="227" t="s">
        <v>95</v>
      </c>
      <c r="E451" s="227" t="s">
        <v>53</v>
      </c>
      <c r="F451" s="227" t="s">
        <v>120</v>
      </c>
      <c r="G451" s="227" t="s">
        <v>84</v>
      </c>
      <c r="H451" s="231">
        <v>1</v>
      </c>
      <c r="I451" s="232">
        <v>1845</v>
      </c>
      <c r="J451" s="230">
        <v>46043</v>
      </c>
      <c r="K451" s="227" t="s">
        <v>93</v>
      </c>
      <c r="L451" s="227" t="s">
        <v>94</v>
      </c>
      <c r="M451" s="233">
        <v>0.43</v>
      </c>
      <c r="N451" s="231"/>
      <c r="O451" s="231"/>
      <c r="P451" s="234">
        <v>-11.47</v>
      </c>
    </row>
    <row r="452" spans="1:16" ht="19.5" customHeight="1">
      <c r="A452" s="227" t="s">
        <v>1192</v>
      </c>
      <c r="B452" s="230">
        <v>46050</v>
      </c>
      <c r="C452" s="227" t="s">
        <v>81</v>
      </c>
      <c r="D452" s="227" t="s">
        <v>82</v>
      </c>
      <c r="E452" s="227" t="s">
        <v>41</v>
      </c>
      <c r="F452" s="227" t="s">
        <v>83</v>
      </c>
      <c r="G452" s="227" t="s">
        <v>84</v>
      </c>
      <c r="H452" s="231">
        <v>1</v>
      </c>
      <c r="I452" s="232">
        <v>0</v>
      </c>
      <c r="J452" s="230">
        <v>46050</v>
      </c>
      <c r="K452" s="227" t="s">
        <v>85</v>
      </c>
      <c r="L452" s="227" t="s">
        <v>85</v>
      </c>
      <c r="M452" s="233">
        <v>0</v>
      </c>
      <c r="N452" s="231"/>
      <c r="O452" s="231"/>
      <c r="P452" s="234">
        <v>-11.57</v>
      </c>
    </row>
    <row r="453" spans="1:16" ht="19.5" customHeight="1">
      <c r="A453" s="227" t="s">
        <v>1193</v>
      </c>
      <c r="B453" s="230">
        <v>46050</v>
      </c>
      <c r="C453" s="227" t="s">
        <v>92</v>
      </c>
      <c r="D453" s="227" t="s">
        <v>24</v>
      </c>
      <c r="E453" s="227" t="s">
        <v>52</v>
      </c>
      <c r="F453" s="227" t="s">
        <v>90</v>
      </c>
      <c r="G453" s="227" t="s">
        <v>84</v>
      </c>
      <c r="H453" s="231">
        <v>1</v>
      </c>
      <c r="I453" s="232">
        <v>1800</v>
      </c>
      <c r="J453" s="230">
        <v>46048</v>
      </c>
      <c r="K453" s="227" t="s">
        <v>93</v>
      </c>
      <c r="L453" s="227" t="s">
        <v>94</v>
      </c>
      <c r="M453" s="233">
        <v>0.43</v>
      </c>
      <c r="N453" s="231"/>
      <c r="O453" s="231">
        <v>44</v>
      </c>
      <c r="P453" s="234">
        <v>-149.51</v>
      </c>
    </row>
    <row r="454" spans="1:16" ht="19.5" customHeight="1">
      <c r="A454" s="227" t="s">
        <v>1193</v>
      </c>
      <c r="B454" s="230">
        <v>46050</v>
      </c>
      <c r="C454" s="227" t="s">
        <v>100</v>
      </c>
      <c r="D454" s="227" t="s">
        <v>101</v>
      </c>
      <c r="E454" s="227" t="s">
        <v>52</v>
      </c>
      <c r="F454" s="227" t="s">
        <v>90</v>
      </c>
      <c r="G454" s="227" t="s">
        <v>84</v>
      </c>
      <c r="H454" s="231">
        <v>1</v>
      </c>
      <c r="I454" s="232">
        <v>1800</v>
      </c>
      <c r="J454" s="230">
        <v>46048</v>
      </c>
      <c r="K454" s="227" t="s">
        <v>93</v>
      </c>
      <c r="L454" s="227" t="s">
        <v>94</v>
      </c>
      <c r="M454" s="233">
        <v>0</v>
      </c>
      <c r="N454" s="231"/>
      <c r="O454" s="231"/>
      <c r="P454" s="234">
        <v>659.7</v>
      </c>
    </row>
    <row r="455" spans="1:16" ht="19.5" customHeight="1">
      <c r="A455" s="227" t="s">
        <v>1193</v>
      </c>
      <c r="B455" s="230">
        <v>46050</v>
      </c>
      <c r="C455" s="227" t="s">
        <v>100</v>
      </c>
      <c r="D455" s="227" t="s">
        <v>102</v>
      </c>
      <c r="E455" s="227" t="s">
        <v>52</v>
      </c>
      <c r="F455" s="227" t="s">
        <v>90</v>
      </c>
      <c r="G455" s="227" t="s">
        <v>84</v>
      </c>
      <c r="H455" s="231">
        <v>1</v>
      </c>
      <c r="I455" s="232">
        <v>1800</v>
      </c>
      <c r="J455" s="230">
        <v>46048</v>
      </c>
      <c r="K455" s="227" t="s">
        <v>93</v>
      </c>
      <c r="L455" s="227" t="s">
        <v>94</v>
      </c>
      <c r="M455" s="233">
        <v>0</v>
      </c>
      <c r="N455" s="231"/>
      <c r="O455" s="231"/>
      <c r="P455" s="234">
        <v>6.6</v>
      </c>
    </row>
    <row r="456" spans="1:16" ht="19.5" customHeight="1">
      <c r="A456" s="227" t="s">
        <v>1193</v>
      </c>
      <c r="B456" s="230">
        <v>46050</v>
      </c>
      <c r="C456" s="227" t="s">
        <v>100</v>
      </c>
      <c r="D456" s="227" t="s">
        <v>103</v>
      </c>
      <c r="E456" s="227" t="s">
        <v>52</v>
      </c>
      <c r="F456" s="227" t="s">
        <v>90</v>
      </c>
      <c r="G456" s="227" t="s">
        <v>84</v>
      </c>
      <c r="H456" s="231">
        <v>1</v>
      </c>
      <c r="I456" s="232">
        <v>1800</v>
      </c>
      <c r="J456" s="230">
        <v>46048</v>
      </c>
      <c r="K456" s="227" t="s">
        <v>93</v>
      </c>
      <c r="L456" s="227" t="s">
        <v>94</v>
      </c>
      <c r="M456" s="233">
        <v>0</v>
      </c>
      <c r="N456" s="231"/>
      <c r="O456" s="231"/>
      <c r="P456" s="234">
        <v>1133.7</v>
      </c>
    </row>
    <row r="457" spans="1:16" ht="19.5" customHeight="1">
      <c r="A457" s="227" t="s">
        <v>1193</v>
      </c>
      <c r="B457" s="230">
        <v>46050</v>
      </c>
      <c r="C457" s="227" t="s">
        <v>104</v>
      </c>
      <c r="D457" s="227" t="s">
        <v>105</v>
      </c>
      <c r="E457" s="227" t="s">
        <v>52</v>
      </c>
      <c r="F457" s="227" t="s">
        <v>90</v>
      </c>
      <c r="G457" s="227" t="s">
        <v>84</v>
      </c>
      <c r="H457" s="231">
        <v>1</v>
      </c>
      <c r="I457" s="232">
        <v>1800</v>
      </c>
      <c r="J457" s="230">
        <v>46048</v>
      </c>
      <c r="K457" s="227" t="s">
        <v>93</v>
      </c>
      <c r="L457" s="227" t="s">
        <v>94</v>
      </c>
      <c r="M457" s="233">
        <v>0.43</v>
      </c>
      <c r="N457" s="231"/>
      <c r="O457" s="231"/>
      <c r="P457" s="234">
        <v>-774</v>
      </c>
    </row>
    <row r="458" spans="1:16" ht="19.5" customHeight="1">
      <c r="A458" s="227" t="s">
        <v>1193</v>
      </c>
      <c r="B458" s="230">
        <v>46050</v>
      </c>
      <c r="C458" s="227" t="s">
        <v>81</v>
      </c>
      <c r="D458" s="227" t="s">
        <v>95</v>
      </c>
      <c r="E458" s="227" t="s">
        <v>52</v>
      </c>
      <c r="F458" s="227" t="s">
        <v>90</v>
      </c>
      <c r="G458" s="227" t="s">
        <v>84</v>
      </c>
      <c r="H458" s="231">
        <v>1</v>
      </c>
      <c r="I458" s="232">
        <v>1800</v>
      </c>
      <c r="J458" s="230">
        <v>46048</v>
      </c>
      <c r="K458" s="227" t="s">
        <v>93</v>
      </c>
      <c r="L458" s="227" t="s">
        <v>94</v>
      </c>
      <c r="M458" s="233">
        <v>0.43</v>
      </c>
      <c r="N458" s="231"/>
      <c r="O458" s="231"/>
      <c r="P458" s="234">
        <v>-16.059999999999999</v>
      </c>
    </row>
    <row r="459" spans="1:16" ht="19.5" customHeight="1">
      <c r="A459" s="227" t="s">
        <v>1194</v>
      </c>
      <c r="B459" s="230">
        <v>46050</v>
      </c>
      <c r="C459" s="227" t="s">
        <v>81</v>
      </c>
      <c r="D459" s="227" t="s">
        <v>82</v>
      </c>
      <c r="E459" s="227" t="s">
        <v>53</v>
      </c>
      <c r="F459" s="227" t="s">
        <v>120</v>
      </c>
      <c r="G459" s="227" t="s">
        <v>84</v>
      </c>
      <c r="H459" s="231">
        <v>1</v>
      </c>
      <c r="I459" s="232">
        <v>0</v>
      </c>
      <c r="J459" s="230">
        <v>46050</v>
      </c>
      <c r="K459" s="227" t="s">
        <v>85</v>
      </c>
      <c r="L459" s="227" t="s">
        <v>85</v>
      </c>
      <c r="M459" s="233">
        <v>0</v>
      </c>
      <c r="N459" s="231"/>
      <c r="O459" s="231"/>
      <c r="P459" s="234">
        <v>-12</v>
      </c>
    </row>
    <row r="460" spans="1:16" ht="19.5" customHeight="1">
      <c r="A460" s="227" t="s">
        <v>1193</v>
      </c>
      <c r="B460" s="230">
        <v>46050</v>
      </c>
      <c r="C460" s="227" t="s">
        <v>81</v>
      </c>
      <c r="D460" s="227" t="s">
        <v>82</v>
      </c>
      <c r="E460" s="227" t="s">
        <v>52</v>
      </c>
      <c r="F460" s="227" t="s">
        <v>90</v>
      </c>
      <c r="G460" s="227" t="s">
        <v>84</v>
      </c>
      <c r="H460" s="231">
        <v>1</v>
      </c>
      <c r="I460" s="232">
        <v>0</v>
      </c>
      <c r="J460" s="230">
        <v>46048</v>
      </c>
      <c r="K460" s="227" t="s">
        <v>85</v>
      </c>
      <c r="L460" s="227" t="s">
        <v>85</v>
      </c>
      <c r="M460" s="233">
        <v>0</v>
      </c>
      <c r="N460" s="231"/>
      <c r="O460" s="231"/>
      <c r="P460" s="234">
        <v>-12.53</v>
      </c>
    </row>
    <row r="461" spans="1:16" ht="19.5" customHeight="1">
      <c r="A461" s="227" t="s">
        <v>1195</v>
      </c>
      <c r="B461" s="230">
        <v>46050</v>
      </c>
      <c r="C461" s="227" t="s">
        <v>92</v>
      </c>
      <c r="D461" s="227" t="s">
        <v>24</v>
      </c>
      <c r="E461" s="227" t="s">
        <v>53</v>
      </c>
      <c r="F461" s="227" t="s">
        <v>120</v>
      </c>
      <c r="G461" s="227" t="s">
        <v>84</v>
      </c>
      <c r="H461" s="231">
        <v>1</v>
      </c>
      <c r="I461" s="232">
        <v>1812</v>
      </c>
      <c r="J461" s="230">
        <v>46045</v>
      </c>
      <c r="K461" s="227" t="s">
        <v>93</v>
      </c>
      <c r="L461" s="227" t="s">
        <v>94</v>
      </c>
      <c r="M461" s="233">
        <v>0.43</v>
      </c>
      <c r="N461" s="231"/>
      <c r="O461" s="231">
        <v>40</v>
      </c>
      <c r="P461" s="234">
        <v>-130.77000000000001</v>
      </c>
    </row>
    <row r="462" spans="1:16" ht="19.5" customHeight="1">
      <c r="A462" s="227" t="s">
        <v>1195</v>
      </c>
      <c r="B462" s="230">
        <v>46050</v>
      </c>
      <c r="C462" s="227" t="s">
        <v>100</v>
      </c>
      <c r="D462" s="227" t="s">
        <v>101</v>
      </c>
      <c r="E462" s="227" t="s">
        <v>53</v>
      </c>
      <c r="F462" s="227" t="s">
        <v>120</v>
      </c>
      <c r="G462" s="227" t="s">
        <v>84</v>
      </c>
      <c r="H462" s="231">
        <v>1</v>
      </c>
      <c r="I462" s="232">
        <v>1812</v>
      </c>
      <c r="J462" s="230">
        <v>46045</v>
      </c>
      <c r="K462" s="227" t="s">
        <v>93</v>
      </c>
      <c r="L462" s="227" t="s">
        <v>94</v>
      </c>
      <c r="M462" s="233">
        <v>0</v>
      </c>
      <c r="N462" s="231"/>
      <c r="O462" s="231"/>
      <c r="P462" s="234">
        <v>631.42999999999995</v>
      </c>
    </row>
    <row r="463" spans="1:16" ht="19.5" customHeight="1">
      <c r="A463" s="227" t="s">
        <v>1195</v>
      </c>
      <c r="B463" s="230">
        <v>46050</v>
      </c>
      <c r="C463" s="227" t="s">
        <v>100</v>
      </c>
      <c r="D463" s="227" t="s">
        <v>102</v>
      </c>
      <c r="E463" s="227" t="s">
        <v>53</v>
      </c>
      <c r="F463" s="227" t="s">
        <v>120</v>
      </c>
      <c r="G463" s="227" t="s">
        <v>84</v>
      </c>
      <c r="H463" s="231">
        <v>1</v>
      </c>
      <c r="I463" s="232">
        <v>1812</v>
      </c>
      <c r="J463" s="230">
        <v>46045</v>
      </c>
      <c r="K463" s="227" t="s">
        <v>93</v>
      </c>
      <c r="L463" s="227" t="s">
        <v>94</v>
      </c>
      <c r="M463" s="233">
        <v>0</v>
      </c>
      <c r="N463" s="231"/>
      <c r="O463" s="231"/>
      <c r="P463" s="234">
        <v>6.31</v>
      </c>
    </row>
    <row r="464" spans="1:16" ht="19.5" customHeight="1">
      <c r="A464" s="227" t="s">
        <v>1195</v>
      </c>
      <c r="B464" s="230">
        <v>46050</v>
      </c>
      <c r="C464" s="227" t="s">
        <v>100</v>
      </c>
      <c r="D464" s="227" t="s">
        <v>103</v>
      </c>
      <c r="E464" s="227" t="s">
        <v>53</v>
      </c>
      <c r="F464" s="227" t="s">
        <v>120</v>
      </c>
      <c r="G464" s="227" t="s">
        <v>84</v>
      </c>
      <c r="H464" s="231">
        <v>1</v>
      </c>
      <c r="I464" s="232">
        <v>1812</v>
      </c>
      <c r="J464" s="230">
        <v>46045</v>
      </c>
      <c r="K464" s="227" t="s">
        <v>93</v>
      </c>
      <c r="L464" s="227" t="s">
        <v>94</v>
      </c>
      <c r="M464" s="233">
        <v>0</v>
      </c>
      <c r="N464" s="231"/>
      <c r="O464" s="231"/>
      <c r="P464" s="234">
        <v>1174.26</v>
      </c>
    </row>
    <row r="465" spans="1:16" ht="19.5" customHeight="1">
      <c r="A465" s="227" t="s">
        <v>1195</v>
      </c>
      <c r="B465" s="230">
        <v>46050</v>
      </c>
      <c r="C465" s="227" t="s">
        <v>104</v>
      </c>
      <c r="D465" s="227" t="s">
        <v>105</v>
      </c>
      <c r="E465" s="227" t="s">
        <v>53</v>
      </c>
      <c r="F465" s="227" t="s">
        <v>120</v>
      </c>
      <c r="G465" s="227" t="s">
        <v>84</v>
      </c>
      <c r="H465" s="231">
        <v>1</v>
      </c>
      <c r="I465" s="232">
        <v>1812</v>
      </c>
      <c r="J465" s="230">
        <v>46045</v>
      </c>
      <c r="K465" s="227" t="s">
        <v>93</v>
      </c>
      <c r="L465" s="227" t="s">
        <v>94</v>
      </c>
      <c r="M465" s="233">
        <v>0.43</v>
      </c>
      <c r="N465" s="231"/>
      <c r="O465" s="231"/>
      <c r="P465" s="234">
        <v>-779.16</v>
      </c>
    </row>
    <row r="466" spans="1:16" ht="19.5" customHeight="1">
      <c r="A466" s="227" t="s">
        <v>1195</v>
      </c>
      <c r="B466" s="230">
        <v>46050</v>
      </c>
      <c r="C466" s="227" t="s">
        <v>81</v>
      </c>
      <c r="D466" s="227" t="s">
        <v>95</v>
      </c>
      <c r="E466" s="227" t="s">
        <v>53</v>
      </c>
      <c r="F466" s="227" t="s">
        <v>120</v>
      </c>
      <c r="G466" s="227" t="s">
        <v>84</v>
      </c>
      <c r="H466" s="231">
        <v>1</v>
      </c>
      <c r="I466" s="232">
        <v>1812</v>
      </c>
      <c r="J466" s="230">
        <v>46045</v>
      </c>
      <c r="K466" s="227" t="s">
        <v>93</v>
      </c>
      <c r="L466" s="227" t="s">
        <v>94</v>
      </c>
      <c r="M466" s="233">
        <v>0.43</v>
      </c>
      <c r="N466" s="231"/>
      <c r="O466" s="231"/>
      <c r="P466" s="234">
        <v>-14.06</v>
      </c>
    </row>
    <row r="467" spans="1:16" ht="19.5" customHeight="1">
      <c r="A467" s="227" t="s">
        <v>1196</v>
      </c>
      <c r="B467" s="230">
        <v>46050</v>
      </c>
      <c r="C467" s="227" t="s">
        <v>92</v>
      </c>
      <c r="D467" s="227" t="s">
        <v>24</v>
      </c>
      <c r="E467" s="227" t="s">
        <v>52</v>
      </c>
      <c r="F467" s="227" t="s">
        <v>90</v>
      </c>
      <c r="G467" s="227" t="s">
        <v>84</v>
      </c>
      <c r="H467" s="231">
        <v>1</v>
      </c>
      <c r="I467" s="232">
        <v>1800</v>
      </c>
      <c r="J467" s="230">
        <v>46047</v>
      </c>
      <c r="K467" s="227" t="s">
        <v>93</v>
      </c>
      <c r="L467" s="227" t="s">
        <v>94</v>
      </c>
      <c r="M467" s="233">
        <v>0.43</v>
      </c>
      <c r="N467" s="231"/>
      <c r="O467" s="231">
        <v>41</v>
      </c>
      <c r="P467" s="234">
        <v>-134.84</v>
      </c>
    </row>
    <row r="468" spans="1:16" ht="19.5" customHeight="1">
      <c r="A468" s="227" t="s">
        <v>1196</v>
      </c>
      <c r="B468" s="230">
        <v>46050</v>
      </c>
      <c r="C468" s="227" t="s">
        <v>100</v>
      </c>
      <c r="D468" s="227" t="s">
        <v>101</v>
      </c>
      <c r="E468" s="227" t="s">
        <v>52</v>
      </c>
      <c r="F468" s="227" t="s">
        <v>90</v>
      </c>
      <c r="G468" s="227" t="s">
        <v>84</v>
      </c>
      <c r="H468" s="231">
        <v>1</v>
      </c>
      <c r="I468" s="232">
        <v>1800</v>
      </c>
      <c r="J468" s="230">
        <v>46047</v>
      </c>
      <c r="K468" s="227" t="s">
        <v>93</v>
      </c>
      <c r="L468" s="227" t="s">
        <v>94</v>
      </c>
      <c r="M468" s="233">
        <v>0</v>
      </c>
      <c r="N468" s="231"/>
      <c r="O468" s="231"/>
      <c r="P468" s="234">
        <v>713.33</v>
      </c>
    </row>
    <row r="469" spans="1:16" ht="19.5" customHeight="1">
      <c r="A469" s="227" t="s">
        <v>1196</v>
      </c>
      <c r="B469" s="230">
        <v>46050</v>
      </c>
      <c r="C469" s="227" t="s">
        <v>100</v>
      </c>
      <c r="D469" s="227" t="s">
        <v>102</v>
      </c>
      <c r="E469" s="227" t="s">
        <v>52</v>
      </c>
      <c r="F469" s="227" t="s">
        <v>90</v>
      </c>
      <c r="G469" s="227" t="s">
        <v>84</v>
      </c>
      <c r="H469" s="231">
        <v>1</v>
      </c>
      <c r="I469" s="232">
        <v>1800</v>
      </c>
      <c r="J469" s="230">
        <v>46047</v>
      </c>
      <c r="K469" s="227" t="s">
        <v>93</v>
      </c>
      <c r="L469" s="227" t="s">
        <v>94</v>
      </c>
      <c r="M469" s="233">
        <v>0</v>
      </c>
      <c r="N469" s="231"/>
      <c r="O469" s="231"/>
      <c r="P469" s="234">
        <v>0</v>
      </c>
    </row>
    <row r="470" spans="1:16" ht="19.5" customHeight="1">
      <c r="A470" s="227" t="s">
        <v>1196</v>
      </c>
      <c r="B470" s="230">
        <v>46050</v>
      </c>
      <c r="C470" s="227" t="s">
        <v>100</v>
      </c>
      <c r="D470" s="227" t="s">
        <v>103</v>
      </c>
      <c r="E470" s="227" t="s">
        <v>52</v>
      </c>
      <c r="F470" s="227" t="s">
        <v>90</v>
      </c>
      <c r="G470" s="227" t="s">
        <v>84</v>
      </c>
      <c r="H470" s="231">
        <v>1</v>
      </c>
      <c r="I470" s="232">
        <v>1800</v>
      </c>
      <c r="J470" s="230">
        <v>46047</v>
      </c>
      <c r="K470" s="227" t="s">
        <v>93</v>
      </c>
      <c r="L470" s="227" t="s">
        <v>94</v>
      </c>
      <c r="M470" s="233">
        <v>0</v>
      </c>
      <c r="N470" s="231"/>
      <c r="O470" s="231"/>
      <c r="P470" s="234">
        <v>1086.67</v>
      </c>
    </row>
    <row r="471" spans="1:16" ht="19.5" customHeight="1">
      <c r="A471" s="227" t="s">
        <v>1196</v>
      </c>
      <c r="B471" s="230">
        <v>46050</v>
      </c>
      <c r="C471" s="227" t="s">
        <v>104</v>
      </c>
      <c r="D471" s="227" t="s">
        <v>105</v>
      </c>
      <c r="E471" s="227" t="s">
        <v>52</v>
      </c>
      <c r="F471" s="227" t="s">
        <v>90</v>
      </c>
      <c r="G471" s="227" t="s">
        <v>84</v>
      </c>
      <c r="H471" s="231">
        <v>1</v>
      </c>
      <c r="I471" s="232">
        <v>1800</v>
      </c>
      <c r="J471" s="230">
        <v>46047</v>
      </c>
      <c r="K471" s="227" t="s">
        <v>93</v>
      </c>
      <c r="L471" s="227" t="s">
        <v>94</v>
      </c>
      <c r="M471" s="233">
        <v>0.43</v>
      </c>
      <c r="N471" s="231"/>
      <c r="O471" s="231"/>
      <c r="P471" s="234">
        <v>-774</v>
      </c>
    </row>
    <row r="472" spans="1:16" ht="19.5" customHeight="1">
      <c r="A472" s="227" t="s">
        <v>1196</v>
      </c>
      <c r="B472" s="230">
        <v>46050</v>
      </c>
      <c r="C472" s="227" t="s">
        <v>81</v>
      </c>
      <c r="D472" s="227" t="s">
        <v>95</v>
      </c>
      <c r="E472" s="227" t="s">
        <v>52</v>
      </c>
      <c r="F472" s="227" t="s">
        <v>90</v>
      </c>
      <c r="G472" s="227" t="s">
        <v>84</v>
      </c>
      <c r="H472" s="231">
        <v>1</v>
      </c>
      <c r="I472" s="232">
        <v>1800</v>
      </c>
      <c r="J472" s="230">
        <v>46047</v>
      </c>
      <c r="K472" s="227" t="s">
        <v>93</v>
      </c>
      <c r="L472" s="227" t="s">
        <v>94</v>
      </c>
      <c r="M472" s="233">
        <v>0.43</v>
      </c>
      <c r="N472" s="231"/>
      <c r="O472" s="231"/>
      <c r="P472" s="234">
        <v>-9.7799999999999994</v>
      </c>
    </row>
    <row r="473" spans="1:16" ht="19.5" customHeight="1">
      <c r="A473" s="227" t="s">
        <v>1195</v>
      </c>
      <c r="B473" s="230">
        <v>46050</v>
      </c>
      <c r="C473" s="227" t="s">
        <v>81</v>
      </c>
      <c r="D473" s="227" t="s">
        <v>82</v>
      </c>
      <c r="E473" s="227" t="s">
        <v>53</v>
      </c>
      <c r="F473" s="227" t="s">
        <v>120</v>
      </c>
      <c r="G473" s="227" t="s">
        <v>84</v>
      </c>
      <c r="H473" s="231">
        <v>1</v>
      </c>
      <c r="I473" s="232">
        <v>0</v>
      </c>
      <c r="J473" s="230">
        <v>46045</v>
      </c>
      <c r="K473" s="227" t="s">
        <v>85</v>
      </c>
      <c r="L473" s="227" t="s">
        <v>85</v>
      </c>
      <c r="M473" s="233">
        <v>0</v>
      </c>
      <c r="N473" s="231"/>
      <c r="O473" s="231"/>
      <c r="P473" s="234">
        <v>-12</v>
      </c>
    </row>
    <row r="474" spans="1:16" ht="19.5" customHeight="1">
      <c r="A474" s="227" t="s">
        <v>1196</v>
      </c>
      <c r="B474" s="230">
        <v>46050</v>
      </c>
      <c r="C474" s="227" t="s">
        <v>81</v>
      </c>
      <c r="D474" s="227" t="s">
        <v>82</v>
      </c>
      <c r="E474" s="227" t="s">
        <v>52</v>
      </c>
      <c r="F474" s="227" t="s">
        <v>90</v>
      </c>
      <c r="G474" s="227" t="s">
        <v>84</v>
      </c>
      <c r="H474" s="231">
        <v>1</v>
      </c>
      <c r="I474" s="232">
        <v>0</v>
      </c>
      <c r="J474" s="230">
        <v>46047</v>
      </c>
      <c r="K474" s="227" t="s">
        <v>85</v>
      </c>
      <c r="L474" s="227" t="s">
        <v>85</v>
      </c>
      <c r="M474" s="233">
        <v>0</v>
      </c>
      <c r="N474" s="231"/>
      <c r="O474" s="231"/>
      <c r="P474" s="234">
        <v>-3.78</v>
      </c>
    </row>
    <row r="475" spans="1:16" ht="19.5" customHeight="1">
      <c r="A475" s="227" t="s">
        <v>1197</v>
      </c>
      <c r="B475" s="230">
        <v>46050</v>
      </c>
      <c r="C475" s="227" t="s">
        <v>92</v>
      </c>
      <c r="D475" s="227" t="s">
        <v>24</v>
      </c>
      <c r="E475" s="227" t="s">
        <v>52</v>
      </c>
      <c r="F475" s="227" t="s">
        <v>90</v>
      </c>
      <c r="G475" s="227" t="s">
        <v>84</v>
      </c>
      <c r="H475" s="231">
        <v>1</v>
      </c>
      <c r="I475" s="232">
        <v>1800</v>
      </c>
      <c r="J475" s="230">
        <v>46048</v>
      </c>
      <c r="K475" s="227" t="s">
        <v>93</v>
      </c>
      <c r="L475" s="227" t="s">
        <v>94</v>
      </c>
      <c r="M475" s="233">
        <v>0.43</v>
      </c>
      <c r="N475" s="231"/>
      <c r="O475" s="231">
        <v>44</v>
      </c>
      <c r="P475" s="234">
        <v>-147.97999999999999</v>
      </c>
    </row>
    <row r="476" spans="1:16" ht="19.5" customHeight="1">
      <c r="A476" s="227" t="s">
        <v>1197</v>
      </c>
      <c r="B476" s="230">
        <v>46050</v>
      </c>
      <c r="C476" s="227" t="s">
        <v>100</v>
      </c>
      <c r="D476" s="227" t="s">
        <v>101</v>
      </c>
      <c r="E476" s="227" t="s">
        <v>52</v>
      </c>
      <c r="F476" s="227" t="s">
        <v>90</v>
      </c>
      <c r="G476" s="227" t="s">
        <v>84</v>
      </c>
      <c r="H476" s="231">
        <v>1</v>
      </c>
      <c r="I476" s="232">
        <v>1800</v>
      </c>
      <c r="J476" s="230">
        <v>46048</v>
      </c>
      <c r="K476" s="227" t="s">
        <v>93</v>
      </c>
      <c r="L476" s="227" t="s">
        <v>94</v>
      </c>
      <c r="M476" s="233">
        <v>0</v>
      </c>
      <c r="N476" s="231"/>
      <c r="O476" s="231"/>
      <c r="P476" s="234">
        <v>627.02</v>
      </c>
    </row>
    <row r="477" spans="1:16" ht="19.5" customHeight="1">
      <c r="A477" s="227" t="s">
        <v>1197</v>
      </c>
      <c r="B477" s="230">
        <v>46050</v>
      </c>
      <c r="C477" s="227" t="s">
        <v>100</v>
      </c>
      <c r="D477" s="227" t="s">
        <v>102</v>
      </c>
      <c r="E477" s="227" t="s">
        <v>52</v>
      </c>
      <c r="F477" s="227" t="s">
        <v>90</v>
      </c>
      <c r="G477" s="227" t="s">
        <v>84</v>
      </c>
      <c r="H477" s="231">
        <v>1</v>
      </c>
      <c r="I477" s="232">
        <v>1800</v>
      </c>
      <c r="J477" s="230">
        <v>46048</v>
      </c>
      <c r="K477" s="227" t="s">
        <v>93</v>
      </c>
      <c r="L477" s="227" t="s">
        <v>94</v>
      </c>
      <c r="M477" s="233">
        <v>0</v>
      </c>
      <c r="N477" s="231"/>
      <c r="O477" s="231"/>
      <c r="P477" s="234">
        <v>6.27</v>
      </c>
    </row>
    <row r="478" spans="1:16" ht="19.5" customHeight="1">
      <c r="A478" s="227" t="s">
        <v>1197</v>
      </c>
      <c r="B478" s="230">
        <v>46050</v>
      </c>
      <c r="C478" s="227" t="s">
        <v>100</v>
      </c>
      <c r="D478" s="227" t="s">
        <v>103</v>
      </c>
      <c r="E478" s="227" t="s">
        <v>52</v>
      </c>
      <c r="F478" s="227" t="s">
        <v>90</v>
      </c>
      <c r="G478" s="227" t="s">
        <v>84</v>
      </c>
      <c r="H478" s="231">
        <v>1</v>
      </c>
      <c r="I478" s="232">
        <v>1800</v>
      </c>
      <c r="J478" s="230">
        <v>46048</v>
      </c>
      <c r="K478" s="227" t="s">
        <v>93</v>
      </c>
      <c r="L478" s="227" t="s">
        <v>94</v>
      </c>
      <c r="M478" s="233">
        <v>0</v>
      </c>
      <c r="N478" s="231"/>
      <c r="O478" s="231"/>
      <c r="P478" s="234">
        <v>1166.71</v>
      </c>
    </row>
    <row r="479" spans="1:16" ht="19.5" customHeight="1">
      <c r="A479" s="227" t="s">
        <v>1197</v>
      </c>
      <c r="B479" s="230">
        <v>46050</v>
      </c>
      <c r="C479" s="227" t="s">
        <v>104</v>
      </c>
      <c r="D479" s="227" t="s">
        <v>105</v>
      </c>
      <c r="E479" s="227" t="s">
        <v>52</v>
      </c>
      <c r="F479" s="227" t="s">
        <v>90</v>
      </c>
      <c r="G479" s="227" t="s">
        <v>84</v>
      </c>
      <c r="H479" s="231">
        <v>1</v>
      </c>
      <c r="I479" s="232">
        <v>1800</v>
      </c>
      <c r="J479" s="230">
        <v>46048</v>
      </c>
      <c r="K479" s="227" t="s">
        <v>93</v>
      </c>
      <c r="L479" s="227" t="s">
        <v>94</v>
      </c>
      <c r="M479" s="233">
        <v>0.43</v>
      </c>
      <c r="N479" s="231"/>
      <c r="O479" s="231"/>
      <c r="P479" s="234">
        <v>-774</v>
      </c>
    </row>
    <row r="480" spans="1:16" ht="19.5" customHeight="1">
      <c r="A480" s="227" t="s">
        <v>1197</v>
      </c>
      <c r="B480" s="230">
        <v>46050</v>
      </c>
      <c r="C480" s="227" t="s">
        <v>81</v>
      </c>
      <c r="D480" s="227" t="s">
        <v>95</v>
      </c>
      <c r="E480" s="227" t="s">
        <v>52</v>
      </c>
      <c r="F480" s="227" t="s">
        <v>90</v>
      </c>
      <c r="G480" s="227" t="s">
        <v>84</v>
      </c>
      <c r="H480" s="231">
        <v>1</v>
      </c>
      <c r="I480" s="232">
        <v>1800</v>
      </c>
      <c r="J480" s="230">
        <v>46048</v>
      </c>
      <c r="K480" s="227" t="s">
        <v>93</v>
      </c>
      <c r="L480" s="227" t="s">
        <v>94</v>
      </c>
      <c r="M480" s="233">
        <v>0.43</v>
      </c>
      <c r="N480" s="231"/>
      <c r="O480" s="231"/>
      <c r="P480" s="234">
        <v>-9.5500000000000007</v>
      </c>
    </row>
    <row r="481" spans="1:16" ht="19.5" customHeight="1">
      <c r="A481" s="227" t="s">
        <v>1198</v>
      </c>
      <c r="B481" s="230">
        <v>46050</v>
      </c>
      <c r="C481" s="227" t="s">
        <v>81</v>
      </c>
      <c r="D481" s="227" t="s">
        <v>82</v>
      </c>
      <c r="E481" s="227" t="s">
        <v>41</v>
      </c>
      <c r="F481" s="227" t="s">
        <v>83</v>
      </c>
      <c r="G481" s="227" t="s">
        <v>84</v>
      </c>
      <c r="H481" s="231">
        <v>1</v>
      </c>
      <c r="I481" s="232">
        <v>0</v>
      </c>
      <c r="J481" s="230">
        <v>46050</v>
      </c>
      <c r="K481" s="227" t="s">
        <v>85</v>
      </c>
      <c r="L481" s="227" t="s">
        <v>85</v>
      </c>
      <c r="M481" s="233">
        <v>0</v>
      </c>
      <c r="N481" s="231"/>
      <c r="O481" s="231"/>
      <c r="P481" s="234">
        <v>-12.27</v>
      </c>
    </row>
    <row r="482" spans="1:16" ht="19.5" customHeight="1">
      <c r="A482" s="227" t="s">
        <v>1199</v>
      </c>
      <c r="B482" s="230">
        <v>46050</v>
      </c>
      <c r="C482" s="227" t="s">
        <v>92</v>
      </c>
      <c r="D482" s="227" t="s">
        <v>24</v>
      </c>
      <c r="E482" s="227" t="s">
        <v>53</v>
      </c>
      <c r="F482" s="227" t="s">
        <v>120</v>
      </c>
      <c r="G482" s="227" t="s">
        <v>84</v>
      </c>
      <c r="H482" s="231">
        <v>1</v>
      </c>
      <c r="I482" s="232">
        <v>1812</v>
      </c>
      <c r="J482" s="230">
        <v>46048</v>
      </c>
      <c r="K482" s="227" t="s">
        <v>93</v>
      </c>
      <c r="L482" s="227" t="s">
        <v>94</v>
      </c>
      <c r="M482" s="233">
        <v>0.43</v>
      </c>
      <c r="N482" s="231"/>
      <c r="O482" s="231">
        <v>44</v>
      </c>
      <c r="P482" s="234">
        <v>-148.36000000000001</v>
      </c>
    </row>
    <row r="483" spans="1:16" ht="19.5" customHeight="1">
      <c r="A483" s="227" t="s">
        <v>1199</v>
      </c>
      <c r="B483" s="230">
        <v>46050</v>
      </c>
      <c r="C483" s="227" t="s">
        <v>100</v>
      </c>
      <c r="D483" s="227" t="s">
        <v>101</v>
      </c>
      <c r="E483" s="227" t="s">
        <v>53</v>
      </c>
      <c r="F483" s="227" t="s">
        <v>120</v>
      </c>
      <c r="G483" s="227" t="s">
        <v>84</v>
      </c>
      <c r="H483" s="231">
        <v>1</v>
      </c>
      <c r="I483" s="232">
        <v>1812</v>
      </c>
      <c r="J483" s="230">
        <v>46048</v>
      </c>
      <c r="K483" s="227" t="s">
        <v>93</v>
      </c>
      <c r="L483" s="227" t="s">
        <v>94</v>
      </c>
      <c r="M483" s="233">
        <v>0</v>
      </c>
      <c r="N483" s="231"/>
      <c r="O483" s="231"/>
      <c r="P483" s="234">
        <v>706.27</v>
      </c>
    </row>
    <row r="484" spans="1:16" ht="19.5" customHeight="1">
      <c r="A484" s="227" t="s">
        <v>1199</v>
      </c>
      <c r="B484" s="230">
        <v>46050</v>
      </c>
      <c r="C484" s="227" t="s">
        <v>100</v>
      </c>
      <c r="D484" s="227" t="s">
        <v>102</v>
      </c>
      <c r="E484" s="227" t="s">
        <v>53</v>
      </c>
      <c r="F484" s="227" t="s">
        <v>120</v>
      </c>
      <c r="G484" s="227" t="s">
        <v>84</v>
      </c>
      <c r="H484" s="231">
        <v>1</v>
      </c>
      <c r="I484" s="232">
        <v>1812</v>
      </c>
      <c r="J484" s="230">
        <v>46048</v>
      </c>
      <c r="K484" s="227" t="s">
        <v>93</v>
      </c>
      <c r="L484" s="227" t="s">
        <v>94</v>
      </c>
      <c r="M484" s="233">
        <v>0</v>
      </c>
      <c r="N484" s="231"/>
      <c r="O484" s="231"/>
      <c r="P484" s="234">
        <v>7.06</v>
      </c>
    </row>
    <row r="485" spans="1:16" ht="19.5" customHeight="1">
      <c r="A485" s="227" t="s">
        <v>1199</v>
      </c>
      <c r="B485" s="230">
        <v>46050</v>
      </c>
      <c r="C485" s="227" t="s">
        <v>100</v>
      </c>
      <c r="D485" s="227" t="s">
        <v>103</v>
      </c>
      <c r="E485" s="227" t="s">
        <v>53</v>
      </c>
      <c r="F485" s="227" t="s">
        <v>120</v>
      </c>
      <c r="G485" s="227" t="s">
        <v>84</v>
      </c>
      <c r="H485" s="231">
        <v>1</v>
      </c>
      <c r="I485" s="232">
        <v>1812</v>
      </c>
      <c r="J485" s="230">
        <v>46048</v>
      </c>
      <c r="K485" s="227" t="s">
        <v>93</v>
      </c>
      <c r="L485" s="227" t="s">
        <v>94</v>
      </c>
      <c r="M485" s="233">
        <v>0</v>
      </c>
      <c r="N485" s="231"/>
      <c r="O485" s="231"/>
      <c r="P485" s="234">
        <v>1098.67</v>
      </c>
    </row>
    <row r="486" spans="1:16" ht="19.5" customHeight="1">
      <c r="A486" s="227" t="s">
        <v>1199</v>
      </c>
      <c r="B486" s="230">
        <v>46050</v>
      </c>
      <c r="C486" s="227" t="s">
        <v>104</v>
      </c>
      <c r="D486" s="227" t="s">
        <v>105</v>
      </c>
      <c r="E486" s="227" t="s">
        <v>53</v>
      </c>
      <c r="F486" s="227" t="s">
        <v>120</v>
      </c>
      <c r="G486" s="227" t="s">
        <v>84</v>
      </c>
      <c r="H486" s="231">
        <v>1</v>
      </c>
      <c r="I486" s="232">
        <v>1812</v>
      </c>
      <c r="J486" s="230">
        <v>46048</v>
      </c>
      <c r="K486" s="227" t="s">
        <v>93</v>
      </c>
      <c r="L486" s="227" t="s">
        <v>94</v>
      </c>
      <c r="M486" s="233">
        <v>0.43</v>
      </c>
      <c r="N486" s="231"/>
      <c r="O486" s="231"/>
      <c r="P486" s="234">
        <v>-779.16</v>
      </c>
    </row>
    <row r="487" spans="1:16" ht="19.5" customHeight="1">
      <c r="A487" s="227" t="s">
        <v>1199</v>
      </c>
      <c r="B487" s="230">
        <v>46050</v>
      </c>
      <c r="C487" s="227" t="s">
        <v>81</v>
      </c>
      <c r="D487" s="227" t="s">
        <v>95</v>
      </c>
      <c r="E487" s="227" t="s">
        <v>53</v>
      </c>
      <c r="F487" s="227" t="s">
        <v>120</v>
      </c>
      <c r="G487" s="227" t="s">
        <v>84</v>
      </c>
      <c r="H487" s="231">
        <v>1</v>
      </c>
      <c r="I487" s="232">
        <v>1812</v>
      </c>
      <c r="J487" s="230">
        <v>46048</v>
      </c>
      <c r="K487" s="227" t="s">
        <v>93</v>
      </c>
      <c r="L487" s="227" t="s">
        <v>94</v>
      </c>
      <c r="M487" s="233">
        <v>0.43</v>
      </c>
      <c r="N487" s="231"/>
      <c r="O487" s="231"/>
      <c r="P487" s="234">
        <v>-9.75</v>
      </c>
    </row>
    <row r="488" spans="1:16" ht="19.5" customHeight="1">
      <c r="A488" s="227" t="s">
        <v>1199</v>
      </c>
      <c r="B488" s="230">
        <v>46050</v>
      </c>
      <c r="C488" s="227" t="s">
        <v>81</v>
      </c>
      <c r="D488" s="227" t="s">
        <v>82</v>
      </c>
      <c r="E488" s="227" t="s">
        <v>53</v>
      </c>
      <c r="F488" s="227" t="s">
        <v>120</v>
      </c>
      <c r="G488" s="227" t="s">
        <v>84</v>
      </c>
      <c r="H488" s="231">
        <v>1</v>
      </c>
      <c r="I488" s="232">
        <v>0</v>
      </c>
      <c r="J488" s="230">
        <v>46048</v>
      </c>
      <c r="K488" s="227" t="s">
        <v>85</v>
      </c>
      <c r="L488" s="227" t="s">
        <v>85</v>
      </c>
      <c r="M488" s="233">
        <v>0</v>
      </c>
      <c r="N488" s="231"/>
      <c r="O488" s="231"/>
      <c r="P488" s="234">
        <v>-13.42</v>
      </c>
    </row>
    <row r="489" spans="1:16" ht="19.5" customHeight="1">
      <c r="A489" s="227" t="s">
        <v>1200</v>
      </c>
      <c r="B489" s="230">
        <v>46050</v>
      </c>
      <c r="C489" s="227" t="s">
        <v>92</v>
      </c>
      <c r="D489" s="227" t="s">
        <v>24</v>
      </c>
      <c r="E489" s="227" t="s">
        <v>52</v>
      </c>
      <c r="F489" s="227" t="s">
        <v>90</v>
      </c>
      <c r="G489" s="227" t="s">
        <v>84</v>
      </c>
      <c r="H489" s="231">
        <v>1</v>
      </c>
      <c r="I489" s="232">
        <v>1800</v>
      </c>
      <c r="J489" s="230">
        <v>46048</v>
      </c>
      <c r="K489" s="227" t="s">
        <v>93</v>
      </c>
      <c r="L489" s="227" t="s">
        <v>94</v>
      </c>
      <c r="M489" s="233">
        <v>0.43</v>
      </c>
      <c r="N489" s="231"/>
      <c r="O489" s="231">
        <v>44</v>
      </c>
      <c r="P489" s="234">
        <v>-147.97999999999999</v>
      </c>
    </row>
    <row r="490" spans="1:16" ht="19.5" customHeight="1">
      <c r="A490" s="227" t="s">
        <v>1200</v>
      </c>
      <c r="B490" s="230">
        <v>46050</v>
      </c>
      <c r="C490" s="227" t="s">
        <v>100</v>
      </c>
      <c r="D490" s="227" t="s">
        <v>101</v>
      </c>
      <c r="E490" s="227" t="s">
        <v>52</v>
      </c>
      <c r="F490" s="227" t="s">
        <v>90</v>
      </c>
      <c r="G490" s="227" t="s">
        <v>84</v>
      </c>
      <c r="H490" s="231">
        <v>1</v>
      </c>
      <c r="I490" s="232">
        <v>1800</v>
      </c>
      <c r="J490" s="230">
        <v>46048</v>
      </c>
      <c r="K490" s="227" t="s">
        <v>93</v>
      </c>
      <c r="L490" s="227" t="s">
        <v>94</v>
      </c>
      <c r="M490" s="233">
        <v>0</v>
      </c>
      <c r="N490" s="231"/>
      <c r="O490" s="231"/>
      <c r="P490" s="234">
        <v>639.39</v>
      </c>
    </row>
    <row r="491" spans="1:16" ht="19.5" customHeight="1">
      <c r="A491" s="227" t="s">
        <v>1200</v>
      </c>
      <c r="B491" s="230">
        <v>46050</v>
      </c>
      <c r="C491" s="227" t="s">
        <v>100</v>
      </c>
      <c r="D491" s="227" t="s">
        <v>102</v>
      </c>
      <c r="E491" s="227" t="s">
        <v>52</v>
      </c>
      <c r="F491" s="227" t="s">
        <v>90</v>
      </c>
      <c r="G491" s="227" t="s">
        <v>84</v>
      </c>
      <c r="H491" s="231">
        <v>1</v>
      </c>
      <c r="I491" s="232">
        <v>1800</v>
      </c>
      <c r="J491" s="230">
        <v>46048</v>
      </c>
      <c r="K491" s="227" t="s">
        <v>93</v>
      </c>
      <c r="L491" s="227" t="s">
        <v>94</v>
      </c>
      <c r="M491" s="233">
        <v>0</v>
      </c>
      <c r="N491" s="231"/>
      <c r="O491" s="231"/>
      <c r="P491" s="234">
        <v>6.39</v>
      </c>
    </row>
    <row r="492" spans="1:16" ht="19.5" customHeight="1">
      <c r="A492" s="227" t="s">
        <v>1200</v>
      </c>
      <c r="B492" s="230">
        <v>46050</v>
      </c>
      <c r="C492" s="227" t="s">
        <v>100</v>
      </c>
      <c r="D492" s="227" t="s">
        <v>103</v>
      </c>
      <c r="E492" s="227" t="s">
        <v>52</v>
      </c>
      <c r="F492" s="227" t="s">
        <v>90</v>
      </c>
      <c r="G492" s="227" t="s">
        <v>84</v>
      </c>
      <c r="H492" s="231">
        <v>1</v>
      </c>
      <c r="I492" s="232">
        <v>1800</v>
      </c>
      <c r="J492" s="230">
        <v>46048</v>
      </c>
      <c r="K492" s="227" t="s">
        <v>93</v>
      </c>
      <c r="L492" s="227" t="s">
        <v>94</v>
      </c>
      <c r="M492" s="233">
        <v>0</v>
      </c>
      <c r="N492" s="231"/>
      <c r="O492" s="231"/>
      <c r="P492" s="234">
        <v>1154.22</v>
      </c>
    </row>
    <row r="493" spans="1:16" ht="19.5" customHeight="1">
      <c r="A493" s="227" t="s">
        <v>1200</v>
      </c>
      <c r="B493" s="230">
        <v>46050</v>
      </c>
      <c r="C493" s="227" t="s">
        <v>104</v>
      </c>
      <c r="D493" s="227" t="s">
        <v>105</v>
      </c>
      <c r="E493" s="227" t="s">
        <v>52</v>
      </c>
      <c r="F493" s="227" t="s">
        <v>90</v>
      </c>
      <c r="G493" s="227" t="s">
        <v>84</v>
      </c>
      <c r="H493" s="231">
        <v>1</v>
      </c>
      <c r="I493" s="232">
        <v>1800</v>
      </c>
      <c r="J493" s="230">
        <v>46048</v>
      </c>
      <c r="K493" s="227" t="s">
        <v>93</v>
      </c>
      <c r="L493" s="227" t="s">
        <v>94</v>
      </c>
      <c r="M493" s="233">
        <v>0.43</v>
      </c>
      <c r="N493" s="231"/>
      <c r="O493" s="231"/>
      <c r="P493" s="234">
        <v>-774</v>
      </c>
    </row>
    <row r="494" spans="1:16" ht="19.5" customHeight="1">
      <c r="A494" s="227" t="s">
        <v>1200</v>
      </c>
      <c r="B494" s="230">
        <v>46050</v>
      </c>
      <c r="C494" s="227" t="s">
        <v>81</v>
      </c>
      <c r="D494" s="227" t="s">
        <v>95</v>
      </c>
      <c r="E494" s="227" t="s">
        <v>52</v>
      </c>
      <c r="F494" s="227" t="s">
        <v>90</v>
      </c>
      <c r="G494" s="227" t="s">
        <v>84</v>
      </c>
      <c r="H494" s="231">
        <v>1</v>
      </c>
      <c r="I494" s="232">
        <v>1800</v>
      </c>
      <c r="J494" s="230">
        <v>46048</v>
      </c>
      <c r="K494" s="227" t="s">
        <v>93</v>
      </c>
      <c r="L494" s="227" t="s">
        <v>94</v>
      </c>
      <c r="M494" s="233">
        <v>0.43</v>
      </c>
      <c r="N494" s="231"/>
      <c r="O494" s="231"/>
      <c r="P494" s="234">
        <v>-9.57</v>
      </c>
    </row>
    <row r="495" spans="1:16" ht="19.5" customHeight="1">
      <c r="A495" s="227" t="s">
        <v>1200</v>
      </c>
      <c r="B495" s="230">
        <v>46050</v>
      </c>
      <c r="C495" s="227" t="s">
        <v>81</v>
      </c>
      <c r="D495" s="227" t="s">
        <v>82</v>
      </c>
      <c r="E495" s="227" t="s">
        <v>52</v>
      </c>
      <c r="F495" s="227" t="s">
        <v>90</v>
      </c>
      <c r="G495" s="227" t="s">
        <v>84</v>
      </c>
      <c r="H495" s="231">
        <v>1</v>
      </c>
      <c r="I495" s="232">
        <v>0</v>
      </c>
      <c r="J495" s="230">
        <v>46048</v>
      </c>
      <c r="K495" s="227" t="s">
        <v>85</v>
      </c>
      <c r="L495" s="227" t="s">
        <v>85</v>
      </c>
      <c r="M495" s="233">
        <v>0</v>
      </c>
      <c r="N495" s="231"/>
      <c r="O495" s="231"/>
      <c r="P495" s="234">
        <v>-12.15</v>
      </c>
    </row>
    <row r="496" spans="1:16" ht="19.5" customHeight="1">
      <c r="A496" s="227" t="s">
        <v>1201</v>
      </c>
      <c r="B496" s="230">
        <v>46050</v>
      </c>
      <c r="C496" s="227" t="s">
        <v>81</v>
      </c>
      <c r="D496" s="227" t="s">
        <v>82</v>
      </c>
      <c r="E496" s="227" t="s">
        <v>52</v>
      </c>
      <c r="F496" s="227" t="s">
        <v>90</v>
      </c>
      <c r="G496" s="227" t="s">
        <v>84</v>
      </c>
      <c r="H496" s="231">
        <v>1</v>
      </c>
      <c r="I496" s="232">
        <v>0</v>
      </c>
      <c r="J496" s="230">
        <v>46050</v>
      </c>
      <c r="K496" s="227" t="s">
        <v>85</v>
      </c>
      <c r="L496" s="227" t="s">
        <v>85</v>
      </c>
      <c r="M496" s="233">
        <v>0</v>
      </c>
      <c r="N496" s="231"/>
      <c r="O496" s="231"/>
      <c r="P496" s="234">
        <v>-11.92</v>
      </c>
    </row>
    <row r="497" spans="1:16" ht="19.5" customHeight="1">
      <c r="A497" s="227" t="s">
        <v>1163</v>
      </c>
      <c r="B497" s="230">
        <v>46050</v>
      </c>
      <c r="C497" s="227" t="s">
        <v>81</v>
      </c>
      <c r="D497" s="227" t="s">
        <v>82</v>
      </c>
      <c r="E497" s="227" t="s">
        <v>52</v>
      </c>
      <c r="F497" s="227" t="s">
        <v>90</v>
      </c>
      <c r="G497" s="227" t="s">
        <v>84</v>
      </c>
      <c r="H497" s="231">
        <v>1</v>
      </c>
      <c r="I497" s="232">
        <v>0</v>
      </c>
      <c r="J497" s="230">
        <v>46049</v>
      </c>
      <c r="K497" s="227" t="s">
        <v>85</v>
      </c>
      <c r="L497" s="227" t="s">
        <v>85</v>
      </c>
      <c r="M497" s="233">
        <v>0</v>
      </c>
      <c r="N497" s="231"/>
      <c r="O497" s="231"/>
      <c r="P497" s="234">
        <v>5.05</v>
      </c>
    </row>
    <row r="498" spans="1:16" ht="19.5" customHeight="1">
      <c r="A498" s="227" t="s">
        <v>1202</v>
      </c>
      <c r="B498" s="230">
        <v>46050</v>
      </c>
      <c r="C498" s="227" t="s">
        <v>81</v>
      </c>
      <c r="D498" s="227" t="s">
        <v>82</v>
      </c>
      <c r="E498" s="227" t="s">
        <v>53</v>
      </c>
      <c r="F498" s="227" t="s">
        <v>120</v>
      </c>
      <c r="G498" s="227" t="s">
        <v>84</v>
      </c>
      <c r="H498" s="231">
        <v>1</v>
      </c>
      <c r="I498" s="232">
        <v>0</v>
      </c>
      <c r="J498" s="230">
        <v>46050</v>
      </c>
      <c r="K498" s="227" t="s">
        <v>85</v>
      </c>
      <c r="L498" s="227" t="s">
        <v>85</v>
      </c>
      <c r="M498" s="233">
        <v>0</v>
      </c>
      <c r="N498" s="231"/>
      <c r="O498" s="231"/>
      <c r="P498" s="234">
        <v>-12</v>
      </c>
    </row>
    <row r="499" spans="1:16" ht="19.5" customHeight="1">
      <c r="A499" s="227" t="s">
        <v>1203</v>
      </c>
      <c r="B499" s="230">
        <v>46050</v>
      </c>
      <c r="C499" s="227" t="s">
        <v>81</v>
      </c>
      <c r="D499" s="227" t="s">
        <v>82</v>
      </c>
      <c r="E499" s="227" t="s">
        <v>52</v>
      </c>
      <c r="F499" s="227" t="s">
        <v>90</v>
      </c>
      <c r="G499" s="227" t="s">
        <v>84</v>
      </c>
      <c r="H499" s="231">
        <v>1</v>
      </c>
      <c r="I499" s="232">
        <v>0</v>
      </c>
      <c r="J499" s="230">
        <v>46050</v>
      </c>
      <c r="K499" s="227" t="s">
        <v>85</v>
      </c>
      <c r="L499" s="227" t="s">
        <v>85</v>
      </c>
      <c r="M499" s="233">
        <v>0</v>
      </c>
      <c r="N499" s="231"/>
      <c r="O499" s="231"/>
      <c r="P499" s="234">
        <v>-11.92</v>
      </c>
    </row>
    <row r="500" spans="1:16" ht="19.5" customHeight="1">
      <c r="A500" s="227" t="s">
        <v>1204</v>
      </c>
      <c r="B500" s="230">
        <v>46050</v>
      </c>
      <c r="C500" s="227" t="s">
        <v>81</v>
      </c>
      <c r="D500" s="227" t="s">
        <v>82</v>
      </c>
      <c r="E500" s="227" t="s">
        <v>53</v>
      </c>
      <c r="F500" s="227" t="s">
        <v>120</v>
      </c>
      <c r="G500" s="227" t="s">
        <v>84</v>
      </c>
      <c r="H500" s="231">
        <v>1</v>
      </c>
      <c r="I500" s="232">
        <v>0</v>
      </c>
      <c r="J500" s="230">
        <v>46050</v>
      </c>
      <c r="K500" s="227" t="s">
        <v>85</v>
      </c>
      <c r="L500" s="227" t="s">
        <v>85</v>
      </c>
      <c r="M500" s="233">
        <v>0</v>
      </c>
      <c r="N500" s="231"/>
      <c r="O500" s="231"/>
      <c r="P500" s="234">
        <v>-11.97</v>
      </c>
    </row>
    <row r="501" spans="1:16" ht="19.5" customHeight="1">
      <c r="A501" s="227" t="s">
        <v>1205</v>
      </c>
      <c r="B501" s="230">
        <v>46050</v>
      </c>
      <c r="C501" s="227" t="s">
        <v>81</v>
      </c>
      <c r="D501" s="227" t="s">
        <v>82</v>
      </c>
      <c r="E501" s="227" t="s">
        <v>52</v>
      </c>
      <c r="F501" s="227" t="s">
        <v>90</v>
      </c>
      <c r="G501" s="227" t="s">
        <v>84</v>
      </c>
      <c r="H501" s="231">
        <v>1</v>
      </c>
      <c r="I501" s="232">
        <v>0</v>
      </c>
      <c r="J501" s="230">
        <v>46050</v>
      </c>
      <c r="K501" s="227" t="s">
        <v>85</v>
      </c>
      <c r="L501" s="227" t="s">
        <v>85</v>
      </c>
      <c r="M501" s="233">
        <v>0</v>
      </c>
      <c r="N501" s="231"/>
      <c r="O501" s="231"/>
      <c r="P501" s="234">
        <v>-11.92</v>
      </c>
    </row>
    <row r="502" spans="1:16" ht="19.5" customHeight="1">
      <c r="A502" s="227" t="s">
        <v>1206</v>
      </c>
      <c r="B502" s="230">
        <v>46050</v>
      </c>
      <c r="C502" s="227" t="s">
        <v>109</v>
      </c>
      <c r="D502" s="227" t="s">
        <v>139</v>
      </c>
      <c r="E502" s="227" t="s">
        <v>85</v>
      </c>
      <c r="F502" s="227" t="s">
        <v>85</v>
      </c>
      <c r="G502" s="227" t="s">
        <v>85</v>
      </c>
      <c r="H502" s="231">
        <v>0</v>
      </c>
      <c r="I502" s="232">
        <v>0</v>
      </c>
      <c r="J502" s="230">
        <v>46050</v>
      </c>
      <c r="K502" s="227" t="s">
        <v>85</v>
      </c>
      <c r="L502" s="227" t="s">
        <v>85</v>
      </c>
      <c r="M502" s="233">
        <v>0</v>
      </c>
      <c r="N502" s="231"/>
      <c r="O502" s="231"/>
      <c r="P502" s="234">
        <v>-234.57</v>
      </c>
    </row>
    <row r="503" spans="1:16" ht="19.5" customHeight="1">
      <c r="A503" s="227" t="s">
        <v>1207</v>
      </c>
      <c r="B503" s="230">
        <v>46050</v>
      </c>
      <c r="C503" s="227" t="s">
        <v>109</v>
      </c>
      <c r="D503" s="227" t="s">
        <v>139</v>
      </c>
      <c r="E503" s="227" t="s">
        <v>85</v>
      </c>
      <c r="F503" s="227" t="s">
        <v>85</v>
      </c>
      <c r="G503" s="227" t="s">
        <v>85</v>
      </c>
      <c r="H503" s="231">
        <v>0</v>
      </c>
      <c r="I503" s="232">
        <v>0</v>
      </c>
      <c r="J503" s="230">
        <v>46050</v>
      </c>
      <c r="K503" s="227" t="s">
        <v>85</v>
      </c>
      <c r="L503" s="227" t="s">
        <v>85</v>
      </c>
      <c r="M503" s="233">
        <v>0</v>
      </c>
      <c r="N503" s="231"/>
      <c r="O503" s="231"/>
      <c r="P503" s="234">
        <v>-230.44</v>
      </c>
    </row>
    <row r="504" spans="1:16" ht="19.5" customHeight="1">
      <c r="A504" s="227" t="s">
        <v>1208</v>
      </c>
      <c r="B504" s="230">
        <v>46050</v>
      </c>
      <c r="C504" s="227" t="s">
        <v>109</v>
      </c>
      <c r="D504" s="227" t="s">
        <v>139</v>
      </c>
      <c r="E504" s="227" t="s">
        <v>85</v>
      </c>
      <c r="F504" s="227" t="s">
        <v>85</v>
      </c>
      <c r="G504" s="227" t="s">
        <v>85</v>
      </c>
      <c r="H504" s="231">
        <v>0</v>
      </c>
      <c r="I504" s="232">
        <v>0</v>
      </c>
      <c r="J504" s="230">
        <v>46050</v>
      </c>
      <c r="K504" s="227" t="s">
        <v>85</v>
      </c>
      <c r="L504" s="227" t="s">
        <v>85</v>
      </c>
      <c r="M504" s="233">
        <v>0</v>
      </c>
      <c r="N504" s="231"/>
      <c r="O504" s="231"/>
      <c r="P504" s="234">
        <v>-279.14</v>
      </c>
    </row>
    <row r="505" spans="1:16" ht="19.5" customHeight="1">
      <c r="A505" s="227" t="s">
        <v>1209</v>
      </c>
      <c r="B505" s="230">
        <v>46050</v>
      </c>
      <c r="C505" s="227" t="s">
        <v>109</v>
      </c>
      <c r="D505" s="227" t="s">
        <v>139</v>
      </c>
      <c r="E505" s="227" t="s">
        <v>85</v>
      </c>
      <c r="F505" s="227" t="s">
        <v>85</v>
      </c>
      <c r="G505" s="227" t="s">
        <v>85</v>
      </c>
      <c r="H505" s="231">
        <v>0</v>
      </c>
      <c r="I505" s="232">
        <v>0</v>
      </c>
      <c r="J505" s="230">
        <v>46050</v>
      </c>
      <c r="K505" s="227" t="s">
        <v>85</v>
      </c>
      <c r="L505" s="227" t="s">
        <v>85</v>
      </c>
      <c r="M505" s="233">
        <v>0</v>
      </c>
      <c r="N505" s="231"/>
      <c r="O505" s="231"/>
      <c r="P505" s="234">
        <v>-222.92</v>
      </c>
    </row>
    <row r="506" spans="1:16" ht="19.5" customHeight="1">
      <c r="A506" s="227" t="s">
        <v>1210</v>
      </c>
      <c r="B506" s="230">
        <v>46050</v>
      </c>
      <c r="C506" s="227" t="s">
        <v>109</v>
      </c>
      <c r="D506" s="227" t="s">
        <v>139</v>
      </c>
      <c r="E506" s="227" t="s">
        <v>85</v>
      </c>
      <c r="F506" s="227" t="s">
        <v>85</v>
      </c>
      <c r="G506" s="227" t="s">
        <v>85</v>
      </c>
      <c r="H506" s="231">
        <v>0</v>
      </c>
      <c r="I506" s="232">
        <v>0</v>
      </c>
      <c r="J506" s="230">
        <v>46050</v>
      </c>
      <c r="K506" s="227" t="s">
        <v>85</v>
      </c>
      <c r="L506" s="227" t="s">
        <v>85</v>
      </c>
      <c r="M506" s="233">
        <v>0</v>
      </c>
      <c r="N506" s="231"/>
      <c r="O506" s="231"/>
      <c r="P506" s="234">
        <v>-252.93</v>
      </c>
    </row>
    <row r="507" spans="1:16" ht="19.5" customHeight="1">
      <c r="A507" s="227" t="s">
        <v>1211</v>
      </c>
      <c r="B507" s="230">
        <v>46050</v>
      </c>
      <c r="C507" s="227" t="s">
        <v>109</v>
      </c>
      <c r="D507" s="227" t="s">
        <v>139</v>
      </c>
      <c r="E507" s="227" t="s">
        <v>85</v>
      </c>
      <c r="F507" s="227" t="s">
        <v>85</v>
      </c>
      <c r="G507" s="227" t="s">
        <v>85</v>
      </c>
      <c r="H507" s="231">
        <v>0</v>
      </c>
      <c r="I507" s="232">
        <v>0</v>
      </c>
      <c r="J507" s="230">
        <v>46050</v>
      </c>
      <c r="K507" s="227" t="s">
        <v>85</v>
      </c>
      <c r="L507" s="227" t="s">
        <v>85</v>
      </c>
      <c r="M507" s="233">
        <v>0</v>
      </c>
      <c r="N507" s="231"/>
      <c r="O507" s="231"/>
      <c r="P507" s="234">
        <v>-221.81</v>
      </c>
    </row>
    <row r="508" spans="1:16" ht="19.5" customHeight="1">
      <c r="A508" s="227" t="s">
        <v>141</v>
      </c>
      <c r="B508" s="230">
        <v>46050</v>
      </c>
      <c r="C508" s="227" t="s">
        <v>109</v>
      </c>
      <c r="D508" s="227" t="s">
        <v>139</v>
      </c>
      <c r="E508" s="227" t="s">
        <v>85</v>
      </c>
      <c r="F508" s="227" t="s">
        <v>85</v>
      </c>
      <c r="G508" s="227" t="s">
        <v>85</v>
      </c>
      <c r="H508" s="231">
        <v>0</v>
      </c>
      <c r="I508" s="232">
        <v>0</v>
      </c>
      <c r="J508" s="230">
        <v>46050</v>
      </c>
      <c r="K508" s="227" t="s">
        <v>85</v>
      </c>
      <c r="L508" s="227" t="s">
        <v>85</v>
      </c>
      <c r="M508" s="233">
        <v>0</v>
      </c>
      <c r="N508" s="231"/>
      <c r="O508" s="231"/>
      <c r="P508" s="234">
        <v>-405.73</v>
      </c>
    </row>
    <row r="509" spans="1:16" ht="19.5" customHeight="1">
      <c r="A509" s="227" t="s">
        <v>145</v>
      </c>
      <c r="B509" s="230">
        <v>46050</v>
      </c>
      <c r="C509" s="227" t="s">
        <v>109</v>
      </c>
      <c r="D509" s="227" t="s">
        <v>139</v>
      </c>
      <c r="E509" s="227" t="s">
        <v>85</v>
      </c>
      <c r="F509" s="227" t="s">
        <v>85</v>
      </c>
      <c r="G509" s="227" t="s">
        <v>85</v>
      </c>
      <c r="H509" s="231">
        <v>0</v>
      </c>
      <c r="I509" s="232">
        <v>0</v>
      </c>
      <c r="J509" s="230">
        <v>46050</v>
      </c>
      <c r="K509" s="227" t="s">
        <v>85</v>
      </c>
      <c r="L509" s="227" t="s">
        <v>85</v>
      </c>
      <c r="M509" s="233">
        <v>0</v>
      </c>
      <c r="N509" s="231"/>
      <c r="O509" s="231"/>
      <c r="P509" s="234">
        <v>-1190.6300000000001</v>
      </c>
    </row>
    <row r="510" spans="1:16" ht="19.5" customHeight="1">
      <c r="A510" s="227" t="s">
        <v>144</v>
      </c>
      <c r="B510" s="230">
        <v>46050</v>
      </c>
      <c r="C510" s="227" t="s">
        <v>109</v>
      </c>
      <c r="D510" s="227" t="s">
        <v>139</v>
      </c>
      <c r="E510" s="227" t="s">
        <v>85</v>
      </c>
      <c r="F510" s="227" t="s">
        <v>85</v>
      </c>
      <c r="G510" s="227" t="s">
        <v>85</v>
      </c>
      <c r="H510" s="231">
        <v>0</v>
      </c>
      <c r="I510" s="232">
        <v>0</v>
      </c>
      <c r="J510" s="230">
        <v>46050</v>
      </c>
      <c r="K510" s="227" t="s">
        <v>85</v>
      </c>
      <c r="L510" s="227" t="s">
        <v>85</v>
      </c>
      <c r="M510" s="233">
        <v>0</v>
      </c>
      <c r="N510" s="231"/>
      <c r="O510" s="231"/>
      <c r="P510" s="234">
        <v>-1082.99</v>
      </c>
    </row>
    <row r="511" spans="1:16" ht="19.5" customHeight="1">
      <c r="A511" s="227" t="s">
        <v>138</v>
      </c>
      <c r="B511" s="230">
        <v>46050</v>
      </c>
      <c r="C511" s="227" t="s">
        <v>109</v>
      </c>
      <c r="D511" s="227" t="s">
        <v>139</v>
      </c>
      <c r="E511" s="227" t="s">
        <v>85</v>
      </c>
      <c r="F511" s="227" t="s">
        <v>85</v>
      </c>
      <c r="G511" s="227" t="s">
        <v>85</v>
      </c>
      <c r="H511" s="231">
        <v>0</v>
      </c>
      <c r="I511" s="232">
        <v>0</v>
      </c>
      <c r="J511" s="230">
        <v>46050</v>
      </c>
      <c r="K511" s="227" t="s">
        <v>85</v>
      </c>
      <c r="L511" s="227" t="s">
        <v>85</v>
      </c>
      <c r="M511" s="233">
        <v>0</v>
      </c>
      <c r="N511" s="231"/>
      <c r="O511" s="231"/>
      <c r="P511" s="234">
        <v>-1149.56</v>
      </c>
    </row>
    <row r="512" spans="1:16" ht="19.5" customHeight="1">
      <c r="A512" s="227" t="s">
        <v>142</v>
      </c>
      <c r="B512" s="230">
        <v>46050</v>
      </c>
      <c r="C512" s="227" t="s">
        <v>109</v>
      </c>
      <c r="D512" s="227" t="s">
        <v>143</v>
      </c>
      <c r="E512" s="227" t="s">
        <v>85</v>
      </c>
      <c r="F512" s="227" t="s">
        <v>85</v>
      </c>
      <c r="G512" s="227" t="s">
        <v>85</v>
      </c>
      <c r="H512" s="231">
        <v>0</v>
      </c>
      <c r="I512" s="232">
        <v>0</v>
      </c>
      <c r="J512" s="230">
        <v>46050</v>
      </c>
      <c r="K512" s="227" t="s">
        <v>85</v>
      </c>
      <c r="L512" s="227" t="s">
        <v>85</v>
      </c>
      <c r="M512" s="233">
        <v>0</v>
      </c>
      <c r="N512" s="231"/>
      <c r="O512" s="231"/>
      <c r="P512" s="234">
        <v>-4734.3999999999996</v>
      </c>
    </row>
    <row r="513" spans="1:16" ht="19.5" customHeight="1">
      <c r="A513" s="227" t="s">
        <v>1212</v>
      </c>
      <c r="B513" s="230">
        <v>46051</v>
      </c>
      <c r="C513" s="227" t="s">
        <v>92</v>
      </c>
      <c r="D513" s="227" t="s">
        <v>24</v>
      </c>
      <c r="E513" s="227" t="s">
        <v>42</v>
      </c>
      <c r="F513" s="227" t="s">
        <v>89</v>
      </c>
      <c r="G513" s="227" t="s">
        <v>84</v>
      </c>
      <c r="H513" s="231">
        <v>1</v>
      </c>
      <c r="I513" s="232">
        <v>0</v>
      </c>
      <c r="J513" s="230">
        <v>46034</v>
      </c>
      <c r="K513" s="227" t="s">
        <v>93</v>
      </c>
      <c r="L513" s="227" t="s">
        <v>94</v>
      </c>
      <c r="M513" s="233">
        <v>0</v>
      </c>
      <c r="N513" s="231"/>
      <c r="O513" s="231">
        <v>42</v>
      </c>
      <c r="P513" s="234">
        <v>-46.77</v>
      </c>
    </row>
    <row r="514" spans="1:16" ht="19.5" customHeight="1">
      <c r="A514" s="227" t="s">
        <v>1212</v>
      </c>
      <c r="B514" s="230">
        <v>46051</v>
      </c>
      <c r="C514" s="227" t="s">
        <v>81</v>
      </c>
      <c r="D514" s="227" t="s">
        <v>95</v>
      </c>
      <c r="E514" s="227" t="s">
        <v>42</v>
      </c>
      <c r="F514" s="227" t="s">
        <v>89</v>
      </c>
      <c r="G514" s="227" t="s">
        <v>84</v>
      </c>
      <c r="H514" s="231">
        <v>1</v>
      </c>
      <c r="I514" s="232">
        <v>0</v>
      </c>
      <c r="J514" s="230">
        <v>46034</v>
      </c>
      <c r="K514" s="227" t="s">
        <v>93</v>
      </c>
      <c r="L514" s="227" t="s">
        <v>94</v>
      </c>
      <c r="M514" s="233">
        <v>0</v>
      </c>
      <c r="N514" s="231"/>
      <c r="O514" s="231"/>
      <c r="P514" s="234">
        <v>-14.12</v>
      </c>
    </row>
    <row r="515" spans="1:16" ht="19.5" customHeight="1">
      <c r="A515" s="227" t="s">
        <v>1212</v>
      </c>
      <c r="B515" s="230">
        <v>46051</v>
      </c>
      <c r="C515" s="227" t="s">
        <v>92</v>
      </c>
      <c r="D515" s="227" t="s">
        <v>96</v>
      </c>
      <c r="E515" s="227" t="s">
        <v>42</v>
      </c>
      <c r="F515" s="227" t="s">
        <v>89</v>
      </c>
      <c r="G515" s="227" t="s">
        <v>84</v>
      </c>
      <c r="H515" s="231">
        <v>1</v>
      </c>
      <c r="I515" s="232">
        <v>0</v>
      </c>
      <c r="J515" s="230">
        <v>46034</v>
      </c>
      <c r="K515" s="227" t="s">
        <v>93</v>
      </c>
      <c r="L515" s="227" t="s">
        <v>94</v>
      </c>
      <c r="M515" s="233">
        <v>0</v>
      </c>
      <c r="N515" s="231"/>
      <c r="O515" s="231"/>
      <c r="P515" s="234">
        <v>0</v>
      </c>
    </row>
    <row r="516" spans="1:16" ht="19.5" customHeight="1">
      <c r="A516" s="227" t="s">
        <v>1212</v>
      </c>
      <c r="B516" s="230">
        <v>46051</v>
      </c>
      <c r="C516" s="227" t="s">
        <v>92</v>
      </c>
      <c r="D516" s="227" t="s">
        <v>97</v>
      </c>
      <c r="E516" s="227" t="s">
        <v>42</v>
      </c>
      <c r="F516" s="227" t="s">
        <v>89</v>
      </c>
      <c r="G516" s="227" t="s">
        <v>84</v>
      </c>
      <c r="H516" s="231">
        <v>1</v>
      </c>
      <c r="I516" s="232">
        <v>0</v>
      </c>
      <c r="J516" s="230">
        <v>46034</v>
      </c>
      <c r="K516" s="227" t="s">
        <v>93</v>
      </c>
      <c r="L516" s="227" t="s">
        <v>94</v>
      </c>
      <c r="M516" s="233">
        <v>0</v>
      </c>
      <c r="N516" s="231"/>
      <c r="O516" s="231"/>
      <c r="P516" s="234">
        <v>-46.77</v>
      </c>
    </row>
    <row r="517" spans="1:16" ht="19.5" customHeight="1">
      <c r="A517" s="227" t="s">
        <v>1213</v>
      </c>
      <c r="B517" s="230">
        <v>46051</v>
      </c>
      <c r="C517" s="227" t="s">
        <v>92</v>
      </c>
      <c r="D517" s="227" t="s">
        <v>24</v>
      </c>
      <c r="E517" s="227" t="s">
        <v>42</v>
      </c>
      <c r="F517" s="227" t="s">
        <v>89</v>
      </c>
      <c r="G517" s="227" t="s">
        <v>84</v>
      </c>
      <c r="H517" s="231">
        <v>1</v>
      </c>
      <c r="I517" s="232">
        <v>0</v>
      </c>
      <c r="J517" s="230">
        <v>46048</v>
      </c>
      <c r="K517" s="227" t="s">
        <v>93</v>
      </c>
      <c r="L517" s="227" t="s">
        <v>94</v>
      </c>
      <c r="M517" s="233">
        <v>0</v>
      </c>
      <c r="N517" s="231"/>
      <c r="O517" s="231">
        <v>44</v>
      </c>
      <c r="P517" s="234">
        <v>-46.77</v>
      </c>
    </row>
    <row r="518" spans="1:16" ht="19.5" customHeight="1">
      <c r="A518" s="227" t="s">
        <v>1213</v>
      </c>
      <c r="B518" s="230">
        <v>46051</v>
      </c>
      <c r="C518" s="227" t="s">
        <v>81</v>
      </c>
      <c r="D518" s="227" t="s">
        <v>95</v>
      </c>
      <c r="E518" s="227" t="s">
        <v>42</v>
      </c>
      <c r="F518" s="227" t="s">
        <v>89</v>
      </c>
      <c r="G518" s="227" t="s">
        <v>84</v>
      </c>
      <c r="H518" s="231">
        <v>1</v>
      </c>
      <c r="I518" s="232">
        <v>0</v>
      </c>
      <c r="J518" s="230">
        <v>46048</v>
      </c>
      <c r="K518" s="227" t="s">
        <v>93</v>
      </c>
      <c r="L518" s="227" t="s">
        <v>94</v>
      </c>
      <c r="M518" s="233">
        <v>0</v>
      </c>
      <c r="N518" s="231"/>
      <c r="O518" s="231"/>
      <c r="P518" s="234">
        <v>-9.6199999999999992</v>
      </c>
    </row>
    <row r="519" spans="1:16" ht="19.5" customHeight="1">
      <c r="A519" s="227" t="s">
        <v>1213</v>
      </c>
      <c r="B519" s="230">
        <v>46051</v>
      </c>
      <c r="C519" s="227" t="s">
        <v>92</v>
      </c>
      <c r="D519" s="227" t="s">
        <v>96</v>
      </c>
      <c r="E519" s="227" t="s">
        <v>42</v>
      </c>
      <c r="F519" s="227" t="s">
        <v>89</v>
      </c>
      <c r="G519" s="227" t="s">
        <v>84</v>
      </c>
      <c r="H519" s="231">
        <v>1</v>
      </c>
      <c r="I519" s="232">
        <v>0</v>
      </c>
      <c r="J519" s="230">
        <v>46048</v>
      </c>
      <c r="K519" s="227" t="s">
        <v>93</v>
      </c>
      <c r="L519" s="227" t="s">
        <v>94</v>
      </c>
      <c r="M519" s="233">
        <v>0</v>
      </c>
      <c r="N519" s="231"/>
      <c r="O519" s="231"/>
      <c r="P519" s="234">
        <v>0</v>
      </c>
    </row>
    <row r="520" spans="1:16" ht="19.5" customHeight="1">
      <c r="A520" s="227" t="s">
        <v>1213</v>
      </c>
      <c r="B520" s="230">
        <v>46051</v>
      </c>
      <c r="C520" s="227" t="s">
        <v>92</v>
      </c>
      <c r="D520" s="227" t="s">
        <v>97</v>
      </c>
      <c r="E520" s="227" t="s">
        <v>42</v>
      </c>
      <c r="F520" s="227" t="s">
        <v>89</v>
      </c>
      <c r="G520" s="227" t="s">
        <v>84</v>
      </c>
      <c r="H520" s="231">
        <v>1</v>
      </c>
      <c r="I520" s="232">
        <v>0</v>
      </c>
      <c r="J520" s="230">
        <v>46048</v>
      </c>
      <c r="K520" s="227" t="s">
        <v>93</v>
      </c>
      <c r="L520" s="227" t="s">
        <v>94</v>
      </c>
      <c r="M520" s="233">
        <v>0</v>
      </c>
      <c r="N520" s="231"/>
      <c r="O520" s="231"/>
      <c r="P520" s="234">
        <v>-46.77</v>
      </c>
    </row>
    <row r="521" spans="1:16" ht="19.5" customHeight="1">
      <c r="A521" s="227" t="s">
        <v>1214</v>
      </c>
      <c r="B521" s="230">
        <v>46051</v>
      </c>
      <c r="C521" s="227" t="s">
        <v>81</v>
      </c>
      <c r="D521" s="227" t="s">
        <v>82</v>
      </c>
      <c r="E521" s="227" t="s">
        <v>56</v>
      </c>
      <c r="F521" s="227" t="s">
        <v>1215</v>
      </c>
      <c r="G521" s="227" t="s">
        <v>84</v>
      </c>
      <c r="H521" s="231">
        <v>1</v>
      </c>
      <c r="I521" s="232">
        <v>0</v>
      </c>
      <c r="J521" s="230">
        <v>46051</v>
      </c>
      <c r="K521" s="227" t="s">
        <v>85</v>
      </c>
      <c r="L521" s="227" t="s">
        <v>85</v>
      </c>
      <c r="M521" s="233">
        <v>0</v>
      </c>
      <c r="N521" s="231"/>
      <c r="O521" s="231"/>
      <c r="P521" s="234">
        <v>-20.93</v>
      </c>
    </row>
    <row r="522" spans="1:16" ht="19.5" customHeight="1">
      <c r="A522" s="227" t="s">
        <v>1216</v>
      </c>
      <c r="B522" s="230">
        <v>46051</v>
      </c>
      <c r="C522" s="227" t="s">
        <v>81</v>
      </c>
      <c r="D522" s="227" t="s">
        <v>82</v>
      </c>
      <c r="E522" s="227" t="s">
        <v>52</v>
      </c>
      <c r="F522" s="227" t="s">
        <v>90</v>
      </c>
      <c r="G522" s="227" t="s">
        <v>84</v>
      </c>
      <c r="H522" s="231">
        <v>1</v>
      </c>
      <c r="I522" s="232">
        <v>0</v>
      </c>
      <c r="J522" s="230">
        <v>46051</v>
      </c>
      <c r="K522" s="227" t="s">
        <v>85</v>
      </c>
      <c r="L522" s="227" t="s">
        <v>85</v>
      </c>
      <c r="M522" s="233">
        <v>0</v>
      </c>
      <c r="N522" s="231"/>
      <c r="O522" s="231"/>
      <c r="P522" s="234">
        <v>-12</v>
      </c>
    </row>
    <row r="523" spans="1:16" ht="19.5" customHeight="1">
      <c r="A523" s="227" t="s">
        <v>1217</v>
      </c>
      <c r="B523" s="230">
        <v>46051</v>
      </c>
      <c r="C523" s="227" t="s">
        <v>81</v>
      </c>
      <c r="D523" s="227" t="s">
        <v>82</v>
      </c>
      <c r="E523" s="227" t="s">
        <v>53</v>
      </c>
      <c r="F523" s="227" t="s">
        <v>120</v>
      </c>
      <c r="G523" s="227" t="s">
        <v>84</v>
      </c>
      <c r="H523" s="231">
        <v>1</v>
      </c>
      <c r="I523" s="232">
        <v>0</v>
      </c>
      <c r="J523" s="230">
        <v>46051</v>
      </c>
      <c r="K523" s="227" t="s">
        <v>85</v>
      </c>
      <c r="L523" s="227" t="s">
        <v>85</v>
      </c>
      <c r="M523" s="233">
        <v>0</v>
      </c>
      <c r="N523" s="231"/>
      <c r="O523" s="231"/>
      <c r="P523" s="234">
        <v>-11.99</v>
      </c>
    </row>
    <row r="524" spans="1:16" ht="19.5" customHeight="1">
      <c r="A524" s="227" t="s">
        <v>1218</v>
      </c>
      <c r="B524" s="230">
        <v>46051</v>
      </c>
      <c r="C524" s="227" t="s">
        <v>81</v>
      </c>
      <c r="D524" s="227" t="s">
        <v>82</v>
      </c>
      <c r="E524" s="227" t="s">
        <v>53</v>
      </c>
      <c r="F524" s="227" t="s">
        <v>120</v>
      </c>
      <c r="G524" s="227" t="s">
        <v>84</v>
      </c>
      <c r="H524" s="231">
        <v>1</v>
      </c>
      <c r="I524" s="232">
        <v>0</v>
      </c>
      <c r="J524" s="230">
        <v>46051</v>
      </c>
      <c r="K524" s="227" t="s">
        <v>85</v>
      </c>
      <c r="L524" s="227" t="s">
        <v>85</v>
      </c>
      <c r="M524" s="233">
        <v>0</v>
      </c>
      <c r="N524" s="231"/>
      <c r="O524" s="231"/>
      <c r="P524" s="234">
        <v>-11.99</v>
      </c>
    </row>
    <row r="525" spans="1:16" ht="19.5" customHeight="1">
      <c r="A525" s="227" t="s">
        <v>85</v>
      </c>
      <c r="B525" s="230">
        <v>46051</v>
      </c>
      <c r="C525" s="227" t="s">
        <v>109</v>
      </c>
      <c r="D525" s="227" t="s">
        <v>110</v>
      </c>
      <c r="E525" s="227" t="s">
        <v>85</v>
      </c>
      <c r="F525" s="227" t="s">
        <v>85</v>
      </c>
      <c r="G525" s="227" t="s">
        <v>1219</v>
      </c>
      <c r="H525" s="231">
        <v>0</v>
      </c>
      <c r="I525" s="232">
        <v>0</v>
      </c>
      <c r="J525" s="230">
        <v>46051</v>
      </c>
      <c r="K525" s="227" t="s">
        <v>85</v>
      </c>
      <c r="L525" s="227" t="s">
        <v>85</v>
      </c>
      <c r="M525" s="233">
        <v>0</v>
      </c>
      <c r="N525" s="231"/>
      <c r="O525" s="231"/>
      <c r="P525" s="234">
        <v>-150</v>
      </c>
    </row>
    <row r="526" spans="1:16" ht="19.5" customHeight="1">
      <c r="A526" s="227" t="s">
        <v>1220</v>
      </c>
      <c r="B526" s="230">
        <v>46051</v>
      </c>
      <c r="C526" s="227" t="s">
        <v>92</v>
      </c>
      <c r="D526" s="227" t="s">
        <v>24</v>
      </c>
      <c r="E526" s="227" t="s">
        <v>42</v>
      </c>
      <c r="F526" s="227" t="s">
        <v>89</v>
      </c>
      <c r="G526" s="227" t="s">
        <v>84</v>
      </c>
      <c r="H526" s="231">
        <v>1</v>
      </c>
      <c r="I526" s="232">
        <v>1663</v>
      </c>
      <c r="J526" s="230">
        <v>46048</v>
      </c>
      <c r="K526" s="227" t="s">
        <v>93</v>
      </c>
      <c r="L526" s="227" t="s">
        <v>94</v>
      </c>
      <c r="M526" s="233">
        <v>0.43</v>
      </c>
      <c r="N526" s="231"/>
      <c r="O526" s="231">
        <v>44</v>
      </c>
      <c r="P526" s="234">
        <v>-128.62</v>
      </c>
    </row>
    <row r="527" spans="1:16" ht="19.5" customHeight="1">
      <c r="A527" s="227" t="s">
        <v>1220</v>
      </c>
      <c r="B527" s="230">
        <v>46051</v>
      </c>
      <c r="C527" s="227" t="s">
        <v>100</v>
      </c>
      <c r="D527" s="227" t="s">
        <v>101</v>
      </c>
      <c r="E527" s="227" t="s">
        <v>42</v>
      </c>
      <c r="F527" s="227" t="s">
        <v>89</v>
      </c>
      <c r="G527" s="227" t="s">
        <v>84</v>
      </c>
      <c r="H527" s="231">
        <v>1</v>
      </c>
      <c r="I527" s="232">
        <v>1663</v>
      </c>
      <c r="J527" s="230">
        <v>46048</v>
      </c>
      <c r="K527" s="227" t="s">
        <v>93</v>
      </c>
      <c r="L527" s="227" t="s">
        <v>94</v>
      </c>
      <c r="M527" s="233">
        <v>0</v>
      </c>
      <c r="N527" s="231"/>
      <c r="O527" s="231"/>
      <c r="P527" s="234">
        <v>579.04999999999995</v>
      </c>
    </row>
    <row r="528" spans="1:16" ht="19.5" customHeight="1">
      <c r="A528" s="227" t="s">
        <v>1220</v>
      </c>
      <c r="B528" s="230">
        <v>46051</v>
      </c>
      <c r="C528" s="227" t="s">
        <v>100</v>
      </c>
      <c r="D528" s="227" t="s">
        <v>102</v>
      </c>
      <c r="E528" s="227" t="s">
        <v>42</v>
      </c>
      <c r="F528" s="227" t="s">
        <v>89</v>
      </c>
      <c r="G528" s="227" t="s">
        <v>84</v>
      </c>
      <c r="H528" s="231">
        <v>1</v>
      </c>
      <c r="I528" s="232">
        <v>1663</v>
      </c>
      <c r="J528" s="230">
        <v>46048</v>
      </c>
      <c r="K528" s="227" t="s">
        <v>93</v>
      </c>
      <c r="L528" s="227" t="s">
        <v>94</v>
      </c>
      <c r="M528" s="233">
        <v>0</v>
      </c>
      <c r="N528" s="231"/>
      <c r="O528" s="231"/>
      <c r="P528" s="234">
        <v>5.79</v>
      </c>
    </row>
    <row r="529" spans="1:16" ht="19.5" customHeight="1">
      <c r="A529" s="227" t="s">
        <v>1220</v>
      </c>
      <c r="B529" s="230">
        <v>46051</v>
      </c>
      <c r="C529" s="227" t="s">
        <v>100</v>
      </c>
      <c r="D529" s="227" t="s">
        <v>103</v>
      </c>
      <c r="E529" s="227" t="s">
        <v>42</v>
      </c>
      <c r="F529" s="227" t="s">
        <v>89</v>
      </c>
      <c r="G529" s="227" t="s">
        <v>84</v>
      </c>
      <c r="H529" s="231">
        <v>1</v>
      </c>
      <c r="I529" s="232">
        <v>1663</v>
      </c>
      <c r="J529" s="230">
        <v>46048</v>
      </c>
      <c r="K529" s="227" t="s">
        <v>93</v>
      </c>
      <c r="L529" s="227" t="s">
        <v>94</v>
      </c>
      <c r="M529" s="233">
        <v>0</v>
      </c>
      <c r="N529" s="231"/>
      <c r="O529" s="231"/>
      <c r="P529" s="234">
        <v>1078.1600000000001</v>
      </c>
    </row>
    <row r="530" spans="1:16" ht="19.5" customHeight="1">
      <c r="A530" s="227" t="s">
        <v>1220</v>
      </c>
      <c r="B530" s="230">
        <v>46051</v>
      </c>
      <c r="C530" s="227" t="s">
        <v>104</v>
      </c>
      <c r="D530" s="227" t="s">
        <v>105</v>
      </c>
      <c r="E530" s="227" t="s">
        <v>42</v>
      </c>
      <c r="F530" s="227" t="s">
        <v>89</v>
      </c>
      <c r="G530" s="227" t="s">
        <v>84</v>
      </c>
      <c r="H530" s="231">
        <v>1</v>
      </c>
      <c r="I530" s="232">
        <v>1663</v>
      </c>
      <c r="J530" s="230">
        <v>46048</v>
      </c>
      <c r="K530" s="227" t="s">
        <v>93</v>
      </c>
      <c r="L530" s="227" t="s">
        <v>94</v>
      </c>
      <c r="M530" s="233">
        <v>0.43</v>
      </c>
      <c r="N530" s="231"/>
      <c r="O530" s="231"/>
      <c r="P530" s="234">
        <v>-715.09</v>
      </c>
    </row>
    <row r="531" spans="1:16" ht="19.5" customHeight="1">
      <c r="A531" s="227" t="s">
        <v>1220</v>
      </c>
      <c r="B531" s="230">
        <v>46051</v>
      </c>
      <c r="C531" s="227" t="s">
        <v>81</v>
      </c>
      <c r="D531" s="227" t="s">
        <v>95</v>
      </c>
      <c r="E531" s="227" t="s">
        <v>42</v>
      </c>
      <c r="F531" s="227" t="s">
        <v>89</v>
      </c>
      <c r="G531" s="227" t="s">
        <v>84</v>
      </c>
      <c r="H531" s="231">
        <v>1</v>
      </c>
      <c r="I531" s="232">
        <v>1663</v>
      </c>
      <c r="J531" s="230">
        <v>46048</v>
      </c>
      <c r="K531" s="227" t="s">
        <v>93</v>
      </c>
      <c r="L531" s="227" t="s">
        <v>94</v>
      </c>
      <c r="M531" s="233">
        <v>0.43</v>
      </c>
      <c r="N531" s="231"/>
      <c r="O531" s="231"/>
      <c r="P531" s="234">
        <v>-23.69</v>
      </c>
    </row>
    <row r="532" spans="1:16" ht="19.5" customHeight="1">
      <c r="A532" s="227" t="s">
        <v>1221</v>
      </c>
      <c r="B532" s="230">
        <v>46051</v>
      </c>
      <c r="C532" s="227" t="s">
        <v>81</v>
      </c>
      <c r="D532" s="227" t="s">
        <v>82</v>
      </c>
      <c r="E532" s="227" t="s">
        <v>52</v>
      </c>
      <c r="F532" s="227" t="s">
        <v>90</v>
      </c>
      <c r="G532" s="227" t="s">
        <v>84</v>
      </c>
      <c r="H532" s="231">
        <v>1</v>
      </c>
      <c r="I532" s="232">
        <v>0</v>
      </c>
      <c r="J532" s="230">
        <v>46051</v>
      </c>
      <c r="K532" s="227" t="s">
        <v>85</v>
      </c>
      <c r="L532" s="227" t="s">
        <v>85</v>
      </c>
      <c r="M532" s="233">
        <v>0</v>
      </c>
      <c r="N532" s="231"/>
      <c r="O532" s="231"/>
      <c r="P532" s="234">
        <v>-11.32</v>
      </c>
    </row>
    <row r="533" spans="1:16" ht="19.5" customHeight="1">
      <c r="A533" s="227" t="s">
        <v>1220</v>
      </c>
      <c r="B533" s="230">
        <v>46051</v>
      </c>
      <c r="C533" s="227" t="s">
        <v>81</v>
      </c>
      <c r="D533" s="227" t="s">
        <v>82</v>
      </c>
      <c r="E533" s="227" t="s">
        <v>42</v>
      </c>
      <c r="F533" s="227" t="s">
        <v>89</v>
      </c>
      <c r="G533" s="227" t="s">
        <v>84</v>
      </c>
      <c r="H533" s="231">
        <v>1</v>
      </c>
      <c r="I533" s="232">
        <v>0</v>
      </c>
      <c r="J533" s="230">
        <v>46048</v>
      </c>
      <c r="K533" s="227" t="s">
        <v>85</v>
      </c>
      <c r="L533" s="227" t="s">
        <v>85</v>
      </c>
      <c r="M533" s="233">
        <v>0</v>
      </c>
      <c r="N533" s="231"/>
      <c r="O533" s="231"/>
      <c r="P533" s="234">
        <v>-11</v>
      </c>
    </row>
    <row r="534" spans="1:16" ht="19.5" customHeight="1">
      <c r="A534" s="227" t="s">
        <v>1222</v>
      </c>
      <c r="B534" s="230">
        <v>46051</v>
      </c>
      <c r="C534" s="227" t="s">
        <v>92</v>
      </c>
      <c r="D534" s="227" t="s">
        <v>24</v>
      </c>
      <c r="E534" s="227" t="s">
        <v>53</v>
      </c>
      <c r="F534" s="227" t="s">
        <v>120</v>
      </c>
      <c r="G534" s="227" t="s">
        <v>84</v>
      </c>
      <c r="H534" s="231">
        <v>1</v>
      </c>
      <c r="I534" s="232">
        <v>0</v>
      </c>
      <c r="J534" s="230">
        <v>46031</v>
      </c>
      <c r="K534" s="227" t="s">
        <v>93</v>
      </c>
      <c r="L534" s="227" t="s">
        <v>94</v>
      </c>
      <c r="M534" s="233">
        <v>0</v>
      </c>
      <c r="N534" s="231"/>
      <c r="O534" s="231">
        <v>42</v>
      </c>
      <c r="P534" s="234">
        <v>-56</v>
      </c>
    </row>
    <row r="535" spans="1:16" ht="19.5" customHeight="1">
      <c r="A535" s="227" t="s">
        <v>1222</v>
      </c>
      <c r="B535" s="230">
        <v>46051</v>
      </c>
      <c r="C535" s="227" t="s">
        <v>81</v>
      </c>
      <c r="D535" s="227" t="s">
        <v>95</v>
      </c>
      <c r="E535" s="227" t="s">
        <v>53</v>
      </c>
      <c r="F535" s="227" t="s">
        <v>120</v>
      </c>
      <c r="G535" s="227" t="s">
        <v>84</v>
      </c>
      <c r="H535" s="231">
        <v>1</v>
      </c>
      <c r="I535" s="232">
        <v>0</v>
      </c>
      <c r="J535" s="230">
        <v>46031</v>
      </c>
      <c r="K535" s="227" t="s">
        <v>93</v>
      </c>
      <c r="L535" s="227" t="s">
        <v>94</v>
      </c>
      <c r="M535" s="233">
        <v>0</v>
      </c>
      <c r="N535" s="231"/>
      <c r="O535" s="231"/>
      <c r="P535" s="234">
        <v>-16.059999999999999</v>
      </c>
    </row>
    <row r="536" spans="1:16" ht="19.5" customHeight="1">
      <c r="A536" s="227" t="s">
        <v>1223</v>
      </c>
      <c r="B536" s="230">
        <v>46051</v>
      </c>
      <c r="C536" s="227" t="s">
        <v>92</v>
      </c>
      <c r="D536" s="227" t="s">
        <v>24</v>
      </c>
      <c r="E536" s="227" t="s">
        <v>42</v>
      </c>
      <c r="F536" s="227" t="s">
        <v>89</v>
      </c>
      <c r="G536" s="227" t="s">
        <v>84</v>
      </c>
      <c r="H536" s="231">
        <v>1</v>
      </c>
      <c r="I536" s="232">
        <v>1750</v>
      </c>
      <c r="J536" s="230">
        <v>46047</v>
      </c>
      <c r="K536" s="227" t="s">
        <v>93</v>
      </c>
      <c r="L536" s="227" t="s">
        <v>94</v>
      </c>
      <c r="M536" s="233">
        <v>0.43</v>
      </c>
      <c r="N536" s="231"/>
      <c r="O536" s="231">
        <v>41</v>
      </c>
      <c r="P536" s="234">
        <v>-119.28</v>
      </c>
    </row>
    <row r="537" spans="1:16" ht="19.5" customHeight="1">
      <c r="A537" s="227" t="s">
        <v>1223</v>
      </c>
      <c r="B537" s="230">
        <v>46051</v>
      </c>
      <c r="C537" s="227" t="s">
        <v>100</v>
      </c>
      <c r="D537" s="227" t="s">
        <v>101</v>
      </c>
      <c r="E537" s="227" t="s">
        <v>42</v>
      </c>
      <c r="F537" s="227" t="s">
        <v>89</v>
      </c>
      <c r="G537" s="227" t="s">
        <v>84</v>
      </c>
      <c r="H537" s="231">
        <v>1</v>
      </c>
      <c r="I537" s="232">
        <v>1750</v>
      </c>
      <c r="J537" s="230">
        <v>46047</v>
      </c>
      <c r="K537" s="227" t="s">
        <v>93</v>
      </c>
      <c r="L537" s="227" t="s">
        <v>94</v>
      </c>
      <c r="M537" s="233">
        <v>0</v>
      </c>
      <c r="N537" s="231"/>
      <c r="O537" s="231"/>
      <c r="P537" s="234">
        <v>621.36</v>
      </c>
    </row>
    <row r="538" spans="1:16" ht="19.5" customHeight="1">
      <c r="A538" s="227" t="s">
        <v>1223</v>
      </c>
      <c r="B538" s="230">
        <v>46051</v>
      </c>
      <c r="C538" s="227" t="s">
        <v>100</v>
      </c>
      <c r="D538" s="227" t="s">
        <v>102</v>
      </c>
      <c r="E538" s="227" t="s">
        <v>42</v>
      </c>
      <c r="F538" s="227" t="s">
        <v>89</v>
      </c>
      <c r="G538" s="227" t="s">
        <v>84</v>
      </c>
      <c r="H538" s="231">
        <v>1</v>
      </c>
      <c r="I538" s="232">
        <v>1750</v>
      </c>
      <c r="J538" s="230">
        <v>46047</v>
      </c>
      <c r="K538" s="227" t="s">
        <v>93</v>
      </c>
      <c r="L538" s="227" t="s">
        <v>94</v>
      </c>
      <c r="M538" s="233">
        <v>0</v>
      </c>
      <c r="N538" s="231"/>
      <c r="O538" s="231"/>
      <c r="P538" s="234">
        <v>6.21</v>
      </c>
    </row>
    <row r="539" spans="1:16" ht="19.5" customHeight="1">
      <c r="A539" s="227" t="s">
        <v>1223</v>
      </c>
      <c r="B539" s="230">
        <v>46051</v>
      </c>
      <c r="C539" s="227" t="s">
        <v>100</v>
      </c>
      <c r="D539" s="227" t="s">
        <v>103</v>
      </c>
      <c r="E539" s="227" t="s">
        <v>42</v>
      </c>
      <c r="F539" s="227" t="s">
        <v>89</v>
      </c>
      <c r="G539" s="227" t="s">
        <v>84</v>
      </c>
      <c r="H539" s="231">
        <v>1</v>
      </c>
      <c r="I539" s="232">
        <v>1750</v>
      </c>
      <c r="J539" s="230">
        <v>46047</v>
      </c>
      <c r="K539" s="227" t="s">
        <v>93</v>
      </c>
      <c r="L539" s="227" t="s">
        <v>94</v>
      </c>
      <c r="M539" s="233">
        <v>0</v>
      </c>
      <c r="N539" s="231"/>
      <c r="O539" s="231"/>
      <c r="P539" s="234">
        <v>1122.43</v>
      </c>
    </row>
    <row r="540" spans="1:16" ht="19.5" customHeight="1">
      <c r="A540" s="227" t="s">
        <v>1223</v>
      </c>
      <c r="B540" s="230">
        <v>46051</v>
      </c>
      <c r="C540" s="227" t="s">
        <v>104</v>
      </c>
      <c r="D540" s="227" t="s">
        <v>105</v>
      </c>
      <c r="E540" s="227" t="s">
        <v>42</v>
      </c>
      <c r="F540" s="227" t="s">
        <v>89</v>
      </c>
      <c r="G540" s="227" t="s">
        <v>84</v>
      </c>
      <c r="H540" s="231">
        <v>1</v>
      </c>
      <c r="I540" s="232">
        <v>1750</v>
      </c>
      <c r="J540" s="230">
        <v>46047</v>
      </c>
      <c r="K540" s="227" t="s">
        <v>93</v>
      </c>
      <c r="L540" s="227" t="s">
        <v>94</v>
      </c>
      <c r="M540" s="233">
        <v>0.43</v>
      </c>
      <c r="N540" s="231"/>
      <c r="O540" s="231"/>
      <c r="P540" s="234">
        <v>-752.5</v>
      </c>
    </row>
    <row r="541" spans="1:16" ht="19.5" customHeight="1">
      <c r="A541" s="227" t="s">
        <v>1223</v>
      </c>
      <c r="B541" s="230">
        <v>46051</v>
      </c>
      <c r="C541" s="227" t="s">
        <v>81</v>
      </c>
      <c r="D541" s="227" t="s">
        <v>95</v>
      </c>
      <c r="E541" s="227" t="s">
        <v>42</v>
      </c>
      <c r="F541" s="227" t="s">
        <v>89</v>
      </c>
      <c r="G541" s="227" t="s">
        <v>84</v>
      </c>
      <c r="H541" s="231">
        <v>1</v>
      </c>
      <c r="I541" s="232">
        <v>1750</v>
      </c>
      <c r="J541" s="230">
        <v>46047</v>
      </c>
      <c r="K541" s="227" t="s">
        <v>93</v>
      </c>
      <c r="L541" s="227" t="s">
        <v>94</v>
      </c>
      <c r="M541" s="233">
        <v>0.43</v>
      </c>
      <c r="N541" s="231"/>
      <c r="O541" s="231"/>
      <c r="P541" s="234">
        <v>-9.89</v>
      </c>
    </row>
    <row r="542" spans="1:16" ht="19.5" customHeight="1">
      <c r="A542" s="227" t="s">
        <v>1222</v>
      </c>
      <c r="B542" s="230">
        <v>46051</v>
      </c>
      <c r="C542" s="227" t="s">
        <v>92</v>
      </c>
      <c r="D542" s="227" t="s">
        <v>96</v>
      </c>
      <c r="E542" s="227" t="s">
        <v>53</v>
      </c>
      <c r="F542" s="227" t="s">
        <v>120</v>
      </c>
      <c r="G542" s="227" t="s">
        <v>84</v>
      </c>
      <c r="H542" s="231">
        <v>1</v>
      </c>
      <c r="I542" s="232">
        <v>0</v>
      </c>
      <c r="J542" s="230">
        <v>46031</v>
      </c>
      <c r="K542" s="227" t="s">
        <v>93</v>
      </c>
      <c r="L542" s="227" t="s">
        <v>94</v>
      </c>
      <c r="M542" s="233">
        <v>0</v>
      </c>
      <c r="N542" s="231"/>
      <c r="O542" s="231"/>
      <c r="P542" s="234">
        <v>0</v>
      </c>
    </row>
    <row r="543" spans="1:16" ht="19.5" customHeight="1">
      <c r="A543" s="227" t="s">
        <v>1222</v>
      </c>
      <c r="B543" s="230">
        <v>46051</v>
      </c>
      <c r="C543" s="227" t="s">
        <v>92</v>
      </c>
      <c r="D543" s="227" t="s">
        <v>97</v>
      </c>
      <c r="E543" s="227" t="s">
        <v>53</v>
      </c>
      <c r="F543" s="227" t="s">
        <v>120</v>
      </c>
      <c r="G543" s="227" t="s">
        <v>84</v>
      </c>
      <c r="H543" s="231">
        <v>1</v>
      </c>
      <c r="I543" s="232">
        <v>0</v>
      </c>
      <c r="J543" s="230">
        <v>46031</v>
      </c>
      <c r="K543" s="227" t="s">
        <v>93</v>
      </c>
      <c r="L543" s="227" t="s">
        <v>94</v>
      </c>
      <c r="M543" s="233">
        <v>0</v>
      </c>
      <c r="N543" s="231"/>
      <c r="O543" s="231"/>
      <c r="P543" s="234">
        <v>-56</v>
      </c>
    </row>
    <row r="544" spans="1:16" ht="19.5" customHeight="1">
      <c r="A544" s="227" t="s">
        <v>1224</v>
      </c>
      <c r="B544" s="230">
        <v>46051</v>
      </c>
      <c r="C544" s="227" t="s">
        <v>92</v>
      </c>
      <c r="D544" s="227" t="s">
        <v>24</v>
      </c>
      <c r="E544" s="227" t="s">
        <v>53</v>
      </c>
      <c r="F544" s="227" t="s">
        <v>120</v>
      </c>
      <c r="G544" s="227" t="s">
        <v>84</v>
      </c>
      <c r="H544" s="231">
        <v>1</v>
      </c>
      <c r="I544" s="232">
        <v>1845</v>
      </c>
      <c r="J544" s="230">
        <v>46044</v>
      </c>
      <c r="K544" s="227" t="s">
        <v>93</v>
      </c>
      <c r="L544" s="227" t="s">
        <v>94</v>
      </c>
      <c r="M544" s="233">
        <v>0.43</v>
      </c>
      <c r="N544" s="231"/>
      <c r="O544" s="231">
        <v>42</v>
      </c>
      <c r="P544" s="234">
        <v>-140.5</v>
      </c>
    </row>
    <row r="545" spans="1:16" ht="19.5" customHeight="1">
      <c r="A545" s="227" t="s">
        <v>1224</v>
      </c>
      <c r="B545" s="230">
        <v>46051</v>
      </c>
      <c r="C545" s="227" t="s">
        <v>100</v>
      </c>
      <c r="D545" s="227" t="s">
        <v>101</v>
      </c>
      <c r="E545" s="227" t="s">
        <v>53</v>
      </c>
      <c r="F545" s="227" t="s">
        <v>120</v>
      </c>
      <c r="G545" s="227" t="s">
        <v>84</v>
      </c>
      <c r="H545" s="231">
        <v>1</v>
      </c>
      <c r="I545" s="232">
        <v>1845</v>
      </c>
      <c r="J545" s="230">
        <v>46044</v>
      </c>
      <c r="K545" s="227" t="s">
        <v>93</v>
      </c>
      <c r="L545" s="227" t="s">
        <v>94</v>
      </c>
      <c r="M545" s="233">
        <v>0</v>
      </c>
      <c r="N545" s="231"/>
      <c r="O545" s="231"/>
      <c r="P545" s="234">
        <v>664.76</v>
      </c>
    </row>
    <row r="546" spans="1:16" ht="19.5" customHeight="1">
      <c r="A546" s="227" t="s">
        <v>1224</v>
      </c>
      <c r="B546" s="230">
        <v>46051</v>
      </c>
      <c r="C546" s="227" t="s">
        <v>100</v>
      </c>
      <c r="D546" s="227" t="s">
        <v>102</v>
      </c>
      <c r="E546" s="227" t="s">
        <v>53</v>
      </c>
      <c r="F546" s="227" t="s">
        <v>120</v>
      </c>
      <c r="G546" s="227" t="s">
        <v>84</v>
      </c>
      <c r="H546" s="231">
        <v>1</v>
      </c>
      <c r="I546" s="232">
        <v>1845</v>
      </c>
      <c r="J546" s="230">
        <v>46044</v>
      </c>
      <c r="K546" s="227" t="s">
        <v>93</v>
      </c>
      <c r="L546" s="227" t="s">
        <v>94</v>
      </c>
      <c r="M546" s="233">
        <v>0</v>
      </c>
      <c r="N546" s="231"/>
      <c r="O546" s="231"/>
      <c r="P546" s="234">
        <v>6.65</v>
      </c>
    </row>
    <row r="547" spans="1:16" ht="19.5" customHeight="1">
      <c r="A547" s="227" t="s">
        <v>1224</v>
      </c>
      <c r="B547" s="230">
        <v>46051</v>
      </c>
      <c r="C547" s="227" t="s">
        <v>100</v>
      </c>
      <c r="D547" s="227" t="s">
        <v>103</v>
      </c>
      <c r="E547" s="227" t="s">
        <v>53</v>
      </c>
      <c r="F547" s="227" t="s">
        <v>120</v>
      </c>
      <c r="G547" s="227" t="s">
        <v>84</v>
      </c>
      <c r="H547" s="231">
        <v>1</v>
      </c>
      <c r="I547" s="232">
        <v>1845</v>
      </c>
      <c r="J547" s="230">
        <v>46044</v>
      </c>
      <c r="K547" s="227" t="s">
        <v>93</v>
      </c>
      <c r="L547" s="227" t="s">
        <v>94</v>
      </c>
      <c r="M547" s="233">
        <v>0</v>
      </c>
      <c r="N547" s="231"/>
      <c r="O547" s="231"/>
      <c r="P547" s="234">
        <v>1173.5899999999999</v>
      </c>
    </row>
    <row r="548" spans="1:16" ht="19.5" customHeight="1">
      <c r="A548" s="227" t="s">
        <v>1224</v>
      </c>
      <c r="B548" s="230">
        <v>46051</v>
      </c>
      <c r="C548" s="227" t="s">
        <v>104</v>
      </c>
      <c r="D548" s="227" t="s">
        <v>105</v>
      </c>
      <c r="E548" s="227" t="s">
        <v>53</v>
      </c>
      <c r="F548" s="227" t="s">
        <v>120</v>
      </c>
      <c r="G548" s="227" t="s">
        <v>84</v>
      </c>
      <c r="H548" s="231">
        <v>1</v>
      </c>
      <c r="I548" s="232">
        <v>1845</v>
      </c>
      <c r="J548" s="230">
        <v>46044</v>
      </c>
      <c r="K548" s="227" t="s">
        <v>93</v>
      </c>
      <c r="L548" s="227" t="s">
        <v>94</v>
      </c>
      <c r="M548" s="233">
        <v>0.43</v>
      </c>
      <c r="N548" s="231"/>
      <c r="O548" s="231"/>
      <c r="P548" s="234">
        <v>-793.35</v>
      </c>
    </row>
    <row r="549" spans="1:16" ht="19.5" customHeight="1">
      <c r="A549" s="227" t="s">
        <v>1224</v>
      </c>
      <c r="B549" s="230">
        <v>46051</v>
      </c>
      <c r="C549" s="227" t="s">
        <v>81</v>
      </c>
      <c r="D549" s="227" t="s">
        <v>95</v>
      </c>
      <c r="E549" s="227" t="s">
        <v>53</v>
      </c>
      <c r="F549" s="227" t="s">
        <v>120</v>
      </c>
      <c r="G549" s="227" t="s">
        <v>84</v>
      </c>
      <c r="H549" s="231">
        <v>1</v>
      </c>
      <c r="I549" s="232">
        <v>1845</v>
      </c>
      <c r="J549" s="230">
        <v>46044</v>
      </c>
      <c r="K549" s="227" t="s">
        <v>93</v>
      </c>
      <c r="L549" s="227" t="s">
        <v>94</v>
      </c>
      <c r="M549" s="233">
        <v>0.43</v>
      </c>
      <c r="N549" s="231"/>
      <c r="O549" s="231"/>
      <c r="P549" s="234">
        <v>-9.91</v>
      </c>
    </row>
    <row r="550" spans="1:16" ht="19.5" customHeight="1">
      <c r="A550" s="227" t="s">
        <v>1223</v>
      </c>
      <c r="B550" s="230">
        <v>46051</v>
      </c>
      <c r="C550" s="227" t="s">
        <v>81</v>
      </c>
      <c r="D550" s="227" t="s">
        <v>82</v>
      </c>
      <c r="E550" s="227" t="s">
        <v>42</v>
      </c>
      <c r="F550" s="227" t="s">
        <v>89</v>
      </c>
      <c r="G550" s="227" t="s">
        <v>84</v>
      </c>
      <c r="H550" s="231">
        <v>1</v>
      </c>
      <c r="I550" s="232">
        <v>0</v>
      </c>
      <c r="J550" s="230">
        <v>46047</v>
      </c>
      <c r="K550" s="227" t="s">
        <v>85</v>
      </c>
      <c r="L550" s="227" t="s">
        <v>85</v>
      </c>
      <c r="M550" s="233">
        <v>0</v>
      </c>
      <c r="N550" s="231"/>
      <c r="O550" s="231"/>
      <c r="P550" s="234">
        <v>-11.81</v>
      </c>
    </row>
    <row r="551" spans="1:16" ht="19.5" customHeight="1">
      <c r="A551" s="227" t="s">
        <v>1224</v>
      </c>
      <c r="B551" s="230">
        <v>46051</v>
      </c>
      <c r="C551" s="227" t="s">
        <v>81</v>
      </c>
      <c r="D551" s="227" t="s">
        <v>82</v>
      </c>
      <c r="E551" s="227" t="s">
        <v>53</v>
      </c>
      <c r="F551" s="227" t="s">
        <v>120</v>
      </c>
      <c r="G551" s="227" t="s">
        <v>84</v>
      </c>
      <c r="H551" s="231">
        <v>1</v>
      </c>
      <c r="I551" s="232">
        <v>0</v>
      </c>
      <c r="J551" s="230">
        <v>46044</v>
      </c>
      <c r="K551" s="227" t="s">
        <v>85</v>
      </c>
      <c r="L551" s="227" t="s">
        <v>85</v>
      </c>
      <c r="M551" s="233">
        <v>0</v>
      </c>
      <c r="N551" s="231"/>
      <c r="O551" s="231"/>
      <c r="P551" s="234">
        <v>-12.63</v>
      </c>
    </row>
    <row r="552" spans="1:16" ht="19.5" customHeight="1">
      <c r="A552" s="227" t="s">
        <v>1225</v>
      </c>
      <c r="B552" s="230">
        <v>46051</v>
      </c>
      <c r="C552" s="227" t="s">
        <v>92</v>
      </c>
      <c r="D552" s="227" t="s">
        <v>24</v>
      </c>
      <c r="E552" s="227" t="s">
        <v>52</v>
      </c>
      <c r="F552" s="227" t="s">
        <v>90</v>
      </c>
      <c r="G552" s="227" t="s">
        <v>84</v>
      </c>
      <c r="H552" s="231">
        <v>1</v>
      </c>
      <c r="I552" s="232">
        <v>1800</v>
      </c>
      <c r="J552" s="230">
        <v>46048</v>
      </c>
      <c r="K552" s="227" t="s">
        <v>93</v>
      </c>
      <c r="L552" s="227" t="s">
        <v>94</v>
      </c>
      <c r="M552" s="233">
        <v>0.43</v>
      </c>
      <c r="N552" s="231"/>
      <c r="O552" s="231">
        <v>44</v>
      </c>
      <c r="P552" s="234">
        <v>-149.51</v>
      </c>
    </row>
    <row r="553" spans="1:16" ht="19.5" customHeight="1">
      <c r="A553" s="227" t="s">
        <v>1225</v>
      </c>
      <c r="B553" s="230">
        <v>46051</v>
      </c>
      <c r="C553" s="227" t="s">
        <v>100</v>
      </c>
      <c r="D553" s="227" t="s">
        <v>101</v>
      </c>
      <c r="E553" s="227" t="s">
        <v>52</v>
      </c>
      <c r="F553" s="227" t="s">
        <v>90</v>
      </c>
      <c r="G553" s="227" t="s">
        <v>84</v>
      </c>
      <c r="H553" s="231">
        <v>1</v>
      </c>
      <c r="I553" s="232">
        <v>1800</v>
      </c>
      <c r="J553" s="230">
        <v>46048</v>
      </c>
      <c r="K553" s="227" t="s">
        <v>93</v>
      </c>
      <c r="L553" s="227" t="s">
        <v>94</v>
      </c>
      <c r="M553" s="233">
        <v>0</v>
      </c>
      <c r="N553" s="231"/>
      <c r="O553" s="231"/>
      <c r="P553" s="234">
        <v>660.95</v>
      </c>
    </row>
    <row r="554" spans="1:16" ht="19.5" customHeight="1">
      <c r="A554" s="227" t="s">
        <v>1225</v>
      </c>
      <c r="B554" s="230">
        <v>46051</v>
      </c>
      <c r="C554" s="227" t="s">
        <v>100</v>
      </c>
      <c r="D554" s="227" t="s">
        <v>102</v>
      </c>
      <c r="E554" s="227" t="s">
        <v>52</v>
      </c>
      <c r="F554" s="227" t="s">
        <v>90</v>
      </c>
      <c r="G554" s="227" t="s">
        <v>84</v>
      </c>
      <c r="H554" s="231">
        <v>1</v>
      </c>
      <c r="I554" s="232">
        <v>1800</v>
      </c>
      <c r="J554" s="230">
        <v>46048</v>
      </c>
      <c r="K554" s="227" t="s">
        <v>93</v>
      </c>
      <c r="L554" s="227" t="s">
        <v>94</v>
      </c>
      <c r="M554" s="233">
        <v>0</v>
      </c>
      <c r="N554" s="231"/>
      <c r="O554" s="231"/>
      <c r="P554" s="234">
        <v>6.61</v>
      </c>
    </row>
    <row r="555" spans="1:16" ht="19.5" customHeight="1">
      <c r="A555" s="227" t="s">
        <v>1225</v>
      </c>
      <c r="B555" s="230">
        <v>46051</v>
      </c>
      <c r="C555" s="227" t="s">
        <v>100</v>
      </c>
      <c r="D555" s="227" t="s">
        <v>103</v>
      </c>
      <c r="E555" s="227" t="s">
        <v>52</v>
      </c>
      <c r="F555" s="227" t="s">
        <v>90</v>
      </c>
      <c r="G555" s="227" t="s">
        <v>84</v>
      </c>
      <c r="H555" s="231">
        <v>1</v>
      </c>
      <c r="I555" s="232">
        <v>1800</v>
      </c>
      <c r="J555" s="230">
        <v>46048</v>
      </c>
      <c r="K555" s="227" t="s">
        <v>93</v>
      </c>
      <c r="L555" s="227" t="s">
        <v>94</v>
      </c>
      <c r="M555" s="233">
        <v>0</v>
      </c>
      <c r="N555" s="231"/>
      <c r="O555" s="231"/>
      <c r="P555" s="234">
        <v>1132.44</v>
      </c>
    </row>
    <row r="556" spans="1:16" ht="19.5" customHeight="1">
      <c r="A556" s="227" t="s">
        <v>1225</v>
      </c>
      <c r="B556" s="230">
        <v>46051</v>
      </c>
      <c r="C556" s="227" t="s">
        <v>104</v>
      </c>
      <c r="D556" s="227" t="s">
        <v>105</v>
      </c>
      <c r="E556" s="227" t="s">
        <v>52</v>
      </c>
      <c r="F556" s="227" t="s">
        <v>90</v>
      </c>
      <c r="G556" s="227" t="s">
        <v>84</v>
      </c>
      <c r="H556" s="231">
        <v>1</v>
      </c>
      <c r="I556" s="232">
        <v>1800</v>
      </c>
      <c r="J556" s="230">
        <v>46048</v>
      </c>
      <c r="K556" s="227" t="s">
        <v>93</v>
      </c>
      <c r="L556" s="227" t="s">
        <v>94</v>
      </c>
      <c r="M556" s="233">
        <v>0.43</v>
      </c>
      <c r="N556" s="231"/>
      <c r="O556" s="231"/>
      <c r="P556" s="234">
        <v>-774</v>
      </c>
    </row>
    <row r="557" spans="1:16" ht="19.5" customHeight="1">
      <c r="A557" s="227" t="s">
        <v>1225</v>
      </c>
      <c r="B557" s="230">
        <v>46051</v>
      </c>
      <c r="C557" s="227" t="s">
        <v>81</v>
      </c>
      <c r="D557" s="227" t="s">
        <v>95</v>
      </c>
      <c r="E557" s="227" t="s">
        <v>52</v>
      </c>
      <c r="F557" s="227" t="s">
        <v>90</v>
      </c>
      <c r="G557" s="227" t="s">
        <v>84</v>
      </c>
      <c r="H557" s="231">
        <v>1</v>
      </c>
      <c r="I557" s="232">
        <v>1800</v>
      </c>
      <c r="J557" s="230">
        <v>46048</v>
      </c>
      <c r="K557" s="227" t="s">
        <v>93</v>
      </c>
      <c r="L557" s="227" t="s">
        <v>94</v>
      </c>
      <c r="M557" s="233">
        <v>0.43</v>
      </c>
      <c r="N557" s="231"/>
      <c r="O557" s="231"/>
      <c r="P557" s="234">
        <v>-25</v>
      </c>
    </row>
    <row r="558" spans="1:16" ht="19.5" customHeight="1">
      <c r="A558" s="227" t="s">
        <v>1226</v>
      </c>
      <c r="B558" s="230">
        <v>46051</v>
      </c>
      <c r="C558" s="227" t="s">
        <v>92</v>
      </c>
      <c r="D558" s="227" t="s">
        <v>24</v>
      </c>
      <c r="E558" s="227" t="s">
        <v>53</v>
      </c>
      <c r="F558" s="227" t="s">
        <v>120</v>
      </c>
      <c r="G558" s="227" t="s">
        <v>84</v>
      </c>
      <c r="H558" s="231">
        <v>1</v>
      </c>
      <c r="I558" s="232">
        <v>1812</v>
      </c>
      <c r="J558" s="230">
        <v>46048</v>
      </c>
      <c r="K558" s="227" t="s">
        <v>93</v>
      </c>
      <c r="L558" s="227" t="s">
        <v>94</v>
      </c>
      <c r="M558" s="233">
        <v>0.43</v>
      </c>
      <c r="N558" s="231"/>
      <c r="O558" s="231">
        <v>44</v>
      </c>
      <c r="P558" s="234">
        <v>-148.36000000000001</v>
      </c>
    </row>
    <row r="559" spans="1:16" ht="19.5" customHeight="1">
      <c r="A559" s="227" t="s">
        <v>1226</v>
      </c>
      <c r="B559" s="230">
        <v>46051</v>
      </c>
      <c r="C559" s="227" t="s">
        <v>100</v>
      </c>
      <c r="D559" s="227" t="s">
        <v>101</v>
      </c>
      <c r="E559" s="227" t="s">
        <v>53</v>
      </c>
      <c r="F559" s="227" t="s">
        <v>120</v>
      </c>
      <c r="G559" s="227" t="s">
        <v>84</v>
      </c>
      <c r="H559" s="231">
        <v>1</v>
      </c>
      <c r="I559" s="232">
        <v>1812</v>
      </c>
      <c r="J559" s="230">
        <v>46048</v>
      </c>
      <c r="K559" s="227" t="s">
        <v>93</v>
      </c>
      <c r="L559" s="227" t="s">
        <v>94</v>
      </c>
      <c r="M559" s="233">
        <v>0</v>
      </c>
      <c r="N559" s="231"/>
      <c r="O559" s="231"/>
      <c r="P559" s="234">
        <v>631.42999999999995</v>
      </c>
    </row>
    <row r="560" spans="1:16" ht="19.5" customHeight="1">
      <c r="A560" s="227" t="s">
        <v>1226</v>
      </c>
      <c r="B560" s="230">
        <v>46051</v>
      </c>
      <c r="C560" s="227" t="s">
        <v>100</v>
      </c>
      <c r="D560" s="227" t="s">
        <v>102</v>
      </c>
      <c r="E560" s="227" t="s">
        <v>53</v>
      </c>
      <c r="F560" s="227" t="s">
        <v>120</v>
      </c>
      <c r="G560" s="227" t="s">
        <v>84</v>
      </c>
      <c r="H560" s="231">
        <v>1</v>
      </c>
      <c r="I560" s="232">
        <v>1812</v>
      </c>
      <c r="J560" s="230">
        <v>46048</v>
      </c>
      <c r="K560" s="227" t="s">
        <v>93</v>
      </c>
      <c r="L560" s="227" t="s">
        <v>94</v>
      </c>
      <c r="M560" s="233">
        <v>0</v>
      </c>
      <c r="N560" s="231"/>
      <c r="O560" s="231"/>
      <c r="P560" s="234">
        <v>6.31</v>
      </c>
    </row>
    <row r="561" spans="1:16" ht="19.5" customHeight="1">
      <c r="A561" s="227" t="s">
        <v>1226</v>
      </c>
      <c r="B561" s="230">
        <v>46051</v>
      </c>
      <c r="C561" s="227" t="s">
        <v>100</v>
      </c>
      <c r="D561" s="227" t="s">
        <v>103</v>
      </c>
      <c r="E561" s="227" t="s">
        <v>53</v>
      </c>
      <c r="F561" s="227" t="s">
        <v>120</v>
      </c>
      <c r="G561" s="227" t="s">
        <v>84</v>
      </c>
      <c r="H561" s="231">
        <v>1</v>
      </c>
      <c r="I561" s="232">
        <v>1812</v>
      </c>
      <c r="J561" s="230">
        <v>46048</v>
      </c>
      <c r="K561" s="227" t="s">
        <v>93</v>
      </c>
      <c r="L561" s="227" t="s">
        <v>94</v>
      </c>
      <c r="M561" s="233">
        <v>0</v>
      </c>
      <c r="N561" s="231"/>
      <c r="O561" s="231"/>
      <c r="P561" s="234">
        <v>1174.26</v>
      </c>
    </row>
    <row r="562" spans="1:16" ht="19.5" customHeight="1">
      <c r="A562" s="227" t="s">
        <v>1226</v>
      </c>
      <c r="B562" s="230">
        <v>46051</v>
      </c>
      <c r="C562" s="227" t="s">
        <v>104</v>
      </c>
      <c r="D562" s="227" t="s">
        <v>105</v>
      </c>
      <c r="E562" s="227" t="s">
        <v>53</v>
      </c>
      <c r="F562" s="227" t="s">
        <v>120</v>
      </c>
      <c r="G562" s="227" t="s">
        <v>84</v>
      </c>
      <c r="H562" s="231">
        <v>1</v>
      </c>
      <c r="I562" s="232">
        <v>1812</v>
      </c>
      <c r="J562" s="230">
        <v>46048</v>
      </c>
      <c r="K562" s="227" t="s">
        <v>93</v>
      </c>
      <c r="L562" s="227" t="s">
        <v>94</v>
      </c>
      <c r="M562" s="233">
        <v>0.43</v>
      </c>
      <c r="N562" s="231"/>
      <c r="O562" s="231"/>
      <c r="P562" s="234">
        <v>-779.16</v>
      </c>
    </row>
    <row r="563" spans="1:16" ht="19.5" customHeight="1">
      <c r="A563" s="227" t="s">
        <v>1226</v>
      </c>
      <c r="B563" s="230">
        <v>46051</v>
      </c>
      <c r="C563" s="227" t="s">
        <v>81</v>
      </c>
      <c r="D563" s="227" t="s">
        <v>95</v>
      </c>
      <c r="E563" s="227" t="s">
        <v>53</v>
      </c>
      <c r="F563" s="227" t="s">
        <v>120</v>
      </c>
      <c r="G563" s="227" t="s">
        <v>84</v>
      </c>
      <c r="H563" s="231">
        <v>1</v>
      </c>
      <c r="I563" s="232">
        <v>1812</v>
      </c>
      <c r="J563" s="230">
        <v>46048</v>
      </c>
      <c r="K563" s="227" t="s">
        <v>93</v>
      </c>
      <c r="L563" s="227" t="s">
        <v>94</v>
      </c>
      <c r="M563" s="233">
        <v>0.43</v>
      </c>
      <c r="N563" s="231"/>
      <c r="O563" s="231"/>
      <c r="P563" s="234">
        <v>-14.04</v>
      </c>
    </row>
    <row r="564" spans="1:16" ht="19.5" customHeight="1">
      <c r="A564" s="227" t="s">
        <v>1227</v>
      </c>
      <c r="B564" s="230">
        <v>46051</v>
      </c>
      <c r="C564" s="227" t="s">
        <v>92</v>
      </c>
      <c r="D564" s="227" t="s">
        <v>24</v>
      </c>
      <c r="E564" s="227" t="s">
        <v>52</v>
      </c>
      <c r="F564" s="227" t="s">
        <v>90</v>
      </c>
      <c r="G564" s="227" t="s">
        <v>84</v>
      </c>
      <c r="H564" s="231">
        <v>1</v>
      </c>
      <c r="I564" s="232">
        <v>1800</v>
      </c>
      <c r="J564" s="230">
        <v>46050</v>
      </c>
      <c r="K564" s="227" t="s">
        <v>93</v>
      </c>
      <c r="L564" s="227" t="s">
        <v>94</v>
      </c>
      <c r="M564" s="233">
        <v>0.43</v>
      </c>
      <c r="N564" s="231"/>
      <c r="O564" s="231">
        <v>44</v>
      </c>
      <c r="P564" s="234">
        <v>-149.51</v>
      </c>
    </row>
    <row r="565" spans="1:16" ht="19.5" customHeight="1">
      <c r="A565" s="227" t="s">
        <v>1227</v>
      </c>
      <c r="B565" s="230">
        <v>46051</v>
      </c>
      <c r="C565" s="227" t="s">
        <v>100</v>
      </c>
      <c r="D565" s="227" t="s">
        <v>101</v>
      </c>
      <c r="E565" s="227" t="s">
        <v>52</v>
      </c>
      <c r="F565" s="227" t="s">
        <v>90</v>
      </c>
      <c r="G565" s="227" t="s">
        <v>84</v>
      </c>
      <c r="H565" s="231">
        <v>1</v>
      </c>
      <c r="I565" s="232">
        <v>1800</v>
      </c>
      <c r="J565" s="230">
        <v>46050</v>
      </c>
      <c r="K565" s="227" t="s">
        <v>93</v>
      </c>
      <c r="L565" s="227" t="s">
        <v>94</v>
      </c>
      <c r="M565" s="233">
        <v>0</v>
      </c>
      <c r="N565" s="231"/>
      <c r="O565" s="231"/>
      <c r="P565" s="234">
        <v>643.80999999999995</v>
      </c>
    </row>
    <row r="566" spans="1:16" ht="19.5" customHeight="1">
      <c r="A566" s="227" t="s">
        <v>1227</v>
      </c>
      <c r="B566" s="230">
        <v>46051</v>
      </c>
      <c r="C566" s="227" t="s">
        <v>100</v>
      </c>
      <c r="D566" s="227" t="s">
        <v>102</v>
      </c>
      <c r="E566" s="227" t="s">
        <v>52</v>
      </c>
      <c r="F566" s="227" t="s">
        <v>90</v>
      </c>
      <c r="G566" s="227" t="s">
        <v>84</v>
      </c>
      <c r="H566" s="231">
        <v>1</v>
      </c>
      <c r="I566" s="232">
        <v>1800</v>
      </c>
      <c r="J566" s="230">
        <v>46050</v>
      </c>
      <c r="K566" s="227" t="s">
        <v>93</v>
      </c>
      <c r="L566" s="227" t="s">
        <v>94</v>
      </c>
      <c r="M566" s="233">
        <v>0</v>
      </c>
      <c r="N566" s="231"/>
      <c r="O566" s="231"/>
      <c r="P566" s="234">
        <v>6.44</v>
      </c>
    </row>
    <row r="567" spans="1:16" ht="19.5" customHeight="1">
      <c r="A567" s="227" t="s">
        <v>1227</v>
      </c>
      <c r="B567" s="230">
        <v>46051</v>
      </c>
      <c r="C567" s="227" t="s">
        <v>100</v>
      </c>
      <c r="D567" s="227" t="s">
        <v>103</v>
      </c>
      <c r="E567" s="227" t="s">
        <v>52</v>
      </c>
      <c r="F567" s="227" t="s">
        <v>90</v>
      </c>
      <c r="G567" s="227" t="s">
        <v>84</v>
      </c>
      <c r="H567" s="231">
        <v>1</v>
      </c>
      <c r="I567" s="232">
        <v>1800</v>
      </c>
      <c r="J567" s="230">
        <v>46050</v>
      </c>
      <c r="K567" s="227" t="s">
        <v>93</v>
      </c>
      <c r="L567" s="227" t="s">
        <v>94</v>
      </c>
      <c r="M567" s="233">
        <v>0</v>
      </c>
      <c r="N567" s="231"/>
      <c r="O567" s="231"/>
      <c r="P567" s="234">
        <v>1149.75</v>
      </c>
    </row>
    <row r="568" spans="1:16" ht="19.5" customHeight="1">
      <c r="A568" s="227" t="s">
        <v>1227</v>
      </c>
      <c r="B568" s="230">
        <v>46051</v>
      </c>
      <c r="C568" s="227" t="s">
        <v>104</v>
      </c>
      <c r="D568" s="227" t="s">
        <v>105</v>
      </c>
      <c r="E568" s="227" t="s">
        <v>52</v>
      </c>
      <c r="F568" s="227" t="s">
        <v>90</v>
      </c>
      <c r="G568" s="227" t="s">
        <v>84</v>
      </c>
      <c r="H568" s="231">
        <v>1</v>
      </c>
      <c r="I568" s="232">
        <v>1800</v>
      </c>
      <c r="J568" s="230">
        <v>46050</v>
      </c>
      <c r="K568" s="227" t="s">
        <v>93</v>
      </c>
      <c r="L568" s="227" t="s">
        <v>94</v>
      </c>
      <c r="M568" s="233">
        <v>0.43</v>
      </c>
      <c r="N568" s="231"/>
      <c r="O568" s="231"/>
      <c r="P568" s="234">
        <v>-774</v>
      </c>
    </row>
    <row r="569" spans="1:16" ht="19.5" customHeight="1">
      <c r="A569" s="227" t="s">
        <v>1227</v>
      </c>
      <c r="B569" s="230">
        <v>46051</v>
      </c>
      <c r="C569" s="227" t="s">
        <v>81</v>
      </c>
      <c r="D569" s="227" t="s">
        <v>95</v>
      </c>
      <c r="E569" s="227" t="s">
        <v>52</v>
      </c>
      <c r="F569" s="227" t="s">
        <v>90</v>
      </c>
      <c r="G569" s="227" t="s">
        <v>84</v>
      </c>
      <c r="H569" s="231">
        <v>1</v>
      </c>
      <c r="I569" s="232">
        <v>1800</v>
      </c>
      <c r="J569" s="230">
        <v>46050</v>
      </c>
      <c r="K569" s="227" t="s">
        <v>93</v>
      </c>
      <c r="L569" s="227" t="s">
        <v>94</v>
      </c>
      <c r="M569" s="233">
        <v>0.43</v>
      </c>
      <c r="N569" s="231"/>
      <c r="O569" s="231"/>
      <c r="P569" s="234">
        <v>-22.6</v>
      </c>
    </row>
    <row r="570" spans="1:16" ht="19.5" customHeight="1">
      <c r="A570" s="227" t="s">
        <v>1228</v>
      </c>
      <c r="B570" s="230">
        <v>46051</v>
      </c>
      <c r="C570" s="227" t="s">
        <v>92</v>
      </c>
      <c r="D570" s="227" t="s">
        <v>24</v>
      </c>
      <c r="E570" s="227" t="s">
        <v>39</v>
      </c>
      <c r="F570" s="227" t="s">
        <v>117</v>
      </c>
      <c r="G570" s="227" t="s">
        <v>84</v>
      </c>
      <c r="H570" s="231">
        <v>1</v>
      </c>
      <c r="I570" s="232">
        <v>0</v>
      </c>
      <c r="J570" s="230">
        <v>46043</v>
      </c>
      <c r="K570" s="227" t="s">
        <v>93</v>
      </c>
      <c r="L570" s="227" t="s">
        <v>94</v>
      </c>
      <c r="M570" s="233">
        <v>0</v>
      </c>
      <c r="N570" s="231"/>
      <c r="O570" s="231">
        <v>43</v>
      </c>
      <c r="P570" s="234">
        <v>-46.77</v>
      </c>
    </row>
    <row r="571" spans="1:16" ht="19.5" customHeight="1">
      <c r="A571" s="227" t="s">
        <v>1229</v>
      </c>
      <c r="B571" s="230">
        <v>46051</v>
      </c>
      <c r="C571" s="227" t="s">
        <v>92</v>
      </c>
      <c r="D571" s="227" t="s">
        <v>24</v>
      </c>
      <c r="E571" s="227" t="s">
        <v>52</v>
      </c>
      <c r="F571" s="227" t="s">
        <v>90</v>
      </c>
      <c r="G571" s="227" t="s">
        <v>84</v>
      </c>
      <c r="H571" s="231">
        <v>1</v>
      </c>
      <c r="I571" s="232">
        <v>1800</v>
      </c>
      <c r="J571" s="230">
        <v>46048</v>
      </c>
      <c r="K571" s="227" t="s">
        <v>93</v>
      </c>
      <c r="L571" s="227" t="s">
        <v>94</v>
      </c>
      <c r="M571" s="233">
        <v>0.43</v>
      </c>
      <c r="N571" s="231"/>
      <c r="O571" s="231">
        <v>44</v>
      </c>
      <c r="P571" s="234">
        <v>-147.97999999999999</v>
      </c>
    </row>
    <row r="572" spans="1:16" ht="19.5" customHeight="1">
      <c r="A572" s="227" t="s">
        <v>1229</v>
      </c>
      <c r="B572" s="230">
        <v>46051</v>
      </c>
      <c r="C572" s="227" t="s">
        <v>100</v>
      </c>
      <c r="D572" s="227" t="s">
        <v>101</v>
      </c>
      <c r="E572" s="227" t="s">
        <v>52</v>
      </c>
      <c r="F572" s="227" t="s">
        <v>90</v>
      </c>
      <c r="G572" s="227" t="s">
        <v>84</v>
      </c>
      <c r="H572" s="231">
        <v>1</v>
      </c>
      <c r="I572" s="232">
        <v>1800</v>
      </c>
      <c r="J572" s="230">
        <v>46048</v>
      </c>
      <c r="K572" s="227" t="s">
        <v>93</v>
      </c>
      <c r="L572" s="227" t="s">
        <v>94</v>
      </c>
      <c r="M572" s="233">
        <v>0</v>
      </c>
      <c r="N572" s="231"/>
      <c r="O572" s="231"/>
      <c r="P572" s="234">
        <v>679.35</v>
      </c>
    </row>
    <row r="573" spans="1:16" ht="19.5" customHeight="1">
      <c r="A573" s="227" t="s">
        <v>1229</v>
      </c>
      <c r="B573" s="230">
        <v>46051</v>
      </c>
      <c r="C573" s="227" t="s">
        <v>100</v>
      </c>
      <c r="D573" s="227" t="s">
        <v>102</v>
      </c>
      <c r="E573" s="227" t="s">
        <v>52</v>
      </c>
      <c r="F573" s="227" t="s">
        <v>90</v>
      </c>
      <c r="G573" s="227" t="s">
        <v>84</v>
      </c>
      <c r="H573" s="231">
        <v>1</v>
      </c>
      <c r="I573" s="232">
        <v>1800</v>
      </c>
      <c r="J573" s="230">
        <v>46048</v>
      </c>
      <c r="K573" s="227" t="s">
        <v>93</v>
      </c>
      <c r="L573" s="227" t="s">
        <v>94</v>
      </c>
      <c r="M573" s="233">
        <v>0</v>
      </c>
      <c r="N573" s="231"/>
      <c r="O573" s="231"/>
      <c r="P573" s="234">
        <v>6.79</v>
      </c>
    </row>
    <row r="574" spans="1:16" ht="19.5" customHeight="1">
      <c r="A574" s="227" t="s">
        <v>1229</v>
      </c>
      <c r="B574" s="230">
        <v>46051</v>
      </c>
      <c r="C574" s="227" t="s">
        <v>100</v>
      </c>
      <c r="D574" s="227" t="s">
        <v>103</v>
      </c>
      <c r="E574" s="227" t="s">
        <v>52</v>
      </c>
      <c r="F574" s="227" t="s">
        <v>90</v>
      </c>
      <c r="G574" s="227" t="s">
        <v>84</v>
      </c>
      <c r="H574" s="231">
        <v>1</v>
      </c>
      <c r="I574" s="232">
        <v>1800</v>
      </c>
      <c r="J574" s="230">
        <v>46048</v>
      </c>
      <c r="K574" s="227" t="s">
        <v>93</v>
      </c>
      <c r="L574" s="227" t="s">
        <v>94</v>
      </c>
      <c r="M574" s="233">
        <v>0</v>
      </c>
      <c r="N574" s="231"/>
      <c r="O574" s="231"/>
      <c r="P574" s="234">
        <v>1113.8599999999999</v>
      </c>
    </row>
    <row r="575" spans="1:16" ht="19.5" customHeight="1">
      <c r="A575" s="227" t="s">
        <v>1229</v>
      </c>
      <c r="B575" s="230">
        <v>46051</v>
      </c>
      <c r="C575" s="227" t="s">
        <v>104</v>
      </c>
      <c r="D575" s="227" t="s">
        <v>105</v>
      </c>
      <c r="E575" s="227" t="s">
        <v>52</v>
      </c>
      <c r="F575" s="227" t="s">
        <v>90</v>
      </c>
      <c r="G575" s="227" t="s">
        <v>84</v>
      </c>
      <c r="H575" s="231">
        <v>1</v>
      </c>
      <c r="I575" s="232">
        <v>1800</v>
      </c>
      <c r="J575" s="230">
        <v>46048</v>
      </c>
      <c r="K575" s="227" t="s">
        <v>93</v>
      </c>
      <c r="L575" s="227" t="s">
        <v>94</v>
      </c>
      <c r="M575" s="233">
        <v>0.43</v>
      </c>
      <c r="N575" s="231"/>
      <c r="O575" s="231"/>
      <c r="P575" s="234">
        <v>-774</v>
      </c>
    </row>
    <row r="576" spans="1:16" ht="19.5" customHeight="1">
      <c r="A576" s="227" t="s">
        <v>1229</v>
      </c>
      <c r="B576" s="230">
        <v>46051</v>
      </c>
      <c r="C576" s="227" t="s">
        <v>81</v>
      </c>
      <c r="D576" s="227" t="s">
        <v>95</v>
      </c>
      <c r="E576" s="227" t="s">
        <v>52</v>
      </c>
      <c r="F576" s="227" t="s">
        <v>90</v>
      </c>
      <c r="G576" s="227" t="s">
        <v>84</v>
      </c>
      <c r="H576" s="231">
        <v>1</v>
      </c>
      <c r="I576" s="232">
        <v>1800</v>
      </c>
      <c r="J576" s="230">
        <v>46048</v>
      </c>
      <c r="K576" s="227" t="s">
        <v>93</v>
      </c>
      <c r="L576" s="227" t="s">
        <v>94</v>
      </c>
      <c r="M576" s="233">
        <v>0.43</v>
      </c>
      <c r="N576" s="231"/>
      <c r="O576" s="231"/>
      <c r="P576" s="234">
        <v>-10.210000000000001</v>
      </c>
    </row>
    <row r="577" spans="1:16" ht="19.5" customHeight="1">
      <c r="A577" s="227" t="s">
        <v>1230</v>
      </c>
      <c r="B577" s="230">
        <v>46051</v>
      </c>
      <c r="C577" s="227" t="s">
        <v>92</v>
      </c>
      <c r="D577" s="227" t="s">
        <v>24</v>
      </c>
      <c r="E577" s="227" t="s">
        <v>52</v>
      </c>
      <c r="F577" s="227" t="s">
        <v>90</v>
      </c>
      <c r="G577" s="227" t="s">
        <v>84</v>
      </c>
      <c r="H577" s="231">
        <v>1</v>
      </c>
      <c r="I577" s="232">
        <v>1800</v>
      </c>
      <c r="J577" s="230">
        <v>46048</v>
      </c>
      <c r="K577" s="227" t="s">
        <v>93</v>
      </c>
      <c r="L577" s="227" t="s">
        <v>94</v>
      </c>
      <c r="M577" s="233">
        <v>0.43</v>
      </c>
      <c r="N577" s="231"/>
      <c r="O577" s="231">
        <v>44</v>
      </c>
      <c r="P577" s="234">
        <v>-147.97999999999999</v>
      </c>
    </row>
    <row r="578" spans="1:16" ht="19.5" customHeight="1">
      <c r="A578" s="227" t="s">
        <v>1230</v>
      </c>
      <c r="B578" s="230">
        <v>46051</v>
      </c>
      <c r="C578" s="227" t="s">
        <v>100</v>
      </c>
      <c r="D578" s="227" t="s">
        <v>101</v>
      </c>
      <c r="E578" s="227" t="s">
        <v>52</v>
      </c>
      <c r="F578" s="227" t="s">
        <v>90</v>
      </c>
      <c r="G578" s="227" t="s">
        <v>84</v>
      </c>
      <c r="H578" s="231">
        <v>1</v>
      </c>
      <c r="I578" s="232">
        <v>1800</v>
      </c>
      <c r="J578" s="230">
        <v>46048</v>
      </c>
      <c r="K578" s="227" t="s">
        <v>93</v>
      </c>
      <c r="L578" s="227" t="s">
        <v>94</v>
      </c>
      <c r="M578" s="233">
        <v>0</v>
      </c>
      <c r="N578" s="231"/>
      <c r="O578" s="231"/>
      <c r="P578" s="234">
        <v>679.35</v>
      </c>
    </row>
    <row r="579" spans="1:16" ht="19.5" customHeight="1">
      <c r="A579" s="227" t="s">
        <v>1230</v>
      </c>
      <c r="B579" s="230">
        <v>46051</v>
      </c>
      <c r="C579" s="227" t="s">
        <v>100</v>
      </c>
      <c r="D579" s="227" t="s">
        <v>102</v>
      </c>
      <c r="E579" s="227" t="s">
        <v>52</v>
      </c>
      <c r="F579" s="227" t="s">
        <v>90</v>
      </c>
      <c r="G579" s="227" t="s">
        <v>84</v>
      </c>
      <c r="H579" s="231">
        <v>1</v>
      </c>
      <c r="I579" s="232">
        <v>1800</v>
      </c>
      <c r="J579" s="230">
        <v>46048</v>
      </c>
      <c r="K579" s="227" t="s">
        <v>93</v>
      </c>
      <c r="L579" s="227" t="s">
        <v>94</v>
      </c>
      <c r="M579" s="233">
        <v>0</v>
      </c>
      <c r="N579" s="231"/>
      <c r="O579" s="231"/>
      <c r="P579" s="234">
        <v>6.79</v>
      </c>
    </row>
    <row r="580" spans="1:16" ht="19.5" customHeight="1">
      <c r="A580" s="227" t="s">
        <v>1230</v>
      </c>
      <c r="B580" s="230">
        <v>46051</v>
      </c>
      <c r="C580" s="227" t="s">
        <v>100</v>
      </c>
      <c r="D580" s="227" t="s">
        <v>103</v>
      </c>
      <c r="E580" s="227" t="s">
        <v>52</v>
      </c>
      <c r="F580" s="227" t="s">
        <v>90</v>
      </c>
      <c r="G580" s="227" t="s">
        <v>84</v>
      </c>
      <c r="H580" s="231">
        <v>1</v>
      </c>
      <c r="I580" s="232">
        <v>1800</v>
      </c>
      <c r="J580" s="230">
        <v>46048</v>
      </c>
      <c r="K580" s="227" t="s">
        <v>93</v>
      </c>
      <c r="L580" s="227" t="s">
        <v>94</v>
      </c>
      <c r="M580" s="233">
        <v>0</v>
      </c>
      <c r="N580" s="231"/>
      <c r="O580" s="231"/>
      <c r="P580" s="234">
        <v>1113.8599999999999</v>
      </c>
    </row>
    <row r="581" spans="1:16" ht="19.5" customHeight="1">
      <c r="A581" s="227" t="s">
        <v>1230</v>
      </c>
      <c r="B581" s="230">
        <v>46051</v>
      </c>
      <c r="C581" s="227" t="s">
        <v>104</v>
      </c>
      <c r="D581" s="227" t="s">
        <v>105</v>
      </c>
      <c r="E581" s="227" t="s">
        <v>52</v>
      </c>
      <c r="F581" s="227" t="s">
        <v>90</v>
      </c>
      <c r="G581" s="227" t="s">
        <v>84</v>
      </c>
      <c r="H581" s="231">
        <v>1</v>
      </c>
      <c r="I581" s="232">
        <v>1800</v>
      </c>
      <c r="J581" s="230">
        <v>46048</v>
      </c>
      <c r="K581" s="227" t="s">
        <v>93</v>
      </c>
      <c r="L581" s="227" t="s">
        <v>94</v>
      </c>
      <c r="M581" s="233">
        <v>0.43</v>
      </c>
      <c r="N581" s="231"/>
      <c r="O581" s="231"/>
      <c r="P581" s="234">
        <v>-774</v>
      </c>
    </row>
    <row r="582" spans="1:16" ht="19.5" customHeight="1">
      <c r="A582" s="227" t="s">
        <v>1230</v>
      </c>
      <c r="B582" s="230">
        <v>46051</v>
      </c>
      <c r="C582" s="227" t="s">
        <v>81</v>
      </c>
      <c r="D582" s="227" t="s">
        <v>95</v>
      </c>
      <c r="E582" s="227" t="s">
        <v>52</v>
      </c>
      <c r="F582" s="227" t="s">
        <v>90</v>
      </c>
      <c r="G582" s="227" t="s">
        <v>84</v>
      </c>
      <c r="H582" s="231">
        <v>1</v>
      </c>
      <c r="I582" s="232">
        <v>1800</v>
      </c>
      <c r="J582" s="230">
        <v>46048</v>
      </c>
      <c r="K582" s="227" t="s">
        <v>93</v>
      </c>
      <c r="L582" s="227" t="s">
        <v>94</v>
      </c>
      <c r="M582" s="233">
        <v>0.43</v>
      </c>
      <c r="N582" s="231"/>
      <c r="O582" s="231"/>
      <c r="P582" s="234">
        <v>-10.210000000000001</v>
      </c>
    </row>
    <row r="583" spans="1:16" ht="19.5" customHeight="1">
      <c r="A583" s="227" t="s">
        <v>1231</v>
      </c>
      <c r="B583" s="230">
        <v>46051</v>
      </c>
      <c r="C583" s="227" t="s">
        <v>92</v>
      </c>
      <c r="D583" s="227" t="s">
        <v>24</v>
      </c>
      <c r="E583" s="227" t="s">
        <v>42</v>
      </c>
      <c r="F583" s="227" t="s">
        <v>89</v>
      </c>
      <c r="G583" s="227" t="s">
        <v>84</v>
      </c>
      <c r="H583" s="231">
        <v>1</v>
      </c>
      <c r="I583" s="232">
        <v>1750</v>
      </c>
      <c r="J583" s="230">
        <v>46043</v>
      </c>
      <c r="K583" s="227" t="s">
        <v>93</v>
      </c>
      <c r="L583" s="227" t="s">
        <v>94</v>
      </c>
      <c r="M583" s="233">
        <v>0.43</v>
      </c>
      <c r="N583" s="231"/>
      <c r="O583" s="231">
        <v>43</v>
      </c>
      <c r="P583" s="234">
        <v>-127.33</v>
      </c>
    </row>
    <row r="584" spans="1:16" ht="19.5" customHeight="1">
      <c r="A584" s="227" t="s">
        <v>1231</v>
      </c>
      <c r="B584" s="230">
        <v>46051</v>
      </c>
      <c r="C584" s="227" t="s">
        <v>100</v>
      </c>
      <c r="D584" s="227" t="s">
        <v>101</v>
      </c>
      <c r="E584" s="227" t="s">
        <v>42</v>
      </c>
      <c r="F584" s="227" t="s">
        <v>89</v>
      </c>
      <c r="G584" s="227" t="s">
        <v>84</v>
      </c>
      <c r="H584" s="231">
        <v>1</v>
      </c>
      <c r="I584" s="232">
        <v>1750</v>
      </c>
      <c r="J584" s="230">
        <v>46043</v>
      </c>
      <c r="K584" s="227" t="s">
        <v>93</v>
      </c>
      <c r="L584" s="227" t="s">
        <v>94</v>
      </c>
      <c r="M584" s="233">
        <v>0</v>
      </c>
      <c r="N584" s="231"/>
      <c r="O584" s="231"/>
      <c r="P584" s="234">
        <v>609.52</v>
      </c>
    </row>
    <row r="585" spans="1:16" ht="19.5" customHeight="1">
      <c r="A585" s="227" t="s">
        <v>1231</v>
      </c>
      <c r="B585" s="230">
        <v>46051</v>
      </c>
      <c r="C585" s="227" t="s">
        <v>100</v>
      </c>
      <c r="D585" s="227" t="s">
        <v>102</v>
      </c>
      <c r="E585" s="227" t="s">
        <v>42</v>
      </c>
      <c r="F585" s="227" t="s">
        <v>89</v>
      </c>
      <c r="G585" s="227" t="s">
        <v>84</v>
      </c>
      <c r="H585" s="231">
        <v>1</v>
      </c>
      <c r="I585" s="232">
        <v>1750</v>
      </c>
      <c r="J585" s="230">
        <v>46043</v>
      </c>
      <c r="K585" s="227" t="s">
        <v>93</v>
      </c>
      <c r="L585" s="227" t="s">
        <v>94</v>
      </c>
      <c r="M585" s="233">
        <v>0</v>
      </c>
      <c r="N585" s="231"/>
      <c r="O585" s="231"/>
      <c r="P585" s="234">
        <v>6.1</v>
      </c>
    </row>
    <row r="586" spans="1:16" ht="19.5" customHeight="1">
      <c r="A586" s="227" t="s">
        <v>1231</v>
      </c>
      <c r="B586" s="230">
        <v>46051</v>
      </c>
      <c r="C586" s="227" t="s">
        <v>100</v>
      </c>
      <c r="D586" s="227" t="s">
        <v>103</v>
      </c>
      <c r="E586" s="227" t="s">
        <v>42</v>
      </c>
      <c r="F586" s="227" t="s">
        <v>89</v>
      </c>
      <c r="G586" s="227" t="s">
        <v>84</v>
      </c>
      <c r="H586" s="231">
        <v>1</v>
      </c>
      <c r="I586" s="232">
        <v>1750</v>
      </c>
      <c r="J586" s="230">
        <v>46043</v>
      </c>
      <c r="K586" s="227" t="s">
        <v>93</v>
      </c>
      <c r="L586" s="227" t="s">
        <v>94</v>
      </c>
      <c r="M586" s="233">
        <v>0</v>
      </c>
      <c r="N586" s="231"/>
      <c r="O586" s="231"/>
      <c r="P586" s="234">
        <v>1134.3800000000001</v>
      </c>
    </row>
    <row r="587" spans="1:16" ht="19.5" customHeight="1">
      <c r="A587" s="227" t="s">
        <v>1231</v>
      </c>
      <c r="B587" s="230">
        <v>46051</v>
      </c>
      <c r="C587" s="227" t="s">
        <v>104</v>
      </c>
      <c r="D587" s="227" t="s">
        <v>105</v>
      </c>
      <c r="E587" s="227" t="s">
        <v>42</v>
      </c>
      <c r="F587" s="227" t="s">
        <v>89</v>
      </c>
      <c r="G587" s="227" t="s">
        <v>84</v>
      </c>
      <c r="H587" s="231">
        <v>1</v>
      </c>
      <c r="I587" s="232">
        <v>1750</v>
      </c>
      <c r="J587" s="230">
        <v>46043</v>
      </c>
      <c r="K587" s="227" t="s">
        <v>93</v>
      </c>
      <c r="L587" s="227" t="s">
        <v>94</v>
      </c>
      <c r="M587" s="233">
        <v>0.43</v>
      </c>
      <c r="N587" s="231"/>
      <c r="O587" s="231"/>
      <c r="P587" s="234">
        <v>-752.5</v>
      </c>
    </row>
    <row r="588" spans="1:16" ht="19.5" customHeight="1">
      <c r="A588" s="227" t="s">
        <v>1231</v>
      </c>
      <c r="B588" s="230">
        <v>46051</v>
      </c>
      <c r="C588" s="227" t="s">
        <v>81</v>
      </c>
      <c r="D588" s="227" t="s">
        <v>95</v>
      </c>
      <c r="E588" s="227" t="s">
        <v>42</v>
      </c>
      <c r="F588" s="227" t="s">
        <v>89</v>
      </c>
      <c r="G588" s="227" t="s">
        <v>84</v>
      </c>
      <c r="H588" s="231">
        <v>1</v>
      </c>
      <c r="I588" s="232">
        <v>1750</v>
      </c>
      <c r="J588" s="230">
        <v>46043</v>
      </c>
      <c r="K588" s="227" t="s">
        <v>93</v>
      </c>
      <c r="L588" s="227" t="s">
        <v>94</v>
      </c>
      <c r="M588" s="233">
        <v>0.43</v>
      </c>
      <c r="N588" s="231"/>
      <c r="O588" s="231"/>
      <c r="P588" s="234">
        <v>-10.53</v>
      </c>
    </row>
    <row r="589" spans="1:16" ht="19.5" customHeight="1">
      <c r="A589" s="227" t="s">
        <v>1228</v>
      </c>
      <c r="B589" s="230">
        <v>46051</v>
      </c>
      <c r="C589" s="227" t="s">
        <v>92</v>
      </c>
      <c r="D589" s="227" t="s">
        <v>96</v>
      </c>
      <c r="E589" s="227" t="s">
        <v>39</v>
      </c>
      <c r="F589" s="227" t="s">
        <v>117</v>
      </c>
      <c r="G589" s="227" t="s">
        <v>84</v>
      </c>
      <c r="H589" s="231">
        <v>1</v>
      </c>
      <c r="I589" s="232">
        <v>0</v>
      </c>
      <c r="J589" s="230">
        <v>46043</v>
      </c>
      <c r="K589" s="227" t="s">
        <v>93</v>
      </c>
      <c r="L589" s="227" t="s">
        <v>94</v>
      </c>
      <c r="M589" s="233">
        <v>0</v>
      </c>
      <c r="N589" s="231"/>
      <c r="O589" s="231"/>
      <c r="P589" s="234">
        <v>0</v>
      </c>
    </row>
    <row r="590" spans="1:16" ht="19.5" customHeight="1">
      <c r="A590" s="227" t="s">
        <v>1228</v>
      </c>
      <c r="B590" s="230">
        <v>46051</v>
      </c>
      <c r="C590" s="227" t="s">
        <v>92</v>
      </c>
      <c r="D590" s="227" t="s">
        <v>97</v>
      </c>
      <c r="E590" s="227" t="s">
        <v>39</v>
      </c>
      <c r="F590" s="227" t="s">
        <v>117</v>
      </c>
      <c r="G590" s="227" t="s">
        <v>84</v>
      </c>
      <c r="H590" s="231">
        <v>1</v>
      </c>
      <c r="I590" s="232">
        <v>0</v>
      </c>
      <c r="J590" s="230">
        <v>46043</v>
      </c>
      <c r="K590" s="227" t="s">
        <v>93</v>
      </c>
      <c r="L590" s="227" t="s">
        <v>94</v>
      </c>
      <c r="M590" s="233">
        <v>0</v>
      </c>
      <c r="N590" s="231"/>
      <c r="O590" s="231"/>
      <c r="P590" s="234">
        <v>-46.77</v>
      </c>
    </row>
    <row r="591" spans="1:16" ht="19.5" customHeight="1">
      <c r="A591" s="227" t="s">
        <v>1232</v>
      </c>
      <c r="B591" s="230">
        <v>46051</v>
      </c>
      <c r="C591" s="227" t="s">
        <v>92</v>
      </c>
      <c r="D591" s="227" t="s">
        <v>24</v>
      </c>
      <c r="E591" s="227" t="s">
        <v>52</v>
      </c>
      <c r="F591" s="227" t="s">
        <v>90</v>
      </c>
      <c r="G591" s="227" t="s">
        <v>84</v>
      </c>
      <c r="H591" s="231">
        <v>1</v>
      </c>
      <c r="I591" s="232">
        <v>1800</v>
      </c>
      <c r="J591" s="230">
        <v>46050</v>
      </c>
      <c r="K591" s="227" t="s">
        <v>93</v>
      </c>
      <c r="L591" s="227" t="s">
        <v>94</v>
      </c>
      <c r="M591" s="233">
        <v>0.43</v>
      </c>
      <c r="N591" s="231"/>
      <c r="O591" s="231">
        <v>44</v>
      </c>
      <c r="P591" s="234">
        <v>-149.51</v>
      </c>
    </row>
    <row r="592" spans="1:16" ht="19.5" customHeight="1">
      <c r="A592" s="227" t="s">
        <v>1232</v>
      </c>
      <c r="B592" s="230">
        <v>46051</v>
      </c>
      <c r="C592" s="227" t="s">
        <v>100</v>
      </c>
      <c r="D592" s="227" t="s">
        <v>101</v>
      </c>
      <c r="E592" s="227" t="s">
        <v>52</v>
      </c>
      <c r="F592" s="227" t="s">
        <v>90</v>
      </c>
      <c r="G592" s="227" t="s">
        <v>84</v>
      </c>
      <c r="H592" s="231">
        <v>1</v>
      </c>
      <c r="I592" s="232">
        <v>1800</v>
      </c>
      <c r="J592" s="230">
        <v>46050</v>
      </c>
      <c r="K592" s="227" t="s">
        <v>93</v>
      </c>
      <c r="L592" s="227" t="s">
        <v>94</v>
      </c>
      <c r="M592" s="233">
        <v>0</v>
      </c>
      <c r="N592" s="231"/>
      <c r="O592" s="231"/>
      <c r="P592" s="234">
        <v>643.80999999999995</v>
      </c>
    </row>
    <row r="593" spans="1:16" ht="19.5" customHeight="1">
      <c r="A593" s="227" t="s">
        <v>1232</v>
      </c>
      <c r="B593" s="230">
        <v>46051</v>
      </c>
      <c r="C593" s="227" t="s">
        <v>100</v>
      </c>
      <c r="D593" s="227" t="s">
        <v>102</v>
      </c>
      <c r="E593" s="227" t="s">
        <v>52</v>
      </c>
      <c r="F593" s="227" t="s">
        <v>90</v>
      </c>
      <c r="G593" s="227" t="s">
        <v>84</v>
      </c>
      <c r="H593" s="231">
        <v>1</v>
      </c>
      <c r="I593" s="232">
        <v>1800</v>
      </c>
      <c r="J593" s="230">
        <v>46050</v>
      </c>
      <c r="K593" s="227" t="s">
        <v>93</v>
      </c>
      <c r="L593" s="227" t="s">
        <v>94</v>
      </c>
      <c r="M593" s="233">
        <v>0</v>
      </c>
      <c r="N593" s="231"/>
      <c r="O593" s="231"/>
      <c r="P593" s="234">
        <v>6.44</v>
      </c>
    </row>
    <row r="594" spans="1:16" ht="19.5" customHeight="1">
      <c r="A594" s="227" t="s">
        <v>1232</v>
      </c>
      <c r="B594" s="230">
        <v>46051</v>
      </c>
      <c r="C594" s="227" t="s">
        <v>100</v>
      </c>
      <c r="D594" s="227" t="s">
        <v>103</v>
      </c>
      <c r="E594" s="227" t="s">
        <v>52</v>
      </c>
      <c r="F594" s="227" t="s">
        <v>90</v>
      </c>
      <c r="G594" s="227" t="s">
        <v>84</v>
      </c>
      <c r="H594" s="231">
        <v>1</v>
      </c>
      <c r="I594" s="232">
        <v>1800</v>
      </c>
      <c r="J594" s="230">
        <v>46050</v>
      </c>
      <c r="K594" s="227" t="s">
        <v>93</v>
      </c>
      <c r="L594" s="227" t="s">
        <v>94</v>
      </c>
      <c r="M594" s="233">
        <v>0</v>
      </c>
      <c r="N594" s="231"/>
      <c r="O594" s="231"/>
      <c r="P594" s="234">
        <v>1149.75</v>
      </c>
    </row>
    <row r="595" spans="1:16" ht="19.5" customHeight="1">
      <c r="A595" s="227" t="s">
        <v>1232</v>
      </c>
      <c r="B595" s="230">
        <v>46051</v>
      </c>
      <c r="C595" s="227" t="s">
        <v>104</v>
      </c>
      <c r="D595" s="227" t="s">
        <v>105</v>
      </c>
      <c r="E595" s="227" t="s">
        <v>52</v>
      </c>
      <c r="F595" s="227" t="s">
        <v>90</v>
      </c>
      <c r="G595" s="227" t="s">
        <v>84</v>
      </c>
      <c r="H595" s="231">
        <v>1</v>
      </c>
      <c r="I595" s="232">
        <v>1800</v>
      </c>
      <c r="J595" s="230">
        <v>46050</v>
      </c>
      <c r="K595" s="227" t="s">
        <v>93</v>
      </c>
      <c r="L595" s="227" t="s">
        <v>94</v>
      </c>
      <c r="M595" s="233">
        <v>0.43</v>
      </c>
      <c r="N595" s="231"/>
      <c r="O595" s="231"/>
      <c r="P595" s="234">
        <v>-774</v>
      </c>
    </row>
    <row r="596" spans="1:16" ht="19.5" customHeight="1">
      <c r="A596" s="227" t="s">
        <v>1232</v>
      </c>
      <c r="B596" s="230">
        <v>46051</v>
      </c>
      <c r="C596" s="227" t="s">
        <v>81</v>
      </c>
      <c r="D596" s="227" t="s">
        <v>95</v>
      </c>
      <c r="E596" s="227" t="s">
        <v>52</v>
      </c>
      <c r="F596" s="227" t="s">
        <v>90</v>
      </c>
      <c r="G596" s="227" t="s">
        <v>84</v>
      </c>
      <c r="H596" s="231">
        <v>1</v>
      </c>
      <c r="I596" s="232">
        <v>1800</v>
      </c>
      <c r="J596" s="230">
        <v>46050</v>
      </c>
      <c r="K596" s="227" t="s">
        <v>93</v>
      </c>
      <c r="L596" s="227" t="s">
        <v>94</v>
      </c>
      <c r="M596" s="233">
        <v>0.43</v>
      </c>
      <c r="N596" s="231"/>
      <c r="O596" s="231"/>
      <c r="P596" s="234">
        <v>-12.94</v>
      </c>
    </row>
    <row r="597" spans="1:16" ht="19.5" customHeight="1">
      <c r="A597" s="227" t="s">
        <v>1233</v>
      </c>
      <c r="B597" s="230">
        <v>46051</v>
      </c>
      <c r="C597" s="227" t="s">
        <v>92</v>
      </c>
      <c r="D597" s="227" t="s">
        <v>24</v>
      </c>
      <c r="E597" s="227" t="s">
        <v>52</v>
      </c>
      <c r="F597" s="227" t="s">
        <v>90</v>
      </c>
      <c r="G597" s="227" t="s">
        <v>84</v>
      </c>
      <c r="H597" s="231">
        <v>1</v>
      </c>
      <c r="I597" s="232">
        <v>1800</v>
      </c>
      <c r="J597" s="230">
        <v>46049</v>
      </c>
      <c r="K597" s="227" t="s">
        <v>93</v>
      </c>
      <c r="L597" s="227" t="s">
        <v>94</v>
      </c>
      <c r="M597" s="233">
        <v>0.43</v>
      </c>
      <c r="N597" s="231"/>
      <c r="O597" s="231">
        <v>45</v>
      </c>
      <c r="P597" s="234">
        <v>-152.36000000000001</v>
      </c>
    </row>
    <row r="598" spans="1:16" ht="19.5" customHeight="1">
      <c r="A598" s="227" t="s">
        <v>1233</v>
      </c>
      <c r="B598" s="230">
        <v>46051</v>
      </c>
      <c r="C598" s="227" t="s">
        <v>100</v>
      </c>
      <c r="D598" s="227" t="s">
        <v>101</v>
      </c>
      <c r="E598" s="227" t="s">
        <v>52</v>
      </c>
      <c r="F598" s="227" t="s">
        <v>90</v>
      </c>
      <c r="G598" s="227" t="s">
        <v>84</v>
      </c>
      <c r="H598" s="231">
        <v>1</v>
      </c>
      <c r="I598" s="232">
        <v>1800</v>
      </c>
      <c r="J598" s="230">
        <v>46049</v>
      </c>
      <c r="K598" s="227" t="s">
        <v>93</v>
      </c>
      <c r="L598" s="227" t="s">
        <v>94</v>
      </c>
      <c r="M598" s="233">
        <v>0</v>
      </c>
      <c r="N598" s="231"/>
      <c r="O598" s="231"/>
      <c r="P598" s="234">
        <v>627.62</v>
      </c>
    </row>
    <row r="599" spans="1:16" ht="19.5" customHeight="1">
      <c r="A599" s="227" t="s">
        <v>1233</v>
      </c>
      <c r="B599" s="230">
        <v>46051</v>
      </c>
      <c r="C599" s="227" t="s">
        <v>100</v>
      </c>
      <c r="D599" s="227" t="s">
        <v>102</v>
      </c>
      <c r="E599" s="227" t="s">
        <v>52</v>
      </c>
      <c r="F599" s="227" t="s">
        <v>90</v>
      </c>
      <c r="G599" s="227" t="s">
        <v>84</v>
      </c>
      <c r="H599" s="231">
        <v>1</v>
      </c>
      <c r="I599" s="232">
        <v>1800</v>
      </c>
      <c r="J599" s="230">
        <v>46049</v>
      </c>
      <c r="K599" s="227" t="s">
        <v>93</v>
      </c>
      <c r="L599" s="227" t="s">
        <v>94</v>
      </c>
      <c r="M599" s="233">
        <v>0</v>
      </c>
      <c r="N599" s="231"/>
      <c r="O599" s="231"/>
      <c r="P599" s="234">
        <v>6.28</v>
      </c>
    </row>
    <row r="600" spans="1:16" ht="19.5" customHeight="1">
      <c r="A600" s="227" t="s">
        <v>1233</v>
      </c>
      <c r="B600" s="230">
        <v>46051</v>
      </c>
      <c r="C600" s="227" t="s">
        <v>100</v>
      </c>
      <c r="D600" s="227" t="s">
        <v>103</v>
      </c>
      <c r="E600" s="227" t="s">
        <v>52</v>
      </c>
      <c r="F600" s="227" t="s">
        <v>90</v>
      </c>
      <c r="G600" s="227" t="s">
        <v>84</v>
      </c>
      <c r="H600" s="231">
        <v>1</v>
      </c>
      <c r="I600" s="232">
        <v>1800</v>
      </c>
      <c r="J600" s="230">
        <v>46049</v>
      </c>
      <c r="K600" s="227" t="s">
        <v>93</v>
      </c>
      <c r="L600" s="227" t="s">
        <v>94</v>
      </c>
      <c r="M600" s="233">
        <v>0</v>
      </c>
      <c r="N600" s="231"/>
      <c r="O600" s="231"/>
      <c r="P600" s="234">
        <v>1166.0999999999999</v>
      </c>
    </row>
    <row r="601" spans="1:16" ht="19.5" customHeight="1">
      <c r="A601" s="227" t="s">
        <v>1233</v>
      </c>
      <c r="B601" s="230">
        <v>46051</v>
      </c>
      <c r="C601" s="227" t="s">
        <v>104</v>
      </c>
      <c r="D601" s="227" t="s">
        <v>105</v>
      </c>
      <c r="E601" s="227" t="s">
        <v>52</v>
      </c>
      <c r="F601" s="227" t="s">
        <v>90</v>
      </c>
      <c r="G601" s="227" t="s">
        <v>84</v>
      </c>
      <c r="H601" s="231">
        <v>1</v>
      </c>
      <c r="I601" s="232">
        <v>1800</v>
      </c>
      <c r="J601" s="230">
        <v>46049</v>
      </c>
      <c r="K601" s="227" t="s">
        <v>93</v>
      </c>
      <c r="L601" s="227" t="s">
        <v>94</v>
      </c>
      <c r="M601" s="233">
        <v>0.43</v>
      </c>
      <c r="N601" s="231"/>
      <c r="O601" s="231"/>
      <c r="P601" s="234">
        <v>-774</v>
      </c>
    </row>
    <row r="602" spans="1:16" ht="19.5" customHeight="1">
      <c r="A602" s="227" t="s">
        <v>1234</v>
      </c>
      <c r="B602" s="230">
        <v>46051</v>
      </c>
      <c r="C602" s="227" t="s">
        <v>81</v>
      </c>
      <c r="D602" s="227" t="s">
        <v>82</v>
      </c>
      <c r="E602" s="227" t="s">
        <v>42</v>
      </c>
      <c r="F602" s="227" t="s">
        <v>89</v>
      </c>
      <c r="G602" s="227" t="s">
        <v>84</v>
      </c>
      <c r="H602" s="231">
        <v>1</v>
      </c>
      <c r="I602" s="232">
        <v>0</v>
      </c>
      <c r="J602" s="230">
        <v>46051</v>
      </c>
      <c r="K602" s="227" t="s">
        <v>85</v>
      </c>
      <c r="L602" s="227" t="s">
        <v>85</v>
      </c>
      <c r="M602" s="233">
        <v>0</v>
      </c>
      <c r="N602" s="231"/>
      <c r="O602" s="231"/>
      <c r="P602" s="234">
        <v>-11.58</v>
      </c>
    </row>
    <row r="603" spans="1:16" ht="19.5" customHeight="1">
      <c r="A603" s="227" t="s">
        <v>1235</v>
      </c>
      <c r="B603" s="230">
        <v>46051</v>
      </c>
      <c r="C603" s="227" t="s">
        <v>92</v>
      </c>
      <c r="D603" s="227" t="s">
        <v>24</v>
      </c>
      <c r="E603" s="227" t="s">
        <v>52</v>
      </c>
      <c r="F603" s="227" t="s">
        <v>90</v>
      </c>
      <c r="G603" s="227" t="s">
        <v>84</v>
      </c>
      <c r="H603" s="231">
        <v>1</v>
      </c>
      <c r="I603" s="232">
        <v>1800</v>
      </c>
      <c r="J603" s="230">
        <v>46048</v>
      </c>
      <c r="K603" s="227" t="s">
        <v>93</v>
      </c>
      <c r="L603" s="227" t="s">
        <v>94</v>
      </c>
      <c r="M603" s="233">
        <v>0.43</v>
      </c>
      <c r="N603" s="231"/>
      <c r="O603" s="231">
        <v>44</v>
      </c>
      <c r="P603" s="234">
        <v>-147.97999999999999</v>
      </c>
    </row>
    <row r="604" spans="1:16" ht="19.5" customHeight="1">
      <c r="A604" s="227" t="s">
        <v>1235</v>
      </c>
      <c r="B604" s="230">
        <v>46051</v>
      </c>
      <c r="C604" s="227" t="s">
        <v>100</v>
      </c>
      <c r="D604" s="227" t="s">
        <v>101</v>
      </c>
      <c r="E604" s="227" t="s">
        <v>52</v>
      </c>
      <c r="F604" s="227" t="s">
        <v>90</v>
      </c>
      <c r="G604" s="227" t="s">
        <v>84</v>
      </c>
      <c r="H604" s="231">
        <v>1</v>
      </c>
      <c r="I604" s="232">
        <v>1800</v>
      </c>
      <c r="J604" s="230">
        <v>46048</v>
      </c>
      <c r="K604" s="227" t="s">
        <v>93</v>
      </c>
      <c r="L604" s="227" t="s">
        <v>94</v>
      </c>
      <c r="M604" s="233">
        <v>0</v>
      </c>
      <c r="N604" s="231"/>
      <c r="O604" s="231"/>
      <c r="P604" s="234">
        <v>640</v>
      </c>
    </row>
    <row r="605" spans="1:16" ht="19.5" customHeight="1">
      <c r="A605" s="227" t="s">
        <v>1235</v>
      </c>
      <c r="B605" s="230">
        <v>46051</v>
      </c>
      <c r="C605" s="227" t="s">
        <v>100</v>
      </c>
      <c r="D605" s="227" t="s">
        <v>102</v>
      </c>
      <c r="E605" s="227" t="s">
        <v>52</v>
      </c>
      <c r="F605" s="227" t="s">
        <v>90</v>
      </c>
      <c r="G605" s="227" t="s">
        <v>84</v>
      </c>
      <c r="H605" s="231">
        <v>1</v>
      </c>
      <c r="I605" s="232">
        <v>1800</v>
      </c>
      <c r="J605" s="230">
        <v>46048</v>
      </c>
      <c r="K605" s="227" t="s">
        <v>93</v>
      </c>
      <c r="L605" s="227" t="s">
        <v>94</v>
      </c>
      <c r="M605" s="233">
        <v>0</v>
      </c>
      <c r="N605" s="231"/>
      <c r="O605" s="231"/>
      <c r="P605" s="234">
        <v>6.4</v>
      </c>
    </row>
    <row r="606" spans="1:16" ht="19.5" customHeight="1">
      <c r="A606" s="227" t="s">
        <v>1235</v>
      </c>
      <c r="B606" s="230">
        <v>46051</v>
      </c>
      <c r="C606" s="227" t="s">
        <v>100</v>
      </c>
      <c r="D606" s="227" t="s">
        <v>103</v>
      </c>
      <c r="E606" s="227" t="s">
        <v>52</v>
      </c>
      <c r="F606" s="227" t="s">
        <v>90</v>
      </c>
      <c r="G606" s="227" t="s">
        <v>84</v>
      </c>
      <c r="H606" s="231">
        <v>1</v>
      </c>
      <c r="I606" s="232">
        <v>1800</v>
      </c>
      <c r="J606" s="230">
        <v>46048</v>
      </c>
      <c r="K606" s="227" t="s">
        <v>93</v>
      </c>
      <c r="L606" s="227" t="s">
        <v>94</v>
      </c>
      <c r="M606" s="233">
        <v>0</v>
      </c>
      <c r="N606" s="231"/>
      <c r="O606" s="231"/>
      <c r="P606" s="234">
        <v>1153.5999999999999</v>
      </c>
    </row>
    <row r="607" spans="1:16" ht="19.5" customHeight="1">
      <c r="A607" s="227" t="s">
        <v>1235</v>
      </c>
      <c r="B607" s="230">
        <v>46051</v>
      </c>
      <c r="C607" s="227" t="s">
        <v>104</v>
      </c>
      <c r="D607" s="227" t="s">
        <v>105</v>
      </c>
      <c r="E607" s="227" t="s">
        <v>52</v>
      </c>
      <c r="F607" s="227" t="s">
        <v>90</v>
      </c>
      <c r="G607" s="227" t="s">
        <v>84</v>
      </c>
      <c r="H607" s="231">
        <v>1</v>
      </c>
      <c r="I607" s="232">
        <v>1800</v>
      </c>
      <c r="J607" s="230">
        <v>46048</v>
      </c>
      <c r="K607" s="227" t="s">
        <v>93</v>
      </c>
      <c r="L607" s="227" t="s">
        <v>94</v>
      </c>
      <c r="M607" s="233">
        <v>0.43</v>
      </c>
      <c r="N607" s="231"/>
      <c r="O607" s="231"/>
      <c r="P607" s="234">
        <v>-774</v>
      </c>
    </row>
    <row r="608" spans="1:16" ht="19.5" customHeight="1">
      <c r="A608" s="227" t="s">
        <v>1236</v>
      </c>
      <c r="B608" s="230">
        <v>46051</v>
      </c>
      <c r="C608" s="227" t="s">
        <v>92</v>
      </c>
      <c r="D608" s="227" t="s">
        <v>24</v>
      </c>
      <c r="E608" s="227" t="s">
        <v>42</v>
      </c>
      <c r="F608" s="227" t="s">
        <v>89</v>
      </c>
      <c r="G608" s="227" t="s">
        <v>84</v>
      </c>
      <c r="H608" s="231">
        <v>1</v>
      </c>
      <c r="I608" s="232">
        <v>1750</v>
      </c>
      <c r="J608" s="230">
        <v>46049</v>
      </c>
      <c r="K608" s="227" t="s">
        <v>93</v>
      </c>
      <c r="L608" s="227" t="s">
        <v>94</v>
      </c>
      <c r="M608" s="233">
        <v>0.43</v>
      </c>
      <c r="N608" s="231"/>
      <c r="O608" s="231">
        <v>45</v>
      </c>
      <c r="P608" s="234">
        <v>-135.38999999999999</v>
      </c>
    </row>
    <row r="609" spans="1:16" ht="19.5" customHeight="1">
      <c r="A609" s="227" t="s">
        <v>1236</v>
      </c>
      <c r="B609" s="230">
        <v>46051</v>
      </c>
      <c r="C609" s="227" t="s">
        <v>100</v>
      </c>
      <c r="D609" s="227" t="s">
        <v>101</v>
      </c>
      <c r="E609" s="227" t="s">
        <v>42</v>
      </c>
      <c r="F609" s="227" t="s">
        <v>89</v>
      </c>
      <c r="G609" s="227" t="s">
        <v>84</v>
      </c>
      <c r="H609" s="231">
        <v>1</v>
      </c>
      <c r="I609" s="232">
        <v>1750</v>
      </c>
      <c r="J609" s="230">
        <v>46049</v>
      </c>
      <c r="K609" s="227" t="s">
        <v>93</v>
      </c>
      <c r="L609" s="227" t="s">
        <v>94</v>
      </c>
      <c r="M609" s="233">
        <v>0</v>
      </c>
      <c r="N609" s="231"/>
      <c r="O609" s="231"/>
      <c r="P609" s="234">
        <v>606.64</v>
      </c>
    </row>
    <row r="610" spans="1:16" ht="19.5" customHeight="1">
      <c r="A610" s="227" t="s">
        <v>1236</v>
      </c>
      <c r="B610" s="230">
        <v>46051</v>
      </c>
      <c r="C610" s="227" t="s">
        <v>100</v>
      </c>
      <c r="D610" s="227" t="s">
        <v>102</v>
      </c>
      <c r="E610" s="227" t="s">
        <v>42</v>
      </c>
      <c r="F610" s="227" t="s">
        <v>89</v>
      </c>
      <c r="G610" s="227" t="s">
        <v>84</v>
      </c>
      <c r="H610" s="231">
        <v>1</v>
      </c>
      <c r="I610" s="232">
        <v>1750</v>
      </c>
      <c r="J610" s="230">
        <v>46049</v>
      </c>
      <c r="K610" s="227" t="s">
        <v>93</v>
      </c>
      <c r="L610" s="227" t="s">
        <v>94</v>
      </c>
      <c r="M610" s="233">
        <v>0</v>
      </c>
      <c r="N610" s="231"/>
      <c r="O610" s="231"/>
      <c r="P610" s="234">
        <v>6.07</v>
      </c>
    </row>
    <row r="611" spans="1:16" ht="19.5" customHeight="1">
      <c r="A611" s="227" t="s">
        <v>1236</v>
      </c>
      <c r="B611" s="230">
        <v>46051</v>
      </c>
      <c r="C611" s="227" t="s">
        <v>100</v>
      </c>
      <c r="D611" s="227" t="s">
        <v>103</v>
      </c>
      <c r="E611" s="227" t="s">
        <v>42</v>
      </c>
      <c r="F611" s="227" t="s">
        <v>89</v>
      </c>
      <c r="G611" s="227" t="s">
        <v>84</v>
      </c>
      <c r="H611" s="231">
        <v>1</v>
      </c>
      <c r="I611" s="232">
        <v>1750</v>
      </c>
      <c r="J611" s="230">
        <v>46049</v>
      </c>
      <c r="K611" s="227" t="s">
        <v>93</v>
      </c>
      <c r="L611" s="227" t="s">
        <v>94</v>
      </c>
      <c r="M611" s="233">
        <v>0</v>
      </c>
      <c r="N611" s="231"/>
      <c r="O611" s="231"/>
      <c r="P611" s="234">
        <v>1137.29</v>
      </c>
    </row>
    <row r="612" spans="1:16" ht="19.5" customHeight="1">
      <c r="A612" s="227" t="s">
        <v>1236</v>
      </c>
      <c r="B612" s="230">
        <v>46051</v>
      </c>
      <c r="C612" s="227" t="s">
        <v>104</v>
      </c>
      <c r="D612" s="227" t="s">
        <v>105</v>
      </c>
      <c r="E612" s="227" t="s">
        <v>42</v>
      </c>
      <c r="F612" s="227" t="s">
        <v>89</v>
      </c>
      <c r="G612" s="227" t="s">
        <v>84</v>
      </c>
      <c r="H612" s="231">
        <v>1</v>
      </c>
      <c r="I612" s="232">
        <v>1750</v>
      </c>
      <c r="J612" s="230">
        <v>46049</v>
      </c>
      <c r="K612" s="227" t="s">
        <v>93</v>
      </c>
      <c r="L612" s="227" t="s">
        <v>94</v>
      </c>
      <c r="M612" s="233">
        <v>0.43</v>
      </c>
      <c r="N612" s="231"/>
      <c r="O612" s="231"/>
      <c r="P612" s="234">
        <v>-752.5</v>
      </c>
    </row>
    <row r="613" spans="1:16" ht="19.5" customHeight="1">
      <c r="A613" s="227" t="s">
        <v>1236</v>
      </c>
      <c r="B613" s="230">
        <v>46051</v>
      </c>
      <c r="C613" s="227" t="s">
        <v>81</v>
      </c>
      <c r="D613" s="227" t="s">
        <v>95</v>
      </c>
      <c r="E613" s="227" t="s">
        <v>42</v>
      </c>
      <c r="F613" s="227" t="s">
        <v>89</v>
      </c>
      <c r="G613" s="227" t="s">
        <v>84</v>
      </c>
      <c r="H613" s="231">
        <v>1</v>
      </c>
      <c r="I613" s="232">
        <v>1750</v>
      </c>
      <c r="J613" s="230">
        <v>46049</v>
      </c>
      <c r="K613" s="227" t="s">
        <v>93</v>
      </c>
      <c r="L613" s="227" t="s">
        <v>94</v>
      </c>
      <c r="M613" s="233">
        <v>0.43</v>
      </c>
      <c r="N613" s="231"/>
      <c r="O613" s="231"/>
      <c r="P613" s="234">
        <v>-10.039999999999999</v>
      </c>
    </row>
    <row r="614" spans="1:16" ht="19.5" customHeight="1">
      <c r="A614" s="227" t="s">
        <v>1237</v>
      </c>
      <c r="B614" s="230">
        <v>46051</v>
      </c>
      <c r="C614" s="227" t="s">
        <v>92</v>
      </c>
      <c r="D614" s="227" t="s">
        <v>24</v>
      </c>
      <c r="E614" s="227" t="s">
        <v>53</v>
      </c>
      <c r="F614" s="227" t="s">
        <v>120</v>
      </c>
      <c r="G614" s="227" t="s">
        <v>84</v>
      </c>
      <c r="H614" s="231">
        <v>1</v>
      </c>
      <c r="I614" s="232">
        <v>1720</v>
      </c>
      <c r="J614" s="230">
        <v>46049</v>
      </c>
      <c r="K614" s="227" t="s">
        <v>93</v>
      </c>
      <c r="L614" s="227" t="s">
        <v>94</v>
      </c>
      <c r="M614" s="233">
        <v>0.43</v>
      </c>
      <c r="N614" s="231"/>
      <c r="O614" s="231">
        <v>45</v>
      </c>
      <c r="P614" s="234">
        <v>-149.72</v>
      </c>
    </row>
    <row r="615" spans="1:16" ht="19.5" customHeight="1">
      <c r="A615" s="227" t="s">
        <v>1237</v>
      </c>
      <c r="B615" s="230">
        <v>46051</v>
      </c>
      <c r="C615" s="227" t="s">
        <v>100</v>
      </c>
      <c r="D615" s="227" t="s">
        <v>101</v>
      </c>
      <c r="E615" s="227" t="s">
        <v>53</v>
      </c>
      <c r="F615" s="227" t="s">
        <v>120</v>
      </c>
      <c r="G615" s="227" t="s">
        <v>84</v>
      </c>
      <c r="H615" s="231">
        <v>1</v>
      </c>
      <c r="I615" s="232">
        <v>1720</v>
      </c>
      <c r="J615" s="230">
        <v>46049</v>
      </c>
      <c r="K615" s="227" t="s">
        <v>93</v>
      </c>
      <c r="L615" s="227" t="s">
        <v>94</v>
      </c>
      <c r="M615" s="233">
        <v>0</v>
      </c>
      <c r="N615" s="231"/>
      <c r="O615" s="231"/>
      <c r="P615" s="234">
        <v>599.04999999999995</v>
      </c>
    </row>
    <row r="616" spans="1:16" ht="19.5" customHeight="1">
      <c r="A616" s="227" t="s">
        <v>1237</v>
      </c>
      <c r="B616" s="230">
        <v>46051</v>
      </c>
      <c r="C616" s="227" t="s">
        <v>100</v>
      </c>
      <c r="D616" s="227" t="s">
        <v>102</v>
      </c>
      <c r="E616" s="227" t="s">
        <v>53</v>
      </c>
      <c r="F616" s="227" t="s">
        <v>120</v>
      </c>
      <c r="G616" s="227" t="s">
        <v>84</v>
      </c>
      <c r="H616" s="231">
        <v>1</v>
      </c>
      <c r="I616" s="232">
        <v>1720</v>
      </c>
      <c r="J616" s="230">
        <v>46049</v>
      </c>
      <c r="K616" s="227" t="s">
        <v>93</v>
      </c>
      <c r="L616" s="227" t="s">
        <v>94</v>
      </c>
      <c r="M616" s="233">
        <v>0</v>
      </c>
      <c r="N616" s="231"/>
      <c r="O616" s="231"/>
      <c r="P616" s="234">
        <v>5.99</v>
      </c>
    </row>
    <row r="617" spans="1:16" ht="19.5" customHeight="1">
      <c r="A617" s="227" t="s">
        <v>1237</v>
      </c>
      <c r="B617" s="230">
        <v>46051</v>
      </c>
      <c r="C617" s="227" t="s">
        <v>100</v>
      </c>
      <c r="D617" s="227" t="s">
        <v>103</v>
      </c>
      <c r="E617" s="227" t="s">
        <v>53</v>
      </c>
      <c r="F617" s="227" t="s">
        <v>120</v>
      </c>
      <c r="G617" s="227" t="s">
        <v>84</v>
      </c>
      <c r="H617" s="231">
        <v>1</v>
      </c>
      <c r="I617" s="232">
        <v>1720</v>
      </c>
      <c r="J617" s="230">
        <v>46049</v>
      </c>
      <c r="K617" s="227" t="s">
        <v>93</v>
      </c>
      <c r="L617" s="227" t="s">
        <v>94</v>
      </c>
      <c r="M617" s="233">
        <v>0</v>
      </c>
      <c r="N617" s="231"/>
      <c r="O617" s="231"/>
      <c r="P617" s="234">
        <v>1114.96</v>
      </c>
    </row>
    <row r="618" spans="1:16" ht="19.5" customHeight="1">
      <c r="A618" s="227" t="s">
        <v>1237</v>
      </c>
      <c r="B618" s="230">
        <v>46051</v>
      </c>
      <c r="C618" s="227" t="s">
        <v>104</v>
      </c>
      <c r="D618" s="227" t="s">
        <v>105</v>
      </c>
      <c r="E618" s="227" t="s">
        <v>53</v>
      </c>
      <c r="F618" s="227" t="s">
        <v>120</v>
      </c>
      <c r="G618" s="227" t="s">
        <v>84</v>
      </c>
      <c r="H618" s="231">
        <v>1</v>
      </c>
      <c r="I618" s="232">
        <v>1720</v>
      </c>
      <c r="J618" s="230">
        <v>46049</v>
      </c>
      <c r="K618" s="227" t="s">
        <v>93</v>
      </c>
      <c r="L618" s="227" t="s">
        <v>94</v>
      </c>
      <c r="M618" s="233">
        <v>0.43</v>
      </c>
      <c r="N618" s="231"/>
      <c r="O618" s="231"/>
      <c r="P618" s="234">
        <v>-739.6</v>
      </c>
    </row>
    <row r="619" spans="1:16" ht="19.5" customHeight="1">
      <c r="A619" s="227" t="s">
        <v>1237</v>
      </c>
      <c r="B619" s="230">
        <v>46051</v>
      </c>
      <c r="C619" s="227" t="s">
        <v>81</v>
      </c>
      <c r="D619" s="227" t="s">
        <v>95</v>
      </c>
      <c r="E619" s="227" t="s">
        <v>53</v>
      </c>
      <c r="F619" s="227" t="s">
        <v>120</v>
      </c>
      <c r="G619" s="227" t="s">
        <v>84</v>
      </c>
      <c r="H619" s="231">
        <v>1</v>
      </c>
      <c r="I619" s="232">
        <v>1720</v>
      </c>
      <c r="J619" s="230">
        <v>46049</v>
      </c>
      <c r="K619" s="227" t="s">
        <v>93</v>
      </c>
      <c r="L619" s="227" t="s">
        <v>94</v>
      </c>
      <c r="M619" s="233">
        <v>0.43</v>
      </c>
      <c r="N619" s="231"/>
      <c r="O619" s="231"/>
      <c r="P619" s="234">
        <v>-9.0500000000000007</v>
      </c>
    </row>
    <row r="620" spans="1:16" ht="19.5" customHeight="1">
      <c r="A620" s="227" t="s">
        <v>1238</v>
      </c>
      <c r="B620" s="230">
        <v>46051</v>
      </c>
      <c r="C620" s="227" t="s">
        <v>92</v>
      </c>
      <c r="D620" s="227" t="s">
        <v>24</v>
      </c>
      <c r="E620" s="227" t="s">
        <v>53</v>
      </c>
      <c r="F620" s="227" t="s">
        <v>120</v>
      </c>
      <c r="G620" s="227" t="s">
        <v>84</v>
      </c>
      <c r="H620" s="231">
        <v>1</v>
      </c>
      <c r="I620" s="232">
        <v>0</v>
      </c>
      <c r="J620" s="230">
        <v>46046</v>
      </c>
      <c r="K620" s="227" t="s">
        <v>93</v>
      </c>
      <c r="L620" s="227" t="s">
        <v>94</v>
      </c>
      <c r="M620" s="233">
        <v>0</v>
      </c>
      <c r="N620" s="231"/>
      <c r="O620" s="231">
        <v>40</v>
      </c>
      <c r="P620" s="234">
        <v>-56</v>
      </c>
    </row>
    <row r="621" spans="1:16" ht="19.5" customHeight="1">
      <c r="A621" s="227" t="s">
        <v>1239</v>
      </c>
      <c r="B621" s="230">
        <v>46051</v>
      </c>
      <c r="C621" s="227" t="s">
        <v>92</v>
      </c>
      <c r="D621" s="227" t="s">
        <v>24</v>
      </c>
      <c r="E621" s="227" t="s">
        <v>42</v>
      </c>
      <c r="F621" s="227" t="s">
        <v>89</v>
      </c>
      <c r="G621" s="227" t="s">
        <v>84</v>
      </c>
      <c r="H621" s="231">
        <v>1</v>
      </c>
      <c r="I621" s="232">
        <v>0</v>
      </c>
      <c r="J621" s="230">
        <v>46048</v>
      </c>
      <c r="K621" s="227" t="s">
        <v>93</v>
      </c>
      <c r="L621" s="227" t="s">
        <v>94</v>
      </c>
      <c r="M621" s="233">
        <v>0</v>
      </c>
      <c r="N621" s="231"/>
      <c r="O621" s="231">
        <v>44</v>
      </c>
      <c r="P621" s="234">
        <v>-46.77</v>
      </c>
    </row>
    <row r="622" spans="1:16" ht="19.5" customHeight="1">
      <c r="A622" s="227" t="s">
        <v>1239</v>
      </c>
      <c r="B622" s="230">
        <v>46051</v>
      </c>
      <c r="C622" s="227" t="s">
        <v>81</v>
      </c>
      <c r="D622" s="227" t="s">
        <v>95</v>
      </c>
      <c r="E622" s="227" t="s">
        <v>42</v>
      </c>
      <c r="F622" s="227" t="s">
        <v>89</v>
      </c>
      <c r="G622" s="227" t="s">
        <v>84</v>
      </c>
      <c r="H622" s="231">
        <v>1</v>
      </c>
      <c r="I622" s="232">
        <v>0</v>
      </c>
      <c r="J622" s="230">
        <v>46048</v>
      </c>
      <c r="K622" s="227" t="s">
        <v>93</v>
      </c>
      <c r="L622" s="227" t="s">
        <v>94</v>
      </c>
      <c r="M622" s="233">
        <v>0</v>
      </c>
      <c r="N622" s="231"/>
      <c r="O622" s="231"/>
      <c r="P622" s="234">
        <v>-7.85</v>
      </c>
    </row>
    <row r="623" spans="1:16" ht="19.5" customHeight="1">
      <c r="A623" s="227" t="s">
        <v>1239</v>
      </c>
      <c r="B623" s="230">
        <v>46051</v>
      </c>
      <c r="C623" s="227" t="s">
        <v>92</v>
      </c>
      <c r="D623" s="227" t="s">
        <v>96</v>
      </c>
      <c r="E623" s="227" t="s">
        <v>42</v>
      </c>
      <c r="F623" s="227" t="s">
        <v>89</v>
      </c>
      <c r="G623" s="227" t="s">
        <v>84</v>
      </c>
      <c r="H623" s="231">
        <v>1</v>
      </c>
      <c r="I623" s="232">
        <v>0</v>
      </c>
      <c r="J623" s="230">
        <v>46048</v>
      </c>
      <c r="K623" s="227" t="s">
        <v>93</v>
      </c>
      <c r="L623" s="227" t="s">
        <v>94</v>
      </c>
      <c r="M623" s="233">
        <v>0</v>
      </c>
      <c r="N623" s="231"/>
      <c r="O623" s="231"/>
      <c r="P623" s="234">
        <v>0</v>
      </c>
    </row>
    <row r="624" spans="1:16" ht="19.5" customHeight="1">
      <c r="A624" s="227" t="s">
        <v>1239</v>
      </c>
      <c r="B624" s="230">
        <v>46051</v>
      </c>
      <c r="C624" s="227" t="s">
        <v>92</v>
      </c>
      <c r="D624" s="227" t="s">
        <v>97</v>
      </c>
      <c r="E624" s="227" t="s">
        <v>42</v>
      </c>
      <c r="F624" s="227" t="s">
        <v>89</v>
      </c>
      <c r="G624" s="227" t="s">
        <v>84</v>
      </c>
      <c r="H624" s="231">
        <v>1</v>
      </c>
      <c r="I624" s="232">
        <v>0</v>
      </c>
      <c r="J624" s="230">
        <v>46048</v>
      </c>
      <c r="K624" s="227" t="s">
        <v>93</v>
      </c>
      <c r="L624" s="227" t="s">
        <v>94</v>
      </c>
      <c r="M624" s="233">
        <v>0</v>
      </c>
      <c r="N624" s="231"/>
      <c r="O624" s="231"/>
      <c r="P624" s="234">
        <v>-46.77</v>
      </c>
    </row>
    <row r="625" spans="1:16" ht="19.5" customHeight="1">
      <c r="A625" s="227" t="s">
        <v>1239</v>
      </c>
      <c r="B625" s="230">
        <v>46051</v>
      </c>
      <c r="C625" s="227" t="s">
        <v>81</v>
      </c>
      <c r="D625" s="227" t="s">
        <v>98</v>
      </c>
      <c r="E625" s="227" t="s">
        <v>42</v>
      </c>
      <c r="F625" s="227" t="s">
        <v>89</v>
      </c>
      <c r="G625" s="227" t="s">
        <v>84</v>
      </c>
      <c r="H625" s="231">
        <v>1</v>
      </c>
      <c r="I625" s="232">
        <v>0</v>
      </c>
      <c r="J625" s="230">
        <v>46048</v>
      </c>
      <c r="K625" s="227" t="s">
        <v>93</v>
      </c>
      <c r="L625" s="227" t="s">
        <v>94</v>
      </c>
      <c r="M625" s="233">
        <v>0</v>
      </c>
      <c r="N625" s="231"/>
      <c r="O625" s="231"/>
      <c r="P625" s="234">
        <v>-15</v>
      </c>
    </row>
    <row r="626" spans="1:16" ht="19.5" customHeight="1">
      <c r="A626" s="227" t="s">
        <v>1236</v>
      </c>
      <c r="B626" s="230">
        <v>46051</v>
      </c>
      <c r="C626" s="227" t="s">
        <v>81</v>
      </c>
      <c r="D626" s="227" t="s">
        <v>82</v>
      </c>
      <c r="E626" s="227" t="s">
        <v>42</v>
      </c>
      <c r="F626" s="227" t="s">
        <v>89</v>
      </c>
      <c r="G626" s="227" t="s">
        <v>84</v>
      </c>
      <c r="H626" s="231">
        <v>1</v>
      </c>
      <c r="I626" s="232">
        <v>0</v>
      </c>
      <c r="J626" s="230">
        <v>46049</v>
      </c>
      <c r="K626" s="227" t="s">
        <v>85</v>
      </c>
      <c r="L626" s="227" t="s">
        <v>85</v>
      </c>
      <c r="M626" s="233">
        <v>0</v>
      </c>
      <c r="N626" s="231"/>
      <c r="O626" s="231"/>
      <c r="P626" s="234">
        <v>-11.53</v>
      </c>
    </row>
    <row r="627" spans="1:16" ht="19.5" customHeight="1">
      <c r="A627" s="227" t="s">
        <v>1238</v>
      </c>
      <c r="B627" s="230">
        <v>46051</v>
      </c>
      <c r="C627" s="227" t="s">
        <v>92</v>
      </c>
      <c r="D627" s="227" t="s">
        <v>96</v>
      </c>
      <c r="E627" s="227" t="s">
        <v>53</v>
      </c>
      <c r="F627" s="227" t="s">
        <v>120</v>
      </c>
      <c r="G627" s="227" t="s">
        <v>84</v>
      </c>
      <c r="H627" s="231">
        <v>1</v>
      </c>
      <c r="I627" s="232">
        <v>0</v>
      </c>
      <c r="J627" s="230">
        <v>46046</v>
      </c>
      <c r="K627" s="227" t="s">
        <v>93</v>
      </c>
      <c r="L627" s="227" t="s">
        <v>94</v>
      </c>
      <c r="M627" s="233">
        <v>0</v>
      </c>
      <c r="N627" s="231"/>
      <c r="O627" s="231"/>
      <c r="P627" s="234">
        <v>0</v>
      </c>
    </row>
    <row r="628" spans="1:16" ht="19.5" customHeight="1">
      <c r="A628" s="227" t="s">
        <v>1238</v>
      </c>
      <c r="B628" s="230">
        <v>46051</v>
      </c>
      <c r="C628" s="227" t="s">
        <v>92</v>
      </c>
      <c r="D628" s="227" t="s">
        <v>97</v>
      </c>
      <c r="E628" s="227" t="s">
        <v>53</v>
      </c>
      <c r="F628" s="227" t="s">
        <v>120</v>
      </c>
      <c r="G628" s="227" t="s">
        <v>84</v>
      </c>
      <c r="H628" s="231">
        <v>1</v>
      </c>
      <c r="I628" s="232">
        <v>0</v>
      </c>
      <c r="J628" s="230">
        <v>46046</v>
      </c>
      <c r="K628" s="227" t="s">
        <v>93</v>
      </c>
      <c r="L628" s="227" t="s">
        <v>94</v>
      </c>
      <c r="M628" s="233">
        <v>0</v>
      </c>
      <c r="N628" s="231"/>
      <c r="O628" s="231"/>
      <c r="P628" s="234">
        <v>-56</v>
      </c>
    </row>
    <row r="629" spans="1:16" ht="19.5" customHeight="1">
      <c r="A629" s="227" t="s">
        <v>1237</v>
      </c>
      <c r="B629" s="230">
        <v>46051</v>
      </c>
      <c r="C629" s="227" t="s">
        <v>81</v>
      </c>
      <c r="D629" s="227" t="s">
        <v>82</v>
      </c>
      <c r="E629" s="227" t="s">
        <v>53</v>
      </c>
      <c r="F629" s="227" t="s">
        <v>120</v>
      </c>
      <c r="G629" s="227" t="s">
        <v>84</v>
      </c>
      <c r="H629" s="231">
        <v>1</v>
      </c>
      <c r="I629" s="232">
        <v>0</v>
      </c>
      <c r="J629" s="230">
        <v>46049</v>
      </c>
      <c r="K629" s="227" t="s">
        <v>85</v>
      </c>
      <c r="L629" s="227" t="s">
        <v>85</v>
      </c>
      <c r="M629" s="233">
        <v>0</v>
      </c>
      <c r="N629" s="231"/>
      <c r="O629" s="231"/>
      <c r="P629" s="234">
        <v>-11.38</v>
      </c>
    </row>
    <row r="630" spans="1:16" ht="19.5" customHeight="1">
      <c r="A630" s="227" t="s">
        <v>1240</v>
      </c>
      <c r="B630" s="230">
        <v>46051</v>
      </c>
      <c r="C630" s="227" t="s">
        <v>81</v>
      </c>
      <c r="D630" s="227" t="s">
        <v>82</v>
      </c>
      <c r="E630" s="227" t="s">
        <v>42</v>
      </c>
      <c r="F630" s="227" t="s">
        <v>89</v>
      </c>
      <c r="G630" s="227" t="s">
        <v>84</v>
      </c>
      <c r="H630" s="231">
        <v>1</v>
      </c>
      <c r="I630" s="232">
        <v>0</v>
      </c>
      <c r="J630" s="230">
        <v>46051</v>
      </c>
      <c r="K630" s="227" t="s">
        <v>85</v>
      </c>
      <c r="L630" s="227" t="s">
        <v>85</v>
      </c>
      <c r="M630" s="233">
        <v>0</v>
      </c>
      <c r="N630" s="231"/>
      <c r="O630" s="231"/>
      <c r="P630" s="234">
        <v>-11.58</v>
      </c>
    </row>
    <row r="631" spans="1:16" ht="19.5" customHeight="1">
      <c r="A631" s="227" t="s">
        <v>1241</v>
      </c>
      <c r="B631" s="230">
        <v>46051</v>
      </c>
      <c r="C631" s="227" t="s">
        <v>92</v>
      </c>
      <c r="D631" s="227" t="s">
        <v>24</v>
      </c>
      <c r="E631" s="227" t="s">
        <v>53</v>
      </c>
      <c r="F631" s="227" t="s">
        <v>120</v>
      </c>
      <c r="G631" s="227" t="s">
        <v>84</v>
      </c>
      <c r="H631" s="231">
        <v>1</v>
      </c>
      <c r="I631" s="232">
        <v>0</v>
      </c>
      <c r="J631" s="230">
        <v>46031</v>
      </c>
      <c r="K631" s="227" t="s">
        <v>93</v>
      </c>
      <c r="L631" s="227" t="s">
        <v>94</v>
      </c>
      <c r="M631" s="233">
        <v>0</v>
      </c>
      <c r="N631" s="231"/>
      <c r="O631" s="231">
        <v>42</v>
      </c>
      <c r="P631" s="234">
        <v>-56.94</v>
      </c>
    </row>
    <row r="632" spans="1:16" ht="19.5" customHeight="1">
      <c r="A632" s="227" t="s">
        <v>1241</v>
      </c>
      <c r="B632" s="230">
        <v>46051</v>
      </c>
      <c r="C632" s="227" t="s">
        <v>81</v>
      </c>
      <c r="D632" s="227" t="s">
        <v>95</v>
      </c>
      <c r="E632" s="227" t="s">
        <v>53</v>
      </c>
      <c r="F632" s="227" t="s">
        <v>120</v>
      </c>
      <c r="G632" s="227" t="s">
        <v>84</v>
      </c>
      <c r="H632" s="231">
        <v>1</v>
      </c>
      <c r="I632" s="232">
        <v>0</v>
      </c>
      <c r="J632" s="230">
        <v>46031</v>
      </c>
      <c r="K632" s="227" t="s">
        <v>93</v>
      </c>
      <c r="L632" s="227" t="s">
        <v>94</v>
      </c>
      <c r="M632" s="233">
        <v>0</v>
      </c>
      <c r="N632" s="231"/>
      <c r="O632" s="231"/>
      <c r="P632" s="234">
        <v>-11.02</v>
      </c>
    </row>
    <row r="633" spans="1:16" ht="19.5" customHeight="1">
      <c r="A633" s="227" t="s">
        <v>1241</v>
      </c>
      <c r="B633" s="230">
        <v>46051</v>
      </c>
      <c r="C633" s="227" t="s">
        <v>92</v>
      </c>
      <c r="D633" s="227" t="s">
        <v>96</v>
      </c>
      <c r="E633" s="227" t="s">
        <v>53</v>
      </c>
      <c r="F633" s="227" t="s">
        <v>120</v>
      </c>
      <c r="G633" s="227" t="s">
        <v>84</v>
      </c>
      <c r="H633" s="231">
        <v>1</v>
      </c>
      <c r="I633" s="232">
        <v>0</v>
      </c>
      <c r="J633" s="230">
        <v>46031</v>
      </c>
      <c r="K633" s="227" t="s">
        <v>93</v>
      </c>
      <c r="L633" s="227" t="s">
        <v>94</v>
      </c>
      <c r="M633" s="233">
        <v>0</v>
      </c>
      <c r="N633" s="231"/>
      <c r="O633" s="231"/>
      <c r="P633" s="234">
        <v>0</v>
      </c>
    </row>
    <row r="634" spans="1:16" ht="19.5" customHeight="1">
      <c r="A634" s="227" t="s">
        <v>1241</v>
      </c>
      <c r="B634" s="230">
        <v>46051</v>
      </c>
      <c r="C634" s="227" t="s">
        <v>92</v>
      </c>
      <c r="D634" s="227" t="s">
        <v>97</v>
      </c>
      <c r="E634" s="227" t="s">
        <v>53</v>
      </c>
      <c r="F634" s="227" t="s">
        <v>120</v>
      </c>
      <c r="G634" s="227" t="s">
        <v>84</v>
      </c>
      <c r="H634" s="231">
        <v>1</v>
      </c>
      <c r="I634" s="232">
        <v>0</v>
      </c>
      <c r="J634" s="230">
        <v>46031</v>
      </c>
      <c r="K634" s="227" t="s">
        <v>93</v>
      </c>
      <c r="L634" s="227" t="s">
        <v>94</v>
      </c>
      <c r="M634" s="233">
        <v>0</v>
      </c>
      <c r="N634" s="231"/>
      <c r="O634" s="231"/>
      <c r="P634" s="234">
        <v>-56.94</v>
      </c>
    </row>
    <row r="635" spans="1:16" ht="19.5" customHeight="1">
      <c r="A635" s="227" t="s">
        <v>1242</v>
      </c>
      <c r="B635" s="230">
        <v>46051</v>
      </c>
      <c r="C635" s="227" t="s">
        <v>92</v>
      </c>
      <c r="D635" s="227" t="s">
        <v>24</v>
      </c>
      <c r="E635" s="227" t="s">
        <v>53</v>
      </c>
      <c r="F635" s="227" t="s">
        <v>120</v>
      </c>
      <c r="G635" s="227" t="s">
        <v>84</v>
      </c>
      <c r="H635" s="231">
        <v>1</v>
      </c>
      <c r="I635" s="232">
        <v>1812</v>
      </c>
      <c r="J635" s="230">
        <v>46048</v>
      </c>
      <c r="K635" s="227" t="s">
        <v>93</v>
      </c>
      <c r="L635" s="227" t="s">
        <v>94</v>
      </c>
      <c r="M635" s="233">
        <v>0.43</v>
      </c>
      <c r="N635" s="231"/>
      <c r="O635" s="231">
        <v>44</v>
      </c>
      <c r="P635" s="234">
        <v>-148.36000000000001</v>
      </c>
    </row>
    <row r="636" spans="1:16" ht="19.5" customHeight="1">
      <c r="A636" s="227" t="s">
        <v>1242</v>
      </c>
      <c r="B636" s="230">
        <v>46051</v>
      </c>
      <c r="C636" s="227" t="s">
        <v>100</v>
      </c>
      <c r="D636" s="227" t="s">
        <v>101</v>
      </c>
      <c r="E636" s="227" t="s">
        <v>53</v>
      </c>
      <c r="F636" s="227" t="s">
        <v>120</v>
      </c>
      <c r="G636" s="227" t="s">
        <v>84</v>
      </c>
      <c r="H636" s="231">
        <v>1</v>
      </c>
      <c r="I636" s="232">
        <v>1812</v>
      </c>
      <c r="J636" s="230">
        <v>46048</v>
      </c>
      <c r="K636" s="227" t="s">
        <v>93</v>
      </c>
      <c r="L636" s="227" t="s">
        <v>94</v>
      </c>
      <c r="M636" s="233">
        <v>0</v>
      </c>
      <c r="N636" s="231"/>
      <c r="O636" s="231"/>
      <c r="P636" s="234">
        <v>706.27</v>
      </c>
    </row>
    <row r="637" spans="1:16" ht="19.5" customHeight="1">
      <c r="A637" s="227" t="s">
        <v>1242</v>
      </c>
      <c r="B637" s="230">
        <v>46051</v>
      </c>
      <c r="C637" s="227" t="s">
        <v>100</v>
      </c>
      <c r="D637" s="227" t="s">
        <v>102</v>
      </c>
      <c r="E637" s="227" t="s">
        <v>53</v>
      </c>
      <c r="F637" s="227" t="s">
        <v>120</v>
      </c>
      <c r="G637" s="227" t="s">
        <v>84</v>
      </c>
      <c r="H637" s="231">
        <v>1</v>
      </c>
      <c r="I637" s="232">
        <v>1812</v>
      </c>
      <c r="J637" s="230">
        <v>46048</v>
      </c>
      <c r="K637" s="227" t="s">
        <v>93</v>
      </c>
      <c r="L637" s="227" t="s">
        <v>94</v>
      </c>
      <c r="M637" s="233">
        <v>0</v>
      </c>
      <c r="N637" s="231"/>
      <c r="O637" s="231"/>
      <c r="P637" s="234">
        <v>7.06</v>
      </c>
    </row>
    <row r="638" spans="1:16" ht="19.5" customHeight="1">
      <c r="A638" s="227" t="s">
        <v>1242</v>
      </c>
      <c r="B638" s="230">
        <v>46051</v>
      </c>
      <c r="C638" s="227" t="s">
        <v>100</v>
      </c>
      <c r="D638" s="227" t="s">
        <v>103</v>
      </c>
      <c r="E638" s="227" t="s">
        <v>53</v>
      </c>
      <c r="F638" s="227" t="s">
        <v>120</v>
      </c>
      <c r="G638" s="227" t="s">
        <v>84</v>
      </c>
      <c r="H638" s="231">
        <v>1</v>
      </c>
      <c r="I638" s="232">
        <v>1812</v>
      </c>
      <c r="J638" s="230">
        <v>46048</v>
      </c>
      <c r="K638" s="227" t="s">
        <v>93</v>
      </c>
      <c r="L638" s="227" t="s">
        <v>94</v>
      </c>
      <c r="M638" s="233">
        <v>0</v>
      </c>
      <c r="N638" s="231"/>
      <c r="O638" s="231"/>
      <c r="P638" s="234">
        <v>1098.67</v>
      </c>
    </row>
    <row r="639" spans="1:16" ht="19.5" customHeight="1">
      <c r="A639" s="227" t="s">
        <v>1242</v>
      </c>
      <c r="B639" s="230">
        <v>46051</v>
      </c>
      <c r="C639" s="227" t="s">
        <v>104</v>
      </c>
      <c r="D639" s="227" t="s">
        <v>105</v>
      </c>
      <c r="E639" s="227" t="s">
        <v>53</v>
      </c>
      <c r="F639" s="227" t="s">
        <v>120</v>
      </c>
      <c r="G639" s="227" t="s">
        <v>84</v>
      </c>
      <c r="H639" s="231">
        <v>1</v>
      </c>
      <c r="I639" s="232">
        <v>1812</v>
      </c>
      <c r="J639" s="230">
        <v>46048</v>
      </c>
      <c r="K639" s="227" t="s">
        <v>93</v>
      </c>
      <c r="L639" s="227" t="s">
        <v>94</v>
      </c>
      <c r="M639" s="233">
        <v>0.43</v>
      </c>
      <c r="N639" s="231"/>
      <c r="O639" s="231"/>
      <c r="P639" s="234">
        <v>-779.16</v>
      </c>
    </row>
    <row r="640" spans="1:16" ht="19.5" customHeight="1">
      <c r="A640" s="227" t="s">
        <v>1242</v>
      </c>
      <c r="B640" s="230">
        <v>46051</v>
      </c>
      <c r="C640" s="227" t="s">
        <v>81</v>
      </c>
      <c r="D640" s="227" t="s">
        <v>95</v>
      </c>
      <c r="E640" s="227" t="s">
        <v>53</v>
      </c>
      <c r="F640" s="227" t="s">
        <v>120</v>
      </c>
      <c r="G640" s="227" t="s">
        <v>84</v>
      </c>
      <c r="H640" s="231">
        <v>1</v>
      </c>
      <c r="I640" s="232">
        <v>1812</v>
      </c>
      <c r="J640" s="230">
        <v>46048</v>
      </c>
      <c r="K640" s="227" t="s">
        <v>93</v>
      </c>
      <c r="L640" s="227" t="s">
        <v>94</v>
      </c>
      <c r="M640" s="233">
        <v>0.43</v>
      </c>
      <c r="N640" s="231"/>
      <c r="O640" s="231"/>
      <c r="P640" s="234">
        <v>-8.49</v>
      </c>
    </row>
    <row r="641" spans="1:16" ht="19.5" customHeight="1">
      <c r="A641" s="227" t="s">
        <v>1243</v>
      </c>
      <c r="B641" s="230">
        <v>46051</v>
      </c>
      <c r="C641" s="227" t="s">
        <v>92</v>
      </c>
      <c r="D641" s="227" t="s">
        <v>24</v>
      </c>
      <c r="E641" s="227" t="s">
        <v>39</v>
      </c>
      <c r="F641" s="227" t="s">
        <v>117</v>
      </c>
      <c r="G641" s="227" t="s">
        <v>84</v>
      </c>
      <c r="H641" s="231">
        <v>1</v>
      </c>
      <c r="I641" s="232">
        <v>1750</v>
      </c>
      <c r="J641" s="230">
        <v>46042</v>
      </c>
      <c r="K641" s="227" t="s">
        <v>93</v>
      </c>
      <c r="L641" s="227" t="s">
        <v>94</v>
      </c>
      <c r="M641" s="233">
        <v>0.43</v>
      </c>
      <c r="N641" s="231"/>
      <c r="O641" s="231">
        <v>43</v>
      </c>
      <c r="P641" s="234">
        <v>-127.33</v>
      </c>
    </row>
    <row r="642" spans="1:16" ht="19.5" customHeight="1">
      <c r="A642" s="227" t="s">
        <v>1243</v>
      </c>
      <c r="B642" s="230">
        <v>46051</v>
      </c>
      <c r="C642" s="227" t="s">
        <v>100</v>
      </c>
      <c r="D642" s="227" t="s">
        <v>101</v>
      </c>
      <c r="E642" s="227" t="s">
        <v>39</v>
      </c>
      <c r="F642" s="227" t="s">
        <v>117</v>
      </c>
      <c r="G642" s="227" t="s">
        <v>84</v>
      </c>
      <c r="H642" s="231">
        <v>1</v>
      </c>
      <c r="I642" s="232">
        <v>1750</v>
      </c>
      <c r="J642" s="230">
        <v>46042</v>
      </c>
      <c r="K642" s="227" t="s">
        <v>93</v>
      </c>
      <c r="L642" s="227" t="s">
        <v>94</v>
      </c>
      <c r="M642" s="233">
        <v>0</v>
      </c>
      <c r="N642" s="231"/>
      <c r="O642" s="231"/>
      <c r="P642" s="234">
        <v>609.52</v>
      </c>
    </row>
    <row r="643" spans="1:16" ht="19.5" customHeight="1">
      <c r="A643" s="227" t="s">
        <v>1243</v>
      </c>
      <c r="B643" s="230">
        <v>46051</v>
      </c>
      <c r="C643" s="227" t="s">
        <v>100</v>
      </c>
      <c r="D643" s="227" t="s">
        <v>102</v>
      </c>
      <c r="E643" s="227" t="s">
        <v>39</v>
      </c>
      <c r="F643" s="227" t="s">
        <v>117</v>
      </c>
      <c r="G643" s="227" t="s">
        <v>84</v>
      </c>
      <c r="H643" s="231">
        <v>1</v>
      </c>
      <c r="I643" s="232">
        <v>1750</v>
      </c>
      <c r="J643" s="230">
        <v>46042</v>
      </c>
      <c r="K643" s="227" t="s">
        <v>93</v>
      </c>
      <c r="L643" s="227" t="s">
        <v>94</v>
      </c>
      <c r="M643" s="233">
        <v>0</v>
      </c>
      <c r="N643" s="231"/>
      <c r="O643" s="231"/>
      <c r="P643" s="234">
        <v>6.1</v>
      </c>
    </row>
    <row r="644" spans="1:16" ht="19.5" customHeight="1">
      <c r="A644" s="227" t="s">
        <v>1243</v>
      </c>
      <c r="B644" s="230">
        <v>46051</v>
      </c>
      <c r="C644" s="227" t="s">
        <v>100</v>
      </c>
      <c r="D644" s="227" t="s">
        <v>103</v>
      </c>
      <c r="E644" s="227" t="s">
        <v>39</v>
      </c>
      <c r="F644" s="227" t="s">
        <v>117</v>
      </c>
      <c r="G644" s="227" t="s">
        <v>84</v>
      </c>
      <c r="H644" s="231">
        <v>1</v>
      </c>
      <c r="I644" s="232">
        <v>1750</v>
      </c>
      <c r="J644" s="230">
        <v>46042</v>
      </c>
      <c r="K644" s="227" t="s">
        <v>93</v>
      </c>
      <c r="L644" s="227" t="s">
        <v>94</v>
      </c>
      <c r="M644" s="233">
        <v>0</v>
      </c>
      <c r="N644" s="231"/>
      <c r="O644" s="231"/>
      <c r="P644" s="234">
        <v>1134.3800000000001</v>
      </c>
    </row>
    <row r="645" spans="1:16" ht="19.5" customHeight="1">
      <c r="A645" s="227" t="s">
        <v>1243</v>
      </c>
      <c r="B645" s="230">
        <v>46051</v>
      </c>
      <c r="C645" s="227" t="s">
        <v>104</v>
      </c>
      <c r="D645" s="227" t="s">
        <v>105</v>
      </c>
      <c r="E645" s="227" t="s">
        <v>39</v>
      </c>
      <c r="F645" s="227" t="s">
        <v>117</v>
      </c>
      <c r="G645" s="227" t="s">
        <v>84</v>
      </c>
      <c r="H645" s="231">
        <v>1</v>
      </c>
      <c r="I645" s="232">
        <v>1750</v>
      </c>
      <c r="J645" s="230">
        <v>46042</v>
      </c>
      <c r="K645" s="227" t="s">
        <v>93</v>
      </c>
      <c r="L645" s="227" t="s">
        <v>94</v>
      </c>
      <c r="M645" s="233">
        <v>0.43</v>
      </c>
      <c r="N645" s="231"/>
      <c r="O645" s="231"/>
      <c r="P645" s="234">
        <v>-752.5</v>
      </c>
    </row>
    <row r="646" spans="1:16" ht="19.5" customHeight="1">
      <c r="A646" s="227" t="s">
        <v>1243</v>
      </c>
      <c r="B646" s="230">
        <v>46051</v>
      </c>
      <c r="C646" s="227" t="s">
        <v>81</v>
      </c>
      <c r="D646" s="227" t="s">
        <v>95</v>
      </c>
      <c r="E646" s="227" t="s">
        <v>39</v>
      </c>
      <c r="F646" s="227" t="s">
        <v>117</v>
      </c>
      <c r="G646" s="227" t="s">
        <v>84</v>
      </c>
      <c r="H646" s="231">
        <v>1</v>
      </c>
      <c r="I646" s="232">
        <v>1750</v>
      </c>
      <c r="J646" s="230">
        <v>46042</v>
      </c>
      <c r="K646" s="227" t="s">
        <v>93</v>
      </c>
      <c r="L646" s="227" t="s">
        <v>94</v>
      </c>
      <c r="M646" s="233">
        <v>0.43</v>
      </c>
      <c r="N646" s="231"/>
      <c r="O646" s="231"/>
      <c r="P646" s="234">
        <v>-9.5</v>
      </c>
    </row>
    <row r="647" spans="1:16" ht="19.5" customHeight="1">
      <c r="A647" s="227" t="s">
        <v>1244</v>
      </c>
      <c r="B647" s="230">
        <v>46051</v>
      </c>
      <c r="C647" s="227" t="s">
        <v>92</v>
      </c>
      <c r="D647" s="227" t="s">
        <v>24</v>
      </c>
      <c r="E647" s="227" t="s">
        <v>42</v>
      </c>
      <c r="F647" s="227" t="s">
        <v>89</v>
      </c>
      <c r="G647" s="227" t="s">
        <v>84</v>
      </c>
      <c r="H647" s="231">
        <v>1</v>
      </c>
      <c r="I647" s="232">
        <v>1750</v>
      </c>
      <c r="J647" s="230">
        <v>46048</v>
      </c>
      <c r="K647" s="227" t="s">
        <v>93</v>
      </c>
      <c r="L647" s="227" t="s">
        <v>94</v>
      </c>
      <c r="M647" s="233">
        <v>0.43</v>
      </c>
      <c r="N647" s="231"/>
      <c r="O647" s="231">
        <v>44</v>
      </c>
      <c r="P647" s="234">
        <v>-131.37</v>
      </c>
    </row>
    <row r="648" spans="1:16" ht="19.5" customHeight="1">
      <c r="A648" s="227" t="s">
        <v>1244</v>
      </c>
      <c r="B648" s="230">
        <v>46051</v>
      </c>
      <c r="C648" s="227" t="s">
        <v>100</v>
      </c>
      <c r="D648" s="227" t="s">
        <v>101</v>
      </c>
      <c r="E648" s="227" t="s">
        <v>42</v>
      </c>
      <c r="F648" s="227" t="s">
        <v>89</v>
      </c>
      <c r="G648" s="227" t="s">
        <v>84</v>
      </c>
      <c r="H648" s="231">
        <v>1</v>
      </c>
      <c r="I648" s="232">
        <v>1750</v>
      </c>
      <c r="J648" s="230">
        <v>46048</v>
      </c>
      <c r="K648" s="227" t="s">
        <v>93</v>
      </c>
      <c r="L648" s="227" t="s">
        <v>94</v>
      </c>
      <c r="M648" s="233">
        <v>0</v>
      </c>
      <c r="N648" s="231"/>
      <c r="O648" s="231"/>
      <c r="P648" s="234">
        <v>666.67</v>
      </c>
    </row>
    <row r="649" spans="1:16" ht="19.5" customHeight="1">
      <c r="A649" s="227" t="s">
        <v>1244</v>
      </c>
      <c r="B649" s="230">
        <v>46051</v>
      </c>
      <c r="C649" s="227" t="s">
        <v>100</v>
      </c>
      <c r="D649" s="227" t="s">
        <v>102</v>
      </c>
      <c r="E649" s="227" t="s">
        <v>42</v>
      </c>
      <c r="F649" s="227" t="s">
        <v>89</v>
      </c>
      <c r="G649" s="227" t="s">
        <v>84</v>
      </c>
      <c r="H649" s="231">
        <v>1</v>
      </c>
      <c r="I649" s="232">
        <v>1750</v>
      </c>
      <c r="J649" s="230">
        <v>46048</v>
      </c>
      <c r="K649" s="227" t="s">
        <v>93</v>
      </c>
      <c r="L649" s="227" t="s">
        <v>94</v>
      </c>
      <c r="M649" s="233">
        <v>0</v>
      </c>
      <c r="N649" s="231"/>
      <c r="O649" s="231"/>
      <c r="P649" s="234">
        <v>0</v>
      </c>
    </row>
    <row r="650" spans="1:16" ht="19.5" customHeight="1">
      <c r="A650" s="227" t="s">
        <v>1244</v>
      </c>
      <c r="B650" s="230">
        <v>46051</v>
      </c>
      <c r="C650" s="227" t="s">
        <v>100</v>
      </c>
      <c r="D650" s="227" t="s">
        <v>103</v>
      </c>
      <c r="E650" s="227" t="s">
        <v>42</v>
      </c>
      <c r="F650" s="227" t="s">
        <v>89</v>
      </c>
      <c r="G650" s="227" t="s">
        <v>84</v>
      </c>
      <c r="H650" s="231">
        <v>1</v>
      </c>
      <c r="I650" s="232">
        <v>1750</v>
      </c>
      <c r="J650" s="230">
        <v>46048</v>
      </c>
      <c r="K650" s="227" t="s">
        <v>93</v>
      </c>
      <c r="L650" s="227" t="s">
        <v>94</v>
      </c>
      <c r="M650" s="233">
        <v>0</v>
      </c>
      <c r="N650" s="231"/>
      <c r="O650" s="231"/>
      <c r="P650" s="234">
        <v>1083.33</v>
      </c>
    </row>
    <row r="651" spans="1:16" ht="19.5" customHeight="1">
      <c r="A651" s="227" t="s">
        <v>1244</v>
      </c>
      <c r="B651" s="230">
        <v>46051</v>
      </c>
      <c r="C651" s="227" t="s">
        <v>104</v>
      </c>
      <c r="D651" s="227" t="s">
        <v>105</v>
      </c>
      <c r="E651" s="227" t="s">
        <v>42</v>
      </c>
      <c r="F651" s="227" t="s">
        <v>89</v>
      </c>
      <c r="G651" s="227" t="s">
        <v>84</v>
      </c>
      <c r="H651" s="231">
        <v>1</v>
      </c>
      <c r="I651" s="232">
        <v>1750</v>
      </c>
      <c r="J651" s="230">
        <v>46048</v>
      </c>
      <c r="K651" s="227" t="s">
        <v>93</v>
      </c>
      <c r="L651" s="227" t="s">
        <v>94</v>
      </c>
      <c r="M651" s="233">
        <v>0.43</v>
      </c>
      <c r="N651" s="231"/>
      <c r="O651" s="231"/>
      <c r="P651" s="234">
        <v>-752.5</v>
      </c>
    </row>
    <row r="652" spans="1:16" ht="19.5" customHeight="1">
      <c r="A652" s="227" t="s">
        <v>1245</v>
      </c>
      <c r="B652" s="230">
        <v>46051</v>
      </c>
      <c r="C652" s="227" t="s">
        <v>81</v>
      </c>
      <c r="D652" s="227" t="s">
        <v>82</v>
      </c>
      <c r="E652" s="227" t="s">
        <v>52</v>
      </c>
      <c r="F652" s="227" t="s">
        <v>90</v>
      </c>
      <c r="G652" s="227" t="s">
        <v>84</v>
      </c>
      <c r="H652" s="231">
        <v>1</v>
      </c>
      <c r="I652" s="232">
        <v>0</v>
      </c>
      <c r="J652" s="230">
        <v>46051</v>
      </c>
      <c r="K652" s="227" t="s">
        <v>85</v>
      </c>
      <c r="L652" s="227" t="s">
        <v>85</v>
      </c>
      <c r="M652" s="233">
        <v>0</v>
      </c>
      <c r="N652" s="231"/>
      <c r="O652" s="231"/>
      <c r="P652" s="234">
        <v>-11.92</v>
      </c>
    </row>
    <row r="653" spans="1:16" ht="19.5" customHeight="1">
      <c r="A653" s="227" t="s">
        <v>1242</v>
      </c>
      <c r="B653" s="230">
        <v>46051</v>
      </c>
      <c r="C653" s="227" t="s">
        <v>81</v>
      </c>
      <c r="D653" s="227" t="s">
        <v>82</v>
      </c>
      <c r="E653" s="227" t="s">
        <v>53</v>
      </c>
      <c r="F653" s="227" t="s">
        <v>120</v>
      </c>
      <c r="G653" s="227" t="s">
        <v>84</v>
      </c>
      <c r="H653" s="231">
        <v>1</v>
      </c>
      <c r="I653" s="232">
        <v>0</v>
      </c>
      <c r="J653" s="230">
        <v>46048</v>
      </c>
      <c r="K653" s="227" t="s">
        <v>85</v>
      </c>
      <c r="L653" s="227" t="s">
        <v>85</v>
      </c>
      <c r="M653" s="233">
        <v>0</v>
      </c>
      <c r="N653" s="231"/>
      <c r="O653" s="231"/>
      <c r="P653" s="234">
        <v>-13.42</v>
      </c>
    </row>
    <row r="654" spans="1:16" ht="19.5" customHeight="1">
      <c r="A654" s="227" t="s">
        <v>1243</v>
      </c>
      <c r="B654" s="230">
        <v>46051</v>
      </c>
      <c r="C654" s="227" t="s">
        <v>81</v>
      </c>
      <c r="D654" s="227" t="s">
        <v>82</v>
      </c>
      <c r="E654" s="227" t="s">
        <v>39</v>
      </c>
      <c r="F654" s="227" t="s">
        <v>117</v>
      </c>
      <c r="G654" s="227" t="s">
        <v>84</v>
      </c>
      <c r="H654" s="231">
        <v>1</v>
      </c>
      <c r="I654" s="232">
        <v>0</v>
      </c>
      <c r="J654" s="230">
        <v>46042</v>
      </c>
      <c r="K654" s="227" t="s">
        <v>85</v>
      </c>
      <c r="L654" s="227" t="s">
        <v>85</v>
      </c>
      <c r="M654" s="233">
        <v>0</v>
      </c>
      <c r="N654" s="231"/>
      <c r="O654" s="231"/>
      <c r="P654" s="234">
        <v>-11.58</v>
      </c>
    </row>
    <row r="655" spans="1:16" ht="19.5" customHeight="1">
      <c r="A655" s="227" t="s">
        <v>1246</v>
      </c>
      <c r="B655" s="230">
        <v>46051</v>
      </c>
      <c r="C655" s="227" t="s">
        <v>92</v>
      </c>
      <c r="D655" s="227" t="s">
        <v>24</v>
      </c>
      <c r="E655" s="227" t="s">
        <v>52</v>
      </c>
      <c r="F655" s="227" t="s">
        <v>90</v>
      </c>
      <c r="G655" s="227" t="s">
        <v>84</v>
      </c>
      <c r="H655" s="231">
        <v>1</v>
      </c>
      <c r="I655" s="232">
        <v>1800</v>
      </c>
      <c r="J655" s="230">
        <v>46050</v>
      </c>
      <c r="K655" s="227" t="s">
        <v>93</v>
      </c>
      <c r="L655" s="227" t="s">
        <v>94</v>
      </c>
      <c r="M655" s="233">
        <v>0.43</v>
      </c>
      <c r="N655" s="231"/>
      <c r="O655" s="231">
        <v>44</v>
      </c>
      <c r="P655" s="234">
        <v>-147.97999999999999</v>
      </c>
    </row>
    <row r="656" spans="1:16" ht="19.5" customHeight="1">
      <c r="A656" s="227" t="s">
        <v>1246</v>
      </c>
      <c r="B656" s="230">
        <v>46051</v>
      </c>
      <c r="C656" s="227" t="s">
        <v>100</v>
      </c>
      <c r="D656" s="227" t="s">
        <v>101</v>
      </c>
      <c r="E656" s="227" t="s">
        <v>52</v>
      </c>
      <c r="F656" s="227" t="s">
        <v>90</v>
      </c>
      <c r="G656" s="227" t="s">
        <v>84</v>
      </c>
      <c r="H656" s="231">
        <v>1</v>
      </c>
      <c r="I656" s="232">
        <v>1800</v>
      </c>
      <c r="J656" s="230">
        <v>46050</v>
      </c>
      <c r="K656" s="227" t="s">
        <v>93</v>
      </c>
      <c r="L656" s="227" t="s">
        <v>94</v>
      </c>
      <c r="M656" s="233">
        <v>0</v>
      </c>
      <c r="N656" s="231"/>
      <c r="O656" s="231"/>
      <c r="P656" s="234">
        <v>703.81</v>
      </c>
    </row>
    <row r="657" spans="1:16" ht="19.5" customHeight="1">
      <c r="A657" s="227" t="s">
        <v>1246</v>
      </c>
      <c r="B657" s="230">
        <v>46051</v>
      </c>
      <c r="C657" s="227" t="s">
        <v>100</v>
      </c>
      <c r="D657" s="227" t="s">
        <v>102</v>
      </c>
      <c r="E657" s="227" t="s">
        <v>52</v>
      </c>
      <c r="F657" s="227" t="s">
        <v>90</v>
      </c>
      <c r="G657" s="227" t="s">
        <v>84</v>
      </c>
      <c r="H657" s="231">
        <v>1</v>
      </c>
      <c r="I657" s="232">
        <v>1800</v>
      </c>
      <c r="J657" s="230">
        <v>46050</v>
      </c>
      <c r="K657" s="227" t="s">
        <v>93</v>
      </c>
      <c r="L657" s="227" t="s">
        <v>94</v>
      </c>
      <c r="M657" s="233">
        <v>0</v>
      </c>
      <c r="N657" s="231"/>
      <c r="O657" s="231"/>
      <c r="P657" s="234">
        <v>0</v>
      </c>
    </row>
    <row r="658" spans="1:16" ht="19.5" customHeight="1">
      <c r="A658" s="227" t="s">
        <v>1246</v>
      </c>
      <c r="B658" s="230">
        <v>46051</v>
      </c>
      <c r="C658" s="227" t="s">
        <v>100</v>
      </c>
      <c r="D658" s="227" t="s">
        <v>103</v>
      </c>
      <c r="E658" s="227" t="s">
        <v>52</v>
      </c>
      <c r="F658" s="227" t="s">
        <v>90</v>
      </c>
      <c r="G658" s="227" t="s">
        <v>84</v>
      </c>
      <c r="H658" s="231">
        <v>1</v>
      </c>
      <c r="I658" s="232">
        <v>1800</v>
      </c>
      <c r="J658" s="230">
        <v>46050</v>
      </c>
      <c r="K658" s="227" t="s">
        <v>93</v>
      </c>
      <c r="L658" s="227" t="s">
        <v>94</v>
      </c>
      <c r="M658" s="233">
        <v>0</v>
      </c>
      <c r="N658" s="231"/>
      <c r="O658" s="231"/>
      <c r="P658" s="234">
        <v>1096.19</v>
      </c>
    </row>
    <row r="659" spans="1:16" ht="19.5" customHeight="1">
      <c r="A659" s="227" t="s">
        <v>1246</v>
      </c>
      <c r="B659" s="230">
        <v>46051</v>
      </c>
      <c r="C659" s="227" t="s">
        <v>104</v>
      </c>
      <c r="D659" s="227" t="s">
        <v>105</v>
      </c>
      <c r="E659" s="227" t="s">
        <v>52</v>
      </c>
      <c r="F659" s="227" t="s">
        <v>90</v>
      </c>
      <c r="G659" s="227" t="s">
        <v>84</v>
      </c>
      <c r="H659" s="231">
        <v>1</v>
      </c>
      <c r="I659" s="232">
        <v>1800</v>
      </c>
      <c r="J659" s="230">
        <v>46050</v>
      </c>
      <c r="K659" s="227" t="s">
        <v>93</v>
      </c>
      <c r="L659" s="227" t="s">
        <v>94</v>
      </c>
      <c r="M659" s="233">
        <v>0.43</v>
      </c>
      <c r="N659" s="231"/>
      <c r="O659" s="231"/>
      <c r="P659" s="234">
        <v>-774</v>
      </c>
    </row>
    <row r="660" spans="1:16" ht="19.5" customHeight="1">
      <c r="A660" s="227" t="s">
        <v>1246</v>
      </c>
      <c r="B660" s="230">
        <v>46051</v>
      </c>
      <c r="C660" s="227" t="s">
        <v>81</v>
      </c>
      <c r="D660" s="227" t="s">
        <v>95</v>
      </c>
      <c r="E660" s="227" t="s">
        <v>52</v>
      </c>
      <c r="F660" s="227" t="s">
        <v>90</v>
      </c>
      <c r="G660" s="227" t="s">
        <v>84</v>
      </c>
      <c r="H660" s="231">
        <v>1</v>
      </c>
      <c r="I660" s="232">
        <v>1800</v>
      </c>
      <c r="J660" s="230">
        <v>46050</v>
      </c>
      <c r="K660" s="227" t="s">
        <v>93</v>
      </c>
      <c r="L660" s="227" t="s">
        <v>94</v>
      </c>
      <c r="M660" s="233">
        <v>0.43</v>
      </c>
      <c r="N660" s="231"/>
      <c r="O660" s="231"/>
      <c r="P660" s="234">
        <v>-16.05</v>
      </c>
    </row>
    <row r="661" spans="1:16" ht="19.5" customHeight="1">
      <c r="A661" s="227" t="s">
        <v>1247</v>
      </c>
      <c r="B661" s="230">
        <v>46051</v>
      </c>
      <c r="C661" s="227" t="s">
        <v>92</v>
      </c>
      <c r="D661" s="227" t="s">
        <v>24</v>
      </c>
      <c r="E661" s="227" t="s">
        <v>52</v>
      </c>
      <c r="F661" s="227" t="s">
        <v>90</v>
      </c>
      <c r="G661" s="227" t="s">
        <v>84</v>
      </c>
      <c r="H661" s="231">
        <v>1</v>
      </c>
      <c r="I661" s="232">
        <v>1800</v>
      </c>
      <c r="J661" s="230">
        <v>46049</v>
      </c>
      <c r="K661" s="227" t="s">
        <v>93</v>
      </c>
      <c r="L661" s="227" t="s">
        <v>94</v>
      </c>
      <c r="M661" s="233">
        <v>0.43</v>
      </c>
      <c r="N661" s="231"/>
      <c r="O661" s="231">
        <v>45</v>
      </c>
      <c r="P661" s="234">
        <v>-153.91999999999999</v>
      </c>
    </row>
    <row r="662" spans="1:16" ht="19.5" customHeight="1">
      <c r="A662" s="227" t="s">
        <v>1247</v>
      </c>
      <c r="B662" s="230">
        <v>46051</v>
      </c>
      <c r="C662" s="227" t="s">
        <v>100</v>
      </c>
      <c r="D662" s="227" t="s">
        <v>101</v>
      </c>
      <c r="E662" s="227" t="s">
        <v>52</v>
      </c>
      <c r="F662" s="227" t="s">
        <v>90</v>
      </c>
      <c r="G662" s="227" t="s">
        <v>84</v>
      </c>
      <c r="H662" s="231">
        <v>1</v>
      </c>
      <c r="I662" s="232">
        <v>1800</v>
      </c>
      <c r="J662" s="230">
        <v>46049</v>
      </c>
      <c r="K662" s="227" t="s">
        <v>93</v>
      </c>
      <c r="L662" s="227" t="s">
        <v>94</v>
      </c>
      <c r="M662" s="233">
        <v>0</v>
      </c>
      <c r="N662" s="231"/>
      <c r="O662" s="231"/>
      <c r="P662" s="234">
        <v>643.80999999999995</v>
      </c>
    </row>
    <row r="663" spans="1:16" ht="19.5" customHeight="1">
      <c r="A663" s="227" t="s">
        <v>1247</v>
      </c>
      <c r="B663" s="230">
        <v>46051</v>
      </c>
      <c r="C663" s="227" t="s">
        <v>100</v>
      </c>
      <c r="D663" s="227" t="s">
        <v>102</v>
      </c>
      <c r="E663" s="227" t="s">
        <v>52</v>
      </c>
      <c r="F663" s="227" t="s">
        <v>90</v>
      </c>
      <c r="G663" s="227" t="s">
        <v>84</v>
      </c>
      <c r="H663" s="231">
        <v>1</v>
      </c>
      <c r="I663" s="232">
        <v>1800</v>
      </c>
      <c r="J663" s="230">
        <v>46049</v>
      </c>
      <c r="K663" s="227" t="s">
        <v>93</v>
      </c>
      <c r="L663" s="227" t="s">
        <v>94</v>
      </c>
      <c r="M663" s="233">
        <v>0</v>
      </c>
      <c r="N663" s="231"/>
      <c r="O663" s="231"/>
      <c r="P663" s="234">
        <v>6.44</v>
      </c>
    </row>
    <row r="664" spans="1:16" ht="19.5" customHeight="1">
      <c r="A664" s="227" t="s">
        <v>1247</v>
      </c>
      <c r="B664" s="230">
        <v>46051</v>
      </c>
      <c r="C664" s="227" t="s">
        <v>100</v>
      </c>
      <c r="D664" s="227" t="s">
        <v>103</v>
      </c>
      <c r="E664" s="227" t="s">
        <v>52</v>
      </c>
      <c r="F664" s="227" t="s">
        <v>90</v>
      </c>
      <c r="G664" s="227" t="s">
        <v>84</v>
      </c>
      <c r="H664" s="231">
        <v>1</v>
      </c>
      <c r="I664" s="232">
        <v>1800</v>
      </c>
      <c r="J664" s="230">
        <v>46049</v>
      </c>
      <c r="K664" s="227" t="s">
        <v>93</v>
      </c>
      <c r="L664" s="227" t="s">
        <v>94</v>
      </c>
      <c r="M664" s="233">
        <v>0</v>
      </c>
      <c r="N664" s="231"/>
      <c r="O664" s="231"/>
      <c r="P664" s="234">
        <v>1149.75</v>
      </c>
    </row>
    <row r="665" spans="1:16" ht="19.5" customHeight="1">
      <c r="A665" s="227" t="s">
        <v>1247</v>
      </c>
      <c r="B665" s="230">
        <v>46051</v>
      </c>
      <c r="C665" s="227" t="s">
        <v>104</v>
      </c>
      <c r="D665" s="227" t="s">
        <v>105</v>
      </c>
      <c r="E665" s="227" t="s">
        <v>52</v>
      </c>
      <c r="F665" s="227" t="s">
        <v>90</v>
      </c>
      <c r="G665" s="227" t="s">
        <v>84</v>
      </c>
      <c r="H665" s="231">
        <v>1</v>
      </c>
      <c r="I665" s="232">
        <v>1800</v>
      </c>
      <c r="J665" s="230">
        <v>46049</v>
      </c>
      <c r="K665" s="227" t="s">
        <v>93</v>
      </c>
      <c r="L665" s="227" t="s">
        <v>94</v>
      </c>
      <c r="M665" s="233">
        <v>0.43</v>
      </c>
      <c r="N665" s="231"/>
      <c r="O665" s="231"/>
      <c r="P665" s="234">
        <v>-774</v>
      </c>
    </row>
    <row r="666" spans="1:16" ht="19.5" customHeight="1">
      <c r="A666" s="227" t="s">
        <v>1247</v>
      </c>
      <c r="B666" s="230">
        <v>46051</v>
      </c>
      <c r="C666" s="227" t="s">
        <v>81</v>
      </c>
      <c r="D666" s="227" t="s">
        <v>95</v>
      </c>
      <c r="E666" s="227" t="s">
        <v>52</v>
      </c>
      <c r="F666" s="227" t="s">
        <v>90</v>
      </c>
      <c r="G666" s="227" t="s">
        <v>84</v>
      </c>
      <c r="H666" s="231">
        <v>1</v>
      </c>
      <c r="I666" s="232">
        <v>1800</v>
      </c>
      <c r="J666" s="230">
        <v>46049</v>
      </c>
      <c r="K666" s="227" t="s">
        <v>93</v>
      </c>
      <c r="L666" s="227" t="s">
        <v>94</v>
      </c>
      <c r="M666" s="233">
        <v>0.43</v>
      </c>
      <c r="N666" s="231"/>
      <c r="O666" s="231"/>
      <c r="P666" s="234">
        <v>-25</v>
      </c>
    </row>
    <row r="667" spans="1:16" ht="19.5" customHeight="1">
      <c r="A667" s="227" t="s">
        <v>1248</v>
      </c>
      <c r="B667" s="230">
        <v>46051</v>
      </c>
      <c r="C667" s="227" t="s">
        <v>92</v>
      </c>
      <c r="D667" s="227" t="s">
        <v>24</v>
      </c>
      <c r="E667" s="227" t="s">
        <v>43</v>
      </c>
      <c r="F667" s="227" t="s">
        <v>125</v>
      </c>
      <c r="G667" s="227" t="s">
        <v>84</v>
      </c>
      <c r="H667" s="231">
        <v>1</v>
      </c>
      <c r="I667" s="232">
        <v>1750</v>
      </c>
      <c r="J667" s="230">
        <v>46050</v>
      </c>
      <c r="K667" s="227" t="s">
        <v>93</v>
      </c>
      <c r="L667" s="227" t="s">
        <v>94</v>
      </c>
      <c r="M667" s="233">
        <v>0.43</v>
      </c>
      <c r="N667" s="231"/>
      <c r="O667" s="231">
        <v>44</v>
      </c>
      <c r="P667" s="234">
        <v>-131.37</v>
      </c>
    </row>
    <row r="668" spans="1:16" ht="19.5" customHeight="1">
      <c r="A668" s="227" t="s">
        <v>1248</v>
      </c>
      <c r="B668" s="230">
        <v>46051</v>
      </c>
      <c r="C668" s="227" t="s">
        <v>100</v>
      </c>
      <c r="D668" s="227" t="s">
        <v>101</v>
      </c>
      <c r="E668" s="227" t="s">
        <v>43</v>
      </c>
      <c r="F668" s="227" t="s">
        <v>125</v>
      </c>
      <c r="G668" s="227" t="s">
        <v>84</v>
      </c>
      <c r="H668" s="231">
        <v>1</v>
      </c>
      <c r="I668" s="232">
        <v>1750</v>
      </c>
      <c r="J668" s="230">
        <v>46050</v>
      </c>
      <c r="K668" s="227" t="s">
        <v>93</v>
      </c>
      <c r="L668" s="227" t="s">
        <v>94</v>
      </c>
      <c r="M668" s="233">
        <v>0</v>
      </c>
      <c r="N668" s="231"/>
      <c r="O668" s="231"/>
      <c r="P668" s="234">
        <v>608.94000000000005</v>
      </c>
    </row>
    <row r="669" spans="1:16" ht="19.5" customHeight="1">
      <c r="A669" s="227" t="s">
        <v>1248</v>
      </c>
      <c r="B669" s="230">
        <v>46051</v>
      </c>
      <c r="C669" s="227" t="s">
        <v>100</v>
      </c>
      <c r="D669" s="227" t="s">
        <v>102</v>
      </c>
      <c r="E669" s="227" t="s">
        <v>43</v>
      </c>
      <c r="F669" s="227" t="s">
        <v>125</v>
      </c>
      <c r="G669" s="227" t="s">
        <v>84</v>
      </c>
      <c r="H669" s="231">
        <v>1</v>
      </c>
      <c r="I669" s="232">
        <v>1750</v>
      </c>
      <c r="J669" s="230">
        <v>46050</v>
      </c>
      <c r="K669" s="227" t="s">
        <v>93</v>
      </c>
      <c r="L669" s="227" t="s">
        <v>94</v>
      </c>
      <c r="M669" s="233">
        <v>0</v>
      </c>
      <c r="N669" s="231"/>
      <c r="O669" s="231"/>
      <c r="P669" s="234">
        <v>6.09</v>
      </c>
    </row>
    <row r="670" spans="1:16" ht="19.5" customHeight="1">
      <c r="A670" s="227" t="s">
        <v>1248</v>
      </c>
      <c r="B670" s="230">
        <v>46051</v>
      </c>
      <c r="C670" s="227" t="s">
        <v>100</v>
      </c>
      <c r="D670" s="227" t="s">
        <v>103</v>
      </c>
      <c r="E670" s="227" t="s">
        <v>43</v>
      </c>
      <c r="F670" s="227" t="s">
        <v>125</v>
      </c>
      <c r="G670" s="227" t="s">
        <v>84</v>
      </c>
      <c r="H670" s="231">
        <v>1</v>
      </c>
      <c r="I670" s="232">
        <v>1750</v>
      </c>
      <c r="J670" s="230">
        <v>46050</v>
      </c>
      <c r="K670" s="227" t="s">
        <v>93</v>
      </c>
      <c r="L670" s="227" t="s">
        <v>94</v>
      </c>
      <c r="M670" s="233">
        <v>0</v>
      </c>
      <c r="N670" s="231"/>
      <c r="O670" s="231"/>
      <c r="P670" s="234">
        <v>1134.97</v>
      </c>
    </row>
    <row r="671" spans="1:16" ht="19.5" customHeight="1">
      <c r="A671" s="227" t="s">
        <v>1248</v>
      </c>
      <c r="B671" s="230">
        <v>46051</v>
      </c>
      <c r="C671" s="227" t="s">
        <v>104</v>
      </c>
      <c r="D671" s="227" t="s">
        <v>105</v>
      </c>
      <c r="E671" s="227" t="s">
        <v>43</v>
      </c>
      <c r="F671" s="227" t="s">
        <v>125</v>
      </c>
      <c r="G671" s="227" t="s">
        <v>84</v>
      </c>
      <c r="H671" s="231">
        <v>1</v>
      </c>
      <c r="I671" s="232">
        <v>1750</v>
      </c>
      <c r="J671" s="230">
        <v>46050</v>
      </c>
      <c r="K671" s="227" t="s">
        <v>93</v>
      </c>
      <c r="L671" s="227" t="s">
        <v>94</v>
      </c>
      <c r="M671" s="233">
        <v>0.43</v>
      </c>
      <c r="N671" s="231"/>
      <c r="O671" s="231"/>
      <c r="P671" s="234">
        <v>-752.5</v>
      </c>
    </row>
    <row r="672" spans="1:16" ht="19.5" customHeight="1">
      <c r="A672" s="227" t="s">
        <v>1248</v>
      </c>
      <c r="B672" s="230">
        <v>46051</v>
      </c>
      <c r="C672" s="227" t="s">
        <v>81</v>
      </c>
      <c r="D672" s="227" t="s">
        <v>95</v>
      </c>
      <c r="E672" s="227" t="s">
        <v>43</v>
      </c>
      <c r="F672" s="227" t="s">
        <v>125</v>
      </c>
      <c r="G672" s="227" t="s">
        <v>84</v>
      </c>
      <c r="H672" s="231">
        <v>1</v>
      </c>
      <c r="I672" s="232">
        <v>1750</v>
      </c>
      <c r="J672" s="230">
        <v>46050</v>
      </c>
      <c r="K672" s="227" t="s">
        <v>93</v>
      </c>
      <c r="L672" s="227" t="s">
        <v>94</v>
      </c>
      <c r="M672" s="233">
        <v>0.43</v>
      </c>
      <c r="N672" s="231"/>
      <c r="O672" s="231"/>
      <c r="P672" s="234">
        <v>-11.17</v>
      </c>
    </row>
    <row r="673" spans="1:16" ht="19.5" customHeight="1">
      <c r="A673" s="227" t="s">
        <v>1249</v>
      </c>
      <c r="B673" s="230">
        <v>46051</v>
      </c>
      <c r="C673" s="227" t="s">
        <v>92</v>
      </c>
      <c r="D673" s="227" t="s">
        <v>24</v>
      </c>
      <c r="E673" s="227" t="s">
        <v>52</v>
      </c>
      <c r="F673" s="227" t="s">
        <v>90</v>
      </c>
      <c r="G673" s="227" t="s">
        <v>84</v>
      </c>
      <c r="H673" s="231">
        <v>1</v>
      </c>
      <c r="I673" s="232">
        <v>1712</v>
      </c>
      <c r="J673" s="230">
        <v>46050</v>
      </c>
      <c r="K673" s="227" t="s">
        <v>93</v>
      </c>
      <c r="L673" s="227" t="s">
        <v>94</v>
      </c>
      <c r="M673" s="233">
        <v>0.43</v>
      </c>
      <c r="N673" s="231"/>
      <c r="O673" s="231">
        <v>44</v>
      </c>
      <c r="P673" s="234">
        <v>-146.74</v>
      </c>
    </row>
    <row r="674" spans="1:16" ht="19.5" customHeight="1">
      <c r="A674" s="227" t="s">
        <v>1249</v>
      </c>
      <c r="B674" s="230">
        <v>46051</v>
      </c>
      <c r="C674" s="227" t="s">
        <v>100</v>
      </c>
      <c r="D674" s="227" t="s">
        <v>101</v>
      </c>
      <c r="E674" s="227" t="s">
        <v>52</v>
      </c>
      <c r="F674" s="227" t="s">
        <v>90</v>
      </c>
      <c r="G674" s="227" t="s">
        <v>84</v>
      </c>
      <c r="H674" s="231">
        <v>1</v>
      </c>
      <c r="I674" s="232">
        <v>1712</v>
      </c>
      <c r="J674" s="230">
        <v>46050</v>
      </c>
      <c r="K674" s="227" t="s">
        <v>93</v>
      </c>
      <c r="L674" s="227" t="s">
        <v>94</v>
      </c>
      <c r="M674" s="233">
        <v>0</v>
      </c>
      <c r="N674" s="231"/>
      <c r="O674" s="231"/>
      <c r="P674" s="234">
        <v>611.79999999999995</v>
      </c>
    </row>
    <row r="675" spans="1:16" ht="19.5" customHeight="1">
      <c r="A675" s="227" t="s">
        <v>1249</v>
      </c>
      <c r="B675" s="230">
        <v>46051</v>
      </c>
      <c r="C675" s="227" t="s">
        <v>100</v>
      </c>
      <c r="D675" s="227" t="s">
        <v>102</v>
      </c>
      <c r="E675" s="227" t="s">
        <v>52</v>
      </c>
      <c r="F675" s="227" t="s">
        <v>90</v>
      </c>
      <c r="G675" s="227" t="s">
        <v>84</v>
      </c>
      <c r="H675" s="231">
        <v>1</v>
      </c>
      <c r="I675" s="232">
        <v>1712</v>
      </c>
      <c r="J675" s="230">
        <v>46050</v>
      </c>
      <c r="K675" s="227" t="s">
        <v>93</v>
      </c>
      <c r="L675" s="227" t="s">
        <v>94</v>
      </c>
      <c r="M675" s="233">
        <v>0</v>
      </c>
      <c r="N675" s="231"/>
      <c r="O675" s="231"/>
      <c r="P675" s="234">
        <v>6.12</v>
      </c>
    </row>
    <row r="676" spans="1:16" ht="19.5" customHeight="1">
      <c r="A676" s="227" t="s">
        <v>1249</v>
      </c>
      <c r="B676" s="230">
        <v>46051</v>
      </c>
      <c r="C676" s="227" t="s">
        <v>100</v>
      </c>
      <c r="D676" s="227" t="s">
        <v>103</v>
      </c>
      <c r="E676" s="227" t="s">
        <v>52</v>
      </c>
      <c r="F676" s="227" t="s">
        <v>90</v>
      </c>
      <c r="G676" s="227" t="s">
        <v>84</v>
      </c>
      <c r="H676" s="231">
        <v>1</v>
      </c>
      <c r="I676" s="232">
        <v>1712</v>
      </c>
      <c r="J676" s="230">
        <v>46050</v>
      </c>
      <c r="K676" s="227" t="s">
        <v>93</v>
      </c>
      <c r="L676" s="227" t="s">
        <v>94</v>
      </c>
      <c r="M676" s="233">
        <v>0</v>
      </c>
      <c r="N676" s="231"/>
      <c r="O676" s="231"/>
      <c r="P676" s="234">
        <v>1094.08</v>
      </c>
    </row>
    <row r="677" spans="1:16" ht="19.5" customHeight="1">
      <c r="A677" s="227" t="s">
        <v>1249</v>
      </c>
      <c r="B677" s="230">
        <v>46051</v>
      </c>
      <c r="C677" s="227" t="s">
        <v>104</v>
      </c>
      <c r="D677" s="227" t="s">
        <v>105</v>
      </c>
      <c r="E677" s="227" t="s">
        <v>52</v>
      </c>
      <c r="F677" s="227" t="s">
        <v>90</v>
      </c>
      <c r="G677" s="227" t="s">
        <v>84</v>
      </c>
      <c r="H677" s="231">
        <v>1</v>
      </c>
      <c r="I677" s="232">
        <v>1712</v>
      </c>
      <c r="J677" s="230">
        <v>46050</v>
      </c>
      <c r="K677" s="227" t="s">
        <v>93</v>
      </c>
      <c r="L677" s="227" t="s">
        <v>94</v>
      </c>
      <c r="M677" s="233">
        <v>0.43</v>
      </c>
      <c r="N677" s="231"/>
      <c r="O677" s="231"/>
      <c r="P677" s="234">
        <v>-736.16</v>
      </c>
    </row>
    <row r="678" spans="1:16" ht="19.5" customHeight="1">
      <c r="A678" s="227" t="s">
        <v>1249</v>
      </c>
      <c r="B678" s="230">
        <v>46051</v>
      </c>
      <c r="C678" s="227" t="s">
        <v>81</v>
      </c>
      <c r="D678" s="227" t="s">
        <v>95</v>
      </c>
      <c r="E678" s="227" t="s">
        <v>52</v>
      </c>
      <c r="F678" s="227" t="s">
        <v>90</v>
      </c>
      <c r="G678" s="227" t="s">
        <v>84</v>
      </c>
      <c r="H678" s="231">
        <v>1</v>
      </c>
      <c r="I678" s="232">
        <v>1712</v>
      </c>
      <c r="J678" s="230">
        <v>46050</v>
      </c>
      <c r="K678" s="227" t="s">
        <v>93</v>
      </c>
      <c r="L678" s="227" t="s">
        <v>94</v>
      </c>
      <c r="M678" s="233">
        <v>0.43</v>
      </c>
      <c r="N678" s="231"/>
      <c r="O678" s="231"/>
      <c r="P678" s="234">
        <v>-12.92</v>
      </c>
    </row>
    <row r="679" spans="1:16" ht="19.5" customHeight="1">
      <c r="A679" s="227" t="s">
        <v>1246</v>
      </c>
      <c r="B679" s="230">
        <v>46051</v>
      </c>
      <c r="C679" s="227" t="s">
        <v>81</v>
      </c>
      <c r="D679" s="227" t="s">
        <v>82</v>
      </c>
      <c r="E679" s="227" t="s">
        <v>52</v>
      </c>
      <c r="F679" s="227" t="s">
        <v>90</v>
      </c>
      <c r="G679" s="227" t="s">
        <v>84</v>
      </c>
      <c r="H679" s="231">
        <v>1</v>
      </c>
      <c r="I679" s="232">
        <v>0</v>
      </c>
      <c r="J679" s="230">
        <v>46050</v>
      </c>
      <c r="K679" s="227" t="s">
        <v>85</v>
      </c>
      <c r="L679" s="227" t="s">
        <v>85</v>
      </c>
      <c r="M679" s="233">
        <v>0</v>
      </c>
      <c r="N679" s="231"/>
      <c r="O679" s="231"/>
      <c r="P679" s="234">
        <v>-3.73</v>
      </c>
    </row>
    <row r="680" spans="1:16" ht="19.5" customHeight="1">
      <c r="A680" s="227" t="s">
        <v>1248</v>
      </c>
      <c r="B680" s="230">
        <v>46051</v>
      </c>
      <c r="C680" s="227" t="s">
        <v>81</v>
      </c>
      <c r="D680" s="227" t="s">
        <v>82</v>
      </c>
      <c r="E680" s="227" t="s">
        <v>43</v>
      </c>
      <c r="F680" s="227" t="s">
        <v>125</v>
      </c>
      <c r="G680" s="227" t="s">
        <v>84</v>
      </c>
      <c r="H680" s="231">
        <v>1</v>
      </c>
      <c r="I680" s="232">
        <v>0</v>
      </c>
      <c r="J680" s="230">
        <v>46050</v>
      </c>
      <c r="K680" s="227" t="s">
        <v>85</v>
      </c>
      <c r="L680" s="227" t="s">
        <v>85</v>
      </c>
      <c r="M680" s="233">
        <v>0</v>
      </c>
      <c r="N680" s="231"/>
      <c r="O680" s="231"/>
      <c r="P680" s="234">
        <v>-11.57</v>
      </c>
    </row>
    <row r="681" spans="1:16" ht="19.5" customHeight="1">
      <c r="A681" s="227" t="s">
        <v>1250</v>
      </c>
      <c r="B681" s="230">
        <v>46051</v>
      </c>
      <c r="C681" s="227" t="s">
        <v>81</v>
      </c>
      <c r="D681" s="227" t="s">
        <v>82</v>
      </c>
      <c r="E681" s="227" t="s">
        <v>52</v>
      </c>
      <c r="F681" s="227" t="s">
        <v>90</v>
      </c>
      <c r="G681" s="227" t="s">
        <v>84</v>
      </c>
      <c r="H681" s="231">
        <v>1</v>
      </c>
      <c r="I681" s="232">
        <v>0</v>
      </c>
      <c r="J681" s="230">
        <v>46051</v>
      </c>
      <c r="K681" s="227" t="s">
        <v>85</v>
      </c>
      <c r="L681" s="227" t="s">
        <v>85</v>
      </c>
      <c r="M681" s="233">
        <v>0</v>
      </c>
      <c r="N681" s="231"/>
      <c r="O681" s="231"/>
      <c r="P681" s="234">
        <v>-11.92</v>
      </c>
    </row>
    <row r="682" spans="1:16" ht="19.5" customHeight="1">
      <c r="A682" s="227" t="s">
        <v>1251</v>
      </c>
      <c r="B682" s="230">
        <v>46051</v>
      </c>
      <c r="C682" s="227" t="s">
        <v>81</v>
      </c>
      <c r="D682" s="227" t="s">
        <v>82</v>
      </c>
      <c r="E682" s="227" t="s">
        <v>43</v>
      </c>
      <c r="F682" s="227" t="s">
        <v>125</v>
      </c>
      <c r="G682" s="227" t="s">
        <v>84</v>
      </c>
      <c r="H682" s="231">
        <v>1</v>
      </c>
      <c r="I682" s="232">
        <v>0</v>
      </c>
      <c r="J682" s="230">
        <v>46051</v>
      </c>
      <c r="K682" s="227" t="s">
        <v>85</v>
      </c>
      <c r="L682" s="227" t="s">
        <v>85</v>
      </c>
      <c r="M682" s="233">
        <v>0</v>
      </c>
      <c r="N682" s="231"/>
      <c r="O682" s="231"/>
      <c r="P682" s="234">
        <v>-11.58</v>
      </c>
    </row>
    <row r="683" spans="1:16" ht="19.5" customHeight="1">
      <c r="A683" s="227" t="s">
        <v>1252</v>
      </c>
      <c r="B683" s="230">
        <v>46051</v>
      </c>
      <c r="C683" s="227" t="s">
        <v>92</v>
      </c>
      <c r="D683" s="227" t="s">
        <v>24</v>
      </c>
      <c r="E683" s="227" t="s">
        <v>52</v>
      </c>
      <c r="F683" s="227" t="s">
        <v>90</v>
      </c>
      <c r="G683" s="227" t="s">
        <v>84</v>
      </c>
      <c r="H683" s="231">
        <v>1</v>
      </c>
      <c r="I683" s="232">
        <v>1793</v>
      </c>
      <c r="J683" s="230">
        <v>46047</v>
      </c>
      <c r="K683" s="227" t="s">
        <v>93</v>
      </c>
      <c r="L683" s="227" t="s">
        <v>94</v>
      </c>
      <c r="M683" s="233">
        <v>0.43</v>
      </c>
      <c r="N683" s="231"/>
      <c r="O683" s="231">
        <v>41</v>
      </c>
      <c r="P683" s="234">
        <v>-134.65</v>
      </c>
    </row>
    <row r="684" spans="1:16" ht="19.5" customHeight="1">
      <c r="A684" s="227" t="s">
        <v>1252</v>
      </c>
      <c r="B684" s="230">
        <v>46051</v>
      </c>
      <c r="C684" s="227" t="s">
        <v>100</v>
      </c>
      <c r="D684" s="227" t="s">
        <v>101</v>
      </c>
      <c r="E684" s="227" t="s">
        <v>52</v>
      </c>
      <c r="F684" s="227" t="s">
        <v>90</v>
      </c>
      <c r="G684" s="227" t="s">
        <v>84</v>
      </c>
      <c r="H684" s="231">
        <v>1</v>
      </c>
      <c r="I684" s="232">
        <v>1793</v>
      </c>
      <c r="J684" s="230">
        <v>46047</v>
      </c>
      <c r="K684" s="227" t="s">
        <v>93</v>
      </c>
      <c r="L684" s="227" t="s">
        <v>94</v>
      </c>
      <c r="M684" s="233">
        <v>0</v>
      </c>
      <c r="N684" s="231"/>
      <c r="O684" s="231"/>
      <c r="P684" s="234">
        <v>688.21</v>
      </c>
    </row>
    <row r="685" spans="1:16" ht="19.5" customHeight="1">
      <c r="A685" s="227" t="s">
        <v>1252</v>
      </c>
      <c r="B685" s="230">
        <v>46051</v>
      </c>
      <c r="C685" s="227" t="s">
        <v>100</v>
      </c>
      <c r="D685" s="227" t="s">
        <v>102</v>
      </c>
      <c r="E685" s="227" t="s">
        <v>52</v>
      </c>
      <c r="F685" s="227" t="s">
        <v>90</v>
      </c>
      <c r="G685" s="227" t="s">
        <v>84</v>
      </c>
      <c r="H685" s="231">
        <v>1</v>
      </c>
      <c r="I685" s="232">
        <v>1793</v>
      </c>
      <c r="J685" s="230">
        <v>46047</v>
      </c>
      <c r="K685" s="227" t="s">
        <v>93</v>
      </c>
      <c r="L685" s="227" t="s">
        <v>94</v>
      </c>
      <c r="M685" s="233">
        <v>0</v>
      </c>
      <c r="N685" s="231"/>
      <c r="O685" s="231"/>
      <c r="P685" s="234">
        <v>6.88</v>
      </c>
    </row>
    <row r="686" spans="1:16" ht="19.5" customHeight="1">
      <c r="A686" s="227" t="s">
        <v>1252</v>
      </c>
      <c r="B686" s="230">
        <v>46051</v>
      </c>
      <c r="C686" s="227" t="s">
        <v>100</v>
      </c>
      <c r="D686" s="227" t="s">
        <v>103</v>
      </c>
      <c r="E686" s="227" t="s">
        <v>52</v>
      </c>
      <c r="F686" s="227" t="s">
        <v>90</v>
      </c>
      <c r="G686" s="227" t="s">
        <v>84</v>
      </c>
      <c r="H686" s="231">
        <v>1</v>
      </c>
      <c r="I686" s="232">
        <v>1793</v>
      </c>
      <c r="J686" s="230">
        <v>46047</v>
      </c>
      <c r="K686" s="227" t="s">
        <v>93</v>
      </c>
      <c r="L686" s="227" t="s">
        <v>94</v>
      </c>
      <c r="M686" s="233">
        <v>0</v>
      </c>
      <c r="N686" s="231"/>
      <c r="O686" s="231"/>
      <c r="P686" s="234">
        <v>1097.9100000000001</v>
      </c>
    </row>
    <row r="687" spans="1:16" ht="19.5" customHeight="1">
      <c r="A687" s="227" t="s">
        <v>1252</v>
      </c>
      <c r="B687" s="230">
        <v>46051</v>
      </c>
      <c r="C687" s="227" t="s">
        <v>104</v>
      </c>
      <c r="D687" s="227" t="s">
        <v>105</v>
      </c>
      <c r="E687" s="227" t="s">
        <v>52</v>
      </c>
      <c r="F687" s="227" t="s">
        <v>90</v>
      </c>
      <c r="G687" s="227" t="s">
        <v>84</v>
      </c>
      <c r="H687" s="231">
        <v>1</v>
      </c>
      <c r="I687" s="232">
        <v>1793</v>
      </c>
      <c r="J687" s="230">
        <v>46047</v>
      </c>
      <c r="K687" s="227" t="s">
        <v>93</v>
      </c>
      <c r="L687" s="227" t="s">
        <v>94</v>
      </c>
      <c r="M687" s="233">
        <v>0.43</v>
      </c>
      <c r="N687" s="231"/>
      <c r="O687" s="231"/>
      <c r="P687" s="234">
        <v>-770.99</v>
      </c>
    </row>
    <row r="688" spans="1:16" ht="19.5" customHeight="1">
      <c r="A688" s="227" t="s">
        <v>1252</v>
      </c>
      <c r="B688" s="230">
        <v>46051</v>
      </c>
      <c r="C688" s="227" t="s">
        <v>81</v>
      </c>
      <c r="D688" s="227" t="s">
        <v>95</v>
      </c>
      <c r="E688" s="227" t="s">
        <v>52</v>
      </c>
      <c r="F688" s="227" t="s">
        <v>90</v>
      </c>
      <c r="G688" s="227" t="s">
        <v>84</v>
      </c>
      <c r="H688" s="231">
        <v>1</v>
      </c>
      <c r="I688" s="232">
        <v>1793</v>
      </c>
      <c r="J688" s="230">
        <v>46047</v>
      </c>
      <c r="K688" s="227" t="s">
        <v>93</v>
      </c>
      <c r="L688" s="227" t="s">
        <v>94</v>
      </c>
      <c r="M688" s="233">
        <v>0.43</v>
      </c>
      <c r="N688" s="231"/>
      <c r="O688" s="231"/>
      <c r="P688" s="234">
        <v>-11.92</v>
      </c>
    </row>
    <row r="689" spans="1:16" ht="19.5" customHeight="1">
      <c r="A689" s="227" t="s">
        <v>1252</v>
      </c>
      <c r="B689" s="230">
        <v>46051</v>
      </c>
      <c r="C689" s="227" t="s">
        <v>81</v>
      </c>
      <c r="D689" s="227" t="s">
        <v>82</v>
      </c>
      <c r="E689" s="227" t="s">
        <v>52</v>
      </c>
      <c r="F689" s="227" t="s">
        <v>90</v>
      </c>
      <c r="G689" s="227" t="s">
        <v>84</v>
      </c>
      <c r="H689" s="231">
        <v>1</v>
      </c>
      <c r="I689" s="232">
        <v>0</v>
      </c>
      <c r="J689" s="230">
        <v>46047</v>
      </c>
      <c r="K689" s="227" t="s">
        <v>85</v>
      </c>
      <c r="L689" s="227" t="s">
        <v>85</v>
      </c>
      <c r="M689" s="233">
        <v>0</v>
      </c>
      <c r="N689" s="231"/>
      <c r="O689" s="231"/>
      <c r="P689" s="234">
        <v>-13.08</v>
      </c>
    </row>
    <row r="690" spans="1:16" ht="19.5" customHeight="1">
      <c r="A690" s="227" t="s">
        <v>1253</v>
      </c>
      <c r="B690" s="230">
        <v>46051</v>
      </c>
      <c r="C690" s="227" t="s">
        <v>92</v>
      </c>
      <c r="D690" s="227" t="s">
        <v>24</v>
      </c>
      <c r="E690" s="227" t="s">
        <v>41</v>
      </c>
      <c r="F690" s="227" t="s">
        <v>83</v>
      </c>
      <c r="G690" s="227" t="s">
        <v>84</v>
      </c>
      <c r="H690" s="231">
        <v>1</v>
      </c>
      <c r="I690" s="232">
        <v>0</v>
      </c>
      <c r="J690" s="230">
        <v>46046</v>
      </c>
      <c r="K690" s="227" t="s">
        <v>93</v>
      </c>
      <c r="L690" s="227" t="s">
        <v>94</v>
      </c>
      <c r="M690" s="233">
        <v>0</v>
      </c>
      <c r="N690" s="231"/>
      <c r="O690" s="231">
        <v>40</v>
      </c>
      <c r="P690" s="234">
        <v>-46</v>
      </c>
    </row>
    <row r="691" spans="1:16" ht="19.5" customHeight="1">
      <c r="A691" s="227" t="s">
        <v>1253</v>
      </c>
      <c r="B691" s="230">
        <v>46051</v>
      </c>
      <c r="C691" s="227" t="s">
        <v>81</v>
      </c>
      <c r="D691" s="227" t="s">
        <v>95</v>
      </c>
      <c r="E691" s="227" t="s">
        <v>41</v>
      </c>
      <c r="F691" s="227" t="s">
        <v>83</v>
      </c>
      <c r="G691" s="227" t="s">
        <v>84</v>
      </c>
      <c r="H691" s="231">
        <v>1</v>
      </c>
      <c r="I691" s="232">
        <v>0</v>
      </c>
      <c r="J691" s="230">
        <v>46046</v>
      </c>
      <c r="K691" s="227" t="s">
        <v>93</v>
      </c>
      <c r="L691" s="227" t="s">
        <v>94</v>
      </c>
      <c r="M691" s="233">
        <v>0</v>
      </c>
      <c r="N691" s="231"/>
      <c r="O691" s="231"/>
      <c r="P691" s="234">
        <v>-11.44</v>
      </c>
    </row>
    <row r="692" spans="1:16" ht="19.5" customHeight="1">
      <c r="A692" s="227" t="s">
        <v>1253</v>
      </c>
      <c r="B692" s="230">
        <v>46051</v>
      </c>
      <c r="C692" s="227" t="s">
        <v>92</v>
      </c>
      <c r="D692" s="227" t="s">
        <v>96</v>
      </c>
      <c r="E692" s="227" t="s">
        <v>41</v>
      </c>
      <c r="F692" s="227" t="s">
        <v>83</v>
      </c>
      <c r="G692" s="227" t="s">
        <v>84</v>
      </c>
      <c r="H692" s="231">
        <v>1</v>
      </c>
      <c r="I692" s="232">
        <v>0</v>
      </c>
      <c r="J692" s="230">
        <v>46046</v>
      </c>
      <c r="K692" s="227" t="s">
        <v>93</v>
      </c>
      <c r="L692" s="227" t="s">
        <v>94</v>
      </c>
      <c r="M692" s="233">
        <v>0</v>
      </c>
      <c r="N692" s="231"/>
      <c r="O692" s="231"/>
      <c r="P692" s="234">
        <v>0</v>
      </c>
    </row>
    <row r="693" spans="1:16" ht="19.5" customHeight="1">
      <c r="A693" s="227" t="s">
        <v>1253</v>
      </c>
      <c r="B693" s="230">
        <v>46051</v>
      </c>
      <c r="C693" s="227" t="s">
        <v>92</v>
      </c>
      <c r="D693" s="227" t="s">
        <v>97</v>
      </c>
      <c r="E693" s="227" t="s">
        <v>41</v>
      </c>
      <c r="F693" s="227" t="s">
        <v>83</v>
      </c>
      <c r="G693" s="227" t="s">
        <v>84</v>
      </c>
      <c r="H693" s="231">
        <v>1</v>
      </c>
      <c r="I693" s="232">
        <v>0</v>
      </c>
      <c r="J693" s="230">
        <v>46046</v>
      </c>
      <c r="K693" s="227" t="s">
        <v>93</v>
      </c>
      <c r="L693" s="227" t="s">
        <v>94</v>
      </c>
      <c r="M693" s="233">
        <v>0</v>
      </c>
      <c r="N693" s="231"/>
      <c r="O693" s="231"/>
      <c r="P693" s="234">
        <v>-46</v>
      </c>
    </row>
    <row r="694" spans="1:16" ht="19.5" customHeight="1">
      <c r="A694" s="227" t="s">
        <v>1253</v>
      </c>
      <c r="B694" s="230">
        <v>46051</v>
      </c>
      <c r="C694" s="227" t="s">
        <v>81</v>
      </c>
      <c r="D694" s="227" t="s">
        <v>98</v>
      </c>
      <c r="E694" s="227" t="s">
        <v>41</v>
      </c>
      <c r="F694" s="227" t="s">
        <v>83</v>
      </c>
      <c r="G694" s="227" t="s">
        <v>84</v>
      </c>
      <c r="H694" s="231">
        <v>1</v>
      </c>
      <c r="I694" s="232">
        <v>0</v>
      </c>
      <c r="J694" s="230">
        <v>46046</v>
      </c>
      <c r="K694" s="227" t="s">
        <v>93</v>
      </c>
      <c r="L694" s="227" t="s">
        <v>94</v>
      </c>
      <c r="M694" s="233">
        <v>0</v>
      </c>
      <c r="N694" s="231"/>
      <c r="O694" s="231"/>
      <c r="P694" s="234">
        <v>-15</v>
      </c>
    </row>
    <row r="695" spans="1:16" ht="19.5" customHeight="1">
      <c r="A695" s="227" t="s">
        <v>1254</v>
      </c>
      <c r="B695" s="230">
        <v>46051</v>
      </c>
      <c r="C695" s="227" t="s">
        <v>92</v>
      </c>
      <c r="D695" s="227" t="s">
        <v>24</v>
      </c>
      <c r="E695" s="227" t="s">
        <v>52</v>
      </c>
      <c r="F695" s="227" t="s">
        <v>90</v>
      </c>
      <c r="G695" s="227" t="s">
        <v>84</v>
      </c>
      <c r="H695" s="231">
        <v>1</v>
      </c>
      <c r="I695" s="232">
        <v>1800</v>
      </c>
      <c r="J695" s="230">
        <v>46050</v>
      </c>
      <c r="K695" s="227" t="s">
        <v>93</v>
      </c>
      <c r="L695" s="227" t="s">
        <v>94</v>
      </c>
      <c r="M695" s="233">
        <v>0.43</v>
      </c>
      <c r="N695" s="231"/>
      <c r="O695" s="231">
        <v>44</v>
      </c>
      <c r="P695" s="234">
        <v>-147.97999999999999</v>
      </c>
    </row>
    <row r="696" spans="1:16" ht="19.5" customHeight="1">
      <c r="A696" s="227" t="s">
        <v>1254</v>
      </c>
      <c r="B696" s="230">
        <v>46051</v>
      </c>
      <c r="C696" s="227" t="s">
        <v>100</v>
      </c>
      <c r="D696" s="227" t="s">
        <v>101</v>
      </c>
      <c r="E696" s="227" t="s">
        <v>52</v>
      </c>
      <c r="F696" s="227" t="s">
        <v>90</v>
      </c>
      <c r="G696" s="227" t="s">
        <v>84</v>
      </c>
      <c r="H696" s="231">
        <v>1</v>
      </c>
      <c r="I696" s="232">
        <v>1800</v>
      </c>
      <c r="J696" s="230">
        <v>46050</v>
      </c>
      <c r="K696" s="227" t="s">
        <v>93</v>
      </c>
      <c r="L696" s="227" t="s">
        <v>94</v>
      </c>
      <c r="M696" s="233">
        <v>0</v>
      </c>
      <c r="N696" s="231"/>
      <c r="O696" s="231"/>
      <c r="P696" s="234">
        <v>626.42999999999995</v>
      </c>
    </row>
    <row r="697" spans="1:16" ht="19.5" customHeight="1">
      <c r="A697" s="227" t="s">
        <v>1254</v>
      </c>
      <c r="B697" s="230">
        <v>46051</v>
      </c>
      <c r="C697" s="227" t="s">
        <v>100</v>
      </c>
      <c r="D697" s="227" t="s">
        <v>102</v>
      </c>
      <c r="E697" s="227" t="s">
        <v>52</v>
      </c>
      <c r="F697" s="227" t="s">
        <v>90</v>
      </c>
      <c r="G697" s="227" t="s">
        <v>84</v>
      </c>
      <c r="H697" s="231">
        <v>1</v>
      </c>
      <c r="I697" s="232">
        <v>1800</v>
      </c>
      <c r="J697" s="230">
        <v>46050</v>
      </c>
      <c r="K697" s="227" t="s">
        <v>93</v>
      </c>
      <c r="L697" s="227" t="s">
        <v>94</v>
      </c>
      <c r="M697" s="233">
        <v>0</v>
      </c>
      <c r="N697" s="231"/>
      <c r="O697" s="231"/>
      <c r="P697" s="234">
        <v>6.26</v>
      </c>
    </row>
    <row r="698" spans="1:16" ht="19.5" customHeight="1">
      <c r="A698" s="227" t="s">
        <v>1254</v>
      </c>
      <c r="B698" s="230">
        <v>46051</v>
      </c>
      <c r="C698" s="227" t="s">
        <v>100</v>
      </c>
      <c r="D698" s="227" t="s">
        <v>103</v>
      </c>
      <c r="E698" s="227" t="s">
        <v>52</v>
      </c>
      <c r="F698" s="227" t="s">
        <v>90</v>
      </c>
      <c r="G698" s="227" t="s">
        <v>84</v>
      </c>
      <c r="H698" s="231">
        <v>1</v>
      </c>
      <c r="I698" s="232">
        <v>1800</v>
      </c>
      <c r="J698" s="230">
        <v>46050</v>
      </c>
      <c r="K698" s="227" t="s">
        <v>93</v>
      </c>
      <c r="L698" s="227" t="s">
        <v>94</v>
      </c>
      <c r="M698" s="233">
        <v>0</v>
      </c>
      <c r="N698" s="231"/>
      <c r="O698" s="231"/>
      <c r="P698" s="234">
        <v>1167.31</v>
      </c>
    </row>
    <row r="699" spans="1:16" ht="19.5" customHeight="1">
      <c r="A699" s="227" t="s">
        <v>1254</v>
      </c>
      <c r="B699" s="230">
        <v>46051</v>
      </c>
      <c r="C699" s="227" t="s">
        <v>104</v>
      </c>
      <c r="D699" s="227" t="s">
        <v>105</v>
      </c>
      <c r="E699" s="227" t="s">
        <v>52</v>
      </c>
      <c r="F699" s="227" t="s">
        <v>90</v>
      </c>
      <c r="G699" s="227" t="s">
        <v>84</v>
      </c>
      <c r="H699" s="231">
        <v>1</v>
      </c>
      <c r="I699" s="232">
        <v>1800</v>
      </c>
      <c r="J699" s="230">
        <v>46050</v>
      </c>
      <c r="K699" s="227" t="s">
        <v>93</v>
      </c>
      <c r="L699" s="227" t="s">
        <v>94</v>
      </c>
      <c r="M699" s="233">
        <v>0.43</v>
      </c>
      <c r="N699" s="231"/>
      <c r="O699" s="231"/>
      <c r="P699" s="234">
        <v>-774</v>
      </c>
    </row>
    <row r="700" spans="1:16" ht="19.5" customHeight="1">
      <c r="A700" s="227" t="s">
        <v>1254</v>
      </c>
      <c r="B700" s="230">
        <v>46051</v>
      </c>
      <c r="C700" s="227" t="s">
        <v>81</v>
      </c>
      <c r="D700" s="227" t="s">
        <v>95</v>
      </c>
      <c r="E700" s="227" t="s">
        <v>52</v>
      </c>
      <c r="F700" s="227" t="s">
        <v>90</v>
      </c>
      <c r="G700" s="227" t="s">
        <v>84</v>
      </c>
      <c r="H700" s="231">
        <v>1</v>
      </c>
      <c r="I700" s="232">
        <v>1800</v>
      </c>
      <c r="J700" s="230">
        <v>46050</v>
      </c>
      <c r="K700" s="227" t="s">
        <v>93</v>
      </c>
      <c r="L700" s="227" t="s">
        <v>94</v>
      </c>
      <c r="M700" s="233">
        <v>0.43</v>
      </c>
      <c r="N700" s="231"/>
      <c r="O700" s="231"/>
      <c r="P700" s="234">
        <v>-9.3699999999999992</v>
      </c>
    </row>
    <row r="701" spans="1:16" ht="19.5" customHeight="1">
      <c r="A701" s="227" t="s">
        <v>1254</v>
      </c>
      <c r="B701" s="230">
        <v>46051</v>
      </c>
      <c r="C701" s="227" t="s">
        <v>81</v>
      </c>
      <c r="D701" s="227" t="s">
        <v>82</v>
      </c>
      <c r="E701" s="227" t="s">
        <v>52</v>
      </c>
      <c r="F701" s="227" t="s">
        <v>90</v>
      </c>
      <c r="G701" s="227" t="s">
        <v>84</v>
      </c>
      <c r="H701" s="231">
        <v>1</v>
      </c>
      <c r="I701" s="232">
        <v>0</v>
      </c>
      <c r="J701" s="230">
        <v>46050</v>
      </c>
      <c r="K701" s="227" t="s">
        <v>85</v>
      </c>
      <c r="L701" s="227" t="s">
        <v>85</v>
      </c>
      <c r="M701" s="233">
        <v>0</v>
      </c>
      <c r="N701" s="231"/>
      <c r="O701" s="231"/>
      <c r="P701" s="234">
        <v>-11.9</v>
      </c>
    </row>
    <row r="702" spans="1:16" ht="19.5" customHeight="1">
      <c r="A702" s="227" t="s">
        <v>1255</v>
      </c>
      <c r="B702" s="230">
        <v>46051</v>
      </c>
      <c r="C702" s="227" t="s">
        <v>92</v>
      </c>
      <c r="D702" s="227" t="s">
        <v>24</v>
      </c>
      <c r="E702" s="227" t="s">
        <v>53</v>
      </c>
      <c r="F702" s="227" t="s">
        <v>120</v>
      </c>
      <c r="G702" s="227" t="s">
        <v>84</v>
      </c>
      <c r="H702" s="231">
        <v>1</v>
      </c>
      <c r="I702" s="232">
        <v>1723</v>
      </c>
      <c r="J702" s="230">
        <v>46048</v>
      </c>
      <c r="K702" s="227" t="s">
        <v>93</v>
      </c>
      <c r="L702" s="227" t="s">
        <v>94</v>
      </c>
      <c r="M702" s="233">
        <v>0.43</v>
      </c>
      <c r="N702" s="231"/>
      <c r="O702" s="231">
        <v>44</v>
      </c>
      <c r="P702" s="234">
        <v>-145.55000000000001</v>
      </c>
    </row>
    <row r="703" spans="1:16" ht="19.5" customHeight="1">
      <c r="A703" s="227" t="s">
        <v>1255</v>
      </c>
      <c r="B703" s="230">
        <v>46051</v>
      </c>
      <c r="C703" s="227" t="s">
        <v>100</v>
      </c>
      <c r="D703" s="227" t="s">
        <v>101</v>
      </c>
      <c r="E703" s="227" t="s">
        <v>53</v>
      </c>
      <c r="F703" s="227" t="s">
        <v>120</v>
      </c>
      <c r="G703" s="227" t="s">
        <v>84</v>
      </c>
      <c r="H703" s="231">
        <v>1</v>
      </c>
      <c r="I703" s="232">
        <v>1723</v>
      </c>
      <c r="J703" s="230">
        <v>46048</v>
      </c>
      <c r="K703" s="227" t="s">
        <v>93</v>
      </c>
      <c r="L703" s="227" t="s">
        <v>94</v>
      </c>
      <c r="M703" s="233">
        <v>0</v>
      </c>
      <c r="N703" s="231"/>
      <c r="O703" s="231"/>
      <c r="P703" s="234">
        <v>693.63</v>
      </c>
    </row>
    <row r="704" spans="1:16" ht="19.5" customHeight="1">
      <c r="A704" s="227" t="s">
        <v>1255</v>
      </c>
      <c r="B704" s="230">
        <v>46051</v>
      </c>
      <c r="C704" s="227" t="s">
        <v>100</v>
      </c>
      <c r="D704" s="227" t="s">
        <v>102</v>
      </c>
      <c r="E704" s="227" t="s">
        <v>53</v>
      </c>
      <c r="F704" s="227" t="s">
        <v>120</v>
      </c>
      <c r="G704" s="227" t="s">
        <v>84</v>
      </c>
      <c r="H704" s="231">
        <v>1</v>
      </c>
      <c r="I704" s="232">
        <v>1723</v>
      </c>
      <c r="J704" s="230">
        <v>46048</v>
      </c>
      <c r="K704" s="227" t="s">
        <v>93</v>
      </c>
      <c r="L704" s="227" t="s">
        <v>94</v>
      </c>
      <c r="M704" s="233">
        <v>0</v>
      </c>
      <c r="N704" s="231"/>
      <c r="O704" s="231"/>
      <c r="P704" s="234">
        <v>0</v>
      </c>
    </row>
    <row r="705" spans="1:16" ht="19.5" customHeight="1">
      <c r="A705" s="227" t="s">
        <v>1255</v>
      </c>
      <c r="B705" s="230">
        <v>46051</v>
      </c>
      <c r="C705" s="227" t="s">
        <v>100</v>
      </c>
      <c r="D705" s="227" t="s">
        <v>103</v>
      </c>
      <c r="E705" s="227" t="s">
        <v>53</v>
      </c>
      <c r="F705" s="227" t="s">
        <v>120</v>
      </c>
      <c r="G705" s="227" t="s">
        <v>84</v>
      </c>
      <c r="H705" s="231">
        <v>1</v>
      </c>
      <c r="I705" s="232">
        <v>1723</v>
      </c>
      <c r="J705" s="230">
        <v>46048</v>
      </c>
      <c r="K705" s="227" t="s">
        <v>93</v>
      </c>
      <c r="L705" s="227" t="s">
        <v>94</v>
      </c>
      <c r="M705" s="233">
        <v>0</v>
      </c>
      <c r="N705" s="231"/>
      <c r="O705" s="231"/>
      <c r="P705" s="234">
        <v>1029.3699999999999</v>
      </c>
    </row>
    <row r="706" spans="1:16" ht="19.5" customHeight="1">
      <c r="A706" s="227" t="s">
        <v>1255</v>
      </c>
      <c r="B706" s="230">
        <v>46051</v>
      </c>
      <c r="C706" s="227" t="s">
        <v>104</v>
      </c>
      <c r="D706" s="227" t="s">
        <v>105</v>
      </c>
      <c r="E706" s="227" t="s">
        <v>53</v>
      </c>
      <c r="F706" s="227" t="s">
        <v>120</v>
      </c>
      <c r="G706" s="227" t="s">
        <v>84</v>
      </c>
      <c r="H706" s="231">
        <v>1</v>
      </c>
      <c r="I706" s="232">
        <v>1723</v>
      </c>
      <c r="J706" s="230">
        <v>46048</v>
      </c>
      <c r="K706" s="227" t="s">
        <v>93</v>
      </c>
      <c r="L706" s="227" t="s">
        <v>94</v>
      </c>
      <c r="M706" s="233">
        <v>0.43</v>
      </c>
      <c r="N706" s="231"/>
      <c r="O706" s="231"/>
      <c r="P706" s="234">
        <v>-740.89</v>
      </c>
    </row>
    <row r="707" spans="1:16" ht="19.5" customHeight="1">
      <c r="A707" s="227" t="s">
        <v>1255</v>
      </c>
      <c r="B707" s="230">
        <v>46051</v>
      </c>
      <c r="C707" s="227" t="s">
        <v>81</v>
      </c>
      <c r="D707" s="227" t="s">
        <v>95</v>
      </c>
      <c r="E707" s="227" t="s">
        <v>53</v>
      </c>
      <c r="F707" s="227" t="s">
        <v>120</v>
      </c>
      <c r="G707" s="227" t="s">
        <v>84</v>
      </c>
      <c r="H707" s="231">
        <v>1</v>
      </c>
      <c r="I707" s="232">
        <v>1723</v>
      </c>
      <c r="J707" s="230">
        <v>46048</v>
      </c>
      <c r="K707" s="227" t="s">
        <v>93</v>
      </c>
      <c r="L707" s="227" t="s">
        <v>94</v>
      </c>
      <c r="M707" s="233">
        <v>0.43</v>
      </c>
      <c r="N707" s="231"/>
      <c r="O707" s="231"/>
      <c r="P707" s="234">
        <v>-16.239999999999998</v>
      </c>
    </row>
    <row r="708" spans="1:16" ht="19.5" customHeight="1">
      <c r="A708" s="227" t="s">
        <v>1255</v>
      </c>
      <c r="B708" s="230">
        <v>46051</v>
      </c>
      <c r="C708" s="227" t="s">
        <v>81</v>
      </c>
      <c r="D708" s="227" t="s">
        <v>82</v>
      </c>
      <c r="E708" s="227" t="s">
        <v>53</v>
      </c>
      <c r="F708" s="227" t="s">
        <v>120</v>
      </c>
      <c r="G708" s="227" t="s">
        <v>84</v>
      </c>
      <c r="H708" s="231">
        <v>1</v>
      </c>
      <c r="I708" s="232">
        <v>0</v>
      </c>
      <c r="J708" s="230">
        <v>46048</v>
      </c>
      <c r="K708" s="227" t="s">
        <v>85</v>
      </c>
      <c r="L708" s="227" t="s">
        <v>85</v>
      </c>
      <c r="M708" s="233">
        <v>0</v>
      </c>
      <c r="N708" s="231"/>
      <c r="O708" s="231"/>
      <c r="P708" s="234">
        <v>-3.68</v>
      </c>
    </row>
    <row r="709" spans="1:16" ht="19.5" customHeight="1">
      <c r="A709" s="227" t="s">
        <v>1256</v>
      </c>
      <c r="B709" s="230">
        <v>46051</v>
      </c>
      <c r="C709" s="227" t="s">
        <v>92</v>
      </c>
      <c r="D709" s="227" t="s">
        <v>24</v>
      </c>
      <c r="E709" s="227" t="s">
        <v>53</v>
      </c>
      <c r="F709" s="227" t="s">
        <v>120</v>
      </c>
      <c r="G709" s="227" t="s">
        <v>84</v>
      </c>
      <c r="H709" s="231">
        <v>1</v>
      </c>
      <c r="I709" s="232">
        <v>1812</v>
      </c>
      <c r="J709" s="230">
        <v>46046</v>
      </c>
      <c r="K709" s="227" t="s">
        <v>93</v>
      </c>
      <c r="L709" s="227" t="s">
        <v>94</v>
      </c>
      <c r="M709" s="233">
        <v>0.43</v>
      </c>
      <c r="N709" s="231"/>
      <c r="O709" s="231">
        <v>40</v>
      </c>
      <c r="P709" s="234">
        <v>-130.77000000000001</v>
      </c>
    </row>
    <row r="710" spans="1:16" ht="19.5" customHeight="1">
      <c r="A710" s="227" t="s">
        <v>1256</v>
      </c>
      <c r="B710" s="230">
        <v>46051</v>
      </c>
      <c r="C710" s="227" t="s">
        <v>100</v>
      </c>
      <c r="D710" s="227" t="s">
        <v>101</v>
      </c>
      <c r="E710" s="227" t="s">
        <v>53</v>
      </c>
      <c r="F710" s="227" t="s">
        <v>120</v>
      </c>
      <c r="G710" s="227" t="s">
        <v>84</v>
      </c>
      <c r="H710" s="231">
        <v>1</v>
      </c>
      <c r="I710" s="232">
        <v>1812</v>
      </c>
      <c r="J710" s="230">
        <v>46046</v>
      </c>
      <c r="K710" s="227" t="s">
        <v>93</v>
      </c>
      <c r="L710" s="227" t="s">
        <v>94</v>
      </c>
      <c r="M710" s="233">
        <v>0</v>
      </c>
      <c r="N710" s="231"/>
      <c r="O710" s="231"/>
      <c r="P710" s="234">
        <v>712.38</v>
      </c>
    </row>
    <row r="711" spans="1:16" ht="19.5" customHeight="1">
      <c r="A711" s="227" t="s">
        <v>1256</v>
      </c>
      <c r="B711" s="230">
        <v>46051</v>
      </c>
      <c r="C711" s="227" t="s">
        <v>100</v>
      </c>
      <c r="D711" s="227" t="s">
        <v>102</v>
      </c>
      <c r="E711" s="227" t="s">
        <v>53</v>
      </c>
      <c r="F711" s="227" t="s">
        <v>120</v>
      </c>
      <c r="G711" s="227" t="s">
        <v>84</v>
      </c>
      <c r="H711" s="231">
        <v>1</v>
      </c>
      <c r="I711" s="232">
        <v>1812</v>
      </c>
      <c r="J711" s="230">
        <v>46046</v>
      </c>
      <c r="K711" s="227" t="s">
        <v>93</v>
      </c>
      <c r="L711" s="227" t="s">
        <v>94</v>
      </c>
      <c r="M711" s="233">
        <v>0</v>
      </c>
      <c r="N711" s="231"/>
      <c r="O711" s="231"/>
      <c r="P711" s="234">
        <v>7.12</v>
      </c>
    </row>
    <row r="712" spans="1:16" ht="19.5" customHeight="1">
      <c r="A712" s="227" t="s">
        <v>1256</v>
      </c>
      <c r="B712" s="230">
        <v>46051</v>
      </c>
      <c r="C712" s="227" t="s">
        <v>100</v>
      </c>
      <c r="D712" s="227" t="s">
        <v>103</v>
      </c>
      <c r="E712" s="227" t="s">
        <v>53</v>
      </c>
      <c r="F712" s="227" t="s">
        <v>120</v>
      </c>
      <c r="G712" s="227" t="s">
        <v>84</v>
      </c>
      <c r="H712" s="231">
        <v>1</v>
      </c>
      <c r="I712" s="232">
        <v>1812</v>
      </c>
      <c r="J712" s="230">
        <v>46046</v>
      </c>
      <c r="K712" s="227" t="s">
        <v>93</v>
      </c>
      <c r="L712" s="227" t="s">
        <v>94</v>
      </c>
      <c r="M712" s="233">
        <v>0</v>
      </c>
      <c r="N712" s="231"/>
      <c r="O712" s="231"/>
      <c r="P712" s="234">
        <v>1092.5</v>
      </c>
    </row>
    <row r="713" spans="1:16" ht="19.5" customHeight="1">
      <c r="A713" s="227" t="s">
        <v>1256</v>
      </c>
      <c r="B713" s="230">
        <v>46051</v>
      </c>
      <c r="C713" s="227" t="s">
        <v>104</v>
      </c>
      <c r="D713" s="227" t="s">
        <v>105</v>
      </c>
      <c r="E713" s="227" t="s">
        <v>53</v>
      </c>
      <c r="F713" s="227" t="s">
        <v>120</v>
      </c>
      <c r="G713" s="227" t="s">
        <v>84</v>
      </c>
      <c r="H713" s="231">
        <v>1</v>
      </c>
      <c r="I713" s="232">
        <v>1812</v>
      </c>
      <c r="J713" s="230">
        <v>46046</v>
      </c>
      <c r="K713" s="227" t="s">
        <v>93</v>
      </c>
      <c r="L713" s="227" t="s">
        <v>94</v>
      </c>
      <c r="M713" s="233">
        <v>0.43</v>
      </c>
      <c r="N713" s="231"/>
      <c r="O713" s="231"/>
      <c r="P713" s="234">
        <v>-779.16</v>
      </c>
    </row>
    <row r="714" spans="1:16" ht="19.5" customHeight="1">
      <c r="A714" s="227" t="s">
        <v>1256</v>
      </c>
      <c r="B714" s="230">
        <v>46051</v>
      </c>
      <c r="C714" s="227" t="s">
        <v>81</v>
      </c>
      <c r="D714" s="227" t="s">
        <v>95</v>
      </c>
      <c r="E714" s="227" t="s">
        <v>53</v>
      </c>
      <c r="F714" s="227" t="s">
        <v>120</v>
      </c>
      <c r="G714" s="227" t="s">
        <v>84</v>
      </c>
      <c r="H714" s="231">
        <v>1</v>
      </c>
      <c r="I714" s="232">
        <v>1812</v>
      </c>
      <c r="J714" s="230">
        <v>46046</v>
      </c>
      <c r="K714" s="227" t="s">
        <v>93</v>
      </c>
      <c r="L714" s="227" t="s">
        <v>94</v>
      </c>
      <c r="M714" s="233">
        <v>0.43</v>
      </c>
      <c r="N714" s="231"/>
      <c r="O714" s="231"/>
      <c r="P714" s="234">
        <v>-11.72</v>
      </c>
    </row>
    <row r="715" spans="1:16" ht="19.5" customHeight="1">
      <c r="A715" s="227" t="s">
        <v>1257</v>
      </c>
      <c r="B715" s="230">
        <v>46051</v>
      </c>
      <c r="C715" s="227" t="s">
        <v>92</v>
      </c>
      <c r="D715" s="227" t="s">
        <v>24</v>
      </c>
      <c r="E715" s="227" t="s">
        <v>52</v>
      </c>
      <c r="F715" s="227" t="s">
        <v>90</v>
      </c>
      <c r="G715" s="227" t="s">
        <v>84</v>
      </c>
      <c r="H715" s="231">
        <v>1</v>
      </c>
      <c r="I715" s="232">
        <v>1800</v>
      </c>
      <c r="J715" s="230">
        <v>46047</v>
      </c>
      <c r="K715" s="227" t="s">
        <v>93</v>
      </c>
      <c r="L715" s="227" t="s">
        <v>94</v>
      </c>
      <c r="M715" s="233">
        <v>0.43</v>
      </c>
      <c r="N715" s="231"/>
      <c r="O715" s="231">
        <v>41</v>
      </c>
      <c r="P715" s="234">
        <v>-134.84</v>
      </c>
    </row>
    <row r="716" spans="1:16" ht="19.5" customHeight="1">
      <c r="A716" s="227" t="s">
        <v>1257</v>
      </c>
      <c r="B716" s="230">
        <v>46051</v>
      </c>
      <c r="C716" s="227" t="s">
        <v>100</v>
      </c>
      <c r="D716" s="227" t="s">
        <v>101</v>
      </c>
      <c r="E716" s="227" t="s">
        <v>52</v>
      </c>
      <c r="F716" s="227" t="s">
        <v>90</v>
      </c>
      <c r="G716" s="227" t="s">
        <v>84</v>
      </c>
      <c r="H716" s="231">
        <v>1</v>
      </c>
      <c r="I716" s="232">
        <v>1800</v>
      </c>
      <c r="J716" s="230">
        <v>46047</v>
      </c>
      <c r="K716" s="227" t="s">
        <v>93</v>
      </c>
      <c r="L716" s="227" t="s">
        <v>94</v>
      </c>
      <c r="M716" s="233">
        <v>0</v>
      </c>
      <c r="N716" s="231"/>
      <c r="O716" s="231"/>
      <c r="P716" s="234">
        <v>679.35</v>
      </c>
    </row>
    <row r="717" spans="1:16" ht="19.5" customHeight="1">
      <c r="A717" s="227" t="s">
        <v>1257</v>
      </c>
      <c r="B717" s="230">
        <v>46051</v>
      </c>
      <c r="C717" s="227" t="s">
        <v>100</v>
      </c>
      <c r="D717" s="227" t="s">
        <v>102</v>
      </c>
      <c r="E717" s="227" t="s">
        <v>52</v>
      </c>
      <c r="F717" s="227" t="s">
        <v>90</v>
      </c>
      <c r="G717" s="227" t="s">
        <v>84</v>
      </c>
      <c r="H717" s="231">
        <v>1</v>
      </c>
      <c r="I717" s="232">
        <v>1800</v>
      </c>
      <c r="J717" s="230">
        <v>46047</v>
      </c>
      <c r="K717" s="227" t="s">
        <v>93</v>
      </c>
      <c r="L717" s="227" t="s">
        <v>94</v>
      </c>
      <c r="M717" s="233">
        <v>0</v>
      </c>
      <c r="N717" s="231"/>
      <c r="O717" s="231"/>
      <c r="P717" s="234">
        <v>6.79</v>
      </c>
    </row>
    <row r="718" spans="1:16" ht="19.5" customHeight="1">
      <c r="A718" s="227" t="s">
        <v>1257</v>
      </c>
      <c r="B718" s="230">
        <v>46051</v>
      </c>
      <c r="C718" s="227" t="s">
        <v>100</v>
      </c>
      <c r="D718" s="227" t="s">
        <v>103</v>
      </c>
      <c r="E718" s="227" t="s">
        <v>52</v>
      </c>
      <c r="F718" s="227" t="s">
        <v>90</v>
      </c>
      <c r="G718" s="227" t="s">
        <v>84</v>
      </c>
      <c r="H718" s="231">
        <v>1</v>
      </c>
      <c r="I718" s="232">
        <v>1800</v>
      </c>
      <c r="J718" s="230">
        <v>46047</v>
      </c>
      <c r="K718" s="227" t="s">
        <v>93</v>
      </c>
      <c r="L718" s="227" t="s">
        <v>94</v>
      </c>
      <c r="M718" s="233">
        <v>0</v>
      </c>
      <c r="N718" s="231"/>
      <c r="O718" s="231"/>
      <c r="P718" s="234">
        <v>1113.8599999999999</v>
      </c>
    </row>
    <row r="719" spans="1:16" ht="19.5" customHeight="1">
      <c r="A719" s="227" t="s">
        <v>1257</v>
      </c>
      <c r="B719" s="230">
        <v>46051</v>
      </c>
      <c r="C719" s="227" t="s">
        <v>104</v>
      </c>
      <c r="D719" s="227" t="s">
        <v>105</v>
      </c>
      <c r="E719" s="227" t="s">
        <v>52</v>
      </c>
      <c r="F719" s="227" t="s">
        <v>90</v>
      </c>
      <c r="G719" s="227" t="s">
        <v>84</v>
      </c>
      <c r="H719" s="231">
        <v>1</v>
      </c>
      <c r="I719" s="232">
        <v>1800</v>
      </c>
      <c r="J719" s="230">
        <v>46047</v>
      </c>
      <c r="K719" s="227" t="s">
        <v>93</v>
      </c>
      <c r="L719" s="227" t="s">
        <v>94</v>
      </c>
      <c r="M719" s="233">
        <v>0.43</v>
      </c>
      <c r="N719" s="231"/>
      <c r="O719" s="231"/>
      <c r="P719" s="234">
        <v>-774</v>
      </c>
    </row>
    <row r="720" spans="1:16" ht="19.5" customHeight="1">
      <c r="A720" s="227" t="s">
        <v>1257</v>
      </c>
      <c r="B720" s="230">
        <v>46051</v>
      </c>
      <c r="C720" s="227" t="s">
        <v>81</v>
      </c>
      <c r="D720" s="227" t="s">
        <v>95</v>
      </c>
      <c r="E720" s="227" t="s">
        <v>52</v>
      </c>
      <c r="F720" s="227" t="s">
        <v>90</v>
      </c>
      <c r="G720" s="227" t="s">
        <v>84</v>
      </c>
      <c r="H720" s="231">
        <v>1</v>
      </c>
      <c r="I720" s="232">
        <v>1800</v>
      </c>
      <c r="J720" s="230">
        <v>46047</v>
      </c>
      <c r="K720" s="227" t="s">
        <v>93</v>
      </c>
      <c r="L720" s="227" t="s">
        <v>94</v>
      </c>
      <c r="M720" s="233">
        <v>0.43</v>
      </c>
      <c r="N720" s="231"/>
      <c r="O720" s="231"/>
      <c r="P720" s="234">
        <v>-10.210000000000001</v>
      </c>
    </row>
    <row r="721" spans="1:16" ht="19.5" customHeight="1">
      <c r="A721" s="227" t="s">
        <v>1258</v>
      </c>
      <c r="B721" s="230">
        <v>46051</v>
      </c>
      <c r="C721" s="227" t="s">
        <v>92</v>
      </c>
      <c r="D721" s="227" t="s">
        <v>24</v>
      </c>
      <c r="E721" s="227" t="s">
        <v>52</v>
      </c>
      <c r="F721" s="227" t="s">
        <v>90</v>
      </c>
      <c r="G721" s="227" t="s">
        <v>84</v>
      </c>
      <c r="H721" s="231">
        <v>1</v>
      </c>
      <c r="I721" s="232">
        <v>1800</v>
      </c>
      <c r="J721" s="230">
        <v>46048</v>
      </c>
      <c r="K721" s="227" t="s">
        <v>93</v>
      </c>
      <c r="L721" s="227" t="s">
        <v>94</v>
      </c>
      <c r="M721" s="233">
        <v>0.43</v>
      </c>
      <c r="N721" s="231"/>
      <c r="O721" s="231">
        <v>44</v>
      </c>
      <c r="P721" s="234">
        <v>-147.97999999999999</v>
      </c>
    </row>
    <row r="722" spans="1:16" ht="19.5" customHeight="1">
      <c r="A722" s="227" t="s">
        <v>1258</v>
      </c>
      <c r="B722" s="230">
        <v>46051</v>
      </c>
      <c r="C722" s="227" t="s">
        <v>100</v>
      </c>
      <c r="D722" s="227" t="s">
        <v>101</v>
      </c>
      <c r="E722" s="227" t="s">
        <v>52</v>
      </c>
      <c r="F722" s="227" t="s">
        <v>90</v>
      </c>
      <c r="G722" s="227" t="s">
        <v>84</v>
      </c>
      <c r="H722" s="231">
        <v>1</v>
      </c>
      <c r="I722" s="232">
        <v>1800</v>
      </c>
      <c r="J722" s="230">
        <v>46048</v>
      </c>
      <c r="K722" s="227" t="s">
        <v>93</v>
      </c>
      <c r="L722" s="227" t="s">
        <v>94</v>
      </c>
      <c r="M722" s="233">
        <v>0</v>
      </c>
      <c r="N722" s="231"/>
      <c r="O722" s="231"/>
      <c r="P722" s="234">
        <v>685.71</v>
      </c>
    </row>
    <row r="723" spans="1:16" ht="19.5" customHeight="1">
      <c r="A723" s="227" t="s">
        <v>1258</v>
      </c>
      <c r="B723" s="230">
        <v>46051</v>
      </c>
      <c r="C723" s="227" t="s">
        <v>100</v>
      </c>
      <c r="D723" s="227" t="s">
        <v>102</v>
      </c>
      <c r="E723" s="227" t="s">
        <v>52</v>
      </c>
      <c r="F723" s="227" t="s">
        <v>90</v>
      </c>
      <c r="G723" s="227" t="s">
        <v>84</v>
      </c>
      <c r="H723" s="231">
        <v>1</v>
      </c>
      <c r="I723" s="232">
        <v>1800</v>
      </c>
      <c r="J723" s="230">
        <v>46048</v>
      </c>
      <c r="K723" s="227" t="s">
        <v>93</v>
      </c>
      <c r="L723" s="227" t="s">
        <v>94</v>
      </c>
      <c r="M723" s="233">
        <v>0</v>
      </c>
      <c r="N723" s="231"/>
      <c r="O723" s="231"/>
      <c r="P723" s="234">
        <v>0</v>
      </c>
    </row>
    <row r="724" spans="1:16" ht="19.5" customHeight="1">
      <c r="A724" s="227" t="s">
        <v>1258</v>
      </c>
      <c r="B724" s="230">
        <v>46051</v>
      </c>
      <c r="C724" s="227" t="s">
        <v>100</v>
      </c>
      <c r="D724" s="227" t="s">
        <v>103</v>
      </c>
      <c r="E724" s="227" t="s">
        <v>52</v>
      </c>
      <c r="F724" s="227" t="s">
        <v>90</v>
      </c>
      <c r="G724" s="227" t="s">
        <v>84</v>
      </c>
      <c r="H724" s="231">
        <v>1</v>
      </c>
      <c r="I724" s="232">
        <v>1800</v>
      </c>
      <c r="J724" s="230">
        <v>46048</v>
      </c>
      <c r="K724" s="227" t="s">
        <v>93</v>
      </c>
      <c r="L724" s="227" t="s">
        <v>94</v>
      </c>
      <c r="M724" s="233">
        <v>0</v>
      </c>
      <c r="N724" s="231"/>
      <c r="O724" s="231"/>
      <c r="P724" s="234">
        <v>1114.29</v>
      </c>
    </row>
    <row r="725" spans="1:16" ht="19.5" customHeight="1">
      <c r="A725" s="227" t="s">
        <v>1258</v>
      </c>
      <c r="B725" s="230">
        <v>46051</v>
      </c>
      <c r="C725" s="227" t="s">
        <v>104</v>
      </c>
      <c r="D725" s="227" t="s">
        <v>105</v>
      </c>
      <c r="E725" s="227" t="s">
        <v>52</v>
      </c>
      <c r="F725" s="227" t="s">
        <v>90</v>
      </c>
      <c r="G725" s="227" t="s">
        <v>84</v>
      </c>
      <c r="H725" s="231">
        <v>1</v>
      </c>
      <c r="I725" s="232">
        <v>1800</v>
      </c>
      <c r="J725" s="230">
        <v>46048</v>
      </c>
      <c r="K725" s="227" t="s">
        <v>93</v>
      </c>
      <c r="L725" s="227" t="s">
        <v>94</v>
      </c>
      <c r="M725" s="233">
        <v>0.43</v>
      </c>
      <c r="N725" s="231"/>
      <c r="O725" s="231"/>
      <c r="P725" s="234">
        <v>-774</v>
      </c>
    </row>
    <row r="726" spans="1:16" ht="19.5" customHeight="1">
      <c r="A726" s="227" t="s">
        <v>1258</v>
      </c>
      <c r="B726" s="230">
        <v>46051</v>
      </c>
      <c r="C726" s="227" t="s">
        <v>81</v>
      </c>
      <c r="D726" s="227" t="s">
        <v>95</v>
      </c>
      <c r="E726" s="227" t="s">
        <v>52</v>
      </c>
      <c r="F726" s="227" t="s">
        <v>90</v>
      </c>
      <c r="G726" s="227" t="s">
        <v>84</v>
      </c>
      <c r="H726" s="231">
        <v>1</v>
      </c>
      <c r="I726" s="232">
        <v>1800</v>
      </c>
      <c r="J726" s="230">
        <v>46048</v>
      </c>
      <c r="K726" s="227" t="s">
        <v>93</v>
      </c>
      <c r="L726" s="227" t="s">
        <v>94</v>
      </c>
      <c r="M726" s="233">
        <v>0.43</v>
      </c>
      <c r="N726" s="231"/>
      <c r="O726" s="231"/>
      <c r="P726" s="234">
        <v>-10.69</v>
      </c>
    </row>
    <row r="727" spans="1:16" ht="19.5" customHeight="1">
      <c r="A727" s="227" t="s">
        <v>1259</v>
      </c>
      <c r="B727" s="230">
        <v>46051</v>
      </c>
      <c r="C727" s="227" t="s">
        <v>92</v>
      </c>
      <c r="D727" s="227" t="s">
        <v>24</v>
      </c>
      <c r="E727" s="227" t="s">
        <v>52</v>
      </c>
      <c r="F727" s="227" t="s">
        <v>90</v>
      </c>
      <c r="G727" s="227" t="s">
        <v>84</v>
      </c>
      <c r="H727" s="231">
        <v>1</v>
      </c>
      <c r="I727" s="232">
        <v>1800</v>
      </c>
      <c r="J727" s="230">
        <v>46047</v>
      </c>
      <c r="K727" s="227" t="s">
        <v>93</v>
      </c>
      <c r="L727" s="227" t="s">
        <v>94</v>
      </c>
      <c r="M727" s="233">
        <v>0.43</v>
      </c>
      <c r="N727" s="231"/>
      <c r="O727" s="231">
        <v>41</v>
      </c>
      <c r="P727" s="234">
        <v>-134.84</v>
      </c>
    </row>
    <row r="728" spans="1:16" ht="19.5" customHeight="1">
      <c r="A728" s="227" t="s">
        <v>1259</v>
      </c>
      <c r="B728" s="230">
        <v>46051</v>
      </c>
      <c r="C728" s="227" t="s">
        <v>100</v>
      </c>
      <c r="D728" s="227" t="s">
        <v>101</v>
      </c>
      <c r="E728" s="227" t="s">
        <v>52</v>
      </c>
      <c r="F728" s="227" t="s">
        <v>90</v>
      </c>
      <c r="G728" s="227" t="s">
        <v>84</v>
      </c>
      <c r="H728" s="231">
        <v>1</v>
      </c>
      <c r="I728" s="232">
        <v>1800</v>
      </c>
      <c r="J728" s="230">
        <v>46047</v>
      </c>
      <c r="K728" s="227" t="s">
        <v>93</v>
      </c>
      <c r="L728" s="227" t="s">
        <v>94</v>
      </c>
      <c r="M728" s="233">
        <v>0</v>
      </c>
      <c r="N728" s="231"/>
      <c r="O728" s="231"/>
      <c r="P728" s="234">
        <v>680</v>
      </c>
    </row>
    <row r="729" spans="1:16" ht="19.5" customHeight="1">
      <c r="A729" s="227" t="s">
        <v>1259</v>
      </c>
      <c r="B729" s="230">
        <v>46051</v>
      </c>
      <c r="C729" s="227" t="s">
        <v>100</v>
      </c>
      <c r="D729" s="227" t="s">
        <v>102</v>
      </c>
      <c r="E729" s="227" t="s">
        <v>52</v>
      </c>
      <c r="F729" s="227" t="s">
        <v>90</v>
      </c>
      <c r="G729" s="227" t="s">
        <v>84</v>
      </c>
      <c r="H729" s="231">
        <v>1</v>
      </c>
      <c r="I729" s="232">
        <v>1800</v>
      </c>
      <c r="J729" s="230">
        <v>46047</v>
      </c>
      <c r="K729" s="227" t="s">
        <v>93</v>
      </c>
      <c r="L729" s="227" t="s">
        <v>94</v>
      </c>
      <c r="M729" s="233">
        <v>0</v>
      </c>
      <c r="N729" s="231"/>
      <c r="O729" s="231"/>
      <c r="P729" s="234">
        <v>6.8</v>
      </c>
    </row>
    <row r="730" spans="1:16" ht="19.5" customHeight="1">
      <c r="A730" s="227" t="s">
        <v>1259</v>
      </c>
      <c r="B730" s="230">
        <v>46051</v>
      </c>
      <c r="C730" s="227" t="s">
        <v>100</v>
      </c>
      <c r="D730" s="227" t="s">
        <v>103</v>
      </c>
      <c r="E730" s="227" t="s">
        <v>52</v>
      </c>
      <c r="F730" s="227" t="s">
        <v>90</v>
      </c>
      <c r="G730" s="227" t="s">
        <v>84</v>
      </c>
      <c r="H730" s="231">
        <v>1</v>
      </c>
      <c r="I730" s="232">
        <v>1800</v>
      </c>
      <c r="J730" s="230">
        <v>46047</v>
      </c>
      <c r="K730" s="227" t="s">
        <v>93</v>
      </c>
      <c r="L730" s="227" t="s">
        <v>94</v>
      </c>
      <c r="M730" s="233">
        <v>0</v>
      </c>
      <c r="N730" s="231"/>
      <c r="O730" s="231"/>
      <c r="P730" s="234">
        <v>1113.2</v>
      </c>
    </row>
    <row r="731" spans="1:16" ht="19.5" customHeight="1">
      <c r="A731" s="227" t="s">
        <v>1259</v>
      </c>
      <c r="B731" s="230">
        <v>46051</v>
      </c>
      <c r="C731" s="227" t="s">
        <v>104</v>
      </c>
      <c r="D731" s="227" t="s">
        <v>105</v>
      </c>
      <c r="E731" s="227" t="s">
        <v>52</v>
      </c>
      <c r="F731" s="227" t="s">
        <v>90</v>
      </c>
      <c r="G731" s="227" t="s">
        <v>84</v>
      </c>
      <c r="H731" s="231">
        <v>1</v>
      </c>
      <c r="I731" s="232">
        <v>1800</v>
      </c>
      <c r="J731" s="230">
        <v>46047</v>
      </c>
      <c r="K731" s="227" t="s">
        <v>93</v>
      </c>
      <c r="L731" s="227" t="s">
        <v>94</v>
      </c>
      <c r="M731" s="233">
        <v>0.43</v>
      </c>
      <c r="N731" s="231"/>
      <c r="O731" s="231"/>
      <c r="P731" s="234">
        <v>-774</v>
      </c>
    </row>
    <row r="732" spans="1:16" ht="19.5" customHeight="1">
      <c r="A732" s="227" t="s">
        <v>1259</v>
      </c>
      <c r="B732" s="230">
        <v>46051</v>
      </c>
      <c r="C732" s="227" t="s">
        <v>81</v>
      </c>
      <c r="D732" s="227" t="s">
        <v>95</v>
      </c>
      <c r="E732" s="227" t="s">
        <v>52</v>
      </c>
      <c r="F732" s="227" t="s">
        <v>90</v>
      </c>
      <c r="G732" s="227" t="s">
        <v>84</v>
      </c>
      <c r="H732" s="231">
        <v>1</v>
      </c>
      <c r="I732" s="232">
        <v>1800</v>
      </c>
      <c r="J732" s="230">
        <v>46047</v>
      </c>
      <c r="K732" s="227" t="s">
        <v>93</v>
      </c>
      <c r="L732" s="227" t="s">
        <v>94</v>
      </c>
      <c r="M732" s="233">
        <v>0.43</v>
      </c>
      <c r="N732" s="231"/>
      <c r="O732" s="231"/>
      <c r="P732" s="234">
        <v>-25</v>
      </c>
    </row>
    <row r="733" spans="1:16" ht="19.5" customHeight="1">
      <c r="A733" s="227" t="s">
        <v>1257</v>
      </c>
      <c r="B733" s="230">
        <v>46051</v>
      </c>
      <c r="C733" s="227" t="s">
        <v>81</v>
      </c>
      <c r="D733" s="227" t="s">
        <v>82</v>
      </c>
      <c r="E733" s="227" t="s">
        <v>52</v>
      </c>
      <c r="F733" s="227" t="s">
        <v>90</v>
      </c>
      <c r="G733" s="227" t="s">
        <v>84</v>
      </c>
      <c r="H733" s="231">
        <v>1</v>
      </c>
      <c r="I733" s="232">
        <v>0</v>
      </c>
      <c r="J733" s="230">
        <v>46047</v>
      </c>
      <c r="K733" s="227" t="s">
        <v>85</v>
      </c>
      <c r="L733" s="227" t="s">
        <v>85</v>
      </c>
      <c r="M733" s="233">
        <v>0</v>
      </c>
      <c r="N733" s="231"/>
      <c r="O733" s="231"/>
      <c r="P733" s="234">
        <v>-12.91</v>
      </c>
    </row>
    <row r="734" spans="1:16" ht="19.5" customHeight="1">
      <c r="A734" s="227" t="s">
        <v>1259</v>
      </c>
      <c r="B734" s="230">
        <v>46051</v>
      </c>
      <c r="C734" s="227" t="s">
        <v>81</v>
      </c>
      <c r="D734" s="227" t="s">
        <v>82</v>
      </c>
      <c r="E734" s="227" t="s">
        <v>52</v>
      </c>
      <c r="F734" s="227" t="s">
        <v>90</v>
      </c>
      <c r="G734" s="227" t="s">
        <v>84</v>
      </c>
      <c r="H734" s="231">
        <v>1</v>
      </c>
      <c r="I734" s="232">
        <v>0</v>
      </c>
      <c r="J734" s="230">
        <v>46047</v>
      </c>
      <c r="K734" s="227" t="s">
        <v>85</v>
      </c>
      <c r="L734" s="227" t="s">
        <v>85</v>
      </c>
      <c r="M734" s="233">
        <v>0</v>
      </c>
      <c r="N734" s="231"/>
      <c r="O734" s="231"/>
      <c r="P734" s="234">
        <v>-12.92</v>
      </c>
    </row>
    <row r="735" spans="1:16" ht="19.5" customHeight="1">
      <c r="A735" s="227" t="s">
        <v>1260</v>
      </c>
      <c r="B735" s="230">
        <v>46051</v>
      </c>
      <c r="C735" s="227" t="s">
        <v>92</v>
      </c>
      <c r="D735" s="227" t="s">
        <v>24</v>
      </c>
      <c r="E735" s="227" t="s">
        <v>53</v>
      </c>
      <c r="F735" s="227" t="s">
        <v>120</v>
      </c>
      <c r="G735" s="227" t="s">
        <v>84</v>
      </c>
      <c r="H735" s="231">
        <v>1</v>
      </c>
      <c r="I735" s="232">
        <v>1812</v>
      </c>
      <c r="J735" s="230">
        <v>46049</v>
      </c>
      <c r="K735" s="227" t="s">
        <v>93</v>
      </c>
      <c r="L735" s="227" t="s">
        <v>94</v>
      </c>
      <c r="M735" s="233">
        <v>0.43</v>
      </c>
      <c r="N735" s="231"/>
      <c r="O735" s="231">
        <v>45</v>
      </c>
      <c r="P735" s="234">
        <v>-154.32</v>
      </c>
    </row>
    <row r="736" spans="1:16" ht="19.5" customHeight="1">
      <c r="A736" s="227" t="s">
        <v>1260</v>
      </c>
      <c r="B736" s="230">
        <v>46051</v>
      </c>
      <c r="C736" s="227" t="s">
        <v>100</v>
      </c>
      <c r="D736" s="227" t="s">
        <v>101</v>
      </c>
      <c r="E736" s="227" t="s">
        <v>53</v>
      </c>
      <c r="F736" s="227" t="s">
        <v>120</v>
      </c>
      <c r="G736" s="227" t="s">
        <v>84</v>
      </c>
      <c r="H736" s="231">
        <v>1</v>
      </c>
      <c r="I736" s="232">
        <v>1812</v>
      </c>
      <c r="J736" s="230">
        <v>46049</v>
      </c>
      <c r="K736" s="227" t="s">
        <v>93</v>
      </c>
      <c r="L736" s="227" t="s">
        <v>94</v>
      </c>
      <c r="M736" s="233">
        <v>0</v>
      </c>
      <c r="N736" s="231"/>
      <c r="O736" s="231"/>
      <c r="P736" s="234">
        <v>628.44000000000005</v>
      </c>
    </row>
    <row r="737" spans="1:16" ht="19.5" customHeight="1">
      <c r="A737" s="227" t="s">
        <v>1260</v>
      </c>
      <c r="B737" s="230">
        <v>46051</v>
      </c>
      <c r="C737" s="227" t="s">
        <v>100</v>
      </c>
      <c r="D737" s="227" t="s">
        <v>102</v>
      </c>
      <c r="E737" s="227" t="s">
        <v>53</v>
      </c>
      <c r="F737" s="227" t="s">
        <v>120</v>
      </c>
      <c r="G737" s="227" t="s">
        <v>84</v>
      </c>
      <c r="H737" s="231">
        <v>1</v>
      </c>
      <c r="I737" s="232">
        <v>1812</v>
      </c>
      <c r="J737" s="230">
        <v>46049</v>
      </c>
      <c r="K737" s="227" t="s">
        <v>93</v>
      </c>
      <c r="L737" s="227" t="s">
        <v>94</v>
      </c>
      <c r="M737" s="233">
        <v>0</v>
      </c>
      <c r="N737" s="231"/>
      <c r="O737" s="231"/>
      <c r="P737" s="234">
        <v>6.28</v>
      </c>
    </row>
    <row r="738" spans="1:16" ht="19.5" customHeight="1">
      <c r="A738" s="227" t="s">
        <v>1260</v>
      </c>
      <c r="B738" s="230">
        <v>46051</v>
      </c>
      <c r="C738" s="227" t="s">
        <v>100</v>
      </c>
      <c r="D738" s="227" t="s">
        <v>103</v>
      </c>
      <c r="E738" s="227" t="s">
        <v>53</v>
      </c>
      <c r="F738" s="227" t="s">
        <v>120</v>
      </c>
      <c r="G738" s="227" t="s">
        <v>84</v>
      </c>
      <c r="H738" s="231">
        <v>1</v>
      </c>
      <c r="I738" s="232">
        <v>1812</v>
      </c>
      <c r="J738" s="230">
        <v>46049</v>
      </c>
      <c r="K738" s="227" t="s">
        <v>93</v>
      </c>
      <c r="L738" s="227" t="s">
        <v>94</v>
      </c>
      <c r="M738" s="233">
        <v>0</v>
      </c>
      <c r="N738" s="231"/>
      <c r="O738" s="231"/>
      <c r="P738" s="234">
        <v>1177.28</v>
      </c>
    </row>
    <row r="739" spans="1:16" ht="19.5" customHeight="1">
      <c r="A739" s="227" t="s">
        <v>1260</v>
      </c>
      <c r="B739" s="230">
        <v>46051</v>
      </c>
      <c r="C739" s="227" t="s">
        <v>104</v>
      </c>
      <c r="D739" s="227" t="s">
        <v>105</v>
      </c>
      <c r="E739" s="227" t="s">
        <v>53</v>
      </c>
      <c r="F739" s="227" t="s">
        <v>120</v>
      </c>
      <c r="G739" s="227" t="s">
        <v>84</v>
      </c>
      <c r="H739" s="231">
        <v>1</v>
      </c>
      <c r="I739" s="232">
        <v>1812</v>
      </c>
      <c r="J739" s="230">
        <v>46049</v>
      </c>
      <c r="K739" s="227" t="s">
        <v>93</v>
      </c>
      <c r="L739" s="227" t="s">
        <v>94</v>
      </c>
      <c r="M739" s="233">
        <v>0.43</v>
      </c>
      <c r="N739" s="231"/>
      <c r="O739" s="231"/>
      <c r="P739" s="234">
        <v>-779.16</v>
      </c>
    </row>
    <row r="740" spans="1:16" ht="19.5" customHeight="1">
      <c r="A740" s="227" t="s">
        <v>1260</v>
      </c>
      <c r="B740" s="230">
        <v>46051</v>
      </c>
      <c r="C740" s="227" t="s">
        <v>81</v>
      </c>
      <c r="D740" s="227" t="s">
        <v>95</v>
      </c>
      <c r="E740" s="227" t="s">
        <v>53</v>
      </c>
      <c r="F740" s="227" t="s">
        <v>120</v>
      </c>
      <c r="G740" s="227" t="s">
        <v>84</v>
      </c>
      <c r="H740" s="231">
        <v>1</v>
      </c>
      <c r="I740" s="232">
        <v>1812</v>
      </c>
      <c r="J740" s="230">
        <v>46049</v>
      </c>
      <c r="K740" s="227" t="s">
        <v>93</v>
      </c>
      <c r="L740" s="227" t="s">
        <v>94</v>
      </c>
      <c r="M740" s="233">
        <v>0.43</v>
      </c>
      <c r="N740" s="231"/>
      <c r="O740" s="231"/>
      <c r="P740" s="234">
        <v>-11.83</v>
      </c>
    </row>
    <row r="741" spans="1:16" ht="19.5" customHeight="1">
      <c r="A741" s="227" t="s">
        <v>1261</v>
      </c>
      <c r="B741" s="230">
        <v>46051</v>
      </c>
      <c r="C741" s="227" t="s">
        <v>92</v>
      </c>
      <c r="D741" s="227" t="s">
        <v>24</v>
      </c>
      <c r="E741" s="227" t="s">
        <v>52</v>
      </c>
      <c r="F741" s="227" t="s">
        <v>90</v>
      </c>
      <c r="G741" s="227" t="s">
        <v>84</v>
      </c>
      <c r="H741" s="231">
        <v>1</v>
      </c>
      <c r="I741" s="232">
        <v>0</v>
      </c>
      <c r="J741" s="230">
        <v>46035</v>
      </c>
      <c r="K741" s="227" t="s">
        <v>93</v>
      </c>
      <c r="L741" s="227" t="s">
        <v>94</v>
      </c>
      <c r="M741" s="233">
        <v>0</v>
      </c>
      <c r="N741" s="231"/>
      <c r="O741" s="231">
        <v>45</v>
      </c>
      <c r="P741" s="234">
        <v>-56</v>
      </c>
    </row>
    <row r="742" spans="1:16" ht="19.5" customHeight="1">
      <c r="A742" s="227" t="s">
        <v>1261</v>
      </c>
      <c r="B742" s="230">
        <v>46051</v>
      </c>
      <c r="C742" s="227" t="s">
        <v>81</v>
      </c>
      <c r="D742" s="227" t="s">
        <v>95</v>
      </c>
      <c r="E742" s="227" t="s">
        <v>52</v>
      </c>
      <c r="F742" s="227" t="s">
        <v>90</v>
      </c>
      <c r="G742" s="227" t="s">
        <v>84</v>
      </c>
      <c r="H742" s="231">
        <v>1</v>
      </c>
      <c r="I742" s="232">
        <v>0</v>
      </c>
      <c r="J742" s="230">
        <v>46035</v>
      </c>
      <c r="K742" s="227" t="s">
        <v>93</v>
      </c>
      <c r="L742" s="227" t="s">
        <v>94</v>
      </c>
      <c r="M742" s="233">
        <v>0</v>
      </c>
      <c r="N742" s="231"/>
      <c r="O742" s="231"/>
      <c r="P742" s="234">
        <v>-9.0399999999999991</v>
      </c>
    </row>
    <row r="743" spans="1:16" ht="19.5" customHeight="1">
      <c r="A743" s="227" t="s">
        <v>1261</v>
      </c>
      <c r="B743" s="230">
        <v>46051</v>
      </c>
      <c r="C743" s="227" t="s">
        <v>92</v>
      </c>
      <c r="D743" s="227" t="s">
        <v>96</v>
      </c>
      <c r="E743" s="227" t="s">
        <v>52</v>
      </c>
      <c r="F743" s="227" t="s">
        <v>90</v>
      </c>
      <c r="G743" s="227" t="s">
        <v>84</v>
      </c>
      <c r="H743" s="231">
        <v>1</v>
      </c>
      <c r="I743" s="232">
        <v>0</v>
      </c>
      <c r="J743" s="230">
        <v>46035</v>
      </c>
      <c r="K743" s="227" t="s">
        <v>93</v>
      </c>
      <c r="L743" s="227" t="s">
        <v>94</v>
      </c>
      <c r="M743" s="233">
        <v>0</v>
      </c>
      <c r="N743" s="231"/>
      <c r="O743" s="231"/>
      <c r="P743" s="234">
        <v>0</v>
      </c>
    </row>
    <row r="744" spans="1:16" ht="19.5" customHeight="1">
      <c r="A744" s="227" t="s">
        <v>1261</v>
      </c>
      <c r="B744" s="230">
        <v>46051</v>
      </c>
      <c r="C744" s="227" t="s">
        <v>92</v>
      </c>
      <c r="D744" s="227" t="s">
        <v>97</v>
      </c>
      <c r="E744" s="227" t="s">
        <v>52</v>
      </c>
      <c r="F744" s="227" t="s">
        <v>90</v>
      </c>
      <c r="G744" s="227" t="s">
        <v>84</v>
      </c>
      <c r="H744" s="231">
        <v>1</v>
      </c>
      <c r="I744" s="232">
        <v>0</v>
      </c>
      <c r="J744" s="230">
        <v>46035</v>
      </c>
      <c r="K744" s="227" t="s">
        <v>93</v>
      </c>
      <c r="L744" s="227" t="s">
        <v>94</v>
      </c>
      <c r="M744" s="233">
        <v>0</v>
      </c>
      <c r="N744" s="231"/>
      <c r="O744" s="231"/>
      <c r="P744" s="234">
        <v>-56</v>
      </c>
    </row>
    <row r="745" spans="1:16" ht="19.5" customHeight="1">
      <c r="A745" s="227" t="s">
        <v>1261</v>
      </c>
      <c r="B745" s="230">
        <v>46051</v>
      </c>
      <c r="C745" s="227" t="s">
        <v>81</v>
      </c>
      <c r="D745" s="227" t="s">
        <v>98</v>
      </c>
      <c r="E745" s="227" t="s">
        <v>52</v>
      </c>
      <c r="F745" s="227" t="s">
        <v>90</v>
      </c>
      <c r="G745" s="227" t="s">
        <v>84</v>
      </c>
      <c r="H745" s="231">
        <v>1</v>
      </c>
      <c r="I745" s="232">
        <v>0</v>
      </c>
      <c r="J745" s="230">
        <v>46035</v>
      </c>
      <c r="K745" s="227" t="s">
        <v>93</v>
      </c>
      <c r="L745" s="227" t="s">
        <v>94</v>
      </c>
      <c r="M745" s="233">
        <v>0</v>
      </c>
      <c r="N745" s="231"/>
      <c r="O745" s="231"/>
      <c r="P745" s="234">
        <v>-15</v>
      </c>
    </row>
    <row r="746" spans="1:16" ht="19.5" customHeight="1">
      <c r="A746" s="227" t="s">
        <v>1211</v>
      </c>
      <c r="B746" s="230">
        <v>46051</v>
      </c>
      <c r="C746" s="227" t="s">
        <v>109</v>
      </c>
      <c r="D746" s="227" t="s">
        <v>139</v>
      </c>
      <c r="E746" s="227" t="s">
        <v>85</v>
      </c>
      <c r="F746" s="227" t="s">
        <v>85</v>
      </c>
      <c r="G746" s="227" t="s">
        <v>85</v>
      </c>
      <c r="H746" s="231">
        <v>0</v>
      </c>
      <c r="I746" s="232">
        <v>0</v>
      </c>
      <c r="J746" s="230">
        <v>46051</v>
      </c>
      <c r="K746" s="227" t="s">
        <v>85</v>
      </c>
      <c r="L746" s="227" t="s">
        <v>85</v>
      </c>
      <c r="M746" s="233">
        <v>0</v>
      </c>
      <c r="N746" s="231"/>
      <c r="O746" s="231"/>
      <c r="P746" s="234">
        <v>-293.12</v>
      </c>
    </row>
    <row r="747" spans="1:16" ht="19.5" customHeight="1">
      <c r="A747" s="227" t="s">
        <v>138</v>
      </c>
      <c r="B747" s="230">
        <v>46051</v>
      </c>
      <c r="C747" s="227" t="s">
        <v>109</v>
      </c>
      <c r="D747" s="227" t="s">
        <v>139</v>
      </c>
      <c r="E747" s="227" t="s">
        <v>85</v>
      </c>
      <c r="F747" s="227" t="s">
        <v>85</v>
      </c>
      <c r="G747" s="227" t="s">
        <v>85</v>
      </c>
      <c r="H747" s="231">
        <v>0</v>
      </c>
      <c r="I747" s="232">
        <v>0</v>
      </c>
      <c r="J747" s="230">
        <v>46051</v>
      </c>
      <c r="K747" s="227" t="s">
        <v>85</v>
      </c>
      <c r="L747" s="227" t="s">
        <v>85</v>
      </c>
      <c r="M747" s="233">
        <v>0</v>
      </c>
      <c r="N747" s="231"/>
      <c r="O747" s="231"/>
      <c r="P747" s="234">
        <v>-1126.99</v>
      </c>
    </row>
    <row r="748" spans="1:16" ht="19.5" customHeight="1">
      <c r="A748" s="227" t="s">
        <v>142</v>
      </c>
      <c r="B748" s="230">
        <v>46051</v>
      </c>
      <c r="C748" s="227" t="s">
        <v>109</v>
      </c>
      <c r="D748" s="227" t="s">
        <v>143</v>
      </c>
      <c r="E748" s="227" t="s">
        <v>85</v>
      </c>
      <c r="F748" s="227" t="s">
        <v>85</v>
      </c>
      <c r="G748" s="227" t="s">
        <v>85</v>
      </c>
      <c r="H748" s="231">
        <v>0</v>
      </c>
      <c r="I748" s="232">
        <v>0</v>
      </c>
      <c r="J748" s="230">
        <v>46051</v>
      </c>
      <c r="K748" s="227" t="s">
        <v>85</v>
      </c>
      <c r="L748" s="227" t="s">
        <v>85</v>
      </c>
      <c r="M748" s="233">
        <v>0</v>
      </c>
      <c r="N748" s="231"/>
      <c r="O748" s="231"/>
      <c r="P748" s="234">
        <v>-3566.7</v>
      </c>
    </row>
    <row r="749" spans="1:16" ht="19.5" customHeight="1">
      <c r="A749" s="227" t="s">
        <v>1207</v>
      </c>
      <c r="B749" s="230">
        <v>46051</v>
      </c>
      <c r="C749" s="227" t="s">
        <v>109</v>
      </c>
      <c r="D749" s="227" t="s">
        <v>139</v>
      </c>
      <c r="E749" s="227" t="s">
        <v>85</v>
      </c>
      <c r="F749" s="227" t="s">
        <v>85</v>
      </c>
      <c r="G749" s="227" t="s">
        <v>85</v>
      </c>
      <c r="H749" s="231">
        <v>0</v>
      </c>
      <c r="I749" s="232">
        <v>0</v>
      </c>
      <c r="J749" s="230">
        <v>46051</v>
      </c>
      <c r="K749" s="227" t="s">
        <v>85</v>
      </c>
      <c r="L749" s="227" t="s">
        <v>85</v>
      </c>
      <c r="M749" s="233">
        <v>0</v>
      </c>
      <c r="N749" s="231"/>
      <c r="O749" s="231"/>
      <c r="P749" s="234">
        <v>-311.77</v>
      </c>
    </row>
    <row r="750" spans="1:16" ht="19.5" customHeight="1">
      <c r="A750" s="227" t="s">
        <v>1208</v>
      </c>
      <c r="B750" s="230">
        <v>46051</v>
      </c>
      <c r="C750" s="227" t="s">
        <v>109</v>
      </c>
      <c r="D750" s="227" t="s">
        <v>139</v>
      </c>
      <c r="E750" s="227" t="s">
        <v>85</v>
      </c>
      <c r="F750" s="227" t="s">
        <v>85</v>
      </c>
      <c r="G750" s="227" t="s">
        <v>85</v>
      </c>
      <c r="H750" s="231">
        <v>0</v>
      </c>
      <c r="I750" s="232">
        <v>0</v>
      </c>
      <c r="J750" s="230">
        <v>46051</v>
      </c>
      <c r="K750" s="227" t="s">
        <v>85</v>
      </c>
      <c r="L750" s="227" t="s">
        <v>85</v>
      </c>
      <c r="M750" s="233">
        <v>0</v>
      </c>
      <c r="N750" s="231"/>
      <c r="O750" s="231"/>
      <c r="P750" s="234">
        <v>-282.18</v>
      </c>
    </row>
    <row r="751" spans="1:16" ht="19.5" customHeight="1">
      <c r="A751" s="227" t="s">
        <v>1209</v>
      </c>
      <c r="B751" s="230">
        <v>46051</v>
      </c>
      <c r="C751" s="227" t="s">
        <v>109</v>
      </c>
      <c r="D751" s="227" t="s">
        <v>139</v>
      </c>
      <c r="E751" s="227" t="s">
        <v>85</v>
      </c>
      <c r="F751" s="227" t="s">
        <v>85</v>
      </c>
      <c r="G751" s="227" t="s">
        <v>85</v>
      </c>
      <c r="H751" s="231">
        <v>0</v>
      </c>
      <c r="I751" s="232">
        <v>0</v>
      </c>
      <c r="J751" s="230">
        <v>46051</v>
      </c>
      <c r="K751" s="227" t="s">
        <v>85</v>
      </c>
      <c r="L751" s="227" t="s">
        <v>85</v>
      </c>
      <c r="M751" s="233">
        <v>0</v>
      </c>
      <c r="N751" s="231"/>
      <c r="O751" s="231"/>
      <c r="P751" s="234">
        <v>-303.43</v>
      </c>
    </row>
    <row r="752" spans="1:16" ht="19.5" customHeight="1">
      <c r="A752" s="227" t="s">
        <v>1210</v>
      </c>
      <c r="B752" s="230">
        <v>46051</v>
      </c>
      <c r="C752" s="227" t="s">
        <v>109</v>
      </c>
      <c r="D752" s="227" t="s">
        <v>139</v>
      </c>
      <c r="E752" s="227" t="s">
        <v>85</v>
      </c>
      <c r="F752" s="227" t="s">
        <v>85</v>
      </c>
      <c r="G752" s="227" t="s">
        <v>85</v>
      </c>
      <c r="H752" s="231">
        <v>0</v>
      </c>
      <c r="I752" s="232">
        <v>0</v>
      </c>
      <c r="J752" s="230">
        <v>46051</v>
      </c>
      <c r="K752" s="227" t="s">
        <v>85</v>
      </c>
      <c r="L752" s="227" t="s">
        <v>85</v>
      </c>
      <c r="M752" s="233">
        <v>0</v>
      </c>
      <c r="N752" s="231"/>
      <c r="O752" s="231"/>
      <c r="P752" s="234">
        <v>-291.38</v>
      </c>
    </row>
    <row r="753" spans="1:16" ht="19.5" customHeight="1">
      <c r="A753" s="227" t="s">
        <v>141</v>
      </c>
      <c r="B753" s="230">
        <v>46051</v>
      </c>
      <c r="C753" s="227" t="s">
        <v>109</v>
      </c>
      <c r="D753" s="227" t="s">
        <v>139</v>
      </c>
      <c r="E753" s="227" t="s">
        <v>85</v>
      </c>
      <c r="F753" s="227" t="s">
        <v>85</v>
      </c>
      <c r="G753" s="227" t="s">
        <v>85</v>
      </c>
      <c r="H753" s="231">
        <v>0</v>
      </c>
      <c r="I753" s="232">
        <v>0</v>
      </c>
      <c r="J753" s="230">
        <v>46051</v>
      </c>
      <c r="K753" s="227" t="s">
        <v>85</v>
      </c>
      <c r="L753" s="227" t="s">
        <v>85</v>
      </c>
      <c r="M753" s="233">
        <v>0</v>
      </c>
      <c r="N753" s="231"/>
      <c r="O753" s="231"/>
      <c r="P753" s="234">
        <v>-417</v>
      </c>
    </row>
    <row r="754" spans="1:16" ht="19.5" customHeight="1">
      <c r="A754" s="227" t="s">
        <v>145</v>
      </c>
      <c r="B754" s="230">
        <v>46051</v>
      </c>
      <c r="C754" s="227" t="s">
        <v>109</v>
      </c>
      <c r="D754" s="227" t="s">
        <v>139</v>
      </c>
      <c r="E754" s="227" t="s">
        <v>85</v>
      </c>
      <c r="F754" s="227" t="s">
        <v>85</v>
      </c>
      <c r="G754" s="227" t="s">
        <v>85</v>
      </c>
      <c r="H754" s="231">
        <v>0</v>
      </c>
      <c r="I754" s="232">
        <v>0</v>
      </c>
      <c r="J754" s="230">
        <v>46051</v>
      </c>
      <c r="K754" s="227" t="s">
        <v>85</v>
      </c>
      <c r="L754" s="227" t="s">
        <v>85</v>
      </c>
      <c r="M754" s="233">
        <v>0</v>
      </c>
      <c r="N754" s="231"/>
      <c r="O754" s="231"/>
      <c r="P754" s="234">
        <v>-1231.1400000000001</v>
      </c>
    </row>
    <row r="755" spans="1:16" ht="19.5" customHeight="1">
      <c r="A755" s="227" t="s">
        <v>1206</v>
      </c>
      <c r="B755" s="230">
        <v>46051</v>
      </c>
      <c r="C755" s="227" t="s">
        <v>109</v>
      </c>
      <c r="D755" s="227" t="s">
        <v>139</v>
      </c>
      <c r="E755" s="227" t="s">
        <v>85</v>
      </c>
      <c r="F755" s="227" t="s">
        <v>85</v>
      </c>
      <c r="G755" s="227" t="s">
        <v>85</v>
      </c>
      <c r="H755" s="231">
        <v>0</v>
      </c>
      <c r="I755" s="232">
        <v>0</v>
      </c>
      <c r="J755" s="230">
        <v>46051</v>
      </c>
      <c r="K755" s="227" t="s">
        <v>85</v>
      </c>
      <c r="L755" s="227" t="s">
        <v>85</v>
      </c>
      <c r="M755" s="233">
        <v>0</v>
      </c>
      <c r="N755" s="231"/>
      <c r="O755" s="231"/>
      <c r="P755" s="234">
        <v>-295.82</v>
      </c>
    </row>
    <row r="756" spans="1:16" ht="19.5" customHeight="1">
      <c r="A756" s="227" t="s">
        <v>144</v>
      </c>
      <c r="B756" s="230">
        <v>46051</v>
      </c>
      <c r="C756" s="227" t="s">
        <v>109</v>
      </c>
      <c r="D756" s="227" t="s">
        <v>139</v>
      </c>
      <c r="E756" s="227" t="s">
        <v>85</v>
      </c>
      <c r="F756" s="227" t="s">
        <v>85</v>
      </c>
      <c r="G756" s="227" t="s">
        <v>85</v>
      </c>
      <c r="H756" s="231">
        <v>0</v>
      </c>
      <c r="I756" s="232">
        <v>0</v>
      </c>
      <c r="J756" s="230">
        <v>46051</v>
      </c>
      <c r="K756" s="227" t="s">
        <v>85</v>
      </c>
      <c r="L756" s="227" t="s">
        <v>85</v>
      </c>
      <c r="M756" s="233">
        <v>0</v>
      </c>
      <c r="N756" s="231"/>
      <c r="O756" s="231"/>
      <c r="P756" s="234">
        <v>-1148.23</v>
      </c>
    </row>
    <row r="757" spans="1:16" ht="19.5" customHeight="1">
      <c r="A757" s="227" t="s">
        <v>1262</v>
      </c>
      <c r="B757" s="230">
        <v>46052</v>
      </c>
      <c r="C757" s="227" t="s">
        <v>92</v>
      </c>
      <c r="D757" s="227" t="s">
        <v>24</v>
      </c>
      <c r="E757" s="227" t="s">
        <v>53</v>
      </c>
      <c r="F757" s="227" t="s">
        <v>120</v>
      </c>
      <c r="G757" s="227" t="s">
        <v>84</v>
      </c>
      <c r="H757" s="231">
        <v>1</v>
      </c>
      <c r="I757" s="232">
        <v>0</v>
      </c>
      <c r="J757" s="230">
        <v>46048</v>
      </c>
      <c r="K757" s="227" t="s">
        <v>93</v>
      </c>
      <c r="L757" s="227" t="s">
        <v>94</v>
      </c>
      <c r="M757" s="233">
        <v>0</v>
      </c>
      <c r="N757" s="231"/>
      <c r="O757" s="231">
        <v>44</v>
      </c>
      <c r="P757" s="234">
        <v>-56.94</v>
      </c>
    </row>
    <row r="758" spans="1:16" ht="19.5" customHeight="1">
      <c r="A758" s="227" t="s">
        <v>1262</v>
      </c>
      <c r="B758" s="230">
        <v>46052</v>
      </c>
      <c r="C758" s="227" t="s">
        <v>81</v>
      </c>
      <c r="D758" s="227" t="s">
        <v>95</v>
      </c>
      <c r="E758" s="227" t="s">
        <v>53</v>
      </c>
      <c r="F758" s="227" t="s">
        <v>120</v>
      </c>
      <c r="G758" s="227" t="s">
        <v>84</v>
      </c>
      <c r="H758" s="231">
        <v>1</v>
      </c>
      <c r="I758" s="232">
        <v>0</v>
      </c>
      <c r="J758" s="230">
        <v>46048</v>
      </c>
      <c r="K758" s="227" t="s">
        <v>93</v>
      </c>
      <c r="L758" s="227" t="s">
        <v>94</v>
      </c>
      <c r="M758" s="233">
        <v>0</v>
      </c>
      <c r="N758" s="231"/>
      <c r="O758" s="231"/>
      <c r="P758" s="234">
        <v>-16.95</v>
      </c>
    </row>
    <row r="759" spans="1:16" ht="19.5" customHeight="1">
      <c r="A759" s="227" t="s">
        <v>1262</v>
      </c>
      <c r="B759" s="230">
        <v>46052</v>
      </c>
      <c r="C759" s="227" t="s">
        <v>92</v>
      </c>
      <c r="D759" s="227" t="s">
        <v>96</v>
      </c>
      <c r="E759" s="227" t="s">
        <v>53</v>
      </c>
      <c r="F759" s="227" t="s">
        <v>120</v>
      </c>
      <c r="G759" s="227" t="s">
        <v>84</v>
      </c>
      <c r="H759" s="231">
        <v>1</v>
      </c>
      <c r="I759" s="232">
        <v>0</v>
      </c>
      <c r="J759" s="230">
        <v>46048</v>
      </c>
      <c r="K759" s="227" t="s">
        <v>93</v>
      </c>
      <c r="L759" s="227" t="s">
        <v>94</v>
      </c>
      <c r="M759" s="233">
        <v>0</v>
      </c>
      <c r="N759" s="231"/>
      <c r="O759" s="231"/>
      <c r="P759" s="234">
        <v>0</v>
      </c>
    </row>
    <row r="760" spans="1:16" ht="19.5" customHeight="1">
      <c r="A760" s="227" t="s">
        <v>1262</v>
      </c>
      <c r="B760" s="230">
        <v>46052</v>
      </c>
      <c r="C760" s="227" t="s">
        <v>92</v>
      </c>
      <c r="D760" s="227" t="s">
        <v>97</v>
      </c>
      <c r="E760" s="227" t="s">
        <v>53</v>
      </c>
      <c r="F760" s="227" t="s">
        <v>120</v>
      </c>
      <c r="G760" s="227" t="s">
        <v>84</v>
      </c>
      <c r="H760" s="231">
        <v>1</v>
      </c>
      <c r="I760" s="232">
        <v>0</v>
      </c>
      <c r="J760" s="230">
        <v>46048</v>
      </c>
      <c r="K760" s="227" t="s">
        <v>93</v>
      </c>
      <c r="L760" s="227" t="s">
        <v>94</v>
      </c>
      <c r="M760" s="233">
        <v>0</v>
      </c>
      <c r="N760" s="231"/>
      <c r="O760" s="231"/>
      <c r="P760" s="234">
        <v>-56.94</v>
      </c>
    </row>
    <row r="761" spans="1:16" ht="19.5" customHeight="1">
      <c r="A761" s="227" t="s">
        <v>1262</v>
      </c>
      <c r="B761" s="230">
        <v>46052</v>
      </c>
      <c r="C761" s="227" t="s">
        <v>81</v>
      </c>
      <c r="D761" s="227" t="s">
        <v>98</v>
      </c>
      <c r="E761" s="227" t="s">
        <v>53</v>
      </c>
      <c r="F761" s="227" t="s">
        <v>120</v>
      </c>
      <c r="G761" s="227" t="s">
        <v>84</v>
      </c>
      <c r="H761" s="231">
        <v>1</v>
      </c>
      <c r="I761" s="232">
        <v>0</v>
      </c>
      <c r="J761" s="230">
        <v>46048</v>
      </c>
      <c r="K761" s="227" t="s">
        <v>93</v>
      </c>
      <c r="L761" s="227" t="s">
        <v>94</v>
      </c>
      <c r="M761" s="233">
        <v>0</v>
      </c>
      <c r="N761" s="231"/>
      <c r="O761" s="231"/>
      <c r="P761" s="234">
        <v>-15</v>
      </c>
    </row>
    <row r="762" spans="1:16" ht="19.5" customHeight="1">
      <c r="A762" s="227" t="s">
        <v>1263</v>
      </c>
      <c r="B762" s="230">
        <v>46052</v>
      </c>
      <c r="C762" s="227" t="s">
        <v>92</v>
      </c>
      <c r="D762" s="227" t="s">
        <v>24</v>
      </c>
      <c r="E762" s="227" t="s">
        <v>43</v>
      </c>
      <c r="F762" s="227" t="s">
        <v>125</v>
      </c>
      <c r="G762" s="227" t="s">
        <v>84</v>
      </c>
      <c r="H762" s="231">
        <v>1</v>
      </c>
      <c r="I762" s="232">
        <v>0</v>
      </c>
      <c r="J762" s="230">
        <v>46048</v>
      </c>
      <c r="K762" s="227" t="s">
        <v>93</v>
      </c>
      <c r="L762" s="227" t="s">
        <v>94</v>
      </c>
      <c r="M762" s="233">
        <v>0</v>
      </c>
      <c r="N762" s="231"/>
      <c r="O762" s="231">
        <v>44</v>
      </c>
      <c r="P762" s="234">
        <v>-46.77</v>
      </c>
    </row>
    <row r="763" spans="1:16" ht="19.5" customHeight="1">
      <c r="A763" s="227" t="s">
        <v>1263</v>
      </c>
      <c r="B763" s="230">
        <v>46052</v>
      </c>
      <c r="C763" s="227" t="s">
        <v>81</v>
      </c>
      <c r="D763" s="227" t="s">
        <v>95</v>
      </c>
      <c r="E763" s="227" t="s">
        <v>43</v>
      </c>
      <c r="F763" s="227" t="s">
        <v>125</v>
      </c>
      <c r="G763" s="227" t="s">
        <v>84</v>
      </c>
      <c r="H763" s="231">
        <v>1</v>
      </c>
      <c r="I763" s="232">
        <v>0</v>
      </c>
      <c r="J763" s="230">
        <v>46048</v>
      </c>
      <c r="K763" s="227" t="s">
        <v>93</v>
      </c>
      <c r="L763" s="227" t="s">
        <v>94</v>
      </c>
      <c r="M763" s="233">
        <v>0</v>
      </c>
      <c r="N763" s="231"/>
      <c r="O763" s="231"/>
      <c r="P763" s="234">
        <v>-10.67</v>
      </c>
    </row>
    <row r="764" spans="1:16" ht="19.5" customHeight="1">
      <c r="A764" s="227" t="s">
        <v>1263</v>
      </c>
      <c r="B764" s="230">
        <v>46052</v>
      </c>
      <c r="C764" s="227" t="s">
        <v>92</v>
      </c>
      <c r="D764" s="227" t="s">
        <v>96</v>
      </c>
      <c r="E764" s="227" t="s">
        <v>43</v>
      </c>
      <c r="F764" s="227" t="s">
        <v>125</v>
      </c>
      <c r="G764" s="227" t="s">
        <v>84</v>
      </c>
      <c r="H764" s="231">
        <v>1</v>
      </c>
      <c r="I764" s="232">
        <v>0</v>
      </c>
      <c r="J764" s="230">
        <v>46048</v>
      </c>
      <c r="K764" s="227" t="s">
        <v>93</v>
      </c>
      <c r="L764" s="227" t="s">
        <v>94</v>
      </c>
      <c r="M764" s="233">
        <v>0</v>
      </c>
      <c r="N764" s="231"/>
      <c r="O764" s="231"/>
      <c r="P764" s="234">
        <v>0</v>
      </c>
    </row>
    <row r="765" spans="1:16" ht="19.5" customHeight="1">
      <c r="A765" s="227" t="s">
        <v>1263</v>
      </c>
      <c r="B765" s="230">
        <v>46052</v>
      </c>
      <c r="C765" s="227" t="s">
        <v>92</v>
      </c>
      <c r="D765" s="227" t="s">
        <v>97</v>
      </c>
      <c r="E765" s="227" t="s">
        <v>43</v>
      </c>
      <c r="F765" s="227" t="s">
        <v>125</v>
      </c>
      <c r="G765" s="227" t="s">
        <v>84</v>
      </c>
      <c r="H765" s="231">
        <v>1</v>
      </c>
      <c r="I765" s="232">
        <v>0</v>
      </c>
      <c r="J765" s="230">
        <v>46048</v>
      </c>
      <c r="K765" s="227" t="s">
        <v>93</v>
      </c>
      <c r="L765" s="227" t="s">
        <v>94</v>
      </c>
      <c r="M765" s="233">
        <v>0</v>
      </c>
      <c r="N765" s="231"/>
      <c r="O765" s="231"/>
      <c r="P765" s="234">
        <v>-46.77</v>
      </c>
    </row>
    <row r="766" spans="1:16" ht="19.5" customHeight="1">
      <c r="A766" s="227" t="s">
        <v>1263</v>
      </c>
      <c r="B766" s="230">
        <v>46052</v>
      </c>
      <c r="C766" s="227" t="s">
        <v>81</v>
      </c>
      <c r="D766" s="227" t="s">
        <v>98</v>
      </c>
      <c r="E766" s="227" t="s">
        <v>43</v>
      </c>
      <c r="F766" s="227" t="s">
        <v>125</v>
      </c>
      <c r="G766" s="227" t="s">
        <v>84</v>
      </c>
      <c r="H766" s="231">
        <v>1</v>
      </c>
      <c r="I766" s="232">
        <v>0</v>
      </c>
      <c r="J766" s="230">
        <v>46048</v>
      </c>
      <c r="K766" s="227" t="s">
        <v>93</v>
      </c>
      <c r="L766" s="227" t="s">
        <v>94</v>
      </c>
      <c r="M766" s="233">
        <v>0</v>
      </c>
      <c r="N766" s="231"/>
      <c r="O766" s="231"/>
      <c r="P766" s="234">
        <v>-15</v>
      </c>
    </row>
    <row r="767" spans="1:16" ht="19.5" customHeight="1">
      <c r="A767" s="227" t="s">
        <v>1264</v>
      </c>
      <c r="B767" s="230">
        <v>46052</v>
      </c>
      <c r="C767" s="227" t="s">
        <v>81</v>
      </c>
      <c r="D767" s="227" t="s">
        <v>82</v>
      </c>
      <c r="E767" s="227" t="s">
        <v>57</v>
      </c>
      <c r="F767" s="227" t="s">
        <v>1265</v>
      </c>
      <c r="G767" s="227" t="s">
        <v>84</v>
      </c>
      <c r="H767" s="231">
        <v>1</v>
      </c>
      <c r="I767" s="232">
        <v>0</v>
      </c>
      <c r="J767" s="230">
        <v>46052</v>
      </c>
      <c r="K767" s="227" t="s">
        <v>85</v>
      </c>
      <c r="L767" s="227" t="s">
        <v>85</v>
      </c>
      <c r="M767" s="233">
        <v>0</v>
      </c>
      <c r="N767" s="231"/>
      <c r="O767" s="231"/>
      <c r="P767" s="234">
        <v>-22.22</v>
      </c>
    </row>
    <row r="768" spans="1:16" ht="19.5" customHeight="1">
      <c r="A768" s="227" t="s">
        <v>85</v>
      </c>
      <c r="B768" s="230">
        <v>46052</v>
      </c>
      <c r="C768" s="227" t="s">
        <v>109</v>
      </c>
      <c r="D768" s="227" t="s">
        <v>110</v>
      </c>
      <c r="E768" s="227" t="s">
        <v>85</v>
      </c>
      <c r="F768" s="227" t="s">
        <v>85</v>
      </c>
      <c r="G768" s="227" t="s">
        <v>1266</v>
      </c>
      <c r="H768" s="231">
        <v>0</v>
      </c>
      <c r="I768" s="232">
        <v>0</v>
      </c>
      <c r="J768" s="230">
        <v>46052</v>
      </c>
      <c r="K768" s="227" t="s">
        <v>85</v>
      </c>
      <c r="L768" s="227" t="s">
        <v>85</v>
      </c>
      <c r="M768" s="233">
        <v>0</v>
      </c>
      <c r="N768" s="231"/>
      <c r="O768" s="231"/>
      <c r="P768" s="234">
        <v>-150</v>
      </c>
    </row>
    <row r="769" spans="1:16" ht="19.5" customHeight="1">
      <c r="A769" s="227" t="s">
        <v>1267</v>
      </c>
      <c r="B769" s="230">
        <v>46052</v>
      </c>
      <c r="C769" s="227" t="s">
        <v>81</v>
      </c>
      <c r="D769" s="227" t="s">
        <v>82</v>
      </c>
      <c r="E769" s="227" t="s">
        <v>53</v>
      </c>
      <c r="F769" s="227" t="s">
        <v>120</v>
      </c>
      <c r="G769" s="227" t="s">
        <v>84</v>
      </c>
      <c r="H769" s="231">
        <v>1</v>
      </c>
      <c r="I769" s="232">
        <v>0</v>
      </c>
      <c r="J769" s="230">
        <v>46052</v>
      </c>
      <c r="K769" s="227" t="s">
        <v>85</v>
      </c>
      <c r="L769" s="227" t="s">
        <v>85</v>
      </c>
      <c r="M769" s="233">
        <v>0</v>
      </c>
      <c r="N769" s="231"/>
      <c r="O769" s="231"/>
      <c r="P769" s="234">
        <v>-12.58</v>
      </c>
    </row>
    <row r="770" spans="1:16" ht="19.5" customHeight="1">
      <c r="A770" s="227" t="s">
        <v>1268</v>
      </c>
      <c r="B770" s="230">
        <v>46052</v>
      </c>
      <c r="C770" s="227" t="s">
        <v>92</v>
      </c>
      <c r="D770" s="227" t="s">
        <v>24</v>
      </c>
      <c r="E770" s="227" t="s">
        <v>52</v>
      </c>
      <c r="F770" s="227" t="s">
        <v>90</v>
      </c>
      <c r="G770" s="227" t="s">
        <v>84</v>
      </c>
      <c r="H770" s="231">
        <v>1</v>
      </c>
      <c r="I770" s="232">
        <v>1800</v>
      </c>
      <c r="J770" s="230">
        <v>46050</v>
      </c>
      <c r="K770" s="227" t="s">
        <v>93</v>
      </c>
      <c r="L770" s="227" t="s">
        <v>94</v>
      </c>
      <c r="M770" s="233">
        <v>0.43</v>
      </c>
      <c r="N770" s="231"/>
      <c r="O770" s="231">
        <v>44</v>
      </c>
      <c r="P770" s="234">
        <v>-147.97999999999999</v>
      </c>
    </row>
    <row r="771" spans="1:16" ht="19.5" customHeight="1">
      <c r="A771" s="227" t="s">
        <v>1268</v>
      </c>
      <c r="B771" s="230">
        <v>46052</v>
      </c>
      <c r="C771" s="227" t="s">
        <v>100</v>
      </c>
      <c r="D771" s="227" t="s">
        <v>101</v>
      </c>
      <c r="E771" s="227" t="s">
        <v>52</v>
      </c>
      <c r="F771" s="227" t="s">
        <v>90</v>
      </c>
      <c r="G771" s="227" t="s">
        <v>84</v>
      </c>
      <c r="H771" s="231">
        <v>1</v>
      </c>
      <c r="I771" s="232">
        <v>1800</v>
      </c>
      <c r="J771" s="230">
        <v>46050</v>
      </c>
      <c r="K771" s="227" t="s">
        <v>93</v>
      </c>
      <c r="L771" s="227" t="s">
        <v>94</v>
      </c>
      <c r="M771" s="233">
        <v>0</v>
      </c>
      <c r="N771" s="231"/>
      <c r="O771" s="231"/>
      <c r="P771" s="234">
        <v>703.14</v>
      </c>
    </row>
    <row r="772" spans="1:16" ht="19.5" customHeight="1">
      <c r="A772" s="227" t="s">
        <v>1268</v>
      </c>
      <c r="B772" s="230">
        <v>46052</v>
      </c>
      <c r="C772" s="227" t="s">
        <v>100</v>
      </c>
      <c r="D772" s="227" t="s">
        <v>102</v>
      </c>
      <c r="E772" s="227" t="s">
        <v>52</v>
      </c>
      <c r="F772" s="227" t="s">
        <v>90</v>
      </c>
      <c r="G772" s="227" t="s">
        <v>84</v>
      </c>
      <c r="H772" s="231">
        <v>1</v>
      </c>
      <c r="I772" s="232">
        <v>1800</v>
      </c>
      <c r="J772" s="230">
        <v>46050</v>
      </c>
      <c r="K772" s="227" t="s">
        <v>93</v>
      </c>
      <c r="L772" s="227" t="s">
        <v>94</v>
      </c>
      <c r="M772" s="233">
        <v>0</v>
      </c>
      <c r="N772" s="231"/>
      <c r="O772" s="231"/>
      <c r="P772" s="234">
        <v>0</v>
      </c>
    </row>
    <row r="773" spans="1:16" ht="19.5" customHeight="1">
      <c r="A773" s="227" t="s">
        <v>1268</v>
      </c>
      <c r="B773" s="230">
        <v>46052</v>
      </c>
      <c r="C773" s="227" t="s">
        <v>100</v>
      </c>
      <c r="D773" s="227" t="s">
        <v>103</v>
      </c>
      <c r="E773" s="227" t="s">
        <v>52</v>
      </c>
      <c r="F773" s="227" t="s">
        <v>90</v>
      </c>
      <c r="G773" s="227" t="s">
        <v>84</v>
      </c>
      <c r="H773" s="231">
        <v>1</v>
      </c>
      <c r="I773" s="232">
        <v>1800</v>
      </c>
      <c r="J773" s="230">
        <v>46050</v>
      </c>
      <c r="K773" s="227" t="s">
        <v>93</v>
      </c>
      <c r="L773" s="227" t="s">
        <v>94</v>
      </c>
      <c r="M773" s="233">
        <v>0</v>
      </c>
      <c r="N773" s="231"/>
      <c r="O773" s="231"/>
      <c r="P773" s="234">
        <v>1096.8599999999999</v>
      </c>
    </row>
    <row r="774" spans="1:16" ht="19.5" customHeight="1">
      <c r="A774" s="227" t="s">
        <v>1268</v>
      </c>
      <c r="B774" s="230">
        <v>46052</v>
      </c>
      <c r="C774" s="227" t="s">
        <v>104</v>
      </c>
      <c r="D774" s="227" t="s">
        <v>105</v>
      </c>
      <c r="E774" s="227" t="s">
        <v>52</v>
      </c>
      <c r="F774" s="227" t="s">
        <v>90</v>
      </c>
      <c r="G774" s="227" t="s">
        <v>84</v>
      </c>
      <c r="H774" s="231">
        <v>1</v>
      </c>
      <c r="I774" s="232">
        <v>1800</v>
      </c>
      <c r="J774" s="230">
        <v>46050</v>
      </c>
      <c r="K774" s="227" t="s">
        <v>93</v>
      </c>
      <c r="L774" s="227" t="s">
        <v>94</v>
      </c>
      <c r="M774" s="233">
        <v>0.43</v>
      </c>
      <c r="N774" s="231"/>
      <c r="O774" s="231"/>
      <c r="P774" s="234">
        <v>-774</v>
      </c>
    </row>
    <row r="775" spans="1:16" ht="19.5" customHeight="1">
      <c r="A775" s="227" t="s">
        <v>1268</v>
      </c>
      <c r="B775" s="230">
        <v>46052</v>
      </c>
      <c r="C775" s="227" t="s">
        <v>81</v>
      </c>
      <c r="D775" s="227" t="s">
        <v>95</v>
      </c>
      <c r="E775" s="227" t="s">
        <v>52</v>
      </c>
      <c r="F775" s="227" t="s">
        <v>90</v>
      </c>
      <c r="G775" s="227" t="s">
        <v>84</v>
      </c>
      <c r="H775" s="231">
        <v>1</v>
      </c>
      <c r="I775" s="232">
        <v>1800</v>
      </c>
      <c r="J775" s="230">
        <v>46050</v>
      </c>
      <c r="K775" s="227" t="s">
        <v>93</v>
      </c>
      <c r="L775" s="227" t="s">
        <v>94</v>
      </c>
      <c r="M775" s="233">
        <v>0.43</v>
      </c>
      <c r="N775" s="231"/>
      <c r="O775" s="231"/>
      <c r="P775" s="234">
        <v>-18.739999999999998</v>
      </c>
    </row>
    <row r="776" spans="1:16" ht="19.5" customHeight="1">
      <c r="A776" s="227" t="s">
        <v>1269</v>
      </c>
      <c r="B776" s="230">
        <v>46052</v>
      </c>
      <c r="C776" s="227" t="s">
        <v>354</v>
      </c>
      <c r="D776" s="227" t="s">
        <v>892</v>
      </c>
      <c r="E776" s="227" t="s">
        <v>85</v>
      </c>
      <c r="F776" s="227" t="s">
        <v>85</v>
      </c>
      <c r="G776" s="227" t="s">
        <v>85</v>
      </c>
      <c r="H776" s="231">
        <v>0</v>
      </c>
      <c r="I776" s="232">
        <v>0</v>
      </c>
      <c r="J776" s="230">
        <v>46041</v>
      </c>
      <c r="K776" s="227" t="s">
        <v>85</v>
      </c>
      <c r="L776" s="227" t="s">
        <v>85</v>
      </c>
      <c r="M776" s="233">
        <v>0</v>
      </c>
      <c r="N776" s="231"/>
      <c r="O776" s="231"/>
      <c r="P776" s="234">
        <v>-2162.5</v>
      </c>
    </row>
    <row r="777" spans="1:16" ht="19.5" customHeight="1">
      <c r="A777" s="227" t="s">
        <v>1269</v>
      </c>
      <c r="B777" s="230">
        <v>46052</v>
      </c>
      <c r="C777" s="227" t="s">
        <v>354</v>
      </c>
      <c r="D777" s="227" t="s">
        <v>892</v>
      </c>
      <c r="E777" s="227" t="s">
        <v>85</v>
      </c>
      <c r="F777" s="227" t="s">
        <v>85</v>
      </c>
      <c r="G777" s="227" t="s">
        <v>85</v>
      </c>
      <c r="H777" s="231">
        <v>0</v>
      </c>
      <c r="I777" s="232">
        <v>0</v>
      </c>
      <c r="J777" s="230">
        <v>46041</v>
      </c>
      <c r="K777" s="227" t="s">
        <v>85</v>
      </c>
      <c r="L777" s="227" t="s">
        <v>85</v>
      </c>
      <c r="M777" s="233">
        <v>0</v>
      </c>
      <c r="N777" s="231"/>
      <c r="O777" s="231"/>
      <c r="P777" s="234">
        <v>-2162.5</v>
      </c>
    </row>
    <row r="778" spans="1:16" ht="19.5" customHeight="1">
      <c r="A778" s="227" t="s">
        <v>1270</v>
      </c>
      <c r="B778" s="230">
        <v>46052</v>
      </c>
      <c r="C778" s="227" t="s">
        <v>92</v>
      </c>
      <c r="D778" s="227" t="s">
        <v>24</v>
      </c>
      <c r="E778" s="227" t="s">
        <v>43</v>
      </c>
      <c r="F778" s="227" t="s">
        <v>125</v>
      </c>
      <c r="G778" s="227" t="s">
        <v>84</v>
      </c>
      <c r="H778" s="231">
        <v>1</v>
      </c>
      <c r="I778" s="232">
        <v>1750</v>
      </c>
      <c r="J778" s="230">
        <v>46051</v>
      </c>
      <c r="K778" s="227" t="s">
        <v>93</v>
      </c>
      <c r="L778" s="227" t="s">
        <v>94</v>
      </c>
      <c r="M778" s="233">
        <v>0.43</v>
      </c>
      <c r="N778" s="231"/>
      <c r="O778" s="231">
        <v>44</v>
      </c>
      <c r="P778" s="234">
        <v>-131.37</v>
      </c>
    </row>
    <row r="779" spans="1:16" ht="19.5" customHeight="1">
      <c r="A779" s="227" t="s">
        <v>1270</v>
      </c>
      <c r="B779" s="230">
        <v>46052</v>
      </c>
      <c r="C779" s="227" t="s">
        <v>100</v>
      </c>
      <c r="D779" s="227" t="s">
        <v>101</v>
      </c>
      <c r="E779" s="227" t="s">
        <v>43</v>
      </c>
      <c r="F779" s="227" t="s">
        <v>125</v>
      </c>
      <c r="G779" s="227" t="s">
        <v>84</v>
      </c>
      <c r="H779" s="231">
        <v>1</v>
      </c>
      <c r="I779" s="232">
        <v>1750</v>
      </c>
      <c r="J779" s="230">
        <v>46051</v>
      </c>
      <c r="K779" s="227" t="s">
        <v>93</v>
      </c>
      <c r="L779" s="227" t="s">
        <v>94</v>
      </c>
      <c r="M779" s="233">
        <v>0</v>
      </c>
      <c r="N779" s="231"/>
      <c r="O779" s="231"/>
      <c r="P779" s="234">
        <v>609.52</v>
      </c>
    </row>
    <row r="780" spans="1:16" ht="19.5" customHeight="1">
      <c r="A780" s="227" t="s">
        <v>1270</v>
      </c>
      <c r="B780" s="230">
        <v>46052</v>
      </c>
      <c r="C780" s="227" t="s">
        <v>100</v>
      </c>
      <c r="D780" s="227" t="s">
        <v>102</v>
      </c>
      <c r="E780" s="227" t="s">
        <v>43</v>
      </c>
      <c r="F780" s="227" t="s">
        <v>125</v>
      </c>
      <c r="G780" s="227" t="s">
        <v>84</v>
      </c>
      <c r="H780" s="231">
        <v>1</v>
      </c>
      <c r="I780" s="232">
        <v>1750</v>
      </c>
      <c r="J780" s="230">
        <v>46051</v>
      </c>
      <c r="K780" s="227" t="s">
        <v>93</v>
      </c>
      <c r="L780" s="227" t="s">
        <v>94</v>
      </c>
      <c r="M780" s="233">
        <v>0</v>
      </c>
      <c r="N780" s="231"/>
      <c r="O780" s="231"/>
      <c r="P780" s="234">
        <v>6.1</v>
      </c>
    </row>
    <row r="781" spans="1:16" ht="19.5" customHeight="1">
      <c r="A781" s="227" t="s">
        <v>1270</v>
      </c>
      <c r="B781" s="230">
        <v>46052</v>
      </c>
      <c r="C781" s="227" t="s">
        <v>100</v>
      </c>
      <c r="D781" s="227" t="s">
        <v>103</v>
      </c>
      <c r="E781" s="227" t="s">
        <v>43</v>
      </c>
      <c r="F781" s="227" t="s">
        <v>125</v>
      </c>
      <c r="G781" s="227" t="s">
        <v>84</v>
      </c>
      <c r="H781" s="231">
        <v>1</v>
      </c>
      <c r="I781" s="232">
        <v>1750</v>
      </c>
      <c r="J781" s="230">
        <v>46051</v>
      </c>
      <c r="K781" s="227" t="s">
        <v>93</v>
      </c>
      <c r="L781" s="227" t="s">
        <v>94</v>
      </c>
      <c r="M781" s="233">
        <v>0</v>
      </c>
      <c r="N781" s="231"/>
      <c r="O781" s="231"/>
      <c r="P781" s="234">
        <v>1134.3800000000001</v>
      </c>
    </row>
    <row r="782" spans="1:16" ht="19.5" customHeight="1">
      <c r="A782" s="227" t="s">
        <v>1270</v>
      </c>
      <c r="B782" s="230">
        <v>46052</v>
      </c>
      <c r="C782" s="227" t="s">
        <v>104</v>
      </c>
      <c r="D782" s="227" t="s">
        <v>105</v>
      </c>
      <c r="E782" s="227" t="s">
        <v>43</v>
      </c>
      <c r="F782" s="227" t="s">
        <v>125</v>
      </c>
      <c r="G782" s="227" t="s">
        <v>84</v>
      </c>
      <c r="H782" s="231">
        <v>1</v>
      </c>
      <c r="I782" s="232">
        <v>1750</v>
      </c>
      <c r="J782" s="230">
        <v>46051</v>
      </c>
      <c r="K782" s="227" t="s">
        <v>93</v>
      </c>
      <c r="L782" s="227" t="s">
        <v>94</v>
      </c>
      <c r="M782" s="233">
        <v>0.43</v>
      </c>
      <c r="N782" s="231"/>
      <c r="O782" s="231"/>
      <c r="P782" s="234">
        <v>-752.5</v>
      </c>
    </row>
    <row r="783" spans="1:16" ht="19.5" customHeight="1">
      <c r="A783" s="227" t="s">
        <v>1270</v>
      </c>
      <c r="B783" s="230">
        <v>46052</v>
      </c>
      <c r="C783" s="227" t="s">
        <v>81</v>
      </c>
      <c r="D783" s="227" t="s">
        <v>95</v>
      </c>
      <c r="E783" s="227" t="s">
        <v>43</v>
      </c>
      <c r="F783" s="227" t="s">
        <v>125</v>
      </c>
      <c r="G783" s="227" t="s">
        <v>84</v>
      </c>
      <c r="H783" s="231">
        <v>1</v>
      </c>
      <c r="I783" s="232">
        <v>1750</v>
      </c>
      <c r="J783" s="230">
        <v>46051</v>
      </c>
      <c r="K783" s="227" t="s">
        <v>93</v>
      </c>
      <c r="L783" s="227" t="s">
        <v>94</v>
      </c>
      <c r="M783" s="233">
        <v>0.43</v>
      </c>
      <c r="N783" s="231"/>
      <c r="O783" s="231"/>
      <c r="P783" s="234">
        <v>-10.63</v>
      </c>
    </row>
    <row r="784" spans="1:16" ht="19.5" customHeight="1">
      <c r="A784" s="227" t="s">
        <v>1271</v>
      </c>
      <c r="B784" s="230">
        <v>46052</v>
      </c>
      <c r="C784" s="227" t="s">
        <v>81</v>
      </c>
      <c r="D784" s="227" t="s">
        <v>82</v>
      </c>
      <c r="E784" s="227" t="s">
        <v>53</v>
      </c>
      <c r="F784" s="227" t="s">
        <v>120</v>
      </c>
      <c r="G784" s="227" t="s">
        <v>84</v>
      </c>
      <c r="H784" s="231">
        <v>1</v>
      </c>
      <c r="I784" s="232">
        <v>0</v>
      </c>
      <c r="J784" s="230">
        <v>46052</v>
      </c>
      <c r="K784" s="227" t="s">
        <v>85</v>
      </c>
      <c r="L784" s="227" t="s">
        <v>85</v>
      </c>
      <c r="M784" s="233">
        <v>0</v>
      </c>
      <c r="N784" s="231"/>
      <c r="O784" s="231"/>
      <c r="P784" s="234">
        <v>-3.84</v>
      </c>
    </row>
    <row r="785" spans="1:16" ht="19.5" customHeight="1">
      <c r="A785" s="227" t="s">
        <v>1272</v>
      </c>
      <c r="B785" s="230">
        <v>46052</v>
      </c>
      <c r="C785" s="227" t="s">
        <v>92</v>
      </c>
      <c r="D785" s="227" t="s">
        <v>24</v>
      </c>
      <c r="E785" s="227" t="s">
        <v>52</v>
      </c>
      <c r="F785" s="227" t="s">
        <v>90</v>
      </c>
      <c r="G785" s="227" t="s">
        <v>84</v>
      </c>
      <c r="H785" s="231">
        <v>1</v>
      </c>
      <c r="I785" s="232">
        <v>1800</v>
      </c>
      <c r="J785" s="230">
        <v>46050</v>
      </c>
      <c r="K785" s="227" t="s">
        <v>93</v>
      </c>
      <c r="L785" s="227" t="s">
        <v>94</v>
      </c>
      <c r="M785" s="233">
        <v>0.43</v>
      </c>
      <c r="N785" s="231"/>
      <c r="O785" s="231">
        <v>44</v>
      </c>
      <c r="P785" s="234">
        <v>-147.97999999999999</v>
      </c>
    </row>
    <row r="786" spans="1:16" ht="19.5" customHeight="1">
      <c r="A786" s="227" t="s">
        <v>1272</v>
      </c>
      <c r="B786" s="230">
        <v>46052</v>
      </c>
      <c r="C786" s="227" t="s">
        <v>100</v>
      </c>
      <c r="D786" s="227" t="s">
        <v>101</v>
      </c>
      <c r="E786" s="227" t="s">
        <v>52</v>
      </c>
      <c r="F786" s="227" t="s">
        <v>90</v>
      </c>
      <c r="G786" s="227" t="s">
        <v>84</v>
      </c>
      <c r="H786" s="231">
        <v>1</v>
      </c>
      <c r="I786" s="232">
        <v>1800</v>
      </c>
      <c r="J786" s="230">
        <v>46050</v>
      </c>
      <c r="K786" s="227" t="s">
        <v>93</v>
      </c>
      <c r="L786" s="227" t="s">
        <v>94</v>
      </c>
      <c r="M786" s="233">
        <v>0</v>
      </c>
      <c r="N786" s="231"/>
      <c r="O786" s="231"/>
      <c r="P786" s="234">
        <v>477.02</v>
      </c>
    </row>
    <row r="787" spans="1:16" ht="19.5" customHeight="1">
      <c r="A787" s="227" t="s">
        <v>1272</v>
      </c>
      <c r="B787" s="230">
        <v>46052</v>
      </c>
      <c r="C787" s="227" t="s">
        <v>100</v>
      </c>
      <c r="D787" s="227" t="s">
        <v>102</v>
      </c>
      <c r="E787" s="227" t="s">
        <v>52</v>
      </c>
      <c r="F787" s="227" t="s">
        <v>90</v>
      </c>
      <c r="G787" s="227" t="s">
        <v>84</v>
      </c>
      <c r="H787" s="231">
        <v>1</v>
      </c>
      <c r="I787" s="232">
        <v>1800</v>
      </c>
      <c r="J787" s="230">
        <v>46050</v>
      </c>
      <c r="K787" s="227" t="s">
        <v>93</v>
      </c>
      <c r="L787" s="227" t="s">
        <v>94</v>
      </c>
      <c r="M787" s="233">
        <v>0</v>
      </c>
      <c r="N787" s="231"/>
      <c r="O787" s="231"/>
      <c r="P787" s="234">
        <v>4.7699999999999996</v>
      </c>
    </row>
    <row r="788" spans="1:16" ht="19.5" customHeight="1">
      <c r="A788" s="227" t="s">
        <v>1272</v>
      </c>
      <c r="B788" s="230">
        <v>46052</v>
      </c>
      <c r="C788" s="227" t="s">
        <v>100</v>
      </c>
      <c r="D788" s="227" t="s">
        <v>103</v>
      </c>
      <c r="E788" s="227" t="s">
        <v>52</v>
      </c>
      <c r="F788" s="227" t="s">
        <v>90</v>
      </c>
      <c r="G788" s="227" t="s">
        <v>84</v>
      </c>
      <c r="H788" s="231">
        <v>1</v>
      </c>
      <c r="I788" s="232">
        <v>1800</v>
      </c>
      <c r="J788" s="230">
        <v>46050</v>
      </c>
      <c r="K788" s="227" t="s">
        <v>93</v>
      </c>
      <c r="L788" s="227" t="s">
        <v>94</v>
      </c>
      <c r="M788" s="233">
        <v>0</v>
      </c>
      <c r="N788" s="231"/>
      <c r="O788" s="231"/>
      <c r="P788" s="234">
        <v>1318.21</v>
      </c>
    </row>
    <row r="789" spans="1:16" ht="19.5" customHeight="1">
      <c r="A789" s="227" t="s">
        <v>1272</v>
      </c>
      <c r="B789" s="230">
        <v>46052</v>
      </c>
      <c r="C789" s="227" t="s">
        <v>104</v>
      </c>
      <c r="D789" s="227" t="s">
        <v>105</v>
      </c>
      <c r="E789" s="227" t="s">
        <v>52</v>
      </c>
      <c r="F789" s="227" t="s">
        <v>90</v>
      </c>
      <c r="G789" s="227" t="s">
        <v>84</v>
      </c>
      <c r="H789" s="231">
        <v>1</v>
      </c>
      <c r="I789" s="232">
        <v>1800</v>
      </c>
      <c r="J789" s="230">
        <v>46050</v>
      </c>
      <c r="K789" s="227" t="s">
        <v>93</v>
      </c>
      <c r="L789" s="227" t="s">
        <v>94</v>
      </c>
      <c r="M789" s="233">
        <v>0.43</v>
      </c>
      <c r="N789" s="231"/>
      <c r="O789" s="231"/>
      <c r="P789" s="234">
        <v>-774</v>
      </c>
    </row>
    <row r="790" spans="1:16" ht="19.5" customHeight="1">
      <c r="A790" s="227" t="s">
        <v>1272</v>
      </c>
      <c r="B790" s="230">
        <v>46052</v>
      </c>
      <c r="C790" s="227" t="s">
        <v>81</v>
      </c>
      <c r="D790" s="227" t="s">
        <v>95</v>
      </c>
      <c r="E790" s="227" t="s">
        <v>52</v>
      </c>
      <c r="F790" s="227" t="s">
        <v>90</v>
      </c>
      <c r="G790" s="227" t="s">
        <v>84</v>
      </c>
      <c r="H790" s="231">
        <v>1</v>
      </c>
      <c r="I790" s="232">
        <v>1800</v>
      </c>
      <c r="J790" s="230">
        <v>46050</v>
      </c>
      <c r="K790" s="227" t="s">
        <v>93</v>
      </c>
      <c r="L790" s="227" t="s">
        <v>94</v>
      </c>
      <c r="M790" s="233">
        <v>0.43</v>
      </c>
      <c r="N790" s="231"/>
      <c r="O790" s="231"/>
      <c r="P790" s="234">
        <v>-10</v>
      </c>
    </row>
    <row r="791" spans="1:16" ht="19.5" customHeight="1">
      <c r="A791" s="227" t="s">
        <v>1272</v>
      </c>
      <c r="B791" s="230">
        <v>46052</v>
      </c>
      <c r="C791" s="227" t="s">
        <v>81</v>
      </c>
      <c r="D791" s="227" t="s">
        <v>82</v>
      </c>
      <c r="E791" s="227" t="s">
        <v>52</v>
      </c>
      <c r="F791" s="227" t="s">
        <v>90</v>
      </c>
      <c r="G791" s="227" t="s">
        <v>84</v>
      </c>
      <c r="H791" s="231">
        <v>1</v>
      </c>
      <c r="I791" s="232">
        <v>0</v>
      </c>
      <c r="J791" s="230">
        <v>46050</v>
      </c>
      <c r="K791" s="227" t="s">
        <v>85</v>
      </c>
      <c r="L791" s="227" t="s">
        <v>85</v>
      </c>
      <c r="M791" s="233">
        <v>0</v>
      </c>
      <c r="N791" s="231"/>
      <c r="O791" s="231"/>
      <c r="P791" s="234">
        <v>-9.06</v>
      </c>
    </row>
    <row r="792" spans="1:16" ht="19.5" customHeight="1">
      <c r="A792" s="227" t="s">
        <v>1273</v>
      </c>
      <c r="B792" s="230">
        <v>46052</v>
      </c>
      <c r="C792" s="227" t="s">
        <v>81</v>
      </c>
      <c r="D792" s="227" t="s">
        <v>82</v>
      </c>
      <c r="E792" s="227" t="s">
        <v>55</v>
      </c>
      <c r="F792" s="227" t="s">
        <v>1274</v>
      </c>
      <c r="G792" s="227" t="s">
        <v>84</v>
      </c>
      <c r="H792" s="231">
        <v>1</v>
      </c>
      <c r="I792" s="232">
        <v>0</v>
      </c>
      <c r="J792" s="230">
        <v>46052</v>
      </c>
      <c r="K792" s="227" t="s">
        <v>85</v>
      </c>
      <c r="L792" s="227" t="s">
        <v>85</v>
      </c>
      <c r="M792" s="233">
        <v>0</v>
      </c>
      <c r="N792" s="231"/>
      <c r="O792" s="231"/>
      <c r="P792" s="234">
        <v>-8.2100000000000009</v>
      </c>
    </row>
    <row r="793" spans="1:16" ht="19.5" customHeight="1">
      <c r="A793" s="227" t="s">
        <v>1275</v>
      </c>
      <c r="B793" s="230">
        <v>46052</v>
      </c>
      <c r="C793" s="227" t="s">
        <v>92</v>
      </c>
      <c r="D793" s="227" t="s">
        <v>24</v>
      </c>
      <c r="E793" s="227" t="s">
        <v>42</v>
      </c>
      <c r="F793" s="227" t="s">
        <v>89</v>
      </c>
      <c r="G793" s="227" t="s">
        <v>84</v>
      </c>
      <c r="H793" s="231">
        <v>1</v>
      </c>
      <c r="I793" s="232">
        <v>1750</v>
      </c>
      <c r="J793" s="230">
        <v>46049</v>
      </c>
      <c r="K793" s="227" t="s">
        <v>93</v>
      </c>
      <c r="L793" s="227" t="s">
        <v>94</v>
      </c>
      <c r="M793" s="233">
        <v>0.43</v>
      </c>
      <c r="N793" s="231"/>
      <c r="O793" s="231">
        <v>45</v>
      </c>
      <c r="P793" s="234">
        <v>-135.38999999999999</v>
      </c>
    </row>
    <row r="794" spans="1:16" ht="19.5" customHeight="1">
      <c r="A794" s="227" t="s">
        <v>1275</v>
      </c>
      <c r="B794" s="230">
        <v>46052</v>
      </c>
      <c r="C794" s="227" t="s">
        <v>100</v>
      </c>
      <c r="D794" s="227" t="s">
        <v>101</v>
      </c>
      <c r="E794" s="227" t="s">
        <v>42</v>
      </c>
      <c r="F794" s="227" t="s">
        <v>89</v>
      </c>
      <c r="G794" s="227" t="s">
        <v>84</v>
      </c>
      <c r="H794" s="231">
        <v>1</v>
      </c>
      <c r="I794" s="232">
        <v>1750</v>
      </c>
      <c r="J794" s="230">
        <v>46049</v>
      </c>
      <c r="K794" s="227" t="s">
        <v>93</v>
      </c>
      <c r="L794" s="227" t="s">
        <v>94</v>
      </c>
      <c r="M794" s="233">
        <v>0</v>
      </c>
      <c r="N794" s="231"/>
      <c r="O794" s="231"/>
      <c r="P794" s="234">
        <v>609.52</v>
      </c>
    </row>
    <row r="795" spans="1:16" ht="19.5" customHeight="1">
      <c r="A795" s="227" t="s">
        <v>1275</v>
      </c>
      <c r="B795" s="230">
        <v>46052</v>
      </c>
      <c r="C795" s="227" t="s">
        <v>100</v>
      </c>
      <c r="D795" s="227" t="s">
        <v>102</v>
      </c>
      <c r="E795" s="227" t="s">
        <v>42</v>
      </c>
      <c r="F795" s="227" t="s">
        <v>89</v>
      </c>
      <c r="G795" s="227" t="s">
        <v>84</v>
      </c>
      <c r="H795" s="231">
        <v>1</v>
      </c>
      <c r="I795" s="232">
        <v>1750</v>
      </c>
      <c r="J795" s="230">
        <v>46049</v>
      </c>
      <c r="K795" s="227" t="s">
        <v>93</v>
      </c>
      <c r="L795" s="227" t="s">
        <v>94</v>
      </c>
      <c r="M795" s="233">
        <v>0</v>
      </c>
      <c r="N795" s="231"/>
      <c r="O795" s="231"/>
      <c r="P795" s="234">
        <v>6.1</v>
      </c>
    </row>
    <row r="796" spans="1:16" ht="19.5" customHeight="1">
      <c r="A796" s="227" t="s">
        <v>1275</v>
      </c>
      <c r="B796" s="230">
        <v>46052</v>
      </c>
      <c r="C796" s="227" t="s">
        <v>100</v>
      </c>
      <c r="D796" s="227" t="s">
        <v>103</v>
      </c>
      <c r="E796" s="227" t="s">
        <v>42</v>
      </c>
      <c r="F796" s="227" t="s">
        <v>89</v>
      </c>
      <c r="G796" s="227" t="s">
        <v>84</v>
      </c>
      <c r="H796" s="231">
        <v>1</v>
      </c>
      <c r="I796" s="232">
        <v>1750</v>
      </c>
      <c r="J796" s="230">
        <v>46049</v>
      </c>
      <c r="K796" s="227" t="s">
        <v>93</v>
      </c>
      <c r="L796" s="227" t="s">
        <v>94</v>
      </c>
      <c r="M796" s="233">
        <v>0</v>
      </c>
      <c r="N796" s="231"/>
      <c r="O796" s="231"/>
      <c r="P796" s="234">
        <v>1134.3800000000001</v>
      </c>
    </row>
    <row r="797" spans="1:16" ht="19.5" customHeight="1">
      <c r="A797" s="227" t="s">
        <v>1275</v>
      </c>
      <c r="B797" s="230">
        <v>46052</v>
      </c>
      <c r="C797" s="227" t="s">
        <v>104</v>
      </c>
      <c r="D797" s="227" t="s">
        <v>105</v>
      </c>
      <c r="E797" s="227" t="s">
        <v>42</v>
      </c>
      <c r="F797" s="227" t="s">
        <v>89</v>
      </c>
      <c r="G797" s="227" t="s">
        <v>84</v>
      </c>
      <c r="H797" s="231">
        <v>1</v>
      </c>
      <c r="I797" s="232">
        <v>1750</v>
      </c>
      <c r="J797" s="230">
        <v>46049</v>
      </c>
      <c r="K797" s="227" t="s">
        <v>93</v>
      </c>
      <c r="L797" s="227" t="s">
        <v>94</v>
      </c>
      <c r="M797" s="233">
        <v>0.43</v>
      </c>
      <c r="N797" s="231"/>
      <c r="O797" s="231"/>
      <c r="P797" s="234">
        <v>-752.5</v>
      </c>
    </row>
    <row r="798" spans="1:16" ht="19.5" customHeight="1">
      <c r="A798" s="227" t="s">
        <v>1275</v>
      </c>
      <c r="B798" s="230">
        <v>46052</v>
      </c>
      <c r="C798" s="227" t="s">
        <v>81</v>
      </c>
      <c r="D798" s="227" t="s">
        <v>95</v>
      </c>
      <c r="E798" s="227" t="s">
        <v>42</v>
      </c>
      <c r="F798" s="227" t="s">
        <v>89</v>
      </c>
      <c r="G798" s="227" t="s">
        <v>84</v>
      </c>
      <c r="H798" s="231">
        <v>1</v>
      </c>
      <c r="I798" s="232">
        <v>1750</v>
      </c>
      <c r="J798" s="230">
        <v>46049</v>
      </c>
      <c r="K798" s="227" t="s">
        <v>93</v>
      </c>
      <c r="L798" s="227" t="s">
        <v>94</v>
      </c>
      <c r="M798" s="233">
        <v>0.43</v>
      </c>
      <c r="N798" s="231"/>
      <c r="O798" s="231"/>
      <c r="P798" s="234">
        <v>-10.199999999999999</v>
      </c>
    </row>
    <row r="799" spans="1:16" ht="19.5" customHeight="1">
      <c r="A799" s="227" t="s">
        <v>1276</v>
      </c>
      <c r="B799" s="230">
        <v>46052</v>
      </c>
      <c r="C799" s="227" t="s">
        <v>92</v>
      </c>
      <c r="D799" s="227" t="s">
        <v>24</v>
      </c>
      <c r="E799" s="227" t="s">
        <v>53</v>
      </c>
      <c r="F799" s="227" t="s">
        <v>120</v>
      </c>
      <c r="G799" s="227" t="s">
        <v>84</v>
      </c>
      <c r="H799" s="231">
        <v>1</v>
      </c>
      <c r="I799" s="232">
        <v>1812</v>
      </c>
      <c r="J799" s="230">
        <v>46048</v>
      </c>
      <c r="K799" s="227" t="s">
        <v>93</v>
      </c>
      <c r="L799" s="227" t="s">
        <v>94</v>
      </c>
      <c r="M799" s="233">
        <v>0.43</v>
      </c>
      <c r="N799" s="231"/>
      <c r="O799" s="231">
        <v>44</v>
      </c>
      <c r="P799" s="234">
        <v>-148.36000000000001</v>
      </c>
    </row>
    <row r="800" spans="1:16" ht="19.5" customHeight="1">
      <c r="A800" s="227" t="s">
        <v>1276</v>
      </c>
      <c r="B800" s="230">
        <v>46052</v>
      </c>
      <c r="C800" s="227" t="s">
        <v>100</v>
      </c>
      <c r="D800" s="227" t="s">
        <v>101</v>
      </c>
      <c r="E800" s="227" t="s">
        <v>53</v>
      </c>
      <c r="F800" s="227" t="s">
        <v>120</v>
      </c>
      <c r="G800" s="227" t="s">
        <v>84</v>
      </c>
      <c r="H800" s="231">
        <v>1</v>
      </c>
      <c r="I800" s="232">
        <v>1812</v>
      </c>
      <c r="J800" s="230">
        <v>46048</v>
      </c>
      <c r="K800" s="227" t="s">
        <v>93</v>
      </c>
      <c r="L800" s="227" t="s">
        <v>94</v>
      </c>
      <c r="M800" s="233">
        <v>0</v>
      </c>
      <c r="N800" s="231"/>
      <c r="O800" s="231"/>
      <c r="P800" s="234">
        <v>707.62</v>
      </c>
    </row>
    <row r="801" spans="1:16" ht="19.5" customHeight="1">
      <c r="A801" s="227" t="s">
        <v>1276</v>
      </c>
      <c r="B801" s="230">
        <v>46052</v>
      </c>
      <c r="C801" s="227" t="s">
        <v>100</v>
      </c>
      <c r="D801" s="227" t="s">
        <v>102</v>
      </c>
      <c r="E801" s="227" t="s">
        <v>53</v>
      </c>
      <c r="F801" s="227" t="s">
        <v>120</v>
      </c>
      <c r="G801" s="227" t="s">
        <v>84</v>
      </c>
      <c r="H801" s="231">
        <v>1</v>
      </c>
      <c r="I801" s="232">
        <v>1812</v>
      </c>
      <c r="J801" s="230">
        <v>46048</v>
      </c>
      <c r="K801" s="227" t="s">
        <v>93</v>
      </c>
      <c r="L801" s="227" t="s">
        <v>94</v>
      </c>
      <c r="M801" s="233">
        <v>0</v>
      </c>
      <c r="N801" s="231"/>
      <c r="O801" s="231"/>
      <c r="P801" s="234">
        <v>7.08</v>
      </c>
    </row>
    <row r="802" spans="1:16" ht="19.5" customHeight="1">
      <c r="A802" s="227" t="s">
        <v>1276</v>
      </c>
      <c r="B802" s="230">
        <v>46052</v>
      </c>
      <c r="C802" s="227" t="s">
        <v>100</v>
      </c>
      <c r="D802" s="227" t="s">
        <v>103</v>
      </c>
      <c r="E802" s="227" t="s">
        <v>53</v>
      </c>
      <c r="F802" s="227" t="s">
        <v>120</v>
      </c>
      <c r="G802" s="227" t="s">
        <v>84</v>
      </c>
      <c r="H802" s="231">
        <v>1</v>
      </c>
      <c r="I802" s="232">
        <v>1812</v>
      </c>
      <c r="J802" s="230">
        <v>46048</v>
      </c>
      <c r="K802" s="227" t="s">
        <v>93</v>
      </c>
      <c r="L802" s="227" t="s">
        <v>94</v>
      </c>
      <c r="M802" s="233">
        <v>0</v>
      </c>
      <c r="N802" s="231"/>
      <c r="O802" s="231"/>
      <c r="P802" s="234">
        <v>1097.3</v>
      </c>
    </row>
    <row r="803" spans="1:16" ht="19.5" customHeight="1">
      <c r="A803" s="227" t="s">
        <v>1276</v>
      </c>
      <c r="B803" s="230">
        <v>46052</v>
      </c>
      <c r="C803" s="227" t="s">
        <v>104</v>
      </c>
      <c r="D803" s="227" t="s">
        <v>105</v>
      </c>
      <c r="E803" s="227" t="s">
        <v>53</v>
      </c>
      <c r="F803" s="227" t="s">
        <v>120</v>
      </c>
      <c r="G803" s="227" t="s">
        <v>84</v>
      </c>
      <c r="H803" s="231">
        <v>1</v>
      </c>
      <c r="I803" s="232">
        <v>1812</v>
      </c>
      <c r="J803" s="230">
        <v>46048</v>
      </c>
      <c r="K803" s="227" t="s">
        <v>93</v>
      </c>
      <c r="L803" s="227" t="s">
        <v>94</v>
      </c>
      <c r="M803" s="233">
        <v>0.43</v>
      </c>
      <c r="N803" s="231"/>
      <c r="O803" s="231"/>
      <c r="P803" s="234">
        <v>-779.16</v>
      </c>
    </row>
    <row r="804" spans="1:16" ht="19.5" customHeight="1">
      <c r="A804" s="227" t="s">
        <v>1276</v>
      </c>
      <c r="B804" s="230">
        <v>46052</v>
      </c>
      <c r="C804" s="227" t="s">
        <v>81</v>
      </c>
      <c r="D804" s="227" t="s">
        <v>95</v>
      </c>
      <c r="E804" s="227" t="s">
        <v>53</v>
      </c>
      <c r="F804" s="227" t="s">
        <v>120</v>
      </c>
      <c r="G804" s="227" t="s">
        <v>84</v>
      </c>
      <c r="H804" s="231">
        <v>1</v>
      </c>
      <c r="I804" s="232">
        <v>1812</v>
      </c>
      <c r="J804" s="230">
        <v>46048</v>
      </c>
      <c r="K804" s="227" t="s">
        <v>93</v>
      </c>
      <c r="L804" s="227" t="s">
        <v>94</v>
      </c>
      <c r="M804" s="233">
        <v>0.43</v>
      </c>
      <c r="N804" s="231"/>
      <c r="O804" s="231"/>
      <c r="P804" s="234">
        <v>-21.11</v>
      </c>
    </row>
    <row r="805" spans="1:16" ht="19.5" customHeight="1">
      <c r="A805" s="227" t="s">
        <v>1277</v>
      </c>
      <c r="B805" s="230">
        <v>46052</v>
      </c>
      <c r="C805" s="227" t="s">
        <v>81</v>
      </c>
      <c r="D805" s="227" t="s">
        <v>82</v>
      </c>
      <c r="E805" s="227" t="s">
        <v>52</v>
      </c>
      <c r="F805" s="227" t="s">
        <v>90</v>
      </c>
      <c r="G805" s="227" t="s">
        <v>84</v>
      </c>
      <c r="H805" s="231">
        <v>1</v>
      </c>
      <c r="I805" s="232">
        <v>0</v>
      </c>
      <c r="J805" s="230">
        <v>46052</v>
      </c>
      <c r="K805" s="227" t="s">
        <v>85</v>
      </c>
      <c r="L805" s="227" t="s">
        <v>85</v>
      </c>
      <c r="M805" s="233">
        <v>0</v>
      </c>
      <c r="N805" s="231"/>
      <c r="O805" s="231"/>
      <c r="P805" s="234">
        <v>-11.92</v>
      </c>
    </row>
    <row r="806" spans="1:16" ht="19.5" customHeight="1">
      <c r="A806" s="227" t="s">
        <v>1278</v>
      </c>
      <c r="B806" s="230">
        <v>46052</v>
      </c>
      <c r="C806" s="227" t="s">
        <v>354</v>
      </c>
      <c r="D806" s="227" t="s">
        <v>892</v>
      </c>
      <c r="E806" s="227" t="s">
        <v>85</v>
      </c>
      <c r="F806" s="227" t="s">
        <v>85</v>
      </c>
      <c r="G806" s="227" t="s">
        <v>85</v>
      </c>
      <c r="H806" s="231">
        <v>0</v>
      </c>
      <c r="I806" s="232">
        <v>0</v>
      </c>
      <c r="J806" s="230">
        <v>46044</v>
      </c>
      <c r="K806" s="227" t="s">
        <v>85</v>
      </c>
      <c r="L806" s="227" t="s">
        <v>85</v>
      </c>
      <c r="M806" s="233">
        <v>0</v>
      </c>
      <c r="N806" s="231"/>
      <c r="O806" s="231"/>
      <c r="P806" s="234">
        <v>-1799.2</v>
      </c>
    </row>
    <row r="807" spans="1:16" ht="19.5" customHeight="1">
      <c r="A807" s="227" t="s">
        <v>1278</v>
      </c>
      <c r="B807" s="230">
        <v>46052</v>
      </c>
      <c r="C807" s="227" t="s">
        <v>354</v>
      </c>
      <c r="D807" s="227" t="s">
        <v>892</v>
      </c>
      <c r="E807" s="227" t="s">
        <v>85</v>
      </c>
      <c r="F807" s="227" t="s">
        <v>85</v>
      </c>
      <c r="G807" s="227" t="s">
        <v>85</v>
      </c>
      <c r="H807" s="231">
        <v>0</v>
      </c>
      <c r="I807" s="232">
        <v>0</v>
      </c>
      <c r="J807" s="230">
        <v>46044</v>
      </c>
      <c r="K807" s="227" t="s">
        <v>85</v>
      </c>
      <c r="L807" s="227" t="s">
        <v>85</v>
      </c>
      <c r="M807" s="233">
        <v>0</v>
      </c>
      <c r="N807" s="231"/>
      <c r="O807" s="231"/>
      <c r="P807" s="234">
        <v>-1799.2</v>
      </c>
    </row>
    <row r="808" spans="1:16" ht="19.5" customHeight="1">
      <c r="A808" s="227" t="s">
        <v>1279</v>
      </c>
      <c r="B808" s="230">
        <v>46052</v>
      </c>
      <c r="C808" s="227" t="s">
        <v>92</v>
      </c>
      <c r="D808" s="227" t="s">
        <v>24</v>
      </c>
      <c r="E808" s="227" t="s">
        <v>52</v>
      </c>
      <c r="F808" s="227" t="s">
        <v>90</v>
      </c>
      <c r="G808" s="227" t="s">
        <v>84</v>
      </c>
      <c r="H808" s="231">
        <v>1</v>
      </c>
      <c r="I808" s="232">
        <v>1800</v>
      </c>
      <c r="J808" s="230">
        <v>46049</v>
      </c>
      <c r="K808" s="227" t="s">
        <v>93</v>
      </c>
      <c r="L808" s="227" t="s">
        <v>94</v>
      </c>
      <c r="M808" s="233">
        <v>0.43</v>
      </c>
      <c r="N808" s="231"/>
      <c r="O808" s="231">
        <v>45</v>
      </c>
      <c r="P808" s="234">
        <v>-152.36000000000001</v>
      </c>
    </row>
    <row r="809" spans="1:16" ht="19.5" customHeight="1">
      <c r="A809" s="227" t="s">
        <v>1279</v>
      </c>
      <c r="B809" s="230">
        <v>46052</v>
      </c>
      <c r="C809" s="227" t="s">
        <v>100</v>
      </c>
      <c r="D809" s="227" t="s">
        <v>101</v>
      </c>
      <c r="E809" s="227" t="s">
        <v>52</v>
      </c>
      <c r="F809" s="227" t="s">
        <v>90</v>
      </c>
      <c r="G809" s="227" t="s">
        <v>84</v>
      </c>
      <c r="H809" s="231">
        <v>1</v>
      </c>
      <c r="I809" s="232">
        <v>1800</v>
      </c>
      <c r="J809" s="230">
        <v>46049</v>
      </c>
      <c r="K809" s="227" t="s">
        <v>93</v>
      </c>
      <c r="L809" s="227" t="s">
        <v>94</v>
      </c>
      <c r="M809" s="233">
        <v>0</v>
      </c>
      <c r="N809" s="231"/>
      <c r="O809" s="231"/>
      <c r="P809" s="234">
        <v>660.95</v>
      </c>
    </row>
    <row r="810" spans="1:16" ht="19.5" customHeight="1">
      <c r="A810" s="227" t="s">
        <v>1279</v>
      </c>
      <c r="B810" s="230">
        <v>46052</v>
      </c>
      <c r="C810" s="227" t="s">
        <v>100</v>
      </c>
      <c r="D810" s="227" t="s">
        <v>102</v>
      </c>
      <c r="E810" s="227" t="s">
        <v>52</v>
      </c>
      <c r="F810" s="227" t="s">
        <v>90</v>
      </c>
      <c r="G810" s="227" t="s">
        <v>84</v>
      </c>
      <c r="H810" s="231">
        <v>1</v>
      </c>
      <c r="I810" s="232">
        <v>1800</v>
      </c>
      <c r="J810" s="230">
        <v>46049</v>
      </c>
      <c r="K810" s="227" t="s">
        <v>93</v>
      </c>
      <c r="L810" s="227" t="s">
        <v>94</v>
      </c>
      <c r="M810" s="233">
        <v>0</v>
      </c>
      <c r="N810" s="231"/>
      <c r="O810" s="231"/>
      <c r="P810" s="234">
        <v>6.61</v>
      </c>
    </row>
    <row r="811" spans="1:16" ht="19.5" customHeight="1">
      <c r="A811" s="227" t="s">
        <v>1279</v>
      </c>
      <c r="B811" s="230">
        <v>46052</v>
      </c>
      <c r="C811" s="227" t="s">
        <v>100</v>
      </c>
      <c r="D811" s="227" t="s">
        <v>103</v>
      </c>
      <c r="E811" s="227" t="s">
        <v>52</v>
      </c>
      <c r="F811" s="227" t="s">
        <v>90</v>
      </c>
      <c r="G811" s="227" t="s">
        <v>84</v>
      </c>
      <c r="H811" s="231">
        <v>1</v>
      </c>
      <c r="I811" s="232">
        <v>1800</v>
      </c>
      <c r="J811" s="230">
        <v>46049</v>
      </c>
      <c r="K811" s="227" t="s">
        <v>93</v>
      </c>
      <c r="L811" s="227" t="s">
        <v>94</v>
      </c>
      <c r="M811" s="233">
        <v>0</v>
      </c>
      <c r="N811" s="231"/>
      <c r="O811" s="231"/>
      <c r="P811" s="234">
        <v>1132.44</v>
      </c>
    </row>
    <row r="812" spans="1:16" ht="19.5" customHeight="1">
      <c r="A812" s="227" t="s">
        <v>1279</v>
      </c>
      <c r="B812" s="230">
        <v>46052</v>
      </c>
      <c r="C812" s="227" t="s">
        <v>104</v>
      </c>
      <c r="D812" s="227" t="s">
        <v>105</v>
      </c>
      <c r="E812" s="227" t="s">
        <v>52</v>
      </c>
      <c r="F812" s="227" t="s">
        <v>90</v>
      </c>
      <c r="G812" s="227" t="s">
        <v>84</v>
      </c>
      <c r="H812" s="231">
        <v>1</v>
      </c>
      <c r="I812" s="232">
        <v>1800</v>
      </c>
      <c r="J812" s="230">
        <v>46049</v>
      </c>
      <c r="K812" s="227" t="s">
        <v>93</v>
      </c>
      <c r="L812" s="227" t="s">
        <v>94</v>
      </c>
      <c r="M812" s="233">
        <v>0.43</v>
      </c>
      <c r="N812" s="231"/>
      <c r="O812" s="231"/>
      <c r="P812" s="234">
        <v>-774</v>
      </c>
    </row>
    <row r="813" spans="1:16" ht="19.5" customHeight="1">
      <c r="A813" s="227" t="s">
        <v>1279</v>
      </c>
      <c r="B813" s="230">
        <v>46052</v>
      </c>
      <c r="C813" s="227" t="s">
        <v>81</v>
      </c>
      <c r="D813" s="227" t="s">
        <v>95</v>
      </c>
      <c r="E813" s="227" t="s">
        <v>52</v>
      </c>
      <c r="F813" s="227" t="s">
        <v>90</v>
      </c>
      <c r="G813" s="227" t="s">
        <v>84</v>
      </c>
      <c r="H813" s="231">
        <v>1</v>
      </c>
      <c r="I813" s="232">
        <v>1800</v>
      </c>
      <c r="J813" s="230">
        <v>46049</v>
      </c>
      <c r="K813" s="227" t="s">
        <v>93</v>
      </c>
      <c r="L813" s="227" t="s">
        <v>94</v>
      </c>
      <c r="M813" s="233">
        <v>0.43</v>
      </c>
      <c r="N813" s="231"/>
      <c r="O813" s="231"/>
      <c r="P813" s="234">
        <v>-25</v>
      </c>
    </row>
    <row r="814" spans="1:16" ht="19.5" customHeight="1">
      <c r="A814" s="227" t="s">
        <v>287</v>
      </c>
      <c r="B814" s="230">
        <v>46052</v>
      </c>
      <c r="C814" s="227" t="s">
        <v>92</v>
      </c>
      <c r="D814" s="227" t="s">
        <v>272</v>
      </c>
      <c r="E814" s="227" t="s">
        <v>53</v>
      </c>
      <c r="F814" s="227" t="s">
        <v>120</v>
      </c>
      <c r="G814" s="227" t="s">
        <v>84</v>
      </c>
      <c r="H814" s="231">
        <v>1</v>
      </c>
      <c r="I814" s="232">
        <v>0</v>
      </c>
      <c r="J814" s="230">
        <v>46044</v>
      </c>
      <c r="K814" s="227" t="s">
        <v>93</v>
      </c>
      <c r="L814" s="227" t="s">
        <v>94</v>
      </c>
      <c r="M814" s="233">
        <v>0</v>
      </c>
      <c r="N814" s="231"/>
      <c r="O814" s="231"/>
      <c r="P814" s="234">
        <v>0</v>
      </c>
    </row>
    <row r="815" spans="1:16" ht="19.5" customHeight="1">
      <c r="A815" s="227" t="s">
        <v>287</v>
      </c>
      <c r="B815" s="230">
        <v>46052</v>
      </c>
      <c r="C815" s="227" t="s">
        <v>92</v>
      </c>
      <c r="D815" s="227" t="s">
        <v>97</v>
      </c>
      <c r="E815" s="227" t="s">
        <v>53</v>
      </c>
      <c r="F815" s="227" t="s">
        <v>120</v>
      </c>
      <c r="G815" s="227" t="s">
        <v>84</v>
      </c>
      <c r="H815" s="231">
        <v>1</v>
      </c>
      <c r="I815" s="232">
        <v>0</v>
      </c>
      <c r="J815" s="230">
        <v>46044</v>
      </c>
      <c r="K815" s="227" t="s">
        <v>93</v>
      </c>
      <c r="L815" s="227" t="s">
        <v>94</v>
      </c>
      <c r="M815" s="233">
        <v>0</v>
      </c>
      <c r="N815" s="231"/>
      <c r="O815" s="231"/>
      <c r="P815" s="234">
        <v>-99.64</v>
      </c>
    </row>
    <row r="816" spans="1:16" ht="19.5" customHeight="1">
      <c r="A816" s="227" t="s">
        <v>287</v>
      </c>
      <c r="B816" s="230">
        <v>46052</v>
      </c>
      <c r="C816" s="227" t="s">
        <v>81</v>
      </c>
      <c r="D816" s="227" t="s">
        <v>98</v>
      </c>
      <c r="E816" s="227" t="s">
        <v>53</v>
      </c>
      <c r="F816" s="227" t="s">
        <v>120</v>
      </c>
      <c r="G816" s="227" t="s">
        <v>84</v>
      </c>
      <c r="H816" s="231">
        <v>1</v>
      </c>
      <c r="I816" s="232">
        <v>0</v>
      </c>
      <c r="J816" s="230">
        <v>46044</v>
      </c>
      <c r="K816" s="227" t="s">
        <v>93</v>
      </c>
      <c r="L816" s="227" t="s">
        <v>94</v>
      </c>
      <c r="M816" s="233">
        <v>0</v>
      </c>
      <c r="N816" s="231"/>
      <c r="O816" s="231"/>
      <c r="P816" s="234">
        <v>-15</v>
      </c>
    </row>
    <row r="817" spans="1:16" ht="19.5" customHeight="1">
      <c r="A817" s="227" t="s">
        <v>1280</v>
      </c>
      <c r="B817" s="230">
        <v>46052</v>
      </c>
      <c r="C817" s="227" t="s">
        <v>81</v>
      </c>
      <c r="D817" s="227" t="s">
        <v>82</v>
      </c>
      <c r="E817" s="227" t="s">
        <v>41</v>
      </c>
      <c r="F817" s="227" t="s">
        <v>83</v>
      </c>
      <c r="G817" s="227" t="s">
        <v>84</v>
      </c>
      <c r="H817" s="231">
        <v>1</v>
      </c>
      <c r="I817" s="232">
        <v>0</v>
      </c>
      <c r="J817" s="230">
        <v>46052</v>
      </c>
      <c r="K817" s="227" t="s">
        <v>85</v>
      </c>
      <c r="L817" s="227" t="s">
        <v>85</v>
      </c>
      <c r="M817" s="233">
        <v>0</v>
      </c>
      <c r="N817" s="231"/>
      <c r="O817" s="231"/>
      <c r="P817" s="234">
        <v>-11.58</v>
      </c>
    </row>
    <row r="818" spans="1:16" ht="19.5" customHeight="1">
      <c r="A818" s="227" t="s">
        <v>1281</v>
      </c>
      <c r="B818" s="230">
        <v>46052</v>
      </c>
      <c r="C818" s="227" t="s">
        <v>92</v>
      </c>
      <c r="D818" s="227" t="s">
        <v>24</v>
      </c>
      <c r="E818" s="227" t="s">
        <v>52</v>
      </c>
      <c r="F818" s="227" t="s">
        <v>90</v>
      </c>
      <c r="G818" s="227" t="s">
        <v>84</v>
      </c>
      <c r="H818" s="231">
        <v>1</v>
      </c>
      <c r="I818" s="232">
        <v>1800</v>
      </c>
      <c r="J818" s="230">
        <v>46050</v>
      </c>
      <c r="K818" s="227" t="s">
        <v>93</v>
      </c>
      <c r="L818" s="227" t="s">
        <v>94</v>
      </c>
      <c r="M818" s="233">
        <v>0.43</v>
      </c>
      <c r="N818" s="231"/>
      <c r="O818" s="231">
        <v>44</v>
      </c>
      <c r="P818" s="234">
        <v>-147.97999999999999</v>
      </c>
    </row>
    <row r="819" spans="1:16" ht="19.5" customHeight="1">
      <c r="A819" s="227" t="s">
        <v>1281</v>
      </c>
      <c r="B819" s="230">
        <v>46052</v>
      </c>
      <c r="C819" s="227" t="s">
        <v>100</v>
      </c>
      <c r="D819" s="227" t="s">
        <v>101</v>
      </c>
      <c r="E819" s="227" t="s">
        <v>52</v>
      </c>
      <c r="F819" s="227" t="s">
        <v>90</v>
      </c>
      <c r="G819" s="227" t="s">
        <v>84</v>
      </c>
      <c r="H819" s="231">
        <v>1</v>
      </c>
      <c r="I819" s="232">
        <v>1800</v>
      </c>
      <c r="J819" s="230">
        <v>46050</v>
      </c>
      <c r="K819" s="227" t="s">
        <v>93</v>
      </c>
      <c r="L819" s="227" t="s">
        <v>94</v>
      </c>
      <c r="M819" s="233">
        <v>0</v>
      </c>
      <c r="N819" s="231"/>
      <c r="O819" s="231"/>
      <c r="P819" s="234">
        <v>627.62</v>
      </c>
    </row>
    <row r="820" spans="1:16" ht="19.5" customHeight="1">
      <c r="A820" s="227" t="s">
        <v>1281</v>
      </c>
      <c r="B820" s="230">
        <v>46052</v>
      </c>
      <c r="C820" s="227" t="s">
        <v>100</v>
      </c>
      <c r="D820" s="227" t="s">
        <v>102</v>
      </c>
      <c r="E820" s="227" t="s">
        <v>52</v>
      </c>
      <c r="F820" s="227" t="s">
        <v>90</v>
      </c>
      <c r="G820" s="227" t="s">
        <v>84</v>
      </c>
      <c r="H820" s="231">
        <v>1</v>
      </c>
      <c r="I820" s="232">
        <v>1800</v>
      </c>
      <c r="J820" s="230">
        <v>46050</v>
      </c>
      <c r="K820" s="227" t="s">
        <v>93</v>
      </c>
      <c r="L820" s="227" t="s">
        <v>94</v>
      </c>
      <c r="M820" s="233">
        <v>0</v>
      </c>
      <c r="N820" s="231"/>
      <c r="O820" s="231"/>
      <c r="P820" s="234">
        <v>6.28</v>
      </c>
    </row>
    <row r="821" spans="1:16" ht="19.5" customHeight="1">
      <c r="A821" s="227" t="s">
        <v>1281</v>
      </c>
      <c r="B821" s="230">
        <v>46052</v>
      </c>
      <c r="C821" s="227" t="s">
        <v>100</v>
      </c>
      <c r="D821" s="227" t="s">
        <v>103</v>
      </c>
      <c r="E821" s="227" t="s">
        <v>52</v>
      </c>
      <c r="F821" s="227" t="s">
        <v>90</v>
      </c>
      <c r="G821" s="227" t="s">
        <v>84</v>
      </c>
      <c r="H821" s="231">
        <v>1</v>
      </c>
      <c r="I821" s="232">
        <v>1800</v>
      </c>
      <c r="J821" s="230">
        <v>46050</v>
      </c>
      <c r="K821" s="227" t="s">
        <v>93</v>
      </c>
      <c r="L821" s="227" t="s">
        <v>94</v>
      </c>
      <c r="M821" s="233">
        <v>0</v>
      </c>
      <c r="N821" s="231"/>
      <c r="O821" s="231"/>
      <c r="P821" s="234">
        <v>1166.0999999999999</v>
      </c>
    </row>
    <row r="822" spans="1:16" ht="19.5" customHeight="1">
      <c r="A822" s="227" t="s">
        <v>1281</v>
      </c>
      <c r="B822" s="230">
        <v>46052</v>
      </c>
      <c r="C822" s="227" t="s">
        <v>104</v>
      </c>
      <c r="D822" s="227" t="s">
        <v>105</v>
      </c>
      <c r="E822" s="227" t="s">
        <v>52</v>
      </c>
      <c r="F822" s="227" t="s">
        <v>90</v>
      </c>
      <c r="G822" s="227" t="s">
        <v>84</v>
      </c>
      <c r="H822" s="231">
        <v>1</v>
      </c>
      <c r="I822" s="232">
        <v>1800</v>
      </c>
      <c r="J822" s="230">
        <v>46050</v>
      </c>
      <c r="K822" s="227" t="s">
        <v>93</v>
      </c>
      <c r="L822" s="227" t="s">
        <v>94</v>
      </c>
      <c r="M822" s="233">
        <v>0.43</v>
      </c>
      <c r="N822" s="231"/>
      <c r="O822" s="231"/>
      <c r="P822" s="234">
        <v>-774</v>
      </c>
    </row>
    <row r="823" spans="1:16" ht="19.5" customHeight="1">
      <c r="A823" s="227" t="s">
        <v>1281</v>
      </c>
      <c r="B823" s="230">
        <v>46052</v>
      </c>
      <c r="C823" s="227" t="s">
        <v>81</v>
      </c>
      <c r="D823" s="227" t="s">
        <v>95</v>
      </c>
      <c r="E823" s="227" t="s">
        <v>52</v>
      </c>
      <c r="F823" s="227" t="s">
        <v>90</v>
      </c>
      <c r="G823" s="227" t="s">
        <v>84</v>
      </c>
      <c r="H823" s="231">
        <v>1</v>
      </c>
      <c r="I823" s="232">
        <v>1800</v>
      </c>
      <c r="J823" s="230">
        <v>46050</v>
      </c>
      <c r="K823" s="227" t="s">
        <v>93</v>
      </c>
      <c r="L823" s="227" t="s">
        <v>94</v>
      </c>
      <c r="M823" s="233">
        <v>0.43</v>
      </c>
      <c r="N823" s="231"/>
      <c r="O823" s="231"/>
      <c r="P823" s="234">
        <v>-16.64</v>
      </c>
    </row>
    <row r="824" spans="1:16" ht="19.5" customHeight="1">
      <c r="A824" s="227" t="s">
        <v>1282</v>
      </c>
      <c r="B824" s="230">
        <v>46052</v>
      </c>
      <c r="C824" s="227" t="s">
        <v>92</v>
      </c>
      <c r="D824" s="227" t="s">
        <v>24</v>
      </c>
      <c r="E824" s="227" t="s">
        <v>53</v>
      </c>
      <c r="F824" s="227" t="s">
        <v>120</v>
      </c>
      <c r="G824" s="227" t="s">
        <v>84</v>
      </c>
      <c r="H824" s="231">
        <v>1</v>
      </c>
      <c r="I824" s="232">
        <v>1812</v>
      </c>
      <c r="J824" s="230">
        <v>46050</v>
      </c>
      <c r="K824" s="227" t="s">
        <v>93</v>
      </c>
      <c r="L824" s="227" t="s">
        <v>94</v>
      </c>
      <c r="M824" s="233">
        <v>0.43</v>
      </c>
      <c r="N824" s="231"/>
      <c r="O824" s="231">
        <v>44</v>
      </c>
      <c r="P824" s="234">
        <v>-148.36000000000001</v>
      </c>
    </row>
    <row r="825" spans="1:16" ht="19.5" customHeight="1">
      <c r="A825" s="227" t="s">
        <v>1282</v>
      </c>
      <c r="B825" s="230">
        <v>46052</v>
      </c>
      <c r="C825" s="227" t="s">
        <v>100</v>
      </c>
      <c r="D825" s="227" t="s">
        <v>101</v>
      </c>
      <c r="E825" s="227" t="s">
        <v>53</v>
      </c>
      <c r="F825" s="227" t="s">
        <v>120</v>
      </c>
      <c r="G825" s="227" t="s">
        <v>84</v>
      </c>
      <c r="H825" s="231">
        <v>1</v>
      </c>
      <c r="I825" s="232">
        <v>1812</v>
      </c>
      <c r="J825" s="230">
        <v>46050</v>
      </c>
      <c r="K825" s="227" t="s">
        <v>93</v>
      </c>
      <c r="L825" s="227" t="s">
        <v>94</v>
      </c>
      <c r="M825" s="233">
        <v>0</v>
      </c>
      <c r="N825" s="231"/>
      <c r="O825" s="231"/>
      <c r="P825" s="234">
        <v>330.23</v>
      </c>
    </row>
    <row r="826" spans="1:16" ht="19.5" customHeight="1">
      <c r="A826" s="227" t="s">
        <v>1282</v>
      </c>
      <c r="B826" s="230">
        <v>46052</v>
      </c>
      <c r="C826" s="227" t="s">
        <v>100</v>
      </c>
      <c r="D826" s="227" t="s">
        <v>102</v>
      </c>
      <c r="E826" s="227" t="s">
        <v>53</v>
      </c>
      <c r="F826" s="227" t="s">
        <v>120</v>
      </c>
      <c r="G826" s="227" t="s">
        <v>84</v>
      </c>
      <c r="H826" s="231">
        <v>1</v>
      </c>
      <c r="I826" s="232">
        <v>1812</v>
      </c>
      <c r="J826" s="230">
        <v>46050</v>
      </c>
      <c r="K826" s="227" t="s">
        <v>93</v>
      </c>
      <c r="L826" s="227" t="s">
        <v>94</v>
      </c>
      <c r="M826" s="233">
        <v>0</v>
      </c>
      <c r="N826" s="231"/>
      <c r="O826" s="231"/>
      <c r="P826" s="234">
        <v>3.3</v>
      </c>
    </row>
    <row r="827" spans="1:16" ht="19.5" customHeight="1">
      <c r="A827" s="227" t="s">
        <v>1282</v>
      </c>
      <c r="B827" s="230">
        <v>46052</v>
      </c>
      <c r="C827" s="227" t="s">
        <v>100</v>
      </c>
      <c r="D827" s="227" t="s">
        <v>103</v>
      </c>
      <c r="E827" s="227" t="s">
        <v>53</v>
      </c>
      <c r="F827" s="227" t="s">
        <v>120</v>
      </c>
      <c r="G827" s="227" t="s">
        <v>84</v>
      </c>
      <c r="H827" s="231">
        <v>1</v>
      </c>
      <c r="I827" s="232">
        <v>1812</v>
      </c>
      <c r="J827" s="230">
        <v>46050</v>
      </c>
      <c r="K827" s="227" t="s">
        <v>93</v>
      </c>
      <c r="L827" s="227" t="s">
        <v>94</v>
      </c>
      <c r="M827" s="233">
        <v>0</v>
      </c>
      <c r="N827" s="231"/>
      <c r="O827" s="231"/>
      <c r="P827" s="234">
        <v>1478.47</v>
      </c>
    </row>
    <row r="828" spans="1:16" ht="19.5" customHeight="1">
      <c r="A828" s="227" t="s">
        <v>1282</v>
      </c>
      <c r="B828" s="230">
        <v>46052</v>
      </c>
      <c r="C828" s="227" t="s">
        <v>104</v>
      </c>
      <c r="D828" s="227" t="s">
        <v>105</v>
      </c>
      <c r="E828" s="227" t="s">
        <v>53</v>
      </c>
      <c r="F828" s="227" t="s">
        <v>120</v>
      </c>
      <c r="G828" s="227" t="s">
        <v>84</v>
      </c>
      <c r="H828" s="231">
        <v>1</v>
      </c>
      <c r="I828" s="232">
        <v>1812</v>
      </c>
      <c r="J828" s="230">
        <v>46050</v>
      </c>
      <c r="K828" s="227" t="s">
        <v>93</v>
      </c>
      <c r="L828" s="227" t="s">
        <v>94</v>
      </c>
      <c r="M828" s="233">
        <v>0.43</v>
      </c>
      <c r="N828" s="231"/>
      <c r="O828" s="231"/>
      <c r="P828" s="234">
        <v>-779.16</v>
      </c>
    </row>
    <row r="829" spans="1:16" ht="19.5" customHeight="1">
      <c r="A829" s="227" t="s">
        <v>1282</v>
      </c>
      <c r="B829" s="230">
        <v>46052</v>
      </c>
      <c r="C829" s="227" t="s">
        <v>81</v>
      </c>
      <c r="D829" s="227" t="s">
        <v>95</v>
      </c>
      <c r="E829" s="227" t="s">
        <v>53</v>
      </c>
      <c r="F829" s="227" t="s">
        <v>120</v>
      </c>
      <c r="G829" s="227" t="s">
        <v>84</v>
      </c>
      <c r="H829" s="231">
        <v>1</v>
      </c>
      <c r="I829" s="232">
        <v>1812</v>
      </c>
      <c r="J829" s="230">
        <v>46050</v>
      </c>
      <c r="K829" s="227" t="s">
        <v>93</v>
      </c>
      <c r="L829" s="227" t="s">
        <v>94</v>
      </c>
      <c r="M829" s="233">
        <v>0.43</v>
      </c>
      <c r="N829" s="231"/>
      <c r="O829" s="231"/>
      <c r="P829" s="234">
        <v>-10.49</v>
      </c>
    </row>
    <row r="830" spans="1:16" ht="19.5" customHeight="1">
      <c r="A830" s="227" t="s">
        <v>1283</v>
      </c>
      <c r="B830" s="230">
        <v>46052</v>
      </c>
      <c r="C830" s="227" t="s">
        <v>92</v>
      </c>
      <c r="D830" s="227" t="s">
        <v>24</v>
      </c>
      <c r="E830" s="227" t="s">
        <v>52</v>
      </c>
      <c r="F830" s="227" t="s">
        <v>90</v>
      </c>
      <c r="G830" s="227" t="s">
        <v>84</v>
      </c>
      <c r="H830" s="231">
        <v>1</v>
      </c>
      <c r="I830" s="232">
        <v>1800</v>
      </c>
      <c r="J830" s="230">
        <v>46050</v>
      </c>
      <c r="K830" s="227" t="s">
        <v>93</v>
      </c>
      <c r="L830" s="227" t="s">
        <v>94</v>
      </c>
      <c r="M830" s="233">
        <v>0.43</v>
      </c>
      <c r="N830" s="231"/>
      <c r="O830" s="231">
        <v>44</v>
      </c>
      <c r="P830" s="234">
        <v>-147.97999999999999</v>
      </c>
    </row>
    <row r="831" spans="1:16" ht="19.5" customHeight="1">
      <c r="A831" s="227" t="s">
        <v>1283</v>
      </c>
      <c r="B831" s="230">
        <v>46052</v>
      </c>
      <c r="C831" s="227" t="s">
        <v>100</v>
      </c>
      <c r="D831" s="227" t="s">
        <v>101</v>
      </c>
      <c r="E831" s="227" t="s">
        <v>52</v>
      </c>
      <c r="F831" s="227" t="s">
        <v>90</v>
      </c>
      <c r="G831" s="227" t="s">
        <v>84</v>
      </c>
      <c r="H831" s="231">
        <v>1</v>
      </c>
      <c r="I831" s="232">
        <v>1800</v>
      </c>
      <c r="J831" s="230">
        <v>46050</v>
      </c>
      <c r="K831" s="227" t="s">
        <v>93</v>
      </c>
      <c r="L831" s="227" t="s">
        <v>94</v>
      </c>
      <c r="M831" s="233">
        <v>0</v>
      </c>
      <c r="N831" s="231"/>
      <c r="O831" s="231"/>
      <c r="P831" s="234">
        <v>627.62</v>
      </c>
    </row>
    <row r="832" spans="1:16" ht="19.5" customHeight="1">
      <c r="A832" s="227" t="s">
        <v>1283</v>
      </c>
      <c r="B832" s="230">
        <v>46052</v>
      </c>
      <c r="C832" s="227" t="s">
        <v>100</v>
      </c>
      <c r="D832" s="227" t="s">
        <v>102</v>
      </c>
      <c r="E832" s="227" t="s">
        <v>52</v>
      </c>
      <c r="F832" s="227" t="s">
        <v>90</v>
      </c>
      <c r="G832" s="227" t="s">
        <v>84</v>
      </c>
      <c r="H832" s="231">
        <v>1</v>
      </c>
      <c r="I832" s="232">
        <v>1800</v>
      </c>
      <c r="J832" s="230">
        <v>46050</v>
      </c>
      <c r="K832" s="227" t="s">
        <v>93</v>
      </c>
      <c r="L832" s="227" t="s">
        <v>94</v>
      </c>
      <c r="M832" s="233">
        <v>0</v>
      </c>
      <c r="N832" s="231"/>
      <c r="O832" s="231"/>
      <c r="P832" s="234">
        <v>6.28</v>
      </c>
    </row>
    <row r="833" spans="1:16" ht="19.5" customHeight="1">
      <c r="A833" s="227" t="s">
        <v>1283</v>
      </c>
      <c r="B833" s="230">
        <v>46052</v>
      </c>
      <c r="C833" s="227" t="s">
        <v>100</v>
      </c>
      <c r="D833" s="227" t="s">
        <v>103</v>
      </c>
      <c r="E833" s="227" t="s">
        <v>52</v>
      </c>
      <c r="F833" s="227" t="s">
        <v>90</v>
      </c>
      <c r="G833" s="227" t="s">
        <v>84</v>
      </c>
      <c r="H833" s="231">
        <v>1</v>
      </c>
      <c r="I833" s="232">
        <v>1800</v>
      </c>
      <c r="J833" s="230">
        <v>46050</v>
      </c>
      <c r="K833" s="227" t="s">
        <v>93</v>
      </c>
      <c r="L833" s="227" t="s">
        <v>94</v>
      </c>
      <c r="M833" s="233">
        <v>0</v>
      </c>
      <c r="N833" s="231"/>
      <c r="O833" s="231"/>
      <c r="P833" s="234">
        <v>1166.0999999999999</v>
      </c>
    </row>
    <row r="834" spans="1:16" ht="19.5" customHeight="1">
      <c r="A834" s="227" t="s">
        <v>1283</v>
      </c>
      <c r="B834" s="230">
        <v>46052</v>
      </c>
      <c r="C834" s="227" t="s">
        <v>104</v>
      </c>
      <c r="D834" s="227" t="s">
        <v>105</v>
      </c>
      <c r="E834" s="227" t="s">
        <v>52</v>
      </c>
      <c r="F834" s="227" t="s">
        <v>90</v>
      </c>
      <c r="G834" s="227" t="s">
        <v>84</v>
      </c>
      <c r="H834" s="231">
        <v>1</v>
      </c>
      <c r="I834" s="232">
        <v>1800</v>
      </c>
      <c r="J834" s="230">
        <v>46050</v>
      </c>
      <c r="K834" s="227" t="s">
        <v>93</v>
      </c>
      <c r="L834" s="227" t="s">
        <v>94</v>
      </c>
      <c r="M834" s="233">
        <v>0.43</v>
      </c>
      <c r="N834" s="231"/>
      <c r="O834" s="231"/>
      <c r="P834" s="234">
        <v>-774</v>
      </c>
    </row>
    <row r="835" spans="1:16" ht="19.5" customHeight="1">
      <c r="A835" s="227" t="s">
        <v>1283</v>
      </c>
      <c r="B835" s="230">
        <v>46052</v>
      </c>
      <c r="C835" s="227" t="s">
        <v>81</v>
      </c>
      <c r="D835" s="227" t="s">
        <v>95</v>
      </c>
      <c r="E835" s="227" t="s">
        <v>52</v>
      </c>
      <c r="F835" s="227" t="s">
        <v>90</v>
      </c>
      <c r="G835" s="227" t="s">
        <v>84</v>
      </c>
      <c r="H835" s="231">
        <v>1</v>
      </c>
      <c r="I835" s="232">
        <v>1800</v>
      </c>
      <c r="J835" s="230">
        <v>46050</v>
      </c>
      <c r="K835" s="227" t="s">
        <v>93</v>
      </c>
      <c r="L835" s="227" t="s">
        <v>94</v>
      </c>
      <c r="M835" s="233">
        <v>0.43</v>
      </c>
      <c r="N835" s="231"/>
      <c r="O835" s="231"/>
      <c r="P835" s="234">
        <v>-10.62</v>
      </c>
    </row>
    <row r="836" spans="1:16" ht="19.5" customHeight="1">
      <c r="A836" s="227" t="s">
        <v>1284</v>
      </c>
      <c r="B836" s="230">
        <v>46052</v>
      </c>
      <c r="C836" s="227" t="s">
        <v>92</v>
      </c>
      <c r="D836" s="227" t="s">
        <v>24</v>
      </c>
      <c r="E836" s="227" t="s">
        <v>52</v>
      </c>
      <c r="F836" s="227" t="s">
        <v>90</v>
      </c>
      <c r="G836" s="227" t="s">
        <v>84</v>
      </c>
      <c r="H836" s="231">
        <v>1</v>
      </c>
      <c r="I836" s="232">
        <v>1800</v>
      </c>
      <c r="J836" s="230">
        <v>46051</v>
      </c>
      <c r="K836" s="227" t="s">
        <v>93</v>
      </c>
      <c r="L836" s="227" t="s">
        <v>94</v>
      </c>
      <c r="M836" s="233">
        <v>0.43</v>
      </c>
      <c r="N836" s="231"/>
      <c r="O836" s="231">
        <v>44</v>
      </c>
      <c r="P836" s="234">
        <v>-149.51</v>
      </c>
    </row>
    <row r="837" spans="1:16" ht="19.5" customHeight="1">
      <c r="A837" s="227" t="s">
        <v>1284</v>
      </c>
      <c r="B837" s="230">
        <v>46052</v>
      </c>
      <c r="C837" s="227" t="s">
        <v>100</v>
      </c>
      <c r="D837" s="227" t="s">
        <v>101</v>
      </c>
      <c r="E837" s="227" t="s">
        <v>52</v>
      </c>
      <c r="F837" s="227" t="s">
        <v>90</v>
      </c>
      <c r="G837" s="227" t="s">
        <v>84</v>
      </c>
      <c r="H837" s="231">
        <v>1</v>
      </c>
      <c r="I837" s="232">
        <v>1800</v>
      </c>
      <c r="J837" s="230">
        <v>46051</v>
      </c>
      <c r="K837" s="227" t="s">
        <v>93</v>
      </c>
      <c r="L837" s="227" t="s">
        <v>94</v>
      </c>
      <c r="M837" s="233">
        <v>0</v>
      </c>
      <c r="N837" s="231"/>
      <c r="O837" s="231"/>
      <c r="P837" s="234">
        <v>627.62</v>
      </c>
    </row>
    <row r="838" spans="1:16" ht="19.5" customHeight="1">
      <c r="A838" s="227" t="s">
        <v>1284</v>
      </c>
      <c r="B838" s="230">
        <v>46052</v>
      </c>
      <c r="C838" s="227" t="s">
        <v>100</v>
      </c>
      <c r="D838" s="227" t="s">
        <v>102</v>
      </c>
      <c r="E838" s="227" t="s">
        <v>52</v>
      </c>
      <c r="F838" s="227" t="s">
        <v>90</v>
      </c>
      <c r="G838" s="227" t="s">
        <v>84</v>
      </c>
      <c r="H838" s="231">
        <v>1</v>
      </c>
      <c r="I838" s="232">
        <v>1800</v>
      </c>
      <c r="J838" s="230">
        <v>46051</v>
      </c>
      <c r="K838" s="227" t="s">
        <v>93</v>
      </c>
      <c r="L838" s="227" t="s">
        <v>94</v>
      </c>
      <c r="M838" s="233">
        <v>0</v>
      </c>
      <c r="N838" s="231"/>
      <c r="O838" s="231"/>
      <c r="P838" s="234">
        <v>6.28</v>
      </c>
    </row>
    <row r="839" spans="1:16" ht="19.5" customHeight="1">
      <c r="A839" s="227" t="s">
        <v>1284</v>
      </c>
      <c r="B839" s="230">
        <v>46052</v>
      </c>
      <c r="C839" s="227" t="s">
        <v>100</v>
      </c>
      <c r="D839" s="227" t="s">
        <v>103</v>
      </c>
      <c r="E839" s="227" t="s">
        <v>52</v>
      </c>
      <c r="F839" s="227" t="s">
        <v>90</v>
      </c>
      <c r="G839" s="227" t="s">
        <v>84</v>
      </c>
      <c r="H839" s="231">
        <v>1</v>
      </c>
      <c r="I839" s="232">
        <v>1800</v>
      </c>
      <c r="J839" s="230">
        <v>46051</v>
      </c>
      <c r="K839" s="227" t="s">
        <v>93</v>
      </c>
      <c r="L839" s="227" t="s">
        <v>94</v>
      </c>
      <c r="M839" s="233">
        <v>0</v>
      </c>
      <c r="N839" s="231"/>
      <c r="O839" s="231"/>
      <c r="P839" s="234">
        <v>1166.0999999999999</v>
      </c>
    </row>
    <row r="840" spans="1:16" ht="19.5" customHeight="1">
      <c r="A840" s="227" t="s">
        <v>1284</v>
      </c>
      <c r="B840" s="230">
        <v>46052</v>
      </c>
      <c r="C840" s="227" t="s">
        <v>104</v>
      </c>
      <c r="D840" s="227" t="s">
        <v>105</v>
      </c>
      <c r="E840" s="227" t="s">
        <v>52</v>
      </c>
      <c r="F840" s="227" t="s">
        <v>90</v>
      </c>
      <c r="G840" s="227" t="s">
        <v>84</v>
      </c>
      <c r="H840" s="231">
        <v>1</v>
      </c>
      <c r="I840" s="232">
        <v>1800</v>
      </c>
      <c r="J840" s="230">
        <v>46051</v>
      </c>
      <c r="K840" s="227" t="s">
        <v>93</v>
      </c>
      <c r="L840" s="227" t="s">
        <v>94</v>
      </c>
      <c r="M840" s="233">
        <v>0.43</v>
      </c>
      <c r="N840" s="231"/>
      <c r="O840" s="231"/>
      <c r="P840" s="234">
        <v>-774</v>
      </c>
    </row>
    <row r="841" spans="1:16" ht="19.5" customHeight="1">
      <c r="A841" s="227" t="s">
        <v>1284</v>
      </c>
      <c r="B841" s="230">
        <v>46052</v>
      </c>
      <c r="C841" s="227" t="s">
        <v>81</v>
      </c>
      <c r="D841" s="227" t="s">
        <v>95</v>
      </c>
      <c r="E841" s="227" t="s">
        <v>52</v>
      </c>
      <c r="F841" s="227" t="s">
        <v>90</v>
      </c>
      <c r="G841" s="227" t="s">
        <v>84</v>
      </c>
      <c r="H841" s="231">
        <v>1</v>
      </c>
      <c r="I841" s="232">
        <v>1800</v>
      </c>
      <c r="J841" s="230">
        <v>46051</v>
      </c>
      <c r="K841" s="227" t="s">
        <v>93</v>
      </c>
      <c r="L841" s="227" t="s">
        <v>94</v>
      </c>
      <c r="M841" s="233">
        <v>0.43</v>
      </c>
      <c r="N841" s="231"/>
      <c r="O841" s="231"/>
      <c r="P841" s="234">
        <v>-10.97</v>
      </c>
    </row>
    <row r="842" spans="1:16" ht="19.5" customHeight="1">
      <c r="A842" s="227" t="s">
        <v>1285</v>
      </c>
      <c r="B842" s="230">
        <v>46052</v>
      </c>
      <c r="C842" s="227" t="s">
        <v>92</v>
      </c>
      <c r="D842" s="227" t="s">
        <v>24</v>
      </c>
      <c r="E842" s="227" t="s">
        <v>53</v>
      </c>
      <c r="F842" s="227" t="s">
        <v>120</v>
      </c>
      <c r="G842" s="227" t="s">
        <v>84</v>
      </c>
      <c r="H842" s="231">
        <v>1</v>
      </c>
      <c r="I842" s="232">
        <v>1812</v>
      </c>
      <c r="J842" s="230">
        <v>46051</v>
      </c>
      <c r="K842" s="227" t="s">
        <v>93</v>
      </c>
      <c r="L842" s="227" t="s">
        <v>94</v>
      </c>
      <c r="M842" s="233">
        <v>0.43</v>
      </c>
      <c r="N842" s="231"/>
      <c r="O842" s="231">
        <v>44</v>
      </c>
      <c r="P842" s="234">
        <v>-149.88999999999999</v>
      </c>
    </row>
    <row r="843" spans="1:16" ht="19.5" customHeight="1">
      <c r="A843" s="227" t="s">
        <v>1285</v>
      </c>
      <c r="B843" s="230">
        <v>46052</v>
      </c>
      <c r="C843" s="227" t="s">
        <v>100</v>
      </c>
      <c r="D843" s="227" t="s">
        <v>101</v>
      </c>
      <c r="E843" s="227" t="s">
        <v>53</v>
      </c>
      <c r="F843" s="227" t="s">
        <v>120</v>
      </c>
      <c r="G843" s="227" t="s">
        <v>84</v>
      </c>
      <c r="H843" s="231">
        <v>1</v>
      </c>
      <c r="I843" s="232">
        <v>1812</v>
      </c>
      <c r="J843" s="230">
        <v>46051</v>
      </c>
      <c r="K843" s="227" t="s">
        <v>93</v>
      </c>
      <c r="L843" s="227" t="s">
        <v>94</v>
      </c>
      <c r="M843" s="233">
        <v>0</v>
      </c>
      <c r="N843" s="231"/>
      <c r="O843" s="231"/>
      <c r="P843" s="234">
        <v>630.83000000000004</v>
      </c>
    </row>
    <row r="844" spans="1:16" ht="19.5" customHeight="1">
      <c r="A844" s="227" t="s">
        <v>1285</v>
      </c>
      <c r="B844" s="230">
        <v>46052</v>
      </c>
      <c r="C844" s="227" t="s">
        <v>100</v>
      </c>
      <c r="D844" s="227" t="s">
        <v>102</v>
      </c>
      <c r="E844" s="227" t="s">
        <v>53</v>
      </c>
      <c r="F844" s="227" t="s">
        <v>120</v>
      </c>
      <c r="G844" s="227" t="s">
        <v>84</v>
      </c>
      <c r="H844" s="231">
        <v>1</v>
      </c>
      <c r="I844" s="232">
        <v>1812</v>
      </c>
      <c r="J844" s="230">
        <v>46051</v>
      </c>
      <c r="K844" s="227" t="s">
        <v>93</v>
      </c>
      <c r="L844" s="227" t="s">
        <v>94</v>
      </c>
      <c r="M844" s="233">
        <v>0</v>
      </c>
      <c r="N844" s="231"/>
      <c r="O844" s="231"/>
      <c r="P844" s="234">
        <v>6.31</v>
      </c>
    </row>
    <row r="845" spans="1:16" ht="19.5" customHeight="1">
      <c r="A845" s="227" t="s">
        <v>1285</v>
      </c>
      <c r="B845" s="230">
        <v>46052</v>
      </c>
      <c r="C845" s="227" t="s">
        <v>100</v>
      </c>
      <c r="D845" s="227" t="s">
        <v>103</v>
      </c>
      <c r="E845" s="227" t="s">
        <v>53</v>
      </c>
      <c r="F845" s="227" t="s">
        <v>120</v>
      </c>
      <c r="G845" s="227" t="s">
        <v>84</v>
      </c>
      <c r="H845" s="231">
        <v>1</v>
      </c>
      <c r="I845" s="232">
        <v>1812</v>
      </c>
      <c r="J845" s="230">
        <v>46051</v>
      </c>
      <c r="K845" s="227" t="s">
        <v>93</v>
      </c>
      <c r="L845" s="227" t="s">
        <v>94</v>
      </c>
      <c r="M845" s="233">
        <v>0</v>
      </c>
      <c r="N845" s="231"/>
      <c r="O845" s="231"/>
      <c r="P845" s="234">
        <v>1174.8599999999999</v>
      </c>
    </row>
    <row r="846" spans="1:16" ht="19.5" customHeight="1">
      <c r="A846" s="227" t="s">
        <v>1285</v>
      </c>
      <c r="B846" s="230">
        <v>46052</v>
      </c>
      <c r="C846" s="227" t="s">
        <v>104</v>
      </c>
      <c r="D846" s="227" t="s">
        <v>105</v>
      </c>
      <c r="E846" s="227" t="s">
        <v>53</v>
      </c>
      <c r="F846" s="227" t="s">
        <v>120</v>
      </c>
      <c r="G846" s="227" t="s">
        <v>84</v>
      </c>
      <c r="H846" s="231">
        <v>1</v>
      </c>
      <c r="I846" s="232">
        <v>1812</v>
      </c>
      <c r="J846" s="230">
        <v>46051</v>
      </c>
      <c r="K846" s="227" t="s">
        <v>93</v>
      </c>
      <c r="L846" s="227" t="s">
        <v>94</v>
      </c>
      <c r="M846" s="233">
        <v>0.43</v>
      </c>
      <c r="N846" s="231"/>
      <c r="O846" s="231"/>
      <c r="P846" s="234">
        <v>-779.16</v>
      </c>
    </row>
    <row r="847" spans="1:16" ht="19.5" customHeight="1">
      <c r="A847" s="227" t="s">
        <v>1285</v>
      </c>
      <c r="B847" s="230">
        <v>46052</v>
      </c>
      <c r="C847" s="227" t="s">
        <v>81</v>
      </c>
      <c r="D847" s="227" t="s">
        <v>95</v>
      </c>
      <c r="E847" s="227" t="s">
        <v>53</v>
      </c>
      <c r="F847" s="227" t="s">
        <v>120</v>
      </c>
      <c r="G847" s="227" t="s">
        <v>84</v>
      </c>
      <c r="H847" s="231">
        <v>1</v>
      </c>
      <c r="I847" s="232">
        <v>1812</v>
      </c>
      <c r="J847" s="230">
        <v>46051</v>
      </c>
      <c r="K847" s="227" t="s">
        <v>93</v>
      </c>
      <c r="L847" s="227" t="s">
        <v>94</v>
      </c>
      <c r="M847" s="233">
        <v>0.43</v>
      </c>
      <c r="N847" s="231"/>
      <c r="O847" s="231"/>
      <c r="P847" s="234">
        <v>-12.71</v>
      </c>
    </row>
    <row r="848" spans="1:16" ht="19.5" customHeight="1">
      <c r="A848" s="227" t="s">
        <v>1286</v>
      </c>
      <c r="B848" s="230">
        <v>46052</v>
      </c>
      <c r="C848" s="227" t="s">
        <v>81</v>
      </c>
      <c r="D848" s="227" t="s">
        <v>82</v>
      </c>
      <c r="E848" s="227" t="s">
        <v>42</v>
      </c>
      <c r="F848" s="227" t="s">
        <v>89</v>
      </c>
      <c r="G848" s="227" t="s">
        <v>84</v>
      </c>
      <c r="H848" s="231">
        <v>1</v>
      </c>
      <c r="I848" s="232">
        <v>0</v>
      </c>
      <c r="J848" s="230">
        <v>46052</v>
      </c>
      <c r="K848" s="227" t="s">
        <v>85</v>
      </c>
      <c r="L848" s="227" t="s">
        <v>85</v>
      </c>
      <c r="M848" s="233">
        <v>0</v>
      </c>
      <c r="N848" s="231"/>
      <c r="O848" s="231"/>
      <c r="P848" s="234">
        <v>-11.58</v>
      </c>
    </row>
    <row r="849" spans="1:16" ht="19.5" customHeight="1">
      <c r="A849" s="227" t="s">
        <v>1287</v>
      </c>
      <c r="B849" s="230">
        <v>46052</v>
      </c>
      <c r="C849" s="227" t="s">
        <v>92</v>
      </c>
      <c r="D849" s="227" t="s">
        <v>24</v>
      </c>
      <c r="E849" s="227" t="s">
        <v>53</v>
      </c>
      <c r="F849" s="227" t="s">
        <v>120</v>
      </c>
      <c r="G849" s="227" t="s">
        <v>84</v>
      </c>
      <c r="H849" s="231">
        <v>1</v>
      </c>
      <c r="I849" s="232">
        <v>1812</v>
      </c>
      <c r="J849" s="230">
        <v>46050</v>
      </c>
      <c r="K849" s="227" t="s">
        <v>93</v>
      </c>
      <c r="L849" s="227" t="s">
        <v>94</v>
      </c>
      <c r="M849" s="233">
        <v>0.43</v>
      </c>
      <c r="N849" s="231"/>
      <c r="O849" s="231">
        <v>44</v>
      </c>
      <c r="P849" s="234">
        <v>-148.36000000000001</v>
      </c>
    </row>
    <row r="850" spans="1:16" ht="19.5" customHeight="1">
      <c r="A850" s="227" t="s">
        <v>1287</v>
      </c>
      <c r="B850" s="230">
        <v>46052</v>
      </c>
      <c r="C850" s="227" t="s">
        <v>100</v>
      </c>
      <c r="D850" s="227" t="s">
        <v>101</v>
      </c>
      <c r="E850" s="227" t="s">
        <v>53</v>
      </c>
      <c r="F850" s="227" t="s">
        <v>120</v>
      </c>
      <c r="G850" s="227" t="s">
        <v>84</v>
      </c>
      <c r="H850" s="231">
        <v>1</v>
      </c>
      <c r="I850" s="232">
        <v>1812</v>
      </c>
      <c r="J850" s="230">
        <v>46050</v>
      </c>
      <c r="K850" s="227" t="s">
        <v>93</v>
      </c>
      <c r="L850" s="227" t="s">
        <v>94</v>
      </c>
      <c r="M850" s="233">
        <v>0</v>
      </c>
      <c r="N850" s="231"/>
      <c r="O850" s="231"/>
      <c r="P850" s="234">
        <v>631.42999999999995</v>
      </c>
    </row>
    <row r="851" spans="1:16" ht="19.5" customHeight="1">
      <c r="A851" s="227" t="s">
        <v>1287</v>
      </c>
      <c r="B851" s="230">
        <v>46052</v>
      </c>
      <c r="C851" s="227" t="s">
        <v>100</v>
      </c>
      <c r="D851" s="227" t="s">
        <v>102</v>
      </c>
      <c r="E851" s="227" t="s">
        <v>53</v>
      </c>
      <c r="F851" s="227" t="s">
        <v>120</v>
      </c>
      <c r="G851" s="227" t="s">
        <v>84</v>
      </c>
      <c r="H851" s="231">
        <v>1</v>
      </c>
      <c r="I851" s="232">
        <v>1812</v>
      </c>
      <c r="J851" s="230">
        <v>46050</v>
      </c>
      <c r="K851" s="227" t="s">
        <v>93</v>
      </c>
      <c r="L851" s="227" t="s">
        <v>94</v>
      </c>
      <c r="M851" s="233">
        <v>0</v>
      </c>
      <c r="N851" s="231"/>
      <c r="O851" s="231"/>
      <c r="P851" s="234">
        <v>6.31</v>
      </c>
    </row>
    <row r="852" spans="1:16" ht="19.5" customHeight="1">
      <c r="A852" s="227" t="s">
        <v>1287</v>
      </c>
      <c r="B852" s="230">
        <v>46052</v>
      </c>
      <c r="C852" s="227" t="s">
        <v>100</v>
      </c>
      <c r="D852" s="227" t="s">
        <v>103</v>
      </c>
      <c r="E852" s="227" t="s">
        <v>53</v>
      </c>
      <c r="F852" s="227" t="s">
        <v>120</v>
      </c>
      <c r="G852" s="227" t="s">
        <v>84</v>
      </c>
      <c r="H852" s="231">
        <v>1</v>
      </c>
      <c r="I852" s="232">
        <v>1812</v>
      </c>
      <c r="J852" s="230">
        <v>46050</v>
      </c>
      <c r="K852" s="227" t="s">
        <v>93</v>
      </c>
      <c r="L852" s="227" t="s">
        <v>94</v>
      </c>
      <c r="M852" s="233">
        <v>0</v>
      </c>
      <c r="N852" s="231"/>
      <c r="O852" s="231"/>
      <c r="P852" s="234">
        <v>1174.26</v>
      </c>
    </row>
    <row r="853" spans="1:16" ht="19.5" customHeight="1">
      <c r="A853" s="227" t="s">
        <v>1287</v>
      </c>
      <c r="B853" s="230">
        <v>46052</v>
      </c>
      <c r="C853" s="227" t="s">
        <v>104</v>
      </c>
      <c r="D853" s="227" t="s">
        <v>105</v>
      </c>
      <c r="E853" s="227" t="s">
        <v>53</v>
      </c>
      <c r="F853" s="227" t="s">
        <v>120</v>
      </c>
      <c r="G853" s="227" t="s">
        <v>84</v>
      </c>
      <c r="H853" s="231">
        <v>1</v>
      </c>
      <c r="I853" s="232">
        <v>1812</v>
      </c>
      <c r="J853" s="230">
        <v>46050</v>
      </c>
      <c r="K853" s="227" t="s">
        <v>93</v>
      </c>
      <c r="L853" s="227" t="s">
        <v>94</v>
      </c>
      <c r="M853" s="233">
        <v>0.43</v>
      </c>
      <c r="N853" s="231"/>
      <c r="O853" s="231"/>
      <c r="P853" s="234">
        <v>-779.16</v>
      </c>
    </row>
    <row r="854" spans="1:16" ht="19.5" customHeight="1">
      <c r="A854" s="227" t="s">
        <v>1288</v>
      </c>
      <c r="B854" s="230">
        <v>46052</v>
      </c>
      <c r="C854" s="227" t="s">
        <v>92</v>
      </c>
      <c r="D854" s="227" t="s">
        <v>24</v>
      </c>
      <c r="E854" s="227" t="s">
        <v>53</v>
      </c>
      <c r="F854" s="227" t="s">
        <v>120</v>
      </c>
      <c r="G854" s="227" t="s">
        <v>84</v>
      </c>
      <c r="H854" s="231">
        <v>1</v>
      </c>
      <c r="I854" s="232">
        <v>0</v>
      </c>
      <c r="J854" s="230">
        <v>46045</v>
      </c>
      <c r="K854" s="227" t="s">
        <v>93</v>
      </c>
      <c r="L854" s="227" t="s">
        <v>94</v>
      </c>
      <c r="M854" s="233">
        <v>0</v>
      </c>
      <c r="N854" s="231"/>
      <c r="O854" s="231">
        <v>40</v>
      </c>
      <c r="P854" s="234">
        <v>-56</v>
      </c>
    </row>
    <row r="855" spans="1:16" ht="19.5" customHeight="1">
      <c r="A855" s="227" t="s">
        <v>1288</v>
      </c>
      <c r="B855" s="230">
        <v>46052</v>
      </c>
      <c r="C855" s="227" t="s">
        <v>81</v>
      </c>
      <c r="D855" s="227" t="s">
        <v>95</v>
      </c>
      <c r="E855" s="227" t="s">
        <v>53</v>
      </c>
      <c r="F855" s="227" t="s">
        <v>120</v>
      </c>
      <c r="G855" s="227" t="s">
        <v>84</v>
      </c>
      <c r="H855" s="231">
        <v>1</v>
      </c>
      <c r="I855" s="232">
        <v>0</v>
      </c>
      <c r="J855" s="230">
        <v>46045</v>
      </c>
      <c r="K855" s="227" t="s">
        <v>93</v>
      </c>
      <c r="L855" s="227" t="s">
        <v>94</v>
      </c>
      <c r="M855" s="233">
        <v>0</v>
      </c>
      <c r="N855" s="231"/>
      <c r="O855" s="231"/>
      <c r="P855" s="234">
        <v>-20.76</v>
      </c>
    </row>
    <row r="856" spans="1:16" ht="19.5" customHeight="1">
      <c r="A856" s="227" t="s">
        <v>1289</v>
      </c>
      <c r="B856" s="230">
        <v>46052</v>
      </c>
      <c r="C856" s="227" t="s">
        <v>92</v>
      </c>
      <c r="D856" s="227" t="s">
        <v>24</v>
      </c>
      <c r="E856" s="227" t="s">
        <v>42</v>
      </c>
      <c r="F856" s="227" t="s">
        <v>89</v>
      </c>
      <c r="G856" s="227" t="s">
        <v>84</v>
      </c>
      <c r="H856" s="231">
        <v>1</v>
      </c>
      <c r="I856" s="232">
        <v>1750</v>
      </c>
      <c r="J856" s="230">
        <v>46051</v>
      </c>
      <c r="K856" s="227" t="s">
        <v>93</v>
      </c>
      <c r="L856" s="227" t="s">
        <v>94</v>
      </c>
      <c r="M856" s="233">
        <v>0.43</v>
      </c>
      <c r="N856" s="231"/>
      <c r="O856" s="231">
        <v>44</v>
      </c>
      <c r="P856" s="234">
        <v>-131.37</v>
      </c>
    </row>
    <row r="857" spans="1:16" ht="19.5" customHeight="1">
      <c r="A857" s="227" t="s">
        <v>1289</v>
      </c>
      <c r="B857" s="230">
        <v>46052</v>
      </c>
      <c r="C857" s="227" t="s">
        <v>100</v>
      </c>
      <c r="D857" s="227" t="s">
        <v>101</v>
      </c>
      <c r="E857" s="227" t="s">
        <v>42</v>
      </c>
      <c r="F857" s="227" t="s">
        <v>89</v>
      </c>
      <c r="G857" s="227" t="s">
        <v>84</v>
      </c>
      <c r="H857" s="231">
        <v>1</v>
      </c>
      <c r="I857" s="232">
        <v>1750</v>
      </c>
      <c r="J857" s="230">
        <v>46051</v>
      </c>
      <c r="K857" s="227" t="s">
        <v>93</v>
      </c>
      <c r="L857" s="227" t="s">
        <v>94</v>
      </c>
      <c r="M857" s="233">
        <v>0</v>
      </c>
      <c r="N857" s="231"/>
      <c r="O857" s="231"/>
      <c r="P857" s="234">
        <v>609.52</v>
      </c>
    </row>
    <row r="858" spans="1:16" ht="19.5" customHeight="1">
      <c r="A858" s="227" t="s">
        <v>1289</v>
      </c>
      <c r="B858" s="230">
        <v>46052</v>
      </c>
      <c r="C858" s="227" t="s">
        <v>100</v>
      </c>
      <c r="D858" s="227" t="s">
        <v>102</v>
      </c>
      <c r="E858" s="227" t="s">
        <v>42</v>
      </c>
      <c r="F858" s="227" t="s">
        <v>89</v>
      </c>
      <c r="G858" s="227" t="s">
        <v>84</v>
      </c>
      <c r="H858" s="231">
        <v>1</v>
      </c>
      <c r="I858" s="232">
        <v>1750</v>
      </c>
      <c r="J858" s="230">
        <v>46051</v>
      </c>
      <c r="K858" s="227" t="s">
        <v>93</v>
      </c>
      <c r="L858" s="227" t="s">
        <v>94</v>
      </c>
      <c r="M858" s="233">
        <v>0</v>
      </c>
      <c r="N858" s="231"/>
      <c r="O858" s="231"/>
      <c r="P858" s="234">
        <v>6.1</v>
      </c>
    </row>
    <row r="859" spans="1:16" ht="19.5" customHeight="1">
      <c r="A859" s="227" t="s">
        <v>1289</v>
      </c>
      <c r="B859" s="230">
        <v>46052</v>
      </c>
      <c r="C859" s="227" t="s">
        <v>100</v>
      </c>
      <c r="D859" s="227" t="s">
        <v>103</v>
      </c>
      <c r="E859" s="227" t="s">
        <v>42</v>
      </c>
      <c r="F859" s="227" t="s">
        <v>89</v>
      </c>
      <c r="G859" s="227" t="s">
        <v>84</v>
      </c>
      <c r="H859" s="231">
        <v>1</v>
      </c>
      <c r="I859" s="232">
        <v>1750</v>
      </c>
      <c r="J859" s="230">
        <v>46051</v>
      </c>
      <c r="K859" s="227" t="s">
        <v>93</v>
      </c>
      <c r="L859" s="227" t="s">
        <v>94</v>
      </c>
      <c r="M859" s="233">
        <v>0</v>
      </c>
      <c r="N859" s="231"/>
      <c r="O859" s="231"/>
      <c r="P859" s="234">
        <v>1134.3800000000001</v>
      </c>
    </row>
    <row r="860" spans="1:16" ht="19.5" customHeight="1">
      <c r="A860" s="227" t="s">
        <v>1289</v>
      </c>
      <c r="B860" s="230">
        <v>46052</v>
      </c>
      <c r="C860" s="227" t="s">
        <v>104</v>
      </c>
      <c r="D860" s="227" t="s">
        <v>105</v>
      </c>
      <c r="E860" s="227" t="s">
        <v>42</v>
      </c>
      <c r="F860" s="227" t="s">
        <v>89</v>
      </c>
      <c r="G860" s="227" t="s">
        <v>84</v>
      </c>
      <c r="H860" s="231">
        <v>1</v>
      </c>
      <c r="I860" s="232">
        <v>1750</v>
      </c>
      <c r="J860" s="230">
        <v>46051</v>
      </c>
      <c r="K860" s="227" t="s">
        <v>93</v>
      </c>
      <c r="L860" s="227" t="s">
        <v>94</v>
      </c>
      <c r="M860" s="233">
        <v>0.43</v>
      </c>
      <c r="N860" s="231"/>
      <c r="O860" s="231"/>
      <c r="P860" s="234">
        <v>-752.5</v>
      </c>
    </row>
    <row r="861" spans="1:16" ht="19.5" customHeight="1">
      <c r="A861" s="227" t="s">
        <v>1289</v>
      </c>
      <c r="B861" s="230">
        <v>46052</v>
      </c>
      <c r="C861" s="227" t="s">
        <v>81</v>
      </c>
      <c r="D861" s="227" t="s">
        <v>95</v>
      </c>
      <c r="E861" s="227" t="s">
        <v>42</v>
      </c>
      <c r="F861" s="227" t="s">
        <v>89</v>
      </c>
      <c r="G861" s="227" t="s">
        <v>84</v>
      </c>
      <c r="H861" s="231">
        <v>1</v>
      </c>
      <c r="I861" s="232">
        <v>1750</v>
      </c>
      <c r="J861" s="230">
        <v>46051</v>
      </c>
      <c r="K861" s="227" t="s">
        <v>93</v>
      </c>
      <c r="L861" s="227" t="s">
        <v>94</v>
      </c>
      <c r="M861" s="233">
        <v>0.43</v>
      </c>
      <c r="N861" s="231"/>
      <c r="O861" s="231"/>
      <c r="P861" s="234">
        <v>-8.7200000000000006</v>
      </c>
    </row>
    <row r="862" spans="1:16" ht="19.5" customHeight="1">
      <c r="A862" s="227" t="s">
        <v>1288</v>
      </c>
      <c r="B862" s="230">
        <v>46052</v>
      </c>
      <c r="C862" s="227" t="s">
        <v>92</v>
      </c>
      <c r="D862" s="227" t="s">
        <v>96</v>
      </c>
      <c r="E862" s="227" t="s">
        <v>53</v>
      </c>
      <c r="F862" s="227" t="s">
        <v>120</v>
      </c>
      <c r="G862" s="227" t="s">
        <v>84</v>
      </c>
      <c r="H862" s="231">
        <v>1</v>
      </c>
      <c r="I862" s="232">
        <v>0</v>
      </c>
      <c r="J862" s="230">
        <v>46045</v>
      </c>
      <c r="K862" s="227" t="s">
        <v>93</v>
      </c>
      <c r="L862" s="227" t="s">
        <v>94</v>
      </c>
      <c r="M862" s="233">
        <v>0</v>
      </c>
      <c r="N862" s="231"/>
      <c r="O862" s="231"/>
      <c r="P862" s="234">
        <v>0</v>
      </c>
    </row>
    <row r="863" spans="1:16" ht="19.5" customHeight="1">
      <c r="A863" s="227" t="s">
        <v>1288</v>
      </c>
      <c r="B863" s="230">
        <v>46052</v>
      </c>
      <c r="C863" s="227" t="s">
        <v>92</v>
      </c>
      <c r="D863" s="227" t="s">
        <v>97</v>
      </c>
      <c r="E863" s="227" t="s">
        <v>53</v>
      </c>
      <c r="F863" s="227" t="s">
        <v>120</v>
      </c>
      <c r="G863" s="227" t="s">
        <v>84</v>
      </c>
      <c r="H863" s="231">
        <v>1</v>
      </c>
      <c r="I863" s="232">
        <v>0</v>
      </c>
      <c r="J863" s="230">
        <v>46045</v>
      </c>
      <c r="K863" s="227" t="s">
        <v>93</v>
      </c>
      <c r="L863" s="227" t="s">
        <v>94</v>
      </c>
      <c r="M863" s="233">
        <v>0</v>
      </c>
      <c r="N863" s="231"/>
      <c r="O863" s="231"/>
      <c r="P863" s="234">
        <v>-56</v>
      </c>
    </row>
    <row r="864" spans="1:16" ht="19.5" customHeight="1">
      <c r="A864" s="227" t="s">
        <v>1290</v>
      </c>
      <c r="B864" s="230">
        <v>46052</v>
      </c>
      <c r="C864" s="227" t="s">
        <v>81</v>
      </c>
      <c r="D864" s="227" t="s">
        <v>82</v>
      </c>
      <c r="E864" s="227" t="s">
        <v>41</v>
      </c>
      <c r="F864" s="227" t="s">
        <v>83</v>
      </c>
      <c r="G864" s="227" t="s">
        <v>84</v>
      </c>
      <c r="H864" s="231">
        <v>1</v>
      </c>
      <c r="I864" s="232">
        <v>0</v>
      </c>
      <c r="J864" s="230">
        <v>46052</v>
      </c>
      <c r="K864" s="227" t="s">
        <v>85</v>
      </c>
      <c r="L864" s="227" t="s">
        <v>85</v>
      </c>
      <c r="M864" s="233">
        <v>0</v>
      </c>
      <c r="N864" s="231"/>
      <c r="O864" s="231"/>
      <c r="P864" s="234">
        <v>-5.43</v>
      </c>
    </row>
    <row r="865" spans="1:16" ht="19.5" customHeight="1">
      <c r="A865" s="227" t="s">
        <v>1291</v>
      </c>
      <c r="B865" s="230">
        <v>46052</v>
      </c>
      <c r="C865" s="227" t="s">
        <v>92</v>
      </c>
      <c r="D865" s="227" t="s">
        <v>24</v>
      </c>
      <c r="E865" s="227" t="s">
        <v>53</v>
      </c>
      <c r="F865" s="227" t="s">
        <v>120</v>
      </c>
      <c r="G865" s="227" t="s">
        <v>84</v>
      </c>
      <c r="H865" s="231">
        <v>1</v>
      </c>
      <c r="I865" s="232">
        <v>1812</v>
      </c>
      <c r="J865" s="230">
        <v>46050</v>
      </c>
      <c r="K865" s="227" t="s">
        <v>93</v>
      </c>
      <c r="L865" s="227" t="s">
        <v>94</v>
      </c>
      <c r="M865" s="233">
        <v>0.43</v>
      </c>
      <c r="N865" s="231"/>
      <c r="O865" s="231">
        <v>44</v>
      </c>
      <c r="P865" s="234">
        <v>-149.88999999999999</v>
      </c>
    </row>
    <row r="866" spans="1:16" ht="19.5" customHeight="1">
      <c r="A866" s="227" t="s">
        <v>1291</v>
      </c>
      <c r="B866" s="230">
        <v>46052</v>
      </c>
      <c r="C866" s="227" t="s">
        <v>100</v>
      </c>
      <c r="D866" s="227" t="s">
        <v>101</v>
      </c>
      <c r="E866" s="227" t="s">
        <v>53</v>
      </c>
      <c r="F866" s="227" t="s">
        <v>120</v>
      </c>
      <c r="G866" s="227" t="s">
        <v>84</v>
      </c>
      <c r="H866" s="231">
        <v>1</v>
      </c>
      <c r="I866" s="232">
        <v>1812</v>
      </c>
      <c r="J866" s="230">
        <v>46050</v>
      </c>
      <c r="K866" s="227" t="s">
        <v>93</v>
      </c>
      <c r="L866" s="227" t="s">
        <v>94</v>
      </c>
      <c r="M866" s="233">
        <v>0</v>
      </c>
      <c r="N866" s="231"/>
      <c r="O866" s="231"/>
      <c r="P866" s="234">
        <v>630.23</v>
      </c>
    </row>
    <row r="867" spans="1:16" ht="19.5" customHeight="1">
      <c r="A867" s="227" t="s">
        <v>1291</v>
      </c>
      <c r="B867" s="230">
        <v>46052</v>
      </c>
      <c r="C867" s="227" t="s">
        <v>100</v>
      </c>
      <c r="D867" s="227" t="s">
        <v>102</v>
      </c>
      <c r="E867" s="227" t="s">
        <v>53</v>
      </c>
      <c r="F867" s="227" t="s">
        <v>120</v>
      </c>
      <c r="G867" s="227" t="s">
        <v>84</v>
      </c>
      <c r="H867" s="231">
        <v>1</v>
      </c>
      <c r="I867" s="232">
        <v>1812</v>
      </c>
      <c r="J867" s="230">
        <v>46050</v>
      </c>
      <c r="K867" s="227" t="s">
        <v>93</v>
      </c>
      <c r="L867" s="227" t="s">
        <v>94</v>
      </c>
      <c r="M867" s="233">
        <v>0</v>
      </c>
      <c r="N867" s="231"/>
      <c r="O867" s="231"/>
      <c r="P867" s="234">
        <v>6.3</v>
      </c>
    </row>
    <row r="868" spans="1:16" ht="19.5" customHeight="1">
      <c r="A868" s="227" t="s">
        <v>1291</v>
      </c>
      <c r="B868" s="230">
        <v>46052</v>
      </c>
      <c r="C868" s="227" t="s">
        <v>100</v>
      </c>
      <c r="D868" s="227" t="s">
        <v>103</v>
      </c>
      <c r="E868" s="227" t="s">
        <v>53</v>
      </c>
      <c r="F868" s="227" t="s">
        <v>120</v>
      </c>
      <c r="G868" s="227" t="s">
        <v>84</v>
      </c>
      <c r="H868" s="231">
        <v>1</v>
      </c>
      <c r="I868" s="232">
        <v>1812</v>
      </c>
      <c r="J868" s="230">
        <v>46050</v>
      </c>
      <c r="K868" s="227" t="s">
        <v>93</v>
      </c>
      <c r="L868" s="227" t="s">
        <v>94</v>
      </c>
      <c r="M868" s="233">
        <v>0</v>
      </c>
      <c r="N868" s="231"/>
      <c r="O868" s="231"/>
      <c r="P868" s="234">
        <v>1175.47</v>
      </c>
    </row>
    <row r="869" spans="1:16" ht="19.5" customHeight="1">
      <c r="A869" s="227" t="s">
        <v>1291</v>
      </c>
      <c r="B869" s="230">
        <v>46052</v>
      </c>
      <c r="C869" s="227" t="s">
        <v>104</v>
      </c>
      <c r="D869" s="227" t="s">
        <v>105</v>
      </c>
      <c r="E869" s="227" t="s">
        <v>53</v>
      </c>
      <c r="F869" s="227" t="s">
        <v>120</v>
      </c>
      <c r="G869" s="227" t="s">
        <v>84</v>
      </c>
      <c r="H869" s="231">
        <v>1</v>
      </c>
      <c r="I869" s="232">
        <v>1812</v>
      </c>
      <c r="J869" s="230">
        <v>46050</v>
      </c>
      <c r="K869" s="227" t="s">
        <v>93</v>
      </c>
      <c r="L869" s="227" t="s">
        <v>94</v>
      </c>
      <c r="M869" s="233">
        <v>0.43</v>
      </c>
      <c r="N869" s="231"/>
      <c r="O869" s="231"/>
      <c r="P869" s="234">
        <v>-779.16</v>
      </c>
    </row>
    <row r="870" spans="1:16" ht="19.5" customHeight="1">
      <c r="A870" s="227" t="s">
        <v>1291</v>
      </c>
      <c r="B870" s="230">
        <v>46052</v>
      </c>
      <c r="C870" s="227" t="s">
        <v>81</v>
      </c>
      <c r="D870" s="227" t="s">
        <v>95</v>
      </c>
      <c r="E870" s="227" t="s">
        <v>53</v>
      </c>
      <c r="F870" s="227" t="s">
        <v>120</v>
      </c>
      <c r="G870" s="227" t="s">
        <v>84</v>
      </c>
      <c r="H870" s="231">
        <v>1</v>
      </c>
      <c r="I870" s="232">
        <v>1812</v>
      </c>
      <c r="J870" s="230">
        <v>46050</v>
      </c>
      <c r="K870" s="227" t="s">
        <v>93</v>
      </c>
      <c r="L870" s="227" t="s">
        <v>94</v>
      </c>
      <c r="M870" s="233">
        <v>0.43</v>
      </c>
      <c r="N870" s="231"/>
      <c r="O870" s="231"/>
      <c r="P870" s="234">
        <v>-21.07</v>
      </c>
    </row>
    <row r="871" spans="1:16" ht="19.5" customHeight="1">
      <c r="A871" s="227" t="s">
        <v>1292</v>
      </c>
      <c r="B871" s="230">
        <v>46052</v>
      </c>
      <c r="C871" s="227" t="s">
        <v>81</v>
      </c>
      <c r="D871" s="227" t="s">
        <v>82</v>
      </c>
      <c r="E871" s="227" t="s">
        <v>52</v>
      </c>
      <c r="F871" s="227" t="s">
        <v>90</v>
      </c>
      <c r="G871" s="227" t="s">
        <v>84</v>
      </c>
      <c r="H871" s="231">
        <v>1</v>
      </c>
      <c r="I871" s="232">
        <v>0</v>
      </c>
      <c r="J871" s="230">
        <v>46052</v>
      </c>
      <c r="K871" s="227" t="s">
        <v>85</v>
      </c>
      <c r="L871" s="227" t="s">
        <v>85</v>
      </c>
      <c r="M871" s="233">
        <v>0</v>
      </c>
      <c r="N871" s="231"/>
      <c r="O871" s="231"/>
      <c r="P871" s="234">
        <v>-11.98</v>
      </c>
    </row>
    <row r="872" spans="1:16" ht="19.5" customHeight="1">
      <c r="A872" s="227" t="s">
        <v>1293</v>
      </c>
      <c r="B872" s="230">
        <v>46052</v>
      </c>
      <c r="C872" s="227" t="s">
        <v>92</v>
      </c>
      <c r="D872" s="227" t="s">
        <v>24</v>
      </c>
      <c r="E872" s="227" t="s">
        <v>52</v>
      </c>
      <c r="F872" s="227" t="s">
        <v>90</v>
      </c>
      <c r="G872" s="227" t="s">
        <v>84</v>
      </c>
      <c r="H872" s="231">
        <v>1</v>
      </c>
      <c r="I872" s="232">
        <v>1800</v>
      </c>
      <c r="J872" s="230">
        <v>46046</v>
      </c>
      <c r="K872" s="227" t="s">
        <v>93</v>
      </c>
      <c r="L872" s="227" t="s">
        <v>94</v>
      </c>
      <c r="M872" s="233">
        <v>0.43</v>
      </c>
      <c r="N872" s="231"/>
      <c r="O872" s="231">
        <v>40</v>
      </c>
      <c r="P872" s="234">
        <v>-130.46</v>
      </c>
    </row>
    <row r="873" spans="1:16" ht="19.5" customHeight="1">
      <c r="A873" s="227" t="s">
        <v>1293</v>
      </c>
      <c r="B873" s="230">
        <v>46052</v>
      </c>
      <c r="C873" s="227" t="s">
        <v>100</v>
      </c>
      <c r="D873" s="227" t="s">
        <v>101</v>
      </c>
      <c r="E873" s="227" t="s">
        <v>52</v>
      </c>
      <c r="F873" s="227" t="s">
        <v>90</v>
      </c>
      <c r="G873" s="227" t="s">
        <v>84</v>
      </c>
      <c r="H873" s="231">
        <v>1</v>
      </c>
      <c r="I873" s="232">
        <v>1800</v>
      </c>
      <c r="J873" s="230">
        <v>46046</v>
      </c>
      <c r="K873" s="227" t="s">
        <v>93</v>
      </c>
      <c r="L873" s="227" t="s">
        <v>94</v>
      </c>
      <c r="M873" s="233">
        <v>0</v>
      </c>
      <c r="N873" s="231"/>
      <c r="O873" s="231"/>
      <c r="P873" s="234">
        <v>691.43</v>
      </c>
    </row>
    <row r="874" spans="1:16" ht="19.5" customHeight="1">
      <c r="A874" s="227" t="s">
        <v>1293</v>
      </c>
      <c r="B874" s="230">
        <v>46052</v>
      </c>
      <c r="C874" s="227" t="s">
        <v>100</v>
      </c>
      <c r="D874" s="227" t="s">
        <v>102</v>
      </c>
      <c r="E874" s="227" t="s">
        <v>52</v>
      </c>
      <c r="F874" s="227" t="s">
        <v>90</v>
      </c>
      <c r="G874" s="227" t="s">
        <v>84</v>
      </c>
      <c r="H874" s="231">
        <v>1</v>
      </c>
      <c r="I874" s="232">
        <v>1800</v>
      </c>
      <c r="J874" s="230">
        <v>46046</v>
      </c>
      <c r="K874" s="227" t="s">
        <v>93</v>
      </c>
      <c r="L874" s="227" t="s">
        <v>94</v>
      </c>
      <c r="M874" s="233">
        <v>0</v>
      </c>
      <c r="N874" s="231"/>
      <c r="O874" s="231"/>
      <c r="P874" s="234">
        <v>6.91</v>
      </c>
    </row>
    <row r="875" spans="1:16" ht="19.5" customHeight="1">
      <c r="A875" s="227" t="s">
        <v>1293</v>
      </c>
      <c r="B875" s="230">
        <v>46052</v>
      </c>
      <c r="C875" s="227" t="s">
        <v>100</v>
      </c>
      <c r="D875" s="227" t="s">
        <v>103</v>
      </c>
      <c r="E875" s="227" t="s">
        <v>52</v>
      </c>
      <c r="F875" s="227" t="s">
        <v>90</v>
      </c>
      <c r="G875" s="227" t="s">
        <v>84</v>
      </c>
      <c r="H875" s="231">
        <v>1</v>
      </c>
      <c r="I875" s="232">
        <v>1800</v>
      </c>
      <c r="J875" s="230">
        <v>46046</v>
      </c>
      <c r="K875" s="227" t="s">
        <v>93</v>
      </c>
      <c r="L875" s="227" t="s">
        <v>94</v>
      </c>
      <c r="M875" s="233">
        <v>0</v>
      </c>
      <c r="N875" s="231"/>
      <c r="O875" s="231"/>
      <c r="P875" s="234">
        <v>1101.6600000000001</v>
      </c>
    </row>
    <row r="876" spans="1:16" ht="19.5" customHeight="1">
      <c r="A876" s="227" t="s">
        <v>1293</v>
      </c>
      <c r="B876" s="230">
        <v>46052</v>
      </c>
      <c r="C876" s="227" t="s">
        <v>104</v>
      </c>
      <c r="D876" s="227" t="s">
        <v>105</v>
      </c>
      <c r="E876" s="227" t="s">
        <v>52</v>
      </c>
      <c r="F876" s="227" t="s">
        <v>90</v>
      </c>
      <c r="G876" s="227" t="s">
        <v>84</v>
      </c>
      <c r="H876" s="231">
        <v>1</v>
      </c>
      <c r="I876" s="232">
        <v>1800</v>
      </c>
      <c r="J876" s="230">
        <v>46046</v>
      </c>
      <c r="K876" s="227" t="s">
        <v>93</v>
      </c>
      <c r="L876" s="227" t="s">
        <v>94</v>
      </c>
      <c r="M876" s="233">
        <v>0.43</v>
      </c>
      <c r="N876" s="231"/>
      <c r="O876" s="231"/>
      <c r="P876" s="234">
        <v>-774</v>
      </c>
    </row>
    <row r="877" spans="1:16" ht="19.5" customHeight="1">
      <c r="A877" s="227" t="s">
        <v>1293</v>
      </c>
      <c r="B877" s="230">
        <v>46052</v>
      </c>
      <c r="C877" s="227" t="s">
        <v>81</v>
      </c>
      <c r="D877" s="227" t="s">
        <v>95</v>
      </c>
      <c r="E877" s="227" t="s">
        <v>52</v>
      </c>
      <c r="F877" s="227" t="s">
        <v>90</v>
      </c>
      <c r="G877" s="227" t="s">
        <v>84</v>
      </c>
      <c r="H877" s="231">
        <v>1</v>
      </c>
      <c r="I877" s="232">
        <v>1800</v>
      </c>
      <c r="J877" s="230">
        <v>46046</v>
      </c>
      <c r="K877" s="227" t="s">
        <v>93</v>
      </c>
      <c r="L877" s="227" t="s">
        <v>94</v>
      </c>
      <c r="M877" s="233">
        <v>0.43</v>
      </c>
      <c r="N877" s="231"/>
      <c r="O877" s="231"/>
      <c r="P877" s="234">
        <v>-9.8000000000000007</v>
      </c>
    </row>
    <row r="878" spans="1:16" ht="19.5" customHeight="1">
      <c r="A878" s="227" t="s">
        <v>1294</v>
      </c>
      <c r="B878" s="230">
        <v>46052</v>
      </c>
      <c r="C878" s="227" t="s">
        <v>92</v>
      </c>
      <c r="D878" s="227" t="s">
        <v>24</v>
      </c>
      <c r="E878" s="227" t="s">
        <v>52</v>
      </c>
      <c r="F878" s="227" t="s">
        <v>90</v>
      </c>
      <c r="G878" s="227" t="s">
        <v>84</v>
      </c>
      <c r="H878" s="231">
        <v>1</v>
      </c>
      <c r="I878" s="232">
        <v>0</v>
      </c>
      <c r="J878" s="230">
        <v>46017</v>
      </c>
      <c r="K878" s="227" t="s">
        <v>93</v>
      </c>
      <c r="L878" s="227" t="s">
        <v>94</v>
      </c>
      <c r="M878" s="233">
        <v>0</v>
      </c>
      <c r="N878" s="231"/>
      <c r="O878" s="231">
        <v>43</v>
      </c>
      <c r="P878" s="234">
        <v>-56</v>
      </c>
    </row>
    <row r="879" spans="1:16" ht="19.5" customHeight="1">
      <c r="A879" s="227" t="s">
        <v>1294</v>
      </c>
      <c r="B879" s="230">
        <v>46052</v>
      </c>
      <c r="C879" s="227" t="s">
        <v>81</v>
      </c>
      <c r="D879" s="227" t="s">
        <v>95</v>
      </c>
      <c r="E879" s="227" t="s">
        <v>52</v>
      </c>
      <c r="F879" s="227" t="s">
        <v>90</v>
      </c>
      <c r="G879" s="227" t="s">
        <v>84</v>
      </c>
      <c r="H879" s="231">
        <v>1</v>
      </c>
      <c r="I879" s="232">
        <v>0</v>
      </c>
      <c r="J879" s="230">
        <v>46017</v>
      </c>
      <c r="K879" s="227" t="s">
        <v>93</v>
      </c>
      <c r="L879" s="227" t="s">
        <v>94</v>
      </c>
      <c r="M879" s="233">
        <v>0</v>
      </c>
      <c r="N879" s="231"/>
      <c r="O879" s="231"/>
      <c r="P879" s="234">
        <v>-6.73</v>
      </c>
    </row>
    <row r="880" spans="1:16" ht="19.5" customHeight="1">
      <c r="A880" s="227" t="s">
        <v>1294</v>
      </c>
      <c r="B880" s="230">
        <v>46052</v>
      </c>
      <c r="C880" s="227" t="s">
        <v>92</v>
      </c>
      <c r="D880" s="227" t="s">
        <v>96</v>
      </c>
      <c r="E880" s="227" t="s">
        <v>52</v>
      </c>
      <c r="F880" s="227" t="s">
        <v>90</v>
      </c>
      <c r="G880" s="227" t="s">
        <v>84</v>
      </c>
      <c r="H880" s="231">
        <v>1</v>
      </c>
      <c r="I880" s="232">
        <v>0</v>
      </c>
      <c r="J880" s="230">
        <v>46017</v>
      </c>
      <c r="K880" s="227" t="s">
        <v>93</v>
      </c>
      <c r="L880" s="227" t="s">
        <v>94</v>
      </c>
      <c r="M880" s="233">
        <v>0</v>
      </c>
      <c r="N880" s="231"/>
      <c r="O880" s="231"/>
      <c r="P880" s="234">
        <v>0</v>
      </c>
    </row>
    <row r="881" spans="1:16" ht="19.5" customHeight="1">
      <c r="A881" s="227" t="s">
        <v>1294</v>
      </c>
      <c r="B881" s="230">
        <v>46052</v>
      </c>
      <c r="C881" s="227" t="s">
        <v>92</v>
      </c>
      <c r="D881" s="227" t="s">
        <v>97</v>
      </c>
      <c r="E881" s="227" t="s">
        <v>52</v>
      </c>
      <c r="F881" s="227" t="s">
        <v>90</v>
      </c>
      <c r="G881" s="227" t="s">
        <v>84</v>
      </c>
      <c r="H881" s="231">
        <v>1</v>
      </c>
      <c r="I881" s="232">
        <v>0</v>
      </c>
      <c r="J881" s="230">
        <v>46017</v>
      </c>
      <c r="K881" s="227" t="s">
        <v>93</v>
      </c>
      <c r="L881" s="227" t="s">
        <v>94</v>
      </c>
      <c r="M881" s="233">
        <v>0</v>
      </c>
      <c r="N881" s="231"/>
      <c r="O881" s="231"/>
      <c r="P881" s="234">
        <v>-56</v>
      </c>
    </row>
    <row r="882" spans="1:16" ht="19.5" customHeight="1">
      <c r="A882" s="227" t="s">
        <v>1294</v>
      </c>
      <c r="B882" s="230">
        <v>46052</v>
      </c>
      <c r="C882" s="227" t="s">
        <v>81</v>
      </c>
      <c r="D882" s="227" t="s">
        <v>98</v>
      </c>
      <c r="E882" s="227" t="s">
        <v>52</v>
      </c>
      <c r="F882" s="227" t="s">
        <v>90</v>
      </c>
      <c r="G882" s="227" t="s">
        <v>84</v>
      </c>
      <c r="H882" s="231">
        <v>1</v>
      </c>
      <c r="I882" s="232">
        <v>0</v>
      </c>
      <c r="J882" s="230">
        <v>46017</v>
      </c>
      <c r="K882" s="227" t="s">
        <v>93</v>
      </c>
      <c r="L882" s="227" t="s">
        <v>94</v>
      </c>
      <c r="M882" s="233">
        <v>0</v>
      </c>
      <c r="N882" s="231"/>
      <c r="O882" s="231"/>
      <c r="P882" s="234">
        <v>-15</v>
      </c>
    </row>
    <row r="883" spans="1:16" ht="19.5" customHeight="1">
      <c r="A883" s="227" t="s">
        <v>1293</v>
      </c>
      <c r="B883" s="230">
        <v>46052</v>
      </c>
      <c r="C883" s="227" t="s">
        <v>81</v>
      </c>
      <c r="D883" s="227" t="s">
        <v>82</v>
      </c>
      <c r="E883" s="227" t="s">
        <v>52</v>
      </c>
      <c r="F883" s="227" t="s">
        <v>90</v>
      </c>
      <c r="G883" s="227" t="s">
        <v>84</v>
      </c>
      <c r="H883" s="231">
        <v>1</v>
      </c>
      <c r="I883" s="232">
        <v>0</v>
      </c>
      <c r="J883" s="230">
        <v>46046</v>
      </c>
      <c r="K883" s="227" t="s">
        <v>85</v>
      </c>
      <c r="L883" s="227" t="s">
        <v>85</v>
      </c>
      <c r="M883" s="233">
        <v>0</v>
      </c>
      <c r="N883" s="231"/>
      <c r="O883" s="231"/>
      <c r="P883" s="234">
        <v>-13.14</v>
      </c>
    </row>
    <row r="884" spans="1:16" ht="19.5" customHeight="1">
      <c r="A884" s="227" t="s">
        <v>1295</v>
      </c>
      <c r="B884" s="230">
        <v>46052</v>
      </c>
      <c r="C884" s="227" t="s">
        <v>92</v>
      </c>
      <c r="D884" s="227" t="s">
        <v>24</v>
      </c>
      <c r="E884" s="227" t="s">
        <v>53</v>
      </c>
      <c r="F884" s="227" t="s">
        <v>120</v>
      </c>
      <c r="G884" s="227" t="s">
        <v>84</v>
      </c>
      <c r="H884" s="231">
        <v>1</v>
      </c>
      <c r="I884" s="232">
        <v>0</v>
      </c>
      <c r="J884" s="230">
        <v>46047</v>
      </c>
      <c r="K884" s="227" t="s">
        <v>93</v>
      </c>
      <c r="L884" s="227" t="s">
        <v>94</v>
      </c>
      <c r="M884" s="233">
        <v>0</v>
      </c>
      <c r="N884" s="231"/>
      <c r="O884" s="231">
        <v>41</v>
      </c>
      <c r="P884" s="234">
        <v>-56</v>
      </c>
    </row>
    <row r="885" spans="1:16" ht="19.5" customHeight="1">
      <c r="A885" s="227" t="s">
        <v>1295</v>
      </c>
      <c r="B885" s="230">
        <v>46052</v>
      </c>
      <c r="C885" s="227" t="s">
        <v>81</v>
      </c>
      <c r="D885" s="227" t="s">
        <v>95</v>
      </c>
      <c r="E885" s="227" t="s">
        <v>53</v>
      </c>
      <c r="F885" s="227" t="s">
        <v>120</v>
      </c>
      <c r="G885" s="227" t="s">
        <v>84</v>
      </c>
      <c r="H885" s="231">
        <v>1</v>
      </c>
      <c r="I885" s="232">
        <v>0</v>
      </c>
      <c r="J885" s="230">
        <v>46047</v>
      </c>
      <c r="K885" s="227" t="s">
        <v>93</v>
      </c>
      <c r="L885" s="227" t="s">
        <v>94</v>
      </c>
      <c r="M885" s="233">
        <v>0</v>
      </c>
      <c r="N885" s="231"/>
      <c r="O885" s="231"/>
      <c r="P885" s="234">
        <v>-25</v>
      </c>
    </row>
    <row r="886" spans="1:16" ht="19.5" customHeight="1">
      <c r="A886" s="227" t="s">
        <v>1296</v>
      </c>
      <c r="B886" s="230">
        <v>46052</v>
      </c>
      <c r="C886" s="227" t="s">
        <v>354</v>
      </c>
      <c r="D886" s="227" t="s">
        <v>892</v>
      </c>
      <c r="E886" s="227" t="s">
        <v>85</v>
      </c>
      <c r="F886" s="227" t="s">
        <v>85</v>
      </c>
      <c r="G886" s="227" t="s">
        <v>85</v>
      </c>
      <c r="H886" s="231">
        <v>0</v>
      </c>
      <c r="I886" s="232">
        <v>0</v>
      </c>
      <c r="J886" s="230">
        <v>46044</v>
      </c>
      <c r="K886" s="227" t="s">
        <v>85</v>
      </c>
      <c r="L886" s="227" t="s">
        <v>85</v>
      </c>
      <c r="M886" s="233">
        <v>0</v>
      </c>
      <c r="N886" s="231"/>
      <c r="O886" s="231"/>
      <c r="P886" s="234">
        <v>-3321.6</v>
      </c>
    </row>
    <row r="887" spans="1:16" ht="19.5" customHeight="1">
      <c r="A887" s="227" t="s">
        <v>1297</v>
      </c>
      <c r="B887" s="230">
        <v>46052</v>
      </c>
      <c r="C887" s="227" t="s">
        <v>92</v>
      </c>
      <c r="D887" s="227" t="s">
        <v>24</v>
      </c>
      <c r="E887" s="227" t="s">
        <v>52</v>
      </c>
      <c r="F887" s="227" t="s">
        <v>90</v>
      </c>
      <c r="G887" s="227" t="s">
        <v>84</v>
      </c>
      <c r="H887" s="231">
        <v>1</v>
      </c>
      <c r="I887" s="232">
        <v>0</v>
      </c>
      <c r="J887" s="230">
        <v>46047</v>
      </c>
      <c r="K887" s="227" t="s">
        <v>93</v>
      </c>
      <c r="L887" s="227" t="s">
        <v>94</v>
      </c>
      <c r="M887" s="233">
        <v>0</v>
      </c>
      <c r="N887" s="231"/>
      <c r="O887" s="231">
        <v>41</v>
      </c>
      <c r="P887" s="234">
        <v>-56.94</v>
      </c>
    </row>
    <row r="888" spans="1:16" ht="19.5" customHeight="1">
      <c r="A888" s="227" t="s">
        <v>1297</v>
      </c>
      <c r="B888" s="230">
        <v>46052</v>
      </c>
      <c r="C888" s="227" t="s">
        <v>81</v>
      </c>
      <c r="D888" s="227" t="s">
        <v>95</v>
      </c>
      <c r="E888" s="227" t="s">
        <v>52</v>
      </c>
      <c r="F888" s="227" t="s">
        <v>90</v>
      </c>
      <c r="G888" s="227" t="s">
        <v>84</v>
      </c>
      <c r="H888" s="231">
        <v>1</v>
      </c>
      <c r="I888" s="232">
        <v>0</v>
      </c>
      <c r="J888" s="230">
        <v>46047</v>
      </c>
      <c r="K888" s="227" t="s">
        <v>93</v>
      </c>
      <c r="L888" s="227" t="s">
        <v>94</v>
      </c>
      <c r="M888" s="233">
        <v>0</v>
      </c>
      <c r="N888" s="231"/>
      <c r="O888" s="231"/>
      <c r="P888" s="234">
        <v>-25</v>
      </c>
    </row>
    <row r="889" spans="1:16" ht="19.5" customHeight="1">
      <c r="A889" s="227" t="s">
        <v>1296</v>
      </c>
      <c r="B889" s="230">
        <v>46052</v>
      </c>
      <c r="C889" s="227" t="s">
        <v>354</v>
      </c>
      <c r="D889" s="227" t="s">
        <v>892</v>
      </c>
      <c r="E889" s="227" t="s">
        <v>85</v>
      </c>
      <c r="F889" s="227" t="s">
        <v>85</v>
      </c>
      <c r="G889" s="227" t="s">
        <v>85</v>
      </c>
      <c r="H889" s="231">
        <v>0</v>
      </c>
      <c r="I889" s="232">
        <v>0</v>
      </c>
      <c r="J889" s="230">
        <v>46044</v>
      </c>
      <c r="K889" s="227" t="s">
        <v>85</v>
      </c>
      <c r="L889" s="227" t="s">
        <v>85</v>
      </c>
      <c r="M889" s="233">
        <v>0</v>
      </c>
      <c r="N889" s="231"/>
      <c r="O889" s="231"/>
      <c r="P889" s="234">
        <v>-3321.6</v>
      </c>
    </row>
    <row r="890" spans="1:16" ht="19.5" customHeight="1">
      <c r="A890" s="227" t="s">
        <v>1295</v>
      </c>
      <c r="B890" s="230">
        <v>46052</v>
      </c>
      <c r="C890" s="227" t="s">
        <v>92</v>
      </c>
      <c r="D890" s="227" t="s">
        <v>96</v>
      </c>
      <c r="E890" s="227" t="s">
        <v>53</v>
      </c>
      <c r="F890" s="227" t="s">
        <v>120</v>
      </c>
      <c r="G890" s="227" t="s">
        <v>84</v>
      </c>
      <c r="H890" s="231">
        <v>1</v>
      </c>
      <c r="I890" s="232">
        <v>0</v>
      </c>
      <c r="J890" s="230">
        <v>46047</v>
      </c>
      <c r="K890" s="227" t="s">
        <v>93</v>
      </c>
      <c r="L890" s="227" t="s">
        <v>94</v>
      </c>
      <c r="M890" s="233">
        <v>0</v>
      </c>
      <c r="N890" s="231"/>
      <c r="O890" s="231"/>
      <c r="P890" s="234">
        <v>0</v>
      </c>
    </row>
    <row r="891" spans="1:16" ht="19.5" customHeight="1">
      <c r="A891" s="227" t="s">
        <v>1295</v>
      </c>
      <c r="B891" s="230">
        <v>46052</v>
      </c>
      <c r="C891" s="227" t="s">
        <v>92</v>
      </c>
      <c r="D891" s="227" t="s">
        <v>97</v>
      </c>
      <c r="E891" s="227" t="s">
        <v>53</v>
      </c>
      <c r="F891" s="227" t="s">
        <v>120</v>
      </c>
      <c r="G891" s="227" t="s">
        <v>84</v>
      </c>
      <c r="H891" s="231">
        <v>1</v>
      </c>
      <c r="I891" s="232">
        <v>0</v>
      </c>
      <c r="J891" s="230">
        <v>46047</v>
      </c>
      <c r="K891" s="227" t="s">
        <v>93</v>
      </c>
      <c r="L891" s="227" t="s">
        <v>94</v>
      </c>
      <c r="M891" s="233">
        <v>0</v>
      </c>
      <c r="N891" s="231"/>
      <c r="O891" s="231"/>
      <c r="P891" s="234">
        <v>-56</v>
      </c>
    </row>
    <row r="892" spans="1:16" ht="19.5" customHeight="1">
      <c r="A892" s="227" t="s">
        <v>1295</v>
      </c>
      <c r="B892" s="230">
        <v>46052</v>
      </c>
      <c r="C892" s="227" t="s">
        <v>81</v>
      </c>
      <c r="D892" s="227" t="s">
        <v>98</v>
      </c>
      <c r="E892" s="227" t="s">
        <v>53</v>
      </c>
      <c r="F892" s="227" t="s">
        <v>120</v>
      </c>
      <c r="G892" s="227" t="s">
        <v>84</v>
      </c>
      <c r="H892" s="231">
        <v>1</v>
      </c>
      <c r="I892" s="232">
        <v>0</v>
      </c>
      <c r="J892" s="230">
        <v>46047</v>
      </c>
      <c r="K892" s="227" t="s">
        <v>93</v>
      </c>
      <c r="L892" s="227" t="s">
        <v>94</v>
      </c>
      <c r="M892" s="233">
        <v>0</v>
      </c>
      <c r="N892" s="231"/>
      <c r="O892" s="231"/>
      <c r="P892" s="234">
        <v>-15</v>
      </c>
    </row>
    <row r="893" spans="1:16" ht="19.5" customHeight="1">
      <c r="A893" s="227" t="s">
        <v>1297</v>
      </c>
      <c r="B893" s="230">
        <v>46052</v>
      </c>
      <c r="C893" s="227" t="s">
        <v>92</v>
      </c>
      <c r="D893" s="227" t="s">
        <v>96</v>
      </c>
      <c r="E893" s="227" t="s">
        <v>52</v>
      </c>
      <c r="F893" s="227" t="s">
        <v>90</v>
      </c>
      <c r="G893" s="227" t="s">
        <v>84</v>
      </c>
      <c r="H893" s="231">
        <v>1</v>
      </c>
      <c r="I893" s="232">
        <v>0</v>
      </c>
      <c r="J893" s="230">
        <v>46047</v>
      </c>
      <c r="K893" s="227" t="s">
        <v>93</v>
      </c>
      <c r="L893" s="227" t="s">
        <v>94</v>
      </c>
      <c r="M893" s="233">
        <v>0</v>
      </c>
      <c r="N893" s="231"/>
      <c r="O893" s="231"/>
      <c r="P893" s="234">
        <v>0</v>
      </c>
    </row>
    <row r="894" spans="1:16" ht="19.5" customHeight="1">
      <c r="A894" s="227" t="s">
        <v>1297</v>
      </c>
      <c r="B894" s="230">
        <v>46052</v>
      </c>
      <c r="C894" s="227" t="s">
        <v>92</v>
      </c>
      <c r="D894" s="227" t="s">
        <v>97</v>
      </c>
      <c r="E894" s="227" t="s">
        <v>52</v>
      </c>
      <c r="F894" s="227" t="s">
        <v>90</v>
      </c>
      <c r="G894" s="227" t="s">
        <v>84</v>
      </c>
      <c r="H894" s="231">
        <v>1</v>
      </c>
      <c r="I894" s="232">
        <v>0</v>
      </c>
      <c r="J894" s="230">
        <v>46047</v>
      </c>
      <c r="K894" s="227" t="s">
        <v>93</v>
      </c>
      <c r="L894" s="227" t="s">
        <v>94</v>
      </c>
      <c r="M894" s="233">
        <v>0</v>
      </c>
      <c r="N894" s="231"/>
      <c r="O894" s="231"/>
      <c r="P894" s="234">
        <v>-56.94</v>
      </c>
    </row>
    <row r="895" spans="1:16" ht="19.5" customHeight="1">
      <c r="A895" s="227" t="s">
        <v>1297</v>
      </c>
      <c r="B895" s="230">
        <v>46052</v>
      </c>
      <c r="C895" s="227" t="s">
        <v>81</v>
      </c>
      <c r="D895" s="227" t="s">
        <v>98</v>
      </c>
      <c r="E895" s="227" t="s">
        <v>52</v>
      </c>
      <c r="F895" s="227" t="s">
        <v>90</v>
      </c>
      <c r="G895" s="227" t="s">
        <v>84</v>
      </c>
      <c r="H895" s="231">
        <v>1</v>
      </c>
      <c r="I895" s="232">
        <v>0</v>
      </c>
      <c r="J895" s="230">
        <v>46047</v>
      </c>
      <c r="K895" s="227" t="s">
        <v>93</v>
      </c>
      <c r="L895" s="227" t="s">
        <v>94</v>
      </c>
      <c r="M895" s="233">
        <v>0</v>
      </c>
      <c r="N895" s="231"/>
      <c r="O895" s="231"/>
      <c r="P895" s="234">
        <v>-15</v>
      </c>
    </row>
    <row r="896" spans="1:16" ht="19.5" customHeight="1">
      <c r="A896" s="227" t="s">
        <v>336</v>
      </c>
      <c r="B896" s="230">
        <v>46052</v>
      </c>
      <c r="C896" s="227" t="s">
        <v>81</v>
      </c>
      <c r="D896" s="227" t="s">
        <v>82</v>
      </c>
      <c r="E896" s="227" t="s">
        <v>52</v>
      </c>
      <c r="F896" s="227" t="s">
        <v>90</v>
      </c>
      <c r="G896" s="227" t="s">
        <v>84</v>
      </c>
      <c r="H896" s="231">
        <v>1</v>
      </c>
      <c r="I896" s="232">
        <v>0</v>
      </c>
      <c r="J896" s="230">
        <v>46047</v>
      </c>
      <c r="K896" s="227" t="s">
        <v>85</v>
      </c>
      <c r="L896" s="227" t="s">
        <v>85</v>
      </c>
      <c r="M896" s="233">
        <v>0</v>
      </c>
      <c r="N896" s="231"/>
      <c r="O896" s="231"/>
      <c r="P896" s="234">
        <v>11.92</v>
      </c>
    </row>
    <row r="897" spans="1:16" ht="19.5" customHeight="1">
      <c r="A897" s="227" t="s">
        <v>1298</v>
      </c>
      <c r="B897" s="230">
        <v>46052</v>
      </c>
      <c r="C897" s="227" t="s">
        <v>354</v>
      </c>
      <c r="D897" s="227" t="s">
        <v>892</v>
      </c>
      <c r="E897" s="227" t="s">
        <v>85</v>
      </c>
      <c r="F897" s="227" t="s">
        <v>85</v>
      </c>
      <c r="G897" s="227" t="s">
        <v>85</v>
      </c>
      <c r="H897" s="231">
        <v>0</v>
      </c>
      <c r="I897" s="232">
        <v>0</v>
      </c>
      <c r="J897" s="230">
        <v>46041</v>
      </c>
      <c r="K897" s="227" t="s">
        <v>85</v>
      </c>
      <c r="L897" s="227" t="s">
        <v>85</v>
      </c>
      <c r="M897" s="233">
        <v>0</v>
      </c>
      <c r="N897" s="231"/>
      <c r="O897" s="231"/>
      <c r="P897" s="234">
        <v>-4809.3999999999996</v>
      </c>
    </row>
    <row r="898" spans="1:16" ht="19.5" customHeight="1">
      <c r="A898" s="227" t="s">
        <v>1298</v>
      </c>
      <c r="B898" s="230">
        <v>46052</v>
      </c>
      <c r="C898" s="227" t="s">
        <v>354</v>
      </c>
      <c r="D898" s="227" t="s">
        <v>892</v>
      </c>
      <c r="E898" s="227" t="s">
        <v>85</v>
      </c>
      <c r="F898" s="227" t="s">
        <v>85</v>
      </c>
      <c r="G898" s="227" t="s">
        <v>85</v>
      </c>
      <c r="H898" s="231">
        <v>0</v>
      </c>
      <c r="I898" s="232">
        <v>0</v>
      </c>
      <c r="J898" s="230">
        <v>46041</v>
      </c>
      <c r="K898" s="227" t="s">
        <v>85</v>
      </c>
      <c r="L898" s="227" t="s">
        <v>85</v>
      </c>
      <c r="M898" s="233">
        <v>0</v>
      </c>
      <c r="N898" s="231"/>
      <c r="O898" s="231"/>
      <c r="P898" s="234">
        <v>-4809.3999999999996</v>
      </c>
    </row>
    <row r="899" spans="1:16" ht="19.5" customHeight="1">
      <c r="A899" s="227" t="s">
        <v>1206</v>
      </c>
      <c r="B899" s="230">
        <v>46052</v>
      </c>
      <c r="C899" s="227" t="s">
        <v>109</v>
      </c>
      <c r="D899" s="227" t="s">
        <v>139</v>
      </c>
      <c r="E899" s="227" t="s">
        <v>85</v>
      </c>
      <c r="F899" s="227" t="s">
        <v>85</v>
      </c>
      <c r="G899" s="227" t="s">
        <v>85</v>
      </c>
      <c r="H899" s="231">
        <v>0</v>
      </c>
      <c r="I899" s="232">
        <v>0</v>
      </c>
      <c r="J899" s="230">
        <v>46052</v>
      </c>
      <c r="K899" s="227" t="s">
        <v>85</v>
      </c>
      <c r="L899" s="227" t="s">
        <v>85</v>
      </c>
      <c r="M899" s="233">
        <v>0</v>
      </c>
      <c r="N899" s="231"/>
      <c r="O899" s="231"/>
      <c r="P899" s="234">
        <v>-25.46</v>
      </c>
    </row>
    <row r="900" spans="1:16" ht="19.5" customHeight="1">
      <c r="A900" s="227" t="s">
        <v>1207</v>
      </c>
      <c r="B900" s="230">
        <v>46052</v>
      </c>
      <c r="C900" s="227" t="s">
        <v>109</v>
      </c>
      <c r="D900" s="227" t="s">
        <v>139</v>
      </c>
      <c r="E900" s="227" t="s">
        <v>85</v>
      </c>
      <c r="F900" s="227" t="s">
        <v>85</v>
      </c>
      <c r="G900" s="227" t="s">
        <v>85</v>
      </c>
      <c r="H900" s="231">
        <v>0</v>
      </c>
      <c r="I900" s="232">
        <v>0</v>
      </c>
      <c r="J900" s="230">
        <v>46052</v>
      </c>
      <c r="K900" s="227" t="s">
        <v>85</v>
      </c>
      <c r="L900" s="227" t="s">
        <v>85</v>
      </c>
      <c r="M900" s="233">
        <v>0</v>
      </c>
      <c r="N900" s="231"/>
      <c r="O900" s="231"/>
      <c r="P900" s="234">
        <v>-290.76</v>
      </c>
    </row>
    <row r="901" spans="1:16" ht="19.5" customHeight="1">
      <c r="A901" s="227" t="s">
        <v>1208</v>
      </c>
      <c r="B901" s="230">
        <v>46052</v>
      </c>
      <c r="C901" s="227" t="s">
        <v>109</v>
      </c>
      <c r="D901" s="227" t="s">
        <v>139</v>
      </c>
      <c r="E901" s="227" t="s">
        <v>85</v>
      </c>
      <c r="F901" s="227" t="s">
        <v>85</v>
      </c>
      <c r="G901" s="227" t="s">
        <v>85</v>
      </c>
      <c r="H901" s="231">
        <v>0</v>
      </c>
      <c r="I901" s="232">
        <v>0</v>
      </c>
      <c r="J901" s="230">
        <v>46052</v>
      </c>
      <c r="K901" s="227" t="s">
        <v>85</v>
      </c>
      <c r="L901" s="227" t="s">
        <v>85</v>
      </c>
      <c r="M901" s="233">
        <v>0</v>
      </c>
      <c r="N901" s="231"/>
      <c r="O901" s="231"/>
      <c r="P901" s="234">
        <v>-289.45</v>
      </c>
    </row>
    <row r="902" spans="1:16" ht="19.5" customHeight="1">
      <c r="A902" s="227" t="s">
        <v>1211</v>
      </c>
      <c r="B902" s="230">
        <v>46052</v>
      </c>
      <c r="C902" s="227" t="s">
        <v>109</v>
      </c>
      <c r="D902" s="227" t="s">
        <v>139</v>
      </c>
      <c r="E902" s="227" t="s">
        <v>85</v>
      </c>
      <c r="F902" s="227" t="s">
        <v>85</v>
      </c>
      <c r="G902" s="227" t="s">
        <v>85</v>
      </c>
      <c r="H902" s="231">
        <v>0</v>
      </c>
      <c r="I902" s="232">
        <v>0</v>
      </c>
      <c r="J902" s="230">
        <v>46052</v>
      </c>
      <c r="K902" s="227" t="s">
        <v>85</v>
      </c>
      <c r="L902" s="227" t="s">
        <v>85</v>
      </c>
      <c r="M902" s="233">
        <v>0</v>
      </c>
      <c r="N902" s="231"/>
      <c r="O902" s="231"/>
      <c r="P902" s="234">
        <v>-92.13</v>
      </c>
    </row>
    <row r="903" spans="1:16" ht="19.5" customHeight="1">
      <c r="A903" s="227" t="s">
        <v>1209</v>
      </c>
      <c r="B903" s="230">
        <v>46052</v>
      </c>
      <c r="C903" s="227" t="s">
        <v>109</v>
      </c>
      <c r="D903" s="227" t="s">
        <v>139</v>
      </c>
      <c r="E903" s="227" t="s">
        <v>85</v>
      </c>
      <c r="F903" s="227" t="s">
        <v>85</v>
      </c>
      <c r="G903" s="227" t="s">
        <v>85</v>
      </c>
      <c r="H903" s="231">
        <v>0</v>
      </c>
      <c r="I903" s="232">
        <v>0</v>
      </c>
      <c r="J903" s="230">
        <v>46052</v>
      </c>
      <c r="K903" s="227" t="s">
        <v>85</v>
      </c>
      <c r="L903" s="227" t="s">
        <v>85</v>
      </c>
      <c r="M903" s="233">
        <v>0</v>
      </c>
      <c r="N903" s="231"/>
      <c r="O903" s="231"/>
      <c r="P903" s="234">
        <v>-30.47</v>
      </c>
    </row>
    <row r="904" spans="1:16" ht="19.5" customHeight="1">
      <c r="A904" s="227" t="s">
        <v>1210</v>
      </c>
      <c r="B904" s="230">
        <v>46052</v>
      </c>
      <c r="C904" s="227" t="s">
        <v>109</v>
      </c>
      <c r="D904" s="227" t="s">
        <v>139</v>
      </c>
      <c r="E904" s="227" t="s">
        <v>85</v>
      </c>
      <c r="F904" s="227" t="s">
        <v>85</v>
      </c>
      <c r="G904" s="227" t="s">
        <v>85</v>
      </c>
      <c r="H904" s="231">
        <v>0</v>
      </c>
      <c r="I904" s="232">
        <v>0</v>
      </c>
      <c r="J904" s="230">
        <v>46052</v>
      </c>
      <c r="K904" s="227" t="s">
        <v>85</v>
      </c>
      <c r="L904" s="227" t="s">
        <v>85</v>
      </c>
      <c r="M904" s="233">
        <v>0</v>
      </c>
      <c r="N904" s="231"/>
      <c r="O904" s="231"/>
      <c r="P904" s="234">
        <v>-89.08</v>
      </c>
    </row>
    <row r="905" spans="1:16" ht="19.5" customHeight="1">
      <c r="A905" s="227" t="s">
        <v>141</v>
      </c>
      <c r="B905" s="230">
        <v>46052</v>
      </c>
      <c r="C905" s="227" t="s">
        <v>109</v>
      </c>
      <c r="D905" s="227" t="s">
        <v>139</v>
      </c>
      <c r="E905" s="227" t="s">
        <v>85</v>
      </c>
      <c r="F905" s="227" t="s">
        <v>85</v>
      </c>
      <c r="G905" s="227" t="s">
        <v>85</v>
      </c>
      <c r="H905" s="231">
        <v>0</v>
      </c>
      <c r="I905" s="232">
        <v>0</v>
      </c>
      <c r="J905" s="230">
        <v>46052</v>
      </c>
      <c r="K905" s="227" t="s">
        <v>85</v>
      </c>
      <c r="L905" s="227" t="s">
        <v>85</v>
      </c>
      <c r="M905" s="233">
        <v>0</v>
      </c>
      <c r="N905" s="231"/>
      <c r="O905" s="231"/>
      <c r="P905" s="234">
        <v>-443.57</v>
      </c>
    </row>
    <row r="906" spans="1:16" ht="19.5" customHeight="1">
      <c r="A906" s="227" t="s">
        <v>145</v>
      </c>
      <c r="B906" s="230">
        <v>46052</v>
      </c>
      <c r="C906" s="227" t="s">
        <v>109</v>
      </c>
      <c r="D906" s="227" t="s">
        <v>139</v>
      </c>
      <c r="E906" s="227" t="s">
        <v>85</v>
      </c>
      <c r="F906" s="227" t="s">
        <v>85</v>
      </c>
      <c r="G906" s="227" t="s">
        <v>85</v>
      </c>
      <c r="H906" s="231">
        <v>0</v>
      </c>
      <c r="I906" s="232">
        <v>0</v>
      </c>
      <c r="J906" s="230">
        <v>46052</v>
      </c>
      <c r="K906" s="227" t="s">
        <v>85</v>
      </c>
      <c r="L906" s="227" t="s">
        <v>85</v>
      </c>
      <c r="M906" s="233">
        <v>0</v>
      </c>
      <c r="N906" s="231"/>
      <c r="O906" s="231"/>
      <c r="P906" s="234">
        <v>-1265.5</v>
      </c>
    </row>
    <row r="907" spans="1:16" ht="19.5" customHeight="1">
      <c r="A907" s="227" t="s">
        <v>138</v>
      </c>
      <c r="B907" s="230">
        <v>46052</v>
      </c>
      <c r="C907" s="227" t="s">
        <v>109</v>
      </c>
      <c r="D907" s="227" t="s">
        <v>139</v>
      </c>
      <c r="E907" s="227" t="s">
        <v>85</v>
      </c>
      <c r="F907" s="227" t="s">
        <v>85</v>
      </c>
      <c r="G907" s="227" t="s">
        <v>85</v>
      </c>
      <c r="H907" s="231">
        <v>0</v>
      </c>
      <c r="I907" s="232">
        <v>0</v>
      </c>
      <c r="J907" s="230">
        <v>46052</v>
      </c>
      <c r="K907" s="227" t="s">
        <v>85</v>
      </c>
      <c r="L907" s="227" t="s">
        <v>85</v>
      </c>
      <c r="M907" s="233">
        <v>0</v>
      </c>
      <c r="N907" s="231"/>
      <c r="O907" s="231"/>
      <c r="P907" s="234">
        <v>-1145.04</v>
      </c>
    </row>
    <row r="908" spans="1:16" ht="19.5" customHeight="1">
      <c r="A908" s="227" t="s">
        <v>144</v>
      </c>
      <c r="B908" s="230">
        <v>46052</v>
      </c>
      <c r="C908" s="227" t="s">
        <v>109</v>
      </c>
      <c r="D908" s="227" t="s">
        <v>139</v>
      </c>
      <c r="E908" s="227" t="s">
        <v>85</v>
      </c>
      <c r="F908" s="227" t="s">
        <v>85</v>
      </c>
      <c r="G908" s="227" t="s">
        <v>85</v>
      </c>
      <c r="H908" s="231">
        <v>0</v>
      </c>
      <c r="I908" s="232">
        <v>0</v>
      </c>
      <c r="J908" s="230">
        <v>46052</v>
      </c>
      <c r="K908" s="227" t="s">
        <v>85</v>
      </c>
      <c r="L908" s="227" t="s">
        <v>85</v>
      </c>
      <c r="M908" s="233">
        <v>0</v>
      </c>
      <c r="N908" s="231"/>
      <c r="O908" s="231"/>
      <c r="P908" s="234">
        <v>-1151.3</v>
      </c>
    </row>
    <row r="909" spans="1:16" ht="19.5" customHeight="1">
      <c r="A909" s="227" t="s">
        <v>142</v>
      </c>
      <c r="B909" s="230">
        <v>46052</v>
      </c>
      <c r="C909" s="227" t="s">
        <v>109</v>
      </c>
      <c r="D909" s="227" t="s">
        <v>143</v>
      </c>
      <c r="E909" s="227" t="s">
        <v>85</v>
      </c>
      <c r="F909" s="227" t="s">
        <v>85</v>
      </c>
      <c r="G909" s="227" t="s">
        <v>85</v>
      </c>
      <c r="H909" s="231">
        <v>0</v>
      </c>
      <c r="I909" s="232">
        <v>0</v>
      </c>
      <c r="J909" s="230">
        <v>46052</v>
      </c>
      <c r="K909" s="227" t="s">
        <v>85</v>
      </c>
      <c r="L909" s="227" t="s">
        <v>85</v>
      </c>
      <c r="M909" s="233">
        <v>0</v>
      </c>
      <c r="N909" s="231"/>
      <c r="O909" s="231"/>
      <c r="P909" s="234">
        <v>-2697.4</v>
      </c>
    </row>
    <row r="910" spans="1:16" ht="19.5" customHeight="1">
      <c r="A910" s="227" t="s">
        <v>1299</v>
      </c>
      <c r="B910" s="230">
        <v>46053</v>
      </c>
      <c r="C910" s="227" t="s">
        <v>92</v>
      </c>
      <c r="D910" s="227" t="s">
        <v>24</v>
      </c>
      <c r="E910" s="227" t="s">
        <v>52</v>
      </c>
      <c r="F910" s="227" t="s">
        <v>90</v>
      </c>
      <c r="G910" s="227" t="s">
        <v>84</v>
      </c>
      <c r="H910" s="231">
        <v>1</v>
      </c>
      <c r="I910" s="232">
        <v>0</v>
      </c>
      <c r="J910" s="230">
        <v>46049</v>
      </c>
      <c r="K910" s="227" t="s">
        <v>93</v>
      </c>
      <c r="L910" s="227" t="s">
        <v>94</v>
      </c>
      <c r="M910" s="233">
        <v>0</v>
      </c>
      <c r="N910" s="231"/>
      <c r="O910" s="231">
        <v>45</v>
      </c>
      <c r="P910" s="234">
        <v>-56</v>
      </c>
    </row>
    <row r="911" spans="1:16" ht="19.5" customHeight="1">
      <c r="A911" s="227" t="s">
        <v>1299</v>
      </c>
      <c r="B911" s="230">
        <v>46053</v>
      </c>
      <c r="C911" s="227" t="s">
        <v>81</v>
      </c>
      <c r="D911" s="227" t="s">
        <v>95</v>
      </c>
      <c r="E911" s="227" t="s">
        <v>52</v>
      </c>
      <c r="F911" s="227" t="s">
        <v>90</v>
      </c>
      <c r="G911" s="227" t="s">
        <v>84</v>
      </c>
      <c r="H911" s="231">
        <v>1</v>
      </c>
      <c r="I911" s="232">
        <v>0</v>
      </c>
      <c r="J911" s="230">
        <v>46049</v>
      </c>
      <c r="K911" s="227" t="s">
        <v>93</v>
      </c>
      <c r="L911" s="227" t="s">
        <v>94</v>
      </c>
      <c r="M911" s="233">
        <v>0</v>
      </c>
      <c r="N911" s="231"/>
      <c r="O911" s="231"/>
      <c r="P911" s="234">
        <v>-12.96</v>
      </c>
    </row>
    <row r="912" spans="1:16" ht="19.5" customHeight="1">
      <c r="A912" s="227" t="s">
        <v>1299</v>
      </c>
      <c r="B912" s="230">
        <v>46053</v>
      </c>
      <c r="C912" s="227" t="s">
        <v>92</v>
      </c>
      <c r="D912" s="227" t="s">
        <v>96</v>
      </c>
      <c r="E912" s="227" t="s">
        <v>52</v>
      </c>
      <c r="F912" s="227" t="s">
        <v>90</v>
      </c>
      <c r="G912" s="227" t="s">
        <v>84</v>
      </c>
      <c r="H912" s="231">
        <v>1</v>
      </c>
      <c r="I912" s="232">
        <v>0</v>
      </c>
      <c r="J912" s="230">
        <v>46049</v>
      </c>
      <c r="K912" s="227" t="s">
        <v>93</v>
      </c>
      <c r="L912" s="227" t="s">
        <v>94</v>
      </c>
      <c r="M912" s="233">
        <v>0</v>
      </c>
      <c r="N912" s="231"/>
      <c r="O912" s="231"/>
      <c r="P912" s="234">
        <v>0</v>
      </c>
    </row>
    <row r="913" spans="1:16" ht="19.5" customHeight="1">
      <c r="A913" s="227" t="s">
        <v>1299</v>
      </c>
      <c r="B913" s="230">
        <v>46053</v>
      </c>
      <c r="C913" s="227" t="s">
        <v>92</v>
      </c>
      <c r="D913" s="227" t="s">
        <v>97</v>
      </c>
      <c r="E913" s="227" t="s">
        <v>52</v>
      </c>
      <c r="F913" s="227" t="s">
        <v>90</v>
      </c>
      <c r="G913" s="227" t="s">
        <v>84</v>
      </c>
      <c r="H913" s="231">
        <v>1</v>
      </c>
      <c r="I913" s="232">
        <v>0</v>
      </c>
      <c r="J913" s="230">
        <v>46049</v>
      </c>
      <c r="K913" s="227" t="s">
        <v>93</v>
      </c>
      <c r="L913" s="227" t="s">
        <v>94</v>
      </c>
      <c r="M913" s="233">
        <v>0</v>
      </c>
      <c r="N913" s="231"/>
      <c r="O913" s="231"/>
      <c r="P913" s="234">
        <v>-56</v>
      </c>
    </row>
    <row r="914" spans="1:16" ht="19.5" customHeight="1">
      <c r="A914" s="227" t="s">
        <v>1299</v>
      </c>
      <c r="B914" s="230">
        <v>46053</v>
      </c>
      <c r="C914" s="227" t="s">
        <v>81</v>
      </c>
      <c r="D914" s="227" t="s">
        <v>98</v>
      </c>
      <c r="E914" s="227" t="s">
        <v>52</v>
      </c>
      <c r="F914" s="227" t="s">
        <v>90</v>
      </c>
      <c r="G914" s="227" t="s">
        <v>84</v>
      </c>
      <c r="H914" s="231">
        <v>1</v>
      </c>
      <c r="I914" s="232">
        <v>0</v>
      </c>
      <c r="J914" s="230">
        <v>46049</v>
      </c>
      <c r="K914" s="227" t="s">
        <v>93</v>
      </c>
      <c r="L914" s="227" t="s">
        <v>94</v>
      </c>
      <c r="M914" s="233">
        <v>0</v>
      </c>
      <c r="N914" s="231"/>
      <c r="O914" s="231"/>
      <c r="P914" s="234">
        <v>-15</v>
      </c>
    </row>
    <row r="915" spans="1:16" ht="19.5" customHeight="1">
      <c r="A915" s="227" t="s">
        <v>1300</v>
      </c>
      <c r="B915" s="230">
        <v>46053</v>
      </c>
      <c r="C915" s="227" t="s">
        <v>92</v>
      </c>
      <c r="D915" s="227" t="s">
        <v>24</v>
      </c>
      <c r="E915" s="227" t="s">
        <v>42</v>
      </c>
      <c r="F915" s="227" t="s">
        <v>89</v>
      </c>
      <c r="G915" s="227" t="s">
        <v>84</v>
      </c>
      <c r="H915" s="231">
        <v>1</v>
      </c>
      <c r="I915" s="232">
        <v>0</v>
      </c>
      <c r="J915" s="230">
        <v>46047</v>
      </c>
      <c r="K915" s="227" t="s">
        <v>93</v>
      </c>
      <c r="L915" s="227" t="s">
        <v>94</v>
      </c>
      <c r="M915" s="233">
        <v>0</v>
      </c>
      <c r="N915" s="231"/>
      <c r="O915" s="231">
        <v>41</v>
      </c>
      <c r="P915" s="234">
        <v>-46.77</v>
      </c>
    </row>
    <row r="916" spans="1:16" ht="19.5" customHeight="1">
      <c r="A916" s="227" t="s">
        <v>1300</v>
      </c>
      <c r="B916" s="230">
        <v>46053</v>
      </c>
      <c r="C916" s="227" t="s">
        <v>81</v>
      </c>
      <c r="D916" s="227" t="s">
        <v>95</v>
      </c>
      <c r="E916" s="227" t="s">
        <v>42</v>
      </c>
      <c r="F916" s="227" t="s">
        <v>89</v>
      </c>
      <c r="G916" s="227" t="s">
        <v>84</v>
      </c>
      <c r="H916" s="231">
        <v>1</v>
      </c>
      <c r="I916" s="232">
        <v>0</v>
      </c>
      <c r="J916" s="230">
        <v>46047</v>
      </c>
      <c r="K916" s="227" t="s">
        <v>93</v>
      </c>
      <c r="L916" s="227" t="s">
        <v>94</v>
      </c>
      <c r="M916" s="233">
        <v>0</v>
      </c>
      <c r="N916" s="231"/>
      <c r="O916" s="231"/>
      <c r="P916" s="234">
        <v>-13.5</v>
      </c>
    </row>
    <row r="917" spans="1:16" ht="19.5" customHeight="1">
      <c r="A917" s="227" t="s">
        <v>1300</v>
      </c>
      <c r="B917" s="230">
        <v>46053</v>
      </c>
      <c r="C917" s="227" t="s">
        <v>92</v>
      </c>
      <c r="D917" s="227" t="s">
        <v>96</v>
      </c>
      <c r="E917" s="227" t="s">
        <v>42</v>
      </c>
      <c r="F917" s="227" t="s">
        <v>89</v>
      </c>
      <c r="G917" s="227" t="s">
        <v>84</v>
      </c>
      <c r="H917" s="231">
        <v>1</v>
      </c>
      <c r="I917" s="232">
        <v>0</v>
      </c>
      <c r="J917" s="230">
        <v>46047</v>
      </c>
      <c r="K917" s="227" t="s">
        <v>93</v>
      </c>
      <c r="L917" s="227" t="s">
        <v>94</v>
      </c>
      <c r="M917" s="233">
        <v>0</v>
      </c>
      <c r="N917" s="231"/>
      <c r="O917" s="231"/>
      <c r="P917" s="234">
        <v>0</v>
      </c>
    </row>
    <row r="918" spans="1:16" ht="19.5" customHeight="1">
      <c r="A918" s="227" t="s">
        <v>1300</v>
      </c>
      <c r="B918" s="230">
        <v>46053</v>
      </c>
      <c r="C918" s="227" t="s">
        <v>92</v>
      </c>
      <c r="D918" s="227" t="s">
        <v>97</v>
      </c>
      <c r="E918" s="227" t="s">
        <v>42</v>
      </c>
      <c r="F918" s="227" t="s">
        <v>89</v>
      </c>
      <c r="G918" s="227" t="s">
        <v>84</v>
      </c>
      <c r="H918" s="231">
        <v>1</v>
      </c>
      <c r="I918" s="232">
        <v>0</v>
      </c>
      <c r="J918" s="230">
        <v>46047</v>
      </c>
      <c r="K918" s="227" t="s">
        <v>93</v>
      </c>
      <c r="L918" s="227" t="s">
        <v>94</v>
      </c>
      <c r="M918" s="233">
        <v>0</v>
      </c>
      <c r="N918" s="231"/>
      <c r="O918" s="231"/>
      <c r="P918" s="234">
        <v>-46.77</v>
      </c>
    </row>
    <row r="919" spans="1:16" ht="19.5" customHeight="1">
      <c r="A919" s="227" t="s">
        <v>1300</v>
      </c>
      <c r="B919" s="230">
        <v>46053</v>
      </c>
      <c r="C919" s="227" t="s">
        <v>81</v>
      </c>
      <c r="D919" s="227" t="s">
        <v>98</v>
      </c>
      <c r="E919" s="227" t="s">
        <v>42</v>
      </c>
      <c r="F919" s="227" t="s">
        <v>89</v>
      </c>
      <c r="G919" s="227" t="s">
        <v>84</v>
      </c>
      <c r="H919" s="231">
        <v>1</v>
      </c>
      <c r="I919" s="232">
        <v>0</v>
      </c>
      <c r="J919" s="230">
        <v>46047</v>
      </c>
      <c r="K919" s="227" t="s">
        <v>93</v>
      </c>
      <c r="L919" s="227" t="s">
        <v>94</v>
      </c>
      <c r="M919" s="233">
        <v>0</v>
      </c>
      <c r="N919" s="231"/>
      <c r="O919" s="231"/>
      <c r="P919" s="234">
        <v>-15</v>
      </c>
    </row>
    <row r="920" spans="1:16" ht="19.5" customHeight="1">
      <c r="A920" s="227" t="s">
        <v>1301</v>
      </c>
      <c r="B920" s="230">
        <v>46053</v>
      </c>
      <c r="C920" s="227" t="s">
        <v>81</v>
      </c>
      <c r="D920" s="227" t="s">
        <v>82</v>
      </c>
      <c r="E920" s="227" t="s">
        <v>58</v>
      </c>
      <c r="F920" s="227" t="s">
        <v>1302</v>
      </c>
      <c r="G920" s="227" t="s">
        <v>84</v>
      </c>
      <c r="H920" s="231">
        <v>1</v>
      </c>
      <c r="I920" s="232">
        <v>0</v>
      </c>
      <c r="J920" s="230">
        <v>46053</v>
      </c>
      <c r="K920" s="227" t="s">
        <v>85</v>
      </c>
      <c r="L920" s="227" t="s">
        <v>85</v>
      </c>
      <c r="M920" s="233">
        <v>0</v>
      </c>
      <c r="N920" s="231"/>
      <c r="O920" s="231"/>
      <c r="P920" s="234">
        <v>-13.95</v>
      </c>
    </row>
    <row r="921" spans="1:16" ht="19.5" customHeight="1">
      <c r="A921" s="227" t="s">
        <v>1303</v>
      </c>
      <c r="B921" s="230">
        <v>46053</v>
      </c>
      <c r="C921" s="227" t="s">
        <v>354</v>
      </c>
      <c r="D921" s="227" t="s">
        <v>892</v>
      </c>
      <c r="E921" s="227" t="s">
        <v>85</v>
      </c>
      <c r="F921" s="227" t="s">
        <v>85</v>
      </c>
      <c r="G921" s="227" t="s">
        <v>85</v>
      </c>
      <c r="H921" s="231">
        <v>0</v>
      </c>
      <c r="I921" s="232">
        <v>0</v>
      </c>
      <c r="J921" s="230">
        <v>46044</v>
      </c>
      <c r="K921" s="227" t="s">
        <v>85</v>
      </c>
      <c r="L921" s="227" t="s">
        <v>85</v>
      </c>
      <c r="M921" s="233">
        <v>0</v>
      </c>
      <c r="N921" s="231"/>
      <c r="O921" s="231"/>
      <c r="P921" s="234">
        <v>-2404.6999999999998</v>
      </c>
    </row>
    <row r="922" spans="1:16" ht="19.5" customHeight="1">
      <c r="A922" s="227" t="s">
        <v>1303</v>
      </c>
      <c r="B922" s="230">
        <v>46053</v>
      </c>
      <c r="C922" s="227" t="s">
        <v>354</v>
      </c>
      <c r="D922" s="227" t="s">
        <v>892</v>
      </c>
      <c r="E922" s="227" t="s">
        <v>85</v>
      </c>
      <c r="F922" s="227" t="s">
        <v>85</v>
      </c>
      <c r="G922" s="227" t="s">
        <v>85</v>
      </c>
      <c r="H922" s="231">
        <v>0</v>
      </c>
      <c r="I922" s="232">
        <v>0</v>
      </c>
      <c r="J922" s="230">
        <v>46044</v>
      </c>
      <c r="K922" s="227" t="s">
        <v>85</v>
      </c>
      <c r="L922" s="227" t="s">
        <v>85</v>
      </c>
      <c r="M922" s="233">
        <v>0</v>
      </c>
      <c r="N922" s="231"/>
      <c r="O922" s="231"/>
      <c r="P922" s="234">
        <v>-2404.6999999999998</v>
      </c>
    </row>
    <row r="923" spans="1:16" ht="19.5" customHeight="1">
      <c r="A923" s="227" t="s">
        <v>1304</v>
      </c>
      <c r="B923" s="230">
        <v>46053</v>
      </c>
      <c r="C923" s="227" t="s">
        <v>92</v>
      </c>
      <c r="D923" s="227" t="s">
        <v>24</v>
      </c>
      <c r="E923" s="227" t="s">
        <v>42</v>
      </c>
      <c r="F923" s="227" t="s">
        <v>89</v>
      </c>
      <c r="G923" s="227" t="s">
        <v>84</v>
      </c>
      <c r="H923" s="231">
        <v>1</v>
      </c>
      <c r="I923" s="232">
        <v>1750</v>
      </c>
      <c r="J923" s="230">
        <v>46041</v>
      </c>
      <c r="K923" s="227" t="s">
        <v>93</v>
      </c>
      <c r="L923" s="227" t="s">
        <v>94</v>
      </c>
      <c r="M923" s="233">
        <v>0.43</v>
      </c>
      <c r="N923" s="231"/>
      <c r="O923" s="231">
        <v>44</v>
      </c>
      <c r="P923" s="234">
        <v>-131.37</v>
      </c>
    </row>
    <row r="924" spans="1:16" ht="19.5" customHeight="1">
      <c r="A924" s="227" t="s">
        <v>1304</v>
      </c>
      <c r="B924" s="230">
        <v>46053</v>
      </c>
      <c r="C924" s="227" t="s">
        <v>100</v>
      </c>
      <c r="D924" s="227" t="s">
        <v>101</v>
      </c>
      <c r="E924" s="227" t="s">
        <v>42</v>
      </c>
      <c r="F924" s="227" t="s">
        <v>89</v>
      </c>
      <c r="G924" s="227" t="s">
        <v>84</v>
      </c>
      <c r="H924" s="231">
        <v>1</v>
      </c>
      <c r="I924" s="232">
        <v>1750</v>
      </c>
      <c r="J924" s="230">
        <v>46041</v>
      </c>
      <c r="K924" s="227" t="s">
        <v>93</v>
      </c>
      <c r="L924" s="227" t="s">
        <v>94</v>
      </c>
      <c r="M924" s="233">
        <v>0</v>
      </c>
      <c r="N924" s="231"/>
      <c r="O924" s="231"/>
      <c r="P924" s="234">
        <v>664.13</v>
      </c>
    </row>
    <row r="925" spans="1:16" ht="19.5" customHeight="1">
      <c r="A925" s="227" t="s">
        <v>1304</v>
      </c>
      <c r="B925" s="230">
        <v>46053</v>
      </c>
      <c r="C925" s="227" t="s">
        <v>100</v>
      </c>
      <c r="D925" s="227" t="s">
        <v>102</v>
      </c>
      <c r="E925" s="227" t="s">
        <v>42</v>
      </c>
      <c r="F925" s="227" t="s">
        <v>89</v>
      </c>
      <c r="G925" s="227" t="s">
        <v>84</v>
      </c>
      <c r="H925" s="231">
        <v>1</v>
      </c>
      <c r="I925" s="232">
        <v>1750</v>
      </c>
      <c r="J925" s="230">
        <v>46041</v>
      </c>
      <c r="K925" s="227" t="s">
        <v>93</v>
      </c>
      <c r="L925" s="227" t="s">
        <v>94</v>
      </c>
      <c r="M925" s="233">
        <v>0</v>
      </c>
      <c r="N925" s="231"/>
      <c r="O925" s="231"/>
      <c r="P925" s="234">
        <v>6.64</v>
      </c>
    </row>
    <row r="926" spans="1:16" ht="19.5" customHeight="1">
      <c r="A926" s="227" t="s">
        <v>1304</v>
      </c>
      <c r="B926" s="230">
        <v>46053</v>
      </c>
      <c r="C926" s="227" t="s">
        <v>100</v>
      </c>
      <c r="D926" s="227" t="s">
        <v>103</v>
      </c>
      <c r="E926" s="227" t="s">
        <v>42</v>
      </c>
      <c r="F926" s="227" t="s">
        <v>89</v>
      </c>
      <c r="G926" s="227" t="s">
        <v>84</v>
      </c>
      <c r="H926" s="231">
        <v>1</v>
      </c>
      <c r="I926" s="232">
        <v>1750</v>
      </c>
      <c r="J926" s="230">
        <v>46041</v>
      </c>
      <c r="K926" s="227" t="s">
        <v>93</v>
      </c>
      <c r="L926" s="227" t="s">
        <v>94</v>
      </c>
      <c r="M926" s="233">
        <v>0</v>
      </c>
      <c r="N926" s="231"/>
      <c r="O926" s="231"/>
      <c r="P926" s="234">
        <v>1079.23</v>
      </c>
    </row>
    <row r="927" spans="1:16" ht="19.5" customHeight="1">
      <c r="A927" s="227" t="s">
        <v>1304</v>
      </c>
      <c r="B927" s="230">
        <v>46053</v>
      </c>
      <c r="C927" s="227" t="s">
        <v>104</v>
      </c>
      <c r="D927" s="227" t="s">
        <v>105</v>
      </c>
      <c r="E927" s="227" t="s">
        <v>42</v>
      </c>
      <c r="F927" s="227" t="s">
        <v>89</v>
      </c>
      <c r="G927" s="227" t="s">
        <v>84</v>
      </c>
      <c r="H927" s="231">
        <v>1</v>
      </c>
      <c r="I927" s="232">
        <v>1750</v>
      </c>
      <c r="J927" s="230">
        <v>46041</v>
      </c>
      <c r="K927" s="227" t="s">
        <v>93</v>
      </c>
      <c r="L927" s="227" t="s">
        <v>94</v>
      </c>
      <c r="M927" s="233">
        <v>0.43</v>
      </c>
      <c r="N927" s="231"/>
      <c r="O927" s="231"/>
      <c r="P927" s="234">
        <v>-752.5</v>
      </c>
    </row>
    <row r="928" spans="1:16" ht="19.5" customHeight="1">
      <c r="A928" s="227" t="s">
        <v>1304</v>
      </c>
      <c r="B928" s="230">
        <v>46053</v>
      </c>
      <c r="C928" s="227" t="s">
        <v>81</v>
      </c>
      <c r="D928" s="227" t="s">
        <v>95</v>
      </c>
      <c r="E928" s="227" t="s">
        <v>42</v>
      </c>
      <c r="F928" s="227" t="s">
        <v>89</v>
      </c>
      <c r="G928" s="227" t="s">
        <v>84</v>
      </c>
      <c r="H928" s="231">
        <v>1</v>
      </c>
      <c r="I928" s="232">
        <v>1750</v>
      </c>
      <c r="J928" s="230">
        <v>46041</v>
      </c>
      <c r="K928" s="227" t="s">
        <v>93</v>
      </c>
      <c r="L928" s="227" t="s">
        <v>94</v>
      </c>
      <c r="M928" s="233">
        <v>0.43</v>
      </c>
      <c r="N928" s="231"/>
      <c r="O928" s="231"/>
      <c r="P928" s="234">
        <v>-8.65</v>
      </c>
    </row>
    <row r="929" spans="1:16" ht="19.5" customHeight="1">
      <c r="A929" s="227" t="s">
        <v>1304</v>
      </c>
      <c r="B929" s="230">
        <v>46053</v>
      </c>
      <c r="C929" s="227" t="s">
        <v>81</v>
      </c>
      <c r="D929" s="227" t="s">
        <v>82</v>
      </c>
      <c r="E929" s="227" t="s">
        <v>42</v>
      </c>
      <c r="F929" s="227" t="s">
        <v>89</v>
      </c>
      <c r="G929" s="227" t="s">
        <v>84</v>
      </c>
      <c r="H929" s="231">
        <v>1</v>
      </c>
      <c r="I929" s="232">
        <v>0</v>
      </c>
      <c r="J929" s="230">
        <v>46041</v>
      </c>
      <c r="K929" s="227" t="s">
        <v>85</v>
      </c>
      <c r="L929" s="227" t="s">
        <v>85</v>
      </c>
      <c r="M929" s="233">
        <v>0</v>
      </c>
      <c r="N929" s="231"/>
      <c r="O929" s="231"/>
      <c r="P929" s="234">
        <v>-12.62</v>
      </c>
    </row>
    <row r="930" spans="1:16" ht="19.5" customHeight="1">
      <c r="A930" s="227" t="s">
        <v>85</v>
      </c>
      <c r="B930" s="230">
        <v>46053</v>
      </c>
      <c r="C930" s="227" t="s">
        <v>109</v>
      </c>
      <c r="D930" s="227" t="s">
        <v>110</v>
      </c>
      <c r="E930" s="227" t="s">
        <v>85</v>
      </c>
      <c r="F930" s="227" t="s">
        <v>85</v>
      </c>
      <c r="G930" s="227" t="s">
        <v>1305</v>
      </c>
      <c r="H930" s="231">
        <v>0</v>
      </c>
      <c r="I930" s="232">
        <v>0</v>
      </c>
      <c r="J930" s="230">
        <v>46053</v>
      </c>
      <c r="K930" s="227" t="s">
        <v>85</v>
      </c>
      <c r="L930" s="227" t="s">
        <v>85</v>
      </c>
      <c r="M930" s="233">
        <v>0</v>
      </c>
      <c r="N930" s="231"/>
      <c r="O930" s="231"/>
      <c r="P930" s="234">
        <v>-150</v>
      </c>
    </row>
    <row r="931" spans="1:16" ht="19.5" customHeight="1">
      <c r="A931" s="227" t="s">
        <v>1306</v>
      </c>
      <c r="B931" s="230">
        <v>46053</v>
      </c>
      <c r="C931" s="227" t="s">
        <v>92</v>
      </c>
      <c r="D931" s="227" t="s">
        <v>24</v>
      </c>
      <c r="E931" s="227" t="s">
        <v>42</v>
      </c>
      <c r="F931" s="227" t="s">
        <v>89</v>
      </c>
      <c r="G931" s="227" t="s">
        <v>84</v>
      </c>
      <c r="H931" s="231">
        <v>1</v>
      </c>
      <c r="I931" s="232">
        <v>0</v>
      </c>
      <c r="J931" s="230">
        <v>46046</v>
      </c>
      <c r="K931" s="227" t="s">
        <v>93</v>
      </c>
      <c r="L931" s="227" t="s">
        <v>94</v>
      </c>
      <c r="M931" s="233">
        <v>0</v>
      </c>
      <c r="N931" s="231"/>
      <c r="O931" s="231">
        <v>40</v>
      </c>
      <c r="P931" s="234">
        <v>-46.77</v>
      </c>
    </row>
    <row r="932" spans="1:16" ht="19.5" customHeight="1">
      <c r="A932" s="227" t="s">
        <v>1306</v>
      </c>
      <c r="B932" s="230">
        <v>46053</v>
      </c>
      <c r="C932" s="227" t="s">
        <v>81</v>
      </c>
      <c r="D932" s="227" t="s">
        <v>95</v>
      </c>
      <c r="E932" s="227" t="s">
        <v>42</v>
      </c>
      <c r="F932" s="227" t="s">
        <v>89</v>
      </c>
      <c r="G932" s="227" t="s">
        <v>84</v>
      </c>
      <c r="H932" s="231">
        <v>1</v>
      </c>
      <c r="I932" s="232">
        <v>0</v>
      </c>
      <c r="J932" s="230">
        <v>46046</v>
      </c>
      <c r="K932" s="227" t="s">
        <v>93</v>
      </c>
      <c r="L932" s="227" t="s">
        <v>94</v>
      </c>
      <c r="M932" s="233">
        <v>0</v>
      </c>
      <c r="N932" s="231"/>
      <c r="O932" s="231"/>
      <c r="P932" s="234">
        <v>-11.54</v>
      </c>
    </row>
    <row r="933" spans="1:16" ht="19.5" customHeight="1">
      <c r="A933" s="227" t="s">
        <v>1306</v>
      </c>
      <c r="B933" s="230">
        <v>46053</v>
      </c>
      <c r="C933" s="227" t="s">
        <v>92</v>
      </c>
      <c r="D933" s="227" t="s">
        <v>96</v>
      </c>
      <c r="E933" s="227" t="s">
        <v>42</v>
      </c>
      <c r="F933" s="227" t="s">
        <v>89</v>
      </c>
      <c r="G933" s="227" t="s">
        <v>84</v>
      </c>
      <c r="H933" s="231">
        <v>1</v>
      </c>
      <c r="I933" s="232">
        <v>0</v>
      </c>
      <c r="J933" s="230">
        <v>46046</v>
      </c>
      <c r="K933" s="227" t="s">
        <v>93</v>
      </c>
      <c r="L933" s="227" t="s">
        <v>94</v>
      </c>
      <c r="M933" s="233">
        <v>0</v>
      </c>
      <c r="N933" s="231"/>
      <c r="O933" s="231"/>
      <c r="P933" s="234">
        <v>0</v>
      </c>
    </row>
    <row r="934" spans="1:16" ht="19.5" customHeight="1">
      <c r="A934" s="227" t="s">
        <v>1306</v>
      </c>
      <c r="B934" s="230">
        <v>46053</v>
      </c>
      <c r="C934" s="227" t="s">
        <v>92</v>
      </c>
      <c r="D934" s="227" t="s">
        <v>97</v>
      </c>
      <c r="E934" s="227" t="s">
        <v>42</v>
      </c>
      <c r="F934" s="227" t="s">
        <v>89</v>
      </c>
      <c r="G934" s="227" t="s">
        <v>84</v>
      </c>
      <c r="H934" s="231">
        <v>1</v>
      </c>
      <c r="I934" s="232">
        <v>0</v>
      </c>
      <c r="J934" s="230">
        <v>46046</v>
      </c>
      <c r="K934" s="227" t="s">
        <v>93</v>
      </c>
      <c r="L934" s="227" t="s">
        <v>94</v>
      </c>
      <c r="M934" s="233">
        <v>0</v>
      </c>
      <c r="N934" s="231"/>
      <c r="O934" s="231"/>
      <c r="P934" s="234">
        <v>-46.77</v>
      </c>
    </row>
    <row r="935" spans="1:16" ht="19.5" customHeight="1">
      <c r="A935" s="227" t="s">
        <v>1306</v>
      </c>
      <c r="B935" s="230">
        <v>46053</v>
      </c>
      <c r="C935" s="227" t="s">
        <v>81</v>
      </c>
      <c r="D935" s="227" t="s">
        <v>98</v>
      </c>
      <c r="E935" s="227" t="s">
        <v>42</v>
      </c>
      <c r="F935" s="227" t="s">
        <v>89</v>
      </c>
      <c r="G935" s="227" t="s">
        <v>84</v>
      </c>
      <c r="H935" s="231">
        <v>1</v>
      </c>
      <c r="I935" s="232">
        <v>0</v>
      </c>
      <c r="J935" s="230">
        <v>46046</v>
      </c>
      <c r="K935" s="227" t="s">
        <v>93</v>
      </c>
      <c r="L935" s="227" t="s">
        <v>94</v>
      </c>
      <c r="M935" s="233">
        <v>0</v>
      </c>
      <c r="N935" s="231"/>
      <c r="O935" s="231"/>
      <c r="P935" s="234">
        <v>-15</v>
      </c>
    </row>
    <row r="936" spans="1:16" ht="19.5" customHeight="1">
      <c r="A936" s="227" t="s">
        <v>1307</v>
      </c>
      <c r="B936" s="230">
        <v>46053</v>
      </c>
      <c r="C936" s="227" t="s">
        <v>81</v>
      </c>
      <c r="D936" s="227" t="s">
        <v>82</v>
      </c>
      <c r="E936" s="227" t="s">
        <v>42</v>
      </c>
      <c r="F936" s="227" t="s">
        <v>89</v>
      </c>
      <c r="G936" s="227" t="s">
        <v>84</v>
      </c>
      <c r="H936" s="231">
        <v>1</v>
      </c>
      <c r="I936" s="232">
        <v>0</v>
      </c>
      <c r="J936" s="230">
        <v>46053</v>
      </c>
      <c r="K936" s="227" t="s">
        <v>85</v>
      </c>
      <c r="L936" s="227" t="s">
        <v>85</v>
      </c>
      <c r="M936" s="233">
        <v>0</v>
      </c>
      <c r="N936" s="231"/>
      <c r="O936" s="231"/>
      <c r="P936" s="234">
        <v>-4.47</v>
      </c>
    </row>
    <row r="937" spans="1:16" ht="19.5" customHeight="1">
      <c r="A937" s="227" t="s">
        <v>1308</v>
      </c>
      <c r="B937" s="230">
        <v>46053</v>
      </c>
      <c r="C937" s="227" t="s">
        <v>92</v>
      </c>
      <c r="D937" s="227" t="s">
        <v>24</v>
      </c>
      <c r="E937" s="227" t="s">
        <v>43</v>
      </c>
      <c r="F937" s="227" t="s">
        <v>125</v>
      </c>
      <c r="G937" s="227" t="s">
        <v>84</v>
      </c>
      <c r="H937" s="231">
        <v>1</v>
      </c>
      <c r="I937" s="232">
        <v>1750</v>
      </c>
      <c r="J937" s="230">
        <v>46051</v>
      </c>
      <c r="K937" s="227" t="s">
        <v>93</v>
      </c>
      <c r="L937" s="227" t="s">
        <v>94</v>
      </c>
      <c r="M937" s="233">
        <v>0.43</v>
      </c>
      <c r="N937" s="231"/>
      <c r="O937" s="231">
        <v>44</v>
      </c>
      <c r="P937" s="234">
        <v>-131.37</v>
      </c>
    </row>
    <row r="938" spans="1:16" ht="19.5" customHeight="1">
      <c r="A938" s="227" t="s">
        <v>1308</v>
      </c>
      <c r="B938" s="230">
        <v>46053</v>
      </c>
      <c r="C938" s="227" t="s">
        <v>100</v>
      </c>
      <c r="D938" s="227" t="s">
        <v>101</v>
      </c>
      <c r="E938" s="227" t="s">
        <v>43</v>
      </c>
      <c r="F938" s="227" t="s">
        <v>125</v>
      </c>
      <c r="G938" s="227" t="s">
        <v>84</v>
      </c>
      <c r="H938" s="231">
        <v>1</v>
      </c>
      <c r="I938" s="232">
        <v>1750</v>
      </c>
      <c r="J938" s="230">
        <v>46051</v>
      </c>
      <c r="K938" s="227" t="s">
        <v>93</v>
      </c>
      <c r="L938" s="227" t="s">
        <v>94</v>
      </c>
      <c r="M938" s="233">
        <v>0</v>
      </c>
      <c r="N938" s="231"/>
      <c r="O938" s="231"/>
      <c r="P938" s="234">
        <v>618.1</v>
      </c>
    </row>
    <row r="939" spans="1:16" ht="19.5" customHeight="1">
      <c r="A939" s="227" t="s">
        <v>1308</v>
      </c>
      <c r="B939" s="230">
        <v>46053</v>
      </c>
      <c r="C939" s="227" t="s">
        <v>100</v>
      </c>
      <c r="D939" s="227" t="s">
        <v>102</v>
      </c>
      <c r="E939" s="227" t="s">
        <v>43</v>
      </c>
      <c r="F939" s="227" t="s">
        <v>125</v>
      </c>
      <c r="G939" s="227" t="s">
        <v>84</v>
      </c>
      <c r="H939" s="231">
        <v>1</v>
      </c>
      <c r="I939" s="232">
        <v>1750</v>
      </c>
      <c r="J939" s="230">
        <v>46051</v>
      </c>
      <c r="K939" s="227" t="s">
        <v>93</v>
      </c>
      <c r="L939" s="227" t="s">
        <v>94</v>
      </c>
      <c r="M939" s="233">
        <v>0</v>
      </c>
      <c r="N939" s="231"/>
      <c r="O939" s="231"/>
      <c r="P939" s="234">
        <v>6.18</v>
      </c>
    </row>
    <row r="940" spans="1:16" ht="19.5" customHeight="1">
      <c r="A940" s="227" t="s">
        <v>1308</v>
      </c>
      <c r="B940" s="230">
        <v>46053</v>
      </c>
      <c r="C940" s="227" t="s">
        <v>100</v>
      </c>
      <c r="D940" s="227" t="s">
        <v>103</v>
      </c>
      <c r="E940" s="227" t="s">
        <v>43</v>
      </c>
      <c r="F940" s="227" t="s">
        <v>125</v>
      </c>
      <c r="G940" s="227" t="s">
        <v>84</v>
      </c>
      <c r="H940" s="231">
        <v>1</v>
      </c>
      <c r="I940" s="232">
        <v>1750</v>
      </c>
      <c r="J940" s="230">
        <v>46051</v>
      </c>
      <c r="K940" s="227" t="s">
        <v>93</v>
      </c>
      <c r="L940" s="227" t="s">
        <v>94</v>
      </c>
      <c r="M940" s="233">
        <v>0</v>
      </c>
      <c r="N940" s="231"/>
      <c r="O940" s="231"/>
      <c r="P940" s="234">
        <v>1125.72</v>
      </c>
    </row>
    <row r="941" spans="1:16" ht="19.5" customHeight="1">
      <c r="A941" s="227" t="s">
        <v>1308</v>
      </c>
      <c r="B941" s="230">
        <v>46053</v>
      </c>
      <c r="C941" s="227" t="s">
        <v>104</v>
      </c>
      <c r="D941" s="227" t="s">
        <v>105</v>
      </c>
      <c r="E941" s="227" t="s">
        <v>43</v>
      </c>
      <c r="F941" s="227" t="s">
        <v>125</v>
      </c>
      <c r="G941" s="227" t="s">
        <v>84</v>
      </c>
      <c r="H941" s="231">
        <v>1</v>
      </c>
      <c r="I941" s="232">
        <v>1750</v>
      </c>
      <c r="J941" s="230">
        <v>46051</v>
      </c>
      <c r="K941" s="227" t="s">
        <v>93</v>
      </c>
      <c r="L941" s="227" t="s">
        <v>94</v>
      </c>
      <c r="M941" s="233">
        <v>0.43</v>
      </c>
      <c r="N941" s="231"/>
      <c r="O941" s="231"/>
      <c r="P941" s="234">
        <v>-752.5</v>
      </c>
    </row>
    <row r="942" spans="1:16" ht="19.5" customHeight="1">
      <c r="A942" s="227" t="s">
        <v>1308</v>
      </c>
      <c r="B942" s="230">
        <v>46053</v>
      </c>
      <c r="C942" s="227" t="s">
        <v>81</v>
      </c>
      <c r="D942" s="227" t="s">
        <v>95</v>
      </c>
      <c r="E942" s="227" t="s">
        <v>43</v>
      </c>
      <c r="F942" s="227" t="s">
        <v>125</v>
      </c>
      <c r="G942" s="227" t="s">
        <v>84</v>
      </c>
      <c r="H942" s="231">
        <v>1</v>
      </c>
      <c r="I942" s="232">
        <v>1750</v>
      </c>
      <c r="J942" s="230">
        <v>46051</v>
      </c>
      <c r="K942" s="227" t="s">
        <v>93</v>
      </c>
      <c r="L942" s="227" t="s">
        <v>94</v>
      </c>
      <c r="M942" s="233">
        <v>0.43</v>
      </c>
      <c r="N942" s="231"/>
      <c r="O942" s="231"/>
      <c r="P942" s="234">
        <v>-14.78</v>
      </c>
    </row>
    <row r="943" spans="1:16" ht="19.5" customHeight="1">
      <c r="A943" s="227" t="s">
        <v>1309</v>
      </c>
      <c r="B943" s="230">
        <v>46053</v>
      </c>
      <c r="C943" s="227" t="s">
        <v>92</v>
      </c>
      <c r="D943" s="227" t="s">
        <v>24</v>
      </c>
      <c r="E943" s="227" t="s">
        <v>52</v>
      </c>
      <c r="F943" s="227" t="s">
        <v>90</v>
      </c>
      <c r="G943" s="227" t="s">
        <v>84</v>
      </c>
      <c r="H943" s="231">
        <v>1</v>
      </c>
      <c r="I943" s="232">
        <v>1800</v>
      </c>
      <c r="J943" s="230">
        <v>46045</v>
      </c>
      <c r="K943" s="227" t="s">
        <v>93</v>
      </c>
      <c r="L943" s="227" t="s">
        <v>94</v>
      </c>
      <c r="M943" s="233">
        <v>0.43</v>
      </c>
      <c r="N943" s="231"/>
      <c r="O943" s="231">
        <v>40</v>
      </c>
      <c r="P943" s="234">
        <v>-130.46</v>
      </c>
    </row>
    <row r="944" spans="1:16" ht="19.5" customHeight="1">
      <c r="A944" s="227" t="s">
        <v>1309</v>
      </c>
      <c r="B944" s="230">
        <v>46053</v>
      </c>
      <c r="C944" s="227" t="s">
        <v>100</v>
      </c>
      <c r="D944" s="227" t="s">
        <v>101</v>
      </c>
      <c r="E944" s="227" t="s">
        <v>52</v>
      </c>
      <c r="F944" s="227" t="s">
        <v>90</v>
      </c>
      <c r="G944" s="227" t="s">
        <v>84</v>
      </c>
      <c r="H944" s="231">
        <v>1</v>
      </c>
      <c r="I944" s="232">
        <v>1800</v>
      </c>
      <c r="J944" s="230">
        <v>46045</v>
      </c>
      <c r="K944" s="227" t="s">
        <v>93</v>
      </c>
      <c r="L944" s="227" t="s">
        <v>94</v>
      </c>
      <c r="M944" s="233">
        <v>0</v>
      </c>
      <c r="N944" s="231"/>
      <c r="O944" s="231"/>
      <c r="P944" s="234">
        <v>627.02</v>
      </c>
    </row>
    <row r="945" spans="1:16" ht="19.5" customHeight="1">
      <c r="A945" s="227" t="s">
        <v>1309</v>
      </c>
      <c r="B945" s="230">
        <v>46053</v>
      </c>
      <c r="C945" s="227" t="s">
        <v>100</v>
      </c>
      <c r="D945" s="227" t="s">
        <v>102</v>
      </c>
      <c r="E945" s="227" t="s">
        <v>52</v>
      </c>
      <c r="F945" s="227" t="s">
        <v>90</v>
      </c>
      <c r="G945" s="227" t="s">
        <v>84</v>
      </c>
      <c r="H945" s="231">
        <v>1</v>
      </c>
      <c r="I945" s="232">
        <v>1800</v>
      </c>
      <c r="J945" s="230">
        <v>46045</v>
      </c>
      <c r="K945" s="227" t="s">
        <v>93</v>
      </c>
      <c r="L945" s="227" t="s">
        <v>94</v>
      </c>
      <c r="M945" s="233">
        <v>0</v>
      </c>
      <c r="N945" s="231"/>
      <c r="O945" s="231"/>
      <c r="P945" s="234">
        <v>6.27</v>
      </c>
    </row>
    <row r="946" spans="1:16" ht="19.5" customHeight="1">
      <c r="A946" s="227" t="s">
        <v>1309</v>
      </c>
      <c r="B946" s="230">
        <v>46053</v>
      </c>
      <c r="C946" s="227" t="s">
        <v>100</v>
      </c>
      <c r="D946" s="227" t="s">
        <v>103</v>
      </c>
      <c r="E946" s="227" t="s">
        <v>52</v>
      </c>
      <c r="F946" s="227" t="s">
        <v>90</v>
      </c>
      <c r="G946" s="227" t="s">
        <v>84</v>
      </c>
      <c r="H946" s="231">
        <v>1</v>
      </c>
      <c r="I946" s="232">
        <v>1800</v>
      </c>
      <c r="J946" s="230">
        <v>46045</v>
      </c>
      <c r="K946" s="227" t="s">
        <v>93</v>
      </c>
      <c r="L946" s="227" t="s">
        <v>94</v>
      </c>
      <c r="M946" s="233">
        <v>0</v>
      </c>
      <c r="N946" s="231"/>
      <c r="O946" s="231"/>
      <c r="P946" s="234">
        <v>1166.71</v>
      </c>
    </row>
    <row r="947" spans="1:16" ht="19.5" customHeight="1">
      <c r="A947" s="227" t="s">
        <v>1309</v>
      </c>
      <c r="B947" s="230">
        <v>46053</v>
      </c>
      <c r="C947" s="227" t="s">
        <v>104</v>
      </c>
      <c r="D947" s="227" t="s">
        <v>105</v>
      </c>
      <c r="E947" s="227" t="s">
        <v>52</v>
      </c>
      <c r="F947" s="227" t="s">
        <v>90</v>
      </c>
      <c r="G947" s="227" t="s">
        <v>84</v>
      </c>
      <c r="H947" s="231">
        <v>1</v>
      </c>
      <c r="I947" s="232">
        <v>1800</v>
      </c>
      <c r="J947" s="230">
        <v>46045</v>
      </c>
      <c r="K947" s="227" t="s">
        <v>93</v>
      </c>
      <c r="L947" s="227" t="s">
        <v>94</v>
      </c>
      <c r="M947" s="233">
        <v>0.43</v>
      </c>
      <c r="N947" s="231"/>
      <c r="O947" s="231"/>
      <c r="P947" s="234">
        <v>-774</v>
      </c>
    </row>
    <row r="948" spans="1:16" ht="19.5" customHeight="1">
      <c r="A948" s="227" t="s">
        <v>1309</v>
      </c>
      <c r="B948" s="230">
        <v>46053</v>
      </c>
      <c r="C948" s="227" t="s">
        <v>81</v>
      </c>
      <c r="D948" s="227" t="s">
        <v>95</v>
      </c>
      <c r="E948" s="227" t="s">
        <v>52</v>
      </c>
      <c r="F948" s="227" t="s">
        <v>90</v>
      </c>
      <c r="G948" s="227" t="s">
        <v>84</v>
      </c>
      <c r="H948" s="231">
        <v>1</v>
      </c>
      <c r="I948" s="232">
        <v>1800</v>
      </c>
      <c r="J948" s="230">
        <v>46045</v>
      </c>
      <c r="K948" s="227" t="s">
        <v>93</v>
      </c>
      <c r="L948" s="227" t="s">
        <v>94</v>
      </c>
      <c r="M948" s="233">
        <v>0.43</v>
      </c>
      <c r="N948" s="231"/>
      <c r="O948" s="231"/>
      <c r="P948" s="234">
        <v>-8.5399999999999991</v>
      </c>
    </row>
    <row r="949" spans="1:16" ht="19.5" customHeight="1">
      <c r="A949" s="227" t="s">
        <v>1310</v>
      </c>
      <c r="B949" s="230">
        <v>46053</v>
      </c>
      <c r="C949" s="227" t="s">
        <v>92</v>
      </c>
      <c r="D949" s="227" t="s">
        <v>24</v>
      </c>
      <c r="E949" s="227" t="s">
        <v>53</v>
      </c>
      <c r="F949" s="227" t="s">
        <v>120</v>
      </c>
      <c r="G949" s="227" t="s">
        <v>84</v>
      </c>
      <c r="H949" s="231">
        <v>1</v>
      </c>
      <c r="I949" s="232">
        <v>1812</v>
      </c>
      <c r="J949" s="230">
        <v>46049</v>
      </c>
      <c r="K949" s="227" t="s">
        <v>93</v>
      </c>
      <c r="L949" s="227" t="s">
        <v>94</v>
      </c>
      <c r="M949" s="233">
        <v>0.43</v>
      </c>
      <c r="N949" s="231"/>
      <c r="O949" s="231">
        <v>45</v>
      </c>
      <c r="P949" s="234">
        <v>-154.32</v>
      </c>
    </row>
    <row r="950" spans="1:16" ht="19.5" customHeight="1">
      <c r="A950" s="227" t="s">
        <v>1310</v>
      </c>
      <c r="B950" s="230">
        <v>46053</v>
      </c>
      <c r="C950" s="227" t="s">
        <v>100</v>
      </c>
      <c r="D950" s="227" t="s">
        <v>101</v>
      </c>
      <c r="E950" s="227" t="s">
        <v>53</v>
      </c>
      <c r="F950" s="227" t="s">
        <v>120</v>
      </c>
      <c r="G950" s="227" t="s">
        <v>84</v>
      </c>
      <c r="H950" s="231">
        <v>1</v>
      </c>
      <c r="I950" s="232">
        <v>1812</v>
      </c>
      <c r="J950" s="230">
        <v>46049</v>
      </c>
      <c r="K950" s="227" t="s">
        <v>93</v>
      </c>
      <c r="L950" s="227" t="s">
        <v>94</v>
      </c>
      <c r="M950" s="233">
        <v>0</v>
      </c>
      <c r="N950" s="231"/>
      <c r="O950" s="231"/>
      <c r="P950" s="234">
        <v>690.48</v>
      </c>
    </row>
    <row r="951" spans="1:16" ht="19.5" customHeight="1">
      <c r="A951" s="227" t="s">
        <v>1310</v>
      </c>
      <c r="B951" s="230">
        <v>46053</v>
      </c>
      <c r="C951" s="227" t="s">
        <v>100</v>
      </c>
      <c r="D951" s="227" t="s">
        <v>102</v>
      </c>
      <c r="E951" s="227" t="s">
        <v>53</v>
      </c>
      <c r="F951" s="227" t="s">
        <v>120</v>
      </c>
      <c r="G951" s="227" t="s">
        <v>84</v>
      </c>
      <c r="H951" s="231">
        <v>1</v>
      </c>
      <c r="I951" s="232">
        <v>1812</v>
      </c>
      <c r="J951" s="230">
        <v>46049</v>
      </c>
      <c r="K951" s="227" t="s">
        <v>93</v>
      </c>
      <c r="L951" s="227" t="s">
        <v>94</v>
      </c>
      <c r="M951" s="233">
        <v>0</v>
      </c>
      <c r="N951" s="231"/>
      <c r="O951" s="231"/>
      <c r="P951" s="234">
        <v>0</v>
      </c>
    </row>
    <row r="952" spans="1:16" ht="19.5" customHeight="1">
      <c r="A952" s="227" t="s">
        <v>1310</v>
      </c>
      <c r="B952" s="230">
        <v>46053</v>
      </c>
      <c r="C952" s="227" t="s">
        <v>100</v>
      </c>
      <c r="D952" s="227" t="s">
        <v>103</v>
      </c>
      <c r="E952" s="227" t="s">
        <v>53</v>
      </c>
      <c r="F952" s="227" t="s">
        <v>120</v>
      </c>
      <c r="G952" s="227" t="s">
        <v>84</v>
      </c>
      <c r="H952" s="231">
        <v>1</v>
      </c>
      <c r="I952" s="232">
        <v>1812</v>
      </c>
      <c r="J952" s="230">
        <v>46049</v>
      </c>
      <c r="K952" s="227" t="s">
        <v>93</v>
      </c>
      <c r="L952" s="227" t="s">
        <v>94</v>
      </c>
      <c r="M952" s="233">
        <v>0</v>
      </c>
      <c r="N952" s="231"/>
      <c r="O952" s="231"/>
      <c r="P952" s="234">
        <v>1121.52</v>
      </c>
    </row>
    <row r="953" spans="1:16" ht="19.5" customHeight="1">
      <c r="A953" s="227" t="s">
        <v>1310</v>
      </c>
      <c r="B953" s="230">
        <v>46053</v>
      </c>
      <c r="C953" s="227" t="s">
        <v>104</v>
      </c>
      <c r="D953" s="227" t="s">
        <v>105</v>
      </c>
      <c r="E953" s="227" t="s">
        <v>53</v>
      </c>
      <c r="F953" s="227" t="s">
        <v>120</v>
      </c>
      <c r="G953" s="227" t="s">
        <v>84</v>
      </c>
      <c r="H953" s="231">
        <v>1</v>
      </c>
      <c r="I953" s="232">
        <v>1812</v>
      </c>
      <c r="J953" s="230">
        <v>46049</v>
      </c>
      <c r="K953" s="227" t="s">
        <v>93</v>
      </c>
      <c r="L953" s="227" t="s">
        <v>94</v>
      </c>
      <c r="M953" s="233">
        <v>0.43</v>
      </c>
      <c r="N953" s="231"/>
      <c r="O953" s="231"/>
      <c r="P953" s="234">
        <v>-779.16</v>
      </c>
    </row>
    <row r="954" spans="1:16" ht="19.5" customHeight="1">
      <c r="A954" s="227" t="s">
        <v>1310</v>
      </c>
      <c r="B954" s="230">
        <v>46053</v>
      </c>
      <c r="C954" s="227" t="s">
        <v>81</v>
      </c>
      <c r="D954" s="227" t="s">
        <v>95</v>
      </c>
      <c r="E954" s="227" t="s">
        <v>53</v>
      </c>
      <c r="F954" s="227" t="s">
        <v>120</v>
      </c>
      <c r="G954" s="227" t="s">
        <v>84</v>
      </c>
      <c r="H954" s="231">
        <v>1</v>
      </c>
      <c r="I954" s="232">
        <v>1812</v>
      </c>
      <c r="J954" s="230">
        <v>46049</v>
      </c>
      <c r="K954" s="227" t="s">
        <v>93</v>
      </c>
      <c r="L954" s="227" t="s">
        <v>94</v>
      </c>
      <c r="M954" s="233">
        <v>0.43</v>
      </c>
      <c r="N954" s="231"/>
      <c r="O954" s="231"/>
      <c r="P954" s="234">
        <v>-9.26</v>
      </c>
    </row>
    <row r="955" spans="1:16" ht="19.5" customHeight="1">
      <c r="A955" s="227" t="s">
        <v>1308</v>
      </c>
      <c r="B955" s="230">
        <v>46053</v>
      </c>
      <c r="C955" s="227" t="s">
        <v>81</v>
      </c>
      <c r="D955" s="227" t="s">
        <v>82</v>
      </c>
      <c r="E955" s="227" t="s">
        <v>43</v>
      </c>
      <c r="F955" s="227" t="s">
        <v>125</v>
      </c>
      <c r="G955" s="227" t="s">
        <v>84</v>
      </c>
      <c r="H955" s="231">
        <v>1</v>
      </c>
      <c r="I955" s="232">
        <v>0</v>
      </c>
      <c r="J955" s="230">
        <v>46051</v>
      </c>
      <c r="K955" s="227" t="s">
        <v>85</v>
      </c>
      <c r="L955" s="227" t="s">
        <v>85</v>
      </c>
      <c r="M955" s="233">
        <v>0</v>
      </c>
      <c r="N955" s="231"/>
      <c r="O955" s="231"/>
      <c r="P955" s="234">
        <v>-11.74</v>
      </c>
    </row>
    <row r="956" spans="1:16" ht="19.5" customHeight="1">
      <c r="A956" s="227" t="s">
        <v>1311</v>
      </c>
      <c r="B956" s="230">
        <v>46053</v>
      </c>
      <c r="C956" s="227" t="s">
        <v>92</v>
      </c>
      <c r="D956" s="227" t="s">
        <v>24</v>
      </c>
      <c r="E956" s="227" t="s">
        <v>53</v>
      </c>
      <c r="F956" s="227" t="s">
        <v>120</v>
      </c>
      <c r="G956" s="227" t="s">
        <v>84</v>
      </c>
      <c r="H956" s="231">
        <v>1</v>
      </c>
      <c r="I956" s="232">
        <v>0</v>
      </c>
      <c r="J956" s="230">
        <v>46049</v>
      </c>
      <c r="K956" s="227" t="s">
        <v>93</v>
      </c>
      <c r="L956" s="227" t="s">
        <v>94</v>
      </c>
      <c r="M956" s="233">
        <v>0</v>
      </c>
      <c r="N956" s="231"/>
      <c r="O956" s="231">
        <v>45</v>
      </c>
      <c r="P956" s="234">
        <v>-56</v>
      </c>
    </row>
    <row r="957" spans="1:16" ht="19.5" customHeight="1">
      <c r="A957" s="227" t="s">
        <v>1311</v>
      </c>
      <c r="B957" s="230">
        <v>46053</v>
      </c>
      <c r="C957" s="227" t="s">
        <v>81</v>
      </c>
      <c r="D957" s="227" t="s">
        <v>95</v>
      </c>
      <c r="E957" s="227" t="s">
        <v>53</v>
      </c>
      <c r="F957" s="227" t="s">
        <v>120</v>
      </c>
      <c r="G957" s="227" t="s">
        <v>84</v>
      </c>
      <c r="H957" s="231">
        <v>1</v>
      </c>
      <c r="I957" s="232">
        <v>0</v>
      </c>
      <c r="J957" s="230">
        <v>46049</v>
      </c>
      <c r="K957" s="227" t="s">
        <v>93</v>
      </c>
      <c r="L957" s="227" t="s">
        <v>94</v>
      </c>
      <c r="M957" s="233">
        <v>0</v>
      </c>
      <c r="N957" s="231"/>
      <c r="O957" s="231"/>
      <c r="P957" s="234">
        <v>-10.15</v>
      </c>
    </row>
    <row r="958" spans="1:16" ht="19.5" customHeight="1">
      <c r="A958" s="227" t="s">
        <v>1312</v>
      </c>
      <c r="B958" s="230">
        <v>46053</v>
      </c>
      <c r="C958" s="227" t="s">
        <v>81</v>
      </c>
      <c r="D958" s="227" t="s">
        <v>82</v>
      </c>
      <c r="E958" s="227" t="s">
        <v>42</v>
      </c>
      <c r="F958" s="227" t="s">
        <v>89</v>
      </c>
      <c r="G958" s="227" t="s">
        <v>84</v>
      </c>
      <c r="H958" s="231">
        <v>1</v>
      </c>
      <c r="I958" s="232">
        <v>0</v>
      </c>
      <c r="J958" s="230">
        <v>46053</v>
      </c>
      <c r="K958" s="227" t="s">
        <v>85</v>
      </c>
      <c r="L958" s="227" t="s">
        <v>85</v>
      </c>
      <c r="M958" s="233">
        <v>0</v>
      </c>
      <c r="N958" s="231"/>
      <c r="O958" s="231"/>
      <c r="P958" s="234">
        <v>-11.58</v>
      </c>
    </row>
    <row r="959" spans="1:16" ht="19.5" customHeight="1">
      <c r="A959" s="227" t="s">
        <v>1311</v>
      </c>
      <c r="B959" s="230">
        <v>46053</v>
      </c>
      <c r="C959" s="227" t="s">
        <v>92</v>
      </c>
      <c r="D959" s="227" t="s">
        <v>96</v>
      </c>
      <c r="E959" s="227" t="s">
        <v>53</v>
      </c>
      <c r="F959" s="227" t="s">
        <v>120</v>
      </c>
      <c r="G959" s="227" t="s">
        <v>84</v>
      </c>
      <c r="H959" s="231">
        <v>1</v>
      </c>
      <c r="I959" s="232">
        <v>0</v>
      </c>
      <c r="J959" s="230">
        <v>46049</v>
      </c>
      <c r="K959" s="227" t="s">
        <v>93</v>
      </c>
      <c r="L959" s="227" t="s">
        <v>94</v>
      </c>
      <c r="M959" s="233">
        <v>0</v>
      </c>
      <c r="N959" s="231"/>
      <c r="O959" s="231"/>
      <c r="P959" s="234">
        <v>0</v>
      </c>
    </row>
    <row r="960" spans="1:16" ht="19.5" customHeight="1">
      <c r="A960" s="227" t="s">
        <v>1311</v>
      </c>
      <c r="B960" s="230">
        <v>46053</v>
      </c>
      <c r="C960" s="227" t="s">
        <v>92</v>
      </c>
      <c r="D960" s="227" t="s">
        <v>97</v>
      </c>
      <c r="E960" s="227" t="s">
        <v>53</v>
      </c>
      <c r="F960" s="227" t="s">
        <v>120</v>
      </c>
      <c r="G960" s="227" t="s">
        <v>84</v>
      </c>
      <c r="H960" s="231">
        <v>1</v>
      </c>
      <c r="I960" s="232">
        <v>0</v>
      </c>
      <c r="J960" s="230">
        <v>46049</v>
      </c>
      <c r="K960" s="227" t="s">
        <v>93</v>
      </c>
      <c r="L960" s="227" t="s">
        <v>94</v>
      </c>
      <c r="M960" s="233">
        <v>0</v>
      </c>
      <c r="N960" s="231"/>
      <c r="O960" s="231"/>
      <c r="P960" s="234">
        <v>-56</v>
      </c>
    </row>
    <row r="961" spans="1:16" ht="19.5" customHeight="1">
      <c r="A961" s="227" t="s">
        <v>1311</v>
      </c>
      <c r="B961" s="230">
        <v>46053</v>
      </c>
      <c r="C961" s="227" t="s">
        <v>81</v>
      </c>
      <c r="D961" s="227" t="s">
        <v>98</v>
      </c>
      <c r="E961" s="227" t="s">
        <v>53</v>
      </c>
      <c r="F961" s="227" t="s">
        <v>120</v>
      </c>
      <c r="G961" s="227" t="s">
        <v>84</v>
      </c>
      <c r="H961" s="231">
        <v>1</v>
      </c>
      <c r="I961" s="232">
        <v>0</v>
      </c>
      <c r="J961" s="230">
        <v>46049</v>
      </c>
      <c r="K961" s="227" t="s">
        <v>93</v>
      </c>
      <c r="L961" s="227" t="s">
        <v>94</v>
      </c>
      <c r="M961" s="233">
        <v>0</v>
      </c>
      <c r="N961" s="231"/>
      <c r="O961" s="231"/>
      <c r="P961" s="234">
        <v>-15</v>
      </c>
    </row>
    <row r="962" spans="1:16" ht="19.5" customHeight="1">
      <c r="A962" s="227" t="s">
        <v>1289</v>
      </c>
      <c r="B962" s="230">
        <v>46053</v>
      </c>
      <c r="C962" s="227" t="s">
        <v>166</v>
      </c>
      <c r="D962" s="227" t="s">
        <v>167</v>
      </c>
      <c r="E962" s="227" t="s">
        <v>42</v>
      </c>
      <c r="F962" s="227" t="s">
        <v>89</v>
      </c>
      <c r="G962" s="227" t="s">
        <v>84</v>
      </c>
      <c r="H962" s="231">
        <v>1</v>
      </c>
      <c r="I962" s="232">
        <v>-1750</v>
      </c>
      <c r="J962" s="230">
        <v>46051</v>
      </c>
      <c r="K962" s="227" t="s">
        <v>93</v>
      </c>
      <c r="L962" s="227" t="s">
        <v>94</v>
      </c>
      <c r="M962" s="233">
        <v>0</v>
      </c>
      <c r="N962" s="231"/>
      <c r="O962" s="231"/>
      <c r="P962" s="234">
        <v>-609.52</v>
      </c>
    </row>
    <row r="963" spans="1:16" ht="19.5" customHeight="1">
      <c r="A963" s="227" t="s">
        <v>1289</v>
      </c>
      <c r="B963" s="230">
        <v>46053</v>
      </c>
      <c r="C963" s="227" t="s">
        <v>166</v>
      </c>
      <c r="D963" s="227" t="s">
        <v>102</v>
      </c>
      <c r="E963" s="227" t="s">
        <v>42</v>
      </c>
      <c r="F963" s="227" t="s">
        <v>89</v>
      </c>
      <c r="G963" s="227" t="s">
        <v>84</v>
      </c>
      <c r="H963" s="231">
        <v>1</v>
      </c>
      <c r="I963" s="232">
        <v>-1750</v>
      </c>
      <c r="J963" s="230">
        <v>46051</v>
      </c>
      <c r="K963" s="227" t="s">
        <v>93</v>
      </c>
      <c r="L963" s="227" t="s">
        <v>94</v>
      </c>
      <c r="M963" s="233">
        <v>0</v>
      </c>
      <c r="N963" s="231"/>
      <c r="O963" s="231"/>
      <c r="P963" s="234">
        <v>-6.1</v>
      </c>
    </row>
    <row r="964" spans="1:16" ht="19.5" customHeight="1">
      <c r="A964" s="227" t="s">
        <v>1289</v>
      </c>
      <c r="B964" s="230">
        <v>46053</v>
      </c>
      <c r="C964" s="227" t="s">
        <v>166</v>
      </c>
      <c r="D964" s="227" t="s">
        <v>103</v>
      </c>
      <c r="E964" s="227" t="s">
        <v>42</v>
      </c>
      <c r="F964" s="227" t="s">
        <v>89</v>
      </c>
      <c r="G964" s="227" t="s">
        <v>84</v>
      </c>
      <c r="H964" s="231">
        <v>1</v>
      </c>
      <c r="I964" s="232">
        <v>-1750</v>
      </c>
      <c r="J964" s="230">
        <v>46051</v>
      </c>
      <c r="K964" s="227" t="s">
        <v>93</v>
      </c>
      <c r="L964" s="227" t="s">
        <v>94</v>
      </c>
      <c r="M964" s="233">
        <v>0</v>
      </c>
      <c r="N964" s="231"/>
      <c r="O964" s="231"/>
      <c r="P964" s="234">
        <v>-1134.3800000000001</v>
      </c>
    </row>
    <row r="965" spans="1:16" ht="19.5" customHeight="1">
      <c r="A965" s="227" t="s">
        <v>1289</v>
      </c>
      <c r="B965" s="230">
        <v>46053</v>
      </c>
      <c r="C965" s="227" t="s">
        <v>104</v>
      </c>
      <c r="D965" s="227" t="s">
        <v>168</v>
      </c>
      <c r="E965" s="227" t="s">
        <v>42</v>
      </c>
      <c r="F965" s="227" t="s">
        <v>89</v>
      </c>
      <c r="G965" s="227" t="s">
        <v>84</v>
      </c>
      <c r="H965" s="231">
        <v>1</v>
      </c>
      <c r="I965" s="232">
        <v>-1750</v>
      </c>
      <c r="J965" s="230">
        <v>46051</v>
      </c>
      <c r="K965" s="227" t="s">
        <v>93</v>
      </c>
      <c r="L965" s="227" t="s">
        <v>94</v>
      </c>
      <c r="M965" s="233">
        <v>0.43</v>
      </c>
      <c r="N965" s="231"/>
      <c r="O965" s="231"/>
      <c r="P965" s="234">
        <v>752.5</v>
      </c>
    </row>
    <row r="966" spans="1:16" ht="19.5" customHeight="1">
      <c r="A966" s="227" t="s">
        <v>1313</v>
      </c>
      <c r="B966" s="230">
        <v>46053</v>
      </c>
      <c r="C966" s="227" t="s">
        <v>81</v>
      </c>
      <c r="D966" s="227" t="s">
        <v>82</v>
      </c>
      <c r="E966" s="227" t="s">
        <v>40</v>
      </c>
      <c r="F966" s="227" t="s">
        <v>197</v>
      </c>
      <c r="G966" s="227" t="s">
        <v>84</v>
      </c>
      <c r="H966" s="231">
        <v>1</v>
      </c>
      <c r="I966" s="232">
        <v>0</v>
      </c>
      <c r="J966" s="230">
        <v>46053</v>
      </c>
      <c r="K966" s="227" t="s">
        <v>85</v>
      </c>
      <c r="L966" s="227" t="s">
        <v>85</v>
      </c>
      <c r="M966" s="233">
        <v>0</v>
      </c>
      <c r="N966" s="231"/>
      <c r="O966" s="231"/>
      <c r="P966" s="234">
        <v>-7.18</v>
      </c>
    </row>
    <row r="967" spans="1:16" ht="19.5" customHeight="1">
      <c r="A967" s="227" t="s">
        <v>1240</v>
      </c>
      <c r="B967" s="230">
        <v>46053</v>
      </c>
      <c r="C967" s="227" t="s">
        <v>81</v>
      </c>
      <c r="D967" s="227" t="s">
        <v>82</v>
      </c>
      <c r="E967" s="227" t="s">
        <v>42</v>
      </c>
      <c r="F967" s="227" t="s">
        <v>89</v>
      </c>
      <c r="G967" s="227" t="s">
        <v>84</v>
      </c>
      <c r="H967" s="231">
        <v>1</v>
      </c>
      <c r="I967" s="232">
        <v>0</v>
      </c>
      <c r="J967" s="230">
        <v>46051</v>
      </c>
      <c r="K967" s="227" t="s">
        <v>85</v>
      </c>
      <c r="L967" s="227" t="s">
        <v>85</v>
      </c>
      <c r="M967" s="233">
        <v>0</v>
      </c>
      <c r="N967" s="231"/>
      <c r="O967" s="231"/>
      <c r="P967" s="234">
        <v>11.58</v>
      </c>
    </row>
    <row r="968" spans="1:16" ht="19.5" customHeight="1">
      <c r="A968" s="227" t="s">
        <v>1314</v>
      </c>
      <c r="B968" s="230">
        <v>46053</v>
      </c>
      <c r="C968" s="227" t="s">
        <v>81</v>
      </c>
      <c r="D968" s="227" t="s">
        <v>82</v>
      </c>
      <c r="E968" s="227" t="s">
        <v>53</v>
      </c>
      <c r="F968" s="227" t="s">
        <v>120</v>
      </c>
      <c r="G968" s="227" t="s">
        <v>84</v>
      </c>
      <c r="H968" s="231">
        <v>1</v>
      </c>
      <c r="I968" s="232">
        <v>0</v>
      </c>
      <c r="J968" s="230">
        <v>46053</v>
      </c>
      <c r="K968" s="227" t="s">
        <v>85</v>
      </c>
      <c r="L968" s="227" t="s">
        <v>85</v>
      </c>
      <c r="M968" s="233">
        <v>0</v>
      </c>
      <c r="N968" s="231"/>
      <c r="O968" s="231"/>
      <c r="P968" s="234">
        <v>-12</v>
      </c>
    </row>
    <row r="969" spans="1:16" ht="19.5" customHeight="1">
      <c r="A969" s="227" t="s">
        <v>1315</v>
      </c>
      <c r="B969" s="230">
        <v>46053</v>
      </c>
      <c r="C969" s="227" t="s">
        <v>92</v>
      </c>
      <c r="D969" s="227" t="s">
        <v>24</v>
      </c>
      <c r="E969" s="227" t="s">
        <v>43</v>
      </c>
      <c r="F969" s="227" t="s">
        <v>125</v>
      </c>
      <c r="G969" s="227" t="s">
        <v>84</v>
      </c>
      <c r="H969" s="231">
        <v>1</v>
      </c>
      <c r="I969" s="232">
        <v>0</v>
      </c>
      <c r="J969" s="230">
        <v>46049</v>
      </c>
      <c r="K969" s="227" t="s">
        <v>93</v>
      </c>
      <c r="L969" s="227" t="s">
        <v>94</v>
      </c>
      <c r="M969" s="233">
        <v>0</v>
      </c>
      <c r="N969" s="231"/>
      <c r="O969" s="231">
        <v>45</v>
      </c>
      <c r="P969" s="234">
        <v>-46.77</v>
      </c>
    </row>
    <row r="970" spans="1:16" ht="19.5" customHeight="1">
      <c r="A970" s="227" t="s">
        <v>1315</v>
      </c>
      <c r="B970" s="230">
        <v>46053</v>
      </c>
      <c r="C970" s="227" t="s">
        <v>81</v>
      </c>
      <c r="D970" s="227" t="s">
        <v>95</v>
      </c>
      <c r="E970" s="227" t="s">
        <v>43</v>
      </c>
      <c r="F970" s="227" t="s">
        <v>125</v>
      </c>
      <c r="G970" s="227" t="s">
        <v>84</v>
      </c>
      <c r="H970" s="231">
        <v>1</v>
      </c>
      <c r="I970" s="232">
        <v>0</v>
      </c>
      <c r="J970" s="230">
        <v>46049</v>
      </c>
      <c r="K970" s="227" t="s">
        <v>93</v>
      </c>
      <c r="L970" s="227" t="s">
        <v>94</v>
      </c>
      <c r="M970" s="233">
        <v>0</v>
      </c>
      <c r="N970" s="231"/>
      <c r="O970" s="231"/>
      <c r="P970" s="234">
        <v>-25</v>
      </c>
    </row>
    <row r="971" spans="1:16" ht="19.5" customHeight="1">
      <c r="A971" s="227" t="s">
        <v>1316</v>
      </c>
      <c r="B971" s="230">
        <v>46053</v>
      </c>
      <c r="C971" s="227" t="s">
        <v>81</v>
      </c>
      <c r="D971" s="227" t="s">
        <v>82</v>
      </c>
      <c r="E971" s="227" t="s">
        <v>52</v>
      </c>
      <c r="F971" s="227" t="s">
        <v>90</v>
      </c>
      <c r="G971" s="227" t="s">
        <v>84</v>
      </c>
      <c r="H971" s="231">
        <v>1</v>
      </c>
      <c r="I971" s="232">
        <v>0</v>
      </c>
      <c r="J971" s="230">
        <v>46053</v>
      </c>
      <c r="K971" s="227" t="s">
        <v>85</v>
      </c>
      <c r="L971" s="227" t="s">
        <v>85</v>
      </c>
      <c r="M971" s="233">
        <v>0</v>
      </c>
      <c r="N971" s="231"/>
      <c r="O971" s="231"/>
      <c r="P971" s="234">
        <v>-11.92</v>
      </c>
    </row>
    <row r="972" spans="1:16" ht="19.5" customHeight="1">
      <c r="A972" s="227" t="s">
        <v>1315</v>
      </c>
      <c r="B972" s="230">
        <v>46053</v>
      </c>
      <c r="C972" s="227" t="s">
        <v>92</v>
      </c>
      <c r="D972" s="227" t="s">
        <v>96</v>
      </c>
      <c r="E972" s="227" t="s">
        <v>43</v>
      </c>
      <c r="F972" s="227" t="s">
        <v>125</v>
      </c>
      <c r="G972" s="227" t="s">
        <v>84</v>
      </c>
      <c r="H972" s="231">
        <v>1</v>
      </c>
      <c r="I972" s="232">
        <v>0</v>
      </c>
      <c r="J972" s="230">
        <v>46049</v>
      </c>
      <c r="K972" s="227" t="s">
        <v>93</v>
      </c>
      <c r="L972" s="227" t="s">
        <v>94</v>
      </c>
      <c r="M972" s="233">
        <v>0</v>
      </c>
      <c r="N972" s="231"/>
      <c r="O972" s="231"/>
      <c r="P972" s="234">
        <v>0</v>
      </c>
    </row>
    <row r="973" spans="1:16" ht="19.5" customHeight="1">
      <c r="A973" s="227" t="s">
        <v>1315</v>
      </c>
      <c r="B973" s="230">
        <v>46053</v>
      </c>
      <c r="C973" s="227" t="s">
        <v>92</v>
      </c>
      <c r="D973" s="227" t="s">
        <v>97</v>
      </c>
      <c r="E973" s="227" t="s">
        <v>43</v>
      </c>
      <c r="F973" s="227" t="s">
        <v>125</v>
      </c>
      <c r="G973" s="227" t="s">
        <v>84</v>
      </c>
      <c r="H973" s="231">
        <v>1</v>
      </c>
      <c r="I973" s="232">
        <v>0</v>
      </c>
      <c r="J973" s="230">
        <v>46049</v>
      </c>
      <c r="K973" s="227" t="s">
        <v>93</v>
      </c>
      <c r="L973" s="227" t="s">
        <v>94</v>
      </c>
      <c r="M973" s="233">
        <v>0</v>
      </c>
      <c r="N973" s="231"/>
      <c r="O973" s="231"/>
      <c r="P973" s="234">
        <v>-46.77</v>
      </c>
    </row>
    <row r="974" spans="1:16" ht="19.5" customHeight="1">
      <c r="A974" s="227" t="s">
        <v>1315</v>
      </c>
      <c r="B974" s="230">
        <v>46053</v>
      </c>
      <c r="C974" s="227" t="s">
        <v>81</v>
      </c>
      <c r="D974" s="227" t="s">
        <v>98</v>
      </c>
      <c r="E974" s="227" t="s">
        <v>43</v>
      </c>
      <c r="F974" s="227" t="s">
        <v>125</v>
      </c>
      <c r="G974" s="227" t="s">
        <v>84</v>
      </c>
      <c r="H974" s="231">
        <v>1</v>
      </c>
      <c r="I974" s="232">
        <v>0</v>
      </c>
      <c r="J974" s="230">
        <v>46049</v>
      </c>
      <c r="K974" s="227" t="s">
        <v>93</v>
      </c>
      <c r="L974" s="227" t="s">
        <v>94</v>
      </c>
      <c r="M974" s="233">
        <v>0</v>
      </c>
      <c r="N974" s="231"/>
      <c r="O974" s="231"/>
      <c r="P974" s="234">
        <v>-15</v>
      </c>
    </row>
    <row r="975" spans="1:16" ht="19.5" customHeight="1">
      <c r="A975" s="227" t="s">
        <v>1317</v>
      </c>
      <c r="B975" s="230">
        <v>46053</v>
      </c>
      <c r="C975" s="227" t="s">
        <v>81</v>
      </c>
      <c r="D975" s="227" t="s">
        <v>82</v>
      </c>
      <c r="E975" s="227" t="s">
        <v>52</v>
      </c>
      <c r="F975" s="227" t="s">
        <v>90</v>
      </c>
      <c r="G975" s="227" t="s">
        <v>84</v>
      </c>
      <c r="H975" s="231">
        <v>1</v>
      </c>
      <c r="I975" s="232">
        <v>0</v>
      </c>
      <c r="J975" s="230">
        <v>46053</v>
      </c>
      <c r="K975" s="227" t="s">
        <v>85</v>
      </c>
      <c r="L975" s="227" t="s">
        <v>85</v>
      </c>
      <c r="M975" s="233">
        <v>0</v>
      </c>
      <c r="N975" s="231"/>
      <c r="O975" s="231"/>
      <c r="P975" s="234">
        <v>-11.92</v>
      </c>
    </row>
    <row r="976" spans="1:16" ht="19.5" customHeight="1">
      <c r="A976" s="227" t="s">
        <v>1318</v>
      </c>
      <c r="B976" s="230">
        <v>46053</v>
      </c>
      <c r="C976" s="227" t="s">
        <v>92</v>
      </c>
      <c r="D976" s="227" t="s">
        <v>24</v>
      </c>
      <c r="E976" s="227" t="s">
        <v>41</v>
      </c>
      <c r="F976" s="227" t="s">
        <v>83</v>
      </c>
      <c r="G976" s="227" t="s">
        <v>84</v>
      </c>
      <c r="H976" s="231">
        <v>1</v>
      </c>
      <c r="I976" s="232">
        <v>1750</v>
      </c>
      <c r="J976" s="230">
        <v>46050</v>
      </c>
      <c r="K976" s="227" t="s">
        <v>93</v>
      </c>
      <c r="L976" s="227" t="s">
        <v>94</v>
      </c>
      <c r="M976" s="233">
        <v>0.43</v>
      </c>
      <c r="N976" s="231"/>
      <c r="O976" s="231">
        <v>44</v>
      </c>
      <c r="P976" s="234">
        <v>-131.37</v>
      </c>
    </row>
    <row r="977" spans="1:16" ht="19.5" customHeight="1">
      <c r="A977" s="227" t="s">
        <v>1318</v>
      </c>
      <c r="B977" s="230">
        <v>46053</v>
      </c>
      <c r="C977" s="227" t="s">
        <v>100</v>
      </c>
      <c r="D977" s="227" t="s">
        <v>101</v>
      </c>
      <c r="E977" s="227" t="s">
        <v>41</v>
      </c>
      <c r="F977" s="227" t="s">
        <v>83</v>
      </c>
      <c r="G977" s="227" t="s">
        <v>84</v>
      </c>
      <c r="H977" s="231">
        <v>1</v>
      </c>
      <c r="I977" s="232">
        <v>1750</v>
      </c>
      <c r="J977" s="230">
        <v>46050</v>
      </c>
      <c r="K977" s="227" t="s">
        <v>93</v>
      </c>
      <c r="L977" s="227" t="s">
        <v>94</v>
      </c>
      <c r="M977" s="233">
        <v>0</v>
      </c>
      <c r="N977" s="231"/>
      <c r="O977" s="231"/>
      <c r="P977" s="234">
        <v>645.71</v>
      </c>
    </row>
    <row r="978" spans="1:16" ht="19.5" customHeight="1">
      <c r="A978" s="227" t="s">
        <v>1318</v>
      </c>
      <c r="B978" s="230">
        <v>46053</v>
      </c>
      <c r="C978" s="227" t="s">
        <v>100</v>
      </c>
      <c r="D978" s="227" t="s">
        <v>102</v>
      </c>
      <c r="E978" s="227" t="s">
        <v>41</v>
      </c>
      <c r="F978" s="227" t="s">
        <v>83</v>
      </c>
      <c r="G978" s="227" t="s">
        <v>84</v>
      </c>
      <c r="H978" s="231">
        <v>1</v>
      </c>
      <c r="I978" s="232">
        <v>1750</v>
      </c>
      <c r="J978" s="230">
        <v>46050</v>
      </c>
      <c r="K978" s="227" t="s">
        <v>93</v>
      </c>
      <c r="L978" s="227" t="s">
        <v>94</v>
      </c>
      <c r="M978" s="233">
        <v>0</v>
      </c>
      <c r="N978" s="231"/>
      <c r="O978" s="231"/>
      <c r="P978" s="234">
        <v>6.46</v>
      </c>
    </row>
    <row r="979" spans="1:16" ht="19.5" customHeight="1">
      <c r="A979" s="227" t="s">
        <v>1318</v>
      </c>
      <c r="B979" s="230">
        <v>46053</v>
      </c>
      <c r="C979" s="227" t="s">
        <v>100</v>
      </c>
      <c r="D979" s="227" t="s">
        <v>103</v>
      </c>
      <c r="E979" s="227" t="s">
        <v>41</v>
      </c>
      <c r="F979" s="227" t="s">
        <v>83</v>
      </c>
      <c r="G979" s="227" t="s">
        <v>84</v>
      </c>
      <c r="H979" s="231">
        <v>1</v>
      </c>
      <c r="I979" s="232">
        <v>1750</v>
      </c>
      <c r="J979" s="230">
        <v>46050</v>
      </c>
      <c r="K979" s="227" t="s">
        <v>93</v>
      </c>
      <c r="L979" s="227" t="s">
        <v>94</v>
      </c>
      <c r="M979" s="233">
        <v>0</v>
      </c>
      <c r="N979" s="231"/>
      <c r="O979" s="231"/>
      <c r="P979" s="234">
        <v>1097.83</v>
      </c>
    </row>
    <row r="980" spans="1:16" ht="19.5" customHeight="1">
      <c r="A980" s="227" t="s">
        <v>1318</v>
      </c>
      <c r="B980" s="230">
        <v>46053</v>
      </c>
      <c r="C980" s="227" t="s">
        <v>104</v>
      </c>
      <c r="D980" s="227" t="s">
        <v>105</v>
      </c>
      <c r="E980" s="227" t="s">
        <v>41</v>
      </c>
      <c r="F980" s="227" t="s">
        <v>83</v>
      </c>
      <c r="G980" s="227" t="s">
        <v>84</v>
      </c>
      <c r="H980" s="231">
        <v>1</v>
      </c>
      <c r="I980" s="232">
        <v>1750</v>
      </c>
      <c r="J980" s="230">
        <v>46050</v>
      </c>
      <c r="K980" s="227" t="s">
        <v>93</v>
      </c>
      <c r="L980" s="227" t="s">
        <v>94</v>
      </c>
      <c r="M980" s="233">
        <v>0.43</v>
      </c>
      <c r="N980" s="231"/>
      <c r="O980" s="231"/>
      <c r="P980" s="234">
        <v>-752.5</v>
      </c>
    </row>
    <row r="981" spans="1:16" ht="19.5" customHeight="1">
      <c r="A981" s="227" t="s">
        <v>1318</v>
      </c>
      <c r="B981" s="230">
        <v>46053</v>
      </c>
      <c r="C981" s="227" t="s">
        <v>81</v>
      </c>
      <c r="D981" s="227" t="s">
        <v>95</v>
      </c>
      <c r="E981" s="227" t="s">
        <v>41</v>
      </c>
      <c r="F981" s="227" t="s">
        <v>83</v>
      </c>
      <c r="G981" s="227" t="s">
        <v>84</v>
      </c>
      <c r="H981" s="231">
        <v>1</v>
      </c>
      <c r="I981" s="232">
        <v>1750</v>
      </c>
      <c r="J981" s="230">
        <v>46050</v>
      </c>
      <c r="K981" s="227" t="s">
        <v>93</v>
      </c>
      <c r="L981" s="227" t="s">
        <v>94</v>
      </c>
      <c r="M981" s="233">
        <v>0.43</v>
      </c>
      <c r="N981" s="231"/>
      <c r="O981" s="231"/>
      <c r="P981" s="234">
        <v>-9.7200000000000006</v>
      </c>
    </row>
    <row r="982" spans="1:16" ht="19.5" customHeight="1">
      <c r="A982" s="227" t="s">
        <v>1319</v>
      </c>
      <c r="B982" s="230">
        <v>46053</v>
      </c>
      <c r="C982" s="227" t="s">
        <v>92</v>
      </c>
      <c r="D982" s="227" t="s">
        <v>24</v>
      </c>
      <c r="E982" s="227" t="s">
        <v>53</v>
      </c>
      <c r="F982" s="227" t="s">
        <v>120</v>
      </c>
      <c r="G982" s="227" t="s">
        <v>84</v>
      </c>
      <c r="H982" s="231">
        <v>1</v>
      </c>
      <c r="I982" s="232">
        <v>0</v>
      </c>
      <c r="J982" s="230">
        <v>46048</v>
      </c>
      <c r="K982" s="227" t="s">
        <v>93</v>
      </c>
      <c r="L982" s="227" t="s">
        <v>94</v>
      </c>
      <c r="M982" s="233">
        <v>0</v>
      </c>
      <c r="N982" s="231"/>
      <c r="O982" s="231">
        <v>44</v>
      </c>
      <c r="P982" s="234">
        <v>-56.94</v>
      </c>
    </row>
    <row r="983" spans="1:16" ht="19.5" customHeight="1">
      <c r="A983" s="227" t="s">
        <v>1319</v>
      </c>
      <c r="B983" s="230">
        <v>46053</v>
      </c>
      <c r="C983" s="227" t="s">
        <v>81</v>
      </c>
      <c r="D983" s="227" t="s">
        <v>95</v>
      </c>
      <c r="E983" s="227" t="s">
        <v>53</v>
      </c>
      <c r="F983" s="227" t="s">
        <v>120</v>
      </c>
      <c r="G983" s="227" t="s">
        <v>84</v>
      </c>
      <c r="H983" s="231">
        <v>1</v>
      </c>
      <c r="I983" s="232">
        <v>0</v>
      </c>
      <c r="J983" s="230">
        <v>46048</v>
      </c>
      <c r="K983" s="227" t="s">
        <v>93</v>
      </c>
      <c r="L983" s="227" t="s">
        <v>94</v>
      </c>
      <c r="M983" s="233">
        <v>0</v>
      </c>
      <c r="N983" s="231"/>
      <c r="O983" s="231"/>
      <c r="P983" s="234">
        <v>-9.26</v>
      </c>
    </row>
    <row r="984" spans="1:16" ht="19.5" customHeight="1">
      <c r="A984" s="227" t="s">
        <v>1319</v>
      </c>
      <c r="B984" s="230">
        <v>46053</v>
      </c>
      <c r="C984" s="227" t="s">
        <v>92</v>
      </c>
      <c r="D984" s="227" t="s">
        <v>96</v>
      </c>
      <c r="E984" s="227" t="s">
        <v>53</v>
      </c>
      <c r="F984" s="227" t="s">
        <v>120</v>
      </c>
      <c r="G984" s="227" t="s">
        <v>84</v>
      </c>
      <c r="H984" s="231">
        <v>1</v>
      </c>
      <c r="I984" s="232">
        <v>0</v>
      </c>
      <c r="J984" s="230">
        <v>46048</v>
      </c>
      <c r="K984" s="227" t="s">
        <v>93</v>
      </c>
      <c r="L984" s="227" t="s">
        <v>94</v>
      </c>
      <c r="M984" s="233">
        <v>0</v>
      </c>
      <c r="N984" s="231"/>
      <c r="O984" s="231"/>
      <c r="P984" s="234">
        <v>0</v>
      </c>
    </row>
    <row r="985" spans="1:16" ht="19.5" customHeight="1">
      <c r="A985" s="227" t="s">
        <v>1319</v>
      </c>
      <c r="B985" s="230">
        <v>46053</v>
      </c>
      <c r="C985" s="227" t="s">
        <v>92</v>
      </c>
      <c r="D985" s="227" t="s">
        <v>97</v>
      </c>
      <c r="E985" s="227" t="s">
        <v>53</v>
      </c>
      <c r="F985" s="227" t="s">
        <v>120</v>
      </c>
      <c r="G985" s="227" t="s">
        <v>84</v>
      </c>
      <c r="H985" s="231">
        <v>1</v>
      </c>
      <c r="I985" s="232">
        <v>0</v>
      </c>
      <c r="J985" s="230">
        <v>46048</v>
      </c>
      <c r="K985" s="227" t="s">
        <v>93</v>
      </c>
      <c r="L985" s="227" t="s">
        <v>94</v>
      </c>
      <c r="M985" s="233">
        <v>0</v>
      </c>
      <c r="N985" s="231"/>
      <c r="O985" s="231"/>
      <c r="P985" s="234">
        <v>-56.94</v>
      </c>
    </row>
    <row r="986" spans="1:16" ht="19.5" customHeight="1">
      <c r="A986" s="227" t="s">
        <v>1319</v>
      </c>
      <c r="B986" s="230">
        <v>46053</v>
      </c>
      <c r="C986" s="227" t="s">
        <v>81</v>
      </c>
      <c r="D986" s="227" t="s">
        <v>98</v>
      </c>
      <c r="E986" s="227" t="s">
        <v>53</v>
      </c>
      <c r="F986" s="227" t="s">
        <v>120</v>
      </c>
      <c r="G986" s="227" t="s">
        <v>84</v>
      </c>
      <c r="H986" s="231">
        <v>1</v>
      </c>
      <c r="I986" s="232">
        <v>0</v>
      </c>
      <c r="J986" s="230">
        <v>46048</v>
      </c>
      <c r="K986" s="227" t="s">
        <v>93</v>
      </c>
      <c r="L986" s="227" t="s">
        <v>94</v>
      </c>
      <c r="M986" s="233">
        <v>0</v>
      </c>
      <c r="N986" s="231"/>
      <c r="O986" s="231"/>
      <c r="P986" s="234">
        <v>-15</v>
      </c>
    </row>
    <row r="987" spans="1:16" ht="19.5" customHeight="1">
      <c r="A987" s="227" t="s">
        <v>1320</v>
      </c>
      <c r="B987" s="230">
        <v>46053</v>
      </c>
      <c r="C987" s="227" t="s">
        <v>81</v>
      </c>
      <c r="D987" s="227" t="s">
        <v>82</v>
      </c>
      <c r="E987" s="227" t="s">
        <v>52</v>
      </c>
      <c r="F987" s="227" t="s">
        <v>90</v>
      </c>
      <c r="G987" s="227" t="s">
        <v>84</v>
      </c>
      <c r="H987" s="231">
        <v>1</v>
      </c>
      <c r="I987" s="232">
        <v>0</v>
      </c>
      <c r="J987" s="230">
        <v>46053</v>
      </c>
      <c r="K987" s="227" t="s">
        <v>85</v>
      </c>
      <c r="L987" s="227" t="s">
        <v>85</v>
      </c>
      <c r="M987" s="233">
        <v>0</v>
      </c>
      <c r="N987" s="231"/>
      <c r="O987" s="231"/>
      <c r="P987" s="234">
        <v>-11.92</v>
      </c>
    </row>
    <row r="988" spans="1:16" ht="19.5" customHeight="1">
      <c r="A988" s="227" t="s">
        <v>1321</v>
      </c>
      <c r="B988" s="230">
        <v>46053</v>
      </c>
      <c r="C988" s="227" t="s">
        <v>92</v>
      </c>
      <c r="D988" s="227" t="s">
        <v>24</v>
      </c>
      <c r="E988" s="227" t="s">
        <v>52</v>
      </c>
      <c r="F988" s="227" t="s">
        <v>90</v>
      </c>
      <c r="G988" s="227" t="s">
        <v>84</v>
      </c>
      <c r="H988" s="231">
        <v>1</v>
      </c>
      <c r="I988" s="232">
        <v>1800</v>
      </c>
      <c r="J988" s="230">
        <v>46051</v>
      </c>
      <c r="K988" s="227" t="s">
        <v>93</v>
      </c>
      <c r="L988" s="227" t="s">
        <v>94</v>
      </c>
      <c r="M988" s="233">
        <v>0.43</v>
      </c>
      <c r="N988" s="231"/>
      <c r="O988" s="231">
        <v>44</v>
      </c>
      <c r="P988" s="234">
        <v>-147.97999999999999</v>
      </c>
    </row>
    <row r="989" spans="1:16" ht="19.5" customHeight="1">
      <c r="A989" s="227" t="s">
        <v>1321</v>
      </c>
      <c r="B989" s="230">
        <v>46053</v>
      </c>
      <c r="C989" s="227" t="s">
        <v>100</v>
      </c>
      <c r="D989" s="227" t="s">
        <v>101</v>
      </c>
      <c r="E989" s="227" t="s">
        <v>52</v>
      </c>
      <c r="F989" s="227" t="s">
        <v>90</v>
      </c>
      <c r="G989" s="227" t="s">
        <v>84</v>
      </c>
      <c r="H989" s="231">
        <v>1</v>
      </c>
      <c r="I989" s="232">
        <v>1800</v>
      </c>
      <c r="J989" s="230">
        <v>46051</v>
      </c>
      <c r="K989" s="227" t="s">
        <v>93</v>
      </c>
      <c r="L989" s="227" t="s">
        <v>94</v>
      </c>
      <c r="M989" s="233">
        <v>0</v>
      </c>
      <c r="N989" s="231"/>
      <c r="O989" s="231"/>
      <c r="P989" s="234">
        <v>627.02</v>
      </c>
    </row>
    <row r="990" spans="1:16" ht="19.5" customHeight="1">
      <c r="A990" s="227" t="s">
        <v>1321</v>
      </c>
      <c r="B990" s="230">
        <v>46053</v>
      </c>
      <c r="C990" s="227" t="s">
        <v>100</v>
      </c>
      <c r="D990" s="227" t="s">
        <v>102</v>
      </c>
      <c r="E990" s="227" t="s">
        <v>52</v>
      </c>
      <c r="F990" s="227" t="s">
        <v>90</v>
      </c>
      <c r="G990" s="227" t="s">
        <v>84</v>
      </c>
      <c r="H990" s="231">
        <v>1</v>
      </c>
      <c r="I990" s="232">
        <v>1800</v>
      </c>
      <c r="J990" s="230">
        <v>46051</v>
      </c>
      <c r="K990" s="227" t="s">
        <v>93</v>
      </c>
      <c r="L990" s="227" t="s">
        <v>94</v>
      </c>
      <c r="M990" s="233">
        <v>0</v>
      </c>
      <c r="N990" s="231"/>
      <c r="O990" s="231"/>
      <c r="P990" s="234">
        <v>6.27</v>
      </c>
    </row>
    <row r="991" spans="1:16" ht="19.5" customHeight="1">
      <c r="A991" s="227" t="s">
        <v>1321</v>
      </c>
      <c r="B991" s="230">
        <v>46053</v>
      </c>
      <c r="C991" s="227" t="s">
        <v>100</v>
      </c>
      <c r="D991" s="227" t="s">
        <v>103</v>
      </c>
      <c r="E991" s="227" t="s">
        <v>52</v>
      </c>
      <c r="F991" s="227" t="s">
        <v>90</v>
      </c>
      <c r="G991" s="227" t="s">
        <v>84</v>
      </c>
      <c r="H991" s="231">
        <v>1</v>
      </c>
      <c r="I991" s="232">
        <v>1800</v>
      </c>
      <c r="J991" s="230">
        <v>46051</v>
      </c>
      <c r="K991" s="227" t="s">
        <v>93</v>
      </c>
      <c r="L991" s="227" t="s">
        <v>94</v>
      </c>
      <c r="M991" s="233">
        <v>0</v>
      </c>
      <c r="N991" s="231"/>
      <c r="O991" s="231"/>
      <c r="P991" s="234">
        <v>1166.71</v>
      </c>
    </row>
    <row r="992" spans="1:16" ht="19.5" customHeight="1">
      <c r="A992" s="227" t="s">
        <v>1321</v>
      </c>
      <c r="B992" s="230">
        <v>46053</v>
      </c>
      <c r="C992" s="227" t="s">
        <v>104</v>
      </c>
      <c r="D992" s="227" t="s">
        <v>105</v>
      </c>
      <c r="E992" s="227" t="s">
        <v>52</v>
      </c>
      <c r="F992" s="227" t="s">
        <v>90</v>
      </c>
      <c r="G992" s="227" t="s">
        <v>84</v>
      </c>
      <c r="H992" s="231">
        <v>1</v>
      </c>
      <c r="I992" s="232">
        <v>1800</v>
      </c>
      <c r="J992" s="230">
        <v>46051</v>
      </c>
      <c r="K992" s="227" t="s">
        <v>93</v>
      </c>
      <c r="L992" s="227" t="s">
        <v>94</v>
      </c>
      <c r="M992" s="233">
        <v>0.43</v>
      </c>
      <c r="N992" s="231"/>
      <c r="O992" s="231"/>
      <c r="P992" s="234">
        <v>-774</v>
      </c>
    </row>
    <row r="993" spans="1:16" ht="19.5" customHeight="1">
      <c r="A993" s="227" t="s">
        <v>1321</v>
      </c>
      <c r="B993" s="230">
        <v>46053</v>
      </c>
      <c r="C993" s="227" t="s">
        <v>81</v>
      </c>
      <c r="D993" s="227" t="s">
        <v>95</v>
      </c>
      <c r="E993" s="227" t="s">
        <v>52</v>
      </c>
      <c r="F993" s="227" t="s">
        <v>90</v>
      </c>
      <c r="G993" s="227" t="s">
        <v>84</v>
      </c>
      <c r="H993" s="231">
        <v>1</v>
      </c>
      <c r="I993" s="232">
        <v>1800</v>
      </c>
      <c r="J993" s="230">
        <v>46051</v>
      </c>
      <c r="K993" s="227" t="s">
        <v>93</v>
      </c>
      <c r="L993" s="227" t="s">
        <v>94</v>
      </c>
      <c r="M993" s="233">
        <v>0.43</v>
      </c>
      <c r="N993" s="231"/>
      <c r="O993" s="231"/>
      <c r="P993" s="234">
        <v>-17.25</v>
      </c>
    </row>
    <row r="994" spans="1:16" ht="19.5" customHeight="1">
      <c r="A994" s="227" t="s">
        <v>1321</v>
      </c>
      <c r="B994" s="230">
        <v>46053</v>
      </c>
      <c r="C994" s="227" t="s">
        <v>81</v>
      </c>
      <c r="D994" s="227" t="s">
        <v>82</v>
      </c>
      <c r="E994" s="227" t="s">
        <v>52</v>
      </c>
      <c r="F994" s="227" t="s">
        <v>90</v>
      </c>
      <c r="G994" s="227" t="s">
        <v>84</v>
      </c>
      <c r="H994" s="231">
        <v>1</v>
      </c>
      <c r="I994" s="232">
        <v>0</v>
      </c>
      <c r="J994" s="230">
        <v>46051</v>
      </c>
      <c r="K994" s="227" t="s">
        <v>85</v>
      </c>
      <c r="L994" s="227" t="s">
        <v>85</v>
      </c>
      <c r="M994" s="233">
        <v>0</v>
      </c>
      <c r="N994" s="231"/>
      <c r="O994" s="231"/>
      <c r="P994" s="234">
        <v>-11.91</v>
      </c>
    </row>
    <row r="995" spans="1:16" ht="19.5" customHeight="1">
      <c r="A995" s="227" t="s">
        <v>1322</v>
      </c>
      <c r="B995" s="230">
        <v>46053</v>
      </c>
      <c r="C995" s="227" t="s">
        <v>81</v>
      </c>
      <c r="D995" s="227" t="s">
        <v>82</v>
      </c>
      <c r="E995" s="227" t="s">
        <v>41</v>
      </c>
      <c r="F995" s="227" t="s">
        <v>83</v>
      </c>
      <c r="G995" s="227" t="s">
        <v>84</v>
      </c>
      <c r="H995" s="231">
        <v>1</v>
      </c>
      <c r="I995" s="232">
        <v>0</v>
      </c>
      <c r="J995" s="230">
        <v>46053</v>
      </c>
      <c r="K995" s="227" t="s">
        <v>85</v>
      </c>
      <c r="L995" s="227" t="s">
        <v>85</v>
      </c>
      <c r="M995" s="233">
        <v>0</v>
      </c>
      <c r="N995" s="231"/>
      <c r="O995" s="231"/>
      <c r="P995" s="234">
        <v>-12.94</v>
      </c>
    </row>
    <row r="996" spans="1:16" ht="19.5" customHeight="1">
      <c r="A996" s="227" t="s">
        <v>1323</v>
      </c>
      <c r="B996" s="230">
        <v>46053</v>
      </c>
      <c r="C996" s="227" t="s">
        <v>92</v>
      </c>
      <c r="D996" s="227" t="s">
        <v>24</v>
      </c>
      <c r="E996" s="227" t="s">
        <v>53</v>
      </c>
      <c r="F996" s="227" t="s">
        <v>120</v>
      </c>
      <c r="G996" s="227" t="s">
        <v>84</v>
      </c>
      <c r="H996" s="231">
        <v>1</v>
      </c>
      <c r="I996" s="232">
        <v>1812</v>
      </c>
      <c r="J996" s="230">
        <v>46048</v>
      </c>
      <c r="K996" s="227" t="s">
        <v>93</v>
      </c>
      <c r="L996" s="227" t="s">
        <v>94</v>
      </c>
      <c r="M996" s="233">
        <v>0.43</v>
      </c>
      <c r="N996" s="231"/>
      <c r="O996" s="231">
        <v>44</v>
      </c>
      <c r="P996" s="234">
        <v>-148.36000000000001</v>
      </c>
    </row>
    <row r="997" spans="1:16" ht="19.5" customHeight="1">
      <c r="A997" s="227" t="s">
        <v>1323</v>
      </c>
      <c r="B997" s="230">
        <v>46053</v>
      </c>
      <c r="C997" s="227" t="s">
        <v>100</v>
      </c>
      <c r="D997" s="227" t="s">
        <v>101</v>
      </c>
      <c r="E997" s="227" t="s">
        <v>53</v>
      </c>
      <c r="F997" s="227" t="s">
        <v>120</v>
      </c>
      <c r="G997" s="227" t="s">
        <v>84</v>
      </c>
      <c r="H997" s="231">
        <v>1</v>
      </c>
      <c r="I997" s="232">
        <v>1812</v>
      </c>
      <c r="J997" s="230">
        <v>46048</v>
      </c>
      <c r="K997" s="227" t="s">
        <v>93</v>
      </c>
      <c r="L997" s="227" t="s">
        <v>94</v>
      </c>
      <c r="M997" s="233">
        <v>0</v>
      </c>
      <c r="N997" s="231"/>
      <c r="O997" s="231"/>
      <c r="P997" s="234">
        <v>666.98</v>
      </c>
    </row>
    <row r="998" spans="1:16" ht="19.5" customHeight="1">
      <c r="A998" s="227" t="s">
        <v>1323</v>
      </c>
      <c r="B998" s="230">
        <v>46053</v>
      </c>
      <c r="C998" s="227" t="s">
        <v>100</v>
      </c>
      <c r="D998" s="227" t="s">
        <v>102</v>
      </c>
      <c r="E998" s="227" t="s">
        <v>53</v>
      </c>
      <c r="F998" s="227" t="s">
        <v>120</v>
      </c>
      <c r="G998" s="227" t="s">
        <v>84</v>
      </c>
      <c r="H998" s="231">
        <v>1</v>
      </c>
      <c r="I998" s="232">
        <v>1812</v>
      </c>
      <c r="J998" s="230">
        <v>46048</v>
      </c>
      <c r="K998" s="227" t="s">
        <v>93</v>
      </c>
      <c r="L998" s="227" t="s">
        <v>94</v>
      </c>
      <c r="M998" s="233">
        <v>0</v>
      </c>
      <c r="N998" s="231"/>
      <c r="O998" s="231"/>
      <c r="P998" s="234">
        <v>6.67</v>
      </c>
    </row>
    <row r="999" spans="1:16" ht="19.5" customHeight="1">
      <c r="A999" s="227" t="s">
        <v>1323</v>
      </c>
      <c r="B999" s="230">
        <v>46053</v>
      </c>
      <c r="C999" s="227" t="s">
        <v>100</v>
      </c>
      <c r="D999" s="227" t="s">
        <v>103</v>
      </c>
      <c r="E999" s="227" t="s">
        <v>53</v>
      </c>
      <c r="F999" s="227" t="s">
        <v>120</v>
      </c>
      <c r="G999" s="227" t="s">
        <v>84</v>
      </c>
      <c r="H999" s="231">
        <v>1</v>
      </c>
      <c r="I999" s="232">
        <v>1812</v>
      </c>
      <c r="J999" s="230">
        <v>46048</v>
      </c>
      <c r="K999" s="227" t="s">
        <v>93</v>
      </c>
      <c r="L999" s="227" t="s">
        <v>94</v>
      </c>
      <c r="M999" s="233">
        <v>0</v>
      </c>
      <c r="N999" s="231"/>
      <c r="O999" s="231"/>
      <c r="P999" s="234">
        <v>1138.3499999999999</v>
      </c>
    </row>
    <row r="1000" spans="1:16" ht="19.5" customHeight="1">
      <c r="A1000" s="227" t="s">
        <v>1323</v>
      </c>
      <c r="B1000" s="230">
        <v>46053</v>
      </c>
      <c r="C1000" s="227" t="s">
        <v>104</v>
      </c>
      <c r="D1000" s="227" t="s">
        <v>105</v>
      </c>
      <c r="E1000" s="227" t="s">
        <v>53</v>
      </c>
      <c r="F1000" s="227" t="s">
        <v>120</v>
      </c>
      <c r="G1000" s="227" t="s">
        <v>84</v>
      </c>
      <c r="H1000" s="231">
        <v>1</v>
      </c>
      <c r="I1000" s="232">
        <v>1812</v>
      </c>
      <c r="J1000" s="230">
        <v>46048</v>
      </c>
      <c r="K1000" s="227" t="s">
        <v>93</v>
      </c>
      <c r="L1000" s="227" t="s">
        <v>94</v>
      </c>
      <c r="M1000" s="233">
        <v>0.43</v>
      </c>
      <c r="N1000" s="231"/>
      <c r="O1000" s="231"/>
      <c r="P1000" s="234">
        <v>-779.16</v>
      </c>
    </row>
    <row r="1001" spans="1:16" ht="19.5" customHeight="1">
      <c r="A1001" s="227" t="s">
        <v>1323</v>
      </c>
      <c r="B1001" s="230">
        <v>46053</v>
      </c>
      <c r="C1001" s="227" t="s">
        <v>81</v>
      </c>
      <c r="D1001" s="227" t="s">
        <v>95</v>
      </c>
      <c r="E1001" s="227" t="s">
        <v>53</v>
      </c>
      <c r="F1001" s="227" t="s">
        <v>120</v>
      </c>
      <c r="G1001" s="227" t="s">
        <v>84</v>
      </c>
      <c r="H1001" s="231">
        <v>1</v>
      </c>
      <c r="I1001" s="232">
        <v>1812</v>
      </c>
      <c r="J1001" s="230">
        <v>46048</v>
      </c>
      <c r="K1001" s="227" t="s">
        <v>93</v>
      </c>
      <c r="L1001" s="227" t="s">
        <v>94</v>
      </c>
      <c r="M1001" s="233">
        <v>0.43</v>
      </c>
      <c r="N1001" s="231"/>
      <c r="O1001" s="231"/>
      <c r="P1001" s="234">
        <v>-20.18</v>
      </c>
    </row>
    <row r="1002" spans="1:16" ht="19.5" customHeight="1">
      <c r="A1002" s="227" t="s">
        <v>1324</v>
      </c>
      <c r="B1002" s="230">
        <v>46053</v>
      </c>
      <c r="C1002" s="227" t="s">
        <v>92</v>
      </c>
      <c r="D1002" s="227" t="s">
        <v>24</v>
      </c>
      <c r="E1002" s="227" t="s">
        <v>53</v>
      </c>
      <c r="F1002" s="227" t="s">
        <v>120</v>
      </c>
      <c r="G1002" s="227" t="s">
        <v>84</v>
      </c>
      <c r="H1002" s="231">
        <v>1</v>
      </c>
      <c r="I1002" s="232">
        <v>1812</v>
      </c>
      <c r="J1002" s="230">
        <v>46050</v>
      </c>
      <c r="K1002" s="227" t="s">
        <v>93</v>
      </c>
      <c r="L1002" s="227" t="s">
        <v>94</v>
      </c>
      <c r="M1002" s="233">
        <v>0.43</v>
      </c>
      <c r="N1002" s="231"/>
      <c r="O1002" s="231">
        <v>44</v>
      </c>
      <c r="P1002" s="234">
        <v>-149.88999999999999</v>
      </c>
    </row>
    <row r="1003" spans="1:16" ht="19.5" customHeight="1">
      <c r="A1003" s="227" t="s">
        <v>1324</v>
      </c>
      <c r="B1003" s="230">
        <v>46053</v>
      </c>
      <c r="C1003" s="227" t="s">
        <v>100</v>
      </c>
      <c r="D1003" s="227" t="s">
        <v>101</v>
      </c>
      <c r="E1003" s="227" t="s">
        <v>53</v>
      </c>
      <c r="F1003" s="227" t="s">
        <v>120</v>
      </c>
      <c r="G1003" s="227" t="s">
        <v>84</v>
      </c>
      <c r="H1003" s="231">
        <v>1</v>
      </c>
      <c r="I1003" s="232">
        <v>1812</v>
      </c>
      <c r="J1003" s="230">
        <v>46050</v>
      </c>
      <c r="K1003" s="227" t="s">
        <v>93</v>
      </c>
      <c r="L1003" s="227" t="s">
        <v>94</v>
      </c>
      <c r="M1003" s="233">
        <v>0</v>
      </c>
      <c r="N1003" s="231"/>
      <c r="O1003" s="231"/>
      <c r="P1003" s="234">
        <v>631.42999999999995</v>
      </c>
    </row>
    <row r="1004" spans="1:16" ht="19.5" customHeight="1">
      <c r="A1004" s="227" t="s">
        <v>1324</v>
      </c>
      <c r="B1004" s="230">
        <v>46053</v>
      </c>
      <c r="C1004" s="227" t="s">
        <v>100</v>
      </c>
      <c r="D1004" s="227" t="s">
        <v>102</v>
      </c>
      <c r="E1004" s="227" t="s">
        <v>53</v>
      </c>
      <c r="F1004" s="227" t="s">
        <v>120</v>
      </c>
      <c r="G1004" s="227" t="s">
        <v>84</v>
      </c>
      <c r="H1004" s="231">
        <v>1</v>
      </c>
      <c r="I1004" s="232">
        <v>1812</v>
      </c>
      <c r="J1004" s="230">
        <v>46050</v>
      </c>
      <c r="K1004" s="227" t="s">
        <v>93</v>
      </c>
      <c r="L1004" s="227" t="s">
        <v>94</v>
      </c>
      <c r="M1004" s="233">
        <v>0</v>
      </c>
      <c r="N1004" s="231"/>
      <c r="O1004" s="231"/>
      <c r="P1004" s="234">
        <v>6.31</v>
      </c>
    </row>
    <row r="1005" spans="1:16" ht="19.5" customHeight="1">
      <c r="A1005" s="227" t="s">
        <v>1324</v>
      </c>
      <c r="B1005" s="230">
        <v>46053</v>
      </c>
      <c r="C1005" s="227" t="s">
        <v>100</v>
      </c>
      <c r="D1005" s="227" t="s">
        <v>103</v>
      </c>
      <c r="E1005" s="227" t="s">
        <v>53</v>
      </c>
      <c r="F1005" s="227" t="s">
        <v>120</v>
      </c>
      <c r="G1005" s="227" t="s">
        <v>84</v>
      </c>
      <c r="H1005" s="231">
        <v>1</v>
      </c>
      <c r="I1005" s="232">
        <v>1812</v>
      </c>
      <c r="J1005" s="230">
        <v>46050</v>
      </c>
      <c r="K1005" s="227" t="s">
        <v>93</v>
      </c>
      <c r="L1005" s="227" t="s">
        <v>94</v>
      </c>
      <c r="M1005" s="233">
        <v>0</v>
      </c>
      <c r="N1005" s="231"/>
      <c r="O1005" s="231"/>
      <c r="P1005" s="234">
        <v>1174.26</v>
      </c>
    </row>
    <row r="1006" spans="1:16" ht="19.5" customHeight="1">
      <c r="A1006" s="227" t="s">
        <v>1324</v>
      </c>
      <c r="B1006" s="230">
        <v>46053</v>
      </c>
      <c r="C1006" s="227" t="s">
        <v>104</v>
      </c>
      <c r="D1006" s="227" t="s">
        <v>105</v>
      </c>
      <c r="E1006" s="227" t="s">
        <v>53</v>
      </c>
      <c r="F1006" s="227" t="s">
        <v>120</v>
      </c>
      <c r="G1006" s="227" t="s">
        <v>84</v>
      </c>
      <c r="H1006" s="231">
        <v>1</v>
      </c>
      <c r="I1006" s="232">
        <v>1812</v>
      </c>
      <c r="J1006" s="230">
        <v>46050</v>
      </c>
      <c r="K1006" s="227" t="s">
        <v>93</v>
      </c>
      <c r="L1006" s="227" t="s">
        <v>94</v>
      </c>
      <c r="M1006" s="233">
        <v>0.43</v>
      </c>
      <c r="N1006" s="231"/>
      <c r="O1006" s="231"/>
      <c r="P1006" s="234">
        <v>-779.16</v>
      </c>
    </row>
    <row r="1007" spans="1:16" ht="19.5" customHeight="1">
      <c r="A1007" s="227" t="s">
        <v>1324</v>
      </c>
      <c r="B1007" s="230">
        <v>46053</v>
      </c>
      <c r="C1007" s="227" t="s">
        <v>81</v>
      </c>
      <c r="D1007" s="227" t="s">
        <v>95</v>
      </c>
      <c r="E1007" s="227" t="s">
        <v>53</v>
      </c>
      <c r="F1007" s="227" t="s">
        <v>120</v>
      </c>
      <c r="G1007" s="227" t="s">
        <v>84</v>
      </c>
      <c r="H1007" s="231">
        <v>1</v>
      </c>
      <c r="I1007" s="232">
        <v>1812</v>
      </c>
      <c r="J1007" s="230">
        <v>46050</v>
      </c>
      <c r="K1007" s="227" t="s">
        <v>93</v>
      </c>
      <c r="L1007" s="227" t="s">
        <v>94</v>
      </c>
      <c r="M1007" s="233">
        <v>0.43</v>
      </c>
      <c r="N1007" s="231"/>
      <c r="O1007" s="231"/>
      <c r="P1007" s="234">
        <v>-9.86</v>
      </c>
    </row>
    <row r="1008" spans="1:16" ht="19.5" customHeight="1">
      <c r="A1008" s="227" t="s">
        <v>1325</v>
      </c>
      <c r="B1008" s="230">
        <v>46053</v>
      </c>
      <c r="C1008" s="227" t="s">
        <v>92</v>
      </c>
      <c r="D1008" s="227" t="s">
        <v>24</v>
      </c>
      <c r="E1008" s="227" t="s">
        <v>58</v>
      </c>
      <c r="F1008" s="227" t="s">
        <v>1302</v>
      </c>
      <c r="G1008" s="227" t="s">
        <v>84</v>
      </c>
      <c r="H1008" s="231">
        <v>1</v>
      </c>
      <c r="I1008" s="232">
        <v>2000</v>
      </c>
      <c r="J1008" s="230">
        <v>46053</v>
      </c>
      <c r="K1008" s="227" t="s">
        <v>93</v>
      </c>
      <c r="L1008" s="227" t="s">
        <v>94</v>
      </c>
      <c r="M1008" s="233">
        <v>0.43</v>
      </c>
      <c r="N1008" s="231"/>
      <c r="O1008" s="231">
        <v>44</v>
      </c>
      <c r="P1008" s="234">
        <v>-155.81</v>
      </c>
    </row>
    <row r="1009" spans="1:16" ht="19.5" customHeight="1">
      <c r="A1009" s="227" t="s">
        <v>1325</v>
      </c>
      <c r="B1009" s="230">
        <v>46053</v>
      </c>
      <c r="C1009" s="227" t="s">
        <v>100</v>
      </c>
      <c r="D1009" s="227" t="s">
        <v>101</v>
      </c>
      <c r="E1009" s="227" t="s">
        <v>58</v>
      </c>
      <c r="F1009" s="227" t="s">
        <v>1302</v>
      </c>
      <c r="G1009" s="227" t="s">
        <v>84</v>
      </c>
      <c r="H1009" s="231">
        <v>1</v>
      </c>
      <c r="I1009" s="232">
        <v>2000</v>
      </c>
      <c r="J1009" s="230">
        <v>46053</v>
      </c>
      <c r="K1009" s="227" t="s">
        <v>93</v>
      </c>
      <c r="L1009" s="227" t="s">
        <v>94</v>
      </c>
      <c r="M1009" s="233">
        <v>0</v>
      </c>
      <c r="N1009" s="231"/>
      <c r="O1009" s="231"/>
      <c r="P1009" s="234">
        <v>734.29</v>
      </c>
    </row>
    <row r="1010" spans="1:16" ht="19.5" customHeight="1">
      <c r="A1010" s="227" t="s">
        <v>1325</v>
      </c>
      <c r="B1010" s="230">
        <v>46053</v>
      </c>
      <c r="C1010" s="227" t="s">
        <v>100</v>
      </c>
      <c r="D1010" s="227" t="s">
        <v>102</v>
      </c>
      <c r="E1010" s="227" t="s">
        <v>58</v>
      </c>
      <c r="F1010" s="227" t="s">
        <v>1302</v>
      </c>
      <c r="G1010" s="227" t="s">
        <v>84</v>
      </c>
      <c r="H1010" s="231">
        <v>1</v>
      </c>
      <c r="I1010" s="232">
        <v>2000</v>
      </c>
      <c r="J1010" s="230">
        <v>46053</v>
      </c>
      <c r="K1010" s="227" t="s">
        <v>93</v>
      </c>
      <c r="L1010" s="227" t="s">
        <v>94</v>
      </c>
      <c r="M1010" s="233">
        <v>0</v>
      </c>
      <c r="N1010" s="231"/>
      <c r="O1010" s="231"/>
      <c r="P1010" s="234">
        <v>7.34</v>
      </c>
    </row>
    <row r="1011" spans="1:16" ht="19.5" customHeight="1">
      <c r="A1011" s="227" t="s">
        <v>1325</v>
      </c>
      <c r="B1011" s="230">
        <v>46053</v>
      </c>
      <c r="C1011" s="227" t="s">
        <v>100</v>
      </c>
      <c r="D1011" s="227" t="s">
        <v>103</v>
      </c>
      <c r="E1011" s="227" t="s">
        <v>58</v>
      </c>
      <c r="F1011" s="227" t="s">
        <v>1302</v>
      </c>
      <c r="G1011" s="227" t="s">
        <v>84</v>
      </c>
      <c r="H1011" s="231">
        <v>1</v>
      </c>
      <c r="I1011" s="232">
        <v>2000</v>
      </c>
      <c r="J1011" s="230">
        <v>46053</v>
      </c>
      <c r="K1011" s="227" t="s">
        <v>93</v>
      </c>
      <c r="L1011" s="227" t="s">
        <v>94</v>
      </c>
      <c r="M1011" s="233">
        <v>0</v>
      </c>
      <c r="N1011" s="231"/>
      <c r="O1011" s="231"/>
      <c r="P1011" s="234">
        <v>1258.3699999999999</v>
      </c>
    </row>
    <row r="1012" spans="1:16" ht="19.5" customHeight="1">
      <c r="A1012" s="227" t="s">
        <v>1325</v>
      </c>
      <c r="B1012" s="230">
        <v>46053</v>
      </c>
      <c r="C1012" s="227" t="s">
        <v>104</v>
      </c>
      <c r="D1012" s="227" t="s">
        <v>105</v>
      </c>
      <c r="E1012" s="227" t="s">
        <v>58</v>
      </c>
      <c r="F1012" s="227" t="s">
        <v>1302</v>
      </c>
      <c r="G1012" s="227" t="s">
        <v>84</v>
      </c>
      <c r="H1012" s="231">
        <v>1</v>
      </c>
      <c r="I1012" s="232">
        <v>2000</v>
      </c>
      <c r="J1012" s="230">
        <v>46053</v>
      </c>
      <c r="K1012" s="227" t="s">
        <v>93</v>
      </c>
      <c r="L1012" s="227" t="s">
        <v>94</v>
      </c>
      <c r="M1012" s="233">
        <v>0.43</v>
      </c>
      <c r="N1012" s="231"/>
      <c r="O1012" s="231"/>
      <c r="P1012" s="234">
        <v>-860</v>
      </c>
    </row>
    <row r="1013" spans="1:16" ht="19.5" customHeight="1">
      <c r="A1013" s="227" t="s">
        <v>1325</v>
      </c>
      <c r="B1013" s="230">
        <v>46053</v>
      </c>
      <c r="C1013" s="227" t="s">
        <v>81</v>
      </c>
      <c r="D1013" s="227" t="s">
        <v>95</v>
      </c>
      <c r="E1013" s="227" t="s">
        <v>58</v>
      </c>
      <c r="F1013" s="227" t="s">
        <v>1302</v>
      </c>
      <c r="G1013" s="227" t="s">
        <v>84</v>
      </c>
      <c r="H1013" s="231">
        <v>1</v>
      </c>
      <c r="I1013" s="232">
        <v>2000</v>
      </c>
      <c r="J1013" s="230">
        <v>46053</v>
      </c>
      <c r="K1013" s="227" t="s">
        <v>93</v>
      </c>
      <c r="L1013" s="227" t="s">
        <v>94</v>
      </c>
      <c r="M1013" s="233">
        <v>0.43</v>
      </c>
      <c r="N1013" s="231"/>
      <c r="O1013" s="231"/>
      <c r="P1013" s="234">
        <v>-15.44</v>
      </c>
    </row>
    <row r="1014" spans="1:16" ht="19.5" customHeight="1">
      <c r="A1014" s="227" t="s">
        <v>1326</v>
      </c>
      <c r="B1014" s="230">
        <v>46053</v>
      </c>
      <c r="C1014" s="227" t="s">
        <v>81</v>
      </c>
      <c r="D1014" s="227" t="s">
        <v>82</v>
      </c>
      <c r="E1014" s="227" t="s">
        <v>43</v>
      </c>
      <c r="F1014" s="227" t="s">
        <v>125</v>
      </c>
      <c r="G1014" s="227" t="s">
        <v>84</v>
      </c>
      <c r="H1014" s="231">
        <v>1</v>
      </c>
      <c r="I1014" s="232">
        <v>0</v>
      </c>
      <c r="J1014" s="230">
        <v>46053</v>
      </c>
      <c r="K1014" s="227" t="s">
        <v>85</v>
      </c>
      <c r="L1014" s="227" t="s">
        <v>85</v>
      </c>
      <c r="M1014" s="233">
        <v>0</v>
      </c>
      <c r="N1014" s="231"/>
      <c r="O1014" s="231"/>
      <c r="P1014" s="234">
        <v>-11.58</v>
      </c>
    </row>
    <row r="1015" spans="1:16" ht="19.5" customHeight="1">
      <c r="A1015" s="227" t="s">
        <v>1327</v>
      </c>
      <c r="B1015" s="230">
        <v>46053</v>
      </c>
      <c r="C1015" s="227" t="s">
        <v>92</v>
      </c>
      <c r="D1015" s="227" t="s">
        <v>24</v>
      </c>
      <c r="E1015" s="227" t="s">
        <v>42</v>
      </c>
      <c r="F1015" s="227" t="s">
        <v>89</v>
      </c>
      <c r="G1015" s="227" t="s">
        <v>84</v>
      </c>
      <c r="H1015" s="231">
        <v>1</v>
      </c>
      <c r="I1015" s="232">
        <v>1750</v>
      </c>
      <c r="J1015" s="230">
        <v>46048</v>
      </c>
      <c r="K1015" s="227" t="s">
        <v>93</v>
      </c>
      <c r="L1015" s="227" t="s">
        <v>94</v>
      </c>
      <c r="M1015" s="233">
        <v>0.43</v>
      </c>
      <c r="N1015" s="231"/>
      <c r="O1015" s="231">
        <v>44</v>
      </c>
      <c r="P1015" s="234">
        <v>-131.37</v>
      </c>
    </row>
    <row r="1016" spans="1:16" ht="19.5" customHeight="1">
      <c r="A1016" s="227" t="s">
        <v>1327</v>
      </c>
      <c r="B1016" s="230">
        <v>46053</v>
      </c>
      <c r="C1016" s="227" t="s">
        <v>100</v>
      </c>
      <c r="D1016" s="227" t="s">
        <v>101</v>
      </c>
      <c r="E1016" s="227" t="s">
        <v>42</v>
      </c>
      <c r="F1016" s="227" t="s">
        <v>89</v>
      </c>
      <c r="G1016" s="227" t="s">
        <v>84</v>
      </c>
      <c r="H1016" s="231">
        <v>1</v>
      </c>
      <c r="I1016" s="232">
        <v>1750</v>
      </c>
      <c r="J1016" s="230">
        <v>46048</v>
      </c>
      <c r="K1016" s="227" t="s">
        <v>93</v>
      </c>
      <c r="L1016" s="227" t="s">
        <v>94</v>
      </c>
      <c r="M1016" s="233">
        <v>0</v>
      </c>
      <c r="N1016" s="231"/>
      <c r="O1016" s="231"/>
      <c r="P1016" s="234">
        <v>666.67</v>
      </c>
    </row>
    <row r="1017" spans="1:16" ht="19.5" customHeight="1">
      <c r="A1017" s="227" t="s">
        <v>1327</v>
      </c>
      <c r="B1017" s="230">
        <v>46053</v>
      </c>
      <c r="C1017" s="227" t="s">
        <v>100</v>
      </c>
      <c r="D1017" s="227" t="s">
        <v>102</v>
      </c>
      <c r="E1017" s="227" t="s">
        <v>42</v>
      </c>
      <c r="F1017" s="227" t="s">
        <v>89</v>
      </c>
      <c r="G1017" s="227" t="s">
        <v>84</v>
      </c>
      <c r="H1017" s="231">
        <v>1</v>
      </c>
      <c r="I1017" s="232">
        <v>1750</v>
      </c>
      <c r="J1017" s="230">
        <v>46048</v>
      </c>
      <c r="K1017" s="227" t="s">
        <v>93</v>
      </c>
      <c r="L1017" s="227" t="s">
        <v>94</v>
      </c>
      <c r="M1017" s="233">
        <v>0</v>
      </c>
      <c r="N1017" s="231"/>
      <c r="O1017" s="231"/>
      <c r="P1017" s="234">
        <v>0</v>
      </c>
    </row>
    <row r="1018" spans="1:16" ht="19.5" customHeight="1">
      <c r="A1018" s="227" t="s">
        <v>1327</v>
      </c>
      <c r="B1018" s="230">
        <v>46053</v>
      </c>
      <c r="C1018" s="227" t="s">
        <v>100</v>
      </c>
      <c r="D1018" s="227" t="s">
        <v>103</v>
      </c>
      <c r="E1018" s="227" t="s">
        <v>42</v>
      </c>
      <c r="F1018" s="227" t="s">
        <v>89</v>
      </c>
      <c r="G1018" s="227" t="s">
        <v>84</v>
      </c>
      <c r="H1018" s="231">
        <v>1</v>
      </c>
      <c r="I1018" s="232">
        <v>1750</v>
      </c>
      <c r="J1018" s="230">
        <v>46048</v>
      </c>
      <c r="K1018" s="227" t="s">
        <v>93</v>
      </c>
      <c r="L1018" s="227" t="s">
        <v>94</v>
      </c>
      <c r="M1018" s="233">
        <v>0</v>
      </c>
      <c r="N1018" s="231"/>
      <c r="O1018" s="231"/>
      <c r="P1018" s="234">
        <v>1083.33</v>
      </c>
    </row>
    <row r="1019" spans="1:16" ht="19.5" customHeight="1">
      <c r="A1019" s="227" t="s">
        <v>1327</v>
      </c>
      <c r="B1019" s="230">
        <v>46053</v>
      </c>
      <c r="C1019" s="227" t="s">
        <v>104</v>
      </c>
      <c r="D1019" s="227" t="s">
        <v>105</v>
      </c>
      <c r="E1019" s="227" t="s">
        <v>42</v>
      </c>
      <c r="F1019" s="227" t="s">
        <v>89</v>
      </c>
      <c r="G1019" s="227" t="s">
        <v>84</v>
      </c>
      <c r="H1019" s="231">
        <v>1</v>
      </c>
      <c r="I1019" s="232">
        <v>1750</v>
      </c>
      <c r="J1019" s="230">
        <v>46048</v>
      </c>
      <c r="K1019" s="227" t="s">
        <v>93</v>
      </c>
      <c r="L1019" s="227" t="s">
        <v>94</v>
      </c>
      <c r="M1019" s="233">
        <v>0.43</v>
      </c>
      <c r="N1019" s="231"/>
      <c r="O1019" s="231"/>
      <c r="P1019" s="234">
        <v>-752.5</v>
      </c>
    </row>
    <row r="1020" spans="1:16" ht="19.5" customHeight="1">
      <c r="A1020" s="227" t="s">
        <v>1328</v>
      </c>
      <c r="B1020" s="230">
        <v>46053</v>
      </c>
      <c r="C1020" s="227" t="s">
        <v>92</v>
      </c>
      <c r="D1020" s="227" t="s">
        <v>24</v>
      </c>
      <c r="E1020" s="227" t="s">
        <v>53</v>
      </c>
      <c r="F1020" s="227" t="s">
        <v>120</v>
      </c>
      <c r="G1020" s="227" t="s">
        <v>84</v>
      </c>
      <c r="H1020" s="231">
        <v>1</v>
      </c>
      <c r="I1020" s="232">
        <v>0</v>
      </c>
      <c r="J1020" s="230">
        <v>46049</v>
      </c>
      <c r="K1020" s="227" t="s">
        <v>93</v>
      </c>
      <c r="L1020" s="227" t="s">
        <v>94</v>
      </c>
      <c r="M1020" s="233">
        <v>0</v>
      </c>
      <c r="N1020" s="231"/>
      <c r="O1020" s="231">
        <v>45</v>
      </c>
      <c r="P1020" s="234">
        <v>-56</v>
      </c>
    </row>
    <row r="1021" spans="1:16" ht="19.5" customHeight="1">
      <c r="A1021" s="227" t="s">
        <v>1328</v>
      </c>
      <c r="B1021" s="230">
        <v>46053</v>
      </c>
      <c r="C1021" s="227" t="s">
        <v>92</v>
      </c>
      <c r="D1021" s="227" t="s">
        <v>96</v>
      </c>
      <c r="E1021" s="227" t="s">
        <v>53</v>
      </c>
      <c r="F1021" s="227" t="s">
        <v>120</v>
      </c>
      <c r="G1021" s="227" t="s">
        <v>84</v>
      </c>
      <c r="H1021" s="231">
        <v>1</v>
      </c>
      <c r="I1021" s="232">
        <v>0</v>
      </c>
      <c r="J1021" s="230">
        <v>46049</v>
      </c>
      <c r="K1021" s="227" t="s">
        <v>93</v>
      </c>
      <c r="L1021" s="227" t="s">
        <v>94</v>
      </c>
      <c r="M1021" s="233">
        <v>0</v>
      </c>
      <c r="N1021" s="231"/>
      <c r="O1021" s="231"/>
      <c r="P1021" s="234">
        <v>0</v>
      </c>
    </row>
    <row r="1022" spans="1:16" ht="19.5" customHeight="1">
      <c r="A1022" s="227" t="s">
        <v>1328</v>
      </c>
      <c r="B1022" s="230">
        <v>46053</v>
      </c>
      <c r="C1022" s="227" t="s">
        <v>92</v>
      </c>
      <c r="D1022" s="227" t="s">
        <v>97</v>
      </c>
      <c r="E1022" s="227" t="s">
        <v>53</v>
      </c>
      <c r="F1022" s="227" t="s">
        <v>120</v>
      </c>
      <c r="G1022" s="227" t="s">
        <v>84</v>
      </c>
      <c r="H1022" s="231">
        <v>1</v>
      </c>
      <c r="I1022" s="232">
        <v>0</v>
      </c>
      <c r="J1022" s="230">
        <v>46049</v>
      </c>
      <c r="K1022" s="227" t="s">
        <v>93</v>
      </c>
      <c r="L1022" s="227" t="s">
        <v>94</v>
      </c>
      <c r="M1022" s="233">
        <v>0</v>
      </c>
      <c r="N1022" s="231"/>
      <c r="O1022" s="231"/>
      <c r="P1022" s="234">
        <v>-56</v>
      </c>
    </row>
    <row r="1023" spans="1:16" ht="19.5" customHeight="1">
      <c r="A1023" s="227" t="s">
        <v>1329</v>
      </c>
      <c r="B1023" s="230">
        <v>46053</v>
      </c>
      <c r="C1023" s="227" t="s">
        <v>92</v>
      </c>
      <c r="D1023" s="227" t="s">
        <v>24</v>
      </c>
      <c r="E1023" s="227" t="s">
        <v>41</v>
      </c>
      <c r="F1023" s="227" t="s">
        <v>83</v>
      </c>
      <c r="G1023" s="227" t="s">
        <v>84</v>
      </c>
      <c r="H1023" s="231">
        <v>1</v>
      </c>
      <c r="I1023" s="232">
        <v>1750</v>
      </c>
      <c r="J1023" s="230">
        <v>46050</v>
      </c>
      <c r="K1023" s="227" t="s">
        <v>93</v>
      </c>
      <c r="L1023" s="227" t="s">
        <v>94</v>
      </c>
      <c r="M1023" s="233">
        <v>0.43</v>
      </c>
      <c r="N1023" s="231"/>
      <c r="O1023" s="231">
        <v>44</v>
      </c>
      <c r="P1023" s="234">
        <v>-131.37</v>
      </c>
    </row>
    <row r="1024" spans="1:16" ht="19.5" customHeight="1">
      <c r="A1024" s="227" t="s">
        <v>1329</v>
      </c>
      <c r="B1024" s="230">
        <v>46053</v>
      </c>
      <c r="C1024" s="227" t="s">
        <v>100</v>
      </c>
      <c r="D1024" s="227" t="s">
        <v>101</v>
      </c>
      <c r="E1024" s="227" t="s">
        <v>41</v>
      </c>
      <c r="F1024" s="227" t="s">
        <v>83</v>
      </c>
      <c r="G1024" s="227" t="s">
        <v>84</v>
      </c>
      <c r="H1024" s="231">
        <v>1</v>
      </c>
      <c r="I1024" s="232">
        <v>1750</v>
      </c>
      <c r="J1024" s="230">
        <v>46050</v>
      </c>
      <c r="K1024" s="227" t="s">
        <v>93</v>
      </c>
      <c r="L1024" s="227" t="s">
        <v>94</v>
      </c>
      <c r="M1024" s="233">
        <v>0</v>
      </c>
      <c r="N1024" s="231"/>
      <c r="O1024" s="231"/>
      <c r="P1024" s="234">
        <v>608.94000000000005</v>
      </c>
    </row>
    <row r="1025" spans="1:16" ht="19.5" customHeight="1">
      <c r="A1025" s="227" t="s">
        <v>1329</v>
      </c>
      <c r="B1025" s="230">
        <v>46053</v>
      </c>
      <c r="C1025" s="227" t="s">
        <v>100</v>
      </c>
      <c r="D1025" s="227" t="s">
        <v>102</v>
      </c>
      <c r="E1025" s="227" t="s">
        <v>41</v>
      </c>
      <c r="F1025" s="227" t="s">
        <v>83</v>
      </c>
      <c r="G1025" s="227" t="s">
        <v>84</v>
      </c>
      <c r="H1025" s="231">
        <v>1</v>
      </c>
      <c r="I1025" s="232">
        <v>1750</v>
      </c>
      <c r="J1025" s="230">
        <v>46050</v>
      </c>
      <c r="K1025" s="227" t="s">
        <v>93</v>
      </c>
      <c r="L1025" s="227" t="s">
        <v>94</v>
      </c>
      <c r="M1025" s="233">
        <v>0</v>
      </c>
      <c r="N1025" s="231"/>
      <c r="O1025" s="231"/>
      <c r="P1025" s="234">
        <v>6.09</v>
      </c>
    </row>
    <row r="1026" spans="1:16" ht="19.5" customHeight="1">
      <c r="A1026" s="227" t="s">
        <v>1329</v>
      </c>
      <c r="B1026" s="230">
        <v>46053</v>
      </c>
      <c r="C1026" s="227" t="s">
        <v>100</v>
      </c>
      <c r="D1026" s="227" t="s">
        <v>103</v>
      </c>
      <c r="E1026" s="227" t="s">
        <v>41</v>
      </c>
      <c r="F1026" s="227" t="s">
        <v>83</v>
      </c>
      <c r="G1026" s="227" t="s">
        <v>84</v>
      </c>
      <c r="H1026" s="231">
        <v>1</v>
      </c>
      <c r="I1026" s="232">
        <v>1750</v>
      </c>
      <c r="J1026" s="230">
        <v>46050</v>
      </c>
      <c r="K1026" s="227" t="s">
        <v>93</v>
      </c>
      <c r="L1026" s="227" t="s">
        <v>94</v>
      </c>
      <c r="M1026" s="233">
        <v>0</v>
      </c>
      <c r="N1026" s="231"/>
      <c r="O1026" s="231"/>
      <c r="P1026" s="234">
        <v>1134.97</v>
      </c>
    </row>
    <row r="1027" spans="1:16" ht="19.5" customHeight="1">
      <c r="A1027" s="227" t="s">
        <v>1329</v>
      </c>
      <c r="B1027" s="230">
        <v>46053</v>
      </c>
      <c r="C1027" s="227" t="s">
        <v>104</v>
      </c>
      <c r="D1027" s="227" t="s">
        <v>105</v>
      </c>
      <c r="E1027" s="227" t="s">
        <v>41</v>
      </c>
      <c r="F1027" s="227" t="s">
        <v>83</v>
      </c>
      <c r="G1027" s="227" t="s">
        <v>84</v>
      </c>
      <c r="H1027" s="231">
        <v>1</v>
      </c>
      <c r="I1027" s="232">
        <v>1750</v>
      </c>
      <c r="J1027" s="230">
        <v>46050</v>
      </c>
      <c r="K1027" s="227" t="s">
        <v>93</v>
      </c>
      <c r="L1027" s="227" t="s">
        <v>94</v>
      </c>
      <c r="M1027" s="233">
        <v>0.43</v>
      </c>
      <c r="N1027" s="231"/>
      <c r="O1027" s="231"/>
      <c r="P1027" s="234">
        <v>-752.5</v>
      </c>
    </row>
    <row r="1028" spans="1:16" ht="19.5" customHeight="1">
      <c r="A1028" s="227" t="s">
        <v>1330</v>
      </c>
      <c r="B1028" s="230">
        <v>46053</v>
      </c>
      <c r="C1028" s="227" t="s">
        <v>81</v>
      </c>
      <c r="D1028" s="227" t="s">
        <v>82</v>
      </c>
      <c r="E1028" s="227" t="s">
        <v>52</v>
      </c>
      <c r="F1028" s="227" t="s">
        <v>90</v>
      </c>
      <c r="G1028" s="227" t="s">
        <v>84</v>
      </c>
      <c r="H1028" s="231">
        <v>1</v>
      </c>
      <c r="I1028" s="232">
        <v>0</v>
      </c>
      <c r="J1028" s="230">
        <v>46053</v>
      </c>
      <c r="K1028" s="227" t="s">
        <v>85</v>
      </c>
      <c r="L1028" s="227" t="s">
        <v>85</v>
      </c>
      <c r="M1028" s="233">
        <v>0</v>
      </c>
      <c r="N1028" s="231"/>
      <c r="O1028" s="231"/>
      <c r="P1028" s="234">
        <v>-11.92</v>
      </c>
    </row>
    <row r="1029" spans="1:16" ht="19.5" customHeight="1">
      <c r="A1029" s="227" t="s">
        <v>1331</v>
      </c>
      <c r="B1029" s="230">
        <v>46053</v>
      </c>
      <c r="C1029" s="227" t="s">
        <v>92</v>
      </c>
      <c r="D1029" s="227" t="s">
        <v>24</v>
      </c>
      <c r="E1029" s="227" t="s">
        <v>43</v>
      </c>
      <c r="F1029" s="227" t="s">
        <v>125</v>
      </c>
      <c r="G1029" s="227" t="s">
        <v>84</v>
      </c>
      <c r="H1029" s="231">
        <v>1</v>
      </c>
      <c r="I1029" s="232">
        <v>0</v>
      </c>
      <c r="J1029" s="230">
        <v>46017</v>
      </c>
      <c r="K1029" s="227" t="s">
        <v>93</v>
      </c>
      <c r="L1029" s="227" t="s">
        <v>94</v>
      </c>
      <c r="M1029" s="233">
        <v>0</v>
      </c>
      <c r="N1029" s="231"/>
      <c r="O1029" s="231">
        <v>43</v>
      </c>
      <c r="P1029" s="234">
        <v>-46.77</v>
      </c>
    </row>
    <row r="1030" spans="1:16" ht="19.5" customHeight="1">
      <c r="A1030" s="227" t="s">
        <v>1331</v>
      </c>
      <c r="B1030" s="230">
        <v>46053</v>
      </c>
      <c r="C1030" s="227" t="s">
        <v>81</v>
      </c>
      <c r="D1030" s="227" t="s">
        <v>95</v>
      </c>
      <c r="E1030" s="227" t="s">
        <v>43</v>
      </c>
      <c r="F1030" s="227" t="s">
        <v>125</v>
      </c>
      <c r="G1030" s="227" t="s">
        <v>84</v>
      </c>
      <c r="H1030" s="231">
        <v>1</v>
      </c>
      <c r="I1030" s="232">
        <v>0</v>
      </c>
      <c r="J1030" s="230">
        <v>46017</v>
      </c>
      <c r="K1030" s="227" t="s">
        <v>93</v>
      </c>
      <c r="L1030" s="227" t="s">
        <v>94</v>
      </c>
      <c r="M1030" s="233">
        <v>0</v>
      </c>
      <c r="N1030" s="231"/>
      <c r="O1030" s="231"/>
      <c r="P1030" s="234">
        <v>-6.05</v>
      </c>
    </row>
    <row r="1031" spans="1:16" ht="19.5" customHeight="1">
      <c r="A1031" s="227" t="s">
        <v>1332</v>
      </c>
      <c r="B1031" s="230">
        <v>46053</v>
      </c>
      <c r="C1031" s="227" t="s">
        <v>92</v>
      </c>
      <c r="D1031" s="227" t="s">
        <v>24</v>
      </c>
      <c r="E1031" s="227" t="s">
        <v>41</v>
      </c>
      <c r="F1031" s="227" t="s">
        <v>83</v>
      </c>
      <c r="G1031" s="227" t="s">
        <v>84</v>
      </c>
      <c r="H1031" s="231">
        <v>1</v>
      </c>
      <c r="I1031" s="232">
        <v>0</v>
      </c>
      <c r="J1031" s="230">
        <v>46048</v>
      </c>
      <c r="K1031" s="227" t="s">
        <v>93</v>
      </c>
      <c r="L1031" s="227" t="s">
        <v>94</v>
      </c>
      <c r="M1031" s="233">
        <v>0</v>
      </c>
      <c r="N1031" s="231"/>
      <c r="O1031" s="231">
        <v>44</v>
      </c>
      <c r="P1031" s="234">
        <v>-46.77</v>
      </c>
    </row>
    <row r="1032" spans="1:16" ht="19.5" customHeight="1">
      <c r="A1032" s="227" t="s">
        <v>1332</v>
      </c>
      <c r="B1032" s="230">
        <v>46053</v>
      </c>
      <c r="C1032" s="227" t="s">
        <v>81</v>
      </c>
      <c r="D1032" s="227" t="s">
        <v>95</v>
      </c>
      <c r="E1032" s="227" t="s">
        <v>41</v>
      </c>
      <c r="F1032" s="227" t="s">
        <v>83</v>
      </c>
      <c r="G1032" s="227" t="s">
        <v>84</v>
      </c>
      <c r="H1032" s="231">
        <v>1</v>
      </c>
      <c r="I1032" s="232">
        <v>0</v>
      </c>
      <c r="J1032" s="230">
        <v>46048</v>
      </c>
      <c r="K1032" s="227" t="s">
        <v>93</v>
      </c>
      <c r="L1032" s="227" t="s">
        <v>94</v>
      </c>
      <c r="M1032" s="233">
        <v>0</v>
      </c>
      <c r="N1032" s="231"/>
      <c r="O1032" s="231"/>
      <c r="P1032" s="234">
        <v>-8.9499999999999993</v>
      </c>
    </row>
    <row r="1033" spans="1:16" ht="19.5" customHeight="1">
      <c r="A1033" s="227" t="s">
        <v>1332</v>
      </c>
      <c r="B1033" s="230">
        <v>46053</v>
      </c>
      <c r="C1033" s="227" t="s">
        <v>92</v>
      </c>
      <c r="D1033" s="227" t="s">
        <v>96</v>
      </c>
      <c r="E1033" s="227" t="s">
        <v>41</v>
      </c>
      <c r="F1033" s="227" t="s">
        <v>83</v>
      </c>
      <c r="G1033" s="227" t="s">
        <v>84</v>
      </c>
      <c r="H1033" s="231">
        <v>1</v>
      </c>
      <c r="I1033" s="232">
        <v>0</v>
      </c>
      <c r="J1033" s="230">
        <v>46048</v>
      </c>
      <c r="K1033" s="227" t="s">
        <v>93</v>
      </c>
      <c r="L1033" s="227" t="s">
        <v>94</v>
      </c>
      <c r="M1033" s="233">
        <v>0</v>
      </c>
      <c r="N1033" s="231"/>
      <c r="O1033" s="231"/>
      <c r="P1033" s="234">
        <v>0</v>
      </c>
    </row>
    <row r="1034" spans="1:16" ht="19.5" customHeight="1">
      <c r="A1034" s="227" t="s">
        <v>1332</v>
      </c>
      <c r="B1034" s="230">
        <v>46053</v>
      </c>
      <c r="C1034" s="227" t="s">
        <v>92</v>
      </c>
      <c r="D1034" s="227" t="s">
        <v>97</v>
      </c>
      <c r="E1034" s="227" t="s">
        <v>41</v>
      </c>
      <c r="F1034" s="227" t="s">
        <v>83</v>
      </c>
      <c r="G1034" s="227" t="s">
        <v>84</v>
      </c>
      <c r="H1034" s="231">
        <v>1</v>
      </c>
      <c r="I1034" s="232">
        <v>0</v>
      </c>
      <c r="J1034" s="230">
        <v>46048</v>
      </c>
      <c r="K1034" s="227" t="s">
        <v>93</v>
      </c>
      <c r="L1034" s="227" t="s">
        <v>94</v>
      </c>
      <c r="M1034" s="233">
        <v>0</v>
      </c>
      <c r="N1034" s="231"/>
      <c r="O1034" s="231"/>
      <c r="P1034" s="234">
        <v>-46.77</v>
      </c>
    </row>
    <row r="1035" spans="1:16" ht="19.5" customHeight="1">
      <c r="A1035" s="227" t="s">
        <v>1332</v>
      </c>
      <c r="B1035" s="230">
        <v>46053</v>
      </c>
      <c r="C1035" s="227" t="s">
        <v>81</v>
      </c>
      <c r="D1035" s="227" t="s">
        <v>98</v>
      </c>
      <c r="E1035" s="227" t="s">
        <v>41</v>
      </c>
      <c r="F1035" s="227" t="s">
        <v>83</v>
      </c>
      <c r="G1035" s="227" t="s">
        <v>84</v>
      </c>
      <c r="H1035" s="231">
        <v>1</v>
      </c>
      <c r="I1035" s="232">
        <v>0</v>
      </c>
      <c r="J1035" s="230">
        <v>46048</v>
      </c>
      <c r="K1035" s="227" t="s">
        <v>93</v>
      </c>
      <c r="L1035" s="227" t="s">
        <v>94</v>
      </c>
      <c r="M1035" s="233">
        <v>0</v>
      </c>
      <c r="N1035" s="231"/>
      <c r="O1035" s="231"/>
      <c r="P1035" s="234">
        <v>-15</v>
      </c>
    </row>
    <row r="1036" spans="1:16" ht="19.5" customHeight="1">
      <c r="A1036" s="227" t="s">
        <v>1331</v>
      </c>
      <c r="B1036" s="230">
        <v>46053</v>
      </c>
      <c r="C1036" s="227" t="s">
        <v>92</v>
      </c>
      <c r="D1036" s="227" t="s">
        <v>96</v>
      </c>
      <c r="E1036" s="227" t="s">
        <v>43</v>
      </c>
      <c r="F1036" s="227" t="s">
        <v>125</v>
      </c>
      <c r="G1036" s="227" t="s">
        <v>84</v>
      </c>
      <c r="H1036" s="231">
        <v>1</v>
      </c>
      <c r="I1036" s="232">
        <v>0</v>
      </c>
      <c r="J1036" s="230">
        <v>46017</v>
      </c>
      <c r="K1036" s="227" t="s">
        <v>93</v>
      </c>
      <c r="L1036" s="227" t="s">
        <v>94</v>
      </c>
      <c r="M1036" s="233">
        <v>0</v>
      </c>
      <c r="N1036" s="231"/>
      <c r="O1036" s="231"/>
      <c r="P1036" s="234">
        <v>0</v>
      </c>
    </row>
    <row r="1037" spans="1:16" ht="19.5" customHeight="1">
      <c r="A1037" s="227" t="s">
        <v>1331</v>
      </c>
      <c r="B1037" s="230">
        <v>46053</v>
      </c>
      <c r="C1037" s="227" t="s">
        <v>92</v>
      </c>
      <c r="D1037" s="227" t="s">
        <v>97</v>
      </c>
      <c r="E1037" s="227" t="s">
        <v>43</v>
      </c>
      <c r="F1037" s="227" t="s">
        <v>125</v>
      </c>
      <c r="G1037" s="227" t="s">
        <v>84</v>
      </c>
      <c r="H1037" s="231">
        <v>1</v>
      </c>
      <c r="I1037" s="232">
        <v>0</v>
      </c>
      <c r="J1037" s="230">
        <v>46017</v>
      </c>
      <c r="K1037" s="227" t="s">
        <v>93</v>
      </c>
      <c r="L1037" s="227" t="s">
        <v>94</v>
      </c>
      <c r="M1037" s="233">
        <v>0</v>
      </c>
      <c r="N1037" s="231"/>
      <c r="O1037" s="231"/>
      <c r="P1037" s="234">
        <v>-46.77</v>
      </c>
    </row>
    <row r="1038" spans="1:16" ht="19.5" customHeight="1">
      <c r="A1038" s="227" t="s">
        <v>1333</v>
      </c>
      <c r="B1038" s="230">
        <v>46053</v>
      </c>
      <c r="C1038" s="227" t="s">
        <v>92</v>
      </c>
      <c r="D1038" s="227" t="s">
        <v>24</v>
      </c>
      <c r="E1038" s="227" t="s">
        <v>53</v>
      </c>
      <c r="F1038" s="227" t="s">
        <v>120</v>
      </c>
      <c r="G1038" s="227" t="s">
        <v>84</v>
      </c>
      <c r="H1038" s="231">
        <v>1</v>
      </c>
      <c r="I1038" s="232">
        <v>0</v>
      </c>
      <c r="J1038" s="230">
        <v>46045</v>
      </c>
      <c r="K1038" s="227" t="s">
        <v>93</v>
      </c>
      <c r="L1038" s="227" t="s">
        <v>94</v>
      </c>
      <c r="M1038" s="233">
        <v>0</v>
      </c>
      <c r="N1038" s="231"/>
      <c r="O1038" s="231">
        <v>40</v>
      </c>
      <c r="P1038" s="234">
        <v>-56</v>
      </c>
    </row>
    <row r="1039" spans="1:16" ht="19.5" customHeight="1">
      <c r="A1039" s="227" t="s">
        <v>1333</v>
      </c>
      <c r="B1039" s="230">
        <v>46053</v>
      </c>
      <c r="C1039" s="227" t="s">
        <v>81</v>
      </c>
      <c r="D1039" s="227" t="s">
        <v>95</v>
      </c>
      <c r="E1039" s="227" t="s">
        <v>53</v>
      </c>
      <c r="F1039" s="227" t="s">
        <v>120</v>
      </c>
      <c r="G1039" s="227" t="s">
        <v>84</v>
      </c>
      <c r="H1039" s="231">
        <v>1</v>
      </c>
      <c r="I1039" s="232">
        <v>0</v>
      </c>
      <c r="J1039" s="230">
        <v>46045</v>
      </c>
      <c r="K1039" s="227" t="s">
        <v>93</v>
      </c>
      <c r="L1039" s="227" t="s">
        <v>94</v>
      </c>
      <c r="M1039" s="233">
        <v>0</v>
      </c>
      <c r="N1039" s="231"/>
      <c r="O1039" s="231"/>
      <c r="P1039" s="234">
        <v>-9.6999999999999993</v>
      </c>
    </row>
    <row r="1040" spans="1:16" ht="19.5" customHeight="1">
      <c r="A1040" s="227" t="s">
        <v>1333</v>
      </c>
      <c r="B1040" s="230">
        <v>46053</v>
      </c>
      <c r="C1040" s="227" t="s">
        <v>92</v>
      </c>
      <c r="D1040" s="227" t="s">
        <v>96</v>
      </c>
      <c r="E1040" s="227" t="s">
        <v>53</v>
      </c>
      <c r="F1040" s="227" t="s">
        <v>120</v>
      </c>
      <c r="G1040" s="227" t="s">
        <v>84</v>
      </c>
      <c r="H1040" s="231">
        <v>1</v>
      </c>
      <c r="I1040" s="232">
        <v>0</v>
      </c>
      <c r="J1040" s="230">
        <v>46045</v>
      </c>
      <c r="K1040" s="227" t="s">
        <v>93</v>
      </c>
      <c r="L1040" s="227" t="s">
        <v>94</v>
      </c>
      <c r="M1040" s="233">
        <v>0</v>
      </c>
      <c r="N1040" s="231"/>
      <c r="O1040" s="231"/>
      <c r="P1040" s="234">
        <v>0</v>
      </c>
    </row>
    <row r="1041" spans="1:16" ht="19.5" customHeight="1">
      <c r="A1041" s="227" t="s">
        <v>1333</v>
      </c>
      <c r="B1041" s="230">
        <v>46053</v>
      </c>
      <c r="C1041" s="227" t="s">
        <v>92</v>
      </c>
      <c r="D1041" s="227" t="s">
        <v>97</v>
      </c>
      <c r="E1041" s="227" t="s">
        <v>53</v>
      </c>
      <c r="F1041" s="227" t="s">
        <v>120</v>
      </c>
      <c r="G1041" s="227" t="s">
        <v>84</v>
      </c>
      <c r="H1041" s="231">
        <v>1</v>
      </c>
      <c r="I1041" s="232">
        <v>0</v>
      </c>
      <c r="J1041" s="230">
        <v>46045</v>
      </c>
      <c r="K1041" s="227" t="s">
        <v>93</v>
      </c>
      <c r="L1041" s="227" t="s">
        <v>94</v>
      </c>
      <c r="M1041" s="233">
        <v>0</v>
      </c>
      <c r="N1041" s="231"/>
      <c r="O1041" s="231"/>
      <c r="P1041" s="234">
        <v>-56</v>
      </c>
    </row>
    <row r="1042" spans="1:16" ht="19.5" customHeight="1">
      <c r="A1042" s="227" t="s">
        <v>1333</v>
      </c>
      <c r="B1042" s="230">
        <v>46053</v>
      </c>
      <c r="C1042" s="227" t="s">
        <v>81</v>
      </c>
      <c r="D1042" s="227" t="s">
        <v>98</v>
      </c>
      <c r="E1042" s="227" t="s">
        <v>53</v>
      </c>
      <c r="F1042" s="227" t="s">
        <v>120</v>
      </c>
      <c r="G1042" s="227" t="s">
        <v>84</v>
      </c>
      <c r="H1042" s="231">
        <v>1</v>
      </c>
      <c r="I1042" s="232">
        <v>0</v>
      </c>
      <c r="J1042" s="230">
        <v>46045</v>
      </c>
      <c r="K1042" s="227" t="s">
        <v>93</v>
      </c>
      <c r="L1042" s="227" t="s">
        <v>94</v>
      </c>
      <c r="M1042" s="233">
        <v>0</v>
      </c>
      <c r="N1042" s="231"/>
      <c r="O1042" s="231"/>
      <c r="P1042" s="234">
        <v>-15</v>
      </c>
    </row>
    <row r="1043" spans="1:16" ht="19.5" customHeight="1">
      <c r="A1043" s="227" t="s">
        <v>1334</v>
      </c>
      <c r="B1043" s="230">
        <v>46053</v>
      </c>
      <c r="C1043" s="227" t="s">
        <v>92</v>
      </c>
      <c r="D1043" s="227" t="s">
        <v>24</v>
      </c>
      <c r="E1043" s="227" t="s">
        <v>41</v>
      </c>
      <c r="F1043" s="227" t="s">
        <v>83</v>
      </c>
      <c r="G1043" s="227" t="s">
        <v>84</v>
      </c>
      <c r="H1043" s="231">
        <v>1</v>
      </c>
      <c r="I1043" s="232">
        <v>1750</v>
      </c>
      <c r="J1043" s="230">
        <v>46052</v>
      </c>
      <c r="K1043" s="227" t="s">
        <v>93</v>
      </c>
      <c r="L1043" s="227" t="s">
        <v>94</v>
      </c>
      <c r="M1043" s="233">
        <v>0.43</v>
      </c>
      <c r="N1043" s="231"/>
      <c r="O1043" s="231">
        <v>44</v>
      </c>
      <c r="P1043" s="234">
        <v>-130.11000000000001</v>
      </c>
    </row>
    <row r="1044" spans="1:16" ht="19.5" customHeight="1">
      <c r="A1044" s="227" t="s">
        <v>1334</v>
      </c>
      <c r="B1044" s="230">
        <v>46053</v>
      </c>
      <c r="C1044" s="227" t="s">
        <v>100</v>
      </c>
      <c r="D1044" s="227" t="s">
        <v>101</v>
      </c>
      <c r="E1044" s="227" t="s">
        <v>41</v>
      </c>
      <c r="F1044" s="227" t="s">
        <v>83</v>
      </c>
      <c r="G1044" s="227" t="s">
        <v>84</v>
      </c>
      <c r="H1044" s="231">
        <v>1</v>
      </c>
      <c r="I1044" s="232">
        <v>1750</v>
      </c>
      <c r="J1044" s="230">
        <v>46052</v>
      </c>
      <c r="K1044" s="227" t="s">
        <v>93</v>
      </c>
      <c r="L1044" s="227" t="s">
        <v>94</v>
      </c>
      <c r="M1044" s="233">
        <v>0</v>
      </c>
      <c r="N1044" s="231"/>
      <c r="O1044" s="231"/>
      <c r="P1044" s="234">
        <v>609.52</v>
      </c>
    </row>
    <row r="1045" spans="1:16" ht="19.5" customHeight="1">
      <c r="A1045" s="227" t="s">
        <v>1334</v>
      </c>
      <c r="B1045" s="230">
        <v>46053</v>
      </c>
      <c r="C1045" s="227" t="s">
        <v>100</v>
      </c>
      <c r="D1045" s="227" t="s">
        <v>102</v>
      </c>
      <c r="E1045" s="227" t="s">
        <v>41</v>
      </c>
      <c r="F1045" s="227" t="s">
        <v>83</v>
      </c>
      <c r="G1045" s="227" t="s">
        <v>84</v>
      </c>
      <c r="H1045" s="231">
        <v>1</v>
      </c>
      <c r="I1045" s="232">
        <v>1750</v>
      </c>
      <c r="J1045" s="230">
        <v>46052</v>
      </c>
      <c r="K1045" s="227" t="s">
        <v>93</v>
      </c>
      <c r="L1045" s="227" t="s">
        <v>94</v>
      </c>
      <c r="M1045" s="233">
        <v>0</v>
      </c>
      <c r="N1045" s="231"/>
      <c r="O1045" s="231"/>
      <c r="P1045" s="234">
        <v>6.1</v>
      </c>
    </row>
    <row r="1046" spans="1:16" ht="19.5" customHeight="1">
      <c r="A1046" s="227" t="s">
        <v>1334</v>
      </c>
      <c r="B1046" s="230">
        <v>46053</v>
      </c>
      <c r="C1046" s="227" t="s">
        <v>100</v>
      </c>
      <c r="D1046" s="227" t="s">
        <v>103</v>
      </c>
      <c r="E1046" s="227" t="s">
        <v>41</v>
      </c>
      <c r="F1046" s="227" t="s">
        <v>83</v>
      </c>
      <c r="G1046" s="227" t="s">
        <v>84</v>
      </c>
      <c r="H1046" s="231">
        <v>1</v>
      </c>
      <c r="I1046" s="232">
        <v>1750</v>
      </c>
      <c r="J1046" s="230">
        <v>46052</v>
      </c>
      <c r="K1046" s="227" t="s">
        <v>93</v>
      </c>
      <c r="L1046" s="227" t="s">
        <v>94</v>
      </c>
      <c r="M1046" s="233">
        <v>0</v>
      </c>
      <c r="N1046" s="231"/>
      <c r="O1046" s="231"/>
      <c r="P1046" s="234">
        <v>1134.3800000000001</v>
      </c>
    </row>
    <row r="1047" spans="1:16" ht="19.5" customHeight="1">
      <c r="A1047" s="227" t="s">
        <v>1334</v>
      </c>
      <c r="B1047" s="230">
        <v>46053</v>
      </c>
      <c r="C1047" s="227" t="s">
        <v>104</v>
      </c>
      <c r="D1047" s="227" t="s">
        <v>105</v>
      </c>
      <c r="E1047" s="227" t="s">
        <v>41</v>
      </c>
      <c r="F1047" s="227" t="s">
        <v>83</v>
      </c>
      <c r="G1047" s="227" t="s">
        <v>84</v>
      </c>
      <c r="H1047" s="231">
        <v>1</v>
      </c>
      <c r="I1047" s="232">
        <v>1750</v>
      </c>
      <c r="J1047" s="230">
        <v>46052</v>
      </c>
      <c r="K1047" s="227" t="s">
        <v>93</v>
      </c>
      <c r="L1047" s="227" t="s">
        <v>94</v>
      </c>
      <c r="M1047" s="233">
        <v>0.43</v>
      </c>
      <c r="N1047" s="231"/>
      <c r="O1047" s="231"/>
      <c r="P1047" s="234">
        <v>-752.5</v>
      </c>
    </row>
    <row r="1048" spans="1:16" ht="19.5" customHeight="1">
      <c r="A1048" s="227" t="s">
        <v>1334</v>
      </c>
      <c r="B1048" s="230">
        <v>46053</v>
      </c>
      <c r="C1048" s="227" t="s">
        <v>81</v>
      </c>
      <c r="D1048" s="227" t="s">
        <v>95</v>
      </c>
      <c r="E1048" s="227" t="s">
        <v>41</v>
      </c>
      <c r="F1048" s="227" t="s">
        <v>83</v>
      </c>
      <c r="G1048" s="227" t="s">
        <v>84</v>
      </c>
      <c r="H1048" s="231">
        <v>1</v>
      </c>
      <c r="I1048" s="232">
        <v>1750</v>
      </c>
      <c r="J1048" s="230">
        <v>46052</v>
      </c>
      <c r="K1048" s="227" t="s">
        <v>93</v>
      </c>
      <c r="L1048" s="227" t="s">
        <v>94</v>
      </c>
      <c r="M1048" s="233">
        <v>0.43</v>
      </c>
      <c r="N1048" s="231"/>
      <c r="O1048" s="231"/>
      <c r="P1048" s="234">
        <v>-15.81</v>
      </c>
    </row>
    <row r="1049" spans="1:16" ht="19.5" customHeight="1">
      <c r="A1049" s="227" t="s">
        <v>1335</v>
      </c>
      <c r="B1049" s="230">
        <v>46053</v>
      </c>
      <c r="C1049" s="227" t="s">
        <v>92</v>
      </c>
      <c r="D1049" s="227" t="s">
        <v>24</v>
      </c>
      <c r="E1049" s="227" t="s">
        <v>53</v>
      </c>
      <c r="F1049" s="227" t="s">
        <v>120</v>
      </c>
      <c r="G1049" s="227" t="s">
        <v>84</v>
      </c>
      <c r="H1049" s="231">
        <v>1</v>
      </c>
      <c r="I1049" s="232">
        <v>1812</v>
      </c>
      <c r="J1049" s="230">
        <v>46049</v>
      </c>
      <c r="K1049" s="227" t="s">
        <v>93</v>
      </c>
      <c r="L1049" s="227" t="s">
        <v>94</v>
      </c>
      <c r="M1049" s="233">
        <v>0.43</v>
      </c>
      <c r="N1049" s="231"/>
      <c r="O1049" s="231">
        <v>45</v>
      </c>
      <c r="P1049" s="234">
        <v>-154.32</v>
      </c>
    </row>
    <row r="1050" spans="1:16" ht="19.5" customHeight="1">
      <c r="A1050" s="227" t="s">
        <v>1335</v>
      </c>
      <c r="B1050" s="230">
        <v>46053</v>
      </c>
      <c r="C1050" s="227" t="s">
        <v>100</v>
      </c>
      <c r="D1050" s="227" t="s">
        <v>101</v>
      </c>
      <c r="E1050" s="227" t="s">
        <v>53</v>
      </c>
      <c r="F1050" s="227" t="s">
        <v>120</v>
      </c>
      <c r="G1050" s="227" t="s">
        <v>84</v>
      </c>
      <c r="H1050" s="231">
        <v>1</v>
      </c>
      <c r="I1050" s="232">
        <v>1812</v>
      </c>
      <c r="J1050" s="230">
        <v>46049</v>
      </c>
      <c r="K1050" s="227" t="s">
        <v>93</v>
      </c>
      <c r="L1050" s="227" t="s">
        <v>94</v>
      </c>
      <c r="M1050" s="233">
        <v>0</v>
      </c>
      <c r="N1050" s="231"/>
      <c r="O1050" s="231"/>
      <c r="P1050" s="234">
        <v>687.2</v>
      </c>
    </row>
    <row r="1051" spans="1:16" ht="19.5" customHeight="1">
      <c r="A1051" s="227" t="s">
        <v>1335</v>
      </c>
      <c r="B1051" s="230">
        <v>46053</v>
      </c>
      <c r="C1051" s="227" t="s">
        <v>100</v>
      </c>
      <c r="D1051" s="227" t="s">
        <v>102</v>
      </c>
      <c r="E1051" s="227" t="s">
        <v>53</v>
      </c>
      <c r="F1051" s="227" t="s">
        <v>120</v>
      </c>
      <c r="G1051" s="227" t="s">
        <v>84</v>
      </c>
      <c r="H1051" s="231">
        <v>1</v>
      </c>
      <c r="I1051" s="232">
        <v>1812</v>
      </c>
      <c r="J1051" s="230">
        <v>46049</v>
      </c>
      <c r="K1051" s="227" t="s">
        <v>93</v>
      </c>
      <c r="L1051" s="227" t="s">
        <v>94</v>
      </c>
      <c r="M1051" s="233">
        <v>0</v>
      </c>
      <c r="N1051" s="231"/>
      <c r="O1051" s="231"/>
      <c r="P1051" s="234">
        <v>0</v>
      </c>
    </row>
    <row r="1052" spans="1:16" ht="19.5" customHeight="1">
      <c r="A1052" s="227" t="s">
        <v>1335</v>
      </c>
      <c r="B1052" s="230">
        <v>46053</v>
      </c>
      <c r="C1052" s="227" t="s">
        <v>100</v>
      </c>
      <c r="D1052" s="227" t="s">
        <v>103</v>
      </c>
      <c r="E1052" s="227" t="s">
        <v>53</v>
      </c>
      <c r="F1052" s="227" t="s">
        <v>120</v>
      </c>
      <c r="G1052" s="227" t="s">
        <v>84</v>
      </c>
      <c r="H1052" s="231">
        <v>1</v>
      </c>
      <c r="I1052" s="232">
        <v>1812</v>
      </c>
      <c r="J1052" s="230">
        <v>46049</v>
      </c>
      <c r="K1052" s="227" t="s">
        <v>93</v>
      </c>
      <c r="L1052" s="227" t="s">
        <v>94</v>
      </c>
      <c r="M1052" s="233">
        <v>0</v>
      </c>
      <c r="N1052" s="231"/>
      <c r="O1052" s="231"/>
      <c r="P1052" s="234">
        <v>1124.8</v>
      </c>
    </row>
    <row r="1053" spans="1:16" ht="19.5" customHeight="1">
      <c r="A1053" s="227" t="s">
        <v>1335</v>
      </c>
      <c r="B1053" s="230">
        <v>46053</v>
      </c>
      <c r="C1053" s="227" t="s">
        <v>104</v>
      </c>
      <c r="D1053" s="227" t="s">
        <v>105</v>
      </c>
      <c r="E1053" s="227" t="s">
        <v>53</v>
      </c>
      <c r="F1053" s="227" t="s">
        <v>120</v>
      </c>
      <c r="G1053" s="227" t="s">
        <v>84</v>
      </c>
      <c r="H1053" s="231">
        <v>1</v>
      </c>
      <c r="I1053" s="232">
        <v>1812</v>
      </c>
      <c r="J1053" s="230">
        <v>46049</v>
      </c>
      <c r="K1053" s="227" t="s">
        <v>93</v>
      </c>
      <c r="L1053" s="227" t="s">
        <v>94</v>
      </c>
      <c r="M1053" s="233">
        <v>0.43</v>
      </c>
      <c r="N1053" s="231"/>
      <c r="O1053" s="231"/>
      <c r="P1053" s="234">
        <v>-779.16</v>
      </c>
    </row>
    <row r="1054" spans="1:16" ht="19.5" customHeight="1">
      <c r="A1054" s="227" t="s">
        <v>1335</v>
      </c>
      <c r="B1054" s="230">
        <v>46053</v>
      </c>
      <c r="C1054" s="227" t="s">
        <v>81</v>
      </c>
      <c r="D1054" s="227" t="s">
        <v>95</v>
      </c>
      <c r="E1054" s="227" t="s">
        <v>53</v>
      </c>
      <c r="F1054" s="227" t="s">
        <v>120</v>
      </c>
      <c r="G1054" s="227" t="s">
        <v>84</v>
      </c>
      <c r="H1054" s="231">
        <v>1</v>
      </c>
      <c r="I1054" s="232">
        <v>1812</v>
      </c>
      <c r="J1054" s="230">
        <v>46049</v>
      </c>
      <c r="K1054" s="227" t="s">
        <v>93</v>
      </c>
      <c r="L1054" s="227" t="s">
        <v>94</v>
      </c>
      <c r="M1054" s="233">
        <v>0.43</v>
      </c>
      <c r="N1054" s="231"/>
      <c r="O1054" s="231"/>
      <c r="P1054" s="234">
        <v>-10.01</v>
      </c>
    </row>
    <row r="1055" spans="1:16" ht="19.5" customHeight="1">
      <c r="A1055" s="227" t="s">
        <v>1336</v>
      </c>
      <c r="B1055" s="230">
        <v>46053</v>
      </c>
      <c r="C1055" s="227" t="s">
        <v>92</v>
      </c>
      <c r="D1055" s="227" t="s">
        <v>24</v>
      </c>
      <c r="E1055" s="227" t="s">
        <v>53</v>
      </c>
      <c r="F1055" s="227" t="s">
        <v>120</v>
      </c>
      <c r="G1055" s="227" t="s">
        <v>84</v>
      </c>
      <c r="H1055" s="231">
        <v>1</v>
      </c>
      <c r="I1055" s="232">
        <v>1812</v>
      </c>
      <c r="J1055" s="230">
        <v>46045</v>
      </c>
      <c r="K1055" s="227" t="s">
        <v>93</v>
      </c>
      <c r="L1055" s="227" t="s">
        <v>94</v>
      </c>
      <c r="M1055" s="233">
        <v>0.43</v>
      </c>
      <c r="N1055" s="231"/>
      <c r="O1055" s="231">
        <v>40</v>
      </c>
      <c r="P1055" s="234">
        <v>-130.77000000000001</v>
      </c>
    </row>
    <row r="1056" spans="1:16" ht="19.5" customHeight="1">
      <c r="A1056" s="227" t="s">
        <v>1336</v>
      </c>
      <c r="B1056" s="230">
        <v>46053</v>
      </c>
      <c r="C1056" s="227" t="s">
        <v>100</v>
      </c>
      <c r="D1056" s="227" t="s">
        <v>101</v>
      </c>
      <c r="E1056" s="227" t="s">
        <v>53</v>
      </c>
      <c r="F1056" s="227" t="s">
        <v>120</v>
      </c>
      <c r="G1056" s="227" t="s">
        <v>84</v>
      </c>
      <c r="H1056" s="231">
        <v>1</v>
      </c>
      <c r="I1056" s="232">
        <v>1812</v>
      </c>
      <c r="J1056" s="230">
        <v>46045</v>
      </c>
      <c r="K1056" s="227" t="s">
        <v>93</v>
      </c>
      <c r="L1056" s="227" t="s">
        <v>94</v>
      </c>
      <c r="M1056" s="233">
        <v>0</v>
      </c>
      <c r="N1056" s="231"/>
      <c r="O1056" s="231"/>
      <c r="P1056" s="234">
        <v>683.41</v>
      </c>
    </row>
    <row r="1057" spans="1:16" ht="19.5" customHeight="1">
      <c r="A1057" s="227" t="s">
        <v>1336</v>
      </c>
      <c r="B1057" s="230">
        <v>46053</v>
      </c>
      <c r="C1057" s="227" t="s">
        <v>100</v>
      </c>
      <c r="D1057" s="227" t="s">
        <v>102</v>
      </c>
      <c r="E1057" s="227" t="s">
        <v>53</v>
      </c>
      <c r="F1057" s="227" t="s">
        <v>120</v>
      </c>
      <c r="G1057" s="227" t="s">
        <v>84</v>
      </c>
      <c r="H1057" s="231">
        <v>1</v>
      </c>
      <c r="I1057" s="232">
        <v>1812</v>
      </c>
      <c r="J1057" s="230">
        <v>46045</v>
      </c>
      <c r="K1057" s="227" t="s">
        <v>93</v>
      </c>
      <c r="L1057" s="227" t="s">
        <v>94</v>
      </c>
      <c r="M1057" s="233">
        <v>0</v>
      </c>
      <c r="N1057" s="231"/>
      <c r="O1057" s="231"/>
      <c r="P1057" s="234">
        <v>6.83</v>
      </c>
    </row>
    <row r="1058" spans="1:16" ht="19.5" customHeight="1">
      <c r="A1058" s="227" t="s">
        <v>1336</v>
      </c>
      <c r="B1058" s="230">
        <v>46053</v>
      </c>
      <c r="C1058" s="227" t="s">
        <v>100</v>
      </c>
      <c r="D1058" s="227" t="s">
        <v>103</v>
      </c>
      <c r="E1058" s="227" t="s">
        <v>53</v>
      </c>
      <c r="F1058" s="227" t="s">
        <v>120</v>
      </c>
      <c r="G1058" s="227" t="s">
        <v>84</v>
      </c>
      <c r="H1058" s="231">
        <v>1</v>
      </c>
      <c r="I1058" s="232">
        <v>1812</v>
      </c>
      <c r="J1058" s="230">
        <v>46045</v>
      </c>
      <c r="K1058" s="227" t="s">
        <v>93</v>
      </c>
      <c r="L1058" s="227" t="s">
        <v>94</v>
      </c>
      <c r="M1058" s="233">
        <v>0</v>
      </c>
      <c r="N1058" s="231"/>
      <c r="O1058" s="231"/>
      <c r="P1058" s="234">
        <v>1121.76</v>
      </c>
    </row>
    <row r="1059" spans="1:16" ht="19.5" customHeight="1">
      <c r="A1059" s="227" t="s">
        <v>1336</v>
      </c>
      <c r="B1059" s="230">
        <v>46053</v>
      </c>
      <c r="C1059" s="227" t="s">
        <v>104</v>
      </c>
      <c r="D1059" s="227" t="s">
        <v>105</v>
      </c>
      <c r="E1059" s="227" t="s">
        <v>53</v>
      </c>
      <c r="F1059" s="227" t="s">
        <v>120</v>
      </c>
      <c r="G1059" s="227" t="s">
        <v>84</v>
      </c>
      <c r="H1059" s="231">
        <v>1</v>
      </c>
      <c r="I1059" s="232">
        <v>1812</v>
      </c>
      <c r="J1059" s="230">
        <v>46045</v>
      </c>
      <c r="K1059" s="227" t="s">
        <v>93</v>
      </c>
      <c r="L1059" s="227" t="s">
        <v>94</v>
      </c>
      <c r="M1059" s="233">
        <v>0.43</v>
      </c>
      <c r="N1059" s="231"/>
      <c r="O1059" s="231"/>
      <c r="P1059" s="234">
        <v>-779.16</v>
      </c>
    </row>
    <row r="1060" spans="1:16" ht="19.5" customHeight="1">
      <c r="A1060" s="227" t="s">
        <v>1336</v>
      </c>
      <c r="B1060" s="230">
        <v>46053</v>
      </c>
      <c r="C1060" s="227" t="s">
        <v>81</v>
      </c>
      <c r="D1060" s="227" t="s">
        <v>95</v>
      </c>
      <c r="E1060" s="227" t="s">
        <v>53</v>
      </c>
      <c r="F1060" s="227" t="s">
        <v>120</v>
      </c>
      <c r="G1060" s="227" t="s">
        <v>84</v>
      </c>
      <c r="H1060" s="231">
        <v>1</v>
      </c>
      <c r="I1060" s="232">
        <v>1812</v>
      </c>
      <c r="J1060" s="230">
        <v>46045</v>
      </c>
      <c r="K1060" s="227" t="s">
        <v>93</v>
      </c>
      <c r="L1060" s="227" t="s">
        <v>94</v>
      </c>
      <c r="M1060" s="233">
        <v>0.43</v>
      </c>
      <c r="N1060" s="231"/>
      <c r="O1060" s="231"/>
      <c r="P1060" s="234">
        <v>-8.76</v>
      </c>
    </row>
    <row r="1061" spans="1:16" ht="19.5" customHeight="1">
      <c r="A1061" s="227" t="s">
        <v>1337</v>
      </c>
      <c r="B1061" s="230">
        <v>46053</v>
      </c>
      <c r="C1061" s="227" t="s">
        <v>92</v>
      </c>
      <c r="D1061" s="227" t="s">
        <v>24</v>
      </c>
      <c r="E1061" s="227" t="s">
        <v>52</v>
      </c>
      <c r="F1061" s="227" t="s">
        <v>90</v>
      </c>
      <c r="G1061" s="227" t="s">
        <v>84</v>
      </c>
      <c r="H1061" s="231">
        <v>1</v>
      </c>
      <c r="I1061" s="232">
        <v>1800</v>
      </c>
      <c r="J1061" s="230">
        <v>46048</v>
      </c>
      <c r="K1061" s="227" t="s">
        <v>93</v>
      </c>
      <c r="L1061" s="227" t="s">
        <v>94</v>
      </c>
      <c r="M1061" s="233">
        <v>0.43</v>
      </c>
      <c r="N1061" s="231"/>
      <c r="O1061" s="231">
        <v>44</v>
      </c>
      <c r="P1061" s="234">
        <v>-147.97999999999999</v>
      </c>
    </row>
    <row r="1062" spans="1:16" ht="19.5" customHeight="1">
      <c r="A1062" s="227" t="s">
        <v>1337</v>
      </c>
      <c r="B1062" s="230">
        <v>46053</v>
      </c>
      <c r="C1062" s="227" t="s">
        <v>100</v>
      </c>
      <c r="D1062" s="227" t="s">
        <v>101</v>
      </c>
      <c r="E1062" s="227" t="s">
        <v>52</v>
      </c>
      <c r="F1062" s="227" t="s">
        <v>90</v>
      </c>
      <c r="G1062" s="227" t="s">
        <v>84</v>
      </c>
      <c r="H1062" s="231">
        <v>1</v>
      </c>
      <c r="I1062" s="232">
        <v>1800</v>
      </c>
      <c r="J1062" s="230">
        <v>46048</v>
      </c>
      <c r="K1062" s="227" t="s">
        <v>93</v>
      </c>
      <c r="L1062" s="227" t="s">
        <v>94</v>
      </c>
      <c r="M1062" s="233">
        <v>0</v>
      </c>
      <c r="N1062" s="231"/>
      <c r="O1062" s="231"/>
      <c r="P1062" s="234">
        <v>640</v>
      </c>
    </row>
    <row r="1063" spans="1:16" ht="19.5" customHeight="1">
      <c r="A1063" s="227" t="s">
        <v>1337</v>
      </c>
      <c r="B1063" s="230">
        <v>46053</v>
      </c>
      <c r="C1063" s="227" t="s">
        <v>100</v>
      </c>
      <c r="D1063" s="227" t="s">
        <v>102</v>
      </c>
      <c r="E1063" s="227" t="s">
        <v>52</v>
      </c>
      <c r="F1063" s="227" t="s">
        <v>90</v>
      </c>
      <c r="G1063" s="227" t="s">
        <v>84</v>
      </c>
      <c r="H1063" s="231">
        <v>1</v>
      </c>
      <c r="I1063" s="232">
        <v>1800</v>
      </c>
      <c r="J1063" s="230">
        <v>46048</v>
      </c>
      <c r="K1063" s="227" t="s">
        <v>93</v>
      </c>
      <c r="L1063" s="227" t="s">
        <v>94</v>
      </c>
      <c r="M1063" s="233">
        <v>0</v>
      </c>
      <c r="N1063" s="231"/>
      <c r="O1063" s="231"/>
      <c r="P1063" s="234">
        <v>6.4</v>
      </c>
    </row>
    <row r="1064" spans="1:16" ht="19.5" customHeight="1">
      <c r="A1064" s="227" t="s">
        <v>1337</v>
      </c>
      <c r="B1064" s="230">
        <v>46053</v>
      </c>
      <c r="C1064" s="227" t="s">
        <v>100</v>
      </c>
      <c r="D1064" s="227" t="s">
        <v>103</v>
      </c>
      <c r="E1064" s="227" t="s">
        <v>52</v>
      </c>
      <c r="F1064" s="227" t="s">
        <v>90</v>
      </c>
      <c r="G1064" s="227" t="s">
        <v>84</v>
      </c>
      <c r="H1064" s="231">
        <v>1</v>
      </c>
      <c r="I1064" s="232">
        <v>1800</v>
      </c>
      <c r="J1064" s="230">
        <v>46048</v>
      </c>
      <c r="K1064" s="227" t="s">
        <v>93</v>
      </c>
      <c r="L1064" s="227" t="s">
        <v>94</v>
      </c>
      <c r="M1064" s="233">
        <v>0</v>
      </c>
      <c r="N1064" s="231"/>
      <c r="O1064" s="231"/>
      <c r="P1064" s="234">
        <v>1153.5999999999999</v>
      </c>
    </row>
    <row r="1065" spans="1:16" ht="19.5" customHeight="1">
      <c r="A1065" s="227" t="s">
        <v>1337</v>
      </c>
      <c r="B1065" s="230">
        <v>46053</v>
      </c>
      <c r="C1065" s="227" t="s">
        <v>104</v>
      </c>
      <c r="D1065" s="227" t="s">
        <v>105</v>
      </c>
      <c r="E1065" s="227" t="s">
        <v>52</v>
      </c>
      <c r="F1065" s="227" t="s">
        <v>90</v>
      </c>
      <c r="G1065" s="227" t="s">
        <v>84</v>
      </c>
      <c r="H1065" s="231">
        <v>1</v>
      </c>
      <c r="I1065" s="232">
        <v>1800</v>
      </c>
      <c r="J1065" s="230">
        <v>46048</v>
      </c>
      <c r="K1065" s="227" t="s">
        <v>93</v>
      </c>
      <c r="L1065" s="227" t="s">
        <v>94</v>
      </c>
      <c r="M1065" s="233">
        <v>0.43</v>
      </c>
      <c r="N1065" s="231"/>
      <c r="O1065" s="231"/>
      <c r="P1065" s="234">
        <v>-774</v>
      </c>
    </row>
    <row r="1066" spans="1:16" ht="19.5" customHeight="1">
      <c r="A1066" s="227" t="s">
        <v>1337</v>
      </c>
      <c r="B1066" s="230">
        <v>46053</v>
      </c>
      <c r="C1066" s="227" t="s">
        <v>81</v>
      </c>
      <c r="D1066" s="227" t="s">
        <v>95</v>
      </c>
      <c r="E1066" s="227" t="s">
        <v>52</v>
      </c>
      <c r="F1066" s="227" t="s">
        <v>90</v>
      </c>
      <c r="G1066" s="227" t="s">
        <v>84</v>
      </c>
      <c r="H1066" s="231">
        <v>1</v>
      </c>
      <c r="I1066" s="232">
        <v>1800</v>
      </c>
      <c r="J1066" s="230">
        <v>46048</v>
      </c>
      <c r="K1066" s="227" t="s">
        <v>93</v>
      </c>
      <c r="L1066" s="227" t="s">
        <v>94</v>
      </c>
      <c r="M1066" s="233">
        <v>0.43</v>
      </c>
      <c r="N1066" s="231"/>
      <c r="O1066" s="231"/>
      <c r="P1066" s="234">
        <v>-10.66</v>
      </c>
    </row>
    <row r="1067" spans="1:16" ht="19.5" customHeight="1">
      <c r="A1067" s="227" t="s">
        <v>1336</v>
      </c>
      <c r="B1067" s="230">
        <v>46053</v>
      </c>
      <c r="C1067" s="227" t="s">
        <v>81</v>
      </c>
      <c r="D1067" s="227" t="s">
        <v>82</v>
      </c>
      <c r="E1067" s="227" t="s">
        <v>53</v>
      </c>
      <c r="F1067" s="227" t="s">
        <v>120</v>
      </c>
      <c r="G1067" s="227" t="s">
        <v>84</v>
      </c>
      <c r="H1067" s="231">
        <v>1</v>
      </c>
      <c r="I1067" s="232">
        <v>0</v>
      </c>
      <c r="J1067" s="230">
        <v>46045</v>
      </c>
      <c r="K1067" s="227" t="s">
        <v>85</v>
      </c>
      <c r="L1067" s="227" t="s">
        <v>85</v>
      </c>
      <c r="M1067" s="233">
        <v>0</v>
      </c>
      <c r="N1067" s="231"/>
      <c r="O1067" s="231"/>
      <c r="P1067" s="234">
        <v>-12.98</v>
      </c>
    </row>
    <row r="1068" spans="1:16" ht="19.5" customHeight="1">
      <c r="A1068" s="227" t="s">
        <v>1338</v>
      </c>
      <c r="B1068" s="230">
        <v>46053</v>
      </c>
      <c r="C1068" s="227" t="s">
        <v>92</v>
      </c>
      <c r="D1068" s="227" t="s">
        <v>24</v>
      </c>
      <c r="E1068" s="227" t="s">
        <v>42</v>
      </c>
      <c r="F1068" s="227" t="s">
        <v>89</v>
      </c>
      <c r="G1068" s="227" t="s">
        <v>84</v>
      </c>
      <c r="H1068" s="231">
        <v>1</v>
      </c>
      <c r="I1068" s="232">
        <v>1750</v>
      </c>
      <c r="J1068" s="230">
        <v>46052</v>
      </c>
      <c r="K1068" s="227" t="s">
        <v>93</v>
      </c>
      <c r="L1068" s="227" t="s">
        <v>94</v>
      </c>
      <c r="M1068" s="233">
        <v>0.43</v>
      </c>
      <c r="N1068" s="231"/>
      <c r="O1068" s="231">
        <v>44</v>
      </c>
      <c r="P1068" s="234">
        <v>-131.37</v>
      </c>
    </row>
    <row r="1069" spans="1:16" ht="19.5" customHeight="1">
      <c r="A1069" s="227" t="s">
        <v>1338</v>
      </c>
      <c r="B1069" s="230">
        <v>46053</v>
      </c>
      <c r="C1069" s="227" t="s">
        <v>100</v>
      </c>
      <c r="D1069" s="227" t="s">
        <v>101</v>
      </c>
      <c r="E1069" s="227" t="s">
        <v>42</v>
      </c>
      <c r="F1069" s="227" t="s">
        <v>89</v>
      </c>
      <c r="G1069" s="227" t="s">
        <v>84</v>
      </c>
      <c r="H1069" s="231">
        <v>1</v>
      </c>
      <c r="I1069" s="232">
        <v>1750</v>
      </c>
      <c r="J1069" s="230">
        <v>46052</v>
      </c>
      <c r="K1069" s="227" t="s">
        <v>93</v>
      </c>
      <c r="L1069" s="227" t="s">
        <v>94</v>
      </c>
      <c r="M1069" s="233">
        <v>0</v>
      </c>
      <c r="N1069" s="231"/>
      <c r="O1069" s="231"/>
      <c r="P1069" s="234">
        <v>623.80999999999995</v>
      </c>
    </row>
    <row r="1070" spans="1:16" ht="19.5" customHeight="1">
      <c r="A1070" s="227" t="s">
        <v>1338</v>
      </c>
      <c r="B1070" s="230">
        <v>46053</v>
      </c>
      <c r="C1070" s="227" t="s">
        <v>100</v>
      </c>
      <c r="D1070" s="227" t="s">
        <v>102</v>
      </c>
      <c r="E1070" s="227" t="s">
        <v>42</v>
      </c>
      <c r="F1070" s="227" t="s">
        <v>89</v>
      </c>
      <c r="G1070" s="227" t="s">
        <v>84</v>
      </c>
      <c r="H1070" s="231">
        <v>1</v>
      </c>
      <c r="I1070" s="232">
        <v>1750</v>
      </c>
      <c r="J1070" s="230">
        <v>46052</v>
      </c>
      <c r="K1070" s="227" t="s">
        <v>93</v>
      </c>
      <c r="L1070" s="227" t="s">
        <v>94</v>
      </c>
      <c r="M1070" s="233">
        <v>0</v>
      </c>
      <c r="N1070" s="231"/>
      <c r="O1070" s="231"/>
      <c r="P1070" s="234">
        <v>6.24</v>
      </c>
    </row>
    <row r="1071" spans="1:16" ht="19.5" customHeight="1">
      <c r="A1071" s="227" t="s">
        <v>1338</v>
      </c>
      <c r="B1071" s="230">
        <v>46053</v>
      </c>
      <c r="C1071" s="227" t="s">
        <v>100</v>
      </c>
      <c r="D1071" s="227" t="s">
        <v>103</v>
      </c>
      <c r="E1071" s="227" t="s">
        <v>42</v>
      </c>
      <c r="F1071" s="227" t="s">
        <v>89</v>
      </c>
      <c r="G1071" s="227" t="s">
        <v>84</v>
      </c>
      <c r="H1071" s="231">
        <v>1</v>
      </c>
      <c r="I1071" s="232">
        <v>1750</v>
      </c>
      <c r="J1071" s="230">
        <v>46052</v>
      </c>
      <c r="K1071" s="227" t="s">
        <v>93</v>
      </c>
      <c r="L1071" s="227" t="s">
        <v>94</v>
      </c>
      <c r="M1071" s="233">
        <v>0</v>
      </c>
      <c r="N1071" s="231"/>
      <c r="O1071" s="231"/>
      <c r="P1071" s="234">
        <v>1119.95</v>
      </c>
    </row>
    <row r="1072" spans="1:16" ht="19.5" customHeight="1">
      <c r="A1072" s="227" t="s">
        <v>1338</v>
      </c>
      <c r="B1072" s="230">
        <v>46053</v>
      </c>
      <c r="C1072" s="227" t="s">
        <v>104</v>
      </c>
      <c r="D1072" s="227" t="s">
        <v>105</v>
      </c>
      <c r="E1072" s="227" t="s">
        <v>42</v>
      </c>
      <c r="F1072" s="227" t="s">
        <v>89</v>
      </c>
      <c r="G1072" s="227" t="s">
        <v>84</v>
      </c>
      <c r="H1072" s="231">
        <v>1</v>
      </c>
      <c r="I1072" s="232">
        <v>1750</v>
      </c>
      <c r="J1072" s="230">
        <v>46052</v>
      </c>
      <c r="K1072" s="227" t="s">
        <v>93</v>
      </c>
      <c r="L1072" s="227" t="s">
        <v>94</v>
      </c>
      <c r="M1072" s="233">
        <v>0.43</v>
      </c>
      <c r="N1072" s="231"/>
      <c r="O1072" s="231"/>
      <c r="P1072" s="234">
        <v>-752.5</v>
      </c>
    </row>
    <row r="1073" spans="1:16" ht="19.5" customHeight="1">
      <c r="A1073" s="227" t="s">
        <v>1338</v>
      </c>
      <c r="B1073" s="230">
        <v>46053</v>
      </c>
      <c r="C1073" s="227" t="s">
        <v>81</v>
      </c>
      <c r="D1073" s="227" t="s">
        <v>95</v>
      </c>
      <c r="E1073" s="227" t="s">
        <v>42</v>
      </c>
      <c r="F1073" s="227" t="s">
        <v>89</v>
      </c>
      <c r="G1073" s="227" t="s">
        <v>84</v>
      </c>
      <c r="H1073" s="231">
        <v>1</v>
      </c>
      <c r="I1073" s="232">
        <v>1750</v>
      </c>
      <c r="J1073" s="230">
        <v>46052</v>
      </c>
      <c r="K1073" s="227" t="s">
        <v>93</v>
      </c>
      <c r="L1073" s="227" t="s">
        <v>94</v>
      </c>
      <c r="M1073" s="233">
        <v>0.43</v>
      </c>
      <c r="N1073" s="231"/>
      <c r="O1073" s="231"/>
      <c r="P1073" s="234">
        <v>-13.25</v>
      </c>
    </row>
    <row r="1074" spans="1:16" ht="19.5" customHeight="1">
      <c r="A1074" s="227" t="s">
        <v>1338</v>
      </c>
      <c r="B1074" s="230">
        <v>46053</v>
      </c>
      <c r="C1074" s="227" t="s">
        <v>81</v>
      </c>
      <c r="D1074" s="227" t="s">
        <v>82</v>
      </c>
      <c r="E1074" s="227" t="s">
        <v>42</v>
      </c>
      <c r="F1074" s="227" t="s">
        <v>89</v>
      </c>
      <c r="G1074" s="227" t="s">
        <v>84</v>
      </c>
      <c r="H1074" s="231">
        <v>1</v>
      </c>
      <c r="I1074" s="232">
        <v>0</v>
      </c>
      <c r="J1074" s="230">
        <v>46052</v>
      </c>
      <c r="K1074" s="227" t="s">
        <v>85</v>
      </c>
      <c r="L1074" s="227" t="s">
        <v>85</v>
      </c>
      <c r="M1074" s="233">
        <v>0</v>
      </c>
      <c r="N1074" s="231"/>
      <c r="O1074" s="231"/>
      <c r="P1074" s="234">
        <v>-11.85</v>
      </c>
    </row>
    <row r="1075" spans="1:16" ht="19.5" customHeight="1">
      <c r="A1075" s="227" t="s">
        <v>1339</v>
      </c>
      <c r="B1075" s="230">
        <v>46053</v>
      </c>
      <c r="C1075" s="227" t="s">
        <v>92</v>
      </c>
      <c r="D1075" s="227" t="s">
        <v>24</v>
      </c>
      <c r="E1075" s="227" t="s">
        <v>55</v>
      </c>
      <c r="F1075" s="227" t="s">
        <v>1274</v>
      </c>
      <c r="G1075" s="227" t="s">
        <v>84</v>
      </c>
      <c r="H1075" s="231">
        <v>1</v>
      </c>
      <c r="I1075" s="232">
        <v>2000</v>
      </c>
      <c r="J1075" s="230">
        <v>46052</v>
      </c>
      <c r="K1075" s="227" t="s">
        <v>93</v>
      </c>
      <c r="L1075" s="227" t="s">
        <v>94</v>
      </c>
      <c r="M1075" s="233">
        <v>0.43</v>
      </c>
      <c r="N1075" s="231"/>
      <c r="O1075" s="231">
        <v>44</v>
      </c>
      <c r="P1075" s="234">
        <v>-155.81</v>
      </c>
    </row>
    <row r="1076" spans="1:16" ht="19.5" customHeight="1">
      <c r="A1076" s="227" t="s">
        <v>1339</v>
      </c>
      <c r="B1076" s="230">
        <v>46053</v>
      </c>
      <c r="C1076" s="227" t="s">
        <v>100</v>
      </c>
      <c r="D1076" s="227" t="s">
        <v>101</v>
      </c>
      <c r="E1076" s="227" t="s">
        <v>55</v>
      </c>
      <c r="F1076" s="227" t="s">
        <v>1274</v>
      </c>
      <c r="G1076" s="227" t="s">
        <v>84</v>
      </c>
      <c r="H1076" s="231">
        <v>1</v>
      </c>
      <c r="I1076" s="232">
        <v>2000</v>
      </c>
      <c r="J1076" s="230">
        <v>46052</v>
      </c>
      <c r="K1076" s="227" t="s">
        <v>93</v>
      </c>
      <c r="L1076" s="227" t="s">
        <v>94</v>
      </c>
      <c r="M1076" s="233">
        <v>0</v>
      </c>
      <c r="N1076" s="231"/>
      <c r="O1076" s="231"/>
      <c r="P1076" s="234">
        <v>1224.6400000000001</v>
      </c>
    </row>
    <row r="1077" spans="1:16" ht="19.5" customHeight="1">
      <c r="A1077" s="227" t="s">
        <v>1339</v>
      </c>
      <c r="B1077" s="230">
        <v>46053</v>
      </c>
      <c r="C1077" s="227" t="s">
        <v>100</v>
      </c>
      <c r="D1077" s="227" t="s">
        <v>102</v>
      </c>
      <c r="E1077" s="227" t="s">
        <v>55</v>
      </c>
      <c r="F1077" s="227" t="s">
        <v>1274</v>
      </c>
      <c r="G1077" s="227" t="s">
        <v>84</v>
      </c>
      <c r="H1077" s="231">
        <v>1</v>
      </c>
      <c r="I1077" s="232">
        <v>2000</v>
      </c>
      <c r="J1077" s="230">
        <v>46052</v>
      </c>
      <c r="K1077" s="227" t="s">
        <v>93</v>
      </c>
      <c r="L1077" s="227" t="s">
        <v>94</v>
      </c>
      <c r="M1077" s="233">
        <v>0</v>
      </c>
      <c r="N1077" s="231"/>
      <c r="O1077" s="231"/>
      <c r="P1077" s="234">
        <v>0</v>
      </c>
    </row>
    <row r="1078" spans="1:16" ht="19.5" customHeight="1">
      <c r="A1078" s="227" t="s">
        <v>1339</v>
      </c>
      <c r="B1078" s="230">
        <v>46053</v>
      </c>
      <c r="C1078" s="227" t="s">
        <v>100</v>
      </c>
      <c r="D1078" s="227" t="s">
        <v>103</v>
      </c>
      <c r="E1078" s="227" t="s">
        <v>55</v>
      </c>
      <c r="F1078" s="227" t="s">
        <v>1274</v>
      </c>
      <c r="G1078" s="227" t="s">
        <v>84</v>
      </c>
      <c r="H1078" s="231">
        <v>1</v>
      </c>
      <c r="I1078" s="232">
        <v>2000</v>
      </c>
      <c r="J1078" s="230">
        <v>46052</v>
      </c>
      <c r="K1078" s="227" t="s">
        <v>93</v>
      </c>
      <c r="L1078" s="227" t="s">
        <v>94</v>
      </c>
      <c r="M1078" s="233">
        <v>0</v>
      </c>
      <c r="N1078" s="231"/>
      <c r="O1078" s="231"/>
      <c r="P1078" s="234">
        <v>775.36</v>
      </c>
    </row>
    <row r="1079" spans="1:16" ht="19.5" customHeight="1">
      <c r="A1079" s="227" t="s">
        <v>1339</v>
      </c>
      <c r="B1079" s="230">
        <v>46053</v>
      </c>
      <c r="C1079" s="227" t="s">
        <v>104</v>
      </c>
      <c r="D1079" s="227" t="s">
        <v>105</v>
      </c>
      <c r="E1079" s="227" t="s">
        <v>55</v>
      </c>
      <c r="F1079" s="227" t="s">
        <v>1274</v>
      </c>
      <c r="G1079" s="227" t="s">
        <v>84</v>
      </c>
      <c r="H1079" s="231">
        <v>1</v>
      </c>
      <c r="I1079" s="232">
        <v>2000</v>
      </c>
      <c r="J1079" s="230">
        <v>46052</v>
      </c>
      <c r="K1079" s="227" t="s">
        <v>93</v>
      </c>
      <c r="L1079" s="227" t="s">
        <v>94</v>
      </c>
      <c r="M1079" s="233">
        <v>0.43</v>
      </c>
      <c r="N1079" s="231"/>
      <c r="O1079" s="231"/>
      <c r="P1079" s="234">
        <v>-860</v>
      </c>
    </row>
    <row r="1080" spans="1:16" ht="19.5" customHeight="1">
      <c r="A1080" s="227" t="s">
        <v>1339</v>
      </c>
      <c r="B1080" s="230">
        <v>46053</v>
      </c>
      <c r="C1080" s="227" t="s">
        <v>81</v>
      </c>
      <c r="D1080" s="227" t="s">
        <v>95</v>
      </c>
      <c r="E1080" s="227" t="s">
        <v>55</v>
      </c>
      <c r="F1080" s="227" t="s">
        <v>1274</v>
      </c>
      <c r="G1080" s="227" t="s">
        <v>84</v>
      </c>
      <c r="H1080" s="231">
        <v>1</v>
      </c>
      <c r="I1080" s="232">
        <v>2000</v>
      </c>
      <c r="J1080" s="230">
        <v>46052</v>
      </c>
      <c r="K1080" s="227" t="s">
        <v>93</v>
      </c>
      <c r="L1080" s="227" t="s">
        <v>94</v>
      </c>
      <c r="M1080" s="233">
        <v>0.43</v>
      </c>
      <c r="N1080" s="231"/>
      <c r="O1080" s="231"/>
      <c r="P1080" s="234">
        <v>-9.52</v>
      </c>
    </row>
    <row r="1081" spans="1:16" ht="19.5" customHeight="1">
      <c r="A1081" s="227" t="s">
        <v>1340</v>
      </c>
      <c r="B1081" s="230">
        <v>46053</v>
      </c>
      <c r="C1081" s="227" t="s">
        <v>81</v>
      </c>
      <c r="D1081" s="227" t="s">
        <v>82</v>
      </c>
      <c r="E1081" s="227" t="s">
        <v>53</v>
      </c>
      <c r="F1081" s="227" t="s">
        <v>120</v>
      </c>
      <c r="G1081" s="227" t="s">
        <v>84</v>
      </c>
      <c r="H1081" s="231">
        <v>1</v>
      </c>
      <c r="I1081" s="232">
        <v>0</v>
      </c>
      <c r="J1081" s="230">
        <v>46053</v>
      </c>
      <c r="K1081" s="227" t="s">
        <v>85</v>
      </c>
      <c r="L1081" s="227" t="s">
        <v>85</v>
      </c>
      <c r="M1081" s="233">
        <v>0</v>
      </c>
      <c r="N1081" s="231"/>
      <c r="O1081" s="231"/>
      <c r="P1081" s="234">
        <v>-11.97</v>
      </c>
    </row>
    <row r="1082" spans="1:16" ht="19.5" customHeight="1">
      <c r="A1082" s="227" t="s">
        <v>1341</v>
      </c>
      <c r="B1082" s="230">
        <v>46053</v>
      </c>
      <c r="C1082" s="227" t="s">
        <v>92</v>
      </c>
      <c r="D1082" s="227" t="s">
        <v>24</v>
      </c>
      <c r="E1082" s="227" t="s">
        <v>53</v>
      </c>
      <c r="F1082" s="227" t="s">
        <v>120</v>
      </c>
      <c r="G1082" s="227" t="s">
        <v>84</v>
      </c>
      <c r="H1082" s="231">
        <v>1</v>
      </c>
      <c r="I1082" s="232">
        <v>0</v>
      </c>
      <c r="J1082" s="230">
        <v>46016</v>
      </c>
      <c r="K1082" s="227" t="s">
        <v>93</v>
      </c>
      <c r="L1082" s="227" t="s">
        <v>94</v>
      </c>
      <c r="M1082" s="233">
        <v>0</v>
      </c>
      <c r="N1082" s="231"/>
      <c r="O1082" s="231">
        <v>43</v>
      </c>
      <c r="P1082" s="234">
        <v>-56</v>
      </c>
    </row>
    <row r="1083" spans="1:16" ht="19.5" customHeight="1">
      <c r="A1083" s="227" t="s">
        <v>1341</v>
      </c>
      <c r="B1083" s="230">
        <v>46053</v>
      </c>
      <c r="C1083" s="227" t="s">
        <v>92</v>
      </c>
      <c r="D1083" s="227" t="s">
        <v>96</v>
      </c>
      <c r="E1083" s="227" t="s">
        <v>53</v>
      </c>
      <c r="F1083" s="227" t="s">
        <v>120</v>
      </c>
      <c r="G1083" s="227" t="s">
        <v>84</v>
      </c>
      <c r="H1083" s="231">
        <v>1</v>
      </c>
      <c r="I1083" s="232">
        <v>0</v>
      </c>
      <c r="J1083" s="230">
        <v>46016</v>
      </c>
      <c r="K1083" s="227" t="s">
        <v>93</v>
      </c>
      <c r="L1083" s="227" t="s">
        <v>94</v>
      </c>
      <c r="M1083" s="233">
        <v>0</v>
      </c>
      <c r="N1083" s="231"/>
      <c r="O1083" s="231"/>
      <c r="P1083" s="234">
        <v>0</v>
      </c>
    </row>
    <row r="1084" spans="1:16" ht="19.5" customHeight="1">
      <c r="A1084" s="227" t="s">
        <v>1341</v>
      </c>
      <c r="B1084" s="230">
        <v>46053</v>
      </c>
      <c r="C1084" s="227" t="s">
        <v>92</v>
      </c>
      <c r="D1084" s="227" t="s">
        <v>97</v>
      </c>
      <c r="E1084" s="227" t="s">
        <v>53</v>
      </c>
      <c r="F1084" s="227" t="s">
        <v>120</v>
      </c>
      <c r="G1084" s="227" t="s">
        <v>84</v>
      </c>
      <c r="H1084" s="231">
        <v>1</v>
      </c>
      <c r="I1084" s="232">
        <v>0</v>
      </c>
      <c r="J1084" s="230">
        <v>46016</v>
      </c>
      <c r="K1084" s="227" t="s">
        <v>93</v>
      </c>
      <c r="L1084" s="227" t="s">
        <v>94</v>
      </c>
      <c r="M1084" s="233">
        <v>0</v>
      </c>
      <c r="N1084" s="231"/>
      <c r="O1084" s="231"/>
      <c r="P1084" s="234">
        <v>-56</v>
      </c>
    </row>
    <row r="1085" spans="1:16" ht="19.5" customHeight="1">
      <c r="A1085" s="227" t="s">
        <v>1342</v>
      </c>
      <c r="B1085" s="230">
        <v>46053</v>
      </c>
      <c r="C1085" s="227" t="s">
        <v>81</v>
      </c>
      <c r="D1085" s="227" t="s">
        <v>82</v>
      </c>
      <c r="E1085" s="227" t="s">
        <v>56</v>
      </c>
      <c r="F1085" s="227" t="s">
        <v>1215</v>
      </c>
      <c r="G1085" s="227" t="s">
        <v>84</v>
      </c>
      <c r="H1085" s="231">
        <v>1</v>
      </c>
      <c r="I1085" s="232">
        <v>0</v>
      </c>
      <c r="J1085" s="230">
        <v>46053</v>
      </c>
      <c r="K1085" s="227" t="s">
        <v>85</v>
      </c>
      <c r="L1085" s="227" t="s">
        <v>85</v>
      </c>
      <c r="M1085" s="233">
        <v>0</v>
      </c>
      <c r="N1085" s="231"/>
      <c r="O1085" s="231"/>
      <c r="P1085" s="234">
        <v>-14.24</v>
      </c>
    </row>
    <row r="1086" spans="1:16" ht="19.5" customHeight="1">
      <c r="A1086" s="227" t="s">
        <v>1343</v>
      </c>
      <c r="B1086" s="230">
        <v>46053</v>
      </c>
      <c r="C1086" s="227" t="s">
        <v>92</v>
      </c>
      <c r="D1086" s="227" t="s">
        <v>96</v>
      </c>
      <c r="E1086" s="227" t="s">
        <v>52</v>
      </c>
      <c r="F1086" s="227" t="s">
        <v>90</v>
      </c>
      <c r="G1086" s="227" t="s">
        <v>84</v>
      </c>
      <c r="H1086" s="231">
        <v>1</v>
      </c>
      <c r="I1086" s="232">
        <v>0</v>
      </c>
      <c r="J1086" s="230">
        <v>46047</v>
      </c>
      <c r="K1086" s="227" t="s">
        <v>93</v>
      </c>
      <c r="L1086" s="227" t="s">
        <v>94</v>
      </c>
      <c r="M1086" s="233">
        <v>0</v>
      </c>
      <c r="N1086" s="231"/>
      <c r="O1086" s="231"/>
      <c r="P1086" s="234">
        <v>0</v>
      </c>
    </row>
    <row r="1087" spans="1:16" ht="19.5" customHeight="1">
      <c r="A1087" s="227" t="s">
        <v>1343</v>
      </c>
      <c r="B1087" s="230">
        <v>46053</v>
      </c>
      <c r="C1087" s="227" t="s">
        <v>92</v>
      </c>
      <c r="D1087" s="227" t="s">
        <v>97</v>
      </c>
      <c r="E1087" s="227" t="s">
        <v>52</v>
      </c>
      <c r="F1087" s="227" t="s">
        <v>90</v>
      </c>
      <c r="G1087" s="227" t="s">
        <v>84</v>
      </c>
      <c r="H1087" s="231">
        <v>1</v>
      </c>
      <c r="I1087" s="232">
        <v>0</v>
      </c>
      <c r="J1087" s="230">
        <v>46047</v>
      </c>
      <c r="K1087" s="227" t="s">
        <v>93</v>
      </c>
      <c r="L1087" s="227" t="s">
        <v>94</v>
      </c>
      <c r="M1087" s="233">
        <v>0</v>
      </c>
      <c r="N1087" s="231"/>
      <c r="O1087" s="231"/>
      <c r="P1087" s="234">
        <v>-56</v>
      </c>
    </row>
    <row r="1088" spans="1:16" ht="19.5" customHeight="1">
      <c r="A1088" s="227" t="s">
        <v>1343</v>
      </c>
      <c r="B1088" s="230">
        <v>46053</v>
      </c>
      <c r="C1088" s="227" t="s">
        <v>81</v>
      </c>
      <c r="D1088" s="227" t="s">
        <v>98</v>
      </c>
      <c r="E1088" s="227" t="s">
        <v>52</v>
      </c>
      <c r="F1088" s="227" t="s">
        <v>90</v>
      </c>
      <c r="G1088" s="227" t="s">
        <v>84</v>
      </c>
      <c r="H1088" s="231">
        <v>1</v>
      </c>
      <c r="I1088" s="232">
        <v>0</v>
      </c>
      <c r="J1088" s="230">
        <v>46047</v>
      </c>
      <c r="K1088" s="227" t="s">
        <v>93</v>
      </c>
      <c r="L1088" s="227" t="s">
        <v>94</v>
      </c>
      <c r="M1088" s="233">
        <v>0</v>
      </c>
      <c r="N1088" s="231"/>
      <c r="O1088" s="231"/>
      <c r="P1088" s="234">
        <v>-15</v>
      </c>
    </row>
    <row r="1089" spans="1:16" ht="19.5" customHeight="1">
      <c r="A1089" s="227" t="s">
        <v>1343</v>
      </c>
      <c r="B1089" s="230">
        <v>46053</v>
      </c>
      <c r="C1089" s="227" t="s">
        <v>92</v>
      </c>
      <c r="D1089" s="227" t="s">
        <v>24</v>
      </c>
      <c r="E1089" s="227" t="s">
        <v>52</v>
      </c>
      <c r="F1089" s="227" t="s">
        <v>90</v>
      </c>
      <c r="G1089" s="227" t="s">
        <v>84</v>
      </c>
      <c r="H1089" s="231">
        <v>1</v>
      </c>
      <c r="I1089" s="232">
        <v>0</v>
      </c>
      <c r="J1089" s="230">
        <v>46047</v>
      </c>
      <c r="K1089" s="227" t="s">
        <v>93</v>
      </c>
      <c r="L1089" s="227" t="s">
        <v>94</v>
      </c>
      <c r="M1089" s="233">
        <v>0</v>
      </c>
      <c r="N1089" s="231"/>
      <c r="O1089" s="231">
        <v>41</v>
      </c>
      <c r="P1089" s="234">
        <v>-56</v>
      </c>
    </row>
    <row r="1090" spans="1:16" ht="19.5" customHeight="1">
      <c r="A1090" s="227" t="s">
        <v>1343</v>
      </c>
      <c r="B1090" s="230">
        <v>46053</v>
      </c>
      <c r="C1090" s="227" t="s">
        <v>81</v>
      </c>
      <c r="D1090" s="227" t="s">
        <v>95</v>
      </c>
      <c r="E1090" s="227" t="s">
        <v>52</v>
      </c>
      <c r="F1090" s="227" t="s">
        <v>90</v>
      </c>
      <c r="G1090" s="227" t="s">
        <v>84</v>
      </c>
      <c r="H1090" s="231">
        <v>1</v>
      </c>
      <c r="I1090" s="232">
        <v>0</v>
      </c>
      <c r="J1090" s="230">
        <v>46047</v>
      </c>
      <c r="K1090" s="227" t="s">
        <v>93</v>
      </c>
      <c r="L1090" s="227" t="s">
        <v>94</v>
      </c>
      <c r="M1090" s="233">
        <v>0</v>
      </c>
      <c r="N1090" s="231"/>
      <c r="O1090" s="231"/>
      <c r="P1090" s="234">
        <v>-13.67</v>
      </c>
    </row>
    <row r="1091" spans="1:16" ht="19.5" customHeight="1">
      <c r="A1091" s="227" t="s">
        <v>1344</v>
      </c>
      <c r="B1091" s="230">
        <v>46053</v>
      </c>
      <c r="C1091" s="227" t="s">
        <v>92</v>
      </c>
      <c r="D1091" s="227" t="s">
        <v>96</v>
      </c>
      <c r="E1091" s="227" t="s">
        <v>42</v>
      </c>
      <c r="F1091" s="227" t="s">
        <v>89</v>
      </c>
      <c r="G1091" s="227" t="s">
        <v>84</v>
      </c>
      <c r="H1091" s="231">
        <v>1</v>
      </c>
      <c r="I1091" s="232">
        <v>0</v>
      </c>
      <c r="J1091" s="230">
        <v>46037</v>
      </c>
      <c r="K1091" s="227" t="s">
        <v>93</v>
      </c>
      <c r="L1091" s="227" t="s">
        <v>94</v>
      </c>
      <c r="M1091" s="233">
        <v>0</v>
      </c>
      <c r="N1091" s="231"/>
      <c r="O1091" s="231"/>
      <c r="P1091" s="234">
        <v>0</v>
      </c>
    </row>
    <row r="1092" spans="1:16" ht="19.5" customHeight="1">
      <c r="A1092" s="227" t="s">
        <v>1344</v>
      </c>
      <c r="B1092" s="230">
        <v>46053</v>
      </c>
      <c r="C1092" s="227" t="s">
        <v>92</v>
      </c>
      <c r="D1092" s="227" t="s">
        <v>97</v>
      </c>
      <c r="E1092" s="227" t="s">
        <v>42</v>
      </c>
      <c r="F1092" s="227" t="s">
        <v>89</v>
      </c>
      <c r="G1092" s="227" t="s">
        <v>84</v>
      </c>
      <c r="H1092" s="231">
        <v>1</v>
      </c>
      <c r="I1092" s="232">
        <v>0</v>
      </c>
      <c r="J1092" s="230">
        <v>46037</v>
      </c>
      <c r="K1092" s="227" t="s">
        <v>93</v>
      </c>
      <c r="L1092" s="227" t="s">
        <v>94</v>
      </c>
      <c r="M1092" s="233">
        <v>0</v>
      </c>
      <c r="N1092" s="231"/>
      <c r="O1092" s="231"/>
      <c r="P1092" s="234">
        <v>-46.77</v>
      </c>
    </row>
    <row r="1093" spans="1:16" ht="19.5" customHeight="1">
      <c r="A1093" s="227" t="s">
        <v>1344</v>
      </c>
      <c r="B1093" s="230">
        <v>46053</v>
      </c>
      <c r="C1093" s="227" t="s">
        <v>81</v>
      </c>
      <c r="D1093" s="227" t="s">
        <v>98</v>
      </c>
      <c r="E1093" s="227" t="s">
        <v>42</v>
      </c>
      <c r="F1093" s="227" t="s">
        <v>89</v>
      </c>
      <c r="G1093" s="227" t="s">
        <v>84</v>
      </c>
      <c r="H1093" s="231">
        <v>1</v>
      </c>
      <c r="I1093" s="232">
        <v>0</v>
      </c>
      <c r="J1093" s="230">
        <v>46037</v>
      </c>
      <c r="K1093" s="227" t="s">
        <v>93</v>
      </c>
      <c r="L1093" s="227" t="s">
        <v>94</v>
      </c>
      <c r="M1093" s="233">
        <v>0</v>
      </c>
      <c r="N1093" s="231"/>
      <c r="O1093" s="231"/>
      <c r="P1093" s="234">
        <v>-15</v>
      </c>
    </row>
    <row r="1094" spans="1:16" ht="19.5" customHeight="1">
      <c r="A1094" s="227" t="s">
        <v>1344</v>
      </c>
      <c r="B1094" s="230">
        <v>46053</v>
      </c>
      <c r="C1094" s="227" t="s">
        <v>92</v>
      </c>
      <c r="D1094" s="227" t="s">
        <v>24</v>
      </c>
      <c r="E1094" s="227" t="s">
        <v>42</v>
      </c>
      <c r="F1094" s="227" t="s">
        <v>89</v>
      </c>
      <c r="G1094" s="227" t="s">
        <v>84</v>
      </c>
      <c r="H1094" s="231">
        <v>1</v>
      </c>
      <c r="I1094" s="232">
        <v>0</v>
      </c>
      <c r="J1094" s="230">
        <v>46037</v>
      </c>
      <c r="K1094" s="227" t="s">
        <v>93</v>
      </c>
      <c r="L1094" s="227" t="s">
        <v>94</v>
      </c>
      <c r="M1094" s="233">
        <v>0</v>
      </c>
      <c r="N1094" s="231"/>
      <c r="O1094" s="231">
        <v>45</v>
      </c>
      <c r="P1094" s="234">
        <v>-46.77</v>
      </c>
    </row>
    <row r="1095" spans="1:16" ht="19.5" customHeight="1">
      <c r="A1095" s="227" t="s">
        <v>1344</v>
      </c>
      <c r="B1095" s="230">
        <v>46053</v>
      </c>
      <c r="C1095" s="227" t="s">
        <v>81</v>
      </c>
      <c r="D1095" s="227" t="s">
        <v>95</v>
      </c>
      <c r="E1095" s="227" t="s">
        <v>42</v>
      </c>
      <c r="F1095" s="227" t="s">
        <v>89</v>
      </c>
      <c r="G1095" s="227" t="s">
        <v>84</v>
      </c>
      <c r="H1095" s="231">
        <v>1</v>
      </c>
      <c r="I1095" s="232">
        <v>0</v>
      </c>
      <c r="J1095" s="230">
        <v>46037</v>
      </c>
      <c r="K1095" s="227" t="s">
        <v>93</v>
      </c>
      <c r="L1095" s="227" t="s">
        <v>94</v>
      </c>
      <c r="M1095" s="233">
        <v>0</v>
      </c>
      <c r="N1095" s="231"/>
      <c r="O1095" s="231"/>
      <c r="P1095" s="234">
        <v>-14</v>
      </c>
    </row>
    <row r="1096" spans="1:16" ht="19.5" customHeight="1">
      <c r="A1096" s="227" t="s">
        <v>1345</v>
      </c>
      <c r="B1096" s="230">
        <v>46053</v>
      </c>
      <c r="C1096" s="227" t="s">
        <v>81</v>
      </c>
      <c r="D1096" s="227" t="s">
        <v>82</v>
      </c>
      <c r="E1096" s="227" t="s">
        <v>42</v>
      </c>
      <c r="F1096" s="227" t="s">
        <v>89</v>
      </c>
      <c r="G1096" s="227" t="s">
        <v>84</v>
      </c>
      <c r="H1096" s="231">
        <v>1</v>
      </c>
      <c r="I1096" s="232">
        <v>0</v>
      </c>
      <c r="J1096" s="230">
        <v>46053</v>
      </c>
      <c r="K1096" s="227" t="s">
        <v>85</v>
      </c>
      <c r="L1096" s="227" t="s">
        <v>85</v>
      </c>
      <c r="M1096" s="233">
        <v>0</v>
      </c>
      <c r="N1096" s="231"/>
      <c r="O1096" s="231"/>
      <c r="P1096" s="234">
        <v>-11.58</v>
      </c>
    </row>
    <row r="1097" spans="1:16" ht="19.5" customHeight="1">
      <c r="A1097" s="227" t="s">
        <v>1346</v>
      </c>
      <c r="B1097" s="230">
        <v>46053</v>
      </c>
      <c r="C1097" s="227" t="s">
        <v>81</v>
      </c>
      <c r="D1097" s="227" t="s">
        <v>82</v>
      </c>
      <c r="E1097" s="227" t="s">
        <v>43</v>
      </c>
      <c r="F1097" s="227" t="s">
        <v>125</v>
      </c>
      <c r="G1097" s="227" t="s">
        <v>84</v>
      </c>
      <c r="H1097" s="231">
        <v>1</v>
      </c>
      <c r="I1097" s="232">
        <v>0</v>
      </c>
      <c r="J1097" s="230">
        <v>46053</v>
      </c>
      <c r="K1097" s="227" t="s">
        <v>85</v>
      </c>
      <c r="L1097" s="227" t="s">
        <v>85</v>
      </c>
      <c r="M1097" s="233">
        <v>0</v>
      </c>
      <c r="N1097" s="231"/>
      <c r="O1097" s="231"/>
      <c r="P1097" s="234">
        <v>-11.58</v>
      </c>
    </row>
    <row r="1098" spans="1:16" ht="19.5" customHeight="1">
      <c r="A1098" s="227" t="s">
        <v>1207</v>
      </c>
      <c r="B1098" s="230">
        <v>46053</v>
      </c>
      <c r="C1098" s="227" t="s">
        <v>109</v>
      </c>
      <c r="D1098" s="227" t="s">
        <v>139</v>
      </c>
      <c r="E1098" s="227" t="s">
        <v>85</v>
      </c>
      <c r="F1098" s="227" t="s">
        <v>85</v>
      </c>
      <c r="G1098" s="227" t="s">
        <v>85</v>
      </c>
      <c r="H1098" s="231">
        <v>0</v>
      </c>
      <c r="I1098" s="232">
        <v>0</v>
      </c>
      <c r="J1098" s="230">
        <v>46053</v>
      </c>
      <c r="K1098" s="227" t="s">
        <v>85</v>
      </c>
      <c r="L1098" s="227" t="s">
        <v>85</v>
      </c>
      <c r="M1098" s="233">
        <v>0</v>
      </c>
      <c r="N1098" s="231"/>
      <c r="O1098" s="231"/>
      <c r="P1098" s="234">
        <v>-284.45999999999998</v>
      </c>
    </row>
    <row r="1099" spans="1:16" ht="19.5" customHeight="1">
      <c r="A1099" s="227" t="s">
        <v>1208</v>
      </c>
      <c r="B1099" s="230">
        <v>46053</v>
      </c>
      <c r="C1099" s="227" t="s">
        <v>109</v>
      </c>
      <c r="D1099" s="227" t="s">
        <v>139</v>
      </c>
      <c r="E1099" s="227" t="s">
        <v>85</v>
      </c>
      <c r="F1099" s="227" t="s">
        <v>85</v>
      </c>
      <c r="G1099" s="227" t="s">
        <v>85</v>
      </c>
      <c r="H1099" s="231">
        <v>0</v>
      </c>
      <c r="I1099" s="232">
        <v>0</v>
      </c>
      <c r="J1099" s="230">
        <v>46053</v>
      </c>
      <c r="K1099" s="227" t="s">
        <v>85</v>
      </c>
      <c r="L1099" s="227" t="s">
        <v>85</v>
      </c>
      <c r="M1099" s="233">
        <v>0</v>
      </c>
      <c r="N1099" s="231"/>
      <c r="O1099" s="231"/>
      <c r="P1099" s="234">
        <v>-292.86</v>
      </c>
    </row>
    <row r="1100" spans="1:16" ht="19.5" customHeight="1">
      <c r="A1100" s="227" t="s">
        <v>141</v>
      </c>
      <c r="B1100" s="230">
        <v>46053</v>
      </c>
      <c r="C1100" s="227" t="s">
        <v>109</v>
      </c>
      <c r="D1100" s="227" t="s">
        <v>139</v>
      </c>
      <c r="E1100" s="227" t="s">
        <v>85</v>
      </c>
      <c r="F1100" s="227" t="s">
        <v>85</v>
      </c>
      <c r="G1100" s="227" t="s">
        <v>85</v>
      </c>
      <c r="H1100" s="231">
        <v>0</v>
      </c>
      <c r="I1100" s="232">
        <v>0</v>
      </c>
      <c r="J1100" s="230">
        <v>46053</v>
      </c>
      <c r="K1100" s="227" t="s">
        <v>85</v>
      </c>
      <c r="L1100" s="227" t="s">
        <v>85</v>
      </c>
      <c r="M1100" s="233">
        <v>0</v>
      </c>
      <c r="N1100" s="231"/>
      <c r="O1100" s="231"/>
      <c r="P1100" s="234">
        <v>-452.57</v>
      </c>
    </row>
    <row r="1101" spans="1:16" ht="19.5" customHeight="1">
      <c r="A1101" s="227" t="s">
        <v>145</v>
      </c>
      <c r="B1101" s="230">
        <v>46053</v>
      </c>
      <c r="C1101" s="227" t="s">
        <v>109</v>
      </c>
      <c r="D1101" s="227" t="s">
        <v>139</v>
      </c>
      <c r="E1101" s="227" t="s">
        <v>85</v>
      </c>
      <c r="F1101" s="227" t="s">
        <v>85</v>
      </c>
      <c r="G1101" s="227" t="s">
        <v>85</v>
      </c>
      <c r="H1101" s="231">
        <v>0</v>
      </c>
      <c r="I1101" s="232">
        <v>0</v>
      </c>
      <c r="J1101" s="230">
        <v>46053</v>
      </c>
      <c r="K1101" s="227" t="s">
        <v>85</v>
      </c>
      <c r="L1101" s="227" t="s">
        <v>85</v>
      </c>
      <c r="M1101" s="233">
        <v>0</v>
      </c>
      <c r="N1101" s="231"/>
      <c r="O1101" s="231"/>
      <c r="P1101" s="234">
        <v>-1000.02</v>
      </c>
    </row>
    <row r="1102" spans="1:16" ht="19.5" customHeight="1">
      <c r="A1102" s="227" t="s">
        <v>138</v>
      </c>
      <c r="B1102" s="230">
        <v>46053</v>
      </c>
      <c r="C1102" s="227" t="s">
        <v>109</v>
      </c>
      <c r="D1102" s="227" t="s">
        <v>139</v>
      </c>
      <c r="E1102" s="227" t="s">
        <v>85</v>
      </c>
      <c r="F1102" s="227" t="s">
        <v>85</v>
      </c>
      <c r="G1102" s="227" t="s">
        <v>85</v>
      </c>
      <c r="H1102" s="231">
        <v>0</v>
      </c>
      <c r="I1102" s="232">
        <v>0</v>
      </c>
      <c r="J1102" s="230">
        <v>46053</v>
      </c>
      <c r="K1102" s="227" t="s">
        <v>85</v>
      </c>
      <c r="L1102" s="227" t="s">
        <v>85</v>
      </c>
      <c r="M1102" s="233">
        <v>0</v>
      </c>
      <c r="N1102" s="231"/>
      <c r="O1102" s="231"/>
      <c r="P1102" s="234">
        <v>-1155.5</v>
      </c>
    </row>
    <row r="1103" spans="1:16" ht="19.5" customHeight="1">
      <c r="A1103" s="227" t="s">
        <v>144</v>
      </c>
      <c r="B1103" s="230">
        <v>46053</v>
      </c>
      <c r="C1103" s="227" t="s">
        <v>109</v>
      </c>
      <c r="D1103" s="227" t="s">
        <v>139</v>
      </c>
      <c r="E1103" s="227" t="s">
        <v>85</v>
      </c>
      <c r="F1103" s="227" t="s">
        <v>85</v>
      </c>
      <c r="G1103" s="227" t="s">
        <v>85</v>
      </c>
      <c r="H1103" s="231">
        <v>0</v>
      </c>
      <c r="I1103" s="232">
        <v>0</v>
      </c>
      <c r="J1103" s="230">
        <v>46053</v>
      </c>
      <c r="K1103" s="227" t="s">
        <v>85</v>
      </c>
      <c r="L1103" s="227" t="s">
        <v>85</v>
      </c>
      <c r="M1103" s="233">
        <v>0</v>
      </c>
      <c r="N1103" s="231"/>
      <c r="O1103" s="231"/>
      <c r="P1103" s="234">
        <v>-1176.9000000000001</v>
      </c>
    </row>
    <row r="1104" spans="1:16" ht="19.5" customHeight="1">
      <c r="A1104" s="227" t="s">
        <v>142</v>
      </c>
      <c r="B1104" s="230">
        <v>46053</v>
      </c>
      <c r="C1104" s="227" t="s">
        <v>109</v>
      </c>
      <c r="D1104" s="227" t="s">
        <v>143</v>
      </c>
      <c r="E1104" s="227" t="s">
        <v>85</v>
      </c>
      <c r="F1104" s="227" t="s">
        <v>85</v>
      </c>
      <c r="G1104" s="227" t="s">
        <v>85</v>
      </c>
      <c r="H1104" s="231">
        <v>0</v>
      </c>
      <c r="I1104" s="232">
        <v>0</v>
      </c>
      <c r="J1104" s="230">
        <v>46053</v>
      </c>
      <c r="K1104" s="227" t="s">
        <v>85</v>
      </c>
      <c r="L1104" s="227" t="s">
        <v>85</v>
      </c>
      <c r="M1104" s="233">
        <v>0</v>
      </c>
      <c r="N1104" s="231"/>
      <c r="O1104" s="231"/>
      <c r="P1104" s="234">
        <v>-2764.9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A2CA-84AC-41DE-A9A0-5DA4DDC98A0F}">
  <dimension ref="A1:P899"/>
  <sheetViews>
    <sheetView topLeftCell="E1" workbookViewId="0">
      <selection activeCell="B5" sqref="B5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80</v>
      </c>
      <c r="B3" s="176">
        <v>46041</v>
      </c>
      <c r="C3" s="172" t="s">
        <v>81</v>
      </c>
      <c r="D3" s="172" t="s">
        <v>82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46040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-12.61</v>
      </c>
    </row>
    <row r="4" spans="1:16" ht="19.5" customHeight="1">
      <c r="A4" s="172" t="s">
        <v>86</v>
      </c>
      <c r="B4" s="176">
        <v>46041</v>
      </c>
      <c r="C4" s="172" t="s">
        <v>81</v>
      </c>
      <c r="D4" s="172" t="s">
        <v>82</v>
      </c>
      <c r="E4" s="172" t="s">
        <v>38</v>
      </c>
      <c r="F4" s="172" t="s">
        <v>87</v>
      </c>
      <c r="G4" s="172" t="s">
        <v>84</v>
      </c>
      <c r="H4" s="177">
        <v>1</v>
      </c>
      <c r="I4" s="178">
        <v>0</v>
      </c>
      <c r="J4" s="176">
        <v>46041</v>
      </c>
      <c r="K4" s="172" t="s">
        <v>85</v>
      </c>
      <c r="L4" s="172" t="s">
        <v>85</v>
      </c>
      <c r="M4" s="179">
        <v>0</v>
      </c>
      <c r="N4" s="177"/>
      <c r="O4" s="177"/>
      <c r="P4" s="180">
        <v>-5.5</v>
      </c>
    </row>
    <row r="5" spans="1:16" ht="19.5" customHeight="1">
      <c r="A5" s="172" t="s">
        <v>88</v>
      </c>
      <c r="B5" s="176">
        <v>46041</v>
      </c>
      <c r="C5" s="172" t="s">
        <v>81</v>
      </c>
      <c r="D5" s="172" t="s">
        <v>82</v>
      </c>
      <c r="E5" s="172" t="s">
        <v>42</v>
      </c>
      <c r="F5" s="172" t="s">
        <v>89</v>
      </c>
      <c r="G5" s="172" t="s">
        <v>84</v>
      </c>
      <c r="H5" s="177">
        <v>1</v>
      </c>
      <c r="I5" s="178">
        <v>0</v>
      </c>
      <c r="J5" s="176">
        <v>46041</v>
      </c>
      <c r="K5" s="172" t="s">
        <v>85</v>
      </c>
      <c r="L5" s="172" t="s">
        <v>85</v>
      </c>
      <c r="M5" s="179">
        <v>0</v>
      </c>
      <c r="N5" s="177"/>
      <c r="O5" s="177"/>
      <c r="P5" s="180">
        <v>-12.63</v>
      </c>
    </row>
    <row r="6" spans="1:16" ht="19.5" customHeight="1">
      <c r="A6" s="172" t="s">
        <v>88</v>
      </c>
      <c r="B6" s="176">
        <v>46041</v>
      </c>
      <c r="C6" s="172" t="s">
        <v>81</v>
      </c>
      <c r="D6" s="172" t="s">
        <v>82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46041</v>
      </c>
      <c r="K6" s="172" t="s">
        <v>85</v>
      </c>
      <c r="L6" s="172" t="s">
        <v>85</v>
      </c>
      <c r="M6" s="179">
        <v>0</v>
      </c>
      <c r="N6" s="177"/>
      <c r="O6" s="177"/>
      <c r="P6" s="180">
        <v>-14.13</v>
      </c>
    </row>
    <row r="7" spans="1:16" ht="19.5" customHeight="1">
      <c r="A7" s="172" t="s">
        <v>91</v>
      </c>
      <c r="B7" s="176">
        <v>46041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46031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-56.94</v>
      </c>
    </row>
    <row r="8" spans="1:16" ht="19.5" customHeight="1">
      <c r="A8" s="172" t="s">
        <v>91</v>
      </c>
      <c r="B8" s="176">
        <v>46041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46031</v>
      </c>
      <c r="K8" s="172" t="s">
        <v>93</v>
      </c>
      <c r="L8" s="172" t="s">
        <v>94</v>
      </c>
      <c r="M8" s="179">
        <v>0</v>
      </c>
      <c r="N8" s="177"/>
      <c r="O8" s="177"/>
      <c r="P8" s="180">
        <v>-14.03</v>
      </c>
    </row>
    <row r="9" spans="1:16" ht="19.5" customHeight="1">
      <c r="A9" s="172" t="s">
        <v>91</v>
      </c>
      <c r="B9" s="176">
        <v>46041</v>
      </c>
      <c r="C9" s="172" t="s">
        <v>92</v>
      </c>
      <c r="D9" s="172" t="s">
        <v>96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46031</v>
      </c>
      <c r="K9" s="172" t="s">
        <v>93</v>
      </c>
      <c r="L9" s="172" t="s">
        <v>94</v>
      </c>
      <c r="M9" s="179">
        <v>0</v>
      </c>
      <c r="N9" s="177"/>
      <c r="O9" s="177"/>
      <c r="P9" s="180">
        <v>0</v>
      </c>
    </row>
    <row r="10" spans="1:16" ht="19.5" customHeight="1">
      <c r="A10" s="172" t="s">
        <v>91</v>
      </c>
      <c r="B10" s="176">
        <v>46041</v>
      </c>
      <c r="C10" s="172" t="s">
        <v>92</v>
      </c>
      <c r="D10" s="172" t="s">
        <v>97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46031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-56.94</v>
      </c>
    </row>
    <row r="11" spans="1:16" ht="19.5" customHeight="1">
      <c r="A11" s="172" t="s">
        <v>91</v>
      </c>
      <c r="B11" s="176">
        <v>46041</v>
      </c>
      <c r="C11" s="172" t="s">
        <v>81</v>
      </c>
      <c r="D11" s="172" t="s">
        <v>98</v>
      </c>
      <c r="E11" s="172" t="s">
        <v>52</v>
      </c>
      <c r="F11" s="172" t="s">
        <v>90</v>
      </c>
      <c r="G11" s="172" t="s">
        <v>84</v>
      </c>
      <c r="H11" s="177">
        <v>1</v>
      </c>
      <c r="I11" s="178">
        <v>0</v>
      </c>
      <c r="J11" s="176">
        <v>46031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-15</v>
      </c>
    </row>
    <row r="12" spans="1:16" ht="19.5" customHeight="1">
      <c r="A12" s="172" t="s">
        <v>99</v>
      </c>
      <c r="B12" s="176">
        <v>46041</v>
      </c>
      <c r="C12" s="172" t="s">
        <v>92</v>
      </c>
      <c r="D12" s="172" t="s">
        <v>24</v>
      </c>
      <c r="E12" s="172" t="s">
        <v>38</v>
      </c>
      <c r="F12" s="172" t="s">
        <v>87</v>
      </c>
      <c r="G12" s="172" t="s">
        <v>84</v>
      </c>
      <c r="H12" s="177">
        <v>1</v>
      </c>
      <c r="I12" s="178">
        <v>1046</v>
      </c>
      <c r="J12" s="176">
        <v>46014</v>
      </c>
      <c r="K12" s="172" t="s">
        <v>93</v>
      </c>
      <c r="L12" s="172" t="s">
        <v>94</v>
      </c>
      <c r="M12" s="179">
        <v>0.43</v>
      </c>
      <c r="N12" s="177"/>
      <c r="O12" s="177">
        <v>43</v>
      </c>
      <c r="P12" s="180">
        <v>-106.21</v>
      </c>
    </row>
    <row r="13" spans="1:16" ht="19.5" customHeight="1">
      <c r="A13" s="172" t="s">
        <v>99</v>
      </c>
      <c r="B13" s="176">
        <v>46041</v>
      </c>
      <c r="C13" s="172" t="s">
        <v>100</v>
      </c>
      <c r="D13" s="172" t="s">
        <v>101</v>
      </c>
      <c r="E13" s="172" t="s">
        <v>38</v>
      </c>
      <c r="F13" s="172" t="s">
        <v>87</v>
      </c>
      <c r="G13" s="172" t="s">
        <v>84</v>
      </c>
      <c r="H13" s="177">
        <v>1</v>
      </c>
      <c r="I13" s="178">
        <v>1046</v>
      </c>
      <c r="J13" s="176">
        <v>46014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577.14</v>
      </c>
    </row>
    <row r="14" spans="1:16" ht="19.5" customHeight="1">
      <c r="A14" s="172" t="s">
        <v>99</v>
      </c>
      <c r="B14" s="176">
        <v>46041</v>
      </c>
      <c r="C14" s="172" t="s">
        <v>100</v>
      </c>
      <c r="D14" s="172" t="s">
        <v>102</v>
      </c>
      <c r="E14" s="172" t="s">
        <v>38</v>
      </c>
      <c r="F14" s="172" t="s">
        <v>87</v>
      </c>
      <c r="G14" s="172" t="s">
        <v>84</v>
      </c>
      <c r="H14" s="177">
        <v>1</v>
      </c>
      <c r="I14" s="178">
        <v>1046</v>
      </c>
      <c r="J14" s="176">
        <v>46014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5.77</v>
      </c>
    </row>
    <row r="15" spans="1:16" ht="19.5" customHeight="1">
      <c r="A15" s="172" t="s">
        <v>99</v>
      </c>
      <c r="B15" s="176">
        <v>46041</v>
      </c>
      <c r="C15" s="172" t="s">
        <v>100</v>
      </c>
      <c r="D15" s="172" t="s">
        <v>103</v>
      </c>
      <c r="E15" s="172" t="s">
        <v>38</v>
      </c>
      <c r="F15" s="172" t="s">
        <v>87</v>
      </c>
      <c r="G15" s="172" t="s">
        <v>84</v>
      </c>
      <c r="H15" s="177">
        <v>1</v>
      </c>
      <c r="I15" s="178">
        <v>1046</v>
      </c>
      <c r="J15" s="176">
        <v>46014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463.09</v>
      </c>
    </row>
    <row r="16" spans="1:16" ht="19.5" customHeight="1">
      <c r="A16" s="172" t="s">
        <v>99</v>
      </c>
      <c r="B16" s="176">
        <v>46041</v>
      </c>
      <c r="C16" s="172" t="s">
        <v>104</v>
      </c>
      <c r="D16" s="172" t="s">
        <v>105</v>
      </c>
      <c r="E16" s="172" t="s">
        <v>38</v>
      </c>
      <c r="F16" s="172" t="s">
        <v>87</v>
      </c>
      <c r="G16" s="172" t="s">
        <v>84</v>
      </c>
      <c r="H16" s="177">
        <v>1</v>
      </c>
      <c r="I16" s="178">
        <v>1046</v>
      </c>
      <c r="J16" s="176">
        <v>46014</v>
      </c>
      <c r="K16" s="172" t="s">
        <v>93</v>
      </c>
      <c r="L16" s="172" t="s">
        <v>94</v>
      </c>
      <c r="M16" s="179">
        <v>0.43</v>
      </c>
      <c r="N16" s="177"/>
      <c r="O16" s="177"/>
      <c r="P16" s="180">
        <v>-449.78</v>
      </c>
    </row>
    <row r="17" spans="1:16" ht="19.5" customHeight="1">
      <c r="A17" s="172" t="s">
        <v>106</v>
      </c>
      <c r="B17" s="176">
        <v>46041</v>
      </c>
      <c r="C17" s="172" t="s">
        <v>92</v>
      </c>
      <c r="D17" s="172" t="s">
        <v>24</v>
      </c>
      <c r="E17" s="172" t="s">
        <v>52</v>
      </c>
      <c r="F17" s="172" t="s">
        <v>90</v>
      </c>
      <c r="G17" s="172" t="s">
        <v>84</v>
      </c>
      <c r="H17" s="177">
        <v>1</v>
      </c>
      <c r="I17" s="178">
        <v>1621</v>
      </c>
      <c r="J17" s="176">
        <v>46013</v>
      </c>
      <c r="K17" s="172" t="s">
        <v>93</v>
      </c>
      <c r="L17" s="172" t="s">
        <v>94</v>
      </c>
      <c r="M17" s="179">
        <v>0.43</v>
      </c>
      <c r="N17" s="177"/>
      <c r="O17" s="177">
        <v>43</v>
      </c>
      <c r="P17" s="180">
        <v>-138.22999999999999</v>
      </c>
    </row>
    <row r="18" spans="1:16" ht="19.5" customHeight="1">
      <c r="A18" s="172" t="s">
        <v>106</v>
      </c>
      <c r="B18" s="176">
        <v>46041</v>
      </c>
      <c r="C18" s="172" t="s">
        <v>100</v>
      </c>
      <c r="D18" s="172" t="s">
        <v>101</v>
      </c>
      <c r="E18" s="172" t="s">
        <v>52</v>
      </c>
      <c r="F18" s="172" t="s">
        <v>90</v>
      </c>
      <c r="G18" s="172" t="s">
        <v>84</v>
      </c>
      <c r="H18" s="177">
        <v>1</v>
      </c>
      <c r="I18" s="178">
        <v>1621</v>
      </c>
      <c r="J18" s="176">
        <v>46013</v>
      </c>
      <c r="K18" s="172" t="s">
        <v>93</v>
      </c>
      <c r="L18" s="172" t="s">
        <v>94</v>
      </c>
      <c r="M18" s="179">
        <v>0</v>
      </c>
      <c r="N18" s="177"/>
      <c r="O18" s="177"/>
      <c r="P18" s="180">
        <v>567.62</v>
      </c>
    </row>
    <row r="19" spans="1:16" ht="19.5" customHeight="1">
      <c r="A19" s="172" t="s">
        <v>106</v>
      </c>
      <c r="B19" s="176">
        <v>46041</v>
      </c>
      <c r="C19" s="172" t="s">
        <v>100</v>
      </c>
      <c r="D19" s="172" t="s">
        <v>102</v>
      </c>
      <c r="E19" s="172" t="s">
        <v>52</v>
      </c>
      <c r="F19" s="172" t="s">
        <v>90</v>
      </c>
      <c r="G19" s="172" t="s">
        <v>84</v>
      </c>
      <c r="H19" s="177">
        <v>1</v>
      </c>
      <c r="I19" s="178">
        <v>1621</v>
      </c>
      <c r="J19" s="176">
        <v>46013</v>
      </c>
      <c r="K19" s="172" t="s">
        <v>93</v>
      </c>
      <c r="L19" s="172" t="s">
        <v>94</v>
      </c>
      <c r="M19" s="179">
        <v>0</v>
      </c>
      <c r="N19" s="177"/>
      <c r="O19" s="177"/>
      <c r="P19" s="180">
        <v>5.68</v>
      </c>
    </row>
    <row r="20" spans="1:16" ht="19.5" customHeight="1">
      <c r="A20" s="172" t="s">
        <v>106</v>
      </c>
      <c r="B20" s="176">
        <v>46041</v>
      </c>
      <c r="C20" s="172" t="s">
        <v>100</v>
      </c>
      <c r="D20" s="172" t="s">
        <v>103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1621</v>
      </c>
      <c r="J20" s="176">
        <v>46013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1047.7</v>
      </c>
    </row>
    <row r="21" spans="1:16" ht="19.5" customHeight="1">
      <c r="A21" s="172" t="s">
        <v>106</v>
      </c>
      <c r="B21" s="176">
        <v>46041</v>
      </c>
      <c r="C21" s="172" t="s">
        <v>104</v>
      </c>
      <c r="D21" s="172" t="s">
        <v>105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1621</v>
      </c>
      <c r="J21" s="176">
        <v>46013</v>
      </c>
      <c r="K21" s="172" t="s">
        <v>93</v>
      </c>
      <c r="L21" s="172" t="s">
        <v>94</v>
      </c>
      <c r="M21" s="179">
        <v>0.43</v>
      </c>
      <c r="N21" s="177"/>
      <c r="O21" s="177"/>
      <c r="P21" s="180">
        <v>-697.03</v>
      </c>
    </row>
    <row r="22" spans="1:16" ht="19.5" customHeight="1">
      <c r="A22" s="172" t="s">
        <v>106</v>
      </c>
      <c r="B22" s="176">
        <v>46041</v>
      </c>
      <c r="C22" s="172" t="s">
        <v>81</v>
      </c>
      <c r="D22" s="172" t="s">
        <v>82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46013</v>
      </c>
      <c r="K22" s="172" t="s">
        <v>85</v>
      </c>
      <c r="L22" s="172" t="s">
        <v>85</v>
      </c>
      <c r="M22" s="179">
        <v>0</v>
      </c>
      <c r="N22" s="177"/>
      <c r="O22" s="177"/>
      <c r="P22" s="180">
        <v>-10.78</v>
      </c>
    </row>
    <row r="23" spans="1:16" ht="19.5" customHeight="1">
      <c r="A23" s="172" t="s">
        <v>99</v>
      </c>
      <c r="B23" s="176">
        <v>46041</v>
      </c>
      <c r="C23" s="172" t="s">
        <v>81</v>
      </c>
      <c r="D23" s="172" t="s">
        <v>82</v>
      </c>
      <c r="E23" s="172" t="s">
        <v>38</v>
      </c>
      <c r="F23" s="172" t="s">
        <v>87</v>
      </c>
      <c r="G23" s="172" t="s">
        <v>84</v>
      </c>
      <c r="H23" s="177">
        <v>1</v>
      </c>
      <c r="I23" s="178">
        <v>0</v>
      </c>
      <c r="J23" s="176">
        <v>46014</v>
      </c>
      <c r="K23" s="172" t="s">
        <v>85</v>
      </c>
      <c r="L23" s="172" t="s">
        <v>85</v>
      </c>
      <c r="M23" s="179">
        <v>0</v>
      </c>
      <c r="N23" s="177"/>
      <c r="O23" s="177"/>
      <c r="P23" s="180">
        <v>-10.97</v>
      </c>
    </row>
    <row r="24" spans="1:16" ht="19.5" customHeight="1">
      <c r="A24" s="172" t="s">
        <v>107</v>
      </c>
      <c r="B24" s="176">
        <v>46041</v>
      </c>
      <c r="C24" s="172" t="s">
        <v>92</v>
      </c>
      <c r="D24" s="172" t="s">
        <v>96</v>
      </c>
      <c r="E24" s="172" t="s">
        <v>42</v>
      </c>
      <c r="F24" s="172" t="s">
        <v>89</v>
      </c>
      <c r="G24" s="172" t="s">
        <v>84</v>
      </c>
      <c r="H24" s="177">
        <v>1</v>
      </c>
      <c r="I24" s="178">
        <v>0</v>
      </c>
      <c r="J24" s="176">
        <v>46035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0</v>
      </c>
    </row>
    <row r="25" spans="1:16" ht="19.5" customHeight="1">
      <c r="A25" s="172" t="s">
        <v>107</v>
      </c>
      <c r="B25" s="176">
        <v>46041</v>
      </c>
      <c r="C25" s="172" t="s">
        <v>92</v>
      </c>
      <c r="D25" s="172" t="s">
        <v>97</v>
      </c>
      <c r="E25" s="172" t="s">
        <v>42</v>
      </c>
      <c r="F25" s="172" t="s">
        <v>89</v>
      </c>
      <c r="G25" s="172" t="s">
        <v>84</v>
      </c>
      <c r="H25" s="177">
        <v>1</v>
      </c>
      <c r="I25" s="178">
        <v>0</v>
      </c>
      <c r="J25" s="176">
        <v>46035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-46.77</v>
      </c>
    </row>
    <row r="26" spans="1:16" ht="19.5" customHeight="1">
      <c r="A26" s="172" t="s">
        <v>107</v>
      </c>
      <c r="B26" s="176">
        <v>46041</v>
      </c>
      <c r="C26" s="172" t="s">
        <v>92</v>
      </c>
      <c r="D26" s="172" t="s">
        <v>24</v>
      </c>
      <c r="E26" s="172" t="s">
        <v>42</v>
      </c>
      <c r="F26" s="172" t="s">
        <v>89</v>
      </c>
      <c r="G26" s="172" t="s">
        <v>84</v>
      </c>
      <c r="H26" s="177">
        <v>1</v>
      </c>
      <c r="I26" s="178">
        <v>0</v>
      </c>
      <c r="J26" s="176">
        <v>46035</v>
      </c>
      <c r="K26" s="172" t="s">
        <v>93</v>
      </c>
      <c r="L26" s="172" t="s">
        <v>94</v>
      </c>
      <c r="M26" s="179">
        <v>0</v>
      </c>
      <c r="N26" s="177"/>
      <c r="O26" s="177">
        <v>45</v>
      </c>
      <c r="P26" s="180">
        <v>-46.77</v>
      </c>
    </row>
    <row r="27" spans="1:16" ht="19.5" customHeight="1">
      <c r="A27" s="172" t="s">
        <v>107</v>
      </c>
      <c r="B27" s="176">
        <v>46041</v>
      </c>
      <c r="C27" s="172" t="s">
        <v>81</v>
      </c>
      <c r="D27" s="172" t="s">
        <v>95</v>
      </c>
      <c r="E27" s="172" t="s">
        <v>42</v>
      </c>
      <c r="F27" s="172" t="s">
        <v>89</v>
      </c>
      <c r="G27" s="172" t="s">
        <v>84</v>
      </c>
      <c r="H27" s="177">
        <v>1</v>
      </c>
      <c r="I27" s="178">
        <v>0</v>
      </c>
      <c r="J27" s="176">
        <v>46035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-13.4</v>
      </c>
    </row>
    <row r="28" spans="1:16" ht="19.5" customHeight="1">
      <c r="A28" s="172" t="s">
        <v>108</v>
      </c>
      <c r="B28" s="176">
        <v>46041</v>
      </c>
      <c r="C28" s="172" t="s">
        <v>92</v>
      </c>
      <c r="D28" s="172" t="s">
        <v>24</v>
      </c>
      <c r="E28" s="172" t="s">
        <v>42</v>
      </c>
      <c r="F28" s="172" t="s">
        <v>89</v>
      </c>
      <c r="G28" s="172" t="s">
        <v>84</v>
      </c>
      <c r="H28" s="177">
        <v>1</v>
      </c>
      <c r="I28" s="178">
        <v>0</v>
      </c>
      <c r="J28" s="176">
        <v>46031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-46.77</v>
      </c>
    </row>
    <row r="29" spans="1:16" ht="19.5" customHeight="1">
      <c r="A29" s="172" t="s">
        <v>108</v>
      </c>
      <c r="B29" s="176">
        <v>46041</v>
      </c>
      <c r="C29" s="172" t="s">
        <v>81</v>
      </c>
      <c r="D29" s="172" t="s">
        <v>95</v>
      </c>
      <c r="E29" s="172" t="s">
        <v>42</v>
      </c>
      <c r="F29" s="172" t="s">
        <v>89</v>
      </c>
      <c r="G29" s="172" t="s">
        <v>84</v>
      </c>
      <c r="H29" s="177">
        <v>1</v>
      </c>
      <c r="I29" s="178">
        <v>0</v>
      </c>
      <c r="J29" s="176">
        <v>46031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-10.4</v>
      </c>
    </row>
    <row r="30" spans="1:16" ht="19.5" customHeight="1">
      <c r="A30" s="172" t="s">
        <v>108</v>
      </c>
      <c r="B30" s="176">
        <v>46041</v>
      </c>
      <c r="C30" s="172" t="s">
        <v>92</v>
      </c>
      <c r="D30" s="172" t="s">
        <v>96</v>
      </c>
      <c r="E30" s="172" t="s">
        <v>42</v>
      </c>
      <c r="F30" s="172" t="s">
        <v>89</v>
      </c>
      <c r="G30" s="172" t="s">
        <v>84</v>
      </c>
      <c r="H30" s="177">
        <v>1</v>
      </c>
      <c r="I30" s="178">
        <v>0</v>
      </c>
      <c r="J30" s="176">
        <v>46031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0</v>
      </c>
    </row>
    <row r="31" spans="1:16" ht="19.5" customHeight="1">
      <c r="A31" s="172" t="s">
        <v>108</v>
      </c>
      <c r="B31" s="176">
        <v>46041</v>
      </c>
      <c r="C31" s="172" t="s">
        <v>92</v>
      </c>
      <c r="D31" s="172" t="s">
        <v>97</v>
      </c>
      <c r="E31" s="172" t="s">
        <v>42</v>
      </c>
      <c r="F31" s="172" t="s">
        <v>89</v>
      </c>
      <c r="G31" s="172" t="s">
        <v>84</v>
      </c>
      <c r="H31" s="177">
        <v>1</v>
      </c>
      <c r="I31" s="178">
        <v>0</v>
      </c>
      <c r="J31" s="176">
        <v>46031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-46.77</v>
      </c>
    </row>
    <row r="32" spans="1:16" ht="19.5" customHeight="1">
      <c r="A32" s="172" t="s">
        <v>108</v>
      </c>
      <c r="B32" s="176">
        <v>46041</v>
      </c>
      <c r="C32" s="172" t="s">
        <v>81</v>
      </c>
      <c r="D32" s="172" t="s">
        <v>98</v>
      </c>
      <c r="E32" s="172" t="s">
        <v>42</v>
      </c>
      <c r="F32" s="172" t="s">
        <v>89</v>
      </c>
      <c r="G32" s="172" t="s">
        <v>84</v>
      </c>
      <c r="H32" s="177">
        <v>1</v>
      </c>
      <c r="I32" s="178">
        <v>0</v>
      </c>
      <c r="J32" s="176">
        <v>46031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-15</v>
      </c>
    </row>
    <row r="33" spans="1:16" ht="19.5" customHeight="1">
      <c r="A33" s="172" t="s">
        <v>85</v>
      </c>
      <c r="B33" s="176">
        <v>46041</v>
      </c>
      <c r="C33" s="172" t="s">
        <v>109</v>
      </c>
      <c r="D33" s="172" t="s">
        <v>110</v>
      </c>
      <c r="E33" s="172" t="s">
        <v>85</v>
      </c>
      <c r="F33" s="172" t="s">
        <v>85</v>
      </c>
      <c r="G33" s="172" t="s">
        <v>111</v>
      </c>
      <c r="H33" s="177">
        <v>0</v>
      </c>
      <c r="I33" s="178">
        <v>0</v>
      </c>
      <c r="J33" s="176">
        <v>46041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-150</v>
      </c>
    </row>
    <row r="34" spans="1:16" ht="19.5" customHeight="1">
      <c r="A34" s="172" t="s">
        <v>112</v>
      </c>
      <c r="B34" s="176">
        <v>46041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0</v>
      </c>
      <c r="J34" s="176">
        <v>46027</v>
      </c>
      <c r="K34" s="172" t="s">
        <v>93</v>
      </c>
      <c r="L34" s="172" t="s">
        <v>94</v>
      </c>
      <c r="M34" s="179">
        <v>0</v>
      </c>
      <c r="N34" s="177"/>
      <c r="O34" s="177">
        <v>45</v>
      </c>
      <c r="P34" s="180">
        <v>-56</v>
      </c>
    </row>
    <row r="35" spans="1:16" ht="19.5" customHeight="1">
      <c r="A35" s="172" t="s">
        <v>112</v>
      </c>
      <c r="B35" s="176">
        <v>46041</v>
      </c>
      <c r="C35" s="172" t="s">
        <v>81</v>
      </c>
      <c r="D35" s="172" t="s">
        <v>95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46027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-8.19</v>
      </c>
    </row>
    <row r="36" spans="1:16" ht="19.5" customHeight="1">
      <c r="A36" s="172" t="s">
        <v>112</v>
      </c>
      <c r="B36" s="176">
        <v>46041</v>
      </c>
      <c r="C36" s="172" t="s">
        <v>92</v>
      </c>
      <c r="D36" s="172" t="s">
        <v>96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0</v>
      </c>
      <c r="J36" s="176">
        <v>46027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0</v>
      </c>
    </row>
    <row r="37" spans="1:16" ht="19.5" customHeight="1">
      <c r="A37" s="172" t="s">
        <v>112</v>
      </c>
      <c r="B37" s="176">
        <v>46041</v>
      </c>
      <c r="C37" s="172" t="s">
        <v>92</v>
      </c>
      <c r="D37" s="172" t="s">
        <v>97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0</v>
      </c>
      <c r="J37" s="176">
        <v>46027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-56</v>
      </c>
    </row>
    <row r="38" spans="1:16" ht="19.5" customHeight="1">
      <c r="A38" s="172" t="s">
        <v>112</v>
      </c>
      <c r="B38" s="176">
        <v>46041</v>
      </c>
      <c r="C38" s="172" t="s">
        <v>81</v>
      </c>
      <c r="D38" s="172" t="s">
        <v>98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0</v>
      </c>
      <c r="J38" s="176">
        <v>46027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-15</v>
      </c>
    </row>
    <row r="39" spans="1:16" ht="19.5" customHeight="1">
      <c r="A39" s="172" t="s">
        <v>113</v>
      </c>
      <c r="B39" s="176">
        <v>46041</v>
      </c>
      <c r="C39" s="172" t="s">
        <v>81</v>
      </c>
      <c r="D39" s="172" t="s">
        <v>82</v>
      </c>
      <c r="E39" s="172" t="s">
        <v>41</v>
      </c>
      <c r="F39" s="172" t="s">
        <v>83</v>
      </c>
      <c r="G39" s="172" t="s">
        <v>84</v>
      </c>
      <c r="H39" s="177">
        <v>1</v>
      </c>
      <c r="I39" s="178">
        <v>0</v>
      </c>
      <c r="J39" s="176">
        <v>46041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-14.08</v>
      </c>
    </row>
    <row r="40" spans="1:16" ht="19.5" customHeight="1">
      <c r="A40" s="172" t="s">
        <v>114</v>
      </c>
      <c r="B40" s="176">
        <v>46041</v>
      </c>
      <c r="C40" s="172" t="s">
        <v>92</v>
      </c>
      <c r="D40" s="172" t="s">
        <v>24</v>
      </c>
      <c r="E40" s="172" t="s">
        <v>52</v>
      </c>
      <c r="F40" s="172" t="s">
        <v>90</v>
      </c>
      <c r="G40" s="172" t="s">
        <v>84</v>
      </c>
      <c r="H40" s="177">
        <v>1</v>
      </c>
      <c r="I40" s="178">
        <v>1885</v>
      </c>
      <c r="J40" s="176">
        <v>46039</v>
      </c>
      <c r="K40" s="172" t="s">
        <v>93</v>
      </c>
      <c r="L40" s="172" t="s">
        <v>94</v>
      </c>
      <c r="M40" s="179">
        <v>0.43</v>
      </c>
      <c r="N40" s="177"/>
      <c r="O40" s="177">
        <v>47</v>
      </c>
      <c r="P40" s="180">
        <v>-162.68</v>
      </c>
    </row>
    <row r="41" spans="1:16" ht="19.5" customHeight="1">
      <c r="A41" s="172" t="s">
        <v>114</v>
      </c>
      <c r="B41" s="176">
        <v>46041</v>
      </c>
      <c r="C41" s="172" t="s">
        <v>100</v>
      </c>
      <c r="D41" s="172" t="s">
        <v>101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1885</v>
      </c>
      <c r="J41" s="176">
        <v>46039</v>
      </c>
      <c r="K41" s="172" t="s">
        <v>93</v>
      </c>
      <c r="L41" s="172" t="s">
        <v>94</v>
      </c>
      <c r="M41" s="179">
        <v>0</v>
      </c>
      <c r="N41" s="177"/>
      <c r="O41" s="177"/>
      <c r="P41" s="180">
        <v>657.14</v>
      </c>
    </row>
    <row r="42" spans="1:16" ht="19.5" customHeight="1">
      <c r="A42" s="172" t="s">
        <v>114</v>
      </c>
      <c r="B42" s="176">
        <v>46041</v>
      </c>
      <c r="C42" s="172" t="s">
        <v>100</v>
      </c>
      <c r="D42" s="172" t="s">
        <v>102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1885</v>
      </c>
      <c r="J42" s="176">
        <v>46039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6.57</v>
      </c>
    </row>
    <row r="43" spans="1:16" ht="19.5" customHeight="1">
      <c r="A43" s="172" t="s">
        <v>114</v>
      </c>
      <c r="B43" s="176">
        <v>46041</v>
      </c>
      <c r="C43" s="172" t="s">
        <v>100</v>
      </c>
      <c r="D43" s="172" t="s">
        <v>103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1885</v>
      </c>
      <c r="J43" s="176">
        <v>46039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1221.29</v>
      </c>
    </row>
    <row r="44" spans="1:16" ht="19.5" customHeight="1">
      <c r="A44" s="172" t="s">
        <v>114</v>
      </c>
      <c r="B44" s="176">
        <v>46041</v>
      </c>
      <c r="C44" s="172" t="s">
        <v>104</v>
      </c>
      <c r="D44" s="172" t="s">
        <v>105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1885</v>
      </c>
      <c r="J44" s="176">
        <v>46039</v>
      </c>
      <c r="K44" s="172" t="s">
        <v>93</v>
      </c>
      <c r="L44" s="172" t="s">
        <v>94</v>
      </c>
      <c r="M44" s="179">
        <v>0.43</v>
      </c>
      <c r="N44" s="177"/>
      <c r="O44" s="177"/>
      <c r="P44" s="180">
        <v>-810.55</v>
      </c>
    </row>
    <row r="45" spans="1:16" ht="19.5" customHeight="1">
      <c r="A45" s="172" t="s">
        <v>114</v>
      </c>
      <c r="B45" s="176">
        <v>46041</v>
      </c>
      <c r="C45" s="172" t="s">
        <v>81</v>
      </c>
      <c r="D45" s="172" t="s">
        <v>95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1885</v>
      </c>
      <c r="J45" s="176">
        <v>46039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-12.86</v>
      </c>
    </row>
    <row r="46" spans="1:16" ht="19.5" customHeight="1">
      <c r="A46" s="172" t="s">
        <v>115</v>
      </c>
      <c r="B46" s="176">
        <v>46041</v>
      </c>
      <c r="C46" s="172" t="s">
        <v>92</v>
      </c>
      <c r="D46" s="172" t="s">
        <v>24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0</v>
      </c>
      <c r="J46" s="176">
        <v>46032</v>
      </c>
      <c r="K46" s="172" t="s">
        <v>93</v>
      </c>
      <c r="L46" s="172" t="s">
        <v>94</v>
      </c>
      <c r="M46" s="179">
        <v>0</v>
      </c>
      <c r="N46" s="177"/>
      <c r="O46" s="177">
        <v>41</v>
      </c>
      <c r="P46" s="180">
        <v>-56</v>
      </c>
    </row>
    <row r="47" spans="1:16" ht="19.5" customHeight="1">
      <c r="A47" s="172" t="s">
        <v>115</v>
      </c>
      <c r="B47" s="176">
        <v>46041</v>
      </c>
      <c r="C47" s="172" t="s">
        <v>81</v>
      </c>
      <c r="D47" s="172" t="s">
        <v>95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46032</v>
      </c>
      <c r="K47" s="172" t="s">
        <v>93</v>
      </c>
      <c r="L47" s="172" t="s">
        <v>94</v>
      </c>
      <c r="M47" s="179">
        <v>0</v>
      </c>
      <c r="N47" s="177"/>
      <c r="O47" s="177"/>
      <c r="P47" s="180">
        <v>-9.85</v>
      </c>
    </row>
    <row r="48" spans="1:16" ht="19.5" customHeight="1">
      <c r="A48" s="172" t="s">
        <v>116</v>
      </c>
      <c r="B48" s="176">
        <v>46041</v>
      </c>
      <c r="C48" s="172" t="s">
        <v>92</v>
      </c>
      <c r="D48" s="172" t="s">
        <v>24</v>
      </c>
      <c r="E48" s="172" t="s">
        <v>39</v>
      </c>
      <c r="F48" s="172" t="s">
        <v>117</v>
      </c>
      <c r="G48" s="172" t="s">
        <v>84</v>
      </c>
      <c r="H48" s="177">
        <v>1</v>
      </c>
      <c r="I48" s="178">
        <v>1750</v>
      </c>
      <c r="J48" s="176">
        <v>46038</v>
      </c>
      <c r="K48" s="172" t="s">
        <v>93</v>
      </c>
      <c r="L48" s="172" t="s">
        <v>94</v>
      </c>
      <c r="M48" s="179">
        <v>0.43</v>
      </c>
      <c r="N48" s="177"/>
      <c r="O48" s="177">
        <v>46</v>
      </c>
      <c r="P48" s="180">
        <v>-139.41999999999999</v>
      </c>
    </row>
    <row r="49" spans="1:16" ht="19.5" customHeight="1">
      <c r="A49" s="172" t="s">
        <v>116</v>
      </c>
      <c r="B49" s="176">
        <v>46041</v>
      </c>
      <c r="C49" s="172" t="s">
        <v>100</v>
      </c>
      <c r="D49" s="172" t="s">
        <v>101</v>
      </c>
      <c r="E49" s="172" t="s">
        <v>39</v>
      </c>
      <c r="F49" s="172" t="s">
        <v>117</v>
      </c>
      <c r="G49" s="172" t="s">
        <v>84</v>
      </c>
      <c r="H49" s="177">
        <v>1</v>
      </c>
      <c r="I49" s="178">
        <v>1750</v>
      </c>
      <c r="J49" s="176">
        <v>46038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654.29</v>
      </c>
    </row>
    <row r="50" spans="1:16" ht="19.5" customHeight="1">
      <c r="A50" s="172" t="s">
        <v>116</v>
      </c>
      <c r="B50" s="176">
        <v>46041</v>
      </c>
      <c r="C50" s="172" t="s">
        <v>100</v>
      </c>
      <c r="D50" s="172" t="s">
        <v>102</v>
      </c>
      <c r="E50" s="172" t="s">
        <v>39</v>
      </c>
      <c r="F50" s="172" t="s">
        <v>117</v>
      </c>
      <c r="G50" s="172" t="s">
        <v>84</v>
      </c>
      <c r="H50" s="177">
        <v>1</v>
      </c>
      <c r="I50" s="178">
        <v>1750</v>
      </c>
      <c r="J50" s="176">
        <v>46038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6.54</v>
      </c>
    </row>
    <row r="51" spans="1:16" ht="19.5" customHeight="1">
      <c r="A51" s="172" t="s">
        <v>116</v>
      </c>
      <c r="B51" s="176">
        <v>46041</v>
      </c>
      <c r="C51" s="172" t="s">
        <v>100</v>
      </c>
      <c r="D51" s="172" t="s">
        <v>103</v>
      </c>
      <c r="E51" s="172" t="s">
        <v>39</v>
      </c>
      <c r="F51" s="172" t="s">
        <v>117</v>
      </c>
      <c r="G51" s="172" t="s">
        <v>84</v>
      </c>
      <c r="H51" s="177">
        <v>1</v>
      </c>
      <c r="I51" s="178">
        <v>1750</v>
      </c>
      <c r="J51" s="176">
        <v>46038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1089.17</v>
      </c>
    </row>
    <row r="52" spans="1:16" ht="19.5" customHeight="1">
      <c r="A52" s="172" t="s">
        <v>116</v>
      </c>
      <c r="B52" s="176">
        <v>46041</v>
      </c>
      <c r="C52" s="172" t="s">
        <v>104</v>
      </c>
      <c r="D52" s="172" t="s">
        <v>105</v>
      </c>
      <c r="E52" s="172" t="s">
        <v>39</v>
      </c>
      <c r="F52" s="172" t="s">
        <v>117</v>
      </c>
      <c r="G52" s="172" t="s">
        <v>84</v>
      </c>
      <c r="H52" s="177">
        <v>1</v>
      </c>
      <c r="I52" s="178">
        <v>1750</v>
      </c>
      <c r="J52" s="176">
        <v>46038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-752.5</v>
      </c>
    </row>
    <row r="53" spans="1:16" ht="19.5" customHeight="1">
      <c r="A53" s="172" t="s">
        <v>116</v>
      </c>
      <c r="B53" s="176">
        <v>46041</v>
      </c>
      <c r="C53" s="172" t="s">
        <v>81</v>
      </c>
      <c r="D53" s="172" t="s">
        <v>95</v>
      </c>
      <c r="E53" s="172" t="s">
        <v>39</v>
      </c>
      <c r="F53" s="172" t="s">
        <v>117</v>
      </c>
      <c r="G53" s="172" t="s">
        <v>84</v>
      </c>
      <c r="H53" s="177">
        <v>1</v>
      </c>
      <c r="I53" s="178">
        <v>1750</v>
      </c>
      <c r="J53" s="176">
        <v>46038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-16.809999999999999</v>
      </c>
    </row>
    <row r="54" spans="1:16" ht="19.5" customHeight="1">
      <c r="A54" s="172" t="s">
        <v>115</v>
      </c>
      <c r="B54" s="176">
        <v>46041</v>
      </c>
      <c r="C54" s="172" t="s">
        <v>92</v>
      </c>
      <c r="D54" s="172" t="s">
        <v>96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0</v>
      </c>
      <c r="J54" s="176">
        <v>46032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0</v>
      </c>
    </row>
    <row r="55" spans="1:16" ht="19.5" customHeight="1">
      <c r="A55" s="172" t="s">
        <v>115</v>
      </c>
      <c r="B55" s="176">
        <v>46041</v>
      </c>
      <c r="C55" s="172" t="s">
        <v>92</v>
      </c>
      <c r="D55" s="172" t="s">
        <v>97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46032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-56</v>
      </c>
    </row>
    <row r="56" spans="1:16" ht="19.5" customHeight="1">
      <c r="A56" s="172" t="s">
        <v>115</v>
      </c>
      <c r="B56" s="176">
        <v>46041</v>
      </c>
      <c r="C56" s="172" t="s">
        <v>81</v>
      </c>
      <c r="D56" s="172" t="s">
        <v>98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46032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-15</v>
      </c>
    </row>
    <row r="57" spans="1:16" ht="19.5" customHeight="1">
      <c r="A57" s="172" t="s">
        <v>118</v>
      </c>
      <c r="B57" s="176">
        <v>46041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0</v>
      </c>
      <c r="J57" s="176">
        <v>46039</v>
      </c>
      <c r="K57" s="172" t="s">
        <v>93</v>
      </c>
      <c r="L57" s="172" t="s">
        <v>94</v>
      </c>
      <c r="M57" s="179">
        <v>0</v>
      </c>
      <c r="N57" s="177"/>
      <c r="O57" s="177">
        <v>47</v>
      </c>
      <c r="P57" s="180">
        <v>-46.77</v>
      </c>
    </row>
    <row r="58" spans="1:16" ht="19.5" customHeight="1">
      <c r="A58" s="172" t="s">
        <v>118</v>
      </c>
      <c r="B58" s="176">
        <v>46041</v>
      </c>
      <c r="C58" s="172" t="s">
        <v>81</v>
      </c>
      <c r="D58" s="172" t="s">
        <v>95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0</v>
      </c>
      <c r="J58" s="176">
        <v>46039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-8.5299999999999994</v>
      </c>
    </row>
    <row r="59" spans="1:16" ht="19.5" customHeight="1">
      <c r="A59" s="172" t="s">
        <v>118</v>
      </c>
      <c r="B59" s="176">
        <v>46041</v>
      </c>
      <c r="C59" s="172" t="s">
        <v>92</v>
      </c>
      <c r="D59" s="172" t="s">
        <v>96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0</v>
      </c>
      <c r="J59" s="176">
        <v>46039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0</v>
      </c>
    </row>
    <row r="60" spans="1:16" ht="19.5" customHeight="1">
      <c r="A60" s="172" t="s">
        <v>118</v>
      </c>
      <c r="B60" s="176">
        <v>46041</v>
      </c>
      <c r="C60" s="172" t="s">
        <v>92</v>
      </c>
      <c r="D60" s="172" t="s">
        <v>97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0</v>
      </c>
      <c r="J60" s="176">
        <v>46039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-46.77</v>
      </c>
    </row>
    <row r="61" spans="1:16" ht="19.5" customHeight="1">
      <c r="A61" s="172" t="s">
        <v>118</v>
      </c>
      <c r="B61" s="176">
        <v>46041</v>
      </c>
      <c r="C61" s="172" t="s">
        <v>81</v>
      </c>
      <c r="D61" s="172" t="s">
        <v>98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0</v>
      </c>
      <c r="J61" s="176">
        <v>46039</v>
      </c>
      <c r="K61" s="172" t="s">
        <v>93</v>
      </c>
      <c r="L61" s="172" t="s">
        <v>94</v>
      </c>
      <c r="M61" s="179">
        <v>0</v>
      </c>
      <c r="N61" s="177"/>
      <c r="O61" s="177"/>
      <c r="P61" s="180">
        <v>-15</v>
      </c>
    </row>
    <row r="62" spans="1:16" ht="19.5" customHeight="1">
      <c r="A62" s="172" t="s">
        <v>116</v>
      </c>
      <c r="B62" s="176">
        <v>46041</v>
      </c>
      <c r="C62" s="172" t="s">
        <v>81</v>
      </c>
      <c r="D62" s="172" t="s">
        <v>82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0</v>
      </c>
      <c r="J62" s="176">
        <v>46038</v>
      </c>
      <c r="K62" s="172" t="s">
        <v>85</v>
      </c>
      <c r="L62" s="172" t="s">
        <v>85</v>
      </c>
      <c r="M62" s="179">
        <v>0</v>
      </c>
      <c r="N62" s="177"/>
      <c r="O62" s="177"/>
      <c r="P62" s="180">
        <v>-12.43</v>
      </c>
    </row>
    <row r="63" spans="1:16" ht="19.5" customHeight="1">
      <c r="A63" s="172" t="s">
        <v>119</v>
      </c>
      <c r="B63" s="176">
        <v>46041</v>
      </c>
      <c r="C63" s="172" t="s">
        <v>92</v>
      </c>
      <c r="D63" s="172" t="s">
        <v>24</v>
      </c>
      <c r="E63" s="172" t="s">
        <v>53</v>
      </c>
      <c r="F63" s="172" t="s">
        <v>120</v>
      </c>
      <c r="G63" s="172" t="s">
        <v>84</v>
      </c>
      <c r="H63" s="177">
        <v>1</v>
      </c>
      <c r="I63" s="178">
        <v>0</v>
      </c>
      <c r="J63" s="176">
        <v>46035</v>
      </c>
      <c r="K63" s="172" t="s">
        <v>93</v>
      </c>
      <c r="L63" s="172" t="s">
        <v>94</v>
      </c>
      <c r="M63" s="179">
        <v>0</v>
      </c>
      <c r="N63" s="177"/>
      <c r="O63" s="177">
        <v>45</v>
      </c>
      <c r="P63" s="180">
        <v>-56</v>
      </c>
    </row>
    <row r="64" spans="1:16" ht="19.5" customHeight="1">
      <c r="A64" s="172" t="s">
        <v>119</v>
      </c>
      <c r="B64" s="176">
        <v>46041</v>
      </c>
      <c r="C64" s="172" t="s">
        <v>81</v>
      </c>
      <c r="D64" s="172" t="s">
        <v>95</v>
      </c>
      <c r="E64" s="172" t="s">
        <v>53</v>
      </c>
      <c r="F64" s="172" t="s">
        <v>120</v>
      </c>
      <c r="G64" s="172" t="s">
        <v>84</v>
      </c>
      <c r="H64" s="177">
        <v>1</v>
      </c>
      <c r="I64" s="178">
        <v>0</v>
      </c>
      <c r="J64" s="176">
        <v>46035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-10.29</v>
      </c>
    </row>
    <row r="65" spans="1:16" ht="19.5" customHeight="1">
      <c r="A65" s="172" t="s">
        <v>119</v>
      </c>
      <c r="B65" s="176">
        <v>46041</v>
      </c>
      <c r="C65" s="172" t="s">
        <v>92</v>
      </c>
      <c r="D65" s="172" t="s">
        <v>96</v>
      </c>
      <c r="E65" s="172" t="s">
        <v>53</v>
      </c>
      <c r="F65" s="172" t="s">
        <v>120</v>
      </c>
      <c r="G65" s="172" t="s">
        <v>84</v>
      </c>
      <c r="H65" s="177">
        <v>1</v>
      </c>
      <c r="I65" s="178">
        <v>0</v>
      </c>
      <c r="J65" s="176">
        <v>46035</v>
      </c>
      <c r="K65" s="172" t="s">
        <v>93</v>
      </c>
      <c r="L65" s="172" t="s">
        <v>94</v>
      </c>
      <c r="M65" s="179">
        <v>0</v>
      </c>
      <c r="N65" s="177"/>
      <c r="O65" s="177"/>
      <c r="P65" s="180">
        <v>0</v>
      </c>
    </row>
    <row r="66" spans="1:16" ht="19.5" customHeight="1">
      <c r="A66" s="172" t="s">
        <v>119</v>
      </c>
      <c r="B66" s="176">
        <v>46041</v>
      </c>
      <c r="C66" s="172" t="s">
        <v>92</v>
      </c>
      <c r="D66" s="172" t="s">
        <v>97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46035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-56</v>
      </c>
    </row>
    <row r="67" spans="1:16" ht="19.5" customHeight="1">
      <c r="A67" s="172" t="s">
        <v>119</v>
      </c>
      <c r="B67" s="176">
        <v>46041</v>
      </c>
      <c r="C67" s="172" t="s">
        <v>81</v>
      </c>
      <c r="D67" s="172" t="s">
        <v>98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46035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</v>
      </c>
    </row>
    <row r="68" spans="1:16" ht="19.5" customHeight="1">
      <c r="A68" s="172" t="s">
        <v>121</v>
      </c>
      <c r="B68" s="176">
        <v>46041</v>
      </c>
      <c r="C68" s="172" t="s">
        <v>92</v>
      </c>
      <c r="D68" s="172" t="s">
        <v>24</v>
      </c>
      <c r="E68" s="172" t="s">
        <v>38</v>
      </c>
      <c r="F68" s="172" t="s">
        <v>87</v>
      </c>
      <c r="G68" s="172" t="s">
        <v>84</v>
      </c>
      <c r="H68" s="177">
        <v>1</v>
      </c>
      <c r="I68" s="178">
        <v>1750</v>
      </c>
      <c r="J68" s="176">
        <v>46039</v>
      </c>
      <c r="K68" s="172" t="s">
        <v>93</v>
      </c>
      <c r="L68" s="172" t="s">
        <v>94</v>
      </c>
      <c r="M68" s="179">
        <v>0.43</v>
      </c>
      <c r="N68" s="177"/>
      <c r="O68" s="177">
        <v>47</v>
      </c>
      <c r="P68" s="180">
        <v>-142.11000000000001</v>
      </c>
    </row>
    <row r="69" spans="1:16" ht="19.5" customHeight="1">
      <c r="A69" s="172" t="s">
        <v>121</v>
      </c>
      <c r="B69" s="176">
        <v>46041</v>
      </c>
      <c r="C69" s="172" t="s">
        <v>100</v>
      </c>
      <c r="D69" s="172" t="s">
        <v>101</v>
      </c>
      <c r="E69" s="172" t="s">
        <v>38</v>
      </c>
      <c r="F69" s="172" t="s">
        <v>87</v>
      </c>
      <c r="G69" s="172" t="s">
        <v>84</v>
      </c>
      <c r="H69" s="177">
        <v>1</v>
      </c>
      <c r="I69" s="178">
        <v>1750</v>
      </c>
      <c r="J69" s="176">
        <v>46039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617.14</v>
      </c>
    </row>
    <row r="70" spans="1:16" ht="19.5" customHeight="1">
      <c r="A70" s="172" t="s">
        <v>121</v>
      </c>
      <c r="B70" s="176">
        <v>46041</v>
      </c>
      <c r="C70" s="172" t="s">
        <v>100</v>
      </c>
      <c r="D70" s="172" t="s">
        <v>102</v>
      </c>
      <c r="E70" s="172" t="s">
        <v>38</v>
      </c>
      <c r="F70" s="172" t="s">
        <v>87</v>
      </c>
      <c r="G70" s="172" t="s">
        <v>84</v>
      </c>
      <c r="H70" s="177">
        <v>1</v>
      </c>
      <c r="I70" s="178">
        <v>1750</v>
      </c>
      <c r="J70" s="176">
        <v>46039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6.17</v>
      </c>
    </row>
    <row r="71" spans="1:16" ht="19.5" customHeight="1">
      <c r="A71" s="172" t="s">
        <v>121</v>
      </c>
      <c r="B71" s="176">
        <v>46041</v>
      </c>
      <c r="C71" s="172" t="s">
        <v>100</v>
      </c>
      <c r="D71" s="172" t="s">
        <v>103</v>
      </c>
      <c r="E71" s="172" t="s">
        <v>38</v>
      </c>
      <c r="F71" s="172" t="s">
        <v>87</v>
      </c>
      <c r="G71" s="172" t="s">
        <v>84</v>
      </c>
      <c r="H71" s="177">
        <v>1</v>
      </c>
      <c r="I71" s="178">
        <v>1750</v>
      </c>
      <c r="J71" s="176">
        <v>46039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1126.69</v>
      </c>
    </row>
    <row r="72" spans="1:16" ht="19.5" customHeight="1">
      <c r="A72" s="172" t="s">
        <v>121</v>
      </c>
      <c r="B72" s="176">
        <v>46041</v>
      </c>
      <c r="C72" s="172" t="s">
        <v>104</v>
      </c>
      <c r="D72" s="172" t="s">
        <v>105</v>
      </c>
      <c r="E72" s="172" t="s">
        <v>38</v>
      </c>
      <c r="F72" s="172" t="s">
        <v>87</v>
      </c>
      <c r="G72" s="172" t="s">
        <v>84</v>
      </c>
      <c r="H72" s="177">
        <v>1</v>
      </c>
      <c r="I72" s="178">
        <v>1750</v>
      </c>
      <c r="J72" s="176">
        <v>46039</v>
      </c>
      <c r="K72" s="172" t="s">
        <v>93</v>
      </c>
      <c r="L72" s="172" t="s">
        <v>94</v>
      </c>
      <c r="M72" s="179">
        <v>0.43</v>
      </c>
      <c r="N72" s="177"/>
      <c r="O72" s="177"/>
      <c r="P72" s="180">
        <v>-752.5</v>
      </c>
    </row>
    <row r="73" spans="1:16" ht="19.5" customHeight="1">
      <c r="A73" s="172" t="s">
        <v>122</v>
      </c>
      <c r="B73" s="176">
        <v>46041</v>
      </c>
      <c r="C73" s="172" t="s">
        <v>92</v>
      </c>
      <c r="D73" s="172" t="s">
        <v>24</v>
      </c>
      <c r="E73" s="172" t="s">
        <v>53</v>
      </c>
      <c r="F73" s="172" t="s">
        <v>120</v>
      </c>
      <c r="G73" s="172" t="s">
        <v>84</v>
      </c>
      <c r="H73" s="177">
        <v>1</v>
      </c>
      <c r="I73" s="178">
        <v>1845</v>
      </c>
      <c r="J73" s="176">
        <v>46034</v>
      </c>
      <c r="K73" s="172" t="s">
        <v>93</v>
      </c>
      <c r="L73" s="172" t="s">
        <v>94</v>
      </c>
      <c r="M73" s="179">
        <v>0.43</v>
      </c>
      <c r="N73" s="177"/>
      <c r="O73" s="177">
        <v>42</v>
      </c>
      <c r="P73" s="180">
        <v>-140.5</v>
      </c>
    </row>
    <row r="74" spans="1:16" ht="19.5" customHeight="1">
      <c r="A74" s="172" t="s">
        <v>122</v>
      </c>
      <c r="B74" s="176">
        <v>46041</v>
      </c>
      <c r="C74" s="172" t="s">
        <v>100</v>
      </c>
      <c r="D74" s="172" t="s">
        <v>101</v>
      </c>
      <c r="E74" s="172" t="s">
        <v>53</v>
      </c>
      <c r="F74" s="172" t="s">
        <v>120</v>
      </c>
      <c r="G74" s="172" t="s">
        <v>84</v>
      </c>
      <c r="H74" s="177">
        <v>1</v>
      </c>
      <c r="I74" s="178">
        <v>1845</v>
      </c>
      <c r="J74" s="176">
        <v>46034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718.36</v>
      </c>
    </row>
    <row r="75" spans="1:16" ht="19.5" customHeight="1">
      <c r="A75" s="172" t="s">
        <v>122</v>
      </c>
      <c r="B75" s="176">
        <v>46041</v>
      </c>
      <c r="C75" s="172" t="s">
        <v>100</v>
      </c>
      <c r="D75" s="172" t="s">
        <v>102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46034</v>
      </c>
      <c r="K75" s="172" t="s">
        <v>93</v>
      </c>
      <c r="L75" s="172" t="s">
        <v>94</v>
      </c>
      <c r="M75" s="179">
        <v>0</v>
      </c>
      <c r="N75" s="177"/>
      <c r="O75" s="177"/>
      <c r="P75" s="180">
        <v>0</v>
      </c>
    </row>
    <row r="76" spans="1:16" ht="19.5" customHeight="1">
      <c r="A76" s="172" t="s">
        <v>122</v>
      </c>
      <c r="B76" s="176">
        <v>46041</v>
      </c>
      <c r="C76" s="172" t="s">
        <v>100</v>
      </c>
      <c r="D76" s="172" t="s">
        <v>103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46034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1126.6400000000001</v>
      </c>
    </row>
    <row r="77" spans="1:16" ht="19.5" customHeight="1">
      <c r="A77" s="172" t="s">
        <v>122</v>
      </c>
      <c r="B77" s="176">
        <v>46041</v>
      </c>
      <c r="C77" s="172" t="s">
        <v>104</v>
      </c>
      <c r="D77" s="172" t="s">
        <v>105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46034</v>
      </c>
      <c r="K77" s="172" t="s">
        <v>93</v>
      </c>
      <c r="L77" s="172" t="s">
        <v>94</v>
      </c>
      <c r="M77" s="179">
        <v>0.43</v>
      </c>
      <c r="N77" s="177"/>
      <c r="O77" s="177"/>
      <c r="P77" s="180">
        <v>-793.35</v>
      </c>
    </row>
    <row r="78" spans="1:16" ht="19.5" customHeight="1">
      <c r="A78" s="172" t="s">
        <v>122</v>
      </c>
      <c r="B78" s="176">
        <v>46041</v>
      </c>
      <c r="C78" s="172" t="s">
        <v>81</v>
      </c>
      <c r="D78" s="172" t="s">
        <v>95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46034</v>
      </c>
      <c r="K78" s="172" t="s">
        <v>93</v>
      </c>
      <c r="L78" s="172" t="s">
        <v>94</v>
      </c>
      <c r="M78" s="179">
        <v>0.43</v>
      </c>
      <c r="N78" s="177"/>
      <c r="O78" s="177"/>
      <c r="P78" s="180">
        <v>-25</v>
      </c>
    </row>
    <row r="79" spans="1:16" ht="19.5" customHeight="1">
      <c r="A79" s="172" t="s">
        <v>123</v>
      </c>
      <c r="B79" s="176">
        <v>46041</v>
      </c>
      <c r="C79" s="172" t="s">
        <v>92</v>
      </c>
      <c r="D79" s="172" t="s">
        <v>24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46039</v>
      </c>
      <c r="K79" s="172" t="s">
        <v>93</v>
      </c>
      <c r="L79" s="172" t="s">
        <v>94</v>
      </c>
      <c r="M79" s="179">
        <v>0.43</v>
      </c>
      <c r="N79" s="177"/>
      <c r="O79" s="177">
        <v>47</v>
      </c>
      <c r="P79" s="180">
        <v>-161.26</v>
      </c>
    </row>
    <row r="80" spans="1:16" ht="19.5" customHeight="1">
      <c r="A80" s="172" t="s">
        <v>123</v>
      </c>
      <c r="B80" s="176">
        <v>46041</v>
      </c>
      <c r="C80" s="172" t="s">
        <v>100</v>
      </c>
      <c r="D80" s="172" t="s">
        <v>101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46039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716.46</v>
      </c>
    </row>
    <row r="81" spans="1:16" ht="19.5" customHeight="1">
      <c r="A81" s="172" t="s">
        <v>123</v>
      </c>
      <c r="B81" s="176">
        <v>46041</v>
      </c>
      <c r="C81" s="172" t="s">
        <v>100</v>
      </c>
      <c r="D81" s="172" t="s">
        <v>102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1845</v>
      </c>
      <c r="J81" s="176">
        <v>46039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7.16</v>
      </c>
    </row>
    <row r="82" spans="1:16" ht="19.5" customHeight="1">
      <c r="A82" s="172" t="s">
        <v>123</v>
      </c>
      <c r="B82" s="176">
        <v>46041</v>
      </c>
      <c r="C82" s="172" t="s">
        <v>100</v>
      </c>
      <c r="D82" s="172" t="s">
        <v>103</v>
      </c>
      <c r="E82" s="172" t="s">
        <v>53</v>
      </c>
      <c r="F82" s="172" t="s">
        <v>120</v>
      </c>
      <c r="G82" s="172" t="s">
        <v>84</v>
      </c>
      <c r="H82" s="177">
        <v>1</v>
      </c>
      <c r="I82" s="178">
        <v>1845</v>
      </c>
      <c r="J82" s="176">
        <v>46039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1121.3800000000001</v>
      </c>
    </row>
    <row r="83" spans="1:16" ht="19.5" customHeight="1">
      <c r="A83" s="172" t="s">
        <v>123</v>
      </c>
      <c r="B83" s="176">
        <v>46041</v>
      </c>
      <c r="C83" s="172" t="s">
        <v>104</v>
      </c>
      <c r="D83" s="172" t="s">
        <v>105</v>
      </c>
      <c r="E83" s="172" t="s">
        <v>53</v>
      </c>
      <c r="F83" s="172" t="s">
        <v>120</v>
      </c>
      <c r="G83" s="172" t="s">
        <v>84</v>
      </c>
      <c r="H83" s="177">
        <v>1</v>
      </c>
      <c r="I83" s="178">
        <v>1845</v>
      </c>
      <c r="J83" s="176">
        <v>46039</v>
      </c>
      <c r="K83" s="172" t="s">
        <v>93</v>
      </c>
      <c r="L83" s="172" t="s">
        <v>94</v>
      </c>
      <c r="M83" s="179">
        <v>0.43</v>
      </c>
      <c r="N83" s="177"/>
      <c r="O83" s="177"/>
      <c r="P83" s="180">
        <v>-793.35</v>
      </c>
    </row>
    <row r="84" spans="1:16" ht="19.5" customHeight="1">
      <c r="A84" s="172" t="s">
        <v>123</v>
      </c>
      <c r="B84" s="176">
        <v>46041</v>
      </c>
      <c r="C84" s="172" t="s">
        <v>81</v>
      </c>
      <c r="D84" s="172" t="s">
        <v>95</v>
      </c>
      <c r="E84" s="172" t="s">
        <v>53</v>
      </c>
      <c r="F84" s="172" t="s">
        <v>120</v>
      </c>
      <c r="G84" s="172" t="s">
        <v>84</v>
      </c>
      <c r="H84" s="177">
        <v>1</v>
      </c>
      <c r="I84" s="178">
        <v>1845</v>
      </c>
      <c r="J84" s="176">
        <v>46039</v>
      </c>
      <c r="K84" s="172" t="s">
        <v>93</v>
      </c>
      <c r="L84" s="172" t="s">
        <v>94</v>
      </c>
      <c r="M84" s="179">
        <v>0.43</v>
      </c>
      <c r="N84" s="177"/>
      <c r="O84" s="177"/>
      <c r="P84" s="180">
        <v>-12.65</v>
      </c>
    </row>
    <row r="85" spans="1:16" ht="19.5" customHeight="1">
      <c r="A85" s="172" t="s">
        <v>124</v>
      </c>
      <c r="B85" s="176">
        <v>46041</v>
      </c>
      <c r="C85" s="172" t="s">
        <v>92</v>
      </c>
      <c r="D85" s="172" t="s">
        <v>24</v>
      </c>
      <c r="E85" s="172" t="s">
        <v>43</v>
      </c>
      <c r="F85" s="172" t="s">
        <v>125</v>
      </c>
      <c r="G85" s="172" t="s">
        <v>84</v>
      </c>
      <c r="H85" s="177">
        <v>1</v>
      </c>
      <c r="I85" s="178">
        <v>1750</v>
      </c>
      <c r="J85" s="176">
        <v>46037</v>
      </c>
      <c r="K85" s="172" t="s">
        <v>93</v>
      </c>
      <c r="L85" s="172" t="s">
        <v>94</v>
      </c>
      <c r="M85" s="179">
        <v>0.43</v>
      </c>
      <c r="N85" s="177"/>
      <c r="O85" s="177">
        <v>45</v>
      </c>
      <c r="P85" s="180">
        <v>-135.38999999999999</v>
      </c>
    </row>
    <row r="86" spans="1:16" ht="19.5" customHeight="1">
      <c r="A86" s="172" t="s">
        <v>124</v>
      </c>
      <c r="B86" s="176">
        <v>46041</v>
      </c>
      <c r="C86" s="172" t="s">
        <v>100</v>
      </c>
      <c r="D86" s="172" t="s">
        <v>101</v>
      </c>
      <c r="E86" s="172" t="s">
        <v>43</v>
      </c>
      <c r="F86" s="172" t="s">
        <v>125</v>
      </c>
      <c r="G86" s="172" t="s">
        <v>84</v>
      </c>
      <c r="H86" s="177">
        <v>1</v>
      </c>
      <c r="I86" s="178">
        <v>1750</v>
      </c>
      <c r="J86" s="176">
        <v>46037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616.19000000000005</v>
      </c>
    </row>
    <row r="87" spans="1:16" ht="19.5" customHeight="1">
      <c r="A87" s="172" t="s">
        <v>124</v>
      </c>
      <c r="B87" s="176">
        <v>46041</v>
      </c>
      <c r="C87" s="172" t="s">
        <v>100</v>
      </c>
      <c r="D87" s="172" t="s">
        <v>102</v>
      </c>
      <c r="E87" s="172" t="s">
        <v>43</v>
      </c>
      <c r="F87" s="172" t="s">
        <v>125</v>
      </c>
      <c r="G87" s="172" t="s">
        <v>84</v>
      </c>
      <c r="H87" s="177">
        <v>1</v>
      </c>
      <c r="I87" s="178">
        <v>1750</v>
      </c>
      <c r="J87" s="176">
        <v>46037</v>
      </c>
      <c r="K87" s="172" t="s">
        <v>93</v>
      </c>
      <c r="L87" s="172" t="s">
        <v>94</v>
      </c>
      <c r="M87" s="179">
        <v>0</v>
      </c>
      <c r="N87" s="177"/>
      <c r="O87" s="177"/>
      <c r="P87" s="180">
        <v>6.16</v>
      </c>
    </row>
    <row r="88" spans="1:16" ht="19.5" customHeight="1">
      <c r="A88" s="172" t="s">
        <v>124</v>
      </c>
      <c r="B88" s="176">
        <v>46041</v>
      </c>
      <c r="C88" s="172" t="s">
        <v>100</v>
      </c>
      <c r="D88" s="172" t="s">
        <v>103</v>
      </c>
      <c r="E88" s="172" t="s">
        <v>43</v>
      </c>
      <c r="F88" s="172" t="s">
        <v>125</v>
      </c>
      <c r="G88" s="172" t="s">
        <v>84</v>
      </c>
      <c r="H88" s="177">
        <v>1</v>
      </c>
      <c r="I88" s="178">
        <v>1750</v>
      </c>
      <c r="J88" s="176">
        <v>46037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1127.6500000000001</v>
      </c>
    </row>
    <row r="89" spans="1:16" ht="19.5" customHeight="1">
      <c r="A89" s="172" t="s">
        <v>124</v>
      </c>
      <c r="B89" s="176">
        <v>46041</v>
      </c>
      <c r="C89" s="172" t="s">
        <v>104</v>
      </c>
      <c r="D89" s="172" t="s">
        <v>105</v>
      </c>
      <c r="E89" s="172" t="s">
        <v>43</v>
      </c>
      <c r="F89" s="172" t="s">
        <v>125</v>
      </c>
      <c r="G89" s="172" t="s">
        <v>84</v>
      </c>
      <c r="H89" s="177">
        <v>1</v>
      </c>
      <c r="I89" s="178">
        <v>1750</v>
      </c>
      <c r="J89" s="176">
        <v>46037</v>
      </c>
      <c r="K89" s="172" t="s">
        <v>93</v>
      </c>
      <c r="L89" s="172" t="s">
        <v>94</v>
      </c>
      <c r="M89" s="179">
        <v>0.43</v>
      </c>
      <c r="N89" s="177"/>
      <c r="O89" s="177"/>
      <c r="P89" s="180">
        <v>-752.5</v>
      </c>
    </row>
    <row r="90" spans="1:16" ht="19.5" customHeight="1">
      <c r="A90" s="172" t="s">
        <v>124</v>
      </c>
      <c r="B90" s="176">
        <v>46041</v>
      </c>
      <c r="C90" s="172" t="s">
        <v>81</v>
      </c>
      <c r="D90" s="172" t="s">
        <v>95</v>
      </c>
      <c r="E90" s="172" t="s">
        <v>43</v>
      </c>
      <c r="F90" s="172" t="s">
        <v>125</v>
      </c>
      <c r="G90" s="172" t="s">
        <v>84</v>
      </c>
      <c r="H90" s="177">
        <v>1</v>
      </c>
      <c r="I90" s="178">
        <v>1750</v>
      </c>
      <c r="J90" s="176">
        <v>46037</v>
      </c>
      <c r="K90" s="172" t="s">
        <v>93</v>
      </c>
      <c r="L90" s="172" t="s">
        <v>94</v>
      </c>
      <c r="M90" s="179">
        <v>0.43</v>
      </c>
      <c r="N90" s="177"/>
      <c r="O90" s="177"/>
      <c r="P90" s="180">
        <v>-18.05</v>
      </c>
    </row>
    <row r="91" spans="1:16" ht="19.5" customHeight="1">
      <c r="A91" s="172" t="s">
        <v>126</v>
      </c>
      <c r="B91" s="176">
        <v>46041</v>
      </c>
      <c r="C91" s="172" t="s">
        <v>92</v>
      </c>
      <c r="D91" s="172" t="s">
        <v>24</v>
      </c>
      <c r="E91" s="172" t="s">
        <v>41</v>
      </c>
      <c r="F91" s="172" t="s">
        <v>83</v>
      </c>
      <c r="G91" s="172" t="s">
        <v>84</v>
      </c>
      <c r="H91" s="177">
        <v>1</v>
      </c>
      <c r="I91" s="178">
        <v>1750</v>
      </c>
      <c r="J91" s="176">
        <v>46035</v>
      </c>
      <c r="K91" s="172" t="s">
        <v>93</v>
      </c>
      <c r="L91" s="172" t="s">
        <v>94</v>
      </c>
      <c r="M91" s="179">
        <v>0.43</v>
      </c>
      <c r="N91" s="177"/>
      <c r="O91" s="177">
        <v>45</v>
      </c>
      <c r="P91" s="180">
        <v>-135.38999999999999</v>
      </c>
    </row>
    <row r="92" spans="1:16" ht="19.5" customHeight="1">
      <c r="A92" s="172" t="s">
        <v>126</v>
      </c>
      <c r="B92" s="176">
        <v>46041</v>
      </c>
      <c r="C92" s="172" t="s">
        <v>100</v>
      </c>
      <c r="D92" s="172" t="s">
        <v>101</v>
      </c>
      <c r="E92" s="172" t="s">
        <v>41</v>
      </c>
      <c r="F92" s="172" t="s">
        <v>83</v>
      </c>
      <c r="G92" s="172" t="s">
        <v>84</v>
      </c>
      <c r="H92" s="177">
        <v>1</v>
      </c>
      <c r="I92" s="178">
        <v>1750</v>
      </c>
      <c r="J92" s="176">
        <v>46035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609.52</v>
      </c>
    </row>
    <row r="93" spans="1:16" ht="19.5" customHeight="1">
      <c r="A93" s="172" t="s">
        <v>126</v>
      </c>
      <c r="B93" s="176">
        <v>46041</v>
      </c>
      <c r="C93" s="172" t="s">
        <v>100</v>
      </c>
      <c r="D93" s="172" t="s">
        <v>102</v>
      </c>
      <c r="E93" s="172" t="s">
        <v>41</v>
      </c>
      <c r="F93" s="172" t="s">
        <v>83</v>
      </c>
      <c r="G93" s="172" t="s">
        <v>84</v>
      </c>
      <c r="H93" s="177">
        <v>1</v>
      </c>
      <c r="I93" s="178">
        <v>1750</v>
      </c>
      <c r="J93" s="176">
        <v>46035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6.1</v>
      </c>
    </row>
    <row r="94" spans="1:16" ht="19.5" customHeight="1">
      <c r="A94" s="172" t="s">
        <v>126</v>
      </c>
      <c r="B94" s="176">
        <v>46041</v>
      </c>
      <c r="C94" s="172" t="s">
        <v>100</v>
      </c>
      <c r="D94" s="172" t="s">
        <v>103</v>
      </c>
      <c r="E94" s="172" t="s">
        <v>41</v>
      </c>
      <c r="F94" s="172" t="s">
        <v>83</v>
      </c>
      <c r="G94" s="172" t="s">
        <v>84</v>
      </c>
      <c r="H94" s="177">
        <v>1</v>
      </c>
      <c r="I94" s="178">
        <v>1750</v>
      </c>
      <c r="J94" s="176">
        <v>46035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1134.3800000000001</v>
      </c>
    </row>
    <row r="95" spans="1:16" ht="19.5" customHeight="1">
      <c r="A95" s="172" t="s">
        <v>126</v>
      </c>
      <c r="B95" s="176">
        <v>46041</v>
      </c>
      <c r="C95" s="172" t="s">
        <v>104</v>
      </c>
      <c r="D95" s="172" t="s">
        <v>105</v>
      </c>
      <c r="E95" s="172" t="s">
        <v>41</v>
      </c>
      <c r="F95" s="172" t="s">
        <v>83</v>
      </c>
      <c r="G95" s="172" t="s">
        <v>84</v>
      </c>
      <c r="H95" s="177">
        <v>1</v>
      </c>
      <c r="I95" s="178">
        <v>1750</v>
      </c>
      <c r="J95" s="176">
        <v>46035</v>
      </c>
      <c r="K95" s="172" t="s">
        <v>93</v>
      </c>
      <c r="L95" s="172" t="s">
        <v>94</v>
      </c>
      <c r="M95" s="179">
        <v>0.43</v>
      </c>
      <c r="N95" s="177"/>
      <c r="O95" s="177"/>
      <c r="P95" s="180">
        <v>-752.5</v>
      </c>
    </row>
    <row r="96" spans="1:16" ht="19.5" customHeight="1">
      <c r="A96" s="172" t="s">
        <v>126</v>
      </c>
      <c r="B96" s="176">
        <v>46041</v>
      </c>
      <c r="C96" s="172" t="s">
        <v>81</v>
      </c>
      <c r="D96" s="172" t="s">
        <v>95</v>
      </c>
      <c r="E96" s="172" t="s">
        <v>41</v>
      </c>
      <c r="F96" s="172" t="s">
        <v>83</v>
      </c>
      <c r="G96" s="172" t="s">
        <v>84</v>
      </c>
      <c r="H96" s="177">
        <v>1</v>
      </c>
      <c r="I96" s="178">
        <v>1750</v>
      </c>
      <c r="J96" s="176">
        <v>46035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-20.72</v>
      </c>
    </row>
    <row r="97" spans="1:16" ht="19.5" customHeight="1">
      <c r="A97" s="172" t="s">
        <v>127</v>
      </c>
      <c r="B97" s="176">
        <v>46041</v>
      </c>
      <c r="C97" s="172" t="s">
        <v>128</v>
      </c>
      <c r="D97" s="172" t="s">
        <v>129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46041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-25</v>
      </c>
    </row>
    <row r="98" spans="1:16" ht="19.5" customHeight="1">
      <c r="A98" s="172" t="s">
        <v>126</v>
      </c>
      <c r="B98" s="176">
        <v>46041</v>
      </c>
      <c r="C98" s="172" t="s">
        <v>81</v>
      </c>
      <c r="D98" s="172" t="s">
        <v>82</v>
      </c>
      <c r="E98" s="172" t="s">
        <v>41</v>
      </c>
      <c r="F98" s="172" t="s">
        <v>83</v>
      </c>
      <c r="G98" s="172" t="s">
        <v>84</v>
      </c>
      <c r="H98" s="177">
        <v>1</v>
      </c>
      <c r="I98" s="178">
        <v>0</v>
      </c>
      <c r="J98" s="176">
        <v>46035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-11.58</v>
      </c>
    </row>
    <row r="99" spans="1:16" ht="19.5" customHeight="1">
      <c r="A99" s="172" t="s">
        <v>130</v>
      </c>
      <c r="B99" s="176">
        <v>46041</v>
      </c>
      <c r="C99" s="172" t="s">
        <v>92</v>
      </c>
      <c r="D99" s="172" t="s">
        <v>24</v>
      </c>
      <c r="E99" s="172" t="s">
        <v>41</v>
      </c>
      <c r="F99" s="172" t="s">
        <v>83</v>
      </c>
      <c r="G99" s="172" t="s">
        <v>84</v>
      </c>
      <c r="H99" s="177">
        <v>1</v>
      </c>
      <c r="I99" s="178">
        <v>1750</v>
      </c>
      <c r="J99" s="176">
        <v>46040</v>
      </c>
      <c r="K99" s="172" t="s">
        <v>93</v>
      </c>
      <c r="L99" s="172" t="s">
        <v>94</v>
      </c>
      <c r="M99" s="179">
        <v>0.43</v>
      </c>
      <c r="N99" s="177"/>
      <c r="O99" s="177">
        <v>45</v>
      </c>
      <c r="P99" s="180">
        <v>-135.38999999999999</v>
      </c>
    </row>
    <row r="100" spans="1:16" ht="19.5" customHeight="1">
      <c r="A100" s="172" t="s">
        <v>130</v>
      </c>
      <c r="B100" s="176">
        <v>46041</v>
      </c>
      <c r="C100" s="172" t="s">
        <v>100</v>
      </c>
      <c r="D100" s="172" t="s">
        <v>101</v>
      </c>
      <c r="E100" s="172" t="s">
        <v>41</v>
      </c>
      <c r="F100" s="172" t="s">
        <v>83</v>
      </c>
      <c r="G100" s="172" t="s">
        <v>84</v>
      </c>
      <c r="H100" s="177">
        <v>1</v>
      </c>
      <c r="I100" s="178">
        <v>1750</v>
      </c>
      <c r="J100" s="176">
        <v>46040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698.2</v>
      </c>
    </row>
    <row r="101" spans="1:16" ht="19.5" customHeight="1">
      <c r="A101" s="172" t="s">
        <v>130</v>
      </c>
      <c r="B101" s="176">
        <v>46041</v>
      </c>
      <c r="C101" s="172" t="s">
        <v>100</v>
      </c>
      <c r="D101" s="172" t="s">
        <v>102</v>
      </c>
      <c r="E101" s="172" t="s">
        <v>41</v>
      </c>
      <c r="F101" s="172" t="s">
        <v>83</v>
      </c>
      <c r="G101" s="172" t="s">
        <v>84</v>
      </c>
      <c r="H101" s="177">
        <v>1</v>
      </c>
      <c r="I101" s="178">
        <v>1750</v>
      </c>
      <c r="J101" s="176">
        <v>46040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6.98</v>
      </c>
    </row>
    <row r="102" spans="1:16" ht="19.5" customHeight="1">
      <c r="A102" s="172" t="s">
        <v>130</v>
      </c>
      <c r="B102" s="176">
        <v>46041</v>
      </c>
      <c r="C102" s="172" t="s">
        <v>100</v>
      </c>
      <c r="D102" s="172" t="s">
        <v>103</v>
      </c>
      <c r="E102" s="172" t="s">
        <v>41</v>
      </c>
      <c r="F102" s="172" t="s">
        <v>83</v>
      </c>
      <c r="G102" s="172" t="s">
        <v>84</v>
      </c>
      <c r="H102" s="177">
        <v>1</v>
      </c>
      <c r="I102" s="178">
        <v>1750</v>
      </c>
      <c r="J102" s="176">
        <v>46040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1044.82</v>
      </c>
    </row>
    <row r="103" spans="1:16" ht="19.5" customHeight="1">
      <c r="A103" s="172" t="s">
        <v>130</v>
      </c>
      <c r="B103" s="176">
        <v>46041</v>
      </c>
      <c r="C103" s="172" t="s">
        <v>104</v>
      </c>
      <c r="D103" s="172" t="s">
        <v>105</v>
      </c>
      <c r="E103" s="172" t="s">
        <v>41</v>
      </c>
      <c r="F103" s="172" t="s">
        <v>83</v>
      </c>
      <c r="G103" s="172" t="s">
        <v>84</v>
      </c>
      <c r="H103" s="177">
        <v>1</v>
      </c>
      <c r="I103" s="178">
        <v>1750</v>
      </c>
      <c r="J103" s="176">
        <v>46040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-752.5</v>
      </c>
    </row>
    <row r="104" spans="1:16" ht="19.5" customHeight="1">
      <c r="A104" s="172" t="s">
        <v>130</v>
      </c>
      <c r="B104" s="176">
        <v>46041</v>
      </c>
      <c r="C104" s="172" t="s">
        <v>81</v>
      </c>
      <c r="D104" s="172" t="s">
        <v>95</v>
      </c>
      <c r="E104" s="172" t="s">
        <v>41</v>
      </c>
      <c r="F104" s="172" t="s">
        <v>83</v>
      </c>
      <c r="G104" s="172" t="s">
        <v>84</v>
      </c>
      <c r="H104" s="177">
        <v>1</v>
      </c>
      <c r="I104" s="178">
        <v>1750</v>
      </c>
      <c r="J104" s="176">
        <v>46040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-8.59</v>
      </c>
    </row>
    <row r="105" spans="1:16" ht="19.5" customHeight="1">
      <c r="A105" s="172" t="s">
        <v>130</v>
      </c>
      <c r="B105" s="176">
        <v>46041</v>
      </c>
      <c r="C105" s="172" t="s">
        <v>81</v>
      </c>
      <c r="D105" s="172" t="s">
        <v>82</v>
      </c>
      <c r="E105" s="172" t="s">
        <v>41</v>
      </c>
      <c r="F105" s="172" t="s">
        <v>83</v>
      </c>
      <c r="G105" s="172" t="s">
        <v>84</v>
      </c>
      <c r="H105" s="177">
        <v>1</v>
      </c>
      <c r="I105" s="178">
        <v>0</v>
      </c>
      <c r="J105" s="176">
        <v>46040</v>
      </c>
      <c r="K105" s="172" t="s">
        <v>85</v>
      </c>
      <c r="L105" s="172" t="s">
        <v>85</v>
      </c>
      <c r="M105" s="179">
        <v>0</v>
      </c>
      <c r="N105" s="177"/>
      <c r="O105" s="177"/>
      <c r="P105" s="180">
        <v>-13.27</v>
      </c>
    </row>
    <row r="106" spans="1:16" ht="19.5" customHeight="1">
      <c r="A106" s="172" t="s">
        <v>131</v>
      </c>
      <c r="B106" s="176">
        <v>46041</v>
      </c>
      <c r="C106" s="172" t="s">
        <v>92</v>
      </c>
      <c r="D106" s="172" t="s">
        <v>24</v>
      </c>
      <c r="E106" s="172" t="s">
        <v>53</v>
      </c>
      <c r="F106" s="172" t="s">
        <v>120</v>
      </c>
      <c r="G106" s="172" t="s">
        <v>84</v>
      </c>
      <c r="H106" s="177">
        <v>1</v>
      </c>
      <c r="I106" s="178">
        <v>0</v>
      </c>
      <c r="J106" s="176">
        <v>46011</v>
      </c>
      <c r="K106" s="172" t="s">
        <v>93</v>
      </c>
      <c r="L106" s="172" t="s">
        <v>94</v>
      </c>
      <c r="M106" s="179">
        <v>0</v>
      </c>
      <c r="N106" s="177"/>
      <c r="O106" s="177">
        <v>44</v>
      </c>
      <c r="P106" s="180">
        <v>-56</v>
      </c>
    </row>
    <row r="107" spans="1:16" ht="19.5" customHeight="1">
      <c r="A107" s="172" t="s">
        <v>131</v>
      </c>
      <c r="B107" s="176">
        <v>46041</v>
      </c>
      <c r="C107" s="172" t="s">
        <v>81</v>
      </c>
      <c r="D107" s="172" t="s">
        <v>95</v>
      </c>
      <c r="E107" s="172" t="s">
        <v>53</v>
      </c>
      <c r="F107" s="172" t="s">
        <v>120</v>
      </c>
      <c r="G107" s="172" t="s">
        <v>84</v>
      </c>
      <c r="H107" s="177">
        <v>1</v>
      </c>
      <c r="I107" s="178">
        <v>0</v>
      </c>
      <c r="J107" s="176">
        <v>46011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-10.050000000000001</v>
      </c>
    </row>
    <row r="108" spans="1:16" ht="19.5" customHeight="1">
      <c r="A108" s="172" t="s">
        <v>131</v>
      </c>
      <c r="B108" s="176">
        <v>46041</v>
      </c>
      <c r="C108" s="172" t="s">
        <v>92</v>
      </c>
      <c r="D108" s="172" t="s">
        <v>96</v>
      </c>
      <c r="E108" s="172" t="s">
        <v>53</v>
      </c>
      <c r="F108" s="172" t="s">
        <v>120</v>
      </c>
      <c r="G108" s="172" t="s">
        <v>84</v>
      </c>
      <c r="H108" s="177">
        <v>1</v>
      </c>
      <c r="I108" s="178">
        <v>0</v>
      </c>
      <c r="J108" s="176">
        <v>46011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0</v>
      </c>
    </row>
    <row r="109" spans="1:16" ht="19.5" customHeight="1">
      <c r="A109" s="172" t="s">
        <v>131</v>
      </c>
      <c r="B109" s="176">
        <v>46041</v>
      </c>
      <c r="C109" s="172" t="s">
        <v>92</v>
      </c>
      <c r="D109" s="172" t="s">
        <v>97</v>
      </c>
      <c r="E109" s="172" t="s">
        <v>53</v>
      </c>
      <c r="F109" s="172" t="s">
        <v>120</v>
      </c>
      <c r="G109" s="172" t="s">
        <v>84</v>
      </c>
      <c r="H109" s="177">
        <v>1</v>
      </c>
      <c r="I109" s="178">
        <v>0</v>
      </c>
      <c r="J109" s="176">
        <v>46011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-56</v>
      </c>
    </row>
    <row r="110" spans="1:16" ht="19.5" customHeight="1">
      <c r="A110" s="172" t="s">
        <v>132</v>
      </c>
      <c r="B110" s="176">
        <v>46041</v>
      </c>
      <c r="C110" s="172" t="s">
        <v>92</v>
      </c>
      <c r="D110" s="172" t="s">
        <v>24</v>
      </c>
      <c r="E110" s="172" t="s">
        <v>42</v>
      </c>
      <c r="F110" s="172" t="s">
        <v>89</v>
      </c>
      <c r="G110" s="172" t="s">
        <v>84</v>
      </c>
      <c r="H110" s="177">
        <v>1</v>
      </c>
      <c r="I110" s="178">
        <v>1750</v>
      </c>
      <c r="J110" s="176">
        <v>46037</v>
      </c>
      <c r="K110" s="172" t="s">
        <v>93</v>
      </c>
      <c r="L110" s="172" t="s">
        <v>94</v>
      </c>
      <c r="M110" s="179">
        <v>0.43</v>
      </c>
      <c r="N110" s="177"/>
      <c r="O110" s="177">
        <v>45</v>
      </c>
      <c r="P110" s="180">
        <v>-135.38999999999999</v>
      </c>
    </row>
    <row r="111" spans="1:16" ht="19.5" customHeight="1">
      <c r="A111" s="172" t="s">
        <v>132</v>
      </c>
      <c r="B111" s="176">
        <v>46041</v>
      </c>
      <c r="C111" s="172" t="s">
        <v>100</v>
      </c>
      <c r="D111" s="172" t="s">
        <v>101</v>
      </c>
      <c r="E111" s="172" t="s">
        <v>42</v>
      </c>
      <c r="F111" s="172" t="s">
        <v>89</v>
      </c>
      <c r="G111" s="172" t="s">
        <v>84</v>
      </c>
      <c r="H111" s="177">
        <v>1</v>
      </c>
      <c r="I111" s="178">
        <v>1750</v>
      </c>
      <c r="J111" s="176">
        <v>46037</v>
      </c>
      <c r="K111" s="172" t="s">
        <v>93</v>
      </c>
      <c r="L111" s="172" t="s">
        <v>94</v>
      </c>
      <c r="M111" s="179">
        <v>0</v>
      </c>
      <c r="N111" s="177"/>
      <c r="O111" s="177"/>
      <c r="P111" s="180">
        <v>609.52</v>
      </c>
    </row>
    <row r="112" spans="1:16" ht="19.5" customHeight="1">
      <c r="A112" s="172" t="s">
        <v>132</v>
      </c>
      <c r="B112" s="176">
        <v>46041</v>
      </c>
      <c r="C112" s="172" t="s">
        <v>100</v>
      </c>
      <c r="D112" s="172" t="s">
        <v>102</v>
      </c>
      <c r="E112" s="172" t="s">
        <v>42</v>
      </c>
      <c r="F112" s="172" t="s">
        <v>89</v>
      </c>
      <c r="G112" s="172" t="s">
        <v>84</v>
      </c>
      <c r="H112" s="177">
        <v>1</v>
      </c>
      <c r="I112" s="178">
        <v>1750</v>
      </c>
      <c r="J112" s="176">
        <v>46037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6.1</v>
      </c>
    </row>
    <row r="113" spans="1:16" ht="19.5" customHeight="1">
      <c r="A113" s="172" t="s">
        <v>132</v>
      </c>
      <c r="B113" s="176">
        <v>46041</v>
      </c>
      <c r="C113" s="172" t="s">
        <v>100</v>
      </c>
      <c r="D113" s="172" t="s">
        <v>103</v>
      </c>
      <c r="E113" s="172" t="s">
        <v>42</v>
      </c>
      <c r="F113" s="172" t="s">
        <v>89</v>
      </c>
      <c r="G113" s="172" t="s">
        <v>84</v>
      </c>
      <c r="H113" s="177">
        <v>1</v>
      </c>
      <c r="I113" s="178">
        <v>1750</v>
      </c>
      <c r="J113" s="176">
        <v>46037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1134.3800000000001</v>
      </c>
    </row>
    <row r="114" spans="1:16" ht="19.5" customHeight="1">
      <c r="A114" s="172" t="s">
        <v>132</v>
      </c>
      <c r="B114" s="176">
        <v>46041</v>
      </c>
      <c r="C114" s="172" t="s">
        <v>104</v>
      </c>
      <c r="D114" s="172" t="s">
        <v>105</v>
      </c>
      <c r="E114" s="172" t="s">
        <v>42</v>
      </c>
      <c r="F114" s="172" t="s">
        <v>89</v>
      </c>
      <c r="G114" s="172" t="s">
        <v>84</v>
      </c>
      <c r="H114" s="177">
        <v>1</v>
      </c>
      <c r="I114" s="178">
        <v>1750</v>
      </c>
      <c r="J114" s="176">
        <v>46037</v>
      </c>
      <c r="K114" s="172" t="s">
        <v>93</v>
      </c>
      <c r="L114" s="172" t="s">
        <v>94</v>
      </c>
      <c r="M114" s="179">
        <v>0.43</v>
      </c>
      <c r="N114" s="177"/>
      <c r="O114" s="177"/>
      <c r="P114" s="180">
        <v>-752.5</v>
      </c>
    </row>
    <row r="115" spans="1:16" ht="19.5" customHeight="1">
      <c r="A115" s="172" t="s">
        <v>132</v>
      </c>
      <c r="B115" s="176">
        <v>46041</v>
      </c>
      <c r="C115" s="172" t="s">
        <v>81</v>
      </c>
      <c r="D115" s="172" t="s">
        <v>95</v>
      </c>
      <c r="E115" s="172" t="s">
        <v>42</v>
      </c>
      <c r="F115" s="172" t="s">
        <v>89</v>
      </c>
      <c r="G115" s="172" t="s">
        <v>84</v>
      </c>
      <c r="H115" s="177">
        <v>1</v>
      </c>
      <c r="I115" s="178">
        <v>1750</v>
      </c>
      <c r="J115" s="176">
        <v>46037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-12.75</v>
      </c>
    </row>
    <row r="116" spans="1:16" ht="19.5" customHeight="1">
      <c r="A116" s="172" t="s">
        <v>132</v>
      </c>
      <c r="B116" s="176">
        <v>46041</v>
      </c>
      <c r="C116" s="172" t="s">
        <v>81</v>
      </c>
      <c r="D116" s="172" t="s">
        <v>82</v>
      </c>
      <c r="E116" s="172" t="s">
        <v>42</v>
      </c>
      <c r="F116" s="172" t="s">
        <v>89</v>
      </c>
      <c r="G116" s="172" t="s">
        <v>84</v>
      </c>
      <c r="H116" s="177">
        <v>1</v>
      </c>
      <c r="I116" s="178">
        <v>0</v>
      </c>
      <c r="J116" s="176">
        <v>46037</v>
      </c>
      <c r="K116" s="172" t="s">
        <v>85</v>
      </c>
      <c r="L116" s="172" t="s">
        <v>85</v>
      </c>
      <c r="M116" s="179">
        <v>0</v>
      </c>
      <c r="N116" s="177"/>
      <c r="O116" s="177"/>
      <c r="P116" s="180">
        <v>-11.58</v>
      </c>
    </row>
    <row r="117" spans="1:16" ht="19.5" customHeight="1">
      <c r="A117" s="172" t="s">
        <v>133</v>
      </c>
      <c r="B117" s="176">
        <v>46041</v>
      </c>
      <c r="C117" s="172" t="s">
        <v>92</v>
      </c>
      <c r="D117" s="172" t="s">
        <v>24</v>
      </c>
      <c r="E117" s="172" t="s">
        <v>39</v>
      </c>
      <c r="F117" s="172" t="s">
        <v>117</v>
      </c>
      <c r="G117" s="172" t="s">
        <v>84</v>
      </c>
      <c r="H117" s="177">
        <v>1</v>
      </c>
      <c r="I117" s="178">
        <v>1750</v>
      </c>
      <c r="J117" s="176">
        <v>46039</v>
      </c>
      <c r="K117" s="172" t="s">
        <v>93</v>
      </c>
      <c r="L117" s="172" t="s">
        <v>94</v>
      </c>
      <c r="M117" s="179">
        <v>0.43</v>
      </c>
      <c r="N117" s="177"/>
      <c r="O117" s="177">
        <v>47</v>
      </c>
      <c r="P117" s="180">
        <v>-142.11000000000001</v>
      </c>
    </row>
    <row r="118" spans="1:16" ht="19.5" customHeight="1">
      <c r="A118" s="172" t="s">
        <v>133</v>
      </c>
      <c r="B118" s="176">
        <v>46041</v>
      </c>
      <c r="C118" s="172" t="s">
        <v>100</v>
      </c>
      <c r="D118" s="172" t="s">
        <v>101</v>
      </c>
      <c r="E118" s="172" t="s">
        <v>39</v>
      </c>
      <c r="F118" s="172" t="s">
        <v>117</v>
      </c>
      <c r="G118" s="172" t="s">
        <v>84</v>
      </c>
      <c r="H118" s="177">
        <v>1</v>
      </c>
      <c r="I118" s="178">
        <v>1750</v>
      </c>
      <c r="J118" s="176">
        <v>46039</v>
      </c>
      <c r="K118" s="172" t="s">
        <v>93</v>
      </c>
      <c r="L118" s="172" t="s">
        <v>94</v>
      </c>
      <c r="M118" s="179">
        <v>0</v>
      </c>
      <c r="N118" s="177"/>
      <c r="O118" s="177"/>
      <c r="P118" s="180">
        <v>654.29</v>
      </c>
    </row>
    <row r="119" spans="1:16" ht="19.5" customHeight="1">
      <c r="A119" s="172" t="s">
        <v>133</v>
      </c>
      <c r="B119" s="176">
        <v>46041</v>
      </c>
      <c r="C119" s="172" t="s">
        <v>100</v>
      </c>
      <c r="D119" s="172" t="s">
        <v>102</v>
      </c>
      <c r="E119" s="172" t="s">
        <v>39</v>
      </c>
      <c r="F119" s="172" t="s">
        <v>117</v>
      </c>
      <c r="G119" s="172" t="s">
        <v>84</v>
      </c>
      <c r="H119" s="177">
        <v>1</v>
      </c>
      <c r="I119" s="178">
        <v>1750</v>
      </c>
      <c r="J119" s="176">
        <v>46039</v>
      </c>
      <c r="K119" s="172" t="s">
        <v>93</v>
      </c>
      <c r="L119" s="172" t="s">
        <v>94</v>
      </c>
      <c r="M119" s="179">
        <v>0</v>
      </c>
      <c r="N119" s="177"/>
      <c r="O119" s="177"/>
      <c r="P119" s="180">
        <v>6.54</v>
      </c>
    </row>
    <row r="120" spans="1:16" ht="19.5" customHeight="1">
      <c r="A120" s="172" t="s">
        <v>133</v>
      </c>
      <c r="B120" s="176">
        <v>46041</v>
      </c>
      <c r="C120" s="172" t="s">
        <v>100</v>
      </c>
      <c r="D120" s="172" t="s">
        <v>103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1750</v>
      </c>
      <c r="J120" s="176">
        <v>46039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1089.17</v>
      </c>
    </row>
    <row r="121" spans="1:16" ht="19.5" customHeight="1">
      <c r="A121" s="172" t="s">
        <v>133</v>
      </c>
      <c r="B121" s="176">
        <v>46041</v>
      </c>
      <c r="C121" s="172" t="s">
        <v>104</v>
      </c>
      <c r="D121" s="172" t="s">
        <v>105</v>
      </c>
      <c r="E121" s="172" t="s">
        <v>39</v>
      </c>
      <c r="F121" s="172" t="s">
        <v>117</v>
      </c>
      <c r="G121" s="172" t="s">
        <v>84</v>
      </c>
      <c r="H121" s="177">
        <v>1</v>
      </c>
      <c r="I121" s="178">
        <v>1750</v>
      </c>
      <c r="J121" s="176">
        <v>46039</v>
      </c>
      <c r="K121" s="172" t="s">
        <v>93</v>
      </c>
      <c r="L121" s="172" t="s">
        <v>94</v>
      </c>
      <c r="M121" s="179">
        <v>0.43</v>
      </c>
      <c r="N121" s="177"/>
      <c r="O121" s="177"/>
      <c r="P121" s="180">
        <v>-752.5</v>
      </c>
    </row>
    <row r="122" spans="1:16" ht="19.5" customHeight="1">
      <c r="A122" s="172" t="s">
        <v>133</v>
      </c>
      <c r="B122" s="176">
        <v>46041</v>
      </c>
      <c r="C122" s="172" t="s">
        <v>81</v>
      </c>
      <c r="D122" s="172" t="s">
        <v>95</v>
      </c>
      <c r="E122" s="172" t="s">
        <v>39</v>
      </c>
      <c r="F122" s="172" t="s">
        <v>117</v>
      </c>
      <c r="G122" s="172" t="s">
        <v>84</v>
      </c>
      <c r="H122" s="177">
        <v>1</v>
      </c>
      <c r="I122" s="178">
        <v>1750</v>
      </c>
      <c r="J122" s="176">
        <v>46039</v>
      </c>
      <c r="K122" s="172" t="s">
        <v>93</v>
      </c>
      <c r="L122" s="172" t="s">
        <v>94</v>
      </c>
      <c r="M122" s="179">
        <v>0.43</v>
      </c>
      <c r="N122" s="177"/>
      <c r="O122" s="177"/>
      <c r="P122" s="180">
        <v>-8.6199999999999992</v>
      </c>
    </row>
    <row r="123" spans="1:16" ht="19.5" customHeight="1">
      <c r="A123" s="172" t="s">
        <v>133</v>
      </c>
      <c r="B123" s="176">
        <v>46041</v>
      </c>
      <c r="C123" s="172" t="s">
        <v>81</v>
      </c>
      <c r="D123" s="172" t="s">
        <v>82</v>
      </c>
      <c r="E123" s="172" t="s">
        <v>39</v>
      </c>
      <c r="F123" s="172" t="s">
        <v>117</v>
      </c>
      <c r="G123" s="172" t="s">
        <v>84</v>
      </c>
      <c r="H123" s="177">
        <v>1</v>
      </c>
      <c r="I123" s="178">
        <v>0</v>
      </c>
      <c r="J123" s="176">
        <v>46039</v>
      </c>
      <c r="K123" s="172" t="s">
        <v>85</v>
      </c>
      <c r="L123" s="172" t="s">
        <v>85</v>
      </c>
      <c r="M123" s="179">
        <v>0</v>
      </c>
      <c r="N123" s="177"/>
      <c r="O123" s="177"/>
      <c r="P123" s="180">
        <v>-12.43</v>
      </c>
    </row>
    <row r="124" spans="1:16" ht="19.5" customHeight="1">
      <c r="A124" s="172" t="s">
        <v>134</v>
      </c>
      <c r="B124" s="176">
        <v>46041</v>
      </c>
      <c r="C124" s="172" t="s">
        <v>92</v>
      </c>
      <c r="D124" s="172" t="s">
        <v>24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1885</v>
      </c>
      <c r="J124" s="176">
        <v>46039</v>
      </c>
      <c r="K124" s="172" t="s">
        <v>93</v>
      </c>
      <c r="L124" s="172" t="s">
        <v>94</v>
      </c>
      <c r="M124" s="179">
        <v>0.43</v>
      </c>
      <c r="N124" s="177"/>
      <c r="O124" s="177">
        <v>47</v>
      </c>
      <c r="P124" s="180">
        <v>-162.68</v>
      </c>
    </row>
    <row r="125" spans="1:16" ht="19.5" customHeight="1">
      <c r="A125" s="172" t="s">
        <v>134</v>
      </c>
      <c r="B125" s="176">
        <v>46041</v>
      </c>
      <c r="C125" s="172" t="s">
        <v>100</v>
      </c>
      <c r="D125" s="172" t="s">
        <v>101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1885</v>
      </c>
      <c r="J125" s="176">
        <v>46039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843.81</v>
      </c>
    </row>
    <row r="126" spans="1:16" ht="19.5" customHeight="1">
      <c r="A126" s="172" t="s">
        <v>134</v>
      </c>
      <c r="B126" s="176">
        <v>46041</v>
      </c>
      <c r="C126" s="172" t="s">
        <v>100</v>
      </c>
      <c r="D126" s="172" t="s">
        <v>102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1885</v>
      </c>
      <c r="J126" s="176">
        <v>46039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8.44</v>
      </c>
    </row>
    <row r="127" spans="1:16" ht="19.5" customHeight="1">
      <c r="A127" s="172" t="s">
        <v>134</v>
      </c>
      <c r="B127" s="176">
        <v>46041</v>
      </c>
      <c r="C127" s="172" t="s">
        <v>100</v>
      </c>
      <c r="D127" s="172" t="s">
        <v>103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1885</v>
      </c>
      <c r="J127" s="176">
        <v>46039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1032.75</v>
      </c>
    </row>
    <row r="128" spans="1:16" ht="19.5" customHeight="1">
      <c r="A128" s="172" t="s">
        <v>134</v>
      </c>
      <c r="B128" s="176">
        <v>46041</v>
      </c>
      <c r="C128" s="172" t="s">
        <v>104</v>
      </c>
      <c r="D128" s="172" t="s">
        <v>105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1885</v>
      </c>
      <c r="J128" s="176">
        <v>46039</v>
      </c>
      <c r="K128" s="172" t="s">
        <v>93</v>
      </c>
      <c r="L128" s="172" t="s">
        <v>94</v>
      </c>
      <c r="M128" s="179">
        <v>0.43</v>
      </c>
      <c r="N128" s="177"/>
      <c r="O128" s="177"/>
      <c r="P128" s="180">
        <v>-810.55</v>
      </c>
    </row>
    <row r="129" spans="1:16" ht="19.5" customHeight="1">
      <c r="A129" s="172" t="s">
        <v>134</v>
      </c>
      <c r="B129" s="176">
        <v>46041</v>
      </c>
      <c r="C129" s="172" t="s">
        <v>81</v>
      </c>
      <c r="D129" s="172" t="s">
        <v>95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1885</v>
      </c>
      <c r="J129" s="176">
        <v>46039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-12.15</v>
      </c>
    </row>
    <row r="130" spans="1:16" ht="19.5" customHeight="1">
      <c r="A130" s="172" t="s">
        <v>135</v>
      </c>
      <c r="B130" s="176">
        <v>46041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1885</v>
      </c>
      <c r="J130" s="176">
        <v>46040</v>
      </c>
      <c r="K130" s="172" t="s">
        <v>93</v>
      </c>
      <c r="L130" s="172" t="s">
        <v>94</v>
      </c>
      <c r="M130" s="179">
        <v>0.43</v>
      </c>
      <c r="N130" s="177"/>
      <c r="O130" s="177">
        <v>45</v>
      </c>
      <c r="P130" s="180">
        <v>-155.16999999999999</v>
      </c>
    </row>
    <row r="131" spans="1:16" ht="19.5" customHeight="1">
      <c r="A131" s="172" t="s">
        <v>135</v>
      </c>
      <c r="B131" s="176">
        <v>46041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1885</v>
      </c>
      <c r="J131" s="176">
        <v>46040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858.1</v>
      </c>
    </row>
    <row r="132" spans="1:16" ht="19.5" customHeight="1">
      <c r="A132" s="172" t="s">
        <v>135</v>
      </c>
      <c r="B132" s="176">
        <v>46041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1885</v>
      </c>
      <c r="J132" s="176">
        <v>46040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0</v>
      </c>
    </row>
    <row r="133" spans="1:16" ht="19.5" customHeight="1">
      <c r="A133" s="172" t="s">
        <v>135</v>
      </c>
      <c r="B133" s="176">
        <v>46041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1885</v>
      </c>
      <c r="J133" s="176">
        <v>46040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1026.9000000000001</v>
      </c>
    </row>
    <row r="134" spans="1:16" ht="19.5" customHeight="1">
      <c r="A134" s="172" t="s">
        <v>135</v>
      </c>
      <c r="B134" s="176">
        <v>46041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1885</v>
      </c>
      <c r="J134" s="176">
        <v>46040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-810.55</v>
      </c>
    </row>
    <row r="135" spans="1:16" ht="19.5" customHeight="1">
      <c r="A135" s="172" t="s">
        <v>135</v>
      </c>
      <c r="B135" s="176">
        <v>46041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1885</v>
      </c>
      <c r="J135" s="176">
        <v>46040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-11.66</v>
      </c>
    </row>
    <row r="136" spans="1:16" ht="19.5" customHeight="1">
      <c r="A136" s="172" t="s">
        <v>134</v>
      </c>
      <c r="B136" s="176">
        <v>46041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46039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-16.03</v>
      </c>
    </row>
    <row r="137" spans="1:16" ht="19.5" customHeight="1">
      <c r="A137" s="172" t="s">
        <v>135</v>
      </c>
      <c r="B137" s="176">
        <v>46041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46040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-8.07</v>
      </c>
    </row>
    <row r="138" spans="1:16" ht="19.5" customHeight="1">
      <c r="A138" s="172" t="s">
        <v>136</v>
      </c>
      <c r="B138" s="176">
        <v>46041</v>
      </c>
      <c r="C138" s="172" t="s">
        <v>81</v>
      </c>
      <c r="D138" s="172" t="s">
        <v>82</v>
      </c>
      <c r="E138" s="172" t="s">
        <v>42</v>
      </c>
      <c r="F138" s="172" t="s">
        <v>89</v>
      </c>
      <c r="G138" s="172" t="s">
        <v>84</v>
      </c>
      <c r="H138" s="177">
        <v>1</v>
      </c>
      <c r="I138" s="178">
        <v>0</v>
      </c>
      <c r="J138" s="176">
        <v>46041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-12.11</v>
      </c>
    </row>
    <row r="139" spans="1:16" ht="19.5" customHeight="1">
      <c r="A139" s="172" t="s">
        <v>137</v>
      </c>
      <c r="B139" s="176">
        <v>46041</v>
      </c>
      <c r="C139" s="172" t="s">
        <v>92</v>
      </c>
      <c r="D139" s="172" t="s">
        <v>24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0</v>
      </c>
      <c r="J139" s="176">
        <v>46038</v>
      </c>
      <c r="K139" s="172" t="s">
        <v>93</v>
      </c>
      <c r="L139" s="172" t="s">
        <v>94</v>
      </c>
      <c r="M139" s="179">
        <v>0</v>
      </c>
      <c r="N139" s="177"/>
      <c r="O139" s="177">
        <v>46</v>
      </c>
      <c r="P139" s="180">
        <v>-56</v>
      </c>
    </row>
    <row r="140" spans="1:16" ht="19.5" customHeight="1">
      <c r="A140" s="172" t="s">
        <v>137</v>
      </c>
      <c r="B140" s="176">
        <v>46041</v>
      </c>
      <c r="C140" s="172" t="s">
        <v>81</v>
      </c>
      <c r="D140" s="172" t="s">
        <v>95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0</v>
      </c>
      <c r="J140" s="176">
        <v>46038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-11.39</v>
      </c>
    </row>
    <row r="141" spans="1:16" ht="19.5" customHeight="1">
      <c r="A141" s="172" t="s">
        <v>137</v>
      </c>
      <c r="B141" s="176">
        <v>46041</v>
      </c>
      <c r="C141" s="172" t="s">
        <v>92</v>
      </c>
      <c r="D141" s="172" t="s">
        <v>96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0</v>
      </c>
      <c r="J141" s="176">
        <v>46038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0</v>
      </c>
    </row>
    <row r="142" spans="1:16" ht="19.5" customHeight="1">
      <c r="A142" s="172" t="s">
        <v>137</v>
      </c>
      <c r="B142" s="176">
        <v>46041</v>
      </c>
      <c r="C142" s="172" t="s">
        <v>92</v>
      </c>
      <c r="D142" s="172" t="s">
        <v>97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46038</v>
      </c>
      <c r="K142" s="172" t="s">
        <v>93</v>
      </c>
      <c r="L142" s="172" t="s">
        <v>94</v>
      </c>
      <c r="M142" s="179">
        <v>0</v>
      </c>
      <c r="N142" s="177"/>
      <c r="O142" s="177"/>
      <c r="P142" s="180">
        <v>-56</v>
      </c>
    </row>
    <row r="143" spans="1:16" ht="19.5" customHeight="1">
      <c r="A143" s="172" t="s">
        <v>137</v>
      </c>
      <c r="B143" s="176">
        <v>46041</v>
      </c>
      <c r="C143" s="172" t="s">
        <v>81</v>
      </c>
      <c r="D143" s="172" t="s">
        <v>98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0</v>
      </c>
      <c r="J143" s="176">
        <v>46038</v>
      </c>
      <c r="K143" s="172" t="s">
        <v>93</v>
      </c>
      <c r="L143" s="172" t="s">
        <v>94</v>
      </c>
      <c r="M143" s="179">
        <v>0</v>
      </c>
      <c r="N143" s="177"/>
      <c r="O143" s="177"/>
      <c r="P143" s="180">
        <v>-15</v>
      </c>
    </row>
    <row r="144" spans="1:16" ht="19.5" customHeight="1">
      <c r="A144" s="172" t="s">
        <v>138</v>
      </c>
      <c r="B144" s="176">
        <v>46041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46041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-1702.68</v>
      </c>
    </row>
    <row r="145" spans="1:16" ht="19.5" customHeight="1">
      <c r="A145" s="172" t="s">
        <v>140</v>
      </c>
      <c r="B145" s="176">
        <v>46041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46041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-34.479999999999997</v>
      </c>
    </row>
    <row r="146" spans="1:16" ht="19.5" customHeight="1">
      <c r="A146" s="172" t="s">
        <v>141</v>
      </c>
      <c r="B146" s="176">
        <v>46041</v>
      </c>
      <c r="C146" s="172" t="s">
        <v>109</v>
      </c>
      <c r="D146" s="172" t="s">
        <v>139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46041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-61.08</v>
      </c>
    </row>
    <row r="147" spans="1:16" ht="19.5" customHeight="1">
      <c r="A147" s="172" t="s">
        <v>142</v>
      </c>
      <c r="B147" s="176">
        <v>46041</v>
      </c>
      <c r="C147" s="172" t="s">
        <v>109</v>
      </c>
      <c r="D147" s="172" t="s">
        <v>143</v>
      </c>
      <c r="E147" s="172" t="s">
        <v>85</v>
      </c>
      <c r="F147" s="172" t="s">
        <v>85</v>
      </c>
      <c r="G147" s="172" t="s">
        <v>85</v>
      </c>
      <c r="H147" s="177">
        <v>0</v>
      </c>
      <c r="I147" s="178">
        <v>0</v>
      </c>
      <c r="J147" s="176">
        <v>46041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-778.8</v>
      </c>
    </row>
    <row r="148" spans="1:16" ht="19.5" customHeight="1">
      <c r="A148" s="172" t="s">
        <v>144</v>
      </c>
      <c r="B148" s="176">
        <v>46041</v>
      </c>
      <c r="C148" s="172" t="s">
        <v>109</v>
      </c>
      <c r="D148" s="172" t="s">
        <v>139</v>
      </c>
      <c r="E148" s="172" t="s">
        <v>85</v>
      </c>
      <c r="F148" s="172" t="s">
        <v>85</v>
      </c>
      <c r="G148" s="172" t="s">
        <v>85</v>
      </c>
      <c r="H148" s="177">
        <v>0</v>
      </c>
      <c r="I148" s="178">
        <v>0</v>
      </c>
      <c r="J148" s="176">
        <v>46041</v>
      </c>
      <c r="K148" s="172" t="s">
        <v>85</v>
      </c>
      <c r="L148" s="172" t="s">
        <v>85</v>
      </c>
      <c r="M148" s="179">
        <v>0</v>
      </c>
      <c r="N148" s="177"/>
      <c r="O148" s="177"/>
      <c r="P148" s="180">
        <v>-1217.97</v>
      </c>
    </row>
    <row r="149" spans="1:16" ht="19.5" customHeight="1">
      <c r="A149" s="172" t="s">
        <v>145</v>
      </c>
      <c r="B149" s="176">
        <v>46041</v>
      </c>
      <c r="C149" s="172" t="s">
        <v>109</v>
      </c>
      <c r="D149" s="172" t="s">
        <v>139</v>
      </c>
      <c r="E149" s="172" t="s">
        <v>85</v>
      </c>
      <c r="F149" s="172" t="s">
        <v>85</v>
      </c>
      <c r="G149" s="172" t="s">
        <v>85</v>
      </c>
      <c r="H149" s="177">
        <v>0</v>
      </c>
      <c r="I149" s="178">
        <v>0</v>
      </c>
      <c r="J149" s="176">
        <v>46041</v>
      </c>
      <c r="K149" s="172" t="s">
        <v>85</v>
      </c>
      <c r="L149" s="172" t="s">
        <v>85</v>
      </c>
      <c r="M149" s="179">
        <v>0</v>
      </c>
      <c r="N149" s="177"/>
      <c r="O149" s="177"/>
      <c r="P149" s="180">
        <v>-297.5</v>
      </c>
    </row>
    <row r="150" spans="1:16" ht="19.5" customHeight="1">
      <c r="A150" s="172" t="s">
        <v>146</v>
      </c>
      <c r="B150" s="176">
        <v>46041</v>
      </c>
      <c r="C150" s="172" t="s">
        <v>109</v>
      </c>
      <c r="D150" s="172" t="s">
        <v>139</v>
      </c>
      <c r="E150" s="172" t="s">
        <v>85</v>
      </c>
      <c r="F150" s="172" t="s">
        <v>85</v>
      </c>
      <c r="G150" s="172" t="s">
        <v>85</v>
      </c>
      <c r="H150" s="177">
        <v>0</v>
      </c>
      <c r="I150" s="178">
        <v>0</v>
      </c>
      <c r="J150" s="176">
        <v>46041</v>
      </c>
      <c r="K150" s="172" t="s">
        <v>85</v>
      </c>
      <c r="L150" s="172" t="s">
        <v>85</v>
      </c>
      <c r="M150" s="179">
        <v>0</v>
      </c>
      <c r="N150" s="177"/>
      <c r="O150" s="177"/>
      <c r="P150" s="180">
        <v>-103.14</v>
      </c>
    </row>
    <row r="151" spans="1:16" ht="19.5" customHeight="1">
      <c r="A151" s="172" t="s">
        <v>147</v>
      </c>
      <c r="B151" s="176">
        <v>46042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46034</v>
      </c>
      <c r="K151" s="172" t="s">
        <v>93</v>
      </c>
      <c r="L151" s="172" t="s">
        <v>94</v>
      </c>
      <c r="M151" s="179">
        <v>0</v>
      </c>
      <c r="N151" s="177"/>
      <c r="O151" s="177">
        <v>42</v>
      </c>
      <c r="P151" s="180">
        <v>-56</v>
      </c>
    </row>
    <row r="152" spans="1:16" ht="19.5" customHeight="1">
      <c r="A152" s="172" t="s">
        <v>147</v>
      </c>
      <c r="B152" s="176">
        <v>46042</v>
      </c>
      <c r="C152" s="172" t="s">
        <v>81</v>
      </c>
      <c r="D152" s="172" t="s">
        <v>95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0</v>
      </c>
      <c r="J152" s="176">
        <v>46034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-16.43</v>
      </c>
    </row>
    <row r="153" spans="1:16" ht="19.5" customHeight="1">
      <c r="A153" s="172" t="s">
        <v>147</v>
      </c>
      <c r="B153" s="176">
        <v>46042</v>
      </c>
      <c r="C153" s="172" t="s">
        <v>92</v>
      </c>
      <c r="D153" s="172" t="s">
        <v>96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0</v>
      </c>
      <c r="J153" s="176">
        <v>46034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0</v>
      </c>
    </row>
    <row r="154" spans="1:16" ht="19.5" customHeight="1">
      <c r="A154" s="172" t="s">
        <v>147</v>
      </c>
      <c r="B154" s="176">
        <v>46042</v>
      </c>
      <c r="C154" s="172" t="s">
        <v>92</v>
      </c>
      <c r="D154" s="172" t="s">
        <v>97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0</v>
      </c>
      <c r="J154" s="176">
        <v>46034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-56</v>
      </c>
    </row>
    <row r="155" spans="1:16" ht="19.5" customHeight="1">
      <c r="A155" s="172" t="s">
        <v>147</v>
      </c>
      <c r="B155" s="176">
        <v>46042</v>
      </c>
      <c r="C155" s="172" t="s">
        <v>81</v>
      </c>
      <c r="D155" s="172" t="s">
        <v>98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46034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-15</v>
      </c>
    </row>
    <row r="156" spans="1:16" ht="19.5" customHeight="1">
      <c r="A156" s="172" t="s">
        <v>148</v>
      </c>
      <c r="B156" s="176">
        <v>46042</v>
      </c>
      <c r="C156" s="172" t="s">
        <v>81</v>
      </c>
      <c r="D156" s="172" t="s">
        <v>82</v>
      </c>
      <c r="E156" s="172" t="s">
        <v>43</v>
      </c>
      <c r="F156" s="172" t="s">
        <v>125</v>
      </c>
      <c r="G156" s="172" t="s">
        <v>84</v>
      </c>
      <c r="H156" s="177">
        <v>1</v>
      </c>
      <c r="I156" s="178">
        <v>0</v>
      </c>
      <c r="J156" s="176">
        <v>46042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-11.52</v>
      </c>
    </row>
    <row r="157" spans="1:16" ht="19.5" customHeight="1">
      <c r="A157" s="172" t="s">
        <v>149</v>
      </c>
      <c r="B157" s="176">
        <v>46042</v>
      </c>
      <c r="C157" s="172" t="s">
        <v>92</v>
      </c>
      <c r="D157" s="172" t="s">
        <v>24</v>
      </c>
      <c r="E157" s="172" t="s">
        <v>41</v>
      </c>
      <c r="F157" s="172" t="s">
        <v>83</v>
      </c>
      <c r="G157" s="172" t="s">
        <v>84</v>
      </c>
      <c r="H157" s="177">
        <v>1</v>
      </c>
      <c r="I157" s="178">
        <v>0</v>
      </c>
      <c r="J157" s="176">
        <v>46036</v>
      </c>
      <c r="K157" s="172" t="s">
        <v>93</v>
      </c>
      <c r="L157" s="172" t="s">
        <v>94</v>
      </c>
      <c r="M157" s="179">
        <v>0</v>
      </c>
      <c r="N157" s="177"/>
      <c r="O157" s="177">
        <v>45</v>
      </c>
      <c r="P157" s="180">
        <v>-46</v>
      </c>
    </row>
    <row r="158" spans="1:16" ht="19.5" customHeight="1">
      <c r="A158" s="172" t="s">
        <v>149</v>
      </c>
      <c r="B158" s="176">
        <v>46042</v>
      </c>
      <c r="C158" s="172" t="s">
        <v>81</v>
      </c>
      <c r="D158" s="172" t="s">
        <v>95</v>
      </c>
      <c r="E158" s="172" t="s">
        <v>41</v>
      </c>
      <c r="F158" s="172" t="s">
        <v>83</v>
      </c>
      <c r="G158" s="172" t="s">
        <v>84</v>
      </c>
      <c r="H158" s="177">
        <v>1</v>
      </c>
      <c r="I158" s="178">
        <v>0</v>
      </c>
      <c r="J158" s="176">
        <v>46036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-8.82</v>
      </c>
    </row>
    <row r="159" spans="1:16" ht="19.5" customHeight="1">
      <c r="A159" s="172" t="s">
        <v>149</v>
      </c>
      <c r="B159" s="176">
        <v>46042</v>
      </c>
      <c r="C159" s="172" t="s">
        <v>92</v>
      </c>
      <c r="D159" s="172" t="s">
        <v>96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46036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0</v>
      </c>
    </row>
    <row r="160" spans="1:16" ht="19.5" customHeight="1">
      <c r="A160" s="172" t="s">
        <v>149</v>
      </c>
      <c r="B160" s="176">
        <v>46042</v>
      </c>
      <c r="C160" s="172" t="s">
        <v>92</v>
      </c>
      <c r="D160" s="172" t="s">
        <v>97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46036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-46</v>
      </c>
    </row>
    <row r="161" spans="1:16" ht="19.5" customHeight="1">
      <c r="A161" s="172" t="s">
        <v>149</v>
      </c>
      <c r="B161" s="176">
        <v>46042</v>
      </c>
      <c r="C161" s="172" t="s">
        <v>81</v>
      </c>
      <c r="D161" s="172" t="s">
        <v>98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46036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-15</v>
      </c>
    </row>
    <row r="162" spans="1:16" ht="19.5" customHeight="1">
      <c r="A162" s="172" t="s">
        <v>150</v>
      </c>
      <c r="B162" s="176">
        <v>46042</v>
      </c>
      <c r="C162" s="172" t="s">
        <v>92</v>
      </c>
      <c r="D162" s="172" t="s">
        <v>24</v>
      </c>
      <c r="E162" s="172" t="s">
        <v>38</v>
      </c>
      <c r="F162" s="172" t="s">
        <v>87</v>
      </c>
      <c r="G162" s="172" t="s">
        <v>84</v>
      </c>
      <c r="H162" s="177">
        <v>1</v>
      </c>
      <c r="I162" s="178">
        <v>0</v>
      </c>
      <c r="J162" s="176">
        <v>46025</v>
      </c>
      <c r="K162" s="172" t="s">
        <v>93</v>
      </c>
      <c r="L162" s="172" t="s">
        <v>94</v>
      </c>
      <c r="M162" s="179">
        <v>0</v>
      </c>
      <c r="N162" s="177"/>
      <c r="O162" s="177">
        <v>44</v>
      </c>
      <c r="P162" s="180">
        <v>-46.77</v>
      </c>
    </row>
    <row r="163" spans="1:16" ht="19.5" customHeight="1">
      <c r="A163" s="172" t="s">
        <v>150</v>
      </c>
      <c r="B163" s="176">
        <v>46042</v>
      </c>
      <c r="C163" s="172" t="s">
        <v>81</v>
      </c>
      <c r="D163" s="172" t="s">
        <v>95</v>
      </c>
      <c r="E163" s="172" t="s">
        <v>38</v>
      </c>
      <c r="F163" s="172" t="s">
        <v>87</v>
      </c>
      <c r="G163" s="172" t="s">
        <v>84</v>
      </c>
      <c r="H163" s="177">
        <v>1</v>
      </c>
      <c r="I163" s="178">
        <v>0</v>
      </c>
      <c r="J163" s="176">
        <v>46025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-16.850000000000001</v>
      </c>
    </row>
    <row r="164" spans="1:16" ht="19.5" customHeight="1">
      <c r="A164" s="172" t="s">
        <v>151</v>
      </c>
      <c r="B164" s="176">
        <v>46042</v>
      </c>
      <c r="C164" s="172" t="s">
        <v>92</v>
      </c>
      <c r="D164" s="172" t="s">
        <v>24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46039</v>
      </c>
      <c r="K164" s="172" t="s">
        <v>93</v>
      </c>
      <c r="L164" s="172" t="s">
        <v>94</v>
      </c>
      <c r="M164" s="179">
        <v>0</v>
      </c>
      <c r="N164" s="177"/>
      <c r="O164" s="177">
        <v>47</v>
      </c>
      <c r="P164" s="180">
        <v>-46</v>
      </c>
    </row>
    <row r="165" spans="1:16" ht="19.5" customHeight="1">
      <c r="A165" s="172" t="s">
        <v>151</v>
      </c>
      <c r="B165" s="176">
        <v>46042</v>
      </c>
      <c r="C165" s="172" t="s">
        <v>81</v>
      </c>
      <c r="D165" s="172" t="s">
        <v>95</v>
      </c>
      <c r="E165" s="172" t="s">
        <v>41</v>
      </c>
      <c r="F165" s="172" t="s">
        <v>83</v>
      </c>
      <c r="G165" s="172" t="s">
        <v>84</v>
      </c>
      <c r="H165" s="177">
        <v>1</v>
      </c>
      <c r="I165" s="178">
        <v>0</v>
      </c>
      <c r="J165" s="176">
        <v>46039</v>
      </c>
      <c r="K165" s="172" t="s">
        <v>93</v>
      </c>
      <c r="L165" s="172" t="s">
        <v>94</v>
      </c>
      <c r="M165" s="179">
        <v>0</v>
      </c>
      <c r="N165" s="177"/>
      <c r="O165" s="177"/>
      <c r="P165" s="180">
        <v>-9.0500000000000007</v>
      </c>
    </row>
    <row r="166" spans="1:16" ht="19.5" customHeight="1">
      <c r="A166" s="172" t="s">
        <v>152</v>
      </c>
      <c r="B166" s="176">
        <v>46042</v>
      </c>
      <c r="C166" s="172" t="s">
        <v>92</v>
      </c>
      <c r="D166" s="172" t="s">
        <v>24</v>
      </c>
      <c r="E166" s="172" t="s">
        <v>53</v>
      </c>
      <c r="F166" s="172" t="s">
        <v>120</v>
      </c>
      <c r="G166" s="172" t="s">
        <v>84</v>
      </c>
      <c r="H166" s="177">
        <v>1</v>
      </c>
      <c r="I166" s="178">
        <v>0</v>
      </c>
      <c r="J166" s="176">
        <v>46039</v>
      </c>
      <c r="K166" s="172" t="s">
        <v>93</v>
      </c>
      <c r="L166" s="172" t="s">
        <v>94</v>
      </c>
      <c r="M166" s="179">
        <v>0</v>
      </c>
      <c r="N166" s="177"/>
      <c r="O166" s="177">
        <v>47</v>
      </c>
      <c r="P166" s="180">
        <v>-56</v>
      </c>
    </row>
    <row r="167" spans="1:16" ht="19.5" customHeight="1">
      <c r="A167" s="172" t="s">
        <v>152</v>
      </c>
      <c r="B167" s="176">
        <v>46042</v>
      </c>
      <c r="C167" s="172" t="s">
        <v>81</v>
      </c>
      <c r="D167" s="172" t="s">
        <v>95</v>
      </c>
      <c r="E167" s="172" t="s">
        <v>53</v>
      </c>
      <c r="F167" s="172" t="s">
        <v>120</v>
      </c>
      <c r="G167" s="172" t="s">
        <v>84</v>
      </c>
      <c r="H167" s="177">
        <v>1</v>
      </c>
      <c r="I167" s="178">
        <v>0</v>
      </c>
      <c r="J167" s="176">
        <v>46039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-9.5399999999999991</v>
      </c>
    </row>
    <row r="168" spans="1:16" ht="19.5" customHeight="1">
      <c r="A168" s="172" t="s">
        <v>150</v>
      </c>
      <c r="B168" s="176">
        <v>46042</v>
      </c>
      <c r="C168" s="172" t="s">
        <v>92</v>
      </c>
      <c r="D168" s="172" t="s">
        <v>96</v>
      </c>
      <c r="E168" s="172" t="s">
        <v>38</v>
      </c>
      <c r="F168" s="172" t="s">
        <v>87</v>
      </c>
      <c r="G168" s="172" t="s">
        <v>84</v>
      </c>
      <c r="H168" s="177">
        <v>1</v>
      </c>
      <c r="I168" s="178">
        <v>0</v>
      </c>
      <c r="J168" s="176">
        <v>46025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0</v>
      </c>
    </row>
    <row r="169" spans="1:16" ht="19.5" customHeight="1">
      <c r="A169" s="172" t="s">
        <v>150</v>
      </c>
      <c r="B169" s="176">
        <v>46042</v>
      </c>
      <c r="C169" s="172" t="s">
        <v>92</v>
      </c>
      <c r="D169" s="172" t="s">
        <v>97</v>
      </c>
      <c r="E169" s="172" t="s">
        <v>38</v>
      </c>
      <c r="F169" s="172" t="s">
        <v>87</v>
      </c>
      <c r="G169" s="172" t="s">
        <v>84</v>
      </c>
      <c r="H169" s="177">
        <v>1</v>
      </c>
      <c r="I169" s="178">
        <v>0</v>
      </c>
      <c r="J169" s="176">
        <v>46025</v>
      </c>
      <c r="K169" s="172" t="s">
        <v>93</v>
      </c>
      <c r="L169" s="172" t="s">
        <v>94</v>
      </c>
      <c r="M169" s="179">
        <v>0</v>
      </c>
      <c r="N169" s="177"/>
      <c r="O169" s="177"/>
      <c r="P169" s="180">
        <v>-46.77</v>
      </c>
    </row>
    <row r="170" spans="1:16" ht="19.5" customHeight="1">
      <c r="A170" s="172" t="s">
        <v>151</v>
      </c>
      <c r="B170" s="176">
        <v>46042</v>
      </c>
      <c r="C170" s="172" t="s">
        <v>92</v>
      </c>
      <c r="D170" s="172" t="s">
        <v>96</v>
      </c>
      <c r="E170" s="172" t="s">
        <v>41</v>
      </c>
      <c r="F170" s="172" t="s">
        <v>83</v>
      </c>
      <c r="G170" s="172" t="s">
        <v>84</v>
      </c>
      <c r="H170" s="177">
        <v>1</v>
      </c>
      <c r="I170" s="178">
        <v>0</v>
      </c>
      <c r="J170" s="176">
        <v>46039</v>
      </c>
      <c r="K170" s="172" t="s">
        <v>93</v>
      </c>
      <c r="L170" s="172" t="s">
        <v>94</v>
      </c>
      <c r="M170" s="179">
        <v>0</v>
      </c>
      <c r="N170" s="177"/>
      <c r="O170" s="177"/>
      <c r="P170" s="180">
        <v>0</v>
      </c>
    </row>
    <row r="171" spans="1:16" ht="19.5" customHeight="1">
      <c r="A171" s="172" t="s">
        <v>151</v>
      </c>
      <c r="B171" s="176">
        <v>46042</v>
      </c>
      <c r="C171" s="172" t="s">
        <v>92</v>
      </c>
      <c r="D171" s="172" t="s">
        <v>97</v>
      </c>
      <c r="E171" s="172" t="s">
        <v>41</v>
      </c>
      <c r="F171" s="172" t="s">
        <v>83</v>
      </c>
      <c r="G171" s="172" t="s">
        <v>84</v>
      </c>
      <c r="H171" s="177">
        <v>1</v>
      </c>
      <c r="I171" s="178">
        <v>0</v>
      </c>
      <c r="J171" s="176">
        <v>46039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-46</v>
      </c>
    </row>
    <row r="172" spans="1:16" ht="19.5" customHeight="1">
      <c r="A172" s="172" t="s">
        <v>151</v>
      </c>
      <c r="B172" s="176">
        <v>46042</v>
      </c>
      <c r="C172" s="172" t="s">
        <v>81</v>
      </c>
      <c r="D172" s="172" t="s">
        <v>98</v>
      </c>
      <c r="E172" s="172" t="s">
        <v>41</v>
      </c>
      <c r="F172" s="172" t="s">
        <v>83</v>
      </c>
      <c r="G172" s="172" t="s">
        <v>84</v>
      </c>
      <c r="H172" s="177">
        <v>1</v>
      </c>
      <c r="I172" s="178">
        <v>0</v>
      </c>
      <c r="J172" s="176">
        <v>46039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-15</v>
      </c>
    </row>
    <row r="173" spans="1:16" ht="19.5" customHeight="1">
      <c r="A173" s="172" t="s">
        <v>152</v>
      </c>
      <c r="B173" s="176">
        <v>46042</v>
      </c>
      <c r="C173" s="172" t="s">
        <v>92</v>
      </c>
      <c r="D173" s="172" t="s">
        <v>96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46039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0</v>
      </c>
    </row>
    <row r="174" spans="1:16" ht="19.5" customHeight="1">
      <c r="A174" s="172" t="s">
        <v>152</v>
      </c>
      <c r="B174" s="176">
        <v>46042</v>
      </c>
      <c r="C174" s="172" t="s">
        <v>92</v>
      </c>
      <c r="D174" s="172" t="s">
        <v>97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46039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-56</v>
      </c>
    </row>
    <row r="175" spans="1:16" ht="19.5" customHeight="1">
      <c r="A175" s="172" t="s">
        <v>152</v>
      </c>
      <c r="B175" s="176">
        <v>46042</v>
      </c>
      <c r="C175" s="172" t="s">
        <v>81</v>
      </c>
      <c r="D175" s="172" t="s">
        <v>98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46039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-15</v>
      </c>
    </row>
    <row r="176" spans="1:16" ht="19.5" customHeight="1">
      <c r="A176" s="172" t="s">
        <v>153</v>
      </c>
      <c r="B176" s="176">
        <v>46042</v>
      </c>
      <c r="C176" s="172" t="s">
        <v>81</v>
      </c>
      <c r="D176" s="172" t="s">
        <v>82</v>
      </c>
      <c r="E176" s="172" t="s">
        <v>38</v>
      </c>
      <c r="F176" s="172" t="s">
        <v>87</v>
      </c>
      <c r="G176" s="172" t="s">
        <v>84</v>
      </c>
      <c r="H176" s="177">
        <v>1</v>
      </c>
      <c r="I176" s="178">
        <v>0</v>
      </c>
      <c r="J176" s="176">
        <v>46042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-12.1</v>
      </c>
    </row>
    <row r="177" spans="1:16" ht="19.5" customHeight="1">
      <c r="A177" s="172" t="s">
        <v>153</v>
      </c>
      <c r="B177" s="176">
        <v>46042</v>
      </c>
      <c r="C177" s="172" t="s">
        <v>81</v>
      </c>
      <c r="D177" s="172" t="s">
        <v>82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46042</v>
      </c>
      <c r="K177" s="172" t="s">
        <v>85</v>
      </c>
      <c r="L177" s="172" t="s">
        <v>85</v>
      </c>
      <c r="M177" s="179">
        <v>0</v>
      </c>
      <c r="N177" s="177"/>
      <c r="O177" s="177"/>
      <c r="P177" s="180">
        <v>-12.08</v>
      </c>
    </row>
    <row r="178" spans="1:16" ht="19.5" customHeight="1">
      <c r="A178" s="172" t="s">
        <v>85</v>
      </c>
      <c r="B178" s="176">
        <v>46042</v>
      </c>
      <c r="C178" s="172" t="s">
        <v>109</v>
      </c>
      <c r="D178" s="172" t="s">
        <v>110</v>
      </c>
      <c r="E178" s="172" t="s">
        <v>85</v>
      </c>
      <c r="F178" s="172" t="s">
        <v>85</v>
      </c>
      <c r="G178" s="172" t="s">
        <v>154</v>
      </c>
      <c r="H178" s="177">
        <v>0</v>
      </c>
      <c r="I178" s="178">
        <v>0</v>
      </c>
      <c r="J178" s="176">
        <v>46042</v>
      </c>
      <c r="K178" s="172" t="s">
        <v>85</v>
      </c>
      <c r="L178" s="172" t="s">
        <v>85</v>
      </c>
      <c r="M178" s="179">
        <v>0</v>
      </c>
      <c r="N178" s="177"/>
      <c r="O178" s="177"/>
      <c r="P178" s="180">
        <v>-150</v>
      </c>
    </row>
    <row r="179" spans="1:16" ht="19.5" customHeight="1">
      <c r="A179" s="172" t="s">
        <v>155</v>
      </c>
      <c r="B179" s="176">
        <v>46042</v>
      </c>
      <c r="C179" s="172" t="s">
        <v>92</v>
      </c>
      <c r="D179" s="172" t="s">
        <v>24</v>
      </c>
      <c r="E179" s="172" t="s">
        <v>52</v>
      </c>
      <c r="F179" s="172" t="s">
        <v>90</v>
      </c>
      <c r="G179" s="172" t="s">
        <v>84</v>
      </c>
      <c r="H179" s="177">
        <v>1</v>
      </c>
      <c r="I179" s="178">
        <v>0</v>
      </c>
      <c r="J179" s="176">
        <v>46031</v>
      </c>
      <c r="K179" s="172" t="s">
        <v>93</v>
      </c>
      <c r="L179" s="172" t="s">
        <v>94</v>
      </c>
      <c r="M179" s="179">
        <v>0</v>
      </c>
      <c r="N179" s="177"/>
      <c r="O179" s="177">
        <v>42</v>
      </c>
      <c r="P179" s="180">
        <v>-56</v>
      </c>
    </row>
    <row r="180" spans="1:16" ht="19.5" customHeight="1">
      <c r="A180" s="172" t="s">
        <v>155</v>
      </c>
      <c r="B180" s="176">
        <v>46042</v>
      </c>
      <c r="C180" s="172" t="s">
        <v>81</v>
      </c>
      <c r="D180" s="172" t="s">
        <v>95</v>
      </c>
      <c r="E180" s="172" t="s">
        <v>52</v>
      </c>
      <c r="F180" s="172" t="s">
        <v>90</v>
      </c>
      <c r="G180" s="172" t="s">
        <v>84</v>
      </c>
      <c r="H180" s="177">
        <v>1</v>
      </c>
      <c r="I180" s="178">
        <v>0</v>
      </c>
      <c r="J180" s="176">
        <v>46031</v>
      </c>
      <c r="K180" s="172" t="s">
        <v>93</v>
      </c>
      <c r="L180" s="172" t="s">
        <v>94</v>
      </c>
      <c r="M180" s="179">
        <v>0</v>
      </c>
      <c r="N180" s="177"/>
      <c r="O180" s="177"/>
      <c r="P180" s="180">
        <v>-25</v>
      </c>
    </row>
    <row r="181" spans="1:16" ht="19.5" customHeight="1">
      <c r="A181" s="172" t="s">
        <v>155</v>
      </c>
      <c r="B181" s="176">
        <v>46042</v>
      </c>
      <c r="C181" s="172" t="s">
        <v>92</v>
      </c>
      <c r="D181" s="172" t="s">
        <v>96</v>
      </c>
      <c r="E181" s="172" t="s">
        <v>52</v>
      </c>
      <c r="F181" s="172" t="s">
        <v>90</v>
      </c>
      <c r="G181" s="172" t="s">
        <v>84</v>
      </c>
      <c r="H181" s="177">
        <v>1</v>
      </c>
      <c r="I181" s="178">
        <v>0</v>
      </c>
      <c r="J181" s="176">
        <v>46031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155</v>
      </c>
      <c r="B182" s="176">
        <v>46042</v>
      </c>
      <c r="C182" s="172" t="s">
        <v>92</v>
      </c>
      <c r="D182" s="172" t="s">
        <v>97</v>
      </c>
      <c r="E182" s="172" t="s">
        <v>52</v>
      </c>
      <c r="F182" s="172" t="s">
        <v>90</v>
      </c>
      <c r="G182" s="172" t="s">
        <v>84</v>
      </c>
      <c r="H182" s="177">
        <v>1</v>
      </c>
      <c r="I182" s="178">
        <v>0</v>
      </c>
      <c r="J182" s="176">
        <v>46031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-56</v>
      </c>
    </row>
    <row r="183" spans="1:16" ht="19.5" customHeight="1">
      <c r="A183" s="172" t="s">
        <v>155</v>
      </c>
      <c r="B183" s="176">
        <v>46042</v>
      </c>
      <c r="C183" s="172" t="s">
        <v>81</v>
      </c>
      <c r="D183" s="172" t="s">
        <v>98</v>
      </c>
      <c r="E183" s="172" t="s">
        <v>52</v>
      </c>
      <c r="F183" s="172" t="s">
        <v>90</v>
      </c>
      <c r="G183" s="172" t="s">
        <v>84</v>
      </c>
      <c r="H183" s="177">
        <v>1</v>
      </c>
      <c r="I183" s="178">
        <v>0</v>
      </c>
      <c r="J183" s="176">
        <v>46031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-15</v>
      </c>
    </row>
    <row r="184" spans="1:16" ht="19.5" customHeight="1">
      <c r="A184" s="172" t="s">
        <v>156</v>
      </c>
      <c r="B184" s="176">
        <v>46042</v>
      </c>
      <c r="C184" s="172" t="s">
        <v>92</v>
      </c>
      <c r="D184" s="172" t="s">
        <v>24</v>
      </c>
      <c r="E184" s="172" t="s">
        <v>52</v>
      </c>
      <c r="F184" s="172" t="s">
        <v>90</v>
      </c>
      <c r="G184" s="172" t="s">
        <v>84</v>
      </c>
      <c r="H184" s="177">
        <v>1</v>
      </c>
      <c r="I184" s="178">
        <v>0</v>
      </c>
      <c r="J184" s="176">
        <v>46039</v>
      </c>
      <c r="K184" s="172" t="s">
        <v>93</v>
      </c>
      <c r="L184" s="172" t="s">
        <v>94</v>
      </c>
      <c r="M184" s="179">
        <v>0</v>
      </c>
      <c r="N184" s="177"/>
      <c r="O184" s="177">
        <v>47</v>
      </c>
      <c r="P184" s="180">
        <v>-56</v>
      </c>
    </row>
    <row r="185" spans="1:16" ht="19.5" customHeight="1">
      <c r="A185" s="172" t="s">
        <v>156</v>
      </c>
      <c r="B185" s="176">
        <v>46042</v>
      </c>
      <c r="C185" s="172" t="s">
        <v>81</v>
      </c>
      <c r="D185" s="172" t="s">
        <v>95</v>
      </c>
      <c r="E185" s="172" t="s">
        <v>52</v>
      </c>
      <c r="F185" s="172" t="s">
        <v>90</v>
      </c>
      <c r="G185" s="172" t="s">
        <v>84</v>
      </c>
      <c r="H185" s="177">
        <v>1</v>
      </c>
      <c r="I185" s="178">
        <v>0</v>
      </c>
      <c r="J185" s="176">
        <v>46039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-11.95</v>
      </c>
    </row>
    <row r="186" spans="1:16" ht="19.5" customHeight="1">
      <c r="A186" s="172" t="s">
        <v>157</v>
      </c>
      <c r="B186" s="176">
        <v>46042</v>
      </c>
      <c r="C186" s="172" t="s">
        <v>92</v>
      </c>
      <c r="D186" s="172" t="s">
        <v>24</v>
      </c>
      <c r="E186" s="172" t="s">
        <v>52</v>
      </c>
      <c r="F186" s="172" t="s">
        <v>90</v>
      </c>
      <c r="G186" s="172" t="s">
        <v>84</v>
      </c>
      <c r="H186" s="177">
        <v>1</v>
      </c>
      <c r="I186" s="178">
        <v>0</v>
      </c>
      <c r="J186" s="176">
        <v>46035</v>
      </c>
      <c r="K186" s="172" t="s">
        <v>93</v>
      </c>
      <c r="L186" s="172" t="s">
        <v>94</v>
      </c>
      <c r="M186" s="179">
        <v>0</v>
      </c>
      <c r="N186" s="177"/>
      <c r="O186" s="177">
        <v>45</v>
      </c>
      <c r="P186" s="180">
        <v>-56</v>
      </c>
    </row>
    <row r="187" spans="1:16" ht="19.5" customHeight="1">
      <c r="A187" s="172" t="s">
        <v>157</v>
      </c>
      <c r="B187" s="176">
        <v>46042</v>
      </c>
      <c r="C187" s="172" t="s">
        <v>81</v>
      </c>
      <c r="D187" s="172" t="s">
        <v>95</v>
      </c>
      <c r="E187" s="172" t="s">
        <v>52</v>
      </c>
      <c r="F187" s="172" t="s">
        <v>90</v>
      </c>
      <c r="G187" s="172" t="s">
        <v>84</v>
      </c>
      <c r="H187" s="177">
        <v>1</v>
      </c>
      <c r="I187" s="178">
        <v>0</v>
      </c>
      <c r="J187" s="176">
        <v>46035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-8.94</v>
      </c>
    </row>
    <row r="188" spans="1:16" ht="19.5" customHeight="1">
      <c r="A188" s="172" t="s">
        <v>156</v>
      </c>
      <c r="B188" s="176">
        <v>46042</v>
      </c>
      <c r="C188" s="172" t="s">
        <v>92</v>
      </c>
      <c r="D188" s="172" t="s">
        <v>96</v>
      </c>
      <c r="E188" s="172" t="s">
        <v>52</v>
      </c>
      <c r="F188" s="172" t="s">
        <v>90</v>
      </c>
      <c r="G188" s="172" t="s">
        <v>84</v>
      </c>
      <c r="H188" s="177">
        <v>1</v>
      </c>
      <c r="I188" s="178">
        <v>0</v>
      </c>
      <c r="J188" s="176">
        <v>46039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0</v>
      </c>
    </row>
    <row r="189" spans="1:16" ht="19.5" customHeight="1">
      <c r="A189" s="172" t="s">
        <v>156</v>
      </c>
      <c r="B189" s="176">
        <v>46042</v>
      </c>
      <c r="C189" s="172" t="s">
        <v>92</v>
      </c>
      <c r="D189" s="172" t="s">
        <v>97</v>
      </c>
      <c r="E189" s="172" t="s">
        <v>52</v>
      </c>
      <c r="F189" s="172" t="s">
        <v>90</v>
      </c>
      <c r="G189" s="172" t="s">
        <v>84</v>
      </c>
      <c r="H189" s="177">
        <v>1</v>
      </c>
      <c r="I189" s="178">
        <v>0</v>
      </c>
      <c r="J189" s="176">
        <v>46039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-56</v>
      </c>
    </row>
    <row r="190" spans="1:16" ht="19.5" customHeight="1">
      <c r="A190" s="172" t="s">
        <v>156</v>
      </c>
      <c r="B190" s="176">
        <v>46042</v>
      </c>
      <c r="C190" s="172" t="s">
        <v>81</v>
      </c>
      <c r="D190" s="172" t="s">
        <v>98</v>
      </c>
      <c r="E190" s="172" t="s">
        <v>52</v>
      </c>
      <c r="F190" s="172" t="s">
        <v>90</v>
      </c>
      <c r="G190" s="172" t="s">
        <v>84</v>
      </c>
      <c r="H190" s="177">
        <v>1</v>
      </c>
      <c r="I190" s="178">
        <v>0</v>
      </c>
      <c r="J190" s="176">
        <v>46039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-15</v>
      </c>
    </row>
    <row r="191" spans="1:16" ht="19.5" customHeight="1">
      <c r="A191" s="172" t="s">
        <v>157</v>
      </c>
      <c r="B191" s="176">
        <v>46042</v>
      </c>
      <c r="C191" s="172" t="s">
        <v>92</v>
      </c>
      <c r="D191" s="172" t="s">
        <v>96</v>
      </c>
      <c r="E191" s="172" t="s">
        <v>52</v>
      </c>
      <c r="F191" s="172" t="s">
        <v>90</v>
      </c>
      <c r="G191" s="172" t="s">
        <v>84</v>
      </c>
      <c r="H191" s="177">
        <v>1</v>
      </c>
      <c r="I191" s="178">
        <v>0</v>
      </c>
      <c r="J191" s="176">
        <v>46035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0</v>
      </c>
    </row>
    <row r="192" spans="1:16" ht="19.5" customHeight="1">
      <c r="A192" s="172" t="s">
        <v>157</v>
      </c>
      <c r="B192" s="176">
        <v>46042</v>
      </c>
      <c r="C192" s="172" t="s">
        <v>92</v>
      </c>
      <c r="D192" s="172" t="s">
        <v>97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0</v>
      </c>
      <c r="J192" s="176">
        <v>46035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-56</v>
      </c>
    </row>
    <row r="193" spans="1:16" ht="19.5" customHeight="1">
      <c r="A193" s="172" t="s">
        <v>157</v>
      </c>
      <c r="B193" s="176">
        <v>46042</v>
      </c>
      <c r="C193" s="172" t="s">
        <v>81</v>
      </c>
      <c r="D193" s="172" t="s">
        <v>98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0</v>
      </c>
      <c r="J193" s="176">
        <v>46035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-15</v>
      </c>
    </row>
    <row r="194" spans="1:16" ht="19.5" customHeight="1">
      <c r="A194" s="172" t="s">
        <v>158</v>
      </c>
      <c r="B194" s="176">
        <v>46042</v>
      </c>
      <c r="C194" s="172" t="s">
        <v>92</v>
      </c>
      <c r="D194" s="172" t="s">
        <v>24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1750</v>
      </c>
      <c r="J194" s="176">
        <v>46034</v>
      </c>
      <c r="K194" s="172" t="s">
        <v>93</v>
      </c>
      <c r="L194" s="172" t="s">
        <v>94</v>
      </c>
      <c r="M194" s="179">
        <v>0.43</v>
      </c>
      <c r="N194" s="177"/>
      <c r="O194" s="177">
        <v>42</v>
      </c>
      <c r="P194" s="180">
        <v>-123.31</v>
      </c>
    </row>
    <row r="195" spans="1:16" ht="19.5" customHeight="1">
      <c r="A195" s="172" t="s">
        <v>158</v>
      </c>
      <c r="B195" s="176">
        <v>46042</v>
      </c>
      <c r="C195" s="172" t="s">
        <v>100</v>
      </c>
      <c r="D195" s="172" t="s">
        <v>101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1750</v>
      </c>
      <c r="J195" s="176">
        <v>46034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675.55</v>
      </c>
    </row>
    <row r="196" spans="1:16" ht="19.5" customHeight="1">
      <c r="A196" s="172" t="s">
        <v>158</v>
      </c>
      <c r="B196" s="176">
        <v>46042</v>
      </c>
      <c r="C196" s="172" t="s">
        <v>100</v>
      </c>
      <c r="D196" s="172" t="s">
        <v>102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1750</v>
      </c>
      <c r="J196" s="176">
        <v>46034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0</v>
      </c>
    </row>
    <row r="197" spans="1:16" ht="19.5" customHeight="1">
      <c r="A197" s="172" t="s">
        <v>158</v>
      </c>
      <c r="B197" s="176">
        <v>46042</v>
      </c>
      <c r="C197" s="172" t="s">
        <v>100</v>
      </c>
      <c r="D197" s="172" t="s">
        <v>103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1750</v>
      </c>
      <c r="J197" s="176">
        <v>46034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1074.45</v>
      </c>
    </row>
    <row r="198" spans="1:16" ht="19.5" customHeight="1">
      <c r="A198" s="172" t="s">
        <v>158</v>
      </c>
      <c r="B198" s="176">
        <v>46042</v>
      </c>
      <c r="C198" s="172" t="s">
        <v>104</v>
      </c>
      <c r="D198" s="172" t="s">
        <v>105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1750</v>
      </c>
      <c r="J198" s="176">
        <v>46034</v>
      </c>
      <c r="K198" s="172" t="s">
        <v>93</v>
      </c>
      <c r="L198" s="172" t="s">
        <v>94</v>
      </c>
      <c r="M198" s="179">
        <v>0.43</v>
      </c>
      <c r="N198" s="177"/>
      <c r="O198" s="177"/>
      <c r="P198" s="180">
        <v>-752.5</v>
      </c>
    </row>
    <row r="199" spans="1:16" ht="19.5" customHeight="1">
      <c r="A199" s="172" t="s">
        <v>158</v>
      </c>
      <c r="B199" s="176">
        <v>46042</v>
      </c>
      <c r="C199" s="172" t="s">
        <v>81</v>
      </c>
      <c r="D199" s="172" t="s">
        <v>95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1750</v>
      </c>
      <c r="J199" s="176">
        <v>46034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-8.7200000000000006</v>
      </c>
    </row>
    <row r="200" spans="1:16" ht="19.5" customHeight="1">
      <c r="A200" s="172" t="s">
        <v>159</v>
      </c>
      <c r="B200" s="176">
        <v>46042</v>
      </c>
      <c r="C200" s="172" t="s">
        <v>92</v>
      </c>
      <c r="D200" s="172" t="s">
        <v>24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46035</v>
      </c>
      <c r="K200" s="172" t="s">
        <v>93</v>
      </c>
      <c r="L200" s="172" t="s">
        <v>94</v>
      </c>
      <c r="M200" s="179">
        <v>0</v>
      </c>
      <c r="N200" s="177"/>
      <c r="O200" s="177">
        <v>45</v>
      </c>
      <c r="P200" s="180">
        <v>-56</v>
      </c>
    </row>
    <row r="201" spans="1:16" ht="19.5" customHeight="1">
      <c r="A201" s="172" t="s">
        <v>159</v>
      </c>
      <c r="B201" s="176">
        <v>46042</v>
      </c>
      <c r="C201" s="172" t="s">
        <v>81</v>
      </c>
      <c r="D201" s="172" t="s">
        <v>95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46035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-10.94</v>
      </c>
    </row>
    <row r="202" spans="1:16" ht="19.5" customHeight="1">
      <c r="A202" s="172" t="s">
        <v>159</v>
      </c>
      <c r="B202" s="176">
        <v>46042</v>
      </c>
      <c r="C202" s="172" t="s">
        <v>92</v>
      </c>
      <c r="D202" s="172" t="s">
        <v>96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0</v>
      </c>
      <c r="J202" s="176">
        <v>46035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0</v>
      </c>
    </row>
    <row r="203" spans="1:16" ht="19.5" customHeight="1">
      <c r="A203" s="172" t="s">
        <v>159</v>
      </c>
      <c r="B203" s="176">
        <v>46042</v>
      </c>
      <c r="C203" s="172" t="s">
        <v>92</v>
      </c>
      <c r="D203" s="172" t="s">
        <v>97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0</v>
      </c>
      <c r="J203" s="176">
        <v>46035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-56</v>
      </c>
    </row>
    <row r="204" spans="1:16" ht="19.5" customHeight="1">
      <c r="A204" s="172" t="s">
        <v>159</v>
      </c>
      <c r="B204" s="176">
        <v>46042</v>
      </c>
      <c r="C204" s="172" t="s">
        <v>81</v>
      </c>
      <c r="D204" s="172" t="s">
        <v>98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0</v>
      </c>
      <c r="J204" s="176">
        <v>46035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-15</v>
      </c>
    </row>
    <row r="205" spans="1:16" ht="19.5" customHeight="1">
      <c r="A205" s="172" t="s">
        <v>160</v>
      </c>
      <c r="B205" s="176">
        <v>46042</v>
      </c>
      <c r="C205" s="172" t="s">
        <v>81</v>
      </c>
      <c r="D205" s="172" t="s">
        <v>82</v>
      </c>
      <c r="E205" s="172" t="s">
        <v>41</v>
      </c>
      <c r="F205" s="172" t="s">
        <v>83</v>
      </c>
      <c r="G205" s="172" t="s">
        <v>84</v>
      </c>
      <c r="H205" s="177">
        <v>1</v>
      </c>
      <c r="I205" s="178">
        <v>0</v>
      </c>
      <c r="J205" s="176">
        <v>46042</v>
      </c>
      <c r="K205" s="172" t="s">
        <v>85</v>
      </c>
      <c r="L205" s="172" t="s">
        <v>85</v>
      </c>
      <c r="M205" s="179">
        <v>0</v>
      </c>
      <c r="N205" s="177"/>
      <c r="O205" s="177"/>
      <c r="P205" s="180">
        <v>-11.58</v>
      </c>
    </row>
    <row r="206" spans="1:16" ht="19.5" customHeight="1">
      <c r="A206" s="172" t="s">
        <v>161</v>
      </c>
      <c r="B206" s="176">
        <v>46042</v>
      </c>
      <c r="C206" s="172" t="s">
        <v>92</v>
      </c>
      <c r="D206" s="172" t="s">
        <v>24</v>
      </c>
      <c r="E206" s="172" t="s">
        <v>52</v>
      </c>
      <c r="F206" s="172" t="s">
        <v>90</v>
      </c>
      <c r="G206" s="172" t="s">
        <v>84</v>
      </c>
      <c r="H206" s="177">
        <v>1</v>
      </c>
      <c r="I206" s="178">
        <v>1621</v>
      </c>
      <c r="J206" s="176">
        <v>46033</v>
      </c>
      <c r="K206" s="172" t="s">
        <v>93</v>
      </c>
      <c r="L206" s="172" t="s">
        <v>94</v>
      </c>
      <c r="M206" s="179">
        <v>0.43</v>
      </c>
      <c r="N206" s="177"/>
      <c r="O206" s="177">
        <v>42</v>
      </c>
      <c r="P206" s="180">
        <v>-135.6</v>
      </c>
    </row>
    <row r="207" spans="1:16" ht="19.5" customHeight="1">
      <c r="A207" s="172" t="s">
        <v>161</v>
      </c>
      <c r="B207" s="176">
        <v>46042</v>
      </c>
      <c r="C207" s="172" t="s">
        <v>100</v>
      </c>
      <c r="D207" s="172" t="s">
        <v>101</v>
      </c>
      <c r="E207" s="172" t="s">
        <v>52</v>
      </c>
      <c r="F207" s="172" t="s">
        <v>90</v>
      </c>
      <c r="G207" s="172" t="s">
        <v>84</v>
      </c>
      <c r="H207" s="177">
        <v>1</v>
      </c>
      <c r="I207" s="178">
        <v>1621</v>
      </c>
      <c r="J207" s="176">
        <v>46033</v>
      </c>
      <c r="K207" s="172" t="s">
        <v>93</v>
      </c>
      <c r="L207" s="172" t="s">
        <v>94</v>
      </c>
      <c r="M207" s="179">
        <v>0</v>
      </c>
      <c r="N207" s="177"/>
      <c r="O207" s="177"/>
      <c r="P207" s="180">
        <v>570.48</v>
      </c>
    </row>
    <row r="208" spans="1:16" ht="19.5" customHeight="1">
      <c r="A208" s="172" t="s">
        <v>161</v>
      </c>
      <c r="B208" s="176">
        <v>46042</v>
      </c>
      <c r="C208" s="172" t="s">
        <v>100</v>
      </c>
      <c r="D208" s="172" t="s">
        <v>102</v>
      </c>
      <c r="E208" s="172" t="s">
        <v>52</v>
      </c>
      <c r="F208" s="172" t="s">
        <v>90</v>
      </c>
      <c r="G208" s="172" t="s">
        <v>84</v>
      </c>
      <c r="H208" s="177">
        <v>1</v>
      </c>
      <c r="I208" s="178">
        <v>1621</v>
      </c>
      <c r="J208" s="176">
        <v>46033</v>
      </c>
      <c r="K208" s="172" t="s">
        <v>93</v>
      </c>
      <c r="L208" s="172" t="s">
        <v>94</v>
      </c>
      <c r="M208" s="179">
        <v>0</v>
      </c>
      <c r="N208" s="177"/>
      <c r="O208" s="177"/>
      <c r="P208" s="180">
        <v>5.7</v>
      </c>
    </row>
    <row r="209" spans="1:16" ht="19.5" customHeight="1">
      <c r="A209" s="172" t="s">
        <v>161</v>
      </c>
      <c r="B209" s="176">
        <v>46042</v>
      </c>
      <c r="C209" s="172" t="s">
        <v>100</v>
      </c>
      <c r="D209" s="172" t="s">
        <v>103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1621</v>
      </c>
      <c r="J209" s="176">
        <v>46033</v>
      </c>
      <c r="K209" s="172" t="s">
        <v>93</v>
      </c>
      <c r="L209" s="172" t="s">
        <v>94</v>
      </c>
      <c r="M209" s="179">
        <v>0</v>
      </c>
      <c r="N209" s="177"/>
      <c r="O209" s="177"/>
      <c r="P209" s="180">
        <v>1044.82</v>
      </c>
    </row>
    <row r="210" spans="1:16" ht="19.5" customHeight="1">
      <c r="A210" s="172" t="s">
        <v>161</v>
      </c>
      <c r="B210" s="176">
        <v>46042</v>
      </c>
      <c r="C210" s="172" t="s">
        <v>104</v>
      </c>
      <c r="D210" s="172" t="s">
        <v>105</v>
      </c>
      <c r="E210" s="172" t="s">
        <v>52</v>
      </c>
      <c r="F210" s="172" t="s">
        <v>90</v>
      </c>
      <c r="G210" s="172" t="s">
        <v>84</v>
      </c>
      <c r="H210" s="177">
        <v>1</v>
      </c>
      <c r="I210" s="178">
        <v>1621</v>
      </c>
      <c r="J210" s="176">
        <v>46033</v>
      </c>
      <c r="K210" s="172" t="s">
        <v>93</v>
      </c>
      <c r="L210" s="172" t="s">
        <v>94</v>
      </c>
      <c r="M210" s="179">
        <v>0.43</v>
      </c>
      <c r="N210" s="177"/>
      <c r="O210" s="177"/>
      <c r="P210" s="180">
        <v>-697.03</v>
      </c>
    </row>
    <row r="211" spans="1:16" ht="19.5" customHeight="1">
      <c r="A211" s="172" t="s">
        <v>161</v>
      </c>
      <c r="B211" s="176">
        <v>46042</v>
      </c>
      <c r="C211" s="172" t="s">
        <v>81</v>
      </c>
      <c r="D211" s="172" t="s">
        <v>95</v>
      </c>
      <c r="E211" s="172" t="s">
        <v>52</v>
      </c>
      <c r="F211" s="172" t="s">
        <v>90</v>
      </c>
      <c r="G211" s="172" t="s">
        <v>84</v>
      </c>
      <c r="H211" s="177">
        <v>1</v>
      </c>
      <c r="I211" s="178">
        <v>1621</v>
      </c>
      <c r="J211" s="176">
        <v>46033</v>
      </c>
      <c r="K211" s="172" t="s">
        <v>93</v>
      </c>
      <c r="L211" s="172" t="s">
        <v>94</v>
      </c>
      <c r="M211" s="179">
        <v>0.43</v>
      </c>
      <c r="N211" s="177"/>
      <c r="O211" s="177"/>
      <c r="P211" s="180">
        <v>-19.829999999999998</v>
      </c>
    </row>
    <row r="212" spans="1:16" ht="19.5" customHeight="1">
      <c r="A212" s="172" t="s">
        <v>162</v>
      </c>
      <c r="B212" s="176">
        <v>46042</v>
      </c>
      <c r="C212" s="172" t="s">
        <v>92</v>
      </c>
      <c r="D212" s="172" t="s">
        <v>24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0</v>
      </c>
      <c r="J212" s="176">
        <v>46030</v>
      </c>
      <c r="K212" s="172" t="s">
        <v>93</v>
      </c>
      <c r="L212" s="172" t="s">
        <v>94</v>
      </c>
      <c r="M212" s="179">
        <v>0</v>
      </c>
      <c r="N212" s="177"/>
      <c r="O212" s="177">
        <v>42</v>
      </c>
      <c r="P212" s="180">
        <v>-56.94</v>
      </c>
    </row>
    <row r="213" spans="1:16" ht="19.5" customHeight="1">
      <c r="A213" s="172" t="s">
        <v>162</v>
      </c>
      <c r="B213" s="176">
        <v>46042</v>
      </c>
      <c r="C213" s="172" t="s">
        <v>81</v>
      </c>
      <c r="D213" s="172" t="s">
        <v>95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0</v>
      </c>
      <c r="J213" s="176">
        <v>46030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-14.05</v>
      </c>
    </row>
    <row r="214" spans="1:16" ht="19.5" customHeight="1">
      <c r="A214" s="172" t="s">
        <v>162</v>
      </c>
      <c r="B214" s="176">
        <v>46042</v>
      </c>
      <c r="C214" s="172" t="s">
        <v>92</v>
      </c>
      <c r="D214" s="172" t="s">
        <v>96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0</v>
      </c>
      <c r="J214" s="176">
        <v>46030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0</v>
      </c>
    </row>
    <row r="215" spans="1:16" ht="19.5" customHeight="1">
      <c r="A215" s="172" t="s">
        <v>162</v>
      </c>
      <c r="B215" s="176">
        <v>46042</v>
      </c>
      <c r="C215" s="172" t="s">
        <v>92</v>
      </c>
      <c r="D215" s="172" t="s">
        <v>97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46030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-56.94</v>
      </c>
    </row>
    <row r="216" spans="1:16" ht="19.5" customHeight="1">
      <c r="A216" s="172" t="s">
        <v>162</v>
      </c>
      <c r="B216" s="176">
        <v>46042</v>
      </c>
      <c r="C216" s="172" t="s">
        <v>81</v>
      </c>
      <c r="D216" s="172" t="s">
        <v>98</v>
      </c>
      <c r="E216" s="172" t="s">
        <v>53</v>
      </c>
      <c r="F216" s="172" t="s">
        <v>120</v>
      </c>
      <c r="G216" s="172" t="s">
        <v>84</v>
      </c>
      <c r="H216" s="177">
        <v>1</v>
      </c>
      <c r="I216" s="178">
        <v>0</v>
      </c>
      <c r="J216" s="176">
        <v>46030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-15</v>
      </c>
    </row>
    <row r="217" spans="1:16" ht="19.5" customHeight="1">
      <c r="A217" s="172" t="s">
        <v>163</v>
      </c>
      <c r="B217" s="176">
        <v>46042</v>
      </c>
      <c r="C217" s="172" t="s">
        <v>92</v>
      </c>
      <c r="D217" s="172" t="s">
        <v>24</v>
      </c>
      <c r="E217" s="172" t="s">
        <v>41</v>
      </c>
      <c r="F217" s="172" t="s">
        <v>83</v>
      </c>
      <c r="G217" s="172" t="s">
        <v>84</v>
      </c>
      <c r="H217" s="177">
        <v>1</v>
      </c>
      <c r="I217" s="178">
        <v>1750</v>
      </c>
      <c r="J217" s="176">
        <v>46039</v>
      </c>
      <c r="K217" s="172" t="s">
        <v>93</v>
      </c>
      <c r="L217" s="172" t="s">
        <v>94</v>
      </c>
      <c r="M217" s="179">
        <v>0.43</v>
      </c>
      <c r="N217" s="177"/>
      <c r="O217" s="177">
        <v>47</v>
      </c>
      <c r="P217" s="180">
        <v>-142.11000000000001</v>
      </c>
    </row>
    <row r="218" spans="1:16" ht="19.5" customHeight="1">
      <c r="A218" s="172" t="s">
        <v>163</v>
      </c>
      <c r="B218" s="176">
        <v>46042</v>
      </c>
      <c r="C218" s="172" t="s">
        <v>100</v>
      </c>
      <c r="D218" s="172" t="s">
        <v>101</v>
      </c>
      <c r="E218" s="172" t="s">
        <v>41</v>
      </c>
      <c r="F218" s="172" t="s">
        <v>83</v>
      </c>
      <c r="G218" s="172" t="s">
        <v>84</v>
      </c>
      <c r="H218" s="177">
        <v>1</v>
      </c>
      <c r="I218" s="178">
        <v>1750</v>
      </c>
      <c r="J218" s="176">
        <v>46039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875.37</v>
      </c>
    </row>
    <row r="219" spans="1:16" ht="19.5" customHeight="1">
      <c r="A219" s="172" t="s">
        <v>163</v>
      </c>
      <c r="B219" s="176">
        <v>46042</v>
      </c>
      <c r="C219" s="172" t="s">
        <v>100</v>
      </c>
      <c r="D219" s="172" t="s">
        <v>102</v>
      </c>
      <c r="E219" s="172" t="s">
        <v>41</v>
      </c>
      <c r="F219" s="172" t="s">
        <v>83</v>
      </c>
      <c r="G219" s="172" t="s">
        <v>84</v>
      </c>
      <c r="H219" s="177">
        <v>1</v>
      </c>
      <c r="I219" s="178">
        <v>1750</v>
      </c>
      <c r="J219" s="176">
        <v>46039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0</v>
      </c>
    </row>
    <row r="220" spans="1:16" ht="19.5" customHeight="1">
      <c r="A220" s="172" t="s">
        <v>163</v>
      </c>
      <c r="B220" s="176">
        <v>46042</v>
      </c>
      <c r="C220" s="172" t="s">
        <v>100</v>
      </c>
      <c r="D220" s="172" t="s">
        <v>103</v>
      </c>
      <c r="E220" s="172" t="s">
        <v>41</v>
      </c>
      <c r="F220" s="172" t="s">
        <v>83</v>
      </c>
      <c r="G220" s="172" t="s">
        <v>84</v>
      </c>
      <c r="H220" s="177">
        <v>1</v>
      </c>
      <c r="I220" s="178">
        <v>1750</v>
      </c>
      <c r="J220" s="176">
        <v>46039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874.63</v>
      </c>
    </row>
    <row r="221" spans="1:16" ht="19.5" customHeight="1">
      <c r="A221" s="172" t="s">
        <v>163</v>
      </c>
      <c r="B221" s="176">
        <v>46042</v>
      </c>
      <c r="C221" s="172" t="s">
        <v>104</v>
      </c>
      <c r="D221" s="172" t="s">
        <v>105</v>
      </c>
      <c r="E221" s="172" t="s">
        <v>41</v>
      </c>
      <c r="F221" s="172" t="s">
        <v>83</v>
      </c>
      <c r="G221" s="172" t="s">
        <v>84</v>
      </c>
      <c r="H221" s="177">
        <v>1</v>
      </c>
      <c r="I221" s="178">
        <v>1750</v>
      </c>
      <c r="J221" s="176">
        <v>46039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-752.5</v>
      </c>
    </row>
    <row r="222" spans="1:16" ht="19.5" customHeight="1">
      <c r="A222" s="172" t="s">
        <v>164</v>
      </c>
      <c r="B222" s="176">
        <v>46042</v>
      </c>
      <c r="C222" s="172" t="s">
        <v>92</v>
      </c>
      <c r="D222" s="172" t="s">
        <v>24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1885</v>
      </c>
      <c r="J222" s="176">
        <v>46040</v>
      </c>
      <c r="K222" s="172" t="s">
        <v>93</v>
      </c>
      <c r="L222" s="172" t="s">
        <v>94</v>
      </c>
      <c r="M222" s="179">
        <v>0.43</v>
      </c>
      <c r="N222" s="177"/>
      <c r="O222" s="177">
        <v>45</v>
      </c>
      <c r="P222" s="180">
        <v>-156.72999999999999</v>
      </c>
    </row>
    <row r="223" spans="1:16" ht="19.5" customHeight="1">
      <c r="A223" s="172" t="s">
        <v>164</v>
      </c>
      <c r="B223" s="176">
        <v>46042</v>
      </c>
      <c r="C223" s="172" t="s">
        <v>100</v>
      </c>
      <c r="D223" s="172" t="s">
        <v>101</v>
      </c>
      <c r="E223" s="172" t="s">
        <v>52</v>
      </c>
      <c r="F223" s="172" t="s">
        <v>90</v>
      </c>
      <c r="G223" s="172" t="s">
        <v>84</v>
      </c>
      <c r="H223" s="177">
        <v>1</v>
      </c>
      <c r="I223" s="178">
        <v>1885</v>
      </c>
      <c r="J223" s="176">
        <v>46040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925.71</v>
      </c>
    </row>
    <row r="224" spans="1:16" ht="19.5" customHeight="1">
      <c r="A224" s="172" t="s">
        <v>164</v>
      </c>
      <c r="B224" s="176">
        <v>46042</v>
      </c>
      <c r="C224" s="172" t="s">
        <v>100</v>
      </c>
      <c r="D224" s="172" t="s">
        <v>102</v>
      </c>
      <c r="E224" s="172" t="s">
        <v>52</v>
      </c>
      <c r="F224" s="172" t="s">
        <v>90</v>
      </c>
      <c r="G224" s="172" t="s">
        <v>84</v>
      </c>
      <c r="H224" s="177">
        <v>1</v>
      </c>
      <c r="I224" s="178">
        <v>1885</v>
      </c>
      <c r="J224" s="176">
        <v>46040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9.26</v>
      </c>
    </row>
    <row r="225" spans="1:16" ht="19.5" customHeight="1">
      <c r="A225" s="172" t="s">
        <v>164</v>
      </c>
      <c r="B225" s="176">
        <v>46042</v>
      </c>
      <c r="C225" s="172" t="s">
        <v>100</v>
      </c>
      <c r="D225" s="172" t="s">
        <v>103</v>
      </c>
      <c r="E225" s="172" t="s">
        <v>52</v>
      </c>
      <c r="F225" s="172" t="s">
        <v>90</v>
      </c>
      <c r="G225" s="172" t="s">
        <v>84</v>
      </c>
      <c r="H225" s="177">
        <v>1</v>
      </c>
      <c r="I225" s="178">
        <v>1885</v>
      </c>
      <c r="J225" s="176">
        <v>46040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950.03</v>
      </c>
    </row>
    <row r="226" spans="1:16" ht="19.5" customHeight="1">
      <c r="A226" s="172" t="s">
        <v>164</v>
      </c>
      <c r="B226" s="176">
        <v>46042</v>
      </c>
      <c r="C226" s="172" t="s">
        <v>104</v>
      </c>
      <c r="D226" s="172" t="s">
        <v>105</v>
      </c>
      <c r="E226" s="172" t="s">
        <v>52</v>
      </c>
      <c r="F226" s="172" t="s">
        <v>90</v>
      </c>
      <c r="G226" s="172" t="s">
        <v>84</v>
      </c>
      <c r="H226" s="177">
        <v>1</v>
      </c>
      <c r="I226" s="178">
        <v>1885</v>
      </c>
      <c r="J226" s="176">
        <v>46040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-810.55</v>
      </c>
    </row>
    <row r="227" spans="1:16" ht="19.5" customHeight="1">
      <c r="A227" s="172" t="s">
        <v>164</v>
      </c>
      <c r="B227" s="176">
        <v>46042</v>
      </c>
      <c r="C227" s="172" t="s">
        <v>81</v>
      </c>
      <c r="D227" s="172" t="s">
        <v>95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1885</v>
      </c>
      <c r="J227" s="176">
        <v>46040</v>
      </c>
      <c r="K227" s="172" t="s">
        <v>93</v>
      </c>
      <c r="L227" s="172" t="s">
        <v>94</v>
      </c>
      <c r="M227" s="179">
        <v>0.43</v>
      </c>
      <c r="N227" s="177"/>
      <c r="O227" s="177"/>
      <c r="P227" s="180">
        <v>-14.99</v>
      </c>
    </row>
    <row r="228" spans="1:16" ht="19.5" customHeight="1">
      <c r="A228" s="172" t="s">
        <v>165</v>
      </c>
      <c r="B228" s="176">
        <v>46042</v>
      </c>
      <c r="C228" s="172" t="s">
        <v>166</v>
      </c>
      <c r="D228" s="172" t="s">
        <v>167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-2027</v>
      </c>
      <c r="J228" s="176">
        <v>46036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-705.99</v>
      </c>
    </row>
    <row r="229" spans="1:16" ht="19.5" customHeight="1">
      <c r="A229" s="172" t="s">
        <v>165</v>
      </c>
      <c r="B229" s="176">
        <v>46042</v>
      </c>
      <c r="C229" s="172" t="s">
        <v>166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-2027</v>
      </c>
      <c r="J229" s="176">
        <v>46036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-7.06</v>
      </c>
    </row>
    <row r="230" spans="1:16" ht="19.5" customHeight="1">
      <c r="A230" s="172" t="s">
        <v>165</v>
      </c>
      <c r="B230" s="176">
        <v>46042</v>
      </c>
      <c r="C230" s="172" t="s">
        <v>166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-2027</v>
      </c>
      <c r="J230" s="176">
        <v>46036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-1313.95</v>
      </c>
    </row>
    <row r="231" spans="1:16" ht="19.5" customHeight="1">
      <c r="A231" s="172" t="s">
        <v>165</v>
      </c>
      <c r="B231" s="176">
        <v>46042</v>
      </c>
      <c r="C231" s="172" t="s">
        <v>104</v>
      </c>
      <c r="D231" s="172" t="s">
        <v>168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-2027</v>
      </c>
      <c r="J231" s="176">
        <v>46036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871.61</v>
      </c>
    </row>
    <row r="232" spans="1:16" ht="19.5" customHeight="1">
      <c r="A232" s="172" t="s">
        <v>169</v>
      </c>
      <c r="B232" s="176">
        <v>46042</v>
      </c>
      <c r="C232" s="172" t="s">
        <v>92</v>
      </c>
      <c r="D232" s="172" t="s">
        <v>24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1885</v>
      </c>
      <c r="J232" s="176">
        <v>46041</v>
      </c>
      <c r="K232" s="172" t="s">
        <v>93</v>
      </c>
      <c r="L232" s="172" t="s">
        <v>94</v>
      </c>
      <c r="M232" s="179">
        <v>0.43</v>
      </c>
      <c r="N232" s="177"/>
      <c r="O232" s="177">
        <v>44</v>
      </c>
      <c r="P232" s="180">
        <v>-150.66</v>
      </c>
    </row>
    <row r="233" spans="1:16" ht="19.5" customHeight="1">
      <c r="A233" s="172" t="s">
        <v>169</v>
      </c>
      <c r="B233" s="176">
        <v>46042</v>
      </c>
      <c r="C233" s="172" t="s">
        <v>100</v>
      </c>
      <c r="D233" s="172" t="s">
        <v>101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1885</v>
      </c>
      <c r="J233" s="176">
        <v>46041</v>
      </c>
      <c r="K233" s="172" t="s">
        <v>93</v>
      </c>
      <c r="L233" s="172" t="s">
        <v>94</v>
      </c>
      <c r="M233" s="179">
        <v>0</v>
      </c>
      <c r="N233" s="177"/>
      <c r="O233" s="177"/>
      <c r="P233" s="180">
        <v>672.69</v>
      </c>
    </row>
    <row r="234" spans="1:16" ht="19.5" customHeight="1">
      <c r="A234" s="172" t="s">
        <v>169</v>
      </c>
      <c r="B234" s="176">
        <v>46042</v>
      </c>
      <c r="C234" s="172" t="s">
        <v>100</v>
      </c>
      <c r="D234" s="172" t="s">
        <v>102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1885</v>
      </c>
      <c r="J234" s="176">
        <v>46041</v>
      </c>
      <c r="K234" s="172" t="s">
        <v>93</v>
      </c>
      <c r="L234" s="172" t="s">
        <v>94</v>
      </c>
      <c r="M234" s="179">
        <v>0</v>
      </c>
      <c r="N234" s="177"/>
      <c r="O234" s="177"/>
      <c r="P234" s="180">
        <v>6.73</v>
      </c>
    </row>
    <row r="235" spans="1:16" ht="19.5" customHeight="1">
      <c r="A235" s="172" t="s">
        <v>169</v>
      </c>
      <c r="B235" s="176">
        <v>46042</v>
      </c>
      <c r="C235" s="172" t="s">
        <v>100</v>
      </c>
      <c r="D235" s="172" t="s">
        <v>103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1885</v>
      </c>
      <c r="J235" s="176">
        <v>46041</v>
      </c>
      <c r="K235" s="172" t="s">
        <v>93</v>
      </c>
      <c r="L235" s="172" t="s">
        <v>94</v>
      </c>
      <c r="M235" s="179">
        <v>0</v>
      </c>
      <c r="N235" s="177"/>
      <c r="O235" s="177"/>
      <c r="P235" s="180">
        <v>1205.58</v>
      </c>
    </row>
    <row r="236" spans="1:16" ht="19.5" customHeight="1">
      <c r="A236" s="172" t="s">
        <v>169</v>
      </c>
      <c r="B236" s="176">
        <v>46042</v>
      </c>
      <c r="C236" s="172" t="s">
        <v>104</v>
      </c>
      <c r="D236" s="172" t="s">
        <v>105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1885</v>
      </c>
      <c r="J236" s="176">
        <v>46041</v>
      </c>
      <c r="K236" s="172" t="s">
        <v>93</v>
      </c>
      <c r="L236" s="172" t="s">
        <v>94</v>
      </c>
      <c r="M236" s="179">
        <v>0.43</v>
      </c>
      <c r="N236" s="177"/>
      <c r="O236" s="177"/>
      <c r="P236" s="180">
        <v>-810.55</v>
      </c>
    </row>
    <row r="237" spans="1:16" ht="19.5" customHeight="1">
      <c r="A237" s="172" t="s">
        <v>169</v>
      </c>
      <c r="B237" s="176">
        <v>46042</v>
      </c>
      <c r="C237" s="172" t="s">
        <v>81</v>
      </c>
      <c r="D237" s="172" t="s">
        <v>95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1885</v>
      </c>
      <c r="J237" s="176">
        <v>46041</v>
      </c>
      <c r="K237" s="172" t="s">
        <v>93</v>
      </c>
      <c r="L237" s="172" t="s">
        <v>94</v>
      </c>
      <c r="M237" s="179">
        <v>0.43</v>
      </c>
      <c r="N237" s="177"/>
      <c r="O237" s="177"/>
      <c r="P237" s="180">
        <v>-10.199999999999999</v>
      </c>
    </row>
    <row r="238" spans="1:16" ht="19.5" customHeight="1">
      <c r="A238" s="172" t="s">
        <v>170</v>
      </c>
      <c r="B238" s="176">
        <v>46042</v>
      </c>
      <c r="C238" s="172" t="s">
        <v>81</v>
      </c>
      <c r="D238" s="172" t="s">
        <v>82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0</v>
      </c>
      <c r="J238" s="176">
        <v>46042</v>
      </c>
      <c r="K238" s="172" t="s">
        <v>85</v>
      </c>
      <c r="L238" s="172" t="s">
        <v>85</v>
      </c>
      <c r="M238" s="179">
        <v>0</v>
      </c>
      <c r="N238" s="177"/>
      <c r="O238" s="177"/>
      <c r="P238" s="180">
        <v>-9.64</v>
      </c>
    </row>
    <row r="239" spans="1:16" ht="19.5" customHeight="1">
      <c r="A239" s="172" t="s">
        <v>165</v>
      </c>
      <c r="B239" s="176">
        <v>46042</v>
      </c>
      <c r="C239" s="172" t="s">
        <v>81</v>
      </c>
      <c r="D239" s="172" t="s">
        <v>82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0</v>
      </c>
      <c r="J239" s="176">
        <v>46036</v>
      </c>
      <c r="K239" s="172" t="s">
        <v>85</v>
      </c>
      <c r="L239" s="172" t="s">
        <v>85</v>
      </c>
      <c r="M239" s="179">
        <v>0</v>
      </c>
      <c r="N239" s="177"/>
      <c r="O239" s="177"/>
      <c r="P239" s="180">
        <v>13.41</v>
      </c>
    </row>
    <row r="240" spans="1:16" ht="19.5" customHeight="1">
      <c r="A240" s="172" t="s">
        <v>169</v>
      </c>
      <c r="B240" s="176">
        <v>46042</v>
      </c>
      <c r="C240" s="172" t="s">
        <v>81</v>
      </c>
      <c r="D240" s="172" t="s">
        <v>82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0</v>
      </c>
      <c r="J240" s="176">
        <v>46041</v>
      </c>
      <c r="K240" s="172" t="s">
        <v>85</v>
      </c>
      <c r="L240" s="172" t="s">
        <v>85</v>
      </c>
      <c r="M240" s="179">
        <v>0</v>
      </c>
      <c r="N240" s="177"/>
      <c r="O240" s="177"/>
      <c r="P240" s="180">
        <v>-12.78</v>
      </c>
    </row>
    <row r="241" spans="1:16" ht="19.5" customHeight="1">
      <c r="A241" s="172" t="s">
        <v>171</v>
      </c>
      <c r="B241" s="176">
        <v>46042</v>
      </c>
      <c r="C241" s="172" t="s">
        <v>92</v>
      </c>
      <c r="D241" s="172" t="s">
        <v>24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0</v>
      </c>
      <c r="J241" s="176">
        <v>46036</v>
      </c>
      <c r="K241" s="172" t="s">
        <v>93</v>
      </c>
      <c r="L241" s="172" t="s">
        <v>94</v>
      </c>
      <c r="M241" s="179">
        <v>0</v>
      </c>
      <c r="N241" s="177"/>
      <c r="O241" s="177">
        <v>45</v>
      </c>
      <c r="P241" s="180">
        <v>-56</v>
      </c>
    </row>
    <row r="242" spans="1:16" ht="19.5" customHeight="1">
      <c r="A242" s="172" t="s">
        <v>171</v>
      </c>
      <c r="B242" s="176">
        <v>46042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46036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-15.91</v>
      </c>
    </row>
    <row r="243" spans="1:16" ht="19.5" customHeight="1">
      <c r="A243" s="172" t="s">
        <v>171</v>
      </c>
      <c r="B243" s="176">
        <v>46042</v>
      </c>
      <c r="C243" s="172" t="s">
        <v>92</v>
      </c>
      <c r="D243" s="172" t="s">
        <v>96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0</v>
      </c>
      <c r="J243" s="176">
        <v>46036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0</v>
      </c>
    </row>
    <row r="244" spans="1:16" ht="19.5" customHeight="1">
      <c r="A244" s="172" t="s">
        <v>171</v>
      </c>
      <c r="B244" s="176">
        <v>46042</v>
      </c>
      <c r="C244" s="172" t="s">
        <v>92</v>
      </c>
      <c r="D244" s="172" t="s">
        <v>97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0</v>
      </c>
      <c r="J244" s="176">
        <v>46036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-56</v>
      </c>
    </row>
    <row r="245" spans="1:16" ht="19.5" customHeight="1">
      <c r="A245" s="172" t="s">
        <v>171</v>
      </c>
      <c r="B245" s="176">
        <v>46042</v>
      </c>
      <c r="C245" s="172" t="s">
        <v>81</v>
      </c>
      <c r="D245" s="172" t="s">
        <v>98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0</v>
      </c>
      <c r="J245" s="176">
        <v>46036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-15</v>
      </c>
    </row>
    <row r="246" spans="1:16" ht="19.5" customHeight="1">
      <c r="A246" s="172" t="s">
        <v>172</v>
      </c>
      <c r="B246" s="176">
        <v>46042</v>
      </c>
      <c r="C246" s="172" t="s">
        <v>92</v>
      </c>
      <c r="D246" s="172" t="s">
        <v>24</v>
      </c>
      <c r="E246" s="172" t="s">
        <v>38</v>
      </c>
      <c r="F246" s="172" t="s">
        <v>87</v>
      </c>
      <c r="G246" s="172" t="s">
        <v>84</v>
      </c>
      <c r="H246" s="177">
        <v>1</v>
      </c>
      <c r="I246" s="178">
        <v>1750</v>
      </c>
      <c r="J246" s="176">
        <v>46040</v>
      </c>
      <c r="K246" s="172" t="s">
        <v>93</v>
      </c>
      <c r="L246" s="172" t="s">
        <v>94</v>
      </c>
      <c r="M246" s="179">
        <v>0.43</v>
      </c>
      <c r="N246" s="177"/>
      <c r="O246" s="177">
        <v>45</v>
      </c>
      <c r="P246" s="180">
        <v>-135.38999999999999</v>
      </c>
    </row>
    <row r="247" spans="1:16" ht="19.5" customHeight="1">
      <c r="A247" s="172" t="s">
        <v>172</v>
      </c>
      <c r="B247" s="176">
        <v>46042</v>
      </c>
      <c r="C247" s="172" t="s">
        <v>100</v>
      </c>
      <c r="D247" s="172" t="s">
        <v>101</v>
      </c>
      <c r="E247" s="172" t="s">
        <v>38</v>
      </c>
      <c r="F247" s="172" t="s">
        <v>87</v>
      </c>
      <c r="G247" s="172" t="s">
        <v>84</v>
      </c>
      <c r="H247" s="177">
        <v>1</v>
      </c>
      <c r="I247" s="178">
        <v>1750</v>
      </c>
      <c r="J247" s="176">
        <v>46040</v>
      </c>
      <c r="K247" s="172" t="s">
        <v>93</v>
      </c>
      <c r="L247" s="172" t="s">
        <v>94</v>
      </c>
      <c r="M247" s="179">
        <v>0</v>
      </c>
      <c r="N247" s="177"/>
      <c r="O247" s="177"/>
      <c r="P247" s="180">
        <v>665.71</v>
      </c>
    </row>
    <row r="248" spans="1:16" ht="19.5" customHeight="1">
      <c r="A248" s="172" t="s">
        <v>172</v>
      </c>
      <c r="B248" s="176">
        <v>46042</v>
      </c>
      <c r="C248" s="172" t="s">
        <v>100</v>
      </c>
      <c r="D248" s="172" t="s">
        <v>102</v>
      </c>
      <c r="E248" s="172" t="s">
        <v>38</v>
      </c>
      <c r="F248" s="172" t="s">
        <v>87</v>
      </c>
      <c r="G248" s="172" t="s">
        <v>84</v>
      </c>
      <c r="H248" s="177">
        <v>1</v>
      </c>
      <c r="I248" s="178">
        <v>1750</v>
      </c>
      <c r="J248" s="176">
        <v>46040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6.66</v>
      </c>
    </row>
    <row r="249" spans="1:16" ht="19.5" customHeight="1">
      <c r="A249" s="172" t="s">
        <v>172</v>
      </c>
      <c r="B249" s="176">
        <v>46042</v>
      </c>
      <c r="C249" s="172" t="s">
        <v>100</v>
      </c>
      <c r="D249" s="172" t="s">
        <v>103</v>
      </c>
      <c r="E249" s="172" t="s">
        <v>38</v>
      </c>
      <c r="F249" s="172" t="s">
        <v>87</v>
      </c>
      <c r="G249" s="172" t="s">
        <v>84</v>
      </c>
      <c r="H249" s="177">
        <v>1</v>
      </c>
      <c r="I249" s="178">
        <v>1750</v>
      </c>
      <c r="J249" s="176">
        <v>46040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1077.6300000000001</v>
      </c>
    </row>
    <row r="250" spans="1:16" ht="19.5" customHeight="1">
      <c r="A250" s="172" t="s">
        <v>172</v>
      </c>
      <c r="B250" s="176">
        <v>46042</v>
      </c>
      <c r="C250" s="172" t="s">
        <v>104</v>
      </c>
      <c r="D250" s="172" t="s">
        <v>105</v>
      </c>
      <c r="E250" s="172" t="s">
        <v>38</v>
      </c>
      <c r="F250" s="172" t="s">
        <v>87</v>
      </c>
      <c r="G250" s="172" t="s">
        <v>84</v>
      </c>
      <c r="H250" s="177">
        <v>1</v>
      </c>
      <c r="I250" s="178">
        <v>1750</v>
      </c>
      <c r="J250" s="176">
        <v>46040</v>
      </c>
      <c r="K250" s="172" t="s">
        <v>93</v>
      </c>
      <c r="L250" s="172" t="s">
        <v>94</v>
      </c>
      <c r="M250" s="179">
        <v>0.43</v>
      </c>
      <c r="N250" s="177"/>
      <c r="O250" s="177"/>
      <c r="P250" s="180">
        <v>-752.5</v>
      </c>
    </row>
    <row r="251" spans="1:16" ht="19.5" customHeight="1">
      <c r="A251" s="172" t="s">
        <v>172</v>
      </c>
      <c r="B251" s="176">
        <v>46042</v>
      </c>
      <c r="C251" s="172" t="s">
        <v>81</v>
      </c>
      <c r="D251" s="172" t="s">
        <v>95</v>
      </c>
      <c r="E251" s="172" t="s">
        <v>38</v>
      </c>
      <c r="F251" s="172" t="s">
        <v>87</v>
      </c>
      <c r="G251" s="172" t="s">
        <v>84</v>
      </c>
      <c r="H251" s="177">
        <v>1</v>
      </c>
      <c r="I251" s="178">
        <v>1750</v>
      </c>
      <c r="J251" s="176">
        <v>46040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-11.3</v>
      </c>
    </row>
    <row r="252" spans="1:16" ht="19.5" customHeight="1">
      <c r="A252" s="172" t="s">
        <v>173</v>
      </c>
      <c r="B252" s="176">
        <v>46042</v>
      </c>
      <c r="C252" s="172" t="s">
        <v>92</v>
      </c>
      <c r="D252" s="172" t="s">
        <v>24</v>
      </c>
      <c r="E252" s="172" t="s">
        <v>41</v>
      </c>
      <c r="F252" s="172" t="s">
        <v>83</v>
      </c>
      <c r="G252" s="172" t="s">
        <v>84</v>
      </c>
      <c r="H252" s="177">
        <v>1</v>
      </c>
      <c r="I252" s="178">
        <v>1750</v>
      </c>
      <c r="J252" s="176">
        <v>46040</v>
      </c>
      <c r="K252" s="172" t="s">
        <v>93</v>
      </c>
      <c r="L252" s="172" t="s">
        <v>94</v>
      </c>
      <c r="M252" s="179">
        <v>0.43</v>
      </c>
      <c r="N252" s="177"/>
      <c r="O252" s="177">
        <v>45</v>
      </c>
      <c r="P252" s="180">
        <v>-134.11000000000001</v>
      </c>
    </row>
    <row r="253" spans="1:16" ht="19.5" customHeight="1">
      <c r="A253" s="172" t="s">
        <v>173</v>
      </c>
      <c r="B253" s="176">
        <v>46042</v>
      </c>
      <c r="C253" s="172" t="s">
        <v>100</v>
      </c>
      <c r="D253" s="172" t="s">
        <v>101</v>
      </c>
      <c r="E253" s="172" t="s">
        <v>41</v>
      </c>
      <c r="F253" s="172" t="s">
        <v>83</v>
      </c>
      <c r="G253" s="172" t="s">
        <v>84</v>
      </c>
      <c r="H253" s="177">
        <v>1</v>
      </c>
      <c r="I253" s="178">
        <v>1750</v>
      </c>
      <c r="J253" s="176">
        <v>46040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740.95</v>
      </c>
    </row>
    <row r="254" spans="1:16" ht="19.5" customHeight="1">
      <c r="A254" s="172" t="s">
        <v>173</v>
      </c>
      <c r="B254" s="176">
        <v>46042</v>
      </c>
      <c r="C254" s="172" t="s">
        <v>100</v>
      </c>
      <c r="D254" s="172" t="s">
        <v>102</v>
      </c>
      <c r="E254" s="172" t="s">
        <v>41</v>
      </c>
      <c r="F254" s="172" t="s">
        <v>83</v>
      </c>
      <c r="G254" s="172" t="s">
        <v>84</v>
      </c>
      <c r="H254" s="177">
        <v>1</v>
      </c>
      <c r="I254" s="178">
        <v>1750</v>
      </c>
      <c r="J254" s="176">
        <v>46040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7.41</v>
      </c>
    </row>
    <row r="255" spans="1:16" ht="19.5" customHeight="1">
      <c r="A255" s="172" t="s">
        <v>173</v>
      </c>
      <c r="B255" s="176">
        <v>46042</v>
      </c>
      <c r="C255" s="172" t="s">
        <v>100</v>
      </c>
      <c r="D255" s="172" t="s">
        <v>103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1750</v>
      </c>
      <c r="J255" s="176">
        <v>46040</v>
      </c>
      <c r="K255" s="172" t="s">
        <v>93</v>
      </c>
      <c r="L255" s="172" t="s">
        <v>94</v>
      </c>
      <c r="M255" s="179">
        <v>0</v>
      </c>
      <c r="N255" s="177"/>
      <c r="O255" s="177"/>
      <c r="P255" s="180">
        <v>1001.64</v>
      </c>
    </row>
    <row r="256" spans="1:16" ht="19.5" customHeight="1">
      <c r="A256" s="172" t="s">
        <v>173</v>
      </c>
      <c r="B256" s="176">
        <v>46042</v>
      </c>
      <c r="C256" s="172" t="s">
        <v>104</v>
      </c>
      <c r="D256" s="172" t="s">
        <v>105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1750</v>
      </c>
      <c r="J256" s="176">
        <v>46040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-752.5</v>
      </c>
    </row>
    <row r="257" spans="1:16" ht="19.5" customHeight="1">
      <c r="A257" s="172" t="s">
        <v>173</v>
      </c>
      <c r="B257" s="176">
        <v>46042</v>
      </c>
      <c r="C257" s="172" t="s">
        <v>81</v>
      </c>
      <c r="D257" s="172" t="s">
        <v>95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1750</v>
      </c>
      <c r="J257" s="176">
        <v>46040</v>
      </c>
      <c r="K257" s="172" t="s">
        <v>93</v>
      </c>
      <c r="L257" s="172" t="s">
        <v>94</v>
      </c>
      <c r="M257" s="179">
        <v>0.43</v>
      </c>
      <c r="N257" s="177"/>
      <c r="O257" s="177"/>
      <c r="P257" s="180">
        <v>-14.97</v>
      </c>
    </row>
    <row r="258" spans="1:16" ht="19.5" customHeight="1">
      <c r="A258" s="172" t="s">
        <v>174</v>
      </c>
      <c r="B258" s="176">
        <v>46042</v>
      </c>
      <c r="C258" s="172" t="s">
        <v>92</v>
      </c>
      <c r="D258" s="172" t="s">
        <v>24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0</v>
      </c>
      <c r="J258" s="176">
        <v>46036</v>
      </c>
      <c r="K258" s="172" t="s">
        <v>93</v>
      </c>
      <c r="L258" s="172" t="s">
        <v>94</v>
      </c>
      <c r="M258" s="179">
        <v>0</v>
      </c>
      <c r="N258" s="177"/>
      <c r="O258" s="177">
        <v>45</v>
      </c>
      <c r="P258" s="180">
        <v>-46.77</v>
      </c>
    </row>
    <row r="259" spans="1:16" ht="19.5" customHeight="1">
      <c r="A259" s="172" t="s">
        <v>174</v>
      </c>
      <c r="B259" s="176">
        <v>46042</v>
      </c>
      <c r="C259" s="172" t="s">
        <v>81</v>
      </c>
      <c r="D259" s="172" t="s">
        <v>95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0</v>
      </c>
      <c r="J259" s="176">
        <v>46036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-10.31</v>
      </c>
    </row>
    <row r="260" spans="1:16" ht="19.5" customHeight="1">
      <c r="A260" s="172" t="s">
        <v>175</v>
      </c>
      <c r="B260" s="176">
        <v>46042</v>
      </c>
      <c r="C260" s="172" t="s">
        <v>81</v>
      </c>
      <c r="D260" s="172" t="s">
        <v>82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0</v>
      </c>
      <c r="J260" s="176">
        <v>46042</v>
      </c>
      <c r="K260" s="172" t="s">
        <v>85</v>
      </c>
      <c r="L260" s="172" t="s">
        <v>85</v>
      </c>
      <c r="M260" s="179">
        <v>0</v>
      </c>
      <c r="N260" s="177"/>
      <c r="O260" s="177"/>
      <c r="P260" s="180">
        <v>-12.12</v>
      </c>
    </row>
    <row r="261" spans="1:16" ht="19.5" customHeight="1">
      <c r="A261" s="172" t="s">
        <v>174</v>
      </c>
      <c r="B261" s="176">
        <v>46042</v>
      </c>
      <c r="C261" s="172" t="s">
        <v>92</v>
      </c>
      <c r="D261" s="172" t="s">
        <v>96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46036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0</v>
      </c>
    </row>
    <row r="262" spans="1:16" ht="19.5" customHeight="1">
      <c r="A262" s="172" t="s">
        <v>174</v>
      </c>
      <c r="B262" s="176">
        <v>46042</v>
      </c>
      <c r="C262" s="172" t="s">
        <v>92</v>
      </c>
      <c r="D262" s="172" t="s">
        <v>97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46036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-46.77</v>
      </c>
    </row>
    <row r="263" spans="1:16" ht="19.5" customHeight="1">
      <c r="A263" s="172" t="s">
        <v>174</v>
      </c>
      <c r="B263" s="176">
        <v>46042</v>
      </c>
      <c r="C263" s="172" t="s">
        <v>81</v>
      </c>
      <c r="D263" s="172" t="s">
        <v>98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0</v>
      </c>
      <c r="J263" s="176">
        <v>46036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-15</v>
      </c>
    </row>
    <row r="264" spans="1:16" ht="19.5" customHeight="1">
      <c r="A264" s="172" t="s">
        <v>176</v>
      </c>
      <c r="B264" s="176">
        <v>46042</v>
      </c>
      <c r="C264" s="172" t="s">
        <v>92</v>
      </c>
      <c r="D264" s="172" t="s">
        <v>24</v>
      </c>
      <c r="E264" s="172" t="s">
        <v>38</v>
      </c>
      <c r="F264" s="172" t="s">
        <v>87</v>
      </c>
      <c r="G264" s="172" t="s">
        <v>84</v>
      </c>
      <c r="H264" s="177">
        <v>1</v>
      </c>
      <c r="I264" s="178">
        <v>1750</v>
      </c>
      <c r="J264" s="176">
        <v>46041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-131.37</v>
      </c>
    </row>
    <row r="265" spans="1:16" ht="19.5" customHeight="1">
      <c r="A265" s="172" t="s">
        <v>176</v>
      </c>
      <c r="B265" s="176">
        <v>46042</v>
      </c>
      <c r="C265" s="172" t="s">
        <v>100</v>
      </c>
      <c r="D265" s="172" t="s">
        <v>101</v>
      </c>
      <c r="E265" s="172" t="s">
        <v>38</v>
      </c>
      <c r="F265" s="172" t="s">
        <v>87</v>
      </c>
      <c r="G265" s="172" t="s">
        <v>84</v>
      </c>
      <c r="H265" s="177">
        <v>1</v>
      </c>
      <c r="I265" s="178">
        <v>1750</v>
      </c>
      <c r="J265" s="176">
        <v>46041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724.17</v>
      </c>
    </row>
    <row r="266" spans="1:16" ht="19.5" customHeight="1">
      <c r="A266" s="172" t="s">
        <v>176</v>
      </c>
      <c r="B266" s="176">
        <v>46042</v>
      </c>
      <c r="C266" s="172" t="s">
        <v>100</v>
      </c>
      <c r="D266" s="172" t="s">
        <v>102</v>
      </c>
      <c r="E266" s="172" t="s">
        <v>38</v>
      </c>
      <c r="F266" s="172" t="s">
        <v>87</v>
      </c>
      <c r="G266" s="172" t="s">
        <v>84</v>
      </c>
      <c r="H266" s="177">
        <v>1</v>
      </c>
      <c r="I266" s="178">
        <v>1750</v>
      </c>
      <c r="J266" s="176">
        <v>46041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176</v>
      </c>
      <c r="B267" s="176">
        <v>46042</v>
      </c>
      <c r="C267" s="172" t="s">
        <v>100</v>
      </c>
      <c r="D267" s="172" t="s">
        <v>103</v>
      </c>
      <c r="E267" s="172" t="s">
        <v>38</v>
      </c>
      <c r="F267" s="172" t="s">
        <v>87</v>
      </c>
      <c r="G267" s="172" t="s">
        <v>84</v>
      </c>
      <c r="H267" s="177">
        <v>1</v>
      </c>
      <c r="I267" s="178">
        <v>1750</v>
      </c>
      <c r="J267" s="176">
        <v>46041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1025.83</v>
      </c>
    </row>
    <row r="268" spans="1:16" ht="19.5" customHeight="1">
      <c r="A268" s="172" t="s">
        <v>176</v>
      </c>
      <c r="B268" s="176">
        <v>46042</v>
      </c>
      <c r="C268" s="172" t="s">
        <v>104</v>
      </c>
      <c r="D268" s="172" t="s">
        <v>105</v>
      </c>
      <c r="E268" s="172" t="s">
        <v>38</v>
      </c>
      <c r="F268" s="172" t="s">
        <v>87</v>
      </c>
      <c r="G268" s="172" t="s">
        <v>84</v>
      </c>
      <c r="H268" s="177">
        <v>1</v>
      </c>
      <c r="I268" s="178">
        <v>1750</v>
      </c>
      <c r="J268" s="176">
        <v>46041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-752.5</v>
      </c>
    </row>
    <row r="269" spans="1:16" ht="19.5" customHeight="1">
      <c r="A269" s="172" t="s">
        <v>176</v>
      </c>
      <c r="B269" s="176">
        <v>46042</v>
      </c>
      <c r="C269" s="172" t="s">
        <v>81</v>
      </c>
      <c r="D269" s="172" t="s">
        <v>95</v>
      </c>
      <c r="E269" s="172" t="s">
        <v>38</v>
      </c>
      <c r="F269" s="172" t="s">
        <v>87</v>
      </c>
      <c r="G269" s="172" t="s">
        <v>84</v>
      </c>
      <c r="H269" s="177">
        <v>1</v>
      </c>
      <c r="I269" s="178">
        <v>1750</v>
      </c>
      <c r="J269" s="176">
        <v>46041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-9.5</v>
      </c>
    </row>
    <row r="270" spans="1:16" ht="19.5" customHeight="1">
      <c r="A270" s="172" t="s">
        <v>177</v>
      </c>
      <c r="B270" s="176">
        <v>46042</v>
      </c>
      <c r="C270" s="172" t="s">
        <v>92</v>
      </c>
      <c r="D270" s="172" t="s">
        <v>24</v>
      </c>
      <c r="E270" s="172" t="s">
        <v>39</v>
      </c>
      <c r="F270" s="172" t="s">
        <v>117</v>
      </c>
      <c r="G270" s="172" t="s">
        <v>84</v>
      </c>
      <c r="H270" s="177">
        <v>1</v>
      </c>
      <c r="I270" s="178">
        <v>1750</v>
      </c>
      <c r="J270" s="176">
        <v>46040</v>
      </c>
      <c r="K270" s="172" t="s">
        <v>93</v>
      </c>
      <c r="L270" s="172" t="s">
        <v>94</v>
      </c>
      <c r="M270" s="179">
        <v>0.43</v>
      </c>
      <c r="N270" s="177"/>
      <c r="O270" s="177">
        <v>45</v>
      </c>
      <c r="P270" s="180">
        <v>-135.38999999999999</v>
      </c>
    </row>
    <row r="271" spans="1:16" ht="19.5" customHeight="1">
      <c r="A271" s="172" t="s">
        <v>177</v>
      </c>
      <c r="B271" s="176">
        <v>46042</v>
      </c>
      <c r="C271" s="172" t="s">
        <v>100</v>
      </c>
      <c r="D271" s="172" t="s">
        <v>101</v>
      </c>
      <c r="E271" s="172" t="s">
        <v>39</v>
      </c>
      <c r="F271" s="172" t="s">
        <v>117</v>
      </c>
      <c r="G271" s="172" t="s">
        <v>84</v>
      </c>
      <c r="H271" s="177">
        <v>1</v>
      </c>
      <c r="I271" s="178">
        <v>1750</v>
      </c>
      <c r="J271" s="176">
        <v>46040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740.95</v>
      </c>
    </row>
    <row r="272" spans="1:16" ht="19.5" customHeight="1">
      <c r="A272" s="172" t="s">
        <v>177</v>
      </c>
      <c r="B272" s="176">
        <v>46042</v>
      </c>
      <c r="C272" s="172" t="s">
        <v>100</v>
      </c>
      <c r="D272" s="172" t="s">
        <v>102</v>
      </c>
      <c r="E272" s="172" t="s">
        <v>39</v>
      </c>
      <c r="F272" s="172" t="s">
        <v>117</v>
      </c>
      <c r="G272" s="172" t="s">
        <v>84</v>
      </c>
      <c r="H272" s="177">
        <v>1</v>
      </c>
      <c r="I272" s="178">
        <v>1750</v>
      </c>
      <c r="J272" s="176">
        <v>46040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7.41</v>
      </c>
    </row>
    <row r="273" spans="1:16" ht="19.5" customHeight="1">
      <c r="A273" s="172" t="s">
        <v>177</v>
      </c>
      <c r="B273" s="176">
        <v>46042</v>
      </c>
      <c r="C273" s="172" t="s">
        <v>100</v>
      </c>
      <c r="D273" s="172" t="s">
        <v>103</v>
      </c>
      <c r="E273" s="172" t="s">
        <v>39</v>
      </c>
      <c r="F273" s="172" t="s">
        <v>117</v>
      </c>
      <c r="G273" s="172" t="s">
        <v>84</v>
      </c>
      <c r="H273" s="177">
        <v>1</v>
      </c>
      <c r="I273" s="178">
        <v>1750</v>
      </c>
      <c r="J273" s="176">
        <v>46040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1001.64</v>
      </c>
    </row>
    <row r="274" spans="1:16" ht="19.5" customHeight="1">
      <c r="A274" s="172" t="s">
        <v>177</v>
      </c>
      <c r="B274" s="176">
        <v>46042</v>
      </c>
      <c r="C274" s="172" t="s">
        <v>104</v>
      </c>
      <c r="D274" s="172" t="s">
        <v>105</v>
      </c>
      <c r="E274" s="172" t="s">
        <v>39</v>
      </c>
      <c r="F274" s="172" t="s">
        <v>117</v>
      </c>
      <c r="G274" s="172" t="s">
        <v>84</v>
      </c>
      <c r="H274" s="177">
        <v>1</v>
      </c>
      <c r="I274" s="178">
        <v>1750</v>
      </c>
      <c r="J274" s="176">
        <v>46040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177</v>
      </c>
      <c r="B275" s="176">
        <v>46042</v>
      </c>
      <c r="C275" s="172" t="s">
        <v>81</v>
      </c>
      <c r="D275" s="172" t="s">
        <v>95</v>
      </c>
      <c r="E275" s="172" t="s">
        <v>39</v>
      </c>
      <c r="F275" s="172" t="s">
        <v>117</v>
      </c>
      <c r="G275" s="172" t="s">
        <v>84</v>
      </c>
      <c r="H275" s="177">
        <v>1</v>
      </c>
      <c r="I275" s="178">
        <v>1750</v>
      </c>
      <c r="J275" s="176">
        <v>46040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-25</v>
      </c>
    </row>
    <row r="276" spans="1:16" ht="19.5" customHeight="1">
      <c r="A276" s="172" t="s">
        <v>178</v>
      </c>
      <c r="B276" s="176">
        <v>46042</v>
      </c>
      <c r="C276" s="172" t="s">
        <v>92</v>
      </c>
      <c r="D276" s="172" t="s">
        <v>24</v>
      </c>
      <c r="E276" s="172" t="s">
        <v>52</v>
      </c>
      <c r="F276" s="172" t="s">
        <v>90</v>
      </c>
      <c r="G276" s="172" t="s">
        <v>84</v>
      </c>
      <c r="H276" s="177">
        <v>1</v>
      </c>
      <c r="I276" s="178">
        <v>0</v>
      </c>
      <c r="J276" s="176">
        <v>46034</v>
      </c>
      <c r="K276" s="172" t="s">
        <v>93</v>
      </c>
      <c r="L276" s="172" t="s">
        <v>94</v>
      </c>
      <c r="M276" s="179">
        <v>0</v>
      </c>
      <c r="N276" s="177"/>
      <c r="O276" s="177">
        <v>42</v>
      </c>
      <c r="P276" s="180">
        <v>-56</v>
      </c>
    </row>
    <row r="277" spans="1:16" ht="19.5" customHeight="1">
      <c r="A277" s="172" t="s">
        <v>178</v>
      </c>
      <c r="B277" s="176">
        <v>46042</v>
      </c>
      <c r="C277" s="172" t="s">
        <v>81</v>
      </c>
      <c r="D277" s="172" t="s">
        <v>95</v>
      </c>
      <c r="E277" s="172" t="s">
        <v>52</v>
      </c>
      <c r="F277" s="172" t="s">
        <v>90</v>
      </c>
      <c r="G277" s="172" t="s">
        <v>84</v>
      </c>
      <c r="H277" s="177">
        <v>1</v>
      </c>
      <c r="I277" s="178">
        <v>0</v>
      </c>
      <c r="J277" s="176">
        <v>46034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-9.82</v>
      </c>
    </row>
    <row r="278" spans="1:16" ht="19.5" customHeight="1">
      <c r="A278" s="172" t="s">
        <v>178</v>
      </c>
      <c r="B278" s="176">
        <v>46042</v>
      </c>
      <c r="C278" s="172" t="s">
        <v>92</v>
      </c>
      <c r="D278" s="172" t="s">
        <v>96</v>
      </c>
      <c r="E278" s="172" t="s">
        <v>52</v>
      </c>
      <c r="F278" s="172" t="s">
        <v>90</v>
      </c>
      <c r="G278" s="172" t="s">
        <v>84</v>
      </c>
      <c r="H278" s="177">
        <v>1</v>
      </c>
      <c r="I278" s="178">
        <v>0</v>
      </c>
      <c r="J278" s="176">
        <v>46034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0</v>
      </c>
    </row>
    <row r="279" spans="1:16" ht="19.5" customHeight="1">
      <c r="A279" s="172" t="s">
        <v>178</v>
      </c>
      <c r="B279" s="176">
        <v>46042</v>
      </c>
      <c r="C279" s="172" t="s">
        <v>92</v>
      </c>
      <c r="D279" s="172" t="s">
        <v>97</v>
      </c>
      <c r="E279" s="172" t="s">
        <v>52</v>
      </c>
      <c r="F279" s="172" t="s">
        <v>90</v>
      </c>
      <c r="G279" s="172" t="s">
        <v>84</v>
      </c>
      <c r="H279" s="177">
        <v>1</v>
      </c>
      <c r="I279" s="178">
        <v>0</v>
      </c>
      <c r="J279" s="176">
        <v>46034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-56</v>
      </c>
    </row>
    <row r="280" spans="1:16" ht="19.5" customHeight="1">
      <c r="A280" s="172" t="s">
        <v>178</v>
      </c>
      <c r="B280" s="176">
        <v>46042</v>
      </c>
      <c r="C280" s="172" t="s">
        <v>81</v>
      </c>
      <c r="D280" s="172" t="s">
        <v>98</v>
      </c>
      <c r="E280" s="172" t="s">
        <v>52</v>
      </c>
      <c r="F280" s="172" t="s">
        <v>90</v>
      </c>
      <c r="G280" s="172" t="s">
        <v>84</v>
      </c>
      <c r="H280" s="177">
        <v>1</v>
      </c>
      <c r="I280" s="178">
        <v>0</v>
      </c>
      <c r="J280" s="176">
        <v>46034</v>
      </c>
      <c r="K280" s="172" t="s">
        <v>93</v>
      </c>
      <c r="L280" s="172" t="s">
        <v>94</v>
      </c>
      <c r="M280" s="179">
        <v>0</v>
      </c>
      <c r="N280" s="177"/>
      <c r="O280" s="177"/>
      <c r="P280" s="180">
        <v>-15</v>
      </c>
    </row>
    <row r="281" spans="1:16" ht="19.5" customHeight="1">
      <c r="A281" s="172" t="s">
        <v>179</v>
      </c>
      <c r="B281" s="176">
        <v>46042</v>
      </c>
      <c r="C281" s="172" t="s">
        <v>81</v>
      </c>
      <c r="D281" s="172" t="s">
        <v>82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0</v>
      </c>
      <c r="J281" s="176">
        <v>46042</v>
      </c>
      <c r="K281" s="172" t="s">
        <v>85</v>
      </c>
      <c r="L281" s="172" t="s">
        <v>85</v>
      </c>
      <c r="M281" s="179">
        <v>0</v>
      </c>
      <c r="N281" s="177"/>
      <c r="O281" s="177"/>
      <c r="P281" s="180">
        <v>-12.19</v>
      </c>
    </row>
    <row r="282" spans="1:16" ht="19.5" customHeight="1">
      <c r="A282" s="172" t="s">
        <v>180</v>
      </c>
      <c r="B282" s="176">
        <v>46042</v>
      </c>
      <c r="C282" s="172" t="s">
        <v>81</v>
      </c>
      <c r="D282" s="172" t="s">
        <v>82</v>
      </c>
      <c r="E282" s="172" t="s">
        <v>53</v>
      </c>
      <c r="F282" s="172" t="s">
        <v>120</v>
      </c>
      <c r="G282" s="172" t="s">
        <v>84</v>
      </c>
      <c r="H282" s="177">
        <v>1</v>
      </c>
      <c r="I282" s="178">
        <v>0</v>
      </c>
      <c r="J282" s="176">
        <v>46042</v>
      </c>
      <c r="K282" s="172" t="s">
        <v>85</v>
      </c>
      <c r="L282" s="172" t="s">
        <v>85</v>
      </c>
      <c r="M282" s="179">
        <v>0</v>
      </c>
      <c r="N282" s="177"/>
      <c r="O282" s="177"/>
      <c r="P282" s="180">
        <v>-1.77</v>
      </c>
    </row>
    <row r="283" spans="1:16" ht="19.5" customHeight="1">
      <c r="A283" s="172" t="s">
        <v>142</v>
      </c>
      <c r="B283" s="176">
        <v>46042</v>
      </c>
      <c r="C283" s="172" t="s">
        <v>109</v>
      </c>
      <c r="D283" s="172" t="s">
        <v>143</v>
      </c>
      <c r="E283" s="172" t="s">
        <v>85</v>
      </c>
      <c r="F283" s="172" t="s">
        <v>85</v>
      </c>
      <c r="G283" s="172" t="s">
        <v>85</v>
      </c>
      <c r="H283" s="177">
        <v>0</v>
      </c>
      <c r="I283" s="178">
        <v>0</v>
      </c>
      <c r="J283" s="176">
        <v>46042</v>
      </c>
      <c r="K283" s="172" t="s">
        <v>85</v>
      </c>
      <c r="L283" s="172" t="s">
        <v>85</v>
      </c>
      <c r="M283" s="179">
        <v>0</v>
      </c>
      <c r="N283" s="177"/>
      <c r="O283" s="177"/>
      <c r="P283" s="180">
        <v>-538.5</v>
      </c>
    </row>
    <row r="284" spans="1:16" ht="19.5" customHeight="1">
      <c r="A284" s="172" t="s">
        <v>144</v>
      </c>
      <c r="B284" s="176">
        <v>46042</v>
      </c>
      <c r="C284" s="172" t="s">
        <v>109</v>
      </c>
      <c r="D284" s="172" t="s">
        <v>139</v>
      </c>
      <c r="E284" s="172" t="s">
        <v>85</v>
      </c>
      <c r="F284" s="172" t="s">
        <v>85</v>
      </c>
      <c r="G284" s="172" t="s">
        <v>85</v>
      </c>
      <c r="H284" s="177">
        <v>0</v>
      </c>
      <c r="I284" s="178">
        <v>0</v>
      </c>
      <c r="J284" s="176">
        <v>46042</v>
      </c>
      <c r="K284" s="172" t="s">
        <v>85</v>
      </c>
      <c r="L284" s="172" t="s">
        <v>85</v>
      </c>
      <c r="M284" s="179">
        <v>0</v>
      </c>
      <c r="N284" s="177"/>
      <c r="O284" s="177"/>
      <c r="P284" s="180">
        <v>-1654.94</v>
      </c>
    </row>
    <row r="285" spans="1:16" ht="19.5" customHeight="1">
      <c r="A285" s="172" t="s">
        <v>138</v>
      </c>
      <c r="B285" s="176">
        <v>46042</v>
      </c>
      <c r="C285" s="172" t="s">
        <v>109</v>
      </c>
      <c r="D285" s="172" t="s">
        <v>139</v>
      </c>
      <c r="E285" s="172" t="s">
        <v>85</v>
      </c>
      <c r="F285" s="172" t="s">
        <v>85</v>
      </c>
      <c r="G285" s="172" t="s">
        <v>85</v>
      </c>
      <c r="H285" s="177">
        <v>0</v>
      </c>
      <c r="I285" s="178">
        <v>0</v>
      </c>
      <c r="J285" s="176">
        <v>46042</v>
      </c>
      <c r="K285" s="172" t="s">
        <v>85</v>
      </c>
      <c r="L285" s="172" t="s">
        <v>85</v>
      </c>
      <c r="M285" s="179">
        <v>0</v>
      </c>
      <c r="N285" s="177"/>
      <c r="O285" s="177"/>
      <c r="P285" s="180">
        <v>-1375.27</v>
      </c>
    </row>
    <row r="286" spans="1:16" ht="19.5" customHeight="1">
      <c r="A286" s="172" t="s">
        <v>145</v>
      </c>
      <c r="B286" s="176">
        <v>46042</v>
      </c>
      <c r="C286" s="172" t="s">
        <v>109</v>
      </c>
      <c r="D286" s="172" t="s">
        <v>139</v>
      </c>
      <c r="E286" s="172" t="s">
        <v>85</v>
      </c>
      <c r="F286" s="172" t="s">
        <v>85</v>
      </c>
      <c r="G286" s="172" t="s">
        <v>85</v>
      </c>
      <c r="H286" s="177">
        <v>0</v>
      </c>
      <c r="I286" s="178">
        <v>0</v>
      </c>
      <c r="J286" s="176">
        <v>46042</v>
      </c>
      <c r="K286" s="172" t="s">
        <v>85</v>
      </c>
      <c r="L286" s="172" t="s">
        <v>85</v>
      </c>
      <c r="M286" s="179">
        <v>0</v>
      </c>
      <c r="N286" s="177"/>
      <c r="O286" s="177"/>
      <c r="P286" s="180">
        <v>-283.76</v>
      </c>
    </row>
    <row r="287" spans="1:16" ht="19.5" customHeight="1">
      <c r="A287" s="172" t="s">
        <v>141</v>
      </c>
      <c r="B287" s="176">
        <v>46042</v>
      </c>
      <c r="C287" s="172" t="s">
        <v>109</v>
      </c>
      <c r="D287" s="172" t="s">
        <v>139</v>
      </c>
      <c r="E287" s="172" t="s">
        <v>85</v>
      </c>
      <c r="F287" s="172" t="s">
        <v>85</v>
      </c>
      <c r="G287" s="172" t="s">
        <v>85</v>
      </c>
      <c r="H287" s="177">
        <v>0</v>
      </c>
      <c r="I287" s="178">
        <v>0</v>
      </c>
      <c r="J287" s="176">
        <v>46042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-331.53</v>
      </c>
    </row>
    <row r="288" spans="1:16" ht="19.5" customHeight="1">
      <c r="A288" s="172" t="s">
        <v>181</v>
      </c>
      <c r="B288" s="176">
        <v>46043</v>
      </c>
      <c r="C288" s="172" t="s">
        <v>92</v>
      </c>
      <c r="D288" s="172" t="s">
        <v>24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46020</v>
      </c>
      <c r="K288" s="172" t="s">
        <v>93</v>
      </c>
      <c r="L288" s="172" t="s">
        <v>94</v>
      </c>
      <c r="M288" s="179">
        <v>0</v>
      </c>
      <c r="N288" s="177"/>
      <c r="O288" s="177">
        <v>41</v>
      </c>
      <c r="P288" s="180">
        <v>-56</v>
      </c>
    </row>
    <row r="289" spans="1:16" ht="19.5" customHeight="1">
      <c r="A289" s="172" t="s">
        <v>181</v>
      </c>
      <c r="B289" s="176">
        <v>46043</v>
      </c>
      <c r="C289" s="172" t="s">
        <v>81</v>
      </c>
      <c r="D289" s="172" t="s">
        <v>95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0</v>
      </c>
      <c r="J289" s="176">
        <v>46020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-12.84</v>
      </c>
    </row>
    <row r="290" spans="1:16" ht="19.5" customHeight="1">
      <c r="A290" s="172" t="s">
        <v>181</v>
      </c>
      <c r="B290" s="176">
        <v>46043</v>
      </c>
      <c r="C290" s="172" t="s">
        <v>92</v>
      </c>
      <c r="D290" s="172" t="s">
        <v>96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0</v>
      </c>
      <c r="J290" s="176">
        <v>46020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0</v>
      </c>
    </row>
    <row r="291" spans="1:16" ht="19.5" customHeight="1">
      <c r="A291" s="172" t="s">
        <v>181</v>
      </c>
      <c r="B291" s="176">
        <v>46043</v>
      </c>
      <c r="C291" s="172" t="s">
        <v>92</v>
      </c>
      <c r="D291" s="172" t="s">
        <v>97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0</v>
      </c>
      <c r="J291" s="176">
        <v>46020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-56</v>
      </c>
    </row>
    <row r="292" spans="1:16" ht="19.5" customHeight="1">
      <c r="A292" s="172" t="s">
        <v>181</v>
      </c>
      <c r="B292" s="176">
        <v>46043</v>
      </c>
      <c r="C292" s="172" t="s">
        <v>81</v>
      </c>
      <c r="D292" s="172" t="s">
        <v>98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0</v>
      </c>
      <c r="J292" s="176">
        <v>46020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-15</v>
      </c>
    </row>
    <row r="293" spans="1:16" ht="19.5" customHeight="1">
      <c r="A293" s="172" t="s">
        <v>182</v>
      </c>
      <c r="B293" s="176">
        <v>46043</v>
      </c>
      <c r="C293" s="172" t="s">
        <v>92</v>
      </c>
      <c r="D293" s="172" t="s">
        <v>24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0</v>
      </c>
      <c r="J293" s="176">
        <v>46024</v>
      </c>
      <c r="K293" s="172" t="s">
        <v>93</v>
      </c>
      <c r="L293" s="172" t="s">
        <v>94</v>
      </c>
      <c r="M293" s="179">
        <v>0</v>
      </c>
      <c r="N293" s="177"/>
      <c r="O293" s="177">
        <v>42</v>
      </c>
      <c r="P293" s="180">
        <v>-56</v>
      </c>
    </row>
    <row r="294" spans="1:16" ht="19.5" customHeight="1">
      <c r="A294" s="172" t="s">
        <v>182</v>
      </c>
      <c r="B294" s="176">
        <v>46043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0</v>
      </c>
      <c r="J294" s="176">
        <v>46024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-12.68</v>
      </c>
    </row>
    <row r="295" spans="1:16" ht="19.5" customHeight="1">
      <c r="A295" s="172" t="s">
        <v>182</v>
      </c>
      <c r="B295" s="176">
        <v>46043</v>
      </c>
      <c r="C295" s="172" t="s">
        <v>92</v>
      </c>
      <c r="D295" s="172" t="s">
        <v>96</v>
      </c>
      <c r="E295" s="172" t="s">
        <v>53</v>
      </c>
      <c r="F295" s="172" t="s">
        <v>120</v>
      </c>
      <c r="G295" s="172" t="s">
        <v>84</v>
      </c>
      <c r="H295" s="177">
        <v>1</v>
      </c>
      <c r="I295" s="178">
        <v>0</v>
      </c>
      <c r="J295" s="176">
        <v>46024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0</v>
      </c>
    </row>
    <row r="296" spans="1:16" ht="19.5" customHeight="1">
      <c r="A296" s="172" t="s">
        <v>182</v>
      </c>
      <c r="B296" s="176">
        <v>46043</v>
      </c>
      <c r="C296" s="172" t="s">
        <v>92</v>
      </c>
      <c r="D296" s="172" t="s">
        <v>97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46024</v>
      </c>
      <c r="K296" s="172" t="s">
        <v>93</v>
      </c>
      <c r="L296" s="172" t="s">
        <v>94</v>
      </c>
      <c r="M296" s="179">
        <v>0</v>
      </c>
      <c r="N296" s="177"/>
      <c r="O296" s="177"/>
      <c r="P296" s="180">
        <v>-56</v>
      </c>
    </row>
    <row r="297" spans="1:16" ht="19.5" customHeight="1">
      <c r="A297" s="172" t="s">
        <v>182</v>
      </c>
      <c r="B297" s="176">
        <v>46043</v>
      </c>
      <c r="C297" s="172" t="s">
        <v>81</v>
      </c>
      <c r="D297" s="172" t="s">
        <v>98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46024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-15</v>
      </c>
    </row>
    <row r="298" spans="1:16" ht="19.5" customHeight="1">
      <c r="A298" s="172" t="s">
        <v>85</v>
      </c>
      <c r="B298" s="176">
        <v>46043</v>
      </c>
      <c r="C298" s="172" t="s">
        <v>109</v>
      </c>
      <c r="D298" s="172" t="s">
        <v>110</v>
      </c>
      <c r="E298" s="172" t="s">
        <v>85</v>
      </c>
      <c r="F298" s="172" t="s">
        <v>85</v>
      </c>
      <c r="G298" s="172" t="s">
        <v>183</v>
      </c>
      <c r="H298" s="177">
        <v>0</v>
      </c>
      <c r="I298" s="178">
        <v>0</v>
      </c>
      <c r="J298" s="176">
        <v>46043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-150</v>
      </c>
    </row>
    <row r="299" spans="1:16" ht="19.5" customHeight="1">
      <c r="A299" s="172" t="s">
        <v>184</v>
      </c>
      <c r="B299" s="176">
        <v>46043</v>
      </c>
      <c r="C299" s="172" t="s">
        <v>92</v>
      </c>
      <c r="D299" s="172" t="s">
        <v>24</v>
      </c>
      <c r="E299" s="172" t="s">
        <v>52</v>
      </c>
      <c r="F299" s="172" t="s">
        <v>90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93</v>
      </c>
      <c r="L299" s="172" t="s">
        <v>94</v>
      </c>
      <c r="M299" s="179">
        <v>0</v>
      </c>
      <c r="N299" s="177"/>
      <c r="O299" s="177">
        <v>45</v>
      </c>
      <c r="P299" s="180">
        <v>-56</v>
      </c>
    </row>
    <row r="300" spans="1:16" ht="19.5" customHeight="1">
      <c r="A300" s="172" t="s">
        <v>184</v>
      </c>
      <c r="B300" s="176">
        <v>46043</v>
      </c>
      <c r="C300" s="172" t="s">
        <v>81</v>
      </c>
      <c r="D300" s="172" t="s">
        <v>95</v>
      </c>
      <c r="E300" s="172" t="s">
        <v>52</v>
      </c>
      <c r="F300" s="172" t="s">
        <v>90</v>
      </c>
      <c r="G300" s="172" t="s">
        <v>84</v>
      </c>
      <c r="H300" s="177">
        <v>1</v>
      </c>
      <c r="I300" s="178">
        <v>0</v>
      </c>
      <c r="J300" s="176">
        <v>46035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-9.0500000000000007</v>
      </c>
    </row>
    <row r="301" spans="1:16" ht="19.5" customHeight="1">
      <c r="A301" s="172" t="s">
        <v>184</v>
      </c>
      <c r="B301" s="176">
        <v>46043</v>
      </c>
      <c r="C301" s="172" t="s">
        <v>92</v>
      </c>
      <c r="D301" s="172" t="s">
        <v>96</v>
      </c>
      <c r="E301" s="172" t="s">
        <v>52</v>
      </c>
      <c r="F301" s="172" t="s">
        <v>90</v>
      </c>
      <c r="G301" s="172" t="s">
        <v>84</v>
      </c>
      <c r="H301" s="177">
        <v>1</v>
      </c>
      <c r="I301" s="178">
        <v>0</v>
      </c>
      <c r="J301" s="176">
        <v>46035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0</v>
      </c>
    </row>
    <row r="302" spans="1:16" ht="19.5" customHeight="1">
      <c r="A302" s="172" t="s">
        <v>184</v>
      </c>
      <c r="B302" s="176">
        <v>46043</v>
      </c>
      <c r="C302" s="172" t="s">
        <v>92</v>
      </c>
      <c r="D302" s="172" t="s">
        <v>97</v>
      </c>
      <c r="E302" s="172" t="s">
        <v>52</v>
      </c>
      <c r="F302" s="172" t="s">
        <v>90</v>
      </c>
      <c r="G302" s="172" t="s">
        <v>84</v>
      </c>
      <c r="H302" s="177">
        <v>1</v>
      </c>
      <c r="I302" s="178">
        <v>0</v>
      </c>
      <c r="J302" s="176">
        <v>46035</v>
      </c>
      <c r="K302" s="172" t="s">
        <v>93</v>
      </c>
      <c r="L302" s="172" t="s">
        <v>94</v>
      </c>
      <c r="M302" s="179">
        <v>0</v>
      </c>
      <c r="N302" s="177"/>
      <c r="O302" s="177"/>
      <c r="P302" s="180">
        <v>-56</v>
      </c>
    </row>
    <row r="303" spans="1:16" ht="19.5" customHeight="1">
      <c r="A303" s="172" t="s">
        <v>184</v>
      </c>
      <c r="B303" s="176">
        <v>46043</v>
      </c>
      <c r="C303" s="172" t="s">
        <v>81</v>
      </c>
      <c r="D303" s="172" t="s">
        <v>98</v>
      </c>
      <c r="E303" s="172" t="s">
        <v>52</v>
      </c>
      <c r="F303" s="172" t="s">
        <v>90</v>
      </c>
      <c r="G303" s="172" t="s">
        <v>84</v>
      </c>
      <c r="H303" s="177">
        <v>1</v>
      </c>
      <c r="I303" s="178">
        <v>0</v>
      </c>
      <c r="J303" s="176">
        <v>46035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-15</v>
      </c>
    </row>
    <row r="304" spans="1:16" ht="19.5" customHeight="1">
      <c r="A304" s="172" t="s">
        <v>185</v>
      </c>
      <c r="B304" s="176">
        <v>46043</v>
      </c>
      <c r="C304" s="172" t="s">
        <v>92</v>
      </c>
      <c r="D304" s="172" t="s">
        <v>24</v>
      </c>
      <c r="E304" s="172" t="s">
        <v>53</v>
      </c>
      <c r="F304" s="172" t="s">
        <v>120</v>
      </c>
      <c r="G304" s="172" t="s">
        <v>84</v>
      </c>
      <c r="H304" s="177">
        <v>1</v>
      </c>
      <c r="I304" s="178">
        <v>1845</v>
      </c>
      <c r="J304" s="176">
        <v>46037</v>
      </c>
      <c r="K304" s="172" t="s">
        <v>93</v>
      </c>
      <c r="L304" s="172" t="s">
        <v>94</v>
      </c>
      <c r="M304" s="179">
        <v>0.43</v>
      </c>
      <c r="N304" s="177"/>
      <c r="O304" s="177">
        <v>45</v>
      </c>
      <c r="P304" s="180">
        <v>-153.85</v>
      </c>
    </row>
    <row r="305" spans="1:16" ht="19.5" customHeight="1">
      <c r="A305" s="172" t="s">
        <v>185</v>
      </c>
      <c r="B305" s="176">
        <v>46043</v>
      </c>
      <c r="C305" s="172" t="s">
        <v>100</v>
      </c>
      <c r="D305" s="172" t="s">
        <v>101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1845</v>
      </c>
      <c r="J305" s="176">
        <v>46037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713.33</v>
      </c>
    </row>
    <row r="306" spans="1:16" ht="19.5" customHeight="1">
      <c r="A306" s="172" t="s">
        <v>185</v>
      </c>
      <c r="B306" s="176">
        <v>46043</v>
      </c>
      <c r="C306" s="172" t="s">
        <v>100</v>
      </c>
      <c r="D306" s="172" t="s">
        <v>102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1845</v>
      </c>
      <c r="J306" s="176">
        <v>46037</v>
      </c>
      <c r="K306" s="172" t="s">
        <v>93</v>
      </c>
      <c r="L306" s="172" t="s">
        <v>94</v>
      </c>
      <c r="M306" s="179">
        <v>0</v>
      </c>
      <c r="N306" s="177"/>
      <c r="O306" s="177"/>
      <c r="P306" s="180">
        <v>7.13</v>
      </c>
    </row>
    <row r="307" spans="1:16" ht="19.5" customHeight="1">
      <c r="A307" s="172" t="s">
        <v>185</v>
      </c>
      <c r="B307" s="176">
        <v>46043</v>
      </c>
      <c r="C307" s="172" t="s">
        <v>100</v>
      </c>
      <c r="D307" s="172" t="s">
        <v>103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1845</v>
      </c>
      <c r="J307" s="176">
        <v>46037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1124.54</v>
      </c>
    </row>
    <row r="308" spans="1:16" ht="19.5" customHeight="1">
      <c r="A308" s="172" t="s">
        <v>185</v>
      </c>
      <c r="B308" s="176">
        <v>46043</v>
      </c>
      <c r="C308" s="172" t="s">
        <v>104</v>
      </c>
      <c r="D308" s="172" t="s">
        <v>105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1845</v>
      </c>
      <c r="J308" s="176">
        <v>46037</v>
      </c>
      <c r="K308" s="172" t="s">
        <v>93</v>
      </c>
      <c r="L308" s="172" t="s">
        <v>94</v>
      </c>
      <c r="M308" s="179">
        <v>0.43</v>
      </c>
      <c r="N308" s="177"/>
      <c r="O308" s="177"/>
      <c r="P308" s="180">
        <v>-793.35</v>
      </c>
    </row>
    <row r="309" spans="1:16" ht="19.5" customHeight="1">
      <c r="A309" s="172" t="s">
        <v>185</v>
      </c>
      <c r="B309" s="176">
        <v>46043</v>
      </c>
      <c r="C309" s="172" t="s">
        <v>81</v>
      </c>
      <c r="D309" s="172" t="s">
        <v>95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1845</v>
      </c>
      <c r="J309" s="176">
        <v>46037</v>
      </c>
      <c r="K309" s="172" t="s">
        <v>93</v>
      </c>
      <c r="L309" s="172" t="s">
        <v>94</v>
      </c>
      <c r="M309" s="179">
        <v>0.43</v>
      </c>
      <c r="N309" s="177"/>
      <c r="O309" s="177"/>
      <c r="P309" s="180">
        <v>-19.95</v>
      </c>
    </row>
    <row r="310" spans="1:16" ht="19.5" customHeight="1">
      <c r="A310" s="172" t="s">
        <v>186</v>
      </c>
      <c r="B310" s="176">
        <v>46043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46038</v>
      </c>
      <c r="K310" s="172" t="s">
        <v>93</v>
      </c>
      <c r="L310" s="172" t="s">
        <v>94</v>
      </c>
      <c r="M310" s="179">
        <v>0.43</v>
      </c>
      <c r="N310" s="177"/>
      <c r="O310" s="177">
        <v>46</v>
      </c>
      <c r="P310" s="180">
        <v>-158.29</v>
      </c>
    </row>
    <row r="311" spans="1:16" ht="19.5" customHeight="1">
      <c r="A311" s="172" t="s">
        <v>186</v>
      </c>
      <c r="B311" s="176">
        <v>46043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46038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675.55</v>
      </c>
    </row>
    <row r="312" spans="1:16" ht="19.5" customHeight="1">
      <c r="A312" s="172" t="s">
        <v>186</v>
      </c>
      <c r="B312" s="176">
        <v>46043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46038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6.76</v>
      </c>
    </row>
    <row r="313" spans="1:16" ht="19.5" customHeight="1">
      <c r="A313" s="172" t="s">
        <v>186</v>
      </c>
      <c r="B313" s="176">
        <v>46043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46038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1162.69</v>
      </c>
    </row>
    <row r="314" spans="1:16" ht="19.5" customHeight="1">
      <c r="A314" s="172" t="s">
        <v>186</v>
      </c>
      <c r="B314" s="176">
        <v>46043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46038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186</v>
      </c>
      <c r="B315" s="176">
        <v>46043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46038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-19.600000000000001</v>
      </c>
    </row>
    <row r="316" spans="1:16" ht="19.5" customHeight="1">
      <c r="A316" s="172" t="s">
        <v>187</v>
      </c>
      <c r="B316" s="176">
        <v>46043</v>
      </c>
      <c r="C316" s="172" t="s">
        <v>92</v>
      </c>
      <c r="D316" s="172" t="s">
        <v>24</v>
      </c>
      <c r="E316" s="172" t="s">
        <v>39</v>
      </c>
      <c r="F316" s="172" t="s">
        <v>117</v>
      </c>
      <c r="G316" s="172" t="s">
        <v>84</v>
      </c>
      <c r="H316" s="177">
        <v>1</v>
      </c>
      <c r="I316" s="178">
        <v>1750</v>
      </c>
      <c r="J316" s="176">
        <v>46040</v>
      </c>
      <c r="K316" s="172" t="s">
        <v>93</v>
      </c>
      <c r="L316" s="172" t="s">
        <v>94</v>
      </c>
      <c r="M316" s="179">
        <v>0.43</v>
      </c>
      <c r="N316" s="177"/>
      <c r="O316" s="177">
        <v>45</v>
      </c>
      <c r="P316" s="180">
        <v>-135.38999999999999</v>
      </c>
    </row>
    <row r="317" spans="1:16" ht="19.5" customHeight="1">
      <c r="A317" s="172" t="s">
        <v>187</v>
      </c>
      <c r="B317" s="176">
        <v>46043</v>
      </c>
      <c r="C317" s="172" t="s">
        <v>100</v>
      </c>
      <c r="D317" s="172" t="s">
        <v>101</v>
      </c>
      <c r="E317" s="172" t="s">
        <v>39</v>
      </c>
      <c r="F317" s="172" t="s">
        <v>117</v>
      </c>
      <c r="G317" s="172" t="s">
        <v>84</v>
      </c>
      <c r="H317" s="177">
        <v>1</v>
      </c>
      <c r="I317" s="178">
        <v>1750</v>
      </c>
      <c r="J317" s="176">
        <v>46040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702.86</v>
      </c>
    </row>
    <row r="318" spans="1:16" ht="19.5" customHeight="1">
      <c r="A318" s="172" t="s">
        <v>187</v>
      </c>
      <c r="B318" s="176">
        <v>46043</v>
      </c>
      <c r="C318" s="172" t="s">
        <v>100</v>
      </c>
      <c r="D318" s="172" t="s">
        <v>102</v>
      </c>
      <c r="E318" s="172" t="s">
        <v>39</v>
      </c>
      <c r="F318" s="172" t="s">
        <v>117</v>
      </c>
      <c r="G318" s="172" t="s">
        <v>84</v>
      </c>
      <c r="H318" s="177">
        <v>1</v>
      </c>
      <c r="I318" s="178">
        <v>1750</v>
      </c>
      <c r="J318" s="176">
        <v>46040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7.03</v>
      </c>
    </row>
    <row r="319" spans="1:16" ht="19.5" customHeight="1">
      <c r="A319" s="172" t="s">
        <v>187</v>
      </c>
      <c r="B319" s="176">
        <v>46043</v>
      </c>
      <c r="C319" s="172" t="s">
        <v>100</v>
      </c>
      <c r="D319" s="172" t="s">
        <v>103</v>
      </c>
      <c r="E319" s="172" t="s">
        <v>39</v>
      </c>
      <c r="F319" s="172" t="s">
        <v>117</v>
      </c>
      <c r="G319" s="172" t="s">
        <v>84</v>
      </c>
      <c r="H319" s="177">
        <v>1</v>
      </c>
      <c r="I319" s="178">
        <v>1750</v>
      </c>
      <c r="J319" s="176">
        <v>46040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1040.1099999999999</v>
      </c>
    </row>
    <row r="320" spans="1:16" ht="19.5" customHeight="1">
      <c r="A320" s="172" t="s">
        <v>187</v>
      </c>
      <c r="B320" s="176">
        <v>46043</v>
      </c>
      <c r="C320" s="172" t="s">
        <v>104</v>
      </c>
      <c r="D320" s="172" t="s">
        <v>105</v>
      </c>
      <c r="E320" s="172" t="s">
        <v>39</v>
      </c>
      <c r="F320" s="172" t="s">
        <v>117</v>
      </c>
      <c r="G320" s="172" t="s">
        <v>84</v>
      </c>
      <c r="H320" s="177">
        <v>1</v>
      </c>
      <c r="I320" s="178">
        <v>1750</v>
      </c>
      <c r="J320" s="176">
        <v>46040</v>
      </c>
      <c r="K320" s="172" t="s">
        <v>93</v>
      </c>
      <c r="L320" s="172" t="s">
        <v>94</v>
      </c>
      <c r="M320" s="179">
        <v>0.43</v>
      </c>
      <c r="N320" s="177"/>
      <c r="O320" s="177"/>
      <c r="P320" s="180">
        <v>-752.5</v>
      </c>
    </row>
    <row r="321" spans="1:16" ht="19.5" customHeight="1">
      <c r="A321" s="172" t="s">
        <v>187</v>
      </c>
      <c r="B321" s="176">
        <v>46043</v>
      </c>
      <c r="C321" s="172" t="s">
        <v>81</v>
      </c>
      <c r="D321" s="172" t="s">
        <v>95</v>
      </c>
      <c r="E321" s="172" t="s">
        <v>39</v>
      </c>
      <c r="F321" s="172" t="s">
        <v>117</v>
      </c>
      <c r="G321" s="172" t="s">
        <v>84</v>
      </c>
      <c r="H321" s="177">
        <v>1</v>
      </c>
      <c r="I321" s="178">
        <v>1750</v>
      </c>
      <c r="J321" s="176">
        <v>46040</v>
      </c>
      <c r="K321" s="172" t="s">
        <v>93</v>
      </c>
      <c r="L321" s="172" t="s">
        <v>94</v>
      </c>
      <c r="M321" s="179">
        <v>0.43</v>
      </c>
      <c r="N321" s="177"/>
      <c r="O321" s="177"/>
      <c r="P321" s="180">
        <v>-8.84</v>
      </c>
    </row>
    <row r="322" spans="1:16" ht="19.5" customHeight="1">
      <c r="A322" s="172" t="s">
        <v>188</v>
      </c>
      <c r="B322" s="176">
        <v>46043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46043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-12.47</v>
      </c>
    </row>
    <row r="323" spans="1:16" ht="19.5" customHeight="1">
      <c r="A323" s="172" t="s">
        <v>189</v>
      </c>
      <c r="B323" s="176">
        <v>46043</v>
      </c>
      <c r="C323" s="172" t="s">
        <v>92</v>
      </c>
      <c r="D323" s="172" t="s">
        <v>24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1885</v>
      </c>
      <c r="J323" s="176">
        <v>46042</v>
      </c>
      <c r="K323" s="172" t="s">
        <v>93</v>
      </c>
      <c r="L323" s="172" t="s">
        <v>94</v>
      </c>
      <c r="M323" s="179">
        <v>0.43</v>
      </c>
      <c r="N323" s="177"/>
      <c r="O323" s="177">
        <v>43</v>
      </c>
      <c r="P323" s="180">
        <v>-146.15</v>
      </c>
    </row>
    <row r="324" spans="1:16" ht="19.5" customHeight="1">
      <c r="A324" s="172" t="s">
        <v>189</v>
      </c>
      <c r="B324" s="176">
        <v>46043</v>
      </c>
      <c r="C324" s="172" t="s">
        <v>100</v>
      </c>
      <c r="D324" s="172" t="s">
        <v>101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1885</v>
      </c>
      <c r="J324" s="176">
        <v>46042</v>
      </c>
      <c r="K324" s="172" t="s">
        <v>93</v>
      </c>
      <c r="L324" s="172" t="s">
        <v>94</v>
      </c>
      <c r="M324" s="179">
        <v>0</v>
      </c>
      <c r="N324" s="177"/>
      <c r="O324" s="177"/>
      <c r="P324" s="180">
        <v>507.14</v>
      </c>
    </row>
    <row r="325" spans="1:16" ht="19.5" customHeight="1">
      <c r="A325" s="172" t="s">
        <v>189</v>
      </c>
      <c r="B325" s="176">
        <v>46043</v>
      </c>
      <c r="C325" s="172" t="s">
        <v>100</v>
      </c>
      <c r="D325" s="172" t="s">
        <v>102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1885</v>
      </c>
      <c r="J325" s="176">
        <v>46042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5.07</v>
      </c>
    </row>
    <row r="326" spans="1:16" ht="19.5" customHeight="1">
      <c r="A326" s="172" t="s">
        <v>189</v>
      </c>
      <c r="B326" s="176">
        <v>46043</v>
      </c>
      <c r="C326" s="172" t="s">
        <v>100</v>
      </c>
      <c r="D326" s="172" t="s">
        <v>103</v>
      </c>
      <c r="E326" s="172" t="s">
        <v>52</v>
      </c>
      <c r="F326" s="172" t="s">
        <v>90</v>
      </c>
      <c r="G326" s="172" t="s">
        <v>84</v>
      </c>
      <c r="H326" s="177">
        <v>1</v>
      </c>
      <c r="I326" s="178">
        <v>1885</v>
      </c>
      <c r="J326" s="176">
        <v>46042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1372.79</v>
      </c>
    </row>
    <row r="327" spans="1:16" ht="19.5" customHeight="1">
      <c r="A327" s="172" t="s">
        <v>189</v>
      </c>
      <c r="B327" s="176">
        <v>46043</v>
      </c>
      <c r="C327" s="172" t="s">
        <v>104</v>
      </c>
      <c r="D327" s="172" t="s">
        <v>105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1885</v>
      </c>
      <c r="J327" s="176">
        <v>46042</v>
      </c>
      <c r="K327" s="172" t="s">
        <v>93</v>
      </c>
      <c r="L327" s="172" t="s">
        <v>94</v>
      </c>
      <c r="M327" s="179">
        <v>0.43</v>
      </c>
      <c r="N327" s="177"/>
      <c r="O327" s="177"/>
      <c r="P327" s="180">
        <v>-810.55</v>
      </c>
    </row>
    <row r="328" spans="1:16" ht="19.5" customHeight="1">
      <c r="A328" s="172" t="s">
        <v>189</v>
      </c>
      <c r="B328" s="176">
        <v>46043</v>
      </c>
      <c r="C328" s="172" t="s">
        <v>81</v>
      </c>
      <c r="D328" s="172" t="s">
        <v>95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1885</v>
      </c>
      <c r="J328" s="176">
        <v>46042</v>
      </c>
      <c r="K328" s="172" t="s">
        <v>93</v>
      </c>
      <c r="L328" s="172" t="s">
        <v>94</v>
      </c>
      <c r="M328" s="179">
        <v>0.43</v>
      </c>
      <c r="N328" s="177"/>
      <c r="O328" s="177"/>
      <c r="P328" s="180">
        <v>-23.69</v>
      </c>
    </row>
    <row r="329" spans="1:16" ht="19.5" customHeight="1">
      <c r="A329" s="172" t="s">
        <v>190</v>
      </c>
      <c r="B329" s="176">
        <v>46043</v>
      </c>
      <c r="C329" s="172" t="s">
        <v>81</v>
      </c>
      <c r="D329" s="172" t="s">
        <v>82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46043</v>
      </c>
      <c r="K329" s="172" t="s">
        <v>85</v>
      </c>
      <c r="L329" s="172" t="s">
        <v>85</v>
      </c>
      <c r="M329" s="179">
        <v>0</v>
      </c>
      <c r="N329" s="177"/>
      <c r="O329" s="177"/>
      <c r="P329" s="180">
        <v>-6.07</v>
      </c>
    </row>
    <row r="330" spans="1:16" ht="19.5" customHeight="1">
      <c r="A330" s="172" t="s">
        <v>191</v>
      </c>
      <c r="B330" s="176">
        <v>46043</v>
      </c>
      <c r="C330" s="172" t="s">
        <v>81</v>
      </c>
      <c r="D330" s="172" t="s">
        <v>82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0</v>
      </c>
      <c r="J330" s="176">
        <v>46043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-4.71</v>
      </c>
    </row>
    <row r="331" spans="1:16" ht="19.5" customHeight="1">
      <c r="A331" s="172" t="s">
        <v>192</v>
      </c>
      <c r="B331" s="176">
        <v>46043</v>
      </c>
      <c r="C331" s="172" t="s">
        <v>92</v>
      </c>
      <c r="D331" s="172" t="s">
        <v>24</v>
      </c>
      <c r="E331" s="172" t="s">
        <v>53</v>
      </c>
      <c r="F331" s="172" t="s">
        <v>120</v>
      </c>
      <c r="G331" s="172" t="s">
        <v>84</v>
      </c>
      <c r="H331" s="177">
        <v>1</v>
      </c>
      <c r="I331" s="178">
        <v>1845</v>
      </c>
      <c r="J331" s="176">
        <v>46036</v>
      </c>
      <c r="K331" s="172" t="s">
        <v>93</v>
      </c>
      <c r="L331" s="172" t="s">
        <v>94</v>
      </c>
      <c r="M331" s="179">
        <v>0.43</v>
      </c>
      <c r="N331" s="177"/>
      <c r="O331" s="177">
        <v>45</v>
      </c>
      <c r="P331" s="180">
        <v>-153.85</v>
      </c>
    </row>
    <row r="332" spans="1:16" ht="19.5" customHeight="1">
      <c r="A332" s="172" t="s">
        <v>192</v>
      </c>
      <c r="B332" s="176">
        <v>46043</v>
      </c>
      <c r="C332" s="172" t="s">
        <v>100</v>
      </c>
      <c r="D332" s="172" t="s">
        <v>101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46036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702.86</v>
      </c>
    </row>
    <row r="333" spans="1:16" ht="19.5" customHeight="1">
      <c r="A333" s="172" t="s">
        <v>192</v>
      </c>
      <c r="B333" s="176">
        <v>46043</v>
      </c>
      <c r="C333" s="172" t="s">
        <v>100</v>
      </c>
      <c r="D333" s="172" t="s">
        <v>102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46036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0</v>
      </c>
    </row>
    <row r="334" spans="1:16" ht="19.5" customHeight="1">
      <c r="A334" s="172" t="s">
        <v>192</v>
      </c>
      <c r="B334" s="176">
        <v>46043</v>
      </c>
      <c r="C334" s="172" t="s">
        <v>100</v>
      </c>
      <c r="D334" s="172" t="s">
        <v>103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46036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1142.1400000000001</v>
      </c>
    </row>
    <row r="335" spans="1:16" ht="19.5" customHeight="1">
      <c r="A335" s="172" t="s">
        <v>192</v>
      </c>
      <c r="B335" s="176">
        <v>46043</v>
      </c>
      <c r="C335" s="172" t="s">
        <v>104</v>
      </c>
      <c r="D335" s="172" t="s">
        <v>105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46036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-793.35</v>
      </c>
    </row>
    <row r="336" spans="1:16" ht="19.5" customHeight="1">
      <c r="A336" s="172" t="s">
        <v>192</v>
      </c>
      <c r="B336" s="176">
        <v>46043</v>
      </c>
      <c r="C336" s="172" t="s">
        <v>81</v>
      </c>
      <c r="D336" s="172" t="s">
        <v>95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46036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-25</v>
      </c>
    </row>
    <row r="337" spans="1:16" ht="19.5" customHeight="1">
      <c r="A337" s="172" t="s">
        <v>193</v>
      </c>
      <c r="B337" s="176">
        <v>46043</v>
      </c>
      <c r="C337" s="172" t="s">
        <v>81</v>
      </c>
      <c r="D337" s="172" t="s">
        <v>82</v>
      </c>
      <c r="E337" s="172" t="s">
        <v>52</v>
      </c>
      <c r="F337" s="172" t="s">
        <v>90</v>
      </c>
      <c r="G337" s="172" t="s">
        <v>84</v>
      </c>
      <c r="H337" s="177">
        <v>1</v>
      </c>
      <c r="I337" s="178">
        <v>0</v>
      </c>
      <c r="J337" s="176">
        <v>46043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-12.46</v>
      </c>
    </row>
    <row r="338" spans="1:16" ht="19.5" customHeight="1">
      <c r="A338" s="172" t="s">
        <v>194</v>
      </c>
      <c r="B338" s="176">
        <v>46043</v>
      </c>
      <c r="C338" s="172" t="s">
        <v>92</v>
      </c>
      <c r="D338" s="172" t="s">
        <v>24</v>
      </c>
      <c r="E338" s="172" t="s">
        <v>41</v>
      </c>
      <c r="F338" s="172" t="s">
        <v>83</v>
      </c>
      <c r="G338" s="172" t="s">
        <v>84</v>
      </c>
      <c r="H338" s="177">
        <v>1</v>
      </c>
      <c r="I338" s="178">
        <v>1750</v>
      </c>
      <c r="J338" s="176">
        <v>46039</v>
      </c>
      <c r="K338" s="172" t="s">
        <v>93</v>
      </c>
      <c r="L338" s="172" t="s">
        <v>94</v>
      </c>
      <c r="M338" s="179">
        <v>0.43</v>
      </c>
      <c r="N338" s="177"/>
      <c r="O338" s="177">
        <v>47</v>
      </c>
      <c r="P338" s="180">
        <v>-142.11000000000001</v>
      </c>
    </row>
    <row r="339" spans="1:16" ht="19.5" customHeight="1">
      <c r="A339" s="172" t="s">
        <v>194</v>
      </c>
      <c r="B339" s="176">
        <v>46043</v>
      </c>
      <c r="C339" s="172" t="s">
        <v>100</v>
      </c>
      <c r="D339" s="172" t="s">
        <v>101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1750</v>
      </c>
      <c r="J339" s="176">
        <v>46039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654.29</v>
      </c>
    </row>
    <row r="340" spans="1:16" ht="19.5" customHeight="1">
      <c r="A340" s="172" t="s">
        <v>194</v>
      </c>
      <c r="B340" s="176">
        <v>46043</v>
      </c>
      <c r="C340" s="172" t="s">
        <v>100</v>
      </c>
      <c r="D340" s="172" t="s">
        <v>102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1750</v>
      </c>
      <c r="J340" s="176">
        <v>46039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6.54</v>
      </c>
    </row>
    <row r="341" spans="1:16" ht="19.5" customHeight="1">
      <c r="A341" s="172" t="s">
        <v>194</v>
      </c>
      <c r="B341" s="176">
        <v>46043</v>
      </c>
      <c r="C341" s="172" t="s">
        <v>100</v>
      </c>
      <c r="D341" s="172" t="s">
        <v>103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1750</v>
      </c>
      <c r="J341" s="176">
        <v>46039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1089.17</v>
      </c>
    </row>
    <row r="342" spans="1:16" ht="19.5" customHeight="1">
      <c r="A342" s="172" t="s">
        <v>194</v>
      </c>
      <c r="B342" s="176">
        <v>46043</v>
      </c>
      <c r="C342" s="172" t="s">
        <v>104</v>
      </c>
      <c r="D342" s="172" t="s">
        <v>105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1750</v>
      </c>
      <c r="J342" s="176">
        <v>46039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-752.5</v>
      </c>
    </row>
    <row r="343" spans="1:16" ht="19.5" customHeight="1">
      <c r="A343" s="172" t="s">
        <v>194</v>
      </c>
      <c r="B343" s="176">
        <v>46043</v>
      </c>
      <c r="C343" s="172" t="s">
        <v>81</v>
      </c>
      <c r="D343" s="172" t="s">
        <v>95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1750</v>
      </c>
      <c r="J343" s="176">
        <v>46039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-16.96</v>
      </c>
    </row>
    <row r="344" spans="1:16" ht="19.5" customHeight="1">
      <c r="A344" s="172" t="s">
        <v>195</v>
      </c>
      <c r="B344" s="176">
        <v>46043</v>
      </c>
      <c r="C344" s="172" t="s">
        <v>81</v>
      </c>
      <c r="D344" s="172" t="s">
        <v>82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0</v>
      </c>
      <c r="J344" s="176">
        <v>46043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-11.58</v>
      </c>
    </row>
    <row r="345" spans="1:16" ht="19.5" customHeight="1">
      <c r="A345" s="172" t="s">
        <v>196</v>
      </c>
      <c r="B345" s="176">
        <v>46043</v>
      </c>
      <c r="C345" s="172" t="s">
        <v>92</v>
      </c>
      <c r="D345" s="172" t="s">
        <v>24</v>
      </c>
      <c r="E345" s="172" t="s">
        <v>40</v>
      </c>
      <c r="F345" s="172" t="s">
        <v>197</v>
      </c>
      <c r="G345" s="172" t="s">
        <v>84</v>
      </c>
      <c r="H345" s="177">
        <v>1</v>
      </c>
      <c r="I345" s="178">
        <v>1750</v>
      </c>
      <c r="J345" s="176">
        <v>46041</v>
      </c>
      <c r="K345" s="172" t="s">
        <v>93</v>
      </c>
      <c r="L345" s="172" t="s">
        <v>94</v>
      </c>
      <c r="M345" s="179">
        <v>0.43</v>
      </c>
      <c r="N345" s="177"/>
      <c r="O345" s="177">
        <v>44</v>
      </c>
      <c r="P345" s="180">
        <v>-131.37</v>
      </c>
    </row>
    <row r="346" spans="1:16" ht="19.5" customHeight="1">
      <c r="A346" s="172" t="s">
        <v>196</v>
      </c>
      <c r="B346" s="176">
        <v>46043</v>
      </c>
      <c r="C346" s="172" t="s">
        <v>100</v>
      </c>
      <c r="D346" s="172" t="s">
        <v>101</v>
      </c>
      <c r="E346" s="172" t="s">
        <v>40</v>
      </c>
      <c r="F346" s="172" t="s">
        <v>197</v>
      </c>
      <c r="G346" s="172" t="s">
        <v>84</v>
      </c>
      <c r="H346" s="177">
        <v>1</v>
      </c>
      <c r="I346" s="178">
        <v>1750</v>
      </c>
      <c r="J346" s="176">
        <v>46041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701.24</v>
      </c>
    </row>
    <row r="347" spans="1:16" ht="19.5" customHeight="1">
      <c r="A347" s="172" t="s">
        <v>196</v>
      </c>
      <c r="B347" s="176">
        <v>46043</v>
      </c>
      <c r="C347" s="172" t="s">
        <v>100</v>
      </c>
      <c r="D347" s="172" t="s">
        <v>102</v>
      </c>
      <c r="E347" s="172" t="s">
        <v>40</v>
      </c>
      <c r="F347" s="172" t="s">
        <v>197</v>
      </c>
      <c r="G347" s="172" t="s">
        <v>84</v>
      </c>
      <c r="H347" s="177">
        <v>1</v>
      </c>
      <c r="I347" s="178">
        <v>1750</v>
      </c>
      <c r="J347" s="176">
        <v>46041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7.01</v>
      </c>
    </row>
    <row r="348" spans="1:16" ht="19.5" customHeight="1">
      <c r="A348" s="172" t="s">
        <v>196</v>
      </c>
      <c r="B348" s="176">
        <v>46043</v>
      </c>
      <c r="C348" s="172" t="s">
        <v>100</v>
      </c>
      <c r="D348" s="172" t="s">
        <v>103</v>
      </c>
      <c r="E348" s="172" t="s">
        <v>40</v>
      </c>
      <c r="F348" s="172" t="s">
        <v>197</v>
      </c>
      <c r="G348" s="172" t="s">
        <v>84</v>
      </c>
      <c r="H348" s="177">
        <v>1</v>
      </c>
      <c r="I348" s="178">
        <v>1750</v>
      </c>
      <c r="J348" s="176">
        <v>46041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1041.75</v>
      </c>
    </row>
    <row r="349" spans="1:16" ht="19.5" customHeight="1">
      <c r="A349" s="172" t="s">
        <v>196</v>
      </c>
      <c r="B349" s="176">
        <v>46043</v>
      </c>
      <c r="C349" s="172" t="s">
        <v>104</v>
      </c>
      <c r="D349" s="172" t="s">
        <v>105</v>
      </c>
      <c r="E349" s="172" t="s">
        <v>40</v>
      </c>
      <c r="F349" s="172" t="s">
        <v>197</v>
      </c>
      <c r="G349" s="172" t="s">
        <v>84</v>
      </c>
      <c r="H349" s="177">
        <v>1</v>
      </c>
      <c r="I349" s="178">
        <v>1750</v>
      </c>
      <c r="J349" s="176">
        <v>46041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-752.5</v>
      </c>
    </row>
    <row r="350" spans="1:16" ht="19.5" customHeight="1">
      <c r="A350" s="172" t="s">
        <v>196</v>
      </c>
      <c r="B350" s="176">
        <v>46043</v>
      </c>
      <c r="C350" s="172" t="s">
        <v>81</v>
      </c>
      <c r="D350" s="172" t="s">
        <v>95</v>
      </c>
      <c r="E350" s="172" t="s">
        <v>40</v>
      </c>
      <c r="F350" s="172" t="s">
        <v>197</v>
      </c>
      <c r="G350" s="172" t="s">
        <v>84</v>
      </c>
      <c r="H350" s="177">
        <v>1</v>
      </c>
      <c r="I350" s="178">
        <v>1750</v>
      </c>
      <c r="J350" s="176">
        <v>46041</v>
      </c>
      <c r="K350" s="172" t="s">
        <v>93</v>
      </c>
      <c r="L350" s="172" t="s">
        <v>94</v>
      </c>
      <c r="M350" s="179">
        <v>0.43</v>
      </c>
      <c r="N350" s="177"/>
      <c r="O350" s="177"/>
      <c r="P350" s="180">
        <v>-9.1199999999999992</v>
      </c>
    </row>
    <row r="351" spans="1:16" ht="19.5" customHeight="1">
      <c r="A351" s="172" t="s">
        <v>196</v>
      </c>
      <c r="B351" s="176">
        <v>46043</v>
      </c>
      <c r="C351" s="172" t="s">
        <v>81</v>
      </c>
      <c r="D351" s="172" t="s">
        <v>82</v>
      </c>
      <c r="E351" s="172" t="s">
        <v>40</v>
      </c>
      <c r="F351" s="172" t="s">
        <v>197</v>
      </c>
      <c r="G351" s="172" t="s">
        <v>84</v>
      </c>
      <c r="H351" s="177">
        <v>1</v>
      </c>
      <c r="I351" s="178">
        <v>0</v>
      </c>
      <c r="J351" s="176">
        <v>46041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-13.32</v>
      </c>
    </row>
    <row r="352" spans="1:16" ht="19.5" customHeight="1">
      <c r="A352" s="172" t="s">
        <v>198</v>
      </c>
      <c r="B352" s="176">
        <v>46043</v>
      </c>
      <c r="C352" s="172" t="s">
        <v>92</v>
      </c>
      <c r="D352" s="172" t="s">
        <v>24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46040</v>
      </c>
      <c r="K352" s="172" t="s">
        <v>93</v>
      </c>
      <c r="L352" s="172" t="s">
        <v>94</v>
      </c>
      <c r="M352" s="179">
        <v>0.43</v>
      </c>
      <c r="N352" s="177"/>
      <c r="O352" s="177">
        <v>45</v>
      </c>
      <c r="P352" s="180">
        <v>-153.85</v>
      </c>
    </row>
    <row r="353" spans="1:16" ht="19.5" customHeight="1">
      <c r="A353" s="172" t="s">
        <v>198</v>
      </c>
      <c r="B353" s="176">
        <v>46043</v>
      </c>
      <c r="C353" s="172" t="s">
        <v>100</v>
      </c>
      <c r="D353" s="172" t="s">
        <v>101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46040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741.75</v>
      </c>
    </row>
    <row r="354" spans="1:16" ht="19.5" customHeight="1">
      <c r="A354" s="172" t="s">
        <v>198</v>
      </c>
      <c r="B354" s="176">
        <v>46043</v>
      </c>
      <c r="C354" s="172" t="s">
        <v>100</v>
      </c>
      <c r="D354" s="172" t="s">
        <v>102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46040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7.42</v>
      </c>
    </row>
    <row r="355" spans="1:16" ht="19.5" customHeight="1">
      <c r="A355" s="172" t="s">
        <v>198</v>
      </c>
      <c r="B355" s="176">
        <v>46043</v>
      </c>
      <c r="C355" s="172" t="s">
        <v>100</v>
      </c>
      <c r="D355" s="172" t="s">
        <v>103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46040</v>
      </c>
      <c r="K355" s="172" t="s">
        <v>93</v>
      </c>
      <c r="L355" s="172" t="s">
        <v>94</v>
      </c>
      <c r="M355" s="179">
        <v>0</v>
      </c>
      <c r="N355" s="177"/>
      <c r="O355" s="177"/>
      <c r="P355" s="180">
        <v>1095.83</v>
      </c>
    </row>
    <row r="356" spans="1:16" ht="19.5" customHeight="1">
      <c r="A356" s="172" t="s">
        <v>198</v>
      </c>
      <c r="B356" s="176">
        <v>46043</v>
      </c>
      <c r="C356" s="172" t="s">
        <v>104</v>
      </c>
      <c r="D356" s="172" t="s">
        <v>105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46040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-793.35</v>
      </c>
    </row>
    <row r="357" spans="1:16" ht="19.5" customHeight="1">
      <c r="A357" s="172" t="s">
        <v>198</v>
      </c>
      <c r="B357" s="176">
        <v>46043</v>
      </c>
      <c r="C357" s="172" t="s">
        <v>81</v>
      </c>
      <c r="D357" s="172" t="s">
        <v>95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46040</v>
      </c>
      <c r="K357" s="172" t="s">
        <v>93</v>
      </c>
      <c r="L357" s="172" t="s">
        <v>94</v>
      </c>
      <c r="M357" s="179">
        <v>0.43</v>
      </c>
      <c r="N357" s="177"/>
      <c r="O357" s="177"/>
      <c r="P357" s="180">
        <v>-25</v>
      </c>
    </row>
    <row r="358" spans="1:16" ht="19.5" customHeight="1">
      <c r="A358" s="172" t="s">
        <v>198</v>
      </c>
      <c r="B358" s="176">
        <v>46043</v>
      </c>
      <c r="C358" s="172" t="s">
        <v>81</v>
      </c>
      <c r="D358" s="172" t="s">
        <v>82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0</v>
      </c>
      <c r="J358" s="176">
        <v>46040</v>
      </c>
      <c r="K358" s="172" t="s">
        <v>85</v>
      </c>
      <c r="L358" s="172" t="s">
        <v>85</v>
      </c>
      <c r="M358" s="179">
        <v>0</v>
      </c>
      <c r="N358" s="177"/>
      <c r="O358" s="177"/>
      <c r="P358" s="180">
        <v>-14.09</v>
      </c>
    </row>
    <row r="359" spans="1:16" ht="19.5" customHeight="1">
      <c r="A359" s="172" t="s">
        <v>199</v>
      </c>
      <c r="B359" s="176">
        <v>46043</v>
      </c>
      <c r="C359" s="172" t="s">
        <v>92</v>
      </c>
      <c r="D359" s="172" t="s">
        <v>24</v>
      </c>
      <c r="E359" s="172" t="s">
        <v>43</v>
      </c>
      <c r="F359" s="172" t="s">
        <v>125</v>
      </c>
      <c r="G359" s="172" t="s">
        <v>84</v>
      </c>
      <c r="H359" s="177">
        <v>1</v>
      </c>
      <c r="I359" s="178">
        <v>1750</v>
      </c>
      <c r="J359" s="176">
        <v>46042</v>
      </c>
      <c r="K359" s="172" t="s">
        <v>93</v>
      </c>
      <c r="L359" s="172" t="s">
        <v>94</v>
      </c>
      <c r="M359" s="179">
        <v>0.43</v>
      </c>
      <c r="N359" s="177"/>
      <c r="O359" s="177">
        <v>43</v>
      </c>
      <c r="P359" s="180">
        <v>-127.33</v>
      </c>
    </row>
    <row r="360" spans="1:16" ht="19.5" customHeight="1">
      <c r="A360" s="172" t="s">
        <v>199</v>
      </c>
      <c r="B360" s="176">
        <v>46043</v>
      </c>
      <c r="C360" s="172" t="s">
        <v>100</v>
      </c>
      <c r="D360" s="172" t="s">
        <v>101</v>
      </c>
      <c r="E360" s="172" t="s">
        <v>43</v>
      </c>
      <c r="F360" s="172" t="s">
        <v>125</v>
      </c>
      <c r="G360" s="172" t="s">
        <v>84</v>
      </c>
      <c r="H360" s="177">
        <v>1</v>
      </c>
      <c r="I360" s="178">
        <v>1750</v>
      </c>
      <c r="J360" s="176">
        <v>46042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606.05999999999995</v>
      </c>
    </row>
    <row r="361" spans="1:16" ht="19.5" customHeight="1">
      <c r="A361" s="172" t="s">
        <v>199</v>
      </c>
      <c r="B361" s="176">
        <v>46043</v>
      </c>
      <c r="C361" s="172" t="s">
        <v>100</v>
      </c>
      <c r="D361" s="172" t="s">
        <v>102</v>
      </c>
      <c r="E361" s="172" t="s">
        <v>43</v>
      </c>
      <c r="F361" s="172" t="s">
        <v>125</v>
      </c>
      <c r="G361" s="172" t="s">
        <v>84</v>
      </c>
      <c r="H361" s="177">
        <v>1</v>
      </c>
      <c r="I361" s="178">
        <v>1750</v>
      </c>
      <c r="J361" s="176">
        <v>46042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6.06</v>
      </c>
    </row>
    <row r="362" spans="1:16" ht="19.5" customHeight="1">
      <c r="A362" s="172" t="s">
        <v>199</v>
      </c>
      <c r="B362" s="176">
        <v>46043</v>
      </c>
      <c r="C362" s="172" t="s">
        <v>100</v>
      </c>
      <c r="D362" s="172" t="s">
        <v>103</v>
      </c>
      <c r="E362" s="172" t="s">
        <v>43</v>
      </c>
      <c r="F362" s="172" t="s">
        <v>125</v>
      </c>
      <c r="G362" s="172" t="s">
        <v>84</v>
      </c>
      <c r="H362" s="177">
        <v>1</v>
      </c>
      <c r="I362" s="178">
        <v>1750</v>
      </c>
      <c r="J362" s="176">
        <v>46042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1137.8800000000001</v>
      </c>
    </row>
    <row r="363" spans="1:16" ht="19.5" customHeight="1">
      <c r="A363" s="172" t="s">
        <v>199</v>
      </c>
      <c r="B363" s="176">
        <v>46043</v>
      </c>
      <c r="C363" s="172" t="s">
        <v>104</v>
      </c>
      <c r="D363" s="172" t="s">
        <v>105</v>
      </c>
      <c r="E363" s="172" t="s">
        <v>43</v>
      </c>
      <c r="F363" s="172" t="s">
        <v>125</v>
      </c>
      <c r="G363" s="172" t="s">
        <v>84</v>
      </c>
      <c r="H363" s="177">
        <v>1</v>
      </c>
      <c r="I363" s="178">
        <v>1750</v>
      </c>
      <c r="J363" s="176">
        <v>46042</v>
      </c>
      <c r="K363" s="172" t="s">
        <v>93</v>
      </c>
      <c r="L363" s="172" t="s">
        <v>94</v>
      </c>
      <c r="M363" s="179">
        <v>0.43</v>
      </c>
      <c r="N363" s="177"/>
      <c r="O363" s="177"/>
      <c r="P363" s="180">
        <v>-752.5</v>
      </c>
    </row>
    <row r="364" spans="1:16" ht="19.5" customHeight="1">
      <c r="A364" s="172" t="s">
        <v>199</v>
      </c>
      <c r="B364" s="176">
        <v>46043</v>
      </c>
      <c r="C364" s="172" t="s">
        <v>81</v>
      </c>
      <c r="D364" s="172" t="s">
        <v>95</v>
      </c>
      <c r="E364" s="172" t="s">
        <v>43</v>
      </c>
      <c r="F364" s="172" t="s">
        <v>125</v>
      </c>
      <c r="G364" s="172" t="s">
        <v>84</v>
      </c>
      <c r="H364" s="177">
        <v>1</v>
      </c>
      <c r="I364" s="178">
        <v>1750</v>
      </c>
      <c r="J364" s="176">
        <v>46042</v>
      </c>
      <c r="K364" s="172" t="s">
        <v>93</v>
      </c>
      <c r="L364" s="172" t="s">
        <v>94</v>
      </c>
      <c r="M364" s="179">
        <v>0.43</v>
      </c>
      <c r="N364" s="177"/>
      <c r="O364" s="177"/>
      <c r="P364" s="180">
        <v>-10.199999999999999</v>
      </c>
    </row>
    <row r="365" spans="1:16" ht="19.5" customHeight="1">
      <c r="A365" s="172" t="s">
        <v>200</v>
      </c>
      <c r="B365" s="176">
        <v>46043</v>
      </c>
      <c r="C365" s="172" t="s">
        <v>92</v>
      </c>
      <c r="D365" s="172" t="s">
        <v>24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1750</v>
      </c>
      <c r="J365" s="176">
        <v>46040</v>
      </c>
      <c r="K365" s="172" t="s">
        <v>93</v>
      </c>
      <c r="L365" s="172" t="s">
        <v>94</v>
      </c>
      <c r="M365" s="179">
        <v>0.43</v>
      </c>
      <c r="N365" s="177"/>
      <c r="O365" s="177">
        <v>45</v>
      </c>
      <c r="P365" s="180">
        <v>-135.38999999999999</v>
      </c>
    </row>
    <row r="366" spans="1:16" ht="19.5" customHeight="1">
      <c r="A366" s="172" t="s">
        <v>200</v>
      </c>
      <c r="B366" s="176">
        <v>46043</v>
      </c>
      <c r="C366" s="172" t="s">
        <v>100</v>
      </c>
      <c r="D366" s="172" t="s">
        <v>101</v>
      </c>
      <c r="E366" s="172" t="s">
        <v>41</v>
      </c>
      <c r="F366" s="172" t="s">
        <v>83</v>
      </c>
      <c r="G366" s="172" t="s">
        <v>84</v>
      </c>
      <c r="H366" s="177">
        <v>1</v>
      </c>
      <c r="I366" s="178">
        <v>1750</v>
      </c>
      <c r="J366" s="176">
        <v>46040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663.5</v>
      </c>
    </row>
    <row r="367" spans="1:16" ht="19.5" customHeight="1">
      <c r="A367" s="172" t="s">
        <v>200</v>
      </c>
      <c r="B367" s="176">
        <v>46043</v>
      </c>
      <c r="C367" s="172" t="s">
        <v>100</v>
      </c>
      <c r="D367" s="172" t="s">
        <v>102</v>
      </c>
      <c r="E367" s="172" t="s">
        <v>41</v>
      </c>
      <c r="F367" s="172" t="s">
        <v>83</v>
      </c>
      <c r="G367" s="172" t="s">
        <v>84</v>
      </c>
      <c r="H367" s="177">
        <v>1</v>
      </c>
      <c r="I367" s="178">
        <v>1750</v>
      </c>
      <c r="J367" s="176">
        <v>46040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6.64</v>
      </c>
    </row>
    <row r="368" spans="1:16" ht="19.5" customHeight="1">
      <c r="A368" s="172" t="s">
        <v>200</v>
      </c>
      <c r="B368" s="176">
        <v>46043</v>
      </c>
      <c r="C368" s="172" t="s">
        <v>100</v>
      </c>
      <c r="D368" s="172" t="s">
        <v>103</v>
      </c>
      <c r="E368" s="172" t="s">
        <v>41</v>
      </c>
      <c r="F368" s="172" t="s">
        <v>83</v>
      </c>
      <c r="G368" s="172" t="s">
        <v>84</v>
      </c>
      <c r="H368" s="177">
        <v>1</v>
      </c>
      <c r="I368" s="178">
        <v>1750</v>
      </c>
      <c r="J368" s="176">
        <v>46040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1079.8599999999999</v>
      </c>
    </row>
    <row r="369" spans="1:16" ht="19.5" customHeight="1">
      <c r="A369" s="172" t="s">
        <v>200</v>
      </c>
      <c r="B369" s="176">
        <v>46043</v>
      </c>
      <c r="C369" s="172" t="s">
        <v>104</v>
      </c>
      <c r="D369" s="172" t="s">
        <v>105</v>
      </c>
      <c r="E369" s="172" t="s">
        <v>41</v>
      </c>
      <c r="F369" s="172" t="s">
        <v>83</v>
      </c>
      <c r="G369" s="172" t="s">
        <v>84</v>
      </c>
      <c r="H369" s="177">
        <v>1</v>
      </c>
      <c r="I369" s="178">
        <v>1750</v>
      </c>
      <c r="J369" s="176">
        <v>46040</v>
      </c>
      <c r="K369" s="172" t="s">
        <v>93</v>
      </c>
      <c r="L369" s="172" t="s">
        <v>94</v>
      </c>
      <c r="M369" s="179">
        <v>0.43</v>
      </c>
      <c r="N369" s="177"/>
      <c r="O369" s="177"/>
      <c r="P369" s="180">
        <v>-752.5</v>
      </c>
    </row>
    <row r="370" spans="1:16" ht="19.5" customHeight="1">
      <c r="A370" s="172" t="s">
        <v>200</v>
      </c>
      <c r="B370" s="176">
        <v>46043</v>
      </c>
      <c r="C370" s="172" t="s">
        <v>81</v>
      </c>
      <c r="D370" s="172" t="s">
        <v>95</v>
      </c>
      <c r="E370" s="172" t="s">
        <v>41</v>
      </c>
      <c r="F370" s="172" t="s">
        <v>83</v>
      </c>
      <c r="G370" s="172" t="s">
        <v>84</v>
      </c>
      <c r="H370" s="177">
        <v>1</v>
      </c>
      <c r="I370" s="178">
        <v>1750</v>
      </c>
      <c r="J370" s="176">
        <v>46040</v>
      </c>
      <c r="K370" s="172" t="s">
        <v>93</v>
      </c>
      <c r="L370" s="172" t="s">
        <v>94</v>
      </c>
      <c r="M370" s="179">
        <v>0.43</v>
      </c>
      <c r="N370" s="177"/>
      <c r="O370" s="177"/>
      <c r="P370" s="180">
        <v>-10.16</v>
      </c>
    </row>
    <row r="371" spans="1:16" ht="19.5" customHeight="1">
      <c r="A371" s="172" t="s">
        <v>201</v>
      </c>
      <c r="B371" s="176">
        <v>46043</v>
      </c>
      <c r="C371" s="172" t="s">
        <v>81</v>
      </c>
      <c r="D371" s="172" t="s">
        <v>82</v>
      </c>
      <c r="E371" s="172" t="s">
        <v>42</v>
      </c>
      <c r="F371" s="172" t="s">
        <v>89</v>
      </c>
      <c r="G371" s="172" t="s">
        <v>84</v>
      </c>
      <c r="H371" s="177">
        <v>1</v>
      </c>
      <c r="I371" s="178">
        <v>0</v>
      </c>
      <c r="J371" s="176">
        <v>46043</v>
      </c>
      <c r="K371" s="172" t="s">
        <v>85</v>
      </c>
      <c r="L371" s="172" t="s">
        <v>85</v>
      </c>
      <c r="M371" s="179">
        <v>0</v>
      </c>
      <c r="N371" s="177"/>
      <c r="O371" s="177"/>
      <c r="P371" s="180">
        <v>-11.58</v>
      </c>
    </row>
    <row r="372" spans="1:16" ht="19.5" customHeight="1">
      <c r="A372" s="172" t="s">
        <v>202</v>
      </c>
      <c r="B372" s="176">
        <v>46043</v>
      </c>
      <c r="C372" s="172" t="s">
        <v>81</v>
      </c>
      <c r="D372" s="172" t="s">
        <v>82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0</v>
      </c>
      <c r="J372" s="176">
        <v>46043</v>
      </c>
      <c r="K372" s="172" t="s">
        <v>85</v>
      </c>
      <c r="L372" s="172" t="s">
        <v>85</v>
      </c>
      <c r="M372" s="179">
        <v>0</v>
      </c>
      <c r="N372" s="177"/>
      <c r="O372" s="177"/>
      <c r="P372" s="180">
        <v>-12.49</v>
      </c>
    </row>
    <row r="373" spans="1:16" ht="19.5" customHeight="1">
      <c r="A373" s="172" t="s">
        <v>203</v>
      </c>
      <c r="B373" s="176">
        <v>46043</v>
      </c>
      <c r="C373" s="172" t="s">
        <v>81</v>
      </c>
      <c r="D373" s="172" t="s">
        <v>82</v>
      </c>
      <c r="E373" s="172" t="s">
        <v>42</v>
      </c>
      <c r="F373" s="172" t="s">
        <v>89</v>
      </c>
      <c r="G373" s="172" t="s">
        <v>84</v>
      </c>
      <c r="H373" s="177">
        <v>1</v>
      </c>
      <c r="I373" s="178">
        <v>0</v>
      </c>
      <c r="J373" s="176">
        <v>46043</v>
      </c>
      <c r="K373" s="172" t="s">
        <v>85</v>
      </c>
      <c r="L373" s="172" t="s">
        <v>85</v>
      </c>
      <c r="M373" s="179">
        <v>0</v>
      </c>
      <c r="N373" s="177"/>
      <c r="O373" s="177"/>
      <c r="P373" s="180">
        <v>-4.47</v>
      </c>
    </row>
    <row r="374" spans="1:16" ht="19.5" customHeight="1">
      <c r="A374" s="172" t="s">
        <v>204</v>
      </c>
      <c r="B374" s="176">
        <v>46043</v>
      </c>
      <c r="C374" s="172" t="s">
        <v>81</v>
      </c>
      <c r="D374" s="172" t="s">
        <v>82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0</v>
      </c>
      <c r="J374" s="176">
        <v>46043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-12.49</v>
      </c>
    </row>
    <row r="375" spans="1:16" ht="19.5" customHeight="1">
      <c r="A375" s="172" t="s">
        <v>204</v>
      </c>
      <c r="B375" s="176">
        <v>46043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46043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12.49</v>
      </c>
    </row>
    <row r="376" spans="1:16" ht="19.5" customHeight="1">
      <c r="A376" s="172" t="s">
        <v>205</v>
      </c>
      <c r="B376" s="176">
        <v>46043</v>
      </c>
      <c r="C376" s="172" t="s">
        <v>81</v>
      </c>
      <c r="D376" s="172" t="s">
        <v>82</v>
      </c>
      <c r="E376" s="172" t="s">
        <v>42</v>
      </c>
      <c r="F376" s="172" t="s">
        <v>89</v>
      </c>
      <c r="G376" s="172" t="s">
        <v>84</v>
      </c>
      <c r="H376" s="177">
        <v>1</v>
      </c>
      <c r="I376" s="178">
        <v>0</v>
      </c>
      <c r="J376" s="176">
        <v>46043</v>
      </c>
      <c r="K376" s="172" t="s">
        <v>85</v>
      </c>
      <c r="L376" s="172" t="s">
        <v>85</v>
      </c>
      <c r="M376" s="179">
        <v>0</v>
      </c>
      <c r="N376" s="177"/>
      <c r="O376" s="177"/>
      <c r="P376" s="180">
        <v>-11.56</v>
      </c>
    </row>
    <row r="377" spans="1:16" ht="19.5" customHeight="1">
      <c r="A377" s="172" t="s">
        <v>141</v>
      </c>
      <c r="B377" s="176">
        <v>46043</v>
      </c>
      <c r="C377" s="172" t="s">
        <v>109</v>
      </c>
      <c r="D377" s="172" t="s">
        <v>139</v>
      </c>
      <c r="E377" s="172" t="s">
        <v>85</v>
      </c>
      <c r="F377" s="172" t="s">
        <v>85</v>
      </c>
      <c r="G377" s="172" t="s">
        <v>85</v>
      </c>
      <c r="H377" s="177">
        <v>0</v>
      </c>
      <c r="I377" s="178">
        <v>0</v>
      </c>
      <c r="J377" s="176">
        <v>46043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-285.99</v>
      </c>
    </row>
    <row r="378" spans="1:16" ht="19.5" customHeight="1">
      <c r="A378" s="172" t="s">
        <v>145</v>
      </c>
      <c r="B378" s="176">
        <v>46043</v>
      </c>
      <c r="C378" s="172" t="s">
        <v>109</v>
      </c>
      <c r="D378" s="172" t="s">
        <v>139</v>
      </c>
      <c r="E378" s="172" t="s">
        <v>85</v>
      </c>
      <c r="F378" s="172" t="s">
        <v>85</v>
      </c>
      <c r="G378" s="172" t="s">
        <v>85</v>
      </c>
      <c r="H378" s="177">
        <v>0</v>
      </c>
      <c r="I378" s="178">
        <v>0</v>
      </c>
      <c r="J378" s="176">
        <v>46043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-285.43</v>
      </c>
    </row>
    <row r="379" spans="1:16" ht="19.5" customHeight="1">
      <c r="A379" s="172" t="s">
        <v>144</v>
      </c>
      <c r="B379" s="176">
        <v>46043</v>
      </c>
      <c r="C379" s="172" t="s">
        <v>109</v>
      </c>
      <c r="D379" s="172" t="s">
        <v>139</v>
      </c>
      <c r="E379" s="172" t="s">
        <v>85</v>
      </c>
      <c r="F379" s="172" t="s">
        <v>85</v>
      </c>
      <c r="G379" s="172" t="s">
        <v>85</v>
      </c>
      <c r="H379" s="177">
        <v>0</v>
      </c>
      <c r="I379" s="178">
        <v>0</v>
      </c>
      <c r="J379" s="176">
        <v>46043</v>
      </c>
      <c r="K379" s="172" t="s">
        <v>85</v>
      </c>
      <c r="L379" s="172" t="s">
        <v>85</v>
      </c>
      <c r="M379" s="179">
        <v>0</v>
      </c>
      <c r="N379" s="177"/>
      <c r="O379" s="177"/>
      <c r="P379" s="180">
        <v>-1717.32</v>
      </c>
    </row>
    <row r="380" spans="1:16" ht="19.5" customHeight="1">
      <c r="A380" s="172" t="s">
        <v>138</v>
      </c>
      <c r="B380" s="176">
        <v>46043</v>
      </c>
      <c r="C380" s="172" t="s">
        <v>109</v>
      </c>
      <c r="D380" s="172" t="s">
        <v>139</v>
      </c>
      <c r="E380" s="172" t="s">
        <v>85</v>
      </c>
      <c r="F380" s="172" t="s">
        <v>85</v>
      </c>
      <c r="G380" s="172" t="s">
        <v>85</v>
      </c>
      <c r="H380" s="177">
        <v>0</v>
      </c>
      <c r="I380" s="178">
        <v>0</v>
      </c>
      <c r="J380" s="176">
        <v>46043</v>
      </c>
      <c r="K380" s="172" t="s">
        <v>85</v>
      </c>
      <c r="L380" s="172" t="s">
        <v>85</v>
      </c>
      <c r="M380" s="179">
        <v>0</v>
      </c>
      <c r="N380" s="177"/>
      <c r="O380" s="177"/>
      <c r="P380" s="180">
        <v>-1401.96</v>
      </c>
    </row>
    <row r="381" spans="1:16" ht="19.5" customHeight="1">
      <c r="A381" s="172" t="s">
        <v>142</v>
      </c>
      <c r="B381" s="176">
        <v>46043</v>
      </c>
      <c r="C381" s="172" t="s">
        <v>109</v>
      </c>
      <c r="D381" s="172" t="s">
        <v>143</v>
      </c>
      <c r="E381" s="172" t="s">
        <v>85</v>
      </c>
      <c r="F381" s="172" t="s">
        <v>85</v>
      </c>
      <c r="G381" s="172" t="s">
        <v>85</v>
      </c>
      <c r="H381" s="177">
        <v>0</v>
      </c>
      <c r="I381" s="178">
        <v>0</v>
      </c>
      <c r="J381" s="176">
        <v>46043</v>
      </c>
      <c r="K381" s="172" t="s">
        <v>85</v>
      </c>
      <c r="L381" s="172" t="s">
        <v>85</v>
      </c>
      <c r="M381" s="179">
        <v>0</v>
      </c>
      <c r="N381" s="177"/>
      <c r="O381" s="177"/>
      <c r="P381" s="180">
        <v>-2231</v>
      </c>
    </row>
    <row r="382" spans="1:16" ht="19.5" customHeight="1">
      <c r="A382" s="172" t="s">
        <v>206</v>
      </c>
      <c r="B382" s="176">
        <v>46044</v>
      </c>
      <c r="C382" s="172" t="s">
        <v>92</v>
      </c>
      <c r="D382" s="172" t="s">
        <v>24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46028</v>
      </c>
      <c r="K382" s="172" t="s">
        <v>93</v>
      </c>
      <c r="L382" s="172" t="s">
        <v>94</v>
      </c>
      <c r="M382" s="179">
        <v>0</v>
      </c>
      <c r="N382" s="177"/>
      <c r="O382" s="177">
        <v>44</v>
      </c>
      <c r="P382" s="180">
        <v>-56</v>
      </c>
    </row>
    <row r="383" spans="1:16" ht="19.5" customHeight="1">
      <c r="A383" s="172" t="s">
        <v>206</v>
      </c>
      <c r="B383" s="176">
        <v>46044</v>
      </c>
      <c r="C383" s="172" t="s">
        <v>92</v>
      </c>
      <c r="D383" s="172" t="s">
        <v>96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0</v>
      </c>
      <c r="J383" s="176">
        <v>46028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206</v>
      </c>
      <c r="B384" s="176">
        <v>46044</v>
      </c>
      <c r="C384" s="172" t="s">
        <v>92</v>
      </c>
      <c r="D384" s="172" t="s">
        <v>97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0</v>
      </c>
      <c r="J384" s="176">
        <v>46028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-56</v>
      </c>
    </row>
    <row r="385" spans="1:16" ht="19.5" customHeight="1">
      <c r="A385" s="172" t="s">
        <v>207</v>
      </c>
      <c r="B385" s="176">
        <v>46044</v>
      </c>
      <c r="C385" s="172" t="s">
        <v>81</v>
      </c>
      <c r="D385" s="172" t="s">
        <v>82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0</v>
      </c>
      <c r="J385" s="176">
        <v>46044</v>
      </c>
      <c r="K385" s="172" t="s">
        <v>85</v>
      </c>
      <c r="L385" s="172" t="s">
        <v>85</v>
      </c>
      <c r="M385" s="179">
        <v>0</v>
      </c>
      <c r="N385" s="177"/>
      <c r="O385" s="177"/>
      <c r="P385" s="180">
        <v>-12.5</v>
      </c>
    </row>
    <row r="386" spans="1:16" ht="19.5" customHeight="1">
      <c r="A386" s="172" t="s">
        <v>85</v>
      </c>
      <c r="B386" s="176">
        <v>46044</v>
      </c>
      <c r="C386" s="172" t="s">
        <v>109</v>
      </c>
      <c r="D386" s="172" t="s">
        <v>110</v>
      </c>
      <c r="E386" s="172" t="s">
        <v>85</v>
      </c>
      <c r="F386" s="172" t="s">
        <v>85</v>
      </c>
      <c r="G386" s="172" t="s">
        <v>208</v>
      </c>
      <c r="H386" s="177">
        <v>0</v>
      </c>
      <c r="I386" s="178">
        <v>0</v>
      </c>
      <c r="J386" s="176">
        <v>46044</v>
      </c>
      <c r="K386" s="172" t="s">
        <v>85</v>
      </c>
      <c r="L386" s="172" t="s">
        <v>85</v>
      </c>
      <c r="M386" s="179">
        <v>0</v>
      </c>
      <c r="N386" s="177"/>
      <c r="O386" s="177"/>
      <c r="P386" s="180">
        <v>-150</v>
      </c>
    </row>
    <row r="387" spans="1:16" ht="19.5" customHeight="1">
      <c r="A387" s="172" t="s">
        <v>209</v>
      </c>
      <c r="B387" s="176">
        <v>46044</v>
      </c>
      <c r="C387" s="172" t="s">
        <v>92</v>
      </c>
      <c r="D387" s="172" t="s">
        <v>24</v>
      </c>
      <c r="E387" s="172" t="s">
        <v>41</v>
      </c>
      <c r="F387" s="172" t="s">
        <v>83</v>
      </c>
      <c r="G387" s="172" t="s">
        <v>84</v>
      </c>
      <c r="H387" s="177">
        <v>1</v>
      </c>
      <c r="I387" s="178">
        <v>1750</v>
      </c>
      <c r="J387" s="176">
        <v>46036</v>
      </c>
      <c r="K387" s="172" t="s">
        <v>93</v>
      </c>
      <c r="L387" s="172" t="s">
        <v>94</v>
      </c>
      <c r="M387" s="179">
        <v>0.43</v>
      </c>
      <c r="N387" s="177"/>
      <c r="O387" s="177">
        <v>45</v>
      </c>
      <c r="P387" s="180">
        <v>-134.11000000000001</v>
      </c>
    </row>
    <row r="388" spans="1:16" ht="19.5" customHeight="1">
      <c r="A388" s="172" t="s">
        <v>209</v>
      </c>
      <c r="B388" s="176">
        <v>46044</v>
      </c>
      <c r="C388" s="172" t="s">
        <v>100</v>
      </c>
      <c r="D388" s="172" t="s">
        <v>101</v>
      </c>
      <c r="E388" s="172" t="s">
        <v>41</v>
      </c>
      <c r="F388" s="172" t="s">
        <v>83</v>
      </c>
      <c r="G388" s="172" t="s">
        <v>84</v>
      </c>
      <c r="H388" s="177">
        <v>1</v>
      </c>
      <c r="I388" s="178">
        <v>1750</v>
      </c>
      <c r="J388" s="176">
        <v>46036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619.04999999999995</v>
      </c>
    </row>
    <row r="389" spans="1:16" ht="19.5" customHeight="1">
      <c r="A389" s="172" t="s">
        <v>209</v>
      </c>
      <c r="B389" s="176">
        <v>46044</v>
      </c>
      <c r="C389" s="172" t="s">
        <v>100</v>
      </c>
      <c r="D389" s="172" t="s">
        <v>102</v>
      </c>
      <c r="E389" s="172" t="s">
        <v>41</v>
      </c>
      <c r="F389" s="172" t="s">
        <v>83</v>
      </c>
      <c r="G389" s="172" t="s">
        <v>84</v>
      </c>
      <c r="H389" s="177">
        <v>1</v>
      </c>
      <c r="I389" s="178">
        <v>1750</v>
      </c>
      <c r="J389" s="176">
        <v>46036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6.19</v>
      </c>
    </row>
    <row r="390" spans="1:16" ht="19.5" customHeight="1">
      <c r="A390" s="172" t="s">
        <v>209</v>
      </c>
      <c r="B390" s="176">
        <v>46044</v>
      </c>
      <c r="C390" s="172" t="s">
        <v>100</v>
      </c>
      <c r="D390" s="172" t="s">
        <v>103</v>
      </c>
      <c r="E390" s="172" t="s">
        <v>41</v>
      </c>
      <c r="F390" s="172" t="s">
        <v>83</v>
      </c>
      <c r="G390" s="172" t="s">
        <v>84</v>
      </c>
      <c r="H390" s="177">
        <v>1</v>
      </c>
      <c r="I390" s="178">
        <v>1750</v>
      </c>
      <c r="J390" s="176">
        <v>46036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1124.76</v>
      </c>
    </row>
    <row r="391" spans="1:16" ht="19.5" customHeight="1">
      <c r="A391" s="172" t="s">
        <v>209</v>
      </c>
      <c r="B391" s="176">
        <v>46044</v>
      </c>
      <c r="C391" s="172" t="s">
        <v>104</v>
      </c>
      <c r="D391" s="172" t="s">
        <v>105</v>
      </c>
      <c r="E391" s="172" t="s">
        <v>41</v>
      </c>
      <c r="F391" s="172" t="s">
        <v>83</v>
      </c>
      <c r="G391" s="172" t="s">
        <v>84</v>
      </c>
      <c r="H391" s="177">
        <v>1</v>
      </c>
      <c r="I391" s="178">
        <v>1750</v>
      </c>
      <c r="J391" s="176">
        <v>46036</v>
      </c>
      <c r="K391" s="172" t="s">
        <v>93</v>
      </c>
      <c r="L391" s="172" t="s">
        <v>94</v>
      </c>
      <c r="M391" s="179">
        <v>0.43</v>
      </c>
      <c r="N391" s="177"/>
      <c r="O391" s="177"/>
      <c r="P391" s="180">
        <v>-752.5</v>
      </c>
    </row>
    <row r="392" spans="1:16" ht="19.5" customHeight="1">
      <c r="A392" s="172" t="s">
        <v>209</v>
      </c>
      <c r="B392" s="176">
        <v>46044</v>
      </c>
      <c r="C392" s="172" t="s">
        <v>81</v>
      </c>
      <c r="D392" s="172" t="s">
        <v>95</v>
      </c>
      <c r="E392" s="172" t="s">
        <v>41</v>
      </c>
      <c r="F392" s="172" t="s">
        <v>83</v>
      </c>
      <c r="G392" s="172" t="s">
        <v>84</v>
      </c>
      <c r="H392" s="177">
        <v>1</v>
      </c>
      <c r="I392" s="178">
        <v>1750</v>
      </c>
      <c r="J392" s="176">
        <v>46036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-25</v>
      </c>
    </row>
    <row r="393" spans="1:16" ht="19.5" customHeight="1">
      <c r="A393" s="172" t="s">
        <v>209</v>
      </c>
      <c r="B393" s="176">
        <v>46044</v>
      </c>
      <c r="C393" s="172" t="s">
        <v>81</v>
      </c>
      <c r="D393" s="172" t="s">
        <v>82</v>
      </c>
      <c r="E393" s="172" t="s">
        <v>41</v>
      </c>
      <c r="F393" s="172" t="s">
        <v>83</v>
      </c>
      <c r="G393" s="172" t="s">
        <v>84</v>
      </c>
      <c r="H393" s="177">
        <v>1</v>
      </c>
      <c r="I393" s="178">
        <v>0</v>
      </c>
      <c r="J393" s="176">
        <v>46036</v>
      </c>
      <c r="K393" s="172" t="s">
        <v>85</v>
      </c>
      <c r="L393" s="172" t="s">
        <v>85</v>
      </c>
      <c r="M393" s="179">
        <v>0</v>
      </c>
      <c r="N393" s="177"/>
      <c r="O393" s="177"/>
      <c r="P393" s="180">
        <v>-11.76</v>
      </c>
    </row>
    <row r="394" spans="1:16" ht="19.5" customHeight="1">
      <c r="A394" s="172" t="s">
        <v>210</v>
      </c>
      <c r="B394" s="176">
        <v>46044</v>
      </c>
      <c r="C394" s="172" t="s">
        <v>81</v>
      </c>
      <c r="D394" s="172" t="s">
        <v>82</v>
      </c>
      <c r="E394" s="172" t="s">
        <v>41</v>
      </c>
      <c r="F394" s="172" t="s">
        <v>83</v>
      </c>
      <c r="G394" s="172" t="s">
        <v>84</v>
      </c>
      <c r="H394" s="177">
        <v>1</v>
      </c>
      <c r="I394" s="178">
        <v>0</v>
      </c>
      <c r="J394" s="176">
        <v>46044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-18.62</v>
      </c>
    </row>
    <row r="395" spans="1:16" ht="19.5" customHeight="1">
      <c r="A395" s="172" t="s">
        <v>211</v>
      </c>
      <c r="B395" s="176">
        <v>46044</v>
      </c>
      <c r="C395" s="172" t="s">
        <v>92</v>
      </c>
      <c r="D395" s="172" t="s">
        <v>24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1885</v>
      </c>
      <c r="J395" s="176">
        <v>46040</v>
      </c>
      <c r="K395" s="172" t="s">
        <v>93</v>
      </c>
      <c r="L395" s="172" t="s">
        <v>94</v>
      </c>
      <c r="M395" s="179">
        <v>0.43</v>
      </c>
      <c r="N395" s="177"/>
      <c r="O395" s="177">
        <v>45</v>
      </c>
      <c r="P395" s="180">
        <v>-156.72999999999999</v>
      </c>
    </row>
    <row r="396" spans="1:16" ht="19.5" customHeight="1">
      <c r="A396" s="172" t="s">
        <v>211</v>
      </c>
      <c r="B396" s="176">
        <v>46044</v>
      </c>
      <c r="C396" s="172" t="s">
        <v>100</v>
      </c>
      <c r="D396" s="172" t="s">
        <v>101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1885</v>
      </c>
      <c r="J396" s="176">
        <v>46040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884.76</v>
      </c>
    </row>
    <row r="397" spans="1:16" ht="19.5" customHeight="1">
      <c r="A397" s="172" t="s">
        <v>211</v>
      </c>
      <c r="B397" s="176">
        <v>46044</v>
      </c>
      <c r="C397" s="172" t="s">
        <v>100</v>
      </c>
      <c r="D397" s="172" t="s">
        <v>102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1885</v>
      </c>
      <c r="J397" s="176">
        <v>46040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8.85</v>
      </c>
    </row>
    <row r="398" spans="1:16" ht="19.5" customHeight="1">
      <c r="A398" s="172" t="s">
        <v>211</v>
      </c>
      <c r="B398" s="176">
        <v>46044</v>
      </c>
      <c r="C398" s="172" t="s">
        <v>100</v>
      </c>
      <c r="D398" s="172" t="s">
        <v>103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1885</v>
      </c>
      <c r="J398" s="176">
        <v>46040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991.39</v>
      </c>
    </row>
    <row r="399" spans="1:16" ht="19.5" customHeight="1">
      <c r="A399" s="172" t="s">
        <v>211</v>
      </c>
      <c r="B399" s="176">
        <v>46044</v>
      </c>
      <c r="C399" s="172" t="s">
        <v>104</v>
      </c>
      <c r="D399" s="172" t="s">
        <v>105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1885</v>
      </c>
      <c r="J399" s="176">
        <v>46040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-810.55</v>
      </c>
    </row>
    <row r="400" spans="1:16" ht="19.5" customHeight="1">
      <c r="A400" s="172" t="s">
        <v>211</v>
      </c>
      <c r="B400" s="176">
        <v>46044</v>
      </c>
      <c r="C400" s="172" t="s">
        <v>81</v>
      </c>
      <c r="D400" s="172" t="s">
        <v>95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1885</v>
      </c>
      <c r="J400" s="176">
        <v>46040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-25</v>
      </c>
    </row>
    <row r="401" spans="1:16" ht="19.5" customHeight="1">
      <c r="A401" s="172" t="s">
        <v>212</v>
      </c>
      <c r="B401" s="176">
        <v>46044</v>
      </c>
      <c r="C401" s="172" t="s">
        <v>81</v>
      </c>
      <c r="D401" s="172" t="s">
        <v>82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0</v>
      </c>
      <c r="J401" s="176">
        <v>46044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-12.49</v>
      </c>
    </row>
    <row r="402" spans="1:16" ht="19.5" customHeight="1">
      <c r="A402" s="172" t="s">
        <v>213</v>
      </c>
      <c r="B402" s="176">
        <v>46044</v>
      </c>
      <c r="C402" s="172" t="s">
        <v>81</v>
      </c>
      <c r="D402" s="172" t="s">
        <v>82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46044</v>
      </c>
      <c r="K402" s="172" t="s">
        <v>85</v>
      </c>
      <c r="L402" s="172" t="s">
        <v>85</v>
      </c>
      <c r="M402" s="179">
        <v>0</v>
      </c>
      <c r="N402" s="177"/>
      <c r="O402" s="177"/>
      <c r="P402" s="180">
        <v>-12.21</v>
      </c>
    </row>
    <row r="403" spans="1:16" ht="19.5" customHeight="1">
      <c r="A403" s="172" t="s">
        <v>214</v>
      </c>
      <c r="B403" s="176">
        <v>46044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46025</v>
      </c>
      <c r="K403" s="172" t="s">
        <v>93</v>
      </c>
      <c r="L403" s="172" t="s">
        <v>94</v>
      </c>
      <c r="M403" s="179">
        <v>0</v>
      </c>
      <c r="N403" s="177"/>
      <c r="O403" s="177">
        <v>44</v>
      </c>
      <c r="P403" s="180">
        <v>-56</v>
      </c>
    </row>
    <row r="404" spans="1:16" ht="19.5" customHeight="1">
      <c r="A404" s="172" t="s">
        <v>214</v>
      </c>
      <c r="B404" s="176">
        <v>46044</v>
      </c>
      <c r="C404" s="172" t="s">
        <v>81</v>
      </c>
      <c r="D404" s="172" t="s">
        <v>95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46025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-13.28</v>
      </c>
    </row>
    <row r="405" spans="1:16" ht="19.5" customHeight="1">
      <c r="A405" s="172" t="s">
        <v>215</v>
      </c>
      <c r="B405" s="176">
        <v>46044</v>
      </c>
      <c r="C405" s="172" t="s">
        <v>81</v>
      </c>
      <c r="D405" s="172" t="s">
        <v>82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46044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-12.5</v>
      </c>
    </row>
    <row r="406" spans="1:16" ht="19.5" customHeight="1">
      <c r="A406" s="172" t="s">
        <v>214</v>
      </c>
      <c r="B406" s="176">
        <v>46044</v>
      </c>
      <c r="C406" s="172" t="s">
        <v>92</v>
      </c>
      <c r="D406" s="172" t="s">
        <v>96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0</v>
      </c>
      <c r="J406" s="176">
        <v>46025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0</v>
      </c>
    </row>
    <row r="407" spans="1:16" ht="19.5" customHeight="1">
      <c r="A407" s="172" t="s">
        <v>214</v>
      </c>
      <c r="B407" s="176">
        <v>46044</v>
      </c>
      <c r="C407" s="172" t="s">
        <v>92</v>
      </c>
      <c r="D407" s="172" t="s">
        <v>97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0</v>
      </c>
      <c r="J407" s="176">
        <v>46025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-56</v>
      </c>
    </row>
    <row r="408" spans="1:16" ht="19.5" customHeight="1">
      <c r="A408" s="172" t="s">
        <v>216</v>
      </c>
      <c r="B408" s="176">
        <v>46044</v>
      </c>
      <c r="C408" s="172" t="s">
        <v>81</v>
      </c>
      <c r="D408" s="172" t="s">
        <v>82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0</v>
      </c>
      <c r="J408" s="176">
        <v>46044</v>
      </c>
      <c r="K408" s="172" t="s">
        <v>85</v>
      </c>
      <c r="L408" s="172" t="s">
        <v>85</v>
      </c>
      <c r="M408" s="179">
        <v>0</v>
      </c>
      <c r="N408" s="177"/>
      <c r="O408" s="177"/>
      <c r="P408" s="180">
        <v>-12.49</v>
      </c>
    </row>
    <row r="409" spans="1:16" ht="19.5" customHeight="1">
      <c r="A409" s="172" t="s">
        <v>217</v>
      </c>
      <c r="B409" s="176">
        <v>46044</v>
      </c>
      <c r="C409" s="172" t="s">
        <v>81</v>
      </c>
      <c r="D409" s="172" t="s">
        <v>82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0</v>
      </c>
      <c r="J409" s="176">
        <v>46044</v>
      </c>
      <c r="K409" s="172" t="s">
        <v>85</v>
      </c>
      <c r="L409" s="172" t="s">
        <v>85</v>
      </c>
      <c r="M409" s="179">
        <v>0</v>
      </c>
      <c r="N409" s="177"/>
      <c r="O409" s="177"/>
      <c r="P409" s="180">
        <v>-12.51</v>
      </c>
    </row>
    <row r="410" spans="1:16" ht="19.5" customHeight="1">
      <c r="A410" s="172" t="s">
        <v>218</v>
      </c>
      <c r="B410" s="176">
        <v>46044</v>
      </c>
      <c r="C410" s="172" t="s">
        <v>81</v>
      </c>
      <c r="D410" s="172" t="s">
        <v>82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0</v>
      </c>
      <c r="J410" s="176">
        <v>46044</v>
      </c>
      <c r="K410" s="172" t="s">
        <v>85</v>
      </c>
      <c r="L410" s="172" t="s">
        <v>85</v>
      </c>
      <c r="M410" s="179">
        <v>0</v>
      </c>
      <c r="N410" s="177"/>
      <c r="O410" s="177"/>
      <c r="P410" s="180">
        <v>-12.2</v>
      </c>
    </row>
    <row r="411" spans="1:16" ht="19.5" customHeight="1">
      <c r="A411" s="172" t="s">
        <v>219</v>
      </c>
      <c r="B411" s="176">
        <v>46044</v>
      </c>
      <c r="C411" s="172" t="s">
        <v>92</v>
      </c>
      <c r="D411" s="172" t="s">
        <v>24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1885</v>
      </c>
      <c r="J411" s="176">
        <v>46043</v>
      </c>
      <c r="K411" s="172" t="s">
        <v>93</v>
      </c>
      <c r="L411" s="172" t="s">
        <v>94</v>
      </c>
      <c r="M411" s="179">
        <v>0.43</v>
      </c>
      <c r="N411" s="177"/>
      <c r="O411" s="177">
        <v>43</v>
      </c>
      <c r="P411" s="180">
        <v>-146.15</v>
      </c>
    </row>
    <row r="412" spans="1:16" ht="19.5" customHeight="1">
      <c r="A412" s="172" t="s">
        <v>219</v>
      </c>
      <c r="B412" s="176">
        <v>46044</v>
      </c>
      <c r="C412" s="172" t="s">
        <v>100</v>
      </c>
      <c r="D412" s="172" t="s">
        <v>101</v>
      </c>
      <c r="E412" s="172" t="s">
        <v>52</v>
      </c>
      <c r="F412" s="172" t="s">
        <v>90</v>
      </c>
      <c r="G412" s="172" t="s">
        <v>84</v>
      </c>
      <c r="H412" s="177">
        <v>1</v>
      </c>
      <c r="I412" s="178">
        <v>1885</v>
      </c>
      <c r="J412" s="176">
        <v>46043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657.14</v>
      </c>
    </row>
    <row r="413" spans="1:16" ht="19.5" customHeight="1">
      <c r="A413" s="172" t="s">
        <v>219</v>
      </c>
      <c r="B413" s="176">
        <v>46044</v>
      </c>
      <c r="C413" s="172" t="s">
        <v>100</v>
      </c>
      <c r="D413" s="172" t="s">
        <v>102</v>
      </c>
      <c r="E413" s="172" t="s">
        <v>52</v>
      </c>
      <c r="F413" s="172" t="s">
        <v>90</v>
      </c>
      <c r="G413" s="172" t="s">
        <v>84</v>
      </c>
      <c r="H413" s="177">
        <v>1</v>
      </c>
      <c r="I413" s="178">
        <v>1885</v>
      </c>
      <c r="J413" s="176">
        <v>46043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6.57</v>
      </c>
    </row>
    <row r="414" spans="1:16" ht="19.5" customHeight="1">
      <c r="A414" s="172" t="s">
        <v>219</v>
      </c>
      <c r="B414" s="176">
        <v>46044</v>
      </c>
      <c r="C414" s="172" t="s">
        <v>100</v>
      </c>
      <c r="D414" s="172" t="s">
        <v>103</v>
      </c>
      <c r="E414" s="172" t="s">
        <v>52</v>
      </c>
      <c r="F414" s="172" t="s">
        <v>90</v>
      </c>
      <c r="G414" s="172" t="s">
        <v>84</v>
      </c>
      <c r="H414" s="177">
        <v>1</v>
      </c>
      <c r="I414" s="178">
        <v>1885</v>
      </c>
      <c r="J414" s="176">
        <v>46043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1221.29</v>
      </c>
    </row>
    <row r="415" spans="1:16" ht="19.5" customHeight="1">
      <c r="A415" s="172" t="s">
        <v>219</v>
      </c>
      <c r="B415" s="176">
        <v>46044</v>
      </c>
      <c r="C415" s="172" t="s">
        <v>104</v>
      </c>
      <c r="D415" s="172" t="s">
        <v>105</v>
      </c>
      <c r="E415" s="172" t="s">
        <v>52</v>
      </c>
      <c r="F415" s="172" t="s">
        <v>90</v>
      </c>
      <c r="G415" s="172" t="s">
        <v>84</v>
      </c>
      <c r="H415" s="177">
        <v>1</v>
      </c>
      <c r="I415" s="178">
        <v>1885</v>
      </c>
      <c r="J415" s="176">
        <v>46043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-810.55</v>
      </c>
    </row>
    <row r="416" spans="1:16" ht="19.5" customHeight="1">
      <c r="A416" s="172" t="s">
        <v>219</v>
      </c>
      <c r="B416" s="176">
        <v>46044</v>
      </c>
      <c r="C416" s="172" t="s">
        <v>81</v>
      </c>
      <c r="D416" s="172" t="s">
        <v>95</v>
      </c>
      <c r="E416" s="172" t="s">
        <v>52</v>
      </c>
      <c r="F416" s="172" t="s">
        <v>90</v>
      </c>
      <c r="G416" s="172" t="s">
        <v>84</v>
      </c>
      <c r="H416" s="177">
        <v>1</v>
      </c>
      <c r="I416" s="178">
        <v>1885</v>
      </c>
      <c r="J416" s="176">
        <v>46043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-7.98</v>
      </c>
    </row>
    <row r="417" spans="1:16" ht="19.5" customHeight="1">
      <c r="A417" s="172" t="s">
        <v>220</v>
      </c>
      <c r="B417" s="176">
        <v>46044</v>
      </c>
      <c r="C417" s="172" t="s">
        <v>81</v>
      </c>
      <c r="D417" s="172" t="s">
        <v>82</v>
      </c>
      <c r="E417" s="172" t="s">
        <v>53</v>
      </c>
      <c r="F417" s="172" t="s">
        <v>120</v>
      </c>
      <c r="G417" s="172" t="s">
        <v>84</v>
      </c>
      <c r="H417" s="177">
        <v>1</v>
      </c>
      <c r="I417" s="178">
        <v>0</v>
      </c>
      <c r="J417" s="176">
        <v>46044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-12.63</v>
      </c>
    </row>
    <row r="418" spans="1:16" ht="19.5" customHeight="1">
      <c r="A418" s="172" t="s">
        <v>221</v>
      </c>
      <c r="B418" s="176">
        <v>46044</v>
      </c>
      <c r="C418" s="172" t="s">
        <v>92</v>
      </c>
      <c r="D418" s="172" t="s">
        <v>24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1750</v>
      </c>
      <c r="J418" s="176">
        <v>46039</v>
      </c>
      <c r="K418" s="172" t="s">
        <v>93</v>
      </c>
      <c r="L418" s="172" t="s">
        <v>94</v>
      </c>
      <c r="M418" s="179">
        <v>0.43</v>
      </c>
      <c r="N418" s="177"/>
      <c r="O418" s="177">
        <v>47</v>
      </c>
      <c r="P418" s="180">
        <v>-140.79</v>
      </c>
    </row>
    <row r="419" spans="1:16" ht="19.5" customHeight="1">
      <c r="A419" s="172" t="s">
        <v>221</v>
      </c>
      <c r="B419" s="176">
        <v>46044</v>
      </c>
      <c r="C419" s="172" t="s">
        <v>100</v>
      </c>
      <c r="D419" s="172" t="s">
        <v>101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1750</v>
      </c>
      <c r="J419" s="176">
        <v>46039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833.33</v>
      </c>
    </row>
    <row r="420" spans="1:16" ht="19.5" customHeight="1">
      <c r="A420" s="172" t="s">
        <v>221</v>
      </c>
      <c r="B420" s="176">
        <v>46044</v>
      </c>
      <c r="C420" s="172" t="s">
        <v>100</v>
      </c>
      <c r="D420" s="172" t="s">
        <v>102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1750</v>
      </c>
      <c r="J420" s="176">
        <v>46039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8.33</v>
      </c>
    </row>
    <row r="421" spans="1:16" ht="19.5" customHeight="1">
      <c r="A421" s="172" t="s">
        <v>221</v>
      </c>
      <c r="B421" s="176">
        <v>46044</v>
      </c>
      <c r="C421" s="172" t="s">
        <v>100</v>
      </c>
      <c r="D421" s="172" t="s">
        <v>103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1750</v>
      </c>
      <c r="J421" s="176">
        <v>46039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908.34</v>
      </c>
    </row>
    <row r="422" spans="1:16" ht="19.5" customHeight="1">
      <c r="A422" s="172" t="s">
        <v>221</v>
      </c>
      <c r="B422" s="176">
        <v>46044</v>
      </c>
      <c r="C422" s="172" t="s">
        <v>104</v>
      </c>
      <c r="D422" s="172" t="s">
        <v>105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1750</v>
      </c>
      <c r="J422" s="176">
        <v>46039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-752.5</v>
      </c>
    </row>
    <row r="423" spans="1:16" ht="19.5" customHeight="1">
      <c r="A423" s="172" t="s">
        <v>221</v>
      </c>
      <c r="B423" s="176">
        <v>46044</v>
      </c>
      <c r="C423" s="172" t="s">
        <v>81</v>
      </c>
      <c r="D423" s="172" t="s">
        <v>95</v>
      </c>
      <c r="E423" s="172" t="s">
        <v>41</v>
      </c>
      <c r="F423" s="172" t="s">
        <v>83</v>
      </c>
      <c r="G423" s="172" t="s">
        <v>84</v>
      </c>
      <c r="H423" s="177">
        <v>1</v>
      </c>
      <c r="I423" s="178">
        <v>1750</v>
      </c>
      <c r="J423" s="176">
        <v>46039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-19.95</v>
      </c>
    </row>
    <row r="424" spans="1:16" ht="19.5" customHeight="1">
      <c r="A424" s="172" t="s">
        <v>222</v>
      </c>
      <c r="B424" s="176">
        <v>46044</v>
      </c>
      <c r="C424" s="172" t="s">
        <v>92</v>
      </c>
      <c r="D424" s="172" t="s">
        <v>24</v>
      </c>
      <c r="E424" s="172" t="s">
        <v>41</v>
      </c>
      <c r="F424" s="172" t="s">
        <v>83</v>
      </c>
      <c r="G424" s="172" t="s">
        <v>84</v>
      </c>
      <c r="H424" s="177">
        <v>1</v>
      </c>
      <c r="I424" s="178">
        <v>1750</v>
      </c>
      <c r="J424" s="176">
        <v>46041</v>
      </c>
      <c r="K424" s="172" t="s">
        <v>93</v>
      </c>
      <c r="L424" s="172" t="s">
        <v>94</v>
      </c>
      <c r="M424" s="179">
        <v>0.43</v>
      </c>
      <c r="N424" s="177"/>
      <c r="O424" s="177">
        <v>44</v>
      </c>
      <c r="P424" s="180">
        <v>-130.11000000000001</v>
      </c>
    </row>
    <row r="425" spans="1:16" ht="19.5" customHeight="1">
      <c r="A425" s="172" t="s">
        <v>222</v>
      </c>
      <c r="B425" s="176">
        <v>46044</v>
      </c>
      <c r="C425" s="172" t="s">
        <v>100</v>
      </c>
      <c r="D425" s="172" t="s">
        <v>101</v>
      </c>
      <c r="E425" s="172" t="s">
        <v>41</v>
      </c>
      <c r="F425" s="172" t="s">
        <v>83</v>
      </c>
      <c r="G425" s="172" t="s">
        <v>84</v>
      </c>
      <c r="H425" s="177">
        <v>1</v>
      </c>
      <c r="I425" s="178">
        <v>1750</v>
      </c>
      <c r="J425" s="176">
        <v>46041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740.95</v>
      </c>
    </row>
    <row r="426" spans="1:16" ht="19.5" customHeight="1">
      <c r="A426" s="172" t="s">
        <v>222</v>
      </c>
      <c r="B426" s="176">
        <v>46044</v>
      </c>
      <c r="C426" s="172" t="s">
        <v>100</v>
      </c>
      <c r="D426" s="172" t="s">
        <v>102</v>
      </c>
      <c r="E426" s="172" t="s">
        <v>41</v>
      </c>
      <c r="F426" s="172" t="s">
        <v>83</v>
      </c>
      <c r="G426" s="172" t="s">
        <v>84</v>
      </c>
      <c r="H426" s="177">
        <v>1</v>
      </c>
      <c r="I426" s="178">
        <v>1750</v>
      </c>
      <c r="J426" s="176">
        <v>46041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7.41</v>
      </c>
    </row>
    <row r="427" spans="1:16" ht="19.5" customHeight="1">
      <c r="A427" s="172" t="s">
        <v>222</v>
      </c>
      <c r="B427" s="176">
        <v>46044</v>
      </c>
      <c r="C427" s="172" t="s">
        <v>100</v>
      </c>
      <c r="D427" s="172" t="s">
        <v>103</v>
      </c>
      <c r="E427" s="172" t="s">
        <v>41</v>
      </c>
      <c r="F427" s="172" t="s">
        <v>83</v>
      </c>
      <c r="G427" s="172" t="s">
        <v>84</v>
      </c>
      <c r="H427" s="177">
        <v>1</v>
      </c>
      <c r="I427" s="178">
        <v>1750</v>
      </c>
      <c r="J427" s="176">
        <v>46041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1001.64</v>
      </c>
    </row>
    <row r="428" spans="1:16" ht="19.5" customHeight="1">
      <c r="A428" s="172" t="s">
        <v>222</v>
      </c>
      <c r="B428" s="176">
        <v>46044</v>
      </c>
      <c r="C428" s="172" t="s">
        <v>104</v>
      </c>
      <c r="D428" s="172" t="s">
        <v>105</v>
      </c>
      <c r="E428" s="172" t="s">
        <v>41</v>
      </c>
      <c r="F428" s="172" t="s">
        <v>83</v>
      </c>
      <c r="G428" s="172" t="s">
        <v>84</v>
      </c>
      <c r="H428" s="177">
        <v>1</v>
      </c>
      <c r="I428" s="178">
        <v>1750</v>
      </c>
      <c r="J428" s="176">
        <v>46041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-752.5</v>
      </c>
    </row>
    <row r="429" spans="1:16" ht="19.5" customHeight="1">
      <c r="A429" s="172" t="s">
        <v>222</v>
      </c>
      <c r="B429" s="176">
        <v>46044</v>
      </c>
      <c r="C429" s="172" t="s">
        <v>81</v>
      </c>
      <c r="D429" s="172" t="s">
        <v>95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1750</v>
      </c>
      <c r="J429" s="176">
        <v>46041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-9.57</v>
      </c>
    </row>
    <row r="430" spans="1:16" ht="19.5" customHeight="1">
      <c r="A430" s="172" t="s">
        <v>223</v>
      </c>
      <c r="B430" s="176">
        <v>46044</v>
      </c>
      <c r="C430" s="172" t="s">
        <v>92</v>
      </c>
      <c r="D430" s="172" t="s">
        <v>24</v>
      </c>
      <c r="E430" s="172" t="s">
        <v>52</v>
      </c>
      <c r="F430" s="172" t="s">
        <v>90</v>
      </c>
      <c r="G430" s="172" t="s">
        <v>84</v>
      </c>
      <c r="H430" s="177">
        <v>1</v>
      </c>
      <c r="I430" s="178">
        <v>0</v>
      </c>
      <c r="J430" s="176">
        <v>46040</v>
      </c>
      <c r="K430" s="172" t="s">
        <v>93</v>
      </c>
      <c r="L430" s="172" t="s">
        <v>94</v>
      </c>
      <c r="M430" s="179">
        <v>0</v>
      </c>
      <c r="N430" s="177"/>
      <c r="O430" s="177">
        <v>45</v>
      </c>
      <c r="P430" s="180">
        <v>-56</v>
      </c>
    </row>
    <row r="431" spans="1:16" ht="19.5" customHeight="1">
      <c r="A431" s="172" t="s">
        <v>223</v>
      </c>
      <c r="B431" s="176">
        <v>46044</v>
      </c>
      <c r="C431" s="172" t="s">
        <v>81</v>
      </c>
      <c r="D431" s="172" t="s">
        <v>95</v>
      </c>
      <c r="E431" s="172" t="s">
        <v>52</v>
      </c>
      <c r="F431" s="172" t="s">
        <v>90</v>
      </c>
      <c r="G431" s="172" t="s">
        <v>84</v>
      </c>
      <c r="H431" s="177">
        <v>1</v>
      </c>
      <c r="I431" s="178">
        <v>0</v>
      </c>
      <c r="J431" s="176">
        <v>46040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-11.88</v>
      </c>
    </row>
    <row r="432" spans="1:16" ht="19.5" customHeight="1">
      <c r="A432" s="172" t="s">
        <v>223</v>
      </c>
      <c r="B432" s="176">
        <v>46044</v>
      </c>
      <c r="C432" s="172" t="s">
        <v>92</v>
      </c>
      <c r="D432" s="172" t="s">
        <v>96</v>
      </c>
      <c r="E432" s="172" t="s">
        <v>52</v>
      </c>
      <c r="F432" s="172" t="s">
        <v>90</v>
      </c>
      <c r="G432" s="172" t="s">
        <v>84</v>
      </c>
      <c r="H432" s="177">
        <v>1</v>
      </c>
      <c r="I432" s="178">
        <v>0</v>
      </c>
      <c r="J432" s="176">
        <v>46040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223</v>
      </c>
      <c r="B433" s="176">
        <v>46044</v>
      </c>
      <c r="C433" s="172" t="s">
        <v>92</v>
      </c>
      <c r="D433" s="172" t="s">
        <v>97</v>
      </c>
      <c r="E433" s="172" t="s">
        <v>52</v>
      </c>
      <c r="F433" s="172" t="s">
        <v>90</v>
      </c>
      <c r="G433" s="172" t="s">
        <v>84</v>
      </c>
      <c r="H433" s="177">
        <v>1</v>
      </c>
      <c r="I433" s="178">
        <v>0</v>
      </c>
      <c r="J433" s="176">
        <v>46040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-56</v>
      </c>
    </row>
    <row r="434" spans="1:16" ht="19.5" customHeight="1">
      <c r="A434" s="172" t="s">
        <v>223</v>
      </c>
      <c r="B434" s="176">
        <v>46044</v>
      </c>
      <c r="C434" s="172" t="s">
        <v>81</v>
      </c>
      <c r="D434" s="172" t="s">
        <v>98</v>
      </c>
      <c r="E434" s="172" t="s">
        <v>52</v>
      </c>
      <c r="F434" s="172" t="s">
        <v>90</v>
      </c>
      <c r="G434" s="172" t="s">
        <v>84</v>
      </c>
      <c r="H434" s="177">
        <v>1</v>
      </c>
      <c r="I434" s="178">
        <v>0</v>
      </c>
      <c r="J434" s="176">
        <v>46040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-15</v>
      </c>
    </row>
    <row r="435" spans="1:16" ht="19.5" customHeight="1">
      <c r="A435" s="172" t="s">
        <v>224</v>
      </c>
      <c r="B435" s="176">
        <v>46044</v>
      </c>
      <c r="C435" s="172" t="s">
        <v>81</v>
      </c>
      <c r="D435" s="172" t="s">
        <v>82</v>
      </c>
      <c r="E435" s="172" t="s">
        <v>42</v>
      </c>
      <c r="F435" s="172" t="s">
        <v>89</v>
      </c>
      <c r="G435" s="172" t="s">
        <v>84</v>
      </c>
      <c r="H435" s="177">
        <v>1</v>
      </c>
      <c r="I435" s="178">
        <v>0</v>
      </c>
      <c r="J435" s="176">
        <v>46044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-11.58</v>
      </c>
    </row>
    <row r="436" spans="1:16" ht="19.5" customHeight="1">
      <c r="A436" s="172" t="s">
        <v>225</v>
      </c>
      <c r="B436" s="176">
        <v>46044</v>
      </c>
      <c r="C436" s="172" t="s">
        <v>81</v>
      </c>
      <c r="D436" s="172" t="s">
        <v>82</v>
      </c>
      <c r="E436" s="172" t="s">
        <v>53</v>
      </c>
      <c r="F436" s="172" t="s">
        <v>120</v>
      </c>
      <c r="G436" s="172" t="s">
        <v>84</v>
      </c>
      <c r="H436" s="177">
        <v>1</v>
      </c>
      <c r="I436" s="178">
        <v>0</v>
      </c>
      <c r="J436" s="176">
        <v>46044</v>
      </c>
      <c r="K436" s="172" t="s">
        <v>85</v>
      </c>
      <c r="L436" s="172" t="s">
        <v>85</v>
      </c>
      <c r="M436" s="179">
        <v>0</v>
      </c>
      <c r="N436" s="177"/>
      <c r="O436" s="177"/>
      <c r="P436" s="180">
        <v>-12.21</v>
      </c>
    </row>
    <row r="437" spans="1:16" ht="19.5" customHeight="1">
      <c r="A437" s="172" t="s">
        <v>141</v>
      </c>
      <c r="B437" s="176">
        <v>46044</v>
      </c>
      <c r="C437" s="172" t="s">
        <v>109</v>
      </c>
      <c r="D437" s="172" t="s">
        <v>139</v>
      </c>
      <c r="E437" s="172" t="s">
        <v>85</v>
      </c>
      <c r="F437" s="172" t="s">
        <v>85</v>
      </c>
      <c r="G437" s="172" t="s">
        <v>85</v>
      </c>
      <c r="H437" s="177">
        <v>0</v>
      </c>
      <c r="I437" s="178">
        <v>0</v>
      </c>
      <c r="J437" s="176">
        <v>46044</v>
      </c>
      <c r="K437" s="172" t="s">
        <v>85</v>
      </c>
      <c r="L437" s="172" t="s">
        <v>85</v>
      </c>
      <c r="M437" s="179">
        <v>0</v>
      </c>
      <c r="N437" s="177"/>
      <c r="O437" s="177"/>
      <c r="P437" s="180">
        <v>-311.27999999999997</v>
      </c>
    </row>
    <row r="438" spans="1:16" ht="19.5" customHeight="1">
      <c r="A438" s="172" t="s">
        <v>145</v>
      </c>
      <c r="B438" s="176">
        <v>46044</v>
      </c>
      <c r="C438" s="172" t="s">
        <v>109</v>
      </c>
      <c r="D438" s="172" t="s">
        <v>139</v>
      </c>
      <c r="E438" s="172" t="s">
        <v>85</v>
      </c>
      <c r="F438" s="172" t="s">
        <v>85</v>
      </c>
      <c r="G438" s="172" t="s">
        <v>85</v>
      </c>
      <c r="H438" s="177">
        <v>0</v>
      </c>
      <c r="I438" s="178">
        <v>0</v>
      </c>
      <c r="J438" s="176">
        <v>46044</v>
      </c>
      <c r="K438" s="172" t="s">
        <v>85</v>
      </c>
      <c r="L438" s="172" t="s">
        <v>85</v>
      </c>
      <c r="M438" s="179">
        <v>0</v>
      </c>
      <c r="N438" s="177"/>
      <c r="O438" s="177"/>
      <c r="P438" s="180">
        <v>-282.39999999999998</v>
      </c>
    </row>
    <row r="439" spans="1:16" ht="19.5" customHeight="1">
      <c r="A439" s="172" t="s">
        <v>138</v>
      </c>
      <c r="B439" s="176">
        <v>46044</v>
      </c>
      <c r="C439" s="172" t="s">
        <v>109</v>
      </c>
      <c r="D439" s="172" t="s">
        <v>139</v>
      </c>
      <c r="E439" s="172" t="s">
        <v>85</v>
      </c>
      <c r="F439" s="172" t="s">
        <v>85</v>
      </c>
      <c r="G439" s="172" t="s">
        <v>85</v>
      </c>
      <c r="H439" s="177">
        <v>0</v>
      </c>
      <c r="I439" s="178">
        <v>0</v>
      </c>
      <c r="J439" s="176">
        <v>46044</v>
      </c>
      <c r="K439" s="172" t="s">
        <v>85</v>
      </c>
      <c r="L439" s="172" t="s">
        <v>85</v>
      </c>
      <c r="M439" s="179">
        <v>0</v>
      </c>
      <c r="N439" s="177"/>
      <c r="O439" s="177"/>
      <c r="P439" s="180">
        <v>-1399.5</v>
      </c>
    </row>
    <row r="440" spans="1:16" ht="19.5" customHeight="1">
      <c r="A440" s="172" t="s">
        <v>144</v>
      </c>
      <c r="B440" s="176">
        <v>46044</v>
      </c>
      <c r="C440" s="172" t="s">
        <v>109</v>
      </c>
      <c r="D440" s="172" t="s">
        <v>139</v>
      </c>
      <c r="E440" s="172" t="s">
        <v>85</v>
      </c>
      <c r="F440" s="172" t="s">
        <v>85</v>
      </c>
      <c r="G440" s="172" t="s">
        <v>85</v>
      </c>
      <c r="H440" s="177">
        <v>0</v>
      </c>
      <c r="I440" s="178">
        <v>0</v>
      </c>
      <c r="J440" s="176">
        <v>46044</v>
      </c>
      <c r="K440" s="172" t="s">
        <v>85</v>
      </c>
      <c r="L440" s="172" t="s">
        <v>85</v>
      </c>
      <c r="M440" s="179">
        <v>0</v>
      </c>
      <c r="N440" s="177"/>
      <c r="O440" s="177"/>
      <c r="P440" s="180">
        <v>-1711.19</v>
      </c>
    </row>
    <row r="441" spans="1:16" ht="19.5" customHeight="1">
      <c r="A441" s="172" t="s">
        <v>142</v>
      </c>
      <c r="B441" s="176">
        <v>46044</v>
      </c>
      <c r="C441" s="172" t="s">
        <v>109</v>
      </c>
      <c r="D441" s="172" t="s">
        <v>143</v>
      </c>
      <c r="E441" s="172" t="s">
        <v>85</v>
      </c>
      <c r="F441" s="172" t="s">
        <v>85</v>
      </c>
      <c r="G441" s="172" t="s">
        <v>85</v>
      </c>
      <c r="H441" s="177">
        <v>0</v>
      </c>
      <c r="I441" s="178">
        <v>0</v>
      </c>
      <c r="J441" s="176">
        <v>46044</v>
      </c>
      <c r="K441" s="172" t="s">
        <v>85</v>
      </c>
      <c r="L441" s="172" t="s">
        <v>85</v>
      </c>
      <c r="M441" s="179">
        <v>0</v>
      </c>
      <c r="N441" s="177"/>
      <c r="O441" s="177"/>
      <c r="P441" s="180">
        <v>-1937.1</v>
      </c>
    </row>
    <row r="442" spans="1:16" ht="19.5" customHeight="1">
      <c r="A442" s="172" t="s">
        <v>226</v>
      </c>
      <c r="B442" s="176">
        <v>46045</v>
      </c>
      <c r="C442" s="172" t="s">
        <v>81</v>
      </c>
      <c r="D442" s="172" t="s">
        <v>82</v>
      </c>
      <c r="E442" s="172" t="s">
        <v>42</v>
      </c>
      <c r="F442" s="172" t="s">
        <v>89</v>
      </c>
      <c r="G442" s="172" t="s">
        <v>84</v>
      </c>
      <c r="H442" s="177">
        <v>1</v>
      </c>
      <c r="I442" s="178">
        <v>0</v>
      </c>
      <c r="J442" s="176">
        <v>46044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-11.53</v>
      </c>
    </row>
    <row r="443" spans="1:16" ht="19.5" customHeight="1">
      <c r="A443" s="172" t="s">
        <v>227</v>
      </c>
      <c r="B443" s="176">
        <v>46045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0</v>
      </c>
      <c r="J443" s="176">
        <v>46023</v>
      </c>
      <c r="K443" s="172" t="s">
        <v>93</v>
      </c>
      <c r="L443" s="172" t="s">
        <v>94</v>
      </c>
      <c r="M443" s="179">
        <v>0</v>
      </c>
      <c r="N443" s="177"/>
      <c r="O443" s="177">
        <v>43</v>
      </c>
      <c r="P443" s="180">
        <v>-56</v>
      </c>
    </row>
    <row r="444" spans="1:16" ht="19.5" customHeight="1">
      <c r="A444" s="172" t="s">
        <v>227</v>
      </c>
      <c r="B444" s="176">
        <v>46045</v>
      </c>
      <c r="C444" s="172" t="s">
        <v>81</v>
      </c>
      <c r="D444" s="172" t="s">
        <v>95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0</v>
      </c>
      <c r="J444" s="176">
        <v>46023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-25</v>
      </c>
    </row>
    <row r="445" spans="1:16" ht="19.5" customHeight="1">
      <c r="A445" s="172" t="s">
        <v>227</v>
      </c>
      <c r="B445" s="176">
        <v>46045</v>
      </c>
      <c r="C445" s="172" t="s">
        <v>92</v>
      </c>
      <c r="D445" s="172" t="s">
        <v>96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0</v>
      </c>
      <c r="J445" s="176">
        <v>46023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227</v>
      </c>
      <c r="B446" s="176">
        <v>46045</v>
      </c>
      <c r="C446" s="172" t="s">
        <v>92</v>
      </c>
      <c r="D446" s="172" t="s">
        <v>97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0</v>
      </c>
      <c r="J446" s="176">
        <v>46023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-56</v>
      </c>
    </row>
    <row r="447" spans="1:16" ht="19.5" customHeight="1">
      <c r="A447" s="172" t="s">
        <v>227</v>
      </c>
      <c r="B447" s="176">
        <v>46045</v>
      </c>
      <c r="C447" s="172" t="s">
        <v>81</v>
      </c>
      <c r="D447" s="172" t="s">
        <v>98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0</v>
      </c>
      <c r="J447" s="176">
        <v>46023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-15</v>
      </c>
    </row>
    <row r="448" spans="1:16" ht="19.5" customHeight="1">
      <c r="A448" s="172" t="s">
        <v>85</v>
      </c>
      <c r="B448" s="176">
        <v>46045</v>
      </c>
      <c r="C448" s="172" t="s">
        <v>109</v>
      </c>
      <c r="D448" s="172" t="s">
        <v>110</v>
      </c>
      <c r="E448" s="172" t="s">
        <v>85</v>
      </c>
      <c r="F448" s="172" t="s">
        <v>85</v>
      </c>
      <c r="G448" s="172" t="s">
        <v>228</v>
      </c>
      <c r="H448" s="177">
        <v>0</v>
      </c>
      <c r="I448" s="178">
        <v>0</v>
      </c>
      <c r="J448" s="176">
        <v>46045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-150</v>
      </c>
    </row>
    <row r="449" spans="1:16" ht="19.5" customHeight="1">
      <c r="A449" s="172" t="s">
        <v>229</v>
      </c>
      <c r="B449" s="176">
        <v>46045</v>
      </c>
      <c r="C449" s="172" t="s">
        <v>81</v>
      </c>
      <c r="D449" s="172" t="s">
        <v>82</v>
      </c>
      <c r="E449" s="172" t="s">
        <v>52</v>
      </c>
      <c r="F449" s="172" t="s">
        <v>90</v>
      </c>
      <c r="G449" s="172" t="s">
        <v>84</v>
      </c>
      <c r="H449" s="177">
        <v>1</v>
      </c>
      <c r="I449" s="178">
        <v>0</v>
      </c>
      <c r="J449" s="176">
        <v>46045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-11.91</v>
      </c>
    </row>
    <row r="450" spans="1:16" ht="19.5" customHeight="1">
      <c r="A450" s="172" t="s">
        <v>230</v>
      </c>
      <c r="B450" s="176">
        <v>46045</v>
      </c>
      <c r="C450" s="172" t="s">
        <v>92</v>
      </c>
      <c r="D450" s="172" t="s">
        <v>24</v>
      </c>
      <c r="E450" s="172" t="s">
        <v>40</v>
      </c>
      <c r="F450" s="172" t="s">
        <v>197</v>
      </c>
      <c r="G450" s="172" t="s">
        <v>84</v>
      </c>
      <c r="H450" s="177">
        <v>1</v>
      </c>
      <c r="I450" s="178">
        <v>0</v>
      </c>
      <c r="J450" s="176">
        <v>46039</v>
      </c>
      <c r="K450" s="172" t="s">
        <v>93</v>
      </c>
      <c r="L450" s="172" t="s">
        <v>94</v>
      </c>
      <c r="M450" s="179">
        <v>0</v>
      </c>
      <c r="N450" s="177"/>
      <c r="O450" s="177">
        <v>47</v>
      </c>
      <c r="P450" s="180">
        <v>-46.77</v>
      </c>
    </row>
    <row r="451" spans="1:16" ht="19.5" customHeight="1">
      <c r="A451" s="172" t="s">
        <v>230</v>
      </c>
      <c r="B451" s="176">
        <v>46045</v>
      </c>
      <c r="C451" s="172" t="s">
        <v>81</v>
      </c>
      <c r="D451" s="172" t="s">
        <v>95</v>
      </c>
      <c r="E451" s="172" t="s">
        <v>40</v>
      </c>
      <c r="F451" s="172" t="s">
        <v>197</v>
      </c>
      <c r="G451" s="172" t="s">
        <v>84</v>
      </c>
      <c r="H451" s="177">
        <v>1</v>
      </c>
      <c r="I451" s="178">
        <v>0</v>
      </c>
      <c r="J451" s="176">
        <v>46039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-9.2200000000000006</v>
      </c>
    </row>
    <row r="452" spans="1:16" ht="19.5" customHeight="1">
      <c r="A452" s="172" t="s">
        <v>230</v>
      </c>
      <c r="B452" s="176">
        <v>46045</v>
      </c>
      <c r="C452" s="172" t="s">
        <v>92</v>
      </c>
      <c r="D452" s="172" t="s">
        <v>96</v>
      </c>
      <c r="E452" s="172" t="s">
        <v>40</v>
      </c>
      <c r="F452" s="172" t="s">
        <v>197</v>
      </c>
      <c r="G452" s="172" t="s">
        <v>84</v>
      </c>
      <c r="H452" s="177">
        <v>1</v>
      </c>
      <c r="I452" s="178">
        <v>0</v>
      </c>
      <c r="J452" s="176">
        <v>46039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0</v>
      </c>
    </row>
    <row r="453" spans="1:16" ht="19.5" customHeight="1">
      <c r="A453" s="172" t="s">
        <v>230</v>
      </c>
      <c r="B453" s="176">
        <v>46045</v>
      </c>
      <c r="C453" s="172" t="s">
        <v>92</v>
      </c>
      <c r="D453" s="172" t="s">
        <v>97</v>
      </c>
      <c r="E453" s="172" t="s">
        <v>40</v>
      </c>
      <c r="F453" s="172" t="s">
        <v>197</v>
      </c>
      <c r="G453" s="172" t="s">
        <v>84</v>
      </c>
      <c r="H453" s="177">
        <v>1</v>
      </c>
      <c r="I453" s="178">
        <v>0</v>
      </c>
      <c r="J453" s="176">
        <v>46039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-46.77</v>
      </c>
    </row>
    <row r="454" spans="1:16" ht="19.5" customHeight="1">
      <c r="A454" s="172" t="s">
        <v>231</v>
      </c>
      <c r="B454" s="176">
        <v>46045</v>
      </c>
      <c r="C454" s="172" t="s">
        <v>92</v>
      </c>
      <c r="D454" s="172" t="s">
        <v>24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1750</v>
      </c>
      <c r="J454" s="176">
        <v>46037</v>
      </c>
      <c r="K454" s="172" t="s">
        <v>93</v>
      </c>
      <c r="L454" s="172" t="s">
        <v>94</v>
      </c>
      <c r="M454" s="179">
        <v>0.43</v>
      </c>
      <c r="N454" s="177"/>
      <c r="O454" s="177">
        <v>45</v>
      </c>
      <c r="P454" s="180">
        <v>-135.38999999999999</v>
      </c>
    </row>
    <row r="455" spans="1:16" ht="19.5" customHeight="1">
      <c r="A455" s="172" t="s">
        <v>231</v>
      </c>
      <c r="B455" s="176">
        <v>46045</v>
      </c>
      <c r="C455" s="172" t="s">
        <v>100</v>
      </c>
      <c r="D455" s="172" t="s">
        <v>101</v>
      </c>
      <c r="E455" s="172" t="s">
        <v>42</v>
      </c>
      <c r="F455" s="172" t="s">
        <v>89</v>
      </c>
      <c r="G455" s="172" t="s">
        <v>84</v>
      </c>
      <c r="H455" s="177">
        <v>1</v>
      </c>
      <c r="I455" s="178">
        <v>1750</v>
      </c>
      <c r="J455" s="176">
        <v>46037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619.04999999999995</v>
      </c>
    </row>
    <row r="456" spans="1:16" ht="19.5" customHeight="1">
      <c r="A456" s="172" t="s">
        <v>231</v>
      </c>
      <c r="B456" s="176">
        <v>46045</v>
      </c>
      <c r="C456" s="172" t="s">
        <v>100</v>
      </c>
      <c r="D456" s="172" t="s">
        <v>102</v>
      </c>
      <c r="E456" s="172" t="s">
        <v>42</v>
      </c>
      <c r="F456" s="172" t="s">
        <v>89</v>
      </c>
      <c r="G456" s="172" t="s">
        <v>84</v>
      </c>
      <c r="H456" s="177">
        <v>1</v>
      </c>
      <c r="I456" s="178">
        <v>1750</v>
      </c>
      <c r="J456" s="176">
        <v>46037</v>
      </c>
      <c r="K456" s="172" t="s">
        <v>93</v>
      </c>
      <c r="L456" s="172" t="s">
        <v>94</v>
      </c>
      <c r="M456" s="179">
        <v>0</v>
      </c>
      <c r="N456" s="177"/>
      <c r="O456" s="177"/>
      <c r="P456" s="180">
        <v>6.19</v>
      </c>
    </row>
    <row r="457" spans="1:16" ht="19.5" customHeight="1">
      <c r="A457" s="172" t="s">
        <v>231</v>
      </c>
      <c r="B457" s="176">
        <v>46045</v>
      </c>
      <c r="C457" s="172" t="s">
        <v>100</v>
      </c>
      <c r="D457" s="172" t="s">
        <v>103</v>
      </c>
      <c r="E457" s="172" t="s">
        <v>42</v>
      </c>
      <c r="F457" s="172" t="s">
        <v>89</v>
      </c>
      <c r="G457" s="172" t="s">
        <v>84</v>
      </c>
      <c r="H457" s="177">
        <v>1</v>
      </c>
      <c r="I457" s="178">
        <v>1750</v>
      </c>
      <c r="J457" s="176">
        <v>46037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1124.76</v>
      </c>
    </row>
    <row r="458" spans="1:16" ht="19.5" customHeight="1">
      <c r="A458" s="172" t="s">
        <v>231</v>
      </c>
      <c r="B458" s="176">
        <v>46045</v>
      </c>
      <c r="C458" s="172" t="s">
        <v>104</v>
      </c>
      <c r="D458" s="172" t="s">
        <v>105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1750</v>
      </c>
      <c r="J458" s="176">
        <v>46037</v>
      </c>
      <c r="K458" s="172" t="s">
        <v>93</v>
      </c>
      <c r="L458" s="172" t="s">
        <v>94</v>
      </c>
      <c r="M458" s="179">
        <v>0.43</v>
      </c>
      <c r="N458" s="177"/>
      <c r="O458" s="177"/>
      <c r="P458" s="180">
        <v>-752.5</v>
      </c>
    </row>
    <row r="459" spans="1:16" ht="19.5" customHeight="1">
      <c r="A459" s="172" t="s">
        <v>231</v>
      </c>
      <c r="B459" s="176">
        <v>46045</v>
      </c>
      <c r="C459" s="172" t="s">
        <v>81</v>
      </c>
      <c r="D459" s="172" t="s">
        <v>95</v>
      </c>
      <c r="E459" s="172" t="s">
        <v>42</v>
      </c>
      <c r="F459" s="172" t="s">
        <v>89</v>
      </c>
      <c r="G459" s="172" t="s">
        <v>84</v>
      </c>
      <c r="H459" s="177">
        <v>1</v>
      </c>
      <c r="I459" s="178">
        <v>1750</v>
      </c>
      <c r="J459" s="176">
        <v>46037</v>
      </c>
      <c r="K459" s="172" t="s">
        <v>93</v>
      </c>
      <c r="L459" s="172" t="s">
        <v>94</v>
      </c>
      <c r="M459" s="179">
        <v>0.43</v>
      </c>
      <c r="N459" s="177"/>
      <c r="O459" s="177"/>
      <c r="P459" s="180">
        <v>-9.9499999999999993</v>
      </c>
    </row>
    <row r="460" spans="1:16" ht="19.5" customHeight="1">
      <c r="A460" s="172" t="s">
        <v>232</v>
      </c>
      <c r="B460" s="176">
        <v>46045</v>
      </c>
      <c r="C460" s="172" t="s">
        <v>92</v>
      </c>
      <c r="D460" s="172" t="s">
        <v>24</v>
      </c>
      <c r="E460" s="172" t="s">
        <v>42</v>
      </c>
      <c r="F460" s="172" t="s">
        <v>89</v>
      </c>
      <c r="G460" s="172" t="s">
        <v>84</v>
      </c>
      <c r="H460" s="177">
        <v>1</v>
      </c>
      <c r="I460" s="178">
        <v>1750</v>
      </c>
      <c r="J460" s="176">
        <v>46041</v>
      </c>
      <c r="K460" s="172" t="s">
        <v>93</v>
      </c>
      <c r="L460" s="172" t="s">
        <v>94</v>
      </c>
      <c r="M460" s="179">
        <v>0.43</v>
      </c>
      <c r="N460" s="177"/>
      <c r="O460" s="177">
        <v>44</v>
      </c>
      <c r="P460" s="180">
        <v>-131.37</v>
      </c>
    </row>
    <row r="461" spans="1:16" ht="19.5" customHeight="1">
      <c r="A461" s="172" t="s">
        <v>232</v>
      </c>
      <c r="B461" s="176">
        <v>46045</v>
      </c>
      <c r="C461" s="172" t="s">
        <v>100</v>
      </c>
      <c r="D461" s="172" t="s">
        <v>101</v>
      </c>
      <c r="E461" s="172" t="s">
        <v>42</v>
      </c>
      <c r="F461" s="172" t="s">
        <v>89</v>
      </c>
      <c r="G461" s="172" t="s">
        <v>84</v>
      </c>
      <c r="H461" s="177">
        <v>1</v>
      </c>
      <c r="I461" s="178">
        <v>1750</v>
      </c>
      <c r="J461" s="176">
        <v>46041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637.14</v>
      </c>
    </row>
    <row r="462" spans="1:16" ht="19.5" customHeight="1">
      <c r="A462" s="172" t="s">
        <v>232</v>
      </c>
      <c r="B462" s="176">
        <v>46045</v>
      </c>
      <c r="C462" s="172" t="s">
        <v>100</v>
      </c>
      <c r="D462" s="172" t="s">
        <v>102</v>
      </c>
      <c r="E462" s="172" t="s">
        <v>42</v>
      </c>
      <c r="F462" s="172" t="s">
        <v>89</v>
      </c>
      <c r="G462" s="172" t="s">
        <v>84</v>
      </c>
      <c r="H462" s="177">
        <v>1</v>
      </c>
      <c r="I462" s="178">
        <v>1750</v>
      </c>
      <c r="J462" s="176">
        <v>46041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6.37</v>
      </c>
    </row>
    <row r="463" spans="1:16" ht="19.5" customHeight="1">
      <c r="A463" s="172" t="s">
        <v>232</v>
      </c>
      <c r="B463" s="176">
        <v>46045</v>
      </c>
      <c r="C463" s="172" t="s">
        <v>100</v>
      </c>
      <c r="D463" s="172" t="s">
        <v>103</v>
      </c>
      <c r="E463" s="172" t="s">
        <v>42</v>
      </c>
      <c r="F463" s="172" t="s">
        <v>89</v>
      </c>
      <c r="G463" s="172" t="s">
        <v>84</v>
      </c>
      <c r="H463" s="177">
        <v>1</v>
      </c>
      <c r="I463" s="178">
        <v>1750</v>
      </c>
      <c r="J463" s="176">
        <v>46041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1106.49</v>
      </c>
    </row>
    <row r="464" spans="1:16" ht="19.5" customHeight="1">
      <c r="A464" s="172" t="s">
        <v>232</v>
      </c>
      <c r="B464" s="176">
        <v>46045</v>
      </c>
      <c r="C464" s="172" t="s">
        <v>104</v>
      </c>
      <c r="D464" s="172" t="s">
        <v>105</v>
      </c>
      <c r="E464" s="172" t="s">
        <v>42</v>
      </c>
      <c r="F464" s="172" t="s">
        <v>89</v>
      </c>
      <c r="G464" s="172" t="s">
        <v>84</v>
      </c>
      <c r="H464" s="177">
        <v>1</v>
      </c>
      <c r="I464" s="178">
        <v>1750</v>
      </c>
      <c r="J464" s="176">
        <v>46041</v>
      </c>
      <c r="K464" s="172" t="s">
        <v>93</v>
      </c>
      <c r="L464" s="172" t="s">
        <v>94</v>
      </c>
      <c r="M464" s="179">
        <v>0.43</v>
      </c>
      <c r="N464" s="177"/>
      <c r="O464" s="177"/>
      <c r="P464" s="180">
        <v>-752.5</v>
      </c>
    </row>
    <row r="465" spans="1:16" ht="19.5" customHeight="1">
      <c r="A465" s="172" t="s">
        <v>232</v>
      </c>
      <c r="B465" s="176">
        <v>46045</v>
      </c>
      <c r="C465" s="172" t="s">
        <v>81</v>
      </c>
      <c r="D465" s="172" t="s">
        <v>95</v>
      </c>
      <c r="E465" s="172" t="s">
        <v>42</v>
      </c>
      <c r="F465" s="172" t="s">
        <v>89</v>
      </c>
      <c r="G465" s="172" t="s">
        <v>84</v>
      </c>
      <c r="H465" s="177">
        <v>1</v>
      </c>
      <c r="I465" s="178">
        <v>1750</v>
      </c>
      <c r="J465" s="176">
        <v>46041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-11.47</v>
      </c>
    </row>
    <row r="466" spans="1:16" ht="19.5" customHeight="1">
      <c r="A466" s="172" t="s">
        <v>233</v>
      </c>
      <c r="B466" s="176">
        <v>46045</v>
      </c>
      <c r="C466" s="172" t="s">
        <v>92</v>
      </c>
      <c r="D466" s="172" t="s">
        <v>24</v>
      </c>
      <c r="E466" s="172" t="s">
        <v>41</v>
      </c>
      <c r="F466" s="172" t="s">
        <v>83</v>
      </c>
      <c r="G466" s="172" t="s">
        <v>84</v>
      </c>
      <c r="H466" s="177">
        <v>1</v>
      </c>
      <c r="I466" s="178">
        <v>1750</v>
      </c>
      <c r="J466" s="176">
        <v>46040</v>
      </c>
      <c r="K466" s="172" t="s">
        <v>93</v>
      </c>
      <c r="L466" s="172" t="s">
        <v>94</v>
      </c>
      <c r="M466" s="179">
        <v>0.43</v>
      </c>
      <c r="N466" s="177"/>
      <c r="O466" s="177">
        <v>45</v>
      </c>
      <c r="P466" s="180">
        <v>-134.11000000000001</v>
      </c>
    </row>
    <row r="467" spans="1:16" ht="19.5" customHeight="1">
      <c r="A467" s="172" t="s">
        <v>233</v>
      </c>
      <c r="B467" s="176">
        <v>46045</v>
      </c>
      <c r="C467" s="172" t="s">
        <v>100</v>
      </c>
      <c r="D467" s="172" t="s">
        <v>101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1750</v>
      </c>
      <c r="J467" s="176">
        <v>46040</v>
      </c>
      <c r="K467" s="172" t="s">
        <v>93</v>
      </c>
      <c r="L467" s="172" t="s">
        <v>94</v>
      </c>
      <c r="M467" s="179">
        <v>0</v>
      </c>
      <c r="N467" s="177"/>
      <c r="O467" s="177"/>
      <c r="P467" s="180">
        <v>664.13</v>
      </c>
    </row>
    <row r="468" spans="1:16" ht="19.5" customHeight="1">
      <c r="A468" s="172" t="s">
        <v>233</v>
      </c>
      <c r="B468" s="176">
        <v>46045</v>
      </c>
      <c r="C468" s="172" t="s">
        <v>100</v>
      </c>
      <c r="D468" s="172" t="s">
        <v>102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1750</v>
      </c>
      <c r="J468" s="176">
        <v>46040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6.64</v>
      </c>
    </row>
    <row r="469" spans="1:16" ht="19.5" customHeight="1">
      <c r="A469" s="172" t="s">
        <v>233</v>
      </c>
      <c r="B469" s="176">
        <v>46045</v>
      </c>
      <c r="C469" s="172" t="s">
        <v>100</v>
      </c>
      <c r="D469" s="172" t="s">
        <v>103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1750</v>
      </c>
      <c r="J469" s="176">
        <v>46040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1079.23</v>
      </c>
    </row>
    <row r="470" spans="1:16" ht="19.5" customHeight="1">
      <c r="A470" s="172" t="s">
        <v>233</v>
      </c>
      <c r="B470" s="176">
        <v>46045</v>
      </c>
      <c r="C470" s="172" t="s">
        <v>104</v>
      </c>
      <c r="D470" s="172" t="s">
        <v>105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1750</v>
      </c>
      <c r="J470" s="176">
        <v>46040</v>
      </c>
      <c r="K470" s="172" t="s">
        <v>93</v>
      </c>
      <c r="L470" s="172" t="s">
        <v>94</v>
      </c>
      <c r="M470" s="179">
        <v>0.43</v>
      </c>
      <c r="N470" s="177"/>
      <c r="O470" s="177"/>
      <c r="P470" s="180">
        <v>-752.5</v>
      </c>
    </row>
    <row r="471" spans="1:16" ht="19.5" customHeight="1">
      <c r="A471" s="172" t="s">
        <v>233</v>
      </c>
      <c r="B471" s="176">
        <v>46045</v>
      </c>
      <c r="C471" s="172" t="s">
        <v>81</v>
      </c>
      <c r="D471" s="172" t="s">
        <v>95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1750</v>
      </c>
      <c r="J471" s="176">
        <v>46040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-18.55</v>
      </c>
    </row>
    <row r="472" spans="1:16" ht="19.5" customHeight="1">
      <c r="A472" s="172" t="s">
        <v>233</v>
      </c>
      <c r="B472" s="176">
        <v>46045</v>
      </c>
      <c r="C472" s="172" t="s">
        <v>81</v>
      </c>
      <c r="D472" s="172" t="s">
        <v>82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0</v>
      </c>
      <c r="J472" s="176">
        <v>46040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-12.62</v>
      </c>
    </row>
    <row r="473" spans="1:16" ht="19.5" customHeight="1">
      <c r="A473" s="172" t="s">
        <v>234</v>
      </c>
      <c r="B473" s="176">
        <v>46045</v>
      </c>
      <c r="C473" s="172" t="s">
        <v>92</v>
      </c>
      <c r="D473" s="172" t="s">
        <v>24</v>
      </c>
      <c r="E473" s="172" t="s">
        <v>52</v>
      </c>
      <c r="F473" s="172" t="s">
        <v>90</v>
      </c>
      <c r="G473" s="172" t="s">
        <v>84</v>
      </c>
      <c r="H473" s="177">
        <v>1</v>
      </c>
      <c r="I473" s="178">
        <v>1885</v>
      </c>
      <c r="J473" s="176">
        <v>46043</v>
      </c>
      <c r="K473" s="172" t="s">
        <v>93</v>
      </c>
      <c r="L473" s="172" t="s">
        <v>94</v>
      </c>
      <c r="M473" s="179">
        <v>0.43</v>
      </c>
      <c r="N473" s="177"/>
      <c r="O473" s="177">
        <v>43</v>
      </c>
      <c r="P473" s="180">
        <v>-146.15</v>
      </c>
    </row>
    <row r="474" spans="1:16" ht="19.5" customHeight="1">
      <c r="A474" s="172" t="s">
        <v>234</v>
      </c>
      <c r="B474" s="176">
        <v>46045</v>
      </c>
      <c r="C474" s="172" t="s">
        <v>100</v>
      </c>
      <c r="D474" s="172" t="s">
        <v>101</v>
      </c>
      <c r="E474" s="172" t="s">
        <v>52</v>
      </c>
      <c r="F474" s="172" t="s">
        <v>90</v>
      </c>
      <c r="G474" s="172" t="s">
        <v>84</v>
      </c>
      <c r="H474" s="177">
        <v>1</v>
      </c>
      <c r="I474" s="178">
        <v>1885</v>
      </c>
      <c r="J474" s="176">
        <v>46043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655.89</v>
      </c>
    </row>
    <row r="475" spans="1:16" ht="19.5" customHeight="1">
      <c r="A475" s="172" t="s">
        <v>234</v>
      </c>
      <c r="B475" s="176">
        <v>46045</v>
      </c>
      <c r="C475" s="172" t="s">
        <v>100</v>
      </c>
      <c r="D475" s="172" t="s">
        <v>102</v>
      </c>
      <c r="E475" s="172" t="s">
        <v>52</v>
      </c>
      <c r="F475" s="172" t="s">
        <v>90</v>
      </c>
      <c r="G475" s="172" t="s">
        <v>84</v>
      </c>
      <c r="H475" s="177">
        <v>1</v>
      </c>
      <c r="I475" s="178">
        <v>1885</v>
      </c>
      <c r="J475" s="176">
        <v>46043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6.56</v>
      </c>
    </row>
    <row r="476" spans="1:16" ht="19.5" customHeight="1">
      <c r="A476" s="172" t="s">
        <v>234</v>
      </c>
      <c r="B476" s="176">
        <v>46045</v>
      </c>
      <c r="C476" s="172" t="s">
        <v>100</v>
      </c>
      <c r="D476" s="172" t="s">
        <v>103</v>
      </c>
      <c r="E476" s="172" t="s">
        <v>52</v>
      </c>
      <c r="F476" s="172" t="s">
        <v>90</v>
      </c>
      <c r="G476" s="172" t="s">
        <v>84</v>
      </c>
      <c r="H476" s="177">
        <v>1</v>
      </c>
      <c r="I476" s="178">
        <v>1885</v>
      </c>
      <c r="J476" s="176">
        <v>46043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1222.55</v>
      </c>
    </row>
    <row r="477" spans="1:16" ht="19.5" customHeight="1">
      <c r="A477" s="172" t="s">
        <v>234</v>
      </c>
      <c r="B477" s="176">
        <v>46045</v>
      </c>
      <c r="C477" s="172" t="s">
        <v>104</v>
      </c>
      <c r="D477" s="172" t="s">
        <v>105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1885</v>
      </c>
      <c r="J477" s="176">
        <v>46043</v>
      </c>
      <c r="K477" s="172" t="s">
        <v>93</v>
      </c>
      <c r="L477" s="172" t="s">
        <v>94</v>
      </c>
      <c r="M477" s="179">
        <v>0.43</v>
      </c>
      <c r="N477" s="177"/>
      <c r="O477" s="177"/>
      <c r="P477" s="180">
        <v>-810.55</v>
      </c>
    </row>
    <row r="478" spans="1:16" ht="19.5" customHeight="1">
      <c r="A478" s="172" t="s">
        <v>234</v>
      </c>
      <c r="B478" s="176">
        <v>46045</v>
      </c>
      <c r="C478" s="172" t="s">
        <v>81</v>
      </c>
      <c r="D478" s="172" t="s">
        <v>95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1885</v>
      </c>
      <c r="J478" s="176">
        <v>46043</v>
      </c>
      <c r="K478" s="172" t="s">
        <v>93</v>
      </c>
      <c r="L478" s="172" t="s">
        <v>94</v>
      </c>
      <c r="M478" s="179">
        <v>0.43</v>
      </c>
      <c r="N478" s="177"/>
      <c r="O478" s="177"/>
      <c r="P478" s="180">
        <v>-9.92</v>
      </c>
    </row>
    <row r="479" spans="1:16" ht="19.5" customHeight="1">
      <c r="A479" s="172" t="s">
        <v>235</v>
      </c>
      <c r="B479" s="176">
        <v>46045</v>
      </c>
      <c r="C479" s="172" t="s">
        <v>92</v>
      </c>
      <c r="D479" s="172" t="s">
        <v>24</v>
      </c>
      <c r="E479" s="172" t="s">
        <v>53</v>
      </c>
      <c r="F479" s="172" t="s">
        <v>120</v>
      </c>
      <c r="G479" s="172" t="s">
        <v>84</v>
      </c>
      <c r="H479" s="177">
        <v>1</v>
      </c>
      <c r="I479" s="178">
        <v>1845</v>
      </c>
      <c r="J479" s="176">
        <v>46037</v>
      </c>
      <c r="K479" s="172" t="s">
        <v>93</v>
      </c>
      <c r="L479" s="172" t="s">
        <v>94</v>
      </c>
      <c r="M479" s="179">
        <v>0.43</v>
      </c>
      <c r="N479" s="177"/>
      <c r="O479" s="177">
        <v>45</v>
      </c>
      <c r="P479" s="180">
        <v>-153.85</v>
      </c>
    </row>
    <row r="480" spans="1:16" ht="19.5" customHeight="1">
      <c r="A480" s="172" t="s">
        <v>235</v>
      </c>
      <c r="B480" s="176">
        <v>46045</v>
      </c>
      <c r="C480" s="172" t="s">
        <v>100</v>
      </c>
      <c r="D480" s="172" t="s">
        <v>101</v>
      </c>
      <c r="E480" s="172" t="s">
        <v>53</v>
      </c>
      <c r="F480" s="172" t="s">
        <v>120</v>
      </c>
      <c r="G480" s="172" t="s">
        <v>84</v>
      </c>
      <c r="H480" s="177">
        <v>1</v>
      </c>
      <c r="I480" s="178">
        <v>1845</v>
      </c>
      <c r="J480" s="176">
        <v>46037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729.52</v>
      </c>
    </row>
    <row r="481" spans="1:16" ht="19.5" customHeight="1">
      <c r="A481" s="172" t="s">
        <v>235</v>
      </c>
      <c r="B481" s="176">
        <v>46045</v>
      </c>
      <c r="C481" s="172" t="s">
        <v>100</v>
      </c>
      <c r="D481" s="172" t="s">
        <v>102</v>
      </c>
      <c r="E481" s="172" t="s">
        <v>53</v>
      </c>
      <c r="F481" s="172" t="s">
        <v>120</v>
      </c>
      <c r="G481" s="172" t="s">
        <v>84</v>
      </c>
      <c r="H481" s="177">
        <v>1</v>
      </c>
      <c r="I481" s="178">
        <v>1845</v>
      </c>
      <c r="J481" s="176">
        <v>46037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7.3</v>
      </c>
    </row>
    <row r="482" spans="1:16" ht="19.5" customHeight="1">
      <c r="A482" s="172" t="s">
        <v>235</v>
      </c>
      <c r="B482" s="176">
        <v>46045</v>
      </c>
      <c r="C482" s="172" t="s">
        <v>100</v>
      </c>
      <c r="D482" s="172" t="s">
        <v>103</v>
      </c>
      <c r="E482" s="172" t="s">
        <v>53</v>
      </c>
      <c r="F482" s="172" t="s">
        <v>120</v>
      </c>
      <c r="G482" s="172" t="s">
        <v>84</v>
      </c>
      <c r="H482" s="177">
        <v>1</v>
      </c>
      <c r="I482" s="178">
        <v>1845</v>
      </c>
      <c r="J482" s="176">
        <v>46037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1108.18</v>
      </c>
    </row>
    <row r="483" spans="1:16" ht="19.5" customHeight="1">
      <c r="A483" s="172" t="s">
        <v>235</v>
      </c>
      <c r="B483" s="176">
        <v>46045</v>
      </c>
      <c r="C483" s="172" t="s">
        <v>104</v>
      </c>
      <c r="D483" s="172" t="s">
        <v>105</v>
      </c>
      <c r="E483" s="172" t="s">
        <v>53</v>
      </c>
      <c r="F483" s="172" t="s">
        <v>120</v>
      </c>
      <c r="G483" s="172" t="s">
        <v>84</v>
      </c>
      <c r="H483" s="177">
        <v>1</v>
      </c>
      <c r="I483" s="178">
        <v>1845</v>
      </c>
      <c r="J483" s="176">
        <v>46037</v>
      </c>
      <c r="K483" s="172" t="s">
        <v>93</v>
      </c>
      <c r="L483" s="172" t="s">
        <v>94</v>
      </c>
      <c r="M483" s="179">
        <v>0.43</v>
      </c>
      <c r="N483" s="177"/>
      <c r="O483" s="177"/>
      <c r="P483" s="180">
        <v>-793.35</v>
      </c>
    </row>
    <row r="484" spans="1:16" ht="19.5" customHeight="1">
      <c r="A484" s="172" t="s">
        <v>235</v>
      </c>
      <c r="B484" s="176">
        <v>46045</v>
      </c>
      <c r="C484" s="172" t="s">
        <v>81</v>
      </c>
      <c r="D484" s="172" t="s">
        <v>95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46037</v>
      </c>
      <c r="K484" s="172" t="s">
        <v>93</v>
      </c>
      <c r="L484" s="172" t="s">
        <v>94</v>
      </c>
      <c r="M484" s="179">
        <v>0.43</v>
      </c>
      <c r="N484" s="177"/>
      <c r="O484" s="177"/>
      <c r="P484" s="180">
        <v>-13.64</v>
      </c>
    </row>
    <row r="485" spans="1:16" ht="19.5" customHeight="1">
      <c r="A485" s="172" t="s">
        <v>236</v>
      </c>
      <c r="B485" s="176">
        <v>46045</v>
      </c>
      <c r="C485" s="172" t="s">
        <v>92</v>
      </c>
      <c r="D485" s="172" t="s">
        <v>24</v>
      </c>
      <c r="E485" s="172" t="s">
        <v>52</v>
      </c>
      <c r="F485" s="172" t="s">
        <v>90</v>
      </c>
      <c r="G485" s="172" t="s">
        <v>84</v>
      </c>
      <c r="H485" s="177">
        <v>1</v>
      </c>
      <c r="I485" s="178">
        <v>1621</v>
      </c>
      <c r="J485" s="176">
        <v>46031</v>
      </c>
      <c r="K485" s="172" t="s">
        <v>93</v>
      </c>
      <c r="L485" s="172" t="s">
        <v>94</v>
      </c>
      <c r="M485" s="179">
        <v>0.43</v>
      </c>
      <c r="N485" s="177"/>
      <c r="O485" s="177">
        <v>42</v>
      </c>
      <c r="P485" s="180">
        <v>-135.6</v>
      </c>
    </row>
    <row r="486" spans="1:16" ht="19.5" customHeight="1">
      <c r="A486" s="172" t="s">
        <v>236</v>
      </c>
      <c r="B486" s="176">
        <v>46045</v>
      </c>
      <c r="C486" s="172" t="s">
        <v>100</v>
      </c>
      <c r="D486" s="172" t="s">
        <v>101</v>
      </c>
      <c r="E486" s="172" t="s">
        <v>52</v>
      </c>
      <c r="F486" s="172" t="s">
        <v>90</v>
      </c>
      <c r="G486" s="172" t="s">
        <v>84</v>
      </c>
      <c r="H486" s="177">
        <v>1</v>
      </c>
      <c r="I486" s="178">
        <v>1621</v>
      </c>
      <c r="J486" s="176">
        <v>46031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617.14</v>
      </c>
    </row>
    <row r="487" spans="1:16" ht="19.5" customHeight="1">
      <c r="A487" s="172" t="s">
        <v>236</v>
      </c>
      <c r="B487" s="176">
        <v>46045</v>
      </c>
      <c r="C487" s="172" t="s">
        <v>100</v>
      </c>
      <c r="D487" s="172" t="s">
        <v>102</v>
      </c>
      <c r="E487" s="172" t="s">
        <v>52</v>
      </c>
      <c r="F487" s="172" t="s">
        <v>90</v>
      </c>
      <c r="G487" s="172" t="s">
        <v>84</v>
      </c>
      <c r="H487" s="177">
        <v>1</v>
      </c>
      <c r="I487" s="178">
        <v>1621</v>
      </c>
      <c r="J487" s="176">
        <v>46031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0</v>
      </c>
    </row>
    <row r="488" spans="1:16" ht="19.5" customHeight="1">
      <c r="A488" s="172" t="s">
        <v>236</v>
      </c>
      <c r="B488" s="176">
        <v>46045</v>
      </c>
      <c r="C488" s="172" t="s">
        <v>100</v>
      </c>
      <c r="D488" s="172" t="s">
        <v>103</v>
      </c>
      <c r="E488" s="172" t="s">
        <v>52</v>
      </c>
      <c r="F488" s="172" t="s">
        <v>90</v>
      </c>
      <c r="G488" s="172" t="s">
        <v>84</v>
      </c>
      <c r="H488" s="177">
        <v>1</v>
      </c>
      <c r="I488" s="178">
        <v>1621</v>
      </c>
      <c r="J488" s="176">
        <v>46031</v>
      </c>
      <c r="K488" s="172" t="s">
        <v>93</v>
      </c>
      <c r="L488" s="172" t="s">
        <v>94</v>
      </c>
      <c r="M488" s="179">
        <v>0</v>
      </c>
      <c r="N488" s="177"/>
      <c r="O488" s="177"/>
      <c r="P488" s="180">
        <v>1003.86</v>
      </c>
    </row>
    <row r="489" spans="1:16" ht="19.5" customHeight="1">
      <c r="A489" s="172" t="s">
        <v>236</v>
      </c>
      <c r="B489" s="176">
        <v>46045</v>
      </c>
      <c r="C489" s="172" t="s">
        <v>104</v>
      </c>
      <c r="D489" s="172" t="s">
        <v>105</v>
      </c>
      <c r="E489" s="172" t="s">
        <v>52</v>
      </c>
      <c r="F489" s="172" t="s">
        <v>90</v>
      </c>
      <c r="G489" s="172" t="s">
        <v>84</v>
      </c>
      <c r="H489" s="177">
        <v>1</v>
      </c>
      <c r="I489" s="178">
        <v>1621</v>
      </c>
      <c r="J489" s="176">
        <v>46031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-697.03</v>
      </c>
    </row>
    <row r="490" spans="1:16" ht="19.5" customHeight="1">
      <c r="A490" s="172" t="s">
        <v>236</v>
      </c>
      <c r="B490" s="176">
        <v>46045</v>
      </c>
      <c r="C490" s="172" t="s">
        <v>81</v>
      </c>
      <c r="D490" s="172" t="s">
        <v>95</v>
      </c>
      <c r="E490" s="172" t="s">
        <v>52</v>
      </c>
      <c r="F490" s="172" t="s">
        <v>90</v>
      </c>
      <c r="G490" s="172" t="s">
        <v>84</v>
      </c>
      <c r="H490" s="177">
        <v>1</v>
      </c>
      <c r="I490" s="178">
        <v>1621</v>
      </c>
      <c r="J490" s="176">
        <v>46031</v>
      </c>
      <c r="K490" s="172" t="s">
        <v>93</v>
      </c>
      <c r="L490" s="172" t="s">
        <v>94</v>
      </c>
      <c r="M490" s="179">
        <v>0.43</v>
      </c>
      <c r="N490" s="177"/>
      <c r="O490" s="177"/>
      <c r="P490" s="180">
        <v>-14.56</v>
      </c>
    </row>
    <row r="491" spans="1:16" ht="19.5" customHeight="1">
      <c r="A491" s="172" t="s">
        <v>235</v>
      </c>
      <c r="B491" s="176">
        <v>46045</v>
      </c>
      <c r="C491" s="172" t="s">
        <v>81</v>
      </c>
      <c r="D491" s="172" t="s">
        <v>82</v>
      </c>
      <c r="E491" s="172" t="s">
        <v>53</v>
      </c>
      <c r="F491" s="172" t="s">
        <v>120</v>
      </c>
      <c r="G491" s="172" t="s">
        <v>84</v>
      </c>
      <c r="H491" s="177">
        <v>1</v>
      </c>
      <c r="I491" s="178">
        <v>0</v>
      </c>
      <c r="J491" s="176">
        <v>46037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-13.86</v>
      </c>
    </row>
    <row r="492" spans="1:16" ht="19.5" customHeight="1">
      <c r="A492" s="172" t="s">
        <v>237</v>
      </c>
      <c r="B492" s="176">
        <v>46045</v>
      </c>
      <c r="C492" s="172" t="s">
        <v>81</v>
      </c>
      <c r="D492" s="172" t="s">
        <v>82</v>
      </c>
      <c r="E492" s="172" t="s">
        <v>42</v>
      </c>
      <c r="F492" s="172" t="s">
        <v>89</v>
      </c>
      <c r="G492" s="172" t="s">
        <v>84</v>
      </c>
      <c r="H492" s="177">
        <v>1</v>
      </c>
      <c r="I492" s="178">
        <v>0</v>
      </c>
      <c r="J492" s="176">
        <v>46045</v>
      </c>
      <c r="K492" s="172" t="s">
        <v>85</v>
      </c>
      <c r="L492" s="172" t="s">
        <v>85</v>
      </c>
      <c r="M492" s="179">
        <v>0</v>
      </c>
      <c r="N492" s="177"/>
      <c r="O492" s="177"/>
      <c r="P492" s="180">
        <v>-11.04</v>
      </c>
    </row>
    <row r="493" spans="1:16" ht="19.5" customHeight="1">
      <c r="A493" s="172" t="s">
        <v>236</v>
      </c>
      <c r="B493" s="176">
        <v>46045</v>
      </c>
      <c r="C493" s="172" t="s">
        <v>81</v>
      </c>
      <c r="D493" s="172" t="s">
        <v>82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0</v>
      </c>
      <c r="J493" s="176">
        <v>46031</v>
      </c>
      <c r="K493" s="172" t="s">
        <v>85</v>
      </c>
      <c r="L493" s="172" t="s">
        <v>85</v>
      </c>
      <c r="M493" s="179">
        <v>0</v>
      </c>
      <c r="N493" s="177"/>
      <c r="O493" s="177"/>
      <c r="P493" s="180">
        <v>-3.27</v>
      </c>
    </row>
    <row r="494" spans="1:16" ht="19.5" customHeight="1">
      <c r="A494" s="172" t="s">
        <v>238</v>
      </c>
      <c r="B494" s="176">
        <v>46045</v>
      </c>
      <c r="C494" s="172" t="s">
        <v>81</v>
      </c>
      <c r="D494" s="172" t="s">
        <v>82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0</v>
      </c>
      <c r="J494" s="176">
        <v>46045</v>
      </c>
      <c r="K494" s="172" t="s">
        <v>85</v>
      </c>
      <c r="L494" s="172" t="s">
        <v>85</v>
      </c>
      <c r="M494" s="179">
        <v>0</v>
      </c>
      <c r="N494" s="177"/>
      <c r="O494" s="177"/>
      <c r="P494" s="180">
        <v>-3.63</v>
      </c>
    </row>
    <row r="495" spans="1:16" ht="19.5" customHeight="1">
      <c r="A495" s="172" t="s">
        <v>239</v>
      </c>
      <c r="B495" s="176">
        <v>46045</v>
      </c>
      <c r="C495" s="172" t="s">
        <v>92</v>
      </c>
      <c r="D495" s="172" t="s">
        <v>24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2027</v>
      </c>
      <c r="J495" s="176">
        <v>46037</v>
      </c>
      <c r="K495" s="172" t="s">
        <v>93</v>
      </c>
      <c r="L495" s="172" t="s">
        <v>94</v>
      </c>
      <c r="M495" s="179">
        <v>0.43</v>
      </c>
      <c r="N495" s="177"/>
      <c r="O495" s="177">
        <v>45</v>
      </c>
      <c r="P495" s="180">
        <v>-159.85</v>
      </c>
    </row>
    <row r="496" spans="1:16" ht="19.5" customHeight="1">
      <c r="A496" s="172" t="s">
        <v>239</v>
      </c>
      <c r="B496" s="176">
        <v>46045</v>
      </c>
      <c r="C496" s="172" t="s">
        <v>100</v>
      </c>
      <c r="D496" s="172" t="s">
        <v>101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2027</v>
      </c>
      <c r="J496" s="176">
        <v>46037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706.67</v>
      </c>
    </row>
    <row r="497" spans="1:16" ht="19.5" customHeight="1">
      <c r="A497" s="172" t="s">
        <v>239</v>
      </c>
      <c r="B497" s="176">
        <v>46045</v>
      </c>
      <c r="C497" s="172" t="s">
        <v>100</v>
      </c>
      <c r="D497" s="172" t="s">
        <v>102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2027</v>
      </c>
      <c r="J497" s="176">
        <v>46037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7.07</v>
      </c>
    </row>
    <row r="498" spans="1:16" ht="19.5" customHeight="1">
      <c r="A498" s="172" t="s">
        <v>239</v>
      </c>
      <c r="B498" s="176">
        <v>46045</v>
      </c>
      <c r="C498" s="172" t="s">
        <v>100</v>
      </c>
      <c r="D498" s="172" t="s">
        <v>103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2027</v>
      </c>
      <c r="J498" s="176">
        <v>46037</v>
      </c>
      <c r="K498" s="172" t="s">
        <v>93</v>
      </c>
      <c r="L498" s="172" t="s">
        <v>94</v>
      </c>
      <c r="M498" s="179">
        <v>0</v>
      </c>
      <c r="N498" s="177"/>
      <c r="O498" s="177"/>
      <c r="P498" s="180">
        <v>1313.26</v>
      </c>
    </row>
    <row r="499" spans="1:16" ht="19.5" customHeight="1">
      <c r="A499" s="172" t="s">
        <v>239</v>
      </c>
      <c r="B499" s="176">
        <v>46045</v>
      </c>
      <c r="C499" s="172" t="s">
        <v>104</v>
      </c>
      <c r="D499" s="172" t="s">
        <v>105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2027</v>
      </c>
      <c r="J499" s="176">
        <v>46037</v>
      </c>
      <c r="K499" s="172" t="s">
        <v>93</v>
      </c>
      <c r="L499" s="172" t="s">
        <v>94</v>
      </c>
      <c r="M499" s="179">
        <v>0.43</v>
      </c>
      <c r="N499" s="177"/>
      <c r="O499" s="177"/>
      <c r="P499" s="180">
        <v>-871.61</v>
      </c>
    </row>
    <row r="500" spans="1:16" ht="19.5" customHeight="1">
      <c r="A500" s="172" t="s">
        <v>239</v>
      </c>
      <c r="B500" s="176">
        <v>46045</v>
      </c>
      <c r="C500" s="172" t="s">
        <v>81</v>
      </c>
      <c r="D500" s="172" t="s">
        <v>95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2027</v>
      </c>
      <c r="J500" s="176">
        <v>46037</v>
      </c>
      <c r="K500" s="172" t="s">
        <v>93</v>
      </c>
      <c r="L500" s="172" t="s">
        <v>94</v>
      </c>
      <c r="M500" s="179">
        <v>0.43</v>
      </c>
      <c r="N500" s="177"/>
      <c r="O500" s="177"/>
      <c r="P500" s="180">
        <v>-25</v>
      </c>
    </row>
    <row r="501" spans="1:16" ht="19.5" customHeight="1">
      <c r="A501" s="172" t="s">
        <v>240</v>
      </c>
      <c r="B501" s="176">
        <v>46045</v>
      </c>
      <c r="C501" s="172" t="s">
        <v>92</v>
      </c>
      <c r="D501" s="172" t="s">
        <v>24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1845</v>
      </c>
      <c r="J501" s="176">
        <v>46041</v>
      </c>
      <c r="K501" s="172" t="s">
        <v>93</v>
      </c>
      <c r="L501" s="172" t="s">
        <v>94</v>
      </c>
      <c r="M501" s="179">
        <v>0.43</v>
      </c>
      <c r="N501" s="177"/>
      <c r="O501" s="177">
        <v>44</v>
      </c>
      <c r="P501" s="180">
        <v>-149.4</v>
      </c>
    </row>
    <row r="502" spans="1:16" ht="19.5" customHeight="1">
      <c r="A502" s="172" t="s">
        <v>240</v>
      </c>
      <c r="B502" s="176">
        <v>46045</v>
      </c>
      <c r="C502" s="172" t="s">
        <v>100</v>
      </c>
      <c r="D502" s="172" t="s">
        <v>101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1845</v>
      </c>
      <c r="J502" s="176">
        <v>46041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807.62</v>
      </c>
    </row>
    <row r="503" spans="1:16" ht="19.5" customHeight="1">
      <c r="A503" s="172" t="s">
        <v>240</v>
      </c>
      <c r="B503" s="176">
        <v>46045</v>
      </c>
      <c r="C503" s="172" t="s">
        <v>100</v>
      </c>
      <c r="D503" s="172" t="s">
        <v>102</v>
      </c>
      <c r="E503" s="172" t="s">
        <v>53</v>
      </c>
      <c r="F503" s="172" t="s">
        <v>120</v>
      </c>
      <c r="G503" s="172" t="s">
        <v>84</v>
      </c>
      <c r="H503" s="177">
        <v>1</v>
      </c>
      <c r="I503" s="178">
        <v>1845</v>
      </c>
      <c r="J503" s="176">
        <v>46041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8.08</v>
      </c>
    </row>
    <row r="504" spans="1:16" ht="19.5" customHeight="1">
      <c r="A504" s="172" t="s">
        <v>240</v>
      </c>
      <c r="B504" s="176">
        <v>46045</v>
      </c>
      <c r="C504" s="172" t="s">
        <v>100</v>
      </c>
      <c r="D504" s="172" t="s">
        <v>103</v>
      </c>
      <c r="E504" s="172" t="s">
        <v>53</v>
      </c>
      <c r="F504" s="172" t="s">
        <v>120</v>
      </c>
      <c r="G504" s="172" t="s">
        <v>84</v>
      </c>
      <c r="H504" s="177">
        <v>1</v>
      </c>
      <c r="I504" s="178">
        <v>1845</v>
      </c>
      <c r="J504" s="176">
        <v>46041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1029.3</v>
      </c>
    </row>
    <row r="505" spans="1:16" ht="19.5" customHeight="1">
      <c r="A505" s="172" t="s">
        <v>240</v>
      </c>
      <c r="B505" s="176">
        <v>46045</v>
      </c>
      <c r="C505" s="172" t="s">
        <v>104</v>
      </c>
      <c r="D505" s="172" t="s">
        <v>105</v>
      </c>
      <c r="E505" s="172" t="s">
        <v>53</v>
      </c>
      <c r="F505" s="172" t="s">
        <v>120</v>
      </c>
      <c r="G505" s="172" t="s">
        <v>84</v>
      </c>
      <c r="H505" s="177">
        <v>1</v>
      </c>
      <c r="I505" s="178">
        <v>1845</v>
      </c>
      <c r="J505" s="176">
        <v>46041</v>
      </c>
      <c r="K505" s="172" t="s">
        <v>93</v>
      </c>
      <c r="L505" s="172" t="s">
        <v>94</v>
      </c>
      <c r="M505" s="179">
        <v>0.43</v>
      </c>
      <c r="N505" s="177"/>
      <c r="O505" s="177"/>
      <c r="P505" s="180">
        <v>-793.35</v>
      </c>
    </row>
    <row r="506" spans="1:16" ht="19.5" customHeight="1">
      <c r="A506" s="172" t="s">
        <v>240</v>
      </c>
      <c r="B506" s="176">
        <v>46045</v>
      </c>
      <c r="C506" s="172" t="s">
        <v>81</v>
      </c>
      <c r="D506" s="172" t="s">
        <v>95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1845</v>
      </c>
      <c r="J506" s="176">
        <v>46041</v>
      </c>
      <c r="K506" s="172" t="s">
        <v>93</v>
      </c>
      <c r="L506" s="172" t="s">
        <v>94</v>
      </c>
      <c r="M506" s="179">
        <v>0.43</v>
      </c>
      <c r="N506" s="177"/>
      <c r="O506" s="177"/>
      <c r="P506" s="180">
        <v>-20.239999999999998</v>
      </c>
    </row>
    <row r="507" spans="1:16" ht="19.5" customHeight="1">
      <c r="A507" s="172" t="s">
        <v>241</v>
      </c>
      <c r="B507" s="176">
        <v>46045</v>
      </c>
      <c r="C507" s="172" t="s">
        <v>92</v>
      </c>
      <c r="D507" s="172" t="s">
        <v>24</v>
      </c>
      <c r="E507" s="172" t="s">
        <v>52</v>
      </c>
      <c r="F507" s="172" t="s">
        <v>90</v>
      </c>
      <c r="G507" s="172" t="s">
        <v>84</v>
      </c>
      <c r="H507" s="177">
        <v>1</v>
      </c>
      <c r="I507" s="178">
        <v>0</v>
      </c>
      <c r="J507" s="176">
        <v>46032</v>
      </c>
      <c r="K507" s="172" t="s">
        <v>93</v>
      </c>
      <c r="L507" s="172" t="s">
        <v>94</v>
      </c>
      <c r="M507" s="179">
        <v>0</v>
      </c>
      <c r="N507" s="177"/>
      <c r="O507" s="177">
        <v>41</v>
      </c>
      <c r="P507" s="180">
        <v>-56.94</v>
      </c>
    </row>
    <row r="508" spans="1:16" ht="19.5" customHeight="1">
      <c r="A508" s="172" t="s">
        <v>241</v>
      </c>
      <c r="B508" s="176">
        <v>46045</v>
      </c>
      <c r="C508" s="172" t="s">
        <v>81</v>
      </c>
      <c r="D508" s="172" t="s">
        <v>95</v>
      </c>
      <c r="E508" s="172" t="s">
        <v>52</v>
      </c>
      <c r="F508" s="172" t="s">
        <v>90</v>
      </c>
      <c r="G508" s="172" t="s">
        <v>84</v>
      </c>
      <c r="H508" s="177">
        <v>1</v>
      </c>
      <c r="I508" s="178">
        <v>0</v>
      </c>
      <c r="J508" s="176">
        <v>46032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-9.09</v>
      </c>
    </row>
    <row r="509" spans="1:16" ht="19.5" customHeight="1">
      <c r="A509" s="172" t="s">
        <v>239</v>
      </c>
      <c r="B509" s="176">
        <v>46045</v>
      </c>
      <c r="C509" s="172" t="s">
        <v>81</v>
      </c>
      <c r="D509" s="172" t="s">
        <v>82</v>
      </c>
      <c r="E509" s="172" t="s">
        <v>52</v>
      </c>
      <c r="F509" s="172" t="s">
        <v>90</v>
      </c>
      <c r="G509" s="172" t="s">
        <v>84</v>
      </c>
      <c r="H509" s="177">
        <v>1</v>
      </c>
      <c r="I509" s="178">
        <v>0</v>
      </c>
      <c r="J509" s="176">
        <v>46037</v>
      </c>
      <c r="K509" s="172" t="s">
        <v>85</v>
      </c>
      <c r="L509" s="172" t="s">
        <v>85</v>
      </c>
      <c r="M509" s="179">
        <v>0</v>
      </c>
      <c r="N509" s="177"/>
      <c r="O509" s="177"/>
      <c r="P509" s="180">
        <v>-13.43</v>
      </c>
    </row>
    <row r="510" spans="1:16" ht="19.5" customHeight="1">
      <c r="A510" s="172" t="s">
        <v>242</v>
      </c>
      <c r="B510" s="176">
        <v>46045</v>
      </c>
      <c r="C510" s="172" t="s">
        <v>81</v>
      </c>
      <c r="D510" s="172" t="s">
        <v>82</v>
      </c>
      <c r="E510" s="172" t="s">
        <v>53</v>
      </c>
      <c r="F510" s="172" t="s">
        <v>120</v>
      </c>
      <c r="G510" s="172" t="s">
        <v>84</v>
      </c>
      <c r="H510" s="177">
        <v>1</v>
      </c>
      <c r="I510" s="178">
        <v>0</v>
      </c>
      <c r="J510" s="176">
        <v>46045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-12.4</v>
      </c>
    </row>
    <row r="511" spans="1:16" ht="19.5" customHeight="1">
      <c r="A511" s="172" t="s">
        <v>241</v>
      </c>
      <c r="B511" s="176">
        <v>46045</v>
      </c>
      <c r="C511" s="172" t="s">
        <v>92</v>
      </c>
      <c r="D511" s="172" t="s">
        <v>96</v>
      </c>
      <c r="E511" s="172" t="s">
        <v>52</v>
      </c>
      <c r="F511" s="172" t="s">
        <v>90</v>
      </c>
      <c r="G511" s="172" t="s">
        <v>84</v>
      </c>
      <c r="H511" s="177">
        <v>1</v>
      </c>
      <c r="I511" s="178">
        <v>0</v>
      </c>
      <c r="J511" s="176">
        <v>46032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0</v>
      </c>
    </row>
    <row r="512" spans="1:16" ht="19.5" customHeight="1">
      <c r="A512" s="172" t="s">
        <v>241</v>
      </c>
      <c r="B512" s="176">
        <v>46045</v>
      </c>
      <c r="C512" s="172" t="s">
        <v>92</v>
      </c>
      <c r="D512" s="172" t="s">
        <v>97</v>
      </c>
      <c r="E512" s="172" t="s">
        <v>52</v>
      </c>
      <c r="F512" s="172" t="s">
        <v>90</v>
      </c>
      <c r="G512" s="172" t="s">
        <v>84</v>
      </c>
      <c r="H512" s="177">
        <v>1</v>
      </c>
      <c r="I512" s="178">
        <v>0</v>
      </c>
      <c r="J512" s="176">
        <v>46032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-56.94</v>
      </c>
    </row>
    <row r="513" spans="1:16" ht="19.5" customHeight="1">
      <c r="A513" s="172" t="s">
        <v>241</v>
      </c>
      <c r="B513" s="176">
        <v>46045</v>
      </c>
      <c r="C513" s="172" t="s">
        <v>81</v>
      </c>
      <c r="D513" s="172" t="s">
        <v>98</v>
      </c>
      <c r="E513" s="172" t="s">
        <v>52</v>
      </c>
      <c r="F513" s="172" t="s">
        <v>90</v>
      </c>
      <c r="G513" s="172" t="s">
        <v>84</v>
      </c>
      <c r="H513" s="177">
        <v>1</v>
      </c>
      <c r="I513" s="178">
        <v>0</v>
      </c>
      <c r="J513" s="176">
        <v>46032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-15</v>
      </c>
    </row>
    <row r="514" spans="1:16" ht="19.5" customHeight="1">
      <c r="A514" s="172" t="s">
        <v>243</v>
      </c>
      <c r="B514" s="176">
        <v>46045</v>
      </c>
      <c r="C514" s="172" t="s">
        <v>92</v>
      </c>
      <c r="D514" s="172" t="s">
        <v>24</v>
      </c>
      <c r="E514" s="172" t="s">
        <v>52</v>
      </c>
      <c r="F514" s="172" t="s">
        <v>90</v>
      </c>
      <c r="G514" s="172" t="s">
        <v>84</v>
      </c>
      <c r="H514" s="177">
        <v>1</v>
      </c>
      <c r="I514" s="178">
        <v>1621</v>
      </c>
      <c r="J514" s="176">
        <v>46036</v>
      </c>
      <c r="K514" s="172" t="s">
        <v>93</v>
      </c>
      <c r="L514" s="172" t="s">
        <v>94</v>
      </c>
      <c r="M514" s="179">
        <v>0.43</v>
      </c>
      <c r="N514" s="177"/>
      <c r="O514" s="177">
        <v>45</v>
      </c>
      <c r="P514" s="180">
        <v>-148.01</v>
      </c>
    </row>
    <row r="515" spans="1:16" ht="19.5" customHeight="1">
      <c r="A515" s="172" t="s">
        <v>243</v>
      </c>
      <c r="B515" s="176">
        <v>46045</v>
      </c>
      <c r="C515" s="172" t="s">
        <v>100</v>
      </c>
      <c r="D515" s="172" t="s">
        <v>101</v>
      </c>
      <c r="E515" s="172" t="s">
        <v>52</v>
      </c>
      <c r="F515" s="172" t="s">
        <v>90</v>
      </c>
      <c r="G515" s="172" t="s">
        <v>84</v>
      </c>
      <c r="H515" s="177">
        <v>1</v>
      </c>
      <c r="I515" s="178">
        <v>1621</v>
      </c>
      <c r="J515" s="176">
        <v>46036</v>
      </c>
      <c r="K515" s="172" t="s">
        <v>93</v>
      </c>
      <c r="L515" s="172" t="s">
        <v>94</v>
      </c>
      <c r="M515" s="179">
        <v>0</v>
      </c>
      <c r="N515" s="177"/>
      <c r="O515" s="177"/>
      <c r="P515" s="180">
        <v>557.14</v>
      </c>
    </row>
    <row r="516" spans="1:16" ht="19.5" customHeight="1">
      <c r="A516" s="172" t="s">
        <v>243</v>
      </c>
      <c r="B516" s="176">
        <v>46045</v>
      </c>
      <c r="C516" s="172" t="s">
        <v>100</v>
      </c>
      <c r="D516" s="172" t="s">
        <v>102</v>
      </c>
      <c r="E516" s="172" t="s">
        <v>52</v>
      </c>
      <c r="F516" s="172" t="s">
        <v>90</v>
      </c>
      <c r="G516" s="172" t="s">
        <v>84</v>
      </c>
      <c r="H516" s="177">
        <v>1</v>
      </c>
      <c r="I516" s="178">
        <v>1621</v>
      </c>
      <c r="J516" s="176">
        <v>46036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5.57</v>
      </c>
    </row>
    <row r="517" spans="1:16" ht="19.5" customHeight="1">
      <c r="A517" s="172" t="s">
        <v>243</v>
      </c>
      <c r="B517" s="176">
        <v>46045</v>
      </c>
      <c r="C517" s="172" t="s">
        <v>100</v>
      </c>
      <c r="D517" s="172" t="s">
        <v>103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46036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1058.29</v>
      </c>
    </row>
    <row r="518" spans="1:16" ht="19.5" customHeight="1">
      <c r="A518" s="172" t="s">
        <v>243</v>
      </c>
      <c r="B518" s="176">
        <v>46045</v>
      </c>
      <c r="C518" s="172" t="s">
        <v>104</v>
      </c>
      <c r="D518" s="172" t="s">
        <v>105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46036</v>
      </c>
      <c r="K518" s="172" t="s">
        <v>93</v>
      </c>
      <c r="L518" s="172" t="s">
        <v>94</v>
      </c>
      <c r="M518" s="179">
        <v>0.43</v>
      </c>
      <c r="N518" s="177"/>
      <c r="O518" s="177"/>
      <c r="P518" s="180">
        <v>-697.03</v>
      </c>
    </row>
    <row r="519" spans="1:16" ht="19.5" customHeight="1">
      <c r="A519" s="172" t="s">
        <v>244</v>
      </c>
      <c r="B519" s="176">
        <v>46045</v>
      </c>
      <c r="C519" s="172" t="s">
        <v>81</v>
      </c>
      <c r="D519" s="172" t="s">
        <v>82</v>
      </c>
      <c r="E519" s="172" t="s">
        <v>42</v>
      </c>
      <c r="F519" s="172" t="s">
        <v>89</v>
      </c>
      <c r="G519" s="172" t="s">
        <v>84</v>
      </c>
      <c r="H519" s="177">
        <v>1</v>
      </c>
      <c r="I519" s="178">
        <v>0</v>
      </c>
      <c r="J519" s="176">
        <v>46045</v>
      </c>
      <c r="K519" s="172" t="s">
        <v>85</v>
      </c>
      <c r="L519" s="172" t="s">
        <v>85</v>
      </c>
      <c r="M519" s="179">
        <v>0</v>
      </c>
      <c r="N519" s="177"/>
      <c r="O519" s="177"/>
      <c r="P519" s="180">
        <v>-11.53</v>
      </c>
    </row>
    <row r="520" spans="1:16" ht="19.5" customHeight="1">
      <c r="A520" s="172" t="s">
        <v>240</v>
      </c>
      <c r="B520" s="176">
        <v>46045</v>
      </c>
      <c r="C520" s="172" t="s">
        <v>81</v>
      </c>
      <c r="D520" s="172" t="s">
        <v>82</v>
      </c>
      <c r="E520" s="172" t="s">
        <v>53</v>
      </c>
      <c r="F520" s="172" t="s">
        <v>120</v>
      </c>
      <c r="G520" s="172" t="s">
        <v>84</v>
      </c>
      <c r="H520" s="177">
        <v>1</v>
      </c>
      <c r="I520" s="178">
        <v>0</v>
      </c>
      <c r="J520" s="176">
        <v>46041</v>
      </c>
      <c r="K520" s="172" t="s">
        <v>85</v>
      </c>
      <c r="L520" s="172" t="s">
        <v>85</v>
      </c>
      <c r="M520" s="179">
        <v>0</v>
      </c>
      <c r="N520" s="177"/>
      <c r="O520" s="177"/>
      <c r="P520" s="180">
        <v>-15.34</v>
      </c>
    </row>
    <row r="521" spans="1:16" ht="19.5" customHeight="1">
      <c r="A521" s="172" t="s">
        <v>245</v>
      </c>
      <c r="B521" s="176">
        <v>46045</v>
      </c>
      <c r="C521" s="172" t="s">
        <v>92</v>
      </c>
      <c r="D521" s="172" t="s">
        <v>24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1885</v>
      </c>
      <c r="J521" s="176">
        <v>46043</v>
      </c>
      <c r="K521" s="172" t="s">
        <v>93</v>
      </c>
      <c r="L521" s="172" t="s">
        <v>94</v>
      </c>
      <c r="M521" s="179">
        <v>0.43</v>
      </c>
      <c r="N521" s="177"/>
      <c r="O521" s="177">
        <v>43</v>
      </c>
      <c r="P521" s="180">
        <v>-147.65</v>
      </c>
    </row>
    <row r="522" spans="1:16" ht="19.5" customHeight="1">
      <c r="A522" s="172" t="s">
        <v>245</v>
      </c>
      <c r="B522" s="176">
        <v>46045</v>
      </c>
      <c r="C522" s="172" t="s">
        <v>100</v>
      </c>
      <c r="D522" s="172" t="s">
        <v>101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1885</v>
      </c>
      <c r="J522" s="176">
        <v>46043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657.14</v>
      </c>
    </row>
    <row r="523" spans="1:16" ht="19.5" customHeight="1">
      <c r="A523" s="172" t="s">
        <v>245</v>
      </c>
      <c r="B523" s="176">
        <v>46045</v>
      </c>
      <c r="C523" s="172" t="s">
        <v>100</v>
      </c>
      <c r="D523" s="172" t="s">
        <v>102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1885</v>
      </c>
      <c r="J523" s="176">
        <v>46043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6.57</v>
      </c>
    </row>
    <row r="524" spans="1:16" ht="19.5" customHeight="1">
      <c r="A524" s="172" t="s">
        <v>245</v>
      </c>
      <c r="B524" s="176">
        <v>46045</v>
      </c>
      <c r="C524" s="172" t="s">
        <v>100</v>
      </c>
      <c r="D524" s="172" t="s">
        <v>103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1885</v>
      </c>
      <c r="J524" s="176">
        <v>46043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1221.29</v>
      </c>
    </row>
    <row r="525" spans="1:16" ht="19.5" customHeight="1">
      <c r="A525" s="172" t="s">
        <v>245</v>
      </c>
      <c r="B525" s="176">
        <v>46045</v>
      </c>
      <c r="C525" s="172" t="s">
        <v>104</v>
      </c>
      <c r="D525" s="172" t="s">
        <v>105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1885</v>
      </c>
      <c r="J525" s="176">
        <v>46043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-810.55</v>
      </c>
    </row>
    <row r="526" spans="1:16" ht="19.5" customHeight="1">
      <c r="A526" s="172" t="s">
        <v>245</v>
      </c>
      <c r="B526" s="176">
        <v>46045</v>
      </c>
      <c r="C526" s="172" t="s">
        <v>81</v>
      </c>
      <c r="D526" s="172" t="s">
        <v>95</v>
      </c>
      <c r="E526" s="172" t="s">
        <v>52</v>
      </c>
      <c r="F526" s="172" t="s">
        <v>90</v>
      </c>
      <c r="G526" s="172" t="s">
        <v>84</v>
      </c>
      <c r="H526" s="177">
        <v>1</v>
      </c>
      <c r="I526" s="178">
        <v>1885</v>
      </c>
      <c r="J526" s="176">
        <v>46043</v>
      </c>
      <c r="K526" s="172" t="s">
        <v>93</v>
      </c>
      <c r="L526" s="172" t="s">
        <v>94</v>
      </c>
      <c r="M526" s="179">
        <v>0.43</v>
      </c>
      <c r="N526" s="177"/>
      <c r="O526" s="177"/>
      <c r="P526" s="180">
        <v>-14.84</v>
      </c>
    </row>
    <row r="527" spans="1:16" ht="19.5" customHeight="1">
      <c r="A527" s="172" t="s">
        <v>246</v>
      </c>
      <c r="B527" s="176">
        <v>46045</v>
      </c>
      <c r="C527" s="172" t="s">
        <v>81</v>
      </c>
      <c r="D527" s="172" t="s">
        <v>82</v>
      </c>
      <c r="E527" s="172" t="s">
        <v>43</v>
      </c>
      <c r="F527" s="172" t="s">
        <v>125</v>
      </c>
      <c r="G527" s="172" t="s">
        <v>84</v>
      </c>
      <c r="H527" s="177">
        <v>1</v>
      </c>
      <c r="I527" s="178">
        <v>0</v>
      </c>
      <c r="J527" s="176">
        <v>46045</v>
      </c>
      <c r="K527" s="172" t="s">
        <v>85</v>
      </c>
      <c r="L527" s="172" t="s">
        <v>85</v>
      </c>
      <c r="M527" s="179">
        <v>0</v>
      </c>
      <c r="N527" s="177"/>
      <c r="O527" s="177"/>
      <c r="P527" s="180">
        <v>-11.7</v>
      </c>
    </row>
    <row r="528" spans="1:16" ht="19.5" customHeight="1">
      <c r="A528" s="172" t="s">
        <v>245</v>
      </c>
      <c r="B528" s="176">
        <v>46045</v>
      </c>
      <c r="C528" s="172" t="s">
        <v>81</v>
      </c>
      <c r="D528" s="172" t="s">
        <v>82</v>
      </c>
      <c r="E528" s="172" t="s">
        <v>52</v>
      </c>
      <c r="F528" s="172" t="s">
        <v>90</v>
      </c>
      <c r="G528" s="172" t="s">
        <v>84</v>
      </c>
      <c r="H528" s="177">
        <v>1</v>
      </c>
      <c r="I528" s="178">
        <v>0</v>
      </c>
      <c r="J528" s="176">
        <v>46043</v>
      </c>
      <c r="K528" s="172" t="s">
        <v>85</v>
      </c>
      <c r="L528" s="172" t="s">
        <v>85</v>
      </c>
      <c r="M528" s="179">
        <v>0</v>
      </c>
      <c r="N528" s="177"/>
      <c r="O528" s="177"/>
      <c r="P528" s="180">
        <v>-12.49</v>
      </c>
    </row>
    <row r="529" spans="1:16" ht="19.5" customHeight="1">
      <c r="A529" s="172" t="s">
        <v>247</v>
      </c>
      <c r="B529" s="176">
        <v>46045</v>
      </c>
      <c r="C529" s="172" t="s">
        <v>166</v>
      </c>
      <c r="D529" s="172" t="s">
        <v>167</v>
      </c>
      <c r="E529" s="172" t="s">
        <v>43</v>
      </c>
      <c r="F529" s="172" t="s">
        <v>125</v>
      </c>
      <c r="G529" s="172" t="s">
        <v>84</v>
      </c>
      <c r="H529" s="177">
        <v>1</v>
      </c>
      <c r="I529" s="178">
        <v>-1202</v>
      </c>
      <c r="J529" s="176">
        <v>46025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-418.96</v>
      </c>
    </row>
    <row r="530" spans="1:16" ht="19.5" customHeight="1">
      <c r="A530" s="172" t="s">
        <v>247</v>
      </c>
      <c r="B530" s="176">
        <v>46045</v>
      </c>
      <c r="C530" s="172" t="s">
        <v>166</v>
      </c>
      <c r="D530" s="172" t="s">
        <v>102</v>
      </c>
      <c r="E530" s="172" t="s">
        <v>43</v>
      </c>
      <c r="F530" s="172" t="s">
        <v>125</v>
      </c>
      <c r="G530" s="172" t="s">
        <v>84</v>
      </c>
      <c r="H530" s="177">
        <v>1</v>
      </c>
      <c r="I530" s="178">
        <v>-1202</v>
      </c>
      <c r="J530" s="176">
        <v>46025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-4.1900000000000004</v>
      </c>
    </row>
    <row r="531" spans="1:16" ht="19.5" customHeight="1">
      <c r="A531" s="172" t="s">
        <v>247</v>
      </c>
      <c r="B531" s="176">
        <v>46045</v>
      </c>
      <c r="C531" s="172" t="s">
        <v>166</v>
      </c>
      <c r="D531" s="172" t="s">
        <v>103</v>
      </c>
      <c r="E531" s="172" t="s">
        <v>43</v>
      </c>
      <c r="F531" s="172" t="s">
        <v>125</v>
      </c>
      <c r="G531" s="172" t="s">
        <v>84</v>
      </c>
      <c r="H531" s="177">
        <v>1</v>
      </c>
      <c r="I531" s="178">
        <v>-1202</v>
      </c>
      <c r="J531" s="176">
        <v>46025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-778.85</v>
      </c>
    </row>
    <row r="532" spans="1:16" ht="19.5" customHeight="1">
      <c r="A532" s="172" t="s">
        <v>247</v>
      </c>
      <c r="B532" s="176">
        <v>46045</v>
      </c>
      <c r="C532" s="172" t="s">
        <v>104</v>
      </c>
      <c r="D532" s="172" t="s">
        <v>168</v>
      </c>
      <c r="E532" s="172" t="s">
        <v>43</v>
      </c>
      <c r="F532" s="172" t="s">
        <v>125</v>
      </c>
      <c r="G532" s="172" t="s">
        <v>84</v>
      </c>
      <c r="H532" s="177">
        <v>1</v>
      </c>
      <c r="I532" s="178">
        <v>-1202</v>
      </c>
      <c r="J532" s="176">
        <v>46025</v>
      </c>
      <c r="K532" s="172" t="s">
        <v>93</v>
      </c>
      <c r="L532" s="172" t="s">
        <v>94</v>
      </c>
      <c r="M532" s="179">
        <v>0.43</v>
      </c>
      <c r="N532" s="177"/>
      <c r="O532" s="177"/>
      <c r="P532" s="180">
        <v>516.86</v>
      </c>
    </row>
    <row r="533" spans="1:16" ht="19.5" customHeight="1">
      <c r="A533" s="172" t="s">
        <v>248</v>
      </c>
      <c r="B533" s="176">
        <v>46045</v>
      </c>
      <c r="C533" s="172" t="s">
        <v>92</v>
      </c>
      <c r="D533" s="172" t="s">
        <v>24</v>
      </c>
      <c r="E533" s="172" t="s">
        <v>40</v>
      </c>
      <c r="F533" s="172" t="s">
        <v>197</v>
      </c>
      <c r="G533" s="172" t="s">
        <v>84</v>
      </c>
      <c r="H533" s="177">
        <v>1</v>
      </c>
      <c r="I533" s="178">
        <v>1750</v>
      </c>
      <c r="J533" s="176">
        <v>46033</v>
      </c>
      <c r="K533" s="172" t="s">
        <v>93</v>
      </c>
      <c r="L533" s="172" t="s">
        <v>94</v>
      </c>
      <c r="M533" s="179">
        <v>0.43</v>
      </c>
      <c r="N533" s="177"/>
      <c r="O533" s="177">
        <v>42</v>
      </c>
      <c r="P533" s="180">
        <v>-123.31</v>
      </c>
    </row>
    <row r="534" spans="1:16" ht="19.5" customHeight="1">
      <c r="A534" s="172" t="s">
        <v>248</v>
      </c>
      <c r="B534" s="176">
        <v>46045</v>
      </c>
      <c r="C534" s="172" t="s">
        <v>100</v>
      </c>
      <c r="D534" s="172" t="s">
        <v>101</v>
      </c>
      <c r="E534" s="172" t="s">
        <v>40</v>
      </c>
      <c r="F534" s="172" t="s">
        <v>197</v>
      </c>
      <c r="G534" s="172" t="s">
        <v>84</v>
      </c>
      <c r="H534" s="177">
        <v>1</v>
      </c>
      <c r="I534" s="178">
        <v>1750</v>
      </c>
      <c r="J534" s="176">
        <v>46033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849.29</v>
      </c>
    </row>
    <row r="535" spans="1:16" ht="19.5" customHeight="1">
      <c r="A535" s="172" t="s">
        <v>248</v>
      </c>
      <c r="B535" s="176">
        <v>46045</v>
      </c>
      <c r="C535" s="172" t="s">
        <v>100</v>
      </c>
      <c r="D535" s="172" t="s">
        <v>102</v>
      </c>
      <c r="E535" s="172" t="s">
        <v>40</v>
      </c>
      <c r="F535" s="172" t="s">
        <v>197</v>
      </c>
      <c r="G535" s="172" t="s">
        <v>84</v>
      </c>
      <c r="H535" s="177">
        <v>1</v>
      </c>
      <c r="I535" s="178">
        <v>1750</v>
      </c>
      <c r="J535" s="176">
        <v>46033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8.49</v>
      </c>
    </row>
    <row r="536" spans="1:16" ht="19.5" customHeight="1">
      <c r="A536" s="172" t="s">
        <v>248</v>
      </c>
      <c r="B536" s="176">
        <v>46045</v>
      </c>
      <c r="C536" s="172" t="s">
        <v>100</v>
      </c>
      <c r="D536" s="172" t="s">
        <v>103</v>
      </c>
      <c r="E536" s="172" t="s">
        <v>40</v>
      </c>
      <c r="F536" s="172" t="s">
        <v>197</v>
      </c>
      <c r="G536" s="172" t="s">
        <v>84</v>
      </c>
      <c r="H536" s="177">
        <v>1</v>
      </c>
      <c r="I536" s="178">
        <v>1750</v>
      </c>
      <c r="J536" s="176">
        <v>46033</v>
      </c>
      <c r="K536" s="172" t="s">
        <v>93</v>
      </c>
      <c r="L536" s="172" t="s">
        <v>94</v>
      </c>
      <c r="M536" s="179">
        <v>0</v>
      </c>
      <c r="N536" s="177"/>
      <c r="O536" s="177"/>
      <c r="P536" s="180">
        <v>892.22</v>
      </c>
    </row>
    <row r="537" spans="1:16" ht="19.5" customHeight="1">
      <c r="A537" s="172" t="s">
        <v>248</v>
      </c>
      <c r="B537" s="176">
        <v>46045</v>
      </c>
      <c r="C537" s="172" t="s">
        <v>104</v>
      </c>
      <c r="D537" s="172" t="s">
        <v>105</v>
      </c>
      <c r="E537" s="172" t="s">
        <v>40</v>
      </c>
      <c r="F537" s="172" t="s">
        <v>197</v>
      </c>
      <c r="G537" s="172" t="s">
        <v>84</v>
      </c>
      <c r="H537" s="177">
        <v>1</v>
      </c>
      <c r="I537" s="178">
        <v>1750</v>
      </c>
      <c r="J537" s="176">
        <v>46033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-752.5</v>
      </c>
    </row>
    <row r="538" spans="1:16" ht="19.5" customHeight="1">
      <c r="A538" s="172" t="s">
        <v>248</v>
      </c>
      <c r="B538" s="176">
        <v>46045</v>
      </c>
      <c r="C538" s="172" t="s">
        <v>81</v>
      </c>
      <c r="D538" s="172" t="s">
        <v>95</v>
      </c>
      <c r="E538" s="172" t="s">
        <v>40</v>
      </c>
      <c r="F538" s="172" t="s">
        <v>197</v>
      </c>
      <c r="G538" s="172" t="s">
        <v>84</v>
      </c>
      <c r="H538" s="177">
        <v>1</v>
      </c>
      <c r="I538" s="178">
        <v>1750</v>
      </c>
      <c r="J538" s="176">
        <v>46033</v>
      </c>
      <c r="K538" s="172" t="s">
        <v>93</v>
      </c>
      <c r="L538" s="172" t="s">
        <v>94</v>
      </c>
      <c r="M538" s="179">
        <v>0.43</v>
      </c>
      <c r="N538" s="177"/>
      <c r="O538" s="177"/>
      <c r="P538" s="180">
        <v>-10.58</v>
      </c>
    </row>
    <row r="539" spans="1:16" ht="19.5" customHeight="1">
      <c r="A539" s="172" t="s">
        <v>249</v>
      </c>
      <c r="B539" s="176">
        <v>46045</v>
      </c>
      <c r="C539" s="172" t="s">
        <v>81</v>
      </c>
      <c r="D539" s="172" t="s">
        <v>82</v>
      </c>
      <c r="E539" s="172" t="s">
        <v>43</v>
      </c>
      <c r="F539" s="172" t="s">
        <v>125</v>
      </c>
      <c r="G539" s="172" t="s">
        <v>84</v>
      </c>
      <c r="H539" s="177">
        <v>1</v>
      </c>
      <c r="I539" s="178">
        <v>0</v>
      </c>
      <c r="J539" s="176">
        <v>46025</v>
      </c>
      <c r="K539" s="172" t="s">
        <v>85</v>
      </c>
      <c r="L539" s="172" t="s">
        <v>85</v>
      </c>
      <c r="M539" s="179">
        <v>0</v>
      </c>
      <c r="N539" s="177"/>
      <c r="O539" s="177"/>
      <c r="P539" s="180">
        <v>7.96</v>
      </c>
    </row>
    <row r="540" spans="1:16" ht="19.5" customHeight="1">
      <c r="A540" s="172" t="s">
        <v>248</v>
      </c>
      <c r="B540" s="176">
        <v>46045</v>
      </c>
      <c r="C540" s="172" t="s">
        <v>81</v>
      </c>
      <c r="D540" s="172" t="s">
        <v>82</v>
      </c>
      <c r="E540" s="172" t="s">
        <v>40</v>
      </c>
      <c r="F540" s="172" t="s">
        <v>197</v>
      </c>
      <c r="G540" s="172" t="s">
        <v>84</v>
      </c>
      <c r="H540" s="177">
        <v>1</v>
      </c>
      <c r="I540" s="178">
        <v>0</v>
      </c>
      <c r="J540" s="176">
        <v>46033</v>
      </c>
      <c r="K540" s="172" t="s">
        <v>85</v>
      </c>
      <c r="L540" s="172" t="s">
        <v>85</v>
      </c>
      <c r="M540" s="179">
        <v>0</v>
      </c>
      <c r="N540" s="177"/>
      <c r="O540" s="177"/>
      <c r="P540" s="180">
        <v>-16.14</v>
      </c>
    </row>
    <row r="541" spans="1:16" ht="19.5" customHeight="1">
      <c r="A541" s="172" t="s">
        <v>250</v>
      </c>
      <c r="B541" s="176">
        <v>46045</v>
      </c>
      <c r="C541" s="172" t="s">
        <v>81</v>
      </c>
      <c r="D541" s="172" t="s">
        <v>82</v>
      </c>
      <c r="E541" s="172" t="s">
        <v>53</v>
      </c>
      <c r="F541" s="172" t="s">
        <v>120</v>
      </c>
      <c r="G541" s="172" t="s">
        <v>84</v>
      </c>
      <c r="H541" s="177">
        <v>1</v>
      </c>
      <c r="I541" s="178">
        <v>0</v>
      </c>
      <c r="J541" s="176">
        <v>46045</v>
      </c>
      <c r="K541" s="172" t="s">
        <v>85</v>
      </c>
      <c r="L541" s="172" t="s">
        <v>85</v>
      </c>
      <c r="M541" s="179">
        <v>0</v>
      </c>
      <c r="N541" s="177"/>
      <c r="O541" s="177"/>
      <c r="P541" s="180">
        <v>-1.88</v>
      </c>
    </row>
    <row r="542" spans="1:16" ht="19.5" customHeight="1">
      <c r="A542" s="172" t="s">
        <v>251</v>
      </c>
      <c r="B542" s="176">
        <v>46045</v>
      </c>
      <c r="C542" s="172" t="s">
        <v>92</v>
      </c>
      <c r="D542" s="172" t="s">
        <v>24</v>
      </c>
      <c r="E542" s="172" t="s">
        <v>53</v>
      </c>
      <c r="F542" s="172" t="s">
        <v>120</v>
      </c>
      <c r="G542" s="172" t="s">
        <v>84</v>
      </c>
      <c r="H542" s="177">
        <v>1</v>
      </c>
      <c r="I542" s="178">
        <v>1845</v>
      </c>
      <c r="J542" s="176">
        <v>46044</v>
      </c>
      <c r="K542" s="172" t="s">
        <v>93</v>
      </c>
      <c r="L542" s="172" t="s">
        <v>94</v>
      </c>
      <c r="M542" s="179">
        <v>0.43</v>
      </c>
      <c r="N542" s="177"/>
      <c r="O542" s="177">
        <v>42</v>
      </c>
      <c r="P542" s="180">
        <v>-140.5</v>
      </c>
    </row>
    <row r="543" spans="1:16" ht="19.5" customHeight="1">
      <c r="A543" s="172" t="s">
        <v>251</v>
      </c>
      <c r="B543" s="176">
        <v>46045</v>
      </c>
      <c r="C543" s="172" t="s">
        <v>100</v>
      </c>
      <c r="D543" s="172" t="s">
        <v>101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46044</v>
      </c>
      <c r="K543" s="172" t="s">
        <v>93</v>
      </c>
      <c r="L543" s="172" t="s">
        <v>94</v>
      </c>
      <c r="M543" s="179">
        <v>0</v>
      </c>
      <c r="N543" s="177"/>
      <c r="O543" s="177"/>
      <c r="P543" s="180">
        <v>657.79</v>
      </c>
    </row>
    <row r="544" spans="1:16" ht="19.5" customHeight="1">
      <c r="A544" s="172" t="s">
        <v>251</v>
      </c>
      <c r="B544" s="176">
        <v>46045</v>
      </c>
      <c r="C544" s="172" t="s">
        <v>100</v>
      </c>
      <c r="D544" s="172" t="s">
        <v>102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46044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6.58</v>
      </c>
    </row>
    <row r="545" spans="1:16" ht="19.5" customHeight="1">
      <c r="A545" s="172" t="s">
        <v>251</v>
      </c>
      <c r="B545" s="176">
        <v>46045</v>
      </c>
      <c r="C545" s="172" t="s">
        <v>100</v>
      </c>
      <c r="D545" s="172" t="s">
        <v>103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46044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1180.6300000000001</v>
      </c>
    </row>
    <row r="546" spans="1:16" ht="19.5" customHeight="1">
      <c r="A546" s="172" t="s">
        <v>251</v>
      </c>
      <c r="B546" s="176">
        <v>46045</v>
      </c>
      <c r="C546" s="172" t="s">
        <v>104</v>
      </c>
      <c r="D546" s="172" t="s">
        <v>105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46044</v>
      </c>
      <c r="K546" s="172" t="s">
        <v>93</v>
      </c>
      <c r="L546" s="172" t="s">
        <v>94</v>
      </c>
      <c r="M546" s="179">
        <v>0.43</v>
      </c>
      <c r="N546" s="177"/>
      <c r="O546" s="177"/>
      <c r="P546" s="180">
        <v>-793.35</v>
      </c>
    </row>
    <row r="547" spans="1:16" ht="19.5" customHeight="1">
      <c r="A547" s="172" t="s">
        <v>252</v>
      </c>
      <c r="B547" s="176">
        <v>46045</v>
      </c>
      <c r="C547" s="172" t="s">
        <v>92</v>
      </c>
      <c r="D547" s="172" t="s">
        <v>24</v>
      </c>
      <c r="E547" s="172" t="s">
        <v>52</v>
      </c>
      <c r="F547" s="172" t="s">
        <v>90</v>
      </c>
      <c r="G547" s="172" t="s">
        <v>84</v>
      </c>
      <c r="H547" s="177">
        <v>1</v>
      </c>
      <c r="I547" s="178">
        <v>1885</v>
      </c>
      <c r="J547" s="176">
        <v>46044</v>
      </c>
      <c r="K547" s="172" t="s">
        <v>93</v>
      </c>
      <c r="L547" s="172" t="s">
        <v>94</v>
      </c>
      <c r="M547" s="179">
        <v>0.43</v>
      </c>
      <c r="N547" s="177"/>
      <c r="O547" s="177">
        <v>42</v>
      </c>
      <c r="P547" s="180">
        <v>-141.63999999999999</v>
      </c>
    </row>
    <row r="548" spans="1:16" ht="19.5" customHeight="1">
      <c r="A548" s="172" t="s">
        <v>252</v>
      </c>
      <c r="B548" s="176">
        <v>46045</v>
      </c>
      <c r="C548" s="172" t="s">
        <v>100</v>
      </c>
      <c r="D548" s="172" t="s">
        <v>101</v>
      </c>
      <c r="E548" s="172" t="s">
        <v>52</v>
      </c>
      <c r="F548" s="172" t="s">
        <v>90</v>
      </c>
      <c r="G548" s="172" t="s">
        <v>84</v>
      </c>
      <c r="H548" s="177">
        <v>1</v>
      </c>
      <c r="I548" s="178">
        <v>1885</v>
      </c>
      <c r="J548" s="176">
        <v>46044</v>
      </c>
      <c r="K548" s="172" t="s">
        <v>93</v>
      </c>
      <c r="L548" s="172" t="s">
        <v>94</v>
      </c>
      <c r="M548" s="179">
        <v>0</v>
      </c>
      <c r="N548" s="177"/>
      <c r="O548" s="177"/>
      <c r="P548" s="180">
        <v>657.14</v>
      </c>
    </row>
    <row r="549" spans="1:16" ht="19.5" customHeight="1">
      <c r="A549" s="172" t="s">
        <v>252</v>
      </c>
      <c r="B549" s="176">
        <v>46045</v>
      </c>
      <c r="C549" s="172" t="s">
        <v>100</v>
      </c>
      <c r="D549" s="172" t="s">
        <v>102</v>
      </c>
      <c r="E549" s="172" t="s">
        <v>52</v>
      </c>
      <c r="F549" s="172" t="s">
        <v>90</v>
      </c>
      <c r="G549" s="172" t="s">
        <v>84</v>
      </c>
      <c r="H549" s="177">
        <v>1</v>
      </c>
      <c r="I549" s="178">
        <v>1885</v>
      </c>
      <c r="J549" s="176">
        <v>46044</v>
      </c>
      <c r="K549" s="172" t="s">
        <v>93</v>
      </c>
      <c r="L549" s="172" t="s">
        <v>94</v>
      </c>
      <c r="M549" s="179">
        <v>0</v>
      </c>
      <c r="N549" s="177"/>
      <c r="O549" s="177"/>
      <c r="P549" s="180">
        <v>6.57</v>
      </c>
    </row>
    <row r="550" spans="1:16" ht="19.5" customHeight="1">
      <c r="A550" s="172" t="s">
        <v>252</v>
      </c>
      <c r="B550" s="176">
        <v>46045</v>
      </c>
      <c r="C550" s="172" t="s">
        <v>100</v>
      </c>
      <c r="D550" s="172" t="s">
        <v>103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1885</v>
      </c>
      <c r="J550" s="176">
        <v>46044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1221.29</v>
      </c>
    </row>
    <row r="551" spans="1:16" ht="19.5" customHeight="1">
      <c r="A551" s="172" t="s">
        <v>252</v>
      </c>
      <c r="B551" s="176">
        <v>46045</v>
      </c>
      <c r="C551" s="172" t="s">
        <v>104</v>
      </c>
      <c r="D551" s="172" t="s">
        <v>105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1885</v>
      </c>
      <c r="J551" s="176">
        <v>46044</v>
      </c>
      <c r="K551" s="172" t="s">
        <v>93</v>
      </c>
      <c r="L551" s="172" t="s">
        <v>94</v>
      </c>
      <c r="M551" s="179">
        <v>0.43</v>
      </c>
      <c r="N551" s="177"/>
      <c r="O551" s="177"/>
      <c r="P551" s="180">
        <v>-810.55</v>
      </c>
    </row>
    <row r="552" spans="1:16" ht="19.5" customHeight="1">
      <c r="A552" s="172" t="s">
        <v>252</v>
      </c>
      <c r="B552" s="176">
        <v>46045</v>
      </c>
      <c r="C552" s="172" t="s">
        <v>81</v>
      </c>
      <c r="D552" s="172" t="s">
        <v>95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1885</v>
      </c>
      <c r="J552" s="176">
        <v>46044</v>
      </c>
      <c r="K552" s="172" t="s">
        <v>93</v>
      </c>
      <c r="L552" s="172" t="s">
        <v>94</v>
      </c>
      <c r="M552" s="179">
        <v>0.43</v>
      </c>
      <c r="N552" s="177"/>
      <c r="O552" s="177"/>
      <c r="P552" s="180">
        <v>-9.8699999999999992</v>
      </c>
    </row>
    <row r="553" spans="1:16" ht="19.5" customHeight="1">
      <c r="A553" s="172" t="s">
        <v>253</v>
      </c>
      <c r="B553" s="176">
        <v>46045</v>
      </c>
      <c r="C553" s="172" t="s">
        <v>92</v>
      </c>
      <c r="D553" s="172" t="s">
        <v>24</v>
      </c>
      <c r="E553" s="172" t="s">
        <v>39</v>
      </c>
      <c r="F553" s="172" t="s">
        <v>117</v>
      </c>
      <c r="G553" s="172" t="s">
        <v>84</v>
      </c>
      <c r="H553" s="177">
        <v>1</v>
      </c>
      <c r="I553" s="178">
        <v>1750</v>
      </c>
      <c r="J553" s="176">
        <v>46044</v>
      </c>
      <c r="K553" s="172" t="s">
        <v>93</v>
      </c>
      <c r="L553" s="172" t="s">
        <v>94</v>
      </c>
      <c r="M553" s="179">
        <v>0.43</v>
      </c>
      <c r="N553" s="177"/>
      <c r="O553" s="177">
        <v>42</v>
      </c>
      <c r="P553" s="180">
        <v>-123.31</v>
      </c>
    </row>
    <row r="554" spans="1:16" ht="19.5" customHeight="1">
      <c r="A554" s="172" t="s">
        <v>253</v>
      </c>
      <c r="B554" s="176">
        <v>46045</v>
      </c>
      <c r="C554" s="172" t="s">
        <v>100</v>
      </c>
      <c r="D554" s="172" t="s">
        <v>101</v>
      </c>
      <c r="E554" s="172" t="s">
        <v>39</v>
      </c>
      <c r="F554" s="172" t="s">
        <v>117</v>
      </c>
      <c r="G554" s="172" t="s">
        <v>84</v>
      </c>
      <c r="H554" s="177">
        <v>1</v>
      </c>
      <c r="I554" s="178">
        <v>1750</v>
      </c>
      <c r="J554" s="176">
        <v>46044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637.14</v>
      </c>
    </row>
    <row r="555" spans="1:16" ht="19.5" customHeight="1">
      <c r="A555" s="172" t="s">
        <v>253</v>
      </c>
      <c r="B555" s="176">
        <v>46045</v>
      </c>
      <c r="C555" s="172" t="s">
        <v>100</v>
      </c>
      <c r="D555" s="172" t="s">
        <v>102</v>
      </c>
      <c r="E555" s="172" t="s">
        <v>39</v>
      </c>
      <c r="F555" s="172" t="s">
        <v>117</v>
      </c>
      <c r="G555" s="172" t="s">
        <v>84</v>
      </c>
      <c r="H555" s="177">
        <v>1</v>
      </c>
      <c r="I555" s="178">
        <v>1750</v>
      </c>
      <c r="J555" s="176">
        <v>46044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6.37</v>
      </c>
    </row>
    <row r="556" spans="1:16" ht="19.5" customHeight="1">
      <c r="A556" s="172" t="s">
        <v>253</v>
      </c>
      <c r="B556" s="176">
        <v>46045</v>
      </c>
      <c r="C556" s="172" t="s">
        <v>100</v>
      </c>
      <c r="D556" s="172" t="s">
        <v>103</v>
      </c>
      <c r="E556" s="172" t="s">
        <v>39</v>
      </c>
      <c r="F556" s="172" t="s">
        <v>117</v>
      </c>
      <c r="G556" s="172" t="s">
        <v>84</v>
      </c>
      <c r="H556" s="177">
        <v>1</v>
      </c>
      <c r="I556" s="178">
        <v>1750</v>
      </c>
      <c r="J556" s="176">
        <v>46044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1106.49</v>
      </c>
    </row>
    <row r="557" spans="1:16" ht="19.5" customHeight="1">
      <c r="A557" s="172" t="s">
        <v>253</v>
      </c>
      <c r="B557" s="176">
        <v>46045</v>
      </c>
      <c r="C557" s="172" t="s">
        <v>104</v>
      </c>
      <c r="D557" s="172" t="s">
        <v>105</v>
      </c>
      <c r="E557" s="172" t="s">
        <v>39</v>
      </c>
      <c r="F557" s="172" t="s">
        <v>117</v>
      </c>
      <c r="G557" s="172" t="s">
        <v>84</v>
      </c>
      <c r="H557" s="177">
        <v>1</v>
      </c>
      <c r="I557" s="178">
        <v>1750</v>
      </c>
      <c r="J557" s="176">
        <v>46044</v>
      </c>
      <c r="K557" s="172" t="s">
        <v>93</v>
      </c>
      <c r="L557" s="172" t="s">
        <v>94</v>
      </c>
      <c r="M557" s="179">
        <v>0.43</v>
      </c>
      <c r="N557" s="177"/>
      <c r="O557" s="177"/>
      <c r="P557" s="180">
        <v>-752.5</v>
      </c>
    </row>
    <row r="558" spans="1:16" ht="19.5" customHeight="1">
      <c r="A558" s="172" t="s">
        <v>253</v>
      </c>
      <c r="B558" s="176">
        <v>46045</v>
      </c>
      <c r="C558" s="172" t="s">
        <v>81</v>
      </c>
      <c r="D558" s="172" t="s">
        <v>95</v>
      </c>
      <c r="E558" s="172" t="s">
        <v>39</v>
      </c>
      <c r="F558" s="172" t="s">
        <v>117</v>
      </c>
      <c r="G558" s="172" t="s">
        <v>84</v>
      </c>
      <c r="H558" s="177">
        <v>1</v>
      </c>
      <c r="I558" s="178">
        <v>1750</v>
      </c>
      <c r="J558" s="176">
        <v>46044</v>
      </c>
      <c r="K558" s="172" t="s">
        <v>93</v>
      </c>
      <c r="L558" s="172" t="s">
        <v>94</v>
      </c>
      <c r="M558" s="179">
        <v>0.43</v>
      </c>
      <c r="N558" s="177"/>
      <c r="O558" s="177"/>
      <c r="P558" s="180">
        <v>-12.48</v>
      </c>
    </row>
    <row r="559" spans="1:16" ht="19.5" customHeight="1">
      <c r="A559" s="172" t="s">
        <v>253</v>
      </c>
      <c r="B559" s="176">
        <v>46045</v>
      </c>
      <c r="C559" s="172" t="s">
        <v>81</v>
      </c>
      <c r="D559" s="172" t="s">
        <v>82</v>
      </c>
      <c r="E559" s="172" t="s">
        <v>39</v>
      </c>
      <c r="F559" s="172" t="s">
        <v>117</v>
      </c>
      <c r="G559" s="172" t="s">
        <v>84</v>
      </c>
      <c r="H559" s="177">
        <v>1</v>
      </c>
      <c r="I559" s="178">
        <v>0</v>
      </c>
      <c r="J559" s="176">
        <v>46044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-12.11</v>
      </c>
    </row>
    <row r="560" spans="1:16" ht="19.5" customHeight="1">
      <c r="A560" s="172" t="s">
        <v>254</v>
      </c>
      <c r="B560" s="176">
        <v>46045</v>
      </c>
      <c r="C560" s="172" t="s">
        <v>92</v>
      </c>
      <c r="D560" s="172" t="s">
        <v>24</v>
      </c>
      <c r="E560" s="172" t="s">
        <v>42</v>
      </c>
      <c r="F560" s="172" t="s">
        <v>89</v>
      </c>
      <c r="G560" s="172" t="s">
        <v>84</v>
      </c>
      <c r="H560" s="177">
        <v>1</v>
      </c>
      <c r="I560" s="178">
        <v>1750</v>
      </c>
      <c r="J560" s="176">
        <v>46043</v>
      </c>
      <c r="K560" s="172" t="s">
        <v>93</v>
      </c>
      <c r="L560" s="172" t="s">
        <v>94</v>
      </c>
      <c r="M560" s="179">
        <v>0.43</v>
      </c>
      <c r="N560" s="177"/>
      <c r="O560" s="177">
        <v>43</v>
      </c>
      <c r="P560" s="180">
        <v>-127.33</v>
      </c>
    </row>
    <row r="561" spans="1:16" ht="19.5" customHeight="1">
      <c r="A561" s="172" t="s">
        <v>254</v>
      </c>
      <c r="B561" s="176">
        <v>46045</v>
      </c>
      <c r="C561" s="172" t="s">
        <v>100</v>
      </c>
      <c r="D561" s="172" t="s">
        <v>101</v>
      </c>
      <c r="E561" s="172" t="s">
        <v>42</v>
      </c>
      <c r="F561" s="172" t="s">
        <v>89</v>
      </c>
      <c r="G561" s="172" t="s">
        <v>84</v>
      </c>
      <c r="H561" s="177">
        <v>1</v>
      </c>
      <c r="I561" s="178">
        <v>1750</v>
      </c>
      <c r="J561" s="176">
        <v>46043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666.67</v>
      </c>
    </row>
    <row r="562" spans="1:16" ht="19.5" customHeight="1">
      <c r="A562" s="172" t="s">
        <v>254</v>
      </c>
      <c r="B562" s="176">
        <v>46045</v>
      </c>
      <c r="C562" s="172" t="s">
        <v>100</v>
      </c>
      <c r="D562" s="172" t="s">
        <v>102</v>
      </c>
      <c r="E562" s="172" t="s">
        <v>42</v>
      </c>
      <c r="F562" s="172" t="s">
        <v>89</v>
      </c>
      <c r="G562" s="172" t="s">
        <v>84</v>
      </c>
      <c r="H562" s="177">
        <v>1</v>
      </c>
      <c r="I562" s="178">
        <v>1750</v>
      </c>
      <c r="J562" s="176">
        <v>46043</v>
      </c>
      <c r="K562" s="172" t="s">
        <v>93</v>
      </c>
      <c r="L562" s="172" t="s">
        <v>94</v>
      </c>
      <c r="M562" s="179">
        <v>0</v>
      </c>
      <c r="N562" s="177"/>
      <c r="O562" s="177"/>
      <c r="P562" s="180">
        <v>0</v>
      </c>
    </row>
    <row r="563" spans="1:16" ht="19.5" customHeight="1">
      <c r="A563" s="172" t="s">
        <v>254</v>
      </c>
      <c r="B563" s="176">
        <v>46045</v>
      </c>
      <c r="C563" s="172" t="s">
        <v>100</v>
      </c>
      <c r="D563" s="172" t="s">
        <v>103</v>
      </c>
      <c r="E563" s="172" t="s">
        <v>42</v>
      </c>
      <c r="F563" s="172" t="s">
        <v>89</v>
      </c>
      <c r="G563" s="172" t="s">
        <v>84</v>
      </c>
      <c r="H563" s="177">
        <v>1</v>
      </c>
      <c r="I563" s="178">
        <v>1750</v>
      </c>
      <c r="J563" s="176">
        <v>46043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1083.33</v>
      </c>
    </row>
    <row r="564" spans="1:16" ht="19.5" customHeight="1">
      <c r="A564" s="172" t="s">
        <v>254</v>
      </c>
      <c r="B564" s="176">
        <v>46045</v>
      </c>
      <c r="C564" s="172" t="s">
        <v>104</v>
      </c>
      <c r="D564" s="172" t="s">
        <v>105</v>
      </c>
      <c r="E564" s="172" t="s">
        <v>42</v>
      </c>
      <c r="F564" s="172" t="s">
        <v>89</v>
      </c>
      <c r="G564" s="172" t="s">
        <v>84</v>
      </c>
      <c r="H564" s="177">
        <v>1</v>
      </c>
      <c r="I564" s="178">
        <v>1750</v>
      </c>
      <c r="J564" s="176">
        <v>46043</v>
      </c>
      <c r="K564" s="172" t="s">
        <v>93</v>
      </c>
      <c r="L564" s="172" t="s">
        <v>94</v>
      </c>
      <c r="M564" s="179">
        <v>0.43</v>
      </c>
      <c r="N564" s="177"/>
      <c r="O564" s="177"/>
      <c r="P564" s="180">
        <v>-752.5</v>
      </c>
    </row>
    <row r="565" spans="1:16" ht="19.5" customHeight="1">
      <c r="A565" s="172" t="s">
        <v>255</v>
      </c>
      <c r="B565" s="176">
        <v>46045</v>
      </c>
      <c r="C565" s="172" t="s">
        <v>81</v>
      </c>
      <c r="D565" s="172" t="s">
        <v>82</v>
      </c>
      <c r="E565" s="172" t="s">
        <v>52</v>
      </c>
      <c r="F565" s="172" t="s">
        <v>90</v>
      </c>
      <c r="G565" s="172" t="s">
        <v>84</v>
      </c>
      <c r="H565" s="177">
        <v>1</v>
      </c>
      <c r="I565" s="178">
        <v>0</v>
      </c>
      <c r="J565" s="176">
        <v>46045</v>
      </c>
      <c r="K565" s="172" t="s">
        <v>85</v>
      </c>
      <c r="L565" s="172" t="s">
        <v>85</v>
      </c>
      <c r="M565" s="179">
        <v>0</v>
      </c>
      <c r="N565" s="177"/>
      <c r="O565" s="177"/>
      <c r="P565" s="180">
        <v>-5.23</v>
      </c>
    </row>
    <row r="566" spans="1:16" ht="19.5" customHeight="1">
      <c r="A566" s="172" t="s">
        <v>256</v>
      </c>
      <c r="B566" s="176">
        <v>46045</v>
      </c>
      <c r="C566" s="172" t="s">
        <v>92</v>
      </c>
      <c r="D566" s="172" t="s">
        <v>24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46040</v>
      </c>
      <c r="K566" s="172" t="s">
        <v>93</v>
      </c>
      <c r="L566" s="172" t="s">
        <v>94</v>
      </c>
      <c r="M566" s="179">
        <v>0</v>
      </c>
      <c r="N566" s="177"/>
      <c r="O566" s="177">
        <v>45</v>
      </c>
      <c r="P566" s="180">
        <v>-56</v>
      </c>
    </row>
    <row r="567" spans="1:16" ht="19.5" customHeight="1">
      <c r="A567" s="172" t="s">
        <v>256</v>
      </c>
      <c r="B567" s="176">
        <v>46045</v>
      </c>
      <c r="C567" s="172" t="s">
        <v>81</v>
      </c>
      <c r="D567" s="172" t="s">
        <v>95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0</v>
      </c>
      <c r="J567" s="176">
        <v>46040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-11.69</v>
      </c>
    </row>
    <row r="568" spans="1:16" ht="19.5" customHeight="1">
      <c r="A568" s="172" t="s">
        <v>256</v>
      </c>
      <c r="B568" s="176">
        <v>46045</v>
      </c>
      <c r="C568" s="172" t="s">
        <v>92</v>
      </c>
      <c r="D568" s="172" t="s">
        <v>96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0</v>
      </c>
      <c r="J568" s="176">
        <v>46040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0</v>
      </c>
    </row>
    <row r="569" spans="1:16" ht="19.5" customHeight="1">
      <c r="A569" s="172" t="s">
        <v>256</v>
      </c>
      <c r="B569" s="176">
        <v>46045</v>
      </c>
      <c r="C569" s="172" t="s">
        <v>92</v>
      </c>
      <c r="D569" s="172" t="s">
        <v>97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0</v>
      </c>
      <c r="J569" s="176">
        <v>46040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-56</v>
      </c>
    </row>
    <row r="570" spans="1:16" ht="19.5" customHeight="1">
      <c r="A570" s="172" t="s">
        <v>256</v>
      </c>
      <c r="B570" s="176">
        <v>46045</v>
      </c>
      <c r="C570" s="172" t="s">
        <v>81</v>
      </c>
      <c r="D570" s="172" t="s">
        <v>98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0</v>
      </c>
      <c r="J570" s="176">
        <v>46040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-15</v>
      </c>
    </row>
    <row r="571" spans="1:16" ht="19.5" customHeight="1">
      <c r="A571" s="172" t="s">
        <v>257</v>
      </c>
      <c r="B571" s="176">
        <v>46045</v>
      </c>
      <c r="C571" s="172" t="s">
        <v>81</v>
      </c>
      <c r="D571" s="172" t="s">
        <v>82</v>
      </c>
      <c r="E571" s="172" t="s">
        <v>41</v>
      </c>
      <c r="F571" s="172" t="s">
        <v>83</v>
      </c>
      <c r="G571" s="172" t="s">
        <v>84</v>
      </c>
      <c r="H571" s="177">
        <v>1</v>
      </c>
      <c r="I571" s="178">
        <v>0</v>
      </c>
      <c r="J571" s="176">
        <v>46045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-5.4</v>
      </c>
    </row>
    <row r="572" spans="1:16" ht="19.5" customHeight="1">
      <c r="A572" s="172" t="s">
        <v>258</v>
      </c>
      <c r="B572" s="176">
        <v>46045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46044</v>
      </c>
      <c r="K572" s="172" t="s">
        <v>93</v>
      </c>
      <c r="L572" s="172" t="s">
        <v>94</v>
      </c>
      <c r="M572" s="179">
        <v>0.43</v>
      </c>
      <c r="N572" s="177"/>
      <c r="O572" s="177">
        <v>42</v>
      </c>
      <c r="P572" s="180">
        <v>-140.5</v>
      </c>
    </row>
    <row r="573" spans="1:16" ht="19.5" customHeight="1">
      <c r="A573" s="172" t="s">
        <v>258</v>
      </c>
      <c r="B573" s="176">
        <v>46045</v>
      </c>
      <c r="C573" s="172" t="s">
        <v>100</v>
      </c>
      <c r="D573" s="172" t="s">
        <v>101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1845</v>
      </c>
      <c r="J573" s="176">
        <v>46044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642.86</v>
      </c>
    </row>
    <row r="574" spans="1:16" ht="19.5" customHeight="1">
      <c r="A574" s="172" t="s">
        <v>258</v>
      </c>
      <c r="B574" s="176">
        <v>46045</v>
      </c>
      <c r="C574" s="172" t="s">
        <v>100</v>
      </c>
      <c r="D574" s="172" t="s">
        <v>102</v>
      </c>
      <c r="E574" s="172" t="s">
        <v>53</v>
      </c>
      <c r="F574" s="172" t="s">
        <v>120</v>
      </c>
      <c r="G574" s="172" t="s">
        <v>84</v>
      </c>
      <c r="H574" s="177">
        <v>1</v>
      </c>
      <c r="I574" s="178">
        <v>1845</v>
      </c>
      <c r="J574" s="176">
        <v>46044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6.43</v>
      </c>
    </row>
    <row r="575" spans="1:16" ht="19.5" customHeight="1">
      <c r="A575" s="172" t="s">
        <v>258</v>
      </c>
      <c r="B575" s="176">
        <v>46045</v>
      </c>
      <c r="C575" s="172" t="s">
        <v>100</v>
      </c>
      <c r="D575" s="172" t="s">
        <v>103</v>
      </c>
      <c r="E575" s="172" t="s">
        <v>53</v>
      </c>
      <c r="F575" s="172" t="s">
        <v>120</v>
      </c>
      <c r="G575" s="172" t="s">
        <v>84</v>
      </c>
      <c r="H575" s="177">
        <v>1</v>
      </c>
      <c r="I575" s="178">
        <v>1845</v>
      </c>
      <c r="J575" s="176">
        <v>46044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1195.71</v>
      </c>
    </row>
    <row r="576" spans="1:16" ht="19.5" customHeight="1">
      <c r="A576" s="172" t="s">
        <v>258</v>
      </c>
      <c r="B576" s="176">
        <v>46045</v>
      </c>
      <c r="C576" s="172" t="s">
        <v>104</v>
      </c>
      <c r="D576" s="172" t="s">
        <v>105</v>
      </c>
      <c r="E576" s="172" t="s">
        <v>53</v>
      </c>
      <c r="F576" s="172" t="s">
        <v>120</v>
      </c>
      <c r="G576" s="172" t="s">
        <v>84</v>
      </c>
      <c r="H576" s="177">
        <v>1</v>
      </c>
      <c r="I576" s="178">
        <v>1845</v>
      </c>
      <c r="J576" s="176">
        <v>46044</v>
      </c>
      <c r="K576" s="172" t="s">
        <v>93</v>
      </c>
      <c r="L576" s="172" t="s">
        <v>94</v>
      </c>
      <c r="M576" s="179">
        <v>0.43</v>
      </c>
      <c r="N576" s="177"/>
      <c r="O576" s="177"/>
      <c r="P576" s="180">
        <v>-793.35</v>
      </c>
    </row>
    <row r="577" spans="1:16" ht="19.5" customHeight="1">
      <c r="A577" s="172" t="s">
        <v>258</v>
      </c>
      <c r="B577" s="176">
        <v>46045</v>
      </c>
      <c r="C577" s="172" t="s">
        <v>81</v>
      </c>
      <c r="D577" s="172" t="s">
        <v>95</v>
      </c>
      <c r="E577" s="172" t="s">
        <v>53</v>
      </c>
      <c r="F577" s="172" t="s">
        <v>120</v>
      </c>
      <c r="G577" s="172" t="s">
        <v>84</v>
      </c>
      <c r="H577" s="177">
        <v>1</v>
      </c>
      <c r="I577" s="178">
        <v>1845</v>
      </c>
      <c r="J577" s="176">
        <v>46044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-8.83</v>
      </c>
    </row>
    <row r="578" spans="1:16" ht="19.5" customHeight="1">
      <c r="A578" s="172" t="s">
        <v>258</v>
      </c>
      <c r="B578" s="176">
        <v>46045</v>
      </c>
      <c r="C578" s="172" t="s">
        <v>81</v>
      </c>
      <c r="D578" s="172" t="s">
        <v>82</v>
      </c>
      <c r="E578" s="172" t="s">
        <v>53</v>
      </c>
      <c r="F578" s="172" t="s">
        <v>120</v>
      </c>
      <c r="G578" s="172" t="s">
        <v>84</v>
      </c>
      <c r="H578" s="177">
        <v>1</v>
      </c>
      <c r="I578" s="178">
        <v>0</v>
      </c>
      <c r="J578" s="176">
        <v>46044</v>
      </c>
      <c r="K578" s="172" t="s">
        <v>85</v>
      </c>
      <c r="L578" s="172" t="s">
        <v>85</v>
      </c>
      <c r="M578" s="179">
        <v>0</v>
      </c>
      <c r="N578" s="177"/>
      <c r="O578" s="177"/>
      <c r="P578" s="180">
        <v>-12.21</v>
      </c>
    </row>
    <row r="579" spans="1:16" ht="19.5" customHeight="1">
      <c r="A579" s="172" t="s">
        <v>259</v>
      </c>
      <c r="B579" s="176">
        <v>46045</v>
      </c>
      <c r="C579" s="172" t="s">
        <v>92</v>
      </c>
      <c r="D579" s="172" t="s">
        <v>24</v>
      </c>
      <c r="E579" s="172" t="s">
        <v>42</v>
      </c>
      <c r="F579" s="172" t="s">
        <v>89</v>
      </c>
      <c r="G579" s="172" t="s">
        <v>84</v>
      </c>
      <c r="H579" s="177">
        <v>1</v>
      </c>
      <c r="I579" s="178">
        <v>1750</v>
      </c>
      <c r="J579" s="176">
        <v>46042</v>
      </c>
      <c r="K579" s="172" t="s">
        <v>93</v>
      </c>
      <c r="L579" s="172" t="s">
        <v>94</v>
      </c>
      <c r="M579" s="179">
        <v>0.43</v>
      </c>
      <c r="N579" s="177"/>
      <c r="O579" s="177">
        <v>43</v>
      </c>
      <c r="P579" s="180">
        <v>-127.33</v>
      </c>
    </row>
    <row r="580" spans="1:16" ht="19.5" customHeight="1">
      <c r="A580" s="172" t="s">
        <v>259</v>
      </c>
      <c r="B580" s="176">
        <v>46045</v>
      </c>
      <c r="C580" s="172" t="s">
        <v>100</v>
      </c>
      <c r="D580" s="172" t="s">
        <v>101</v>
      </c>
      <c r="E580" s="172" t="s">
        <v>42</v>
      </c>
      <c r="F580" s="172" t="s">
        <v>89</v>
      </c>
      <c r="G580" s="172" t="s">
        <v>84</v>
      </c>
      <c r="H580" s="177">
        <v>1</v>
      </c>
      <c r="I580" s="178">
        <v>1750</v>
      </c>
      <c r="J580" s="176">
        <v>46042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609.52</v>
      </c>
    </row>
    <row r="581" spans="1:16" ht="19.5" customHeight="1">
      <c r="A581" s="172" t="s">
        <v>259</v>
      </c>
      <c r="B581" s="176">
        <v>46045</v>
      </c>
      <c r="C581" s="172" t="s">
        <v>100</v>
      </c>
      <c r="D581" s="172" t="s">
        <v>102</v>
      </c>
      <c r="E581" s="172" t="s">
        <v>42</v>
      </c>
      <c r="F581" s="172" t="s">
        <v>89</v>
      </c>
      <c r="G581" s="172" t="s">
        <v>84</v>
      </c>
      <c r="H581" s="177">
        <v>1</v>
      </c>
      <c r="I581" s="178">
        <v>1750</v>
      </c>
      <c r="J581" s="176">
        <v>46042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6.1</v>
      </c>
    </row>
    <row r="582" spans="1:16" ht="19.5" customHeight="1">
      <c r="A582" s="172" t="s">
        <v>259</v>
      </c>
      <c r="B582" s="176">
        <v>46045</v>
      </c>
      <c r="C582" s="172" t="s">
        <v>100</v>
      </c>
      <c r="D582" s="172" t="s">
        <v>103</v>
      </c>
      <c r="E582" s="172" t="s">
        <v>42</v>
      </c>
      <c r="F582" s="172" t="s">
        <v>89</v>
      </c>
      <c r="G582" s="172" t="s">
        <v>84</v>
      </c>
      <c r="H582" s="177">
        <v>1</v>
      </c>
      <c r="I582" s="178">
        <v>1750</v>
      </c>
      <c r="J582" s="176">
        <v>46042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1134.3800000000001</v>
      </c>
    </row>
    <row r="583" spans="1:16" ht="19.5" customHeight="1">
      <c r="A583" s="172" t="s">
        <v>259</v>
      </c>
      <c r="B583" s="176">
        <v>46045</v>
      </c>
      <c r="C583" s="172" t="s">
        <v>104</v>
      </c>
      <c r="D583" s="172" t="s">
        <v>105</v>
      </c>
      <c r="E583" s="172" t="s">
        <v>42</v>
      </c>
      <c r="F583" s="172" t="s">
        <v>89</v>
      </c>
      <c r="G583" s="172" t="s">
        <v>84</v>
      </c>
      <c r="H583" s="177">
        <v>1</v>
      </c>
      <c r="I583" s="178">
        <v>1750</v>
      </c>
      <c r="J583" s="176">
        <v>46042</v>
      </c>
      <c r="K583" s="172" t="s">
        <v>93</v>
      </c>
      <c r="L583" s="172" t="s">
        <v>94</v>
      </c>
      <c r="M583" s="179">
        <v>0.43</v>
      </c>
      <c r="N583" s="177"/>
      <c r="O583" s="177"/>
      <c r="P583" s="180">
        <v>-752.5</v>
      </c>
    </row>
    <row r="584" spans="1:16" ht="19.5" customHeight="1">
      <c r="A584" s="172" t="s">
        <v>259</v>
      </c>
      <c r="B584" s="176">
        <v>46045</v>
      </c>
      <c r="C584" s="172" t="s">
        <v>81</v>
      </c>
      <c r="D584" s="172" t="s">
        <v>95</v>
      </c>
      <c r="E584" s="172" t="s">
        <v>42</v>
      </c>
      <c r="F584" s="172" t="s">
        <v>89</v>
      </c>
      <c r="G584" s="172" t="s">
        <v>84</v>
      </c>
      <c r="H584" s="177">
        <v>1</v>
      </c>
      <c r="I584" s="178">
        <v>1750</v>
      </c>
      <c r="J584" s="176">
        <v>46042</v>
      </c>
      <c r="K584" s="172" t="s">
        <v>93</v>
      </c>
      <c r="L584" s="172" t="s">
        <v>94</v>
      </c>
      <c r="M584" s="179">
        <v>0.43</v>
      </c>
      <c r="N584" s="177"/>
      <c r="O584" s="177"/>
      <c r="P584" s="180">
        <v>-9.4600000000000009</v>
      </c>
    </row>
    <row r="585" spans="1:16" ht="19.5" customHeight="1">
      <c r="A585" s="172" t="s">
        <v>259</v>
      </c>
      <c r="B585" s="176">
        <v>46045</v>
      </c>
      <c r="C585" s="172" t="s">
        <v>81</v>
      </c>
      <c r="D585" s="172" t="s">
        <v>82</v>
      </c>
      <c r="E585" s="172" t="s">
        <v>42</v>
      </c>
      <c r="F585" s="172" t="s">
        <v>89</v>
      </c>
      <c r="G585" s="172" t="s">
        <v>84</v>
      </c>
      <c r="H585" s="177">
        <v>1</v>
      </c>
      <c r="I585" s="178">
        <v>0</v>
      </c>
      <c r="J585" s="176">
        <v>46042</v>
      </c>
      <c r="K585" s="172" t="s">
        <v>85</v>
      </c>
      <c r="L585" s="172" t="s">
        <v>85</v>
      </c>
      <c r="M585" s="179">
        <v>0</v>
      </c>
      <c r="N585" s="177"/>
      <c r="O585" s="177"/>
      <c r="P585" s="180">
        <v>-11.58</v>
      </c>
    </row>
    <row r="586" spans="1:16" ht="19.5" customHeight="1">
      <c r="A586" s="172" t="s">
        <v>260</v>
      </c>
      <c r="B586" s="176">
        <v>46045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46045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-13.17</v>
      </c>
    </row>
    <row r="587" spans="1:16" ht="19.5" customHeight="1">
      <c r="A587" s="172" t="s">
        <v>261</v>
      </c>
      <c r="B587" s="176">
        <v>46045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0</v>
      </c>
      <c r="J587" s="176">
        <v>46033</v>
      </c>
      <c r="K587" s="172" t="s">
        <v>93</v>
      </c>
      <c r="L587" s="172" t="s">
        <v>94</v>
      </c>
      <c r="M587" s="179">
        <v>0</v>
      </c>
      <c r="N587" s="177"/>
      <c r="O587" s="177">
        <v>42</v>
      </c>
      <c r="P587" s="180">
        <v>-56</v>
      </c>
    </row>
    <row r="588" spans="1:16" ht="19.5" customHeight="1">
      <c r="A588" s="172" t="s">
        <v>261</v>
      </c>
      <c r="B588" s="176">
        <v>46045</v>
      </c>
      <c r="C588" s="172" t="s">
        <v>81</v>
      </c>
      <c r="D588" s="172" t="s">
        <v>95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0</v>
      </c>
      <c r="J588" s="176">
        <v>46033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-13.27</v>
      </c>
    </row>
    <row r="589" spans="1:16" ht="19.5" customHeight="1">
      <c r="A589" s="172" t="s">
        <v>261</v>
      </c>
      <c r="B589" s="176">
        <v>46045</v>
      </c>
      <c r="C589" s="172" t="s">
        <v>92</v>
      </c>
      <c r="D589" s="172" t="s">
        <v>96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0</v>
      </c>
      <c r="J589" s="176">
        <v>46033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0</v>
      </c>
    </row>
    <row r="590" spans="1:16" ht="19.5" customHeight="1">
      <c r="A590" s="172" t="s">
        <v>261</v>
      </c>
      <c r="B590" s="176">
        <v>46045</v>
      </c>
      <c r="C590" s="172" t="s">
        <v>92</v>
      </c>
      <c r="D590" s="172" t="s">
        <v>97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0</v>
      </c>
      <c r="J590" s="176">
        <v>46033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-56</v>
      </c>
    </row>
    <row r="591" spans="1:16" ht="19.5" customHeight="1">
      <c r="A591" s="172" t="s">
        <v>261</v>
      </c>
      <c r="B591" s="176">
        <v>46045</v>
      </c>
      <c r="C591" s="172" t="s">
        <v>81</v>
      </c>
      <c r="D591" s="172" t="s">
        <v>98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0</v>
      </c>
      <c r="J591" s="176">
        <v>46033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-15</v>
      </c>
    </row>
    <row r="592" spans="1:16" ht="19.5" customHeight="1">
      <c r="A592" s="172" t="s">
        <v>141</v>
      </c>
      <c r="B592" s="176">
        <v>46045</v>
      </c>
      <c r="C592" s="172" t="s">
        <v>109</v>
      </c>
      <c r="D592" s="172" t="s">
        <v>139</v>
      </c>
      <c r="E592" s="172" t="s">
        <v>85</v>
      </c>
      <c r="F592" s="172" t="s">
        <v>85</v>
      </c>
      <c r="G592" s="172" t="s">
        <v>85</v>
      </c>
      <c r="H592" s="177">
        <v>0</v>
      </c>
      <c r="I592" s="178">
        <v>0</v>
      </c>
      <c r="J592" s="176">
        <v>46045</v>
      </c>
      <c r="K592" s="172" t="s">
        <v>85</v>
      </c>
      <c r="L592" s="172" t="s">
        <v>85</v>
      </c>
      <c r="M592" s="179">
        <v>0</v>
      </c>
      <c r="N592" s="177"/>
      <c r="O592" s="177"/>
      <c r="P592" s="180">
        <v>-339.11</v>
      </c>
    </row>
    <row r="593" spans="1:16" ht="19.5" customHeight="1">
      <c r="A593" s="172" t="s">
        <v>145</v>
      </c>
      <c r="B593" s="176">
        <v>46045</v>
      </c>
      <c r="C593" s="172" t="s">
        <v>109</v>
      </c>
      <c r="D593" s="172" t="s">
        <v>139</v>
      </c>
      <c r="E593" s="172" t="s">
        <v>85</v>
      </c>
      <c r="F593" s="172" t="s">
        <v>85</v>
      </c>
      <c r="G593" s="172" t="s">
        <v>85</v>
      </c>
      <c r="H593" s="177">
        <v>0</v>
      </c>
      <c r="I593" s="178">
        <v>0</v>
      </c>
      <c r="J593" s="176">
        <v>46045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-1220.02</v>
      </c>
    </row>
    <row r="594" spans="1:16" ht="19.5" customHeight="1">
      <c r="A594" s="172" t="s">
        <v>138</v>
      </c>
      <c r="B594" s="176">
        <v>46045</v>
      </c>
      <c r="C594" s="172" t="s">
        <v>109</v>
      </c>
      <c r="D594" s="172" t="s">
        <v>139</v>
      </c>
      <c r="E594" s="172" t="s">
        <v>85</v>
      </c>
      <c r="F594" s="172" t="s">
        <v>85</v>
      </c>
      <c r="G594" s="172" t="s">
        <v>85</v>
      </c>
      <c r="H594" s="177">
        <v>0</v>
      </c>
      <c r="I594" s="178">
        <v>0</v>
      </c>
      <c r="J594" s="176">
        <v>46045</v>
      </c>
      <c r="K594" s="172" t="s">
        <v>85</v>
      </c>
      <c r="L594" s="172" t="s">
        <v>85</v>
      </c>
      <c r="M594" s="179">
        <v>0</v>
      </c>
      <c r="N594" s="177"/>
      <c r="O594" s="177"/>
      <c r="P594" s="180">
        <v>-1106.9000000000001</v>
      </c>
    </row>
    <row r="595" spans="1:16" ht="19.5" customHeight="1">
      <c r="A595" s="172" t="s">
        <v>144</v>
      </c>
      <c r="B595" s="176">
        <v>46045</v>
      </c>
      <c r="C595" s="172" t="s">
        <v>109</v>
      </c>
      <c r="D595" s="172" t="s">
        <v>139</v>
      </c>
      <c r="E595" s="172" t="s">
        <v>85</v>
      </c>
      <c r="F595" s="172" t="s">
        <v>85</v>
      </c>
      <c r="G595" s="172" t="s">
        <v>85</v>
      </c>
      <c r="H595" s="177">
        <v>0</v>
      </c>
      <c r="I595" s="178">
        <v>0</v>
      </c>
      <c r="J595" s="176">
        <v>46045</v>
      </c>
      <c r="K595" s="172" t="s">
        <v>85</v>
      </c>
      <c r="L595" s="172" t="s">
        <v>85</v>
      </c>
      <c r="M595" s="179">
        <v>0</v>
      </c>
      <c r="N595" s="177"/>
      <c r="O595" s="177"/>
      <c r="P595" s="180">
        <v>-1425.42</v>
      </c>
    </row>
    <row r="596" spans="1:16" ht="19.5" customHeight="1">
      <c r="A596" s="172" t="s">
        <v>142</v>
      </c>
      <c r="B596" s="176">
        <v>46045</v>
      </c>
      <c r="C596" s="172" t="s">
        <v>109</v>
      </c>
      <c r="D596" s="172" t="s">
        <v>143</v>
      </c>
      <c r="E596" s="172" t="s">
        <v>85</v>
      </c>
      <c r="F596" s="172" t="s">
        <v>85</v>
      </c>
      <c r="G596" s="172" t="s">
        <v>85</v>
      </c>
      <c r="H596" s="177">
        <v>0</v>
      </c>
      <c r="I596" s="178">
        <v>0</v>
      </c>
      <c r="J596" s="176">
        <v>46045</v>
      </c>
      <c r="K596" s="172" t="s">
        <v>85</v>
      </c>
      <c r="L596" s="172" t="s">
        <v>85</v>
      </c>
      <c r="M596" s="179">
        <v>0</v>
      </c>
      <c r="N596" s="177"/>
      <c r="O596" s="177"/>
      <c r="P596" s="180">
        <v>-2867.7</v>
      </c>
    </row>
    <row r="597" spans="1:16" ht="19.5" customHeight="1">
      <c r="A597" s="172" t="s">
        <v>262</v>
      </c>
      <c r="B597" s="176">
        <v>46046</v>
      </c>
      <c r="C597" s="172" t="s">
        <v>92</v>
      </c>
      <c r="D597" s="172" t="s">
        <v>24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0</v>
      </c>
      <c r="J597" s="176">
        <v>46035</v>
      </c>
      <c r="K597" s="172" t="s">
        <v>93</v>
      </c>
      <c r="L597" s="172" t="s">
        <v>94</v>
      </c>
      <c r="M597" s="179">
        <v>0</v>
      </c>
      <c r="N597" s="177"/>
      <c r="O597" s="177">
        <v>45</v>
      </c>
      <c r="P597" s="180">
        <v>-56</v>
      </c>
    </row>
    <row r="598" spans="1:16" ht="19.5" customHeight="1">
      <c r="A598" s="172" t="s">
        <v>262</v>
      </c>
      <c r="B598" s="176">
        <v>46046</v>
      </c>
      <c r="C598" s="172" t="s">
        <v>81</v>
      </c>
      <c r="D598" s="172" t="s">
        <v>95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0</v>
      </c>
      <c r="J598" s="176">
        <v>46035</v>
      </c>
      <c r="K598" s="172" t="s">
        <v>93</v>
      </c>
      <c r="L598" s="172" t="s">
        <v>94</v>
      </c>
      <c r="M598" s="179">
        <v>0</v>
      </c>
      <c r="N598" s="177"/>
      <c r="O598" s="177"/>
      <c r="P598" s="180">
        <v>-9.08</v>
      </c>
    </row>
    <row r="599" spans="1:16" ht="19.5" customHeight="1">
      <c r="A599" s="172" t="s">
        <v>262</v>
      </c>
      <c r="B599" s="176">
        <v>46046</v>
      </c>
      <c r="C599" s="172" t="s">
        <v>92</v>
      </c>
      <c r="D599" s="172" t="s">
        <v>96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0</v>
      </c>
      <c r="J599" s="176">
        <v>46035</v>
      </c>
      <c r="K599" s="172" t="s">
        <v>93</v>
      </c>
      <c r="L599" s="172" t="s">
        <v>94</v>
      </c>
      <c r="M599" s="179">
        <v>0</v>
      </c>
      <c r="N599" s="177"/>
      <c r="O599" s="177"/>
      <c r="P599" s="180">
        <v>0</v>
      </c>
    </row>
    <row r="600" spans="1:16" ht="19.5" customHeight="1">
      <c r="A600" s="172" t="s">
        <v>262</v>
      </c>
      <c r="B600" s="176">
        <v>46046</v>
      </c>
      <c r="C600" s="172" t="s">
        <v>92</v>
      </c>
      <c r="D600" s="172" t="s">
        <v>97</v>
      </c>
      <c r="E600" s="172" t="s">
        <v>52</v>
      </c>
      <c r="F600" s="172" t="s">
        <v>90</v>
      </c>
      <c r="G600" s="172" t="s">
        <v>84</v>
      </c>
      <c r="H600" s="177">
        <v>1</v>
      </c>
      <c r="I600" s="178">
        <v>0</v>
      </c>
      <c r="J600" s="176">
        <v>46035</v>
      </c>
      <c r="K600" s="172" t="s">
        <v>93</v>
      </c>
      <c r="L600" s="172" t="s">
        <v>94</v>
      </c>
      <c r="M600" s="179">
        <v>0</v>
      </c>
      <c r="N600" s="177"/>
      <c r="O600" s="177"/>
      <c r="P600" s="180">
        <v>-56</v>
      </c>
    </row>
    <row r="601" spans="1:16" ht="19.5" customHeight="1">
      <c r="A601" s="172" t="s">
        <v>262</v>
      </c>
      <c r="B601" s="176">
        <v>46046</v>
      </c>
      <c r="C601" s="172" t="s">
        <v>81</v>
      </c>
      <c r="D601" s="172" t="s">
        <v>98</v>
      </c>
      <c r="E601" s="172" t="s">
        <v>52</v>
      </c>
      <c r="F601" s="172" t="s">
        <v>90</v>
      </c>
      <c r="G601" s="172" t="s">
        <v>84</v>
      </c>
      <c r="H601" s="177">
        <v>1</v>
      </c>
      <c r="I601" s="178">
        <v>0</v>
      </c>
      <c r="J601" s="176">
        <v>46035</v>
      </c>
      <c r="K601" s="172" t="s">
        <v>93</v>
      </c>
      <c r="L601" s="172" t="s">
        <v>94</v>
      </c>
      <c r="M601" s="179">
        <v>0</v>
      </c>
      <c r="N601" s="177"/>
      <c r="O601" s="177"/>
      <c r="P601" s="180">
        <v>-15</v>
      </c>
    </row>
    <row r="602" spans="1:16" ht="19.5" customHeight="1">
      <c r="A602" s="172" t="s">
        <v>263</v>
      </c>
      <c r="B602" s="176">
        <v>46046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46032</v>
      </c>
      <c r="K602" s="172" t="s">
        <v>93</v>
      </c>
      <c r="L602" s="172" t="s">
        <v>94</v>
      </c>
      <c r="M602" s="179">
        <v>0.43</v>
      </c>
      <c r="N602" s="177"/>
      <c r="O602" s="177">
        <v>41</v>
      </c>
      <c r="P602" s="180">
        <v>-131.46</v>
      </c>
    </row>
    <row r="603" spans="1:16" ht="19.5" customHeight="1">
      <c r="A603" s="172" t="s">
        <v>263</v>
      </c>
      <c r="B603" s="176">
        <v>46046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46032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632.38</v>
      </c>
    </row>
    <row r="604" spans="1:16" ht="19.5" customHeight="1">
      <c r="A604" s="172" t="s">
        <v>263</v>
      </c>
      <c r="B604" s="176">
        <v>46046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46032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0</v>
      </c>
    </row>
    <row r="605" spans="1:16" ht="19.5" customHeight="1">
      <c r="A605" s="172" t="s">
        <v>263</v>
      </c>
      <c r="B605" s="176">
        <v>46046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46032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988.62</v>
      </c>
    </row>
    <row r="606" spans="1:16" ht="19.5" customHeight="1">
      <c r="A606" s="172" t="s">
        <v>263</v>
      </c>
      <c r="B606" s="176">
        <v>46046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46032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263</v>
      </c>
      <c r="B607" s="176">
        <v>46046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46032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-20.82</v>
      </c>
    </row>
    <row r="608" spans="1:16" ht="19.5" customHeight="1">
      <c r="A608" s="172" t="s">
        <v>264</v>
      </c>
      <c r="B608" s="176">
        <v>46046</v>
      </c>
      <c r="C608" s="172" t="s">
        <v>92</v>
      </c>
      <c r="D608" s="172" t="s">
        <v>24</v>
      </c>
      <c r="E608" s="172" t="s">
        <v>43</v>
      </c>
      <c r="F608" s="172" t="s">
        <v>125</v>
      </c>
      <c r="G608" s="172" t="s">
        <v>84</v>
      </c>
      <c r="H608" s="177">
        <v>1</v>
      </c>
      <c r="I608" s="178">
        <v>0</v>
      </c>
      <c r="J608" s="176">
        <v>46033</v>
      </c>
      <c r="K608" s="172" t="s">
        <v>93</v>
      </c>
      <c r="L608" s="172" t="s">
        <v>94</v>
      </c>
      <c r="M608" s="179">
        <v>0</v>
      </c>
      <c r="N608" s="177"/>
      <c r="O608" s="177">
        <v>42</v>
      </c>
      <c r="P608" s="180">
        <v>-46.77</v>
      </c>
    </row>
    <row r="609" spans="1:16" ht="19.5" customHeight="1">
      <c r="A609" s="172" t="s">
        <v>264</v>
      </c>
      <c r="B609" s="176">
        <v>46046</v>
      </c>
      <c r="C609" s="172" t="s">
        <v>81</v>
      </c>
      <c r="D609" s="172" t="s">
        <v>95</v>
      </c>
      <c r="E609" s="172" t="s">
        <v>43</v>
      </c>
      <c r="F609" s="172" t="s">
        <v>125</v>
      </c>
      <c r="G609" s="172" t="s">
        <v>84</v>
      </c>
      <c r="H609" s="177">
        <v>1</v>
      </c>
      <c r="I609" s="178">
        <v>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-12.58</v>
      </c>
    </row>
    <row r="610" spans="1:16" ht="19.5" customHeight="1">
      <c r="A610" s="172" t="s">
        <v>264</v>
      </c>
      <c r="B610" s="176">
        <v>46046</v>
      </c>
      <c r="C610" s="172" t="s">
        <v>92</v>
      </c>
      <c r="D610" s="172" t="s">
        <v>96</v>
      </c>
      <c r="E610" s="172" t="s">
        <v>43</v>
      </c>
      <c r="F610" s="172" t="s">
        <v>125</v>
      </c>
      <c r="G610" s="172" t="s">
        <v>84</v>
      </c>
      <c r="H610" s="177">
        <v>1</v>
      </c>
      <c r="I610" s="178">
        <v>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0</v>
      </c>
    </row>
    <row r="611" spans="1:16" ht="19.5" customHeight="1">
      <c r="A611" s="172" t="s">
        <v>264</v>
      </c>
      <c r="B611" s="176">
        <v>46046</v>
      </c>
      <c r="C611" s="172" t="s">
        <v>92</v>
      </c>
      <c r="D611" s="172" t="s">
        <v>97</v>
      </c>
      <c r="E611" s="172" t="s">
        <v>43</v>
      </c>
      <c r="F611" s="172" t="s">
        <v>125</v>
      </c>
      <c r="G611" s="172" t="s">
        <v>84</v>
      </c>
      <c r="H611" s="177">
        <v>1</v>
      </c>
      <c r="I611" s="178">
        <v>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-46.77</v>
      </c>
    </row>
    <row r="612" spans="1:16" ht="19.5" customHeight="1">
      <c r="A612" s="172" t="s">
        <v>264</v>
      </c>
      <c r="B612" s="176">
        <v>46046</v>
      </c>
      <c r="C612" s="172" t="s">
        <v>81</v>
      </c>
      <c r="D612" s="172" t="s">
        <v>98</v>
      </c>
      <c r="E612" s="172" t="s">
        <v>43</v>
      </c>
      <c r="F612" s="172" t="s">
        <v>125</v>
      </c>
      <c r="G612" s="172" t="s">
        <v>84</v>
      </c>
      <c r="H612" s="177">
        <v>1</v>
      </c>
      <c r="I612" s="178">
        <v>0</v>
      </c>
      <c r="J612" s="176">
        <v>46033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-15</v>
      </c>
    </row>
    <row r="613" spans="1:16" ht="19.5" customHeight="1">
      <c r="A613" s="172" t="s">
        <v>265</v>
      </c>
      <c r="B613" s="176">
        <v>46046</v>
      </c>
      <c r="C613" s="172" t="s">
        <v>81</v>
      </c>
      <c r="D613" s="172" t="s">
        <v>82</v>
      </c>
      <c r="E613" s="172" t="s">
        <v>53</v>
      </c>
      <c r="F613" s="172" t="s">
        <v>120</v>
      </c>
      <c r="G613" s="172" t="s">
        <v>84</v>
      </c>
      <c r="H613" s="177">
        <v>1</v>
      </c>
      <c r="I613" s="178">
        <v>0</v>
      </c>
      <c r="J613" s="176">
        <v>46046</v>
      </c>
      <c r="K613" s="172" t="s">
        <v>85</v>
      </c>
      <c r="L613" s="172" t="s">
        <v>85</v>
      </c>
      <c r="M613" s="179">
        <v>0</v>
      </c>
      <c r="N613" s="177"/>
      <c r="O613" s="177"/>
      <c r="P613" s="180">
        <v>-13.12</v>
      </c>
    </row>
    <row r="614" spans="1:16" ht="19.5" customHeight="1">
      <c r="A614" s="172" t="s">
        <v>85</v>
      </c>
      <c r="B614" s="176">
        <v>46046</v>
      </c>
      <c r="C614" s="172" t="s">
        <v>109</v>
      </c>
      <c r="D614" s="172" t="s">
        <v>110</v>
      </c>
      <c r="E614" s="172" t="s">
        <v>85</v>
      </c>
      <c r="F614" s="172" t="s">
        <v>85</v>
      </c>
      <c r="G614" s="172" t="s">
        <v>266</v>
      </c>
      <c r="H614" s="177">
        <v>0</v>
      </c>
      <c r="I614" s="178">
        <v>0</v>
      </c>
      <c r="J614" s="176">
        <v>46046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-150</v>
      </c>
    </row>
    <row r="615" spans="1:16" ht="19.5" customHeight="1">
      <c r="A615" s="172" t="s">
        <v>267</v>
      </c>
      <c r="B615" s="176">
        <v>46046</v>
      </c>
      <c r="C615" s="172" t="s">
        <v>81</v>
      </c>
      <c r="D615" s="172" t="s">
        <v>82</v>
      </c>
      <c r="E615" s="172" t="s">
        <v>42</v>
      </c>
      <c r="F615" s="172" t="s">
        <v>89</v>
      </c>
      <c r="G615" s="172" t="s">
        <v>84</v>
      </c>
      <c r="H615" s="177">
        <v>1</v>
      </c>
      <c r="I615" s="178">
        <v>0</v>
      </c>
      <c r="J615" s="176">
        <v>46046</v>
      </c>
      <c r="K615" s="172" t="s">
        <v>85</v>
      </c>
      <c r="L615" s="172" t="s">
        <v>85</v>
      </c>
      <c r="M615" s="179">
        <v>0</v>
      </c>
      <c r="N615" s="177"/>
      <c r="O615" s="177"/>
      <c r="P615" s="180">
        <v>-4.45</v>
      </c>
    </row>
    <row r="616" spans="1:16" ht="19.5" customHeight="1">
      <c r="A616" s="172" t="s">
        <v>268</v>
      </c>
      <c r="B616" s="176">
        <v>46046</v>
      </c>
      <c r="C616" s="172" t="s">
        <v>92</v>
      </c>
      <c r="D616" s="172" t="s">
        <v>24</v>
      </c>
      <c r="E616" s="172" t="s">
        <v>41</v>
      </c>
      <c r="F616" s="172" t="s">
        <v>83</v>
      </c>
      <c r="G616" s="172" t="s">
        <v>84</v>
      </c>
      <c r="H616" s="177">
        <v>1</v>
      </c>
      <c r="I616" s="178">
        <v>1600</v>
      </c>
      <c r="J616" s="176">
        <v>46026</v>
      </c>
      <c r="K616" s="172" t="s">
        <v>93</v>
      </c>
      <c r="L616" s="172" t="s">
        <v>94</v>
      </c>
      <c r="M616" s="179">
        <v>0.43</v>
      </c>
      <c r="N616" s="177"/>
      <c r="O616" s="177">
        <v>46</v>
      </c>
      <c r="P616" s="180">
        <v>-134.24</v>
      </c>
    </row>
    <row r="617" spans="1:16" ht="19.5" customHeight="1">
      <c r="A617" s="172" t="s">
        <v>268</v>
      </c>
      <c r="B617" s="176">
        <v>46046</v>
      </c>
      <c r="C617" s="172" t="s">
        <v>100</v>
      </c>
      <c r="D617" s="172" t="s">
        <v>101</v>
      </c>
      <c r="E617" s="172" t="s">
        <v>41</v>
      </c>
      <c r="F617" s="172" t="s">
        <v>83</v>
      </c>
      <c r="G617" s="172" t="s">
        <v>84</v>
      </c>
      <c r="H617" s="177">
        <v>1</v>
      </c>
      <c r="I617" s="178">
        <v>1600</v>
      </c>
      <c r="J617" s="176">
        <v>46026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553.33000000000004</v>
      </c>
    </row>
    <row r="618" spans="1:16" ht="19.5" customHeight="1">
      <c r="A618" s="172" t="s">
        <v>268</v>
      </c>
      <c r="B618" s="176">
        <v>46046</v>
      </c>
      <c r="C618" s="172" t="s">
        <v>100</v>
      </c>
      <c r="D618" s="172" t="s">
        <v>102</v>
      </c>
      <c r="E618" s="172" t="s">
        <v>41</v>
      </c>
      <c r="F618" s="172" t="s">
        <v>83</v>
      </c>
      <c r="G618" s="172" t="s">
        <v>84</v>
      </c>
      <c r="H618" s="177">
        <v>1</v>
      </c>
      <c r="I618" s="178">
        <v>1600</v>
      </c>
      <c r="J618" s="176">
        <v>46026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5.53</v>
      </c>
    </row>
    <row r="619" spans="1:16" ht="19.5" customHeight="1">
      <c r="A619" s="172" t="s">
        <v>268</v>
      </c>
      <c r="B619" s="176">
        <v>46046</v>
      </c>
      <c r="C619" s="172" t="s">
        <v>100</v>
      </c>
      <c r="D619" s="172" t="s">
        <v>103</v>
      </c>
      <c r="E619" s="172" t="s">
        <v>41</v>
      </c>
      <c r="F619" s="172" t="s">
        <v>83</v>
      </c>
      <c r="G619" s="172" t="s">
        <v>84</v>
      </c>
      <c r="H619" s="177">
        <v>1</v>
      </c>
      <c r="I619" s="178">
        <v>1600</v>
      </c>
      <c r="J619" s="176">
        <v>46026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1041.1400000000001</v>
      </c>
    </row>
    <row r="620" spans="1:16" ht="19.5" customHeight="1">
      <c r="A620" s="172" t="s">
        <v>268</v>
      </c>
      <c r="B620" s="176">
        <v>46046</v>
      </c>
      <c r="C620" s="172" t="s">
        <v>104</v>
      </c>
      <c r="D620" s="172" t="s">
        <v>105</v>
      </c>
      <c r="E620" s="172" t="s">
        <v>41</v>
      </c>
      <c r="F620" s="172" t="s">
        <v>83</v>
      </c>
      <c r="G620" s="172" t="s">
        <v>84</v>
      </c>
      <c r="H620" s="177">
        <v>1</v>
      </c>
      <c r="I620" s="178">
        <v>1600</v>
      </c>
      <c r="J620" s="176">
        <v>46026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-688</v>
      </c>
    </row>
    <row r="621" spans="1:16" ht="19.5" customHeight="1">
      <c r="A621" s="172" t="s">
        <v>269</v>
      </c>
      <c r="B621" s="176">
        <v>46046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46036</v>
      </c>
      <c r="K621" s="172" t="s">
        <v>93</v>
      </c>
      <c r="L621" s="172" t="s">
        <v>94</v>
      </c>
      <c r="M621" s="179">
        <v>0.43</v>
      </c>
      <c r="N621" s="177"/>
      <c r="O621" s="177">
        <v>45</v>
      </c>
      <c r="P621" s="180">
        <v>-146.44999999999999</v>
      </c>
    </row>
    <row r="622" spans="1:16" ht="19.5" customHeight="1">
      <c r="A622" s="172" t="s">
        <v>269</v>
      </c>
      <c r="B622" s="176">
        <v>46046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46036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566.66999999999996</v>
      </c>
    </row>
    <row r="623" spans="1:16" ht="19.5" customHeight="1">
      <c r="A623" s="172" t="s">
        <v>269</v>
      </c>
      <c r="B623" s="176">
        <v>46046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46036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5.67</v>
      </c>
    </row>
    <row r="624" spans="1:16" ht="19.5" customHeight="1">
      <c r="A624" s="172" t="s">
        <v>269</v>
      </c>
      <c r="B624" s="176">
        <v>46046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46036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1048.6600000000001</v>
      </c>
    </row>
    <row r="625" spans="1:16" ht="19.5" customHeight="1">
      <c r="A625" s="172" t="s">
        <v>269</v>
      </c>
      <c r="B625" s="176">
        <v>46046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46036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270</v>
      </c>
      <c r="B626" s="176">
        <v>46046</v>
      </c>
      <c r="C626" s="172" t="s">
        <v>92</v>
      </c>
      <c r="D626" s="172" t="s">
        <v>24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1885</v>
      </c>
      <c r="J626" s="176">
        <v>46038</v>
      </c>
      <c r="K626" s="172" t="s">
        <v>93</v>
      </c>
      <c r="L626" s="172" t="s">
        <v>94</v>
      </c>
      <c r="M626" s="179">
        <v>0.43</v>
      </c>
      <c r="N626" s="177"/>
      <c r="O626" s="177">
        <v>46</v>
      </c>
      <c r="P626" s="180">
        <v>-159.66999999999999</v>
      </c>
    </row>
    <row r="627" spans="1:16" ht="19.5" customHeight="1">
      <c r="A627" s="172" t="s">
        <v>270</v>
      </c>
      <c r="B627" s="176">
        <v>46046</v>
      </c>
      <c r="C627" s="172" t="s">
        <v>100</v>
      </c>
      <c r="D627" s="172" t="s">
        <v>101</v>
      </c>
      <c r="E627" s="172" t="s">
        <v>52</v>
      </c>
      <c r="F627" s="172" t="s">
        <v>90</v>
      </c>
      <c r="G627" s="172" t="s">
        <v>84</v>
      </c>
      <c r="H627" s="177">
        <v>1</v>
      </c>
      <c r="I627" s="178">
        <v>1885</v>
      </c>
      <c r="J627" s="176">
        <v>46038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657.14</v>
      </c>
    </row>
    <row r="628" spans="1:16" ht="19.5" customHeight="1">
      <c r="A628" s="172" t="s">
        <v>270</v>
      </c>
      <c r="B628" s="176">
        <v>46046</v>
      </c>
      <c r="C628" s="172" t="s">
        <v>100</v>
      </c>
      <c r="D628" s="172" t="s">
        <v>102</v>
      </c>
      <c r="E628" s="172" t="s">
        <v>52</v>
      </c>
      <c r="F628" s="172" t="s">
        <v>90</v>
      </c>
      <c r="G628" s="172" t="s">
        <v>84</v>
      </c>
      <c r="H628" s="177">
        <v>1</v>
      </c>
      <c r="I628" s="178">
        <v>1885</v>
      </c>
      <c r="J628" s="176">
        <v>46038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6.57</v>
      </c>
    </row>
    <row r="629" spans="1:16" ht="19.5" customHeight="1">
      <c r="A629" s="172" t="s">
        <v>270</v>
      </c>
      <c r="B629" s="176">
        <v>46046</v>
      </c>
      <c r="C629" s="172" t="s">
        <v>100</v>
      </c>
      <c r="D629" s="172" t="s">
        <v>103</v>
      </c>
      <c r="E629" s="172" t="s">
        <v>52</v>
      </c>
      <c r="F629" s="172" t="s">
        <v>90</v>
      </c>
      <c r="G629" s="172" t="s">
        <v>84</v>
      </c>
      <c r="H629" s="177">
        <v>1</v>
      </c>
      <c r="I629" s="178">
        <v>1885</v>
      </c>
      <c r="J629" s="176">
        <v>46038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1221.29</v>
      </c>
    </row>
    <row r="630" spans="1:16" ht="19.5" customHeight="1">
      <c r="A630" s="172" t="s">
        <v>270</v>
      </c>
      <c r="B630" s="176">
        <v>46046</v>
      </c>
      <c r="C630" s="172" t="s">
        <v>104</v>
      </c>
      <c r="D630" s="172" t="s">
        <v>105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1885</v>
      </c>
      <c r="J630" s="176">
        <v>46038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-810.55</v>
      </c>
    </row>
    <row r="631" spans="1:16" ht="19.5" customHeight="1">
      <c r="A631" s="172" t="s">
        <v>270</v>
      </c>
      <c r="B631" s="176">
        <v>46046</v>
      </c>
      <c r="C631" s="172" t="s">
        <v>81</v>
      </c>
      <c r="D631" s="172" t="s">
        <v>95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1885</v>
      </c>
      <c r="J631" s="176">
        <v>46038</v>
      </c>
      <c r="K631" s="172" t="s">
        <v>93</v>
      </c>
      <c r="L631" s="172" t="s">
        <v>94</v>
      </c>
      <c r="M631" s="179">
        <v>0.43</v>
      </c>
      <c r="N631" s="177"/>
      <c r="O631" s="177"/>
      <c r="P631" s="180">
        <v>-25</v>
      </c>
    </row>
    <row r="632" spans="1:16" ht="19.5" customHeight="1">
      <c r="A632" s="172" t="s">
        <v>271</v>
      </c>
      <c r="B632" s="176">
        <v>46046</v>
      </c>
      <c r="C632" s="172" t="s">
        <v>92</v>
      </c>
      <c r="D632" s="172" t="s">
        <v>24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1885</v>
      </c>
      <c r="J632" s="176">
        <v>46040</v>
      </c>
      <c r="K632" s="172" t="s">
        <v>93</v>
      </c>
      <c r="L632" s="172" t="s">
        <v>94</v>
      </c>
      <c r="M632" s="179">
        <v>0.43</v>
      </c>
      <c r="N632" s="177"/>
      <c r="O632" s="177">
        <v>45</v>
      </c>
      <c r="P632" s="180">
        <v>-155.16999999999999</v>
      </c>
    </row>
    <row r="633" spans="1:16" ht="19.5" customHeight="1">
      <c r="A633" s="172" t="s">
        <v>271</v>
      </c>
      <c r="B633" s="176">
        <v>46046</v>
      </c>
      <c r="C633" s="172" t="s">
        <v>100</v>
      </c>
      <c r="D633" s="172" t="s">
        <v>101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1885</v>
      </c>
      <c r="J633" s="176">
        <v>46040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925.71</v>
      </c>
    </row>
    <row r="634" spans="1:16" ht="19.5" customHeight="1">
      <c r="A634" s="172" t="s">
        <v>271</v>
      </c>
      <c r="B634" s="176">
        <v>46046</v>
      </c>
      <c r="C634" s="172" t="s">
        <v>100</v>
      </c>
      <c r="D634" s="172" t="s">
        <v>102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1885</v>
      </c>
      <c r="J634" s="176">
        <v>46040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9.26</v>
      </c>
    </row>
    <row r="635" spans="1:16" ht="19.5" customHeight="1">
      <c r="A635" s="172" t="s">
        <v>271</v>
      </c>
      <c r="B635" s="176">
        <v>46046</v>
      </c>
      <c r="C635" s="172" t="s">
        <v>100</v>
      </c>
      <c r="D635" s="172" t="s">
        <v>103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1885</v>
      </c>
      <c r="J635" s="176">
        <v>46040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950.03</v>
      </c>
    </row>
    <row r="636" spans="1:16" ht="19.5" customHeight="1">
      <c r="A636" s="172" t="s">
        <v>271</v>
      </c>
      <c r="B636" s="176">
        <v>46046</v>
      </c>
      <c r="C636" s="172" t="s">
        <v>104</v>
      </c>
      <c r="D636" s="172" t="s">
        <v>105</v>
      </c>
      <c r="E636" s="172" t="s">
        <v>52</v>
      </c>
      <c r="F636" s="172" t="s">
        <v>90</v>
      </c>
      <c r="G636" s="172" t="s">
        <v>84</v>
      </c>
      <c r="H636" s="177">
        <v>1</v>
      </c>
      <c r="I636" s="178">
        <v>1885</v>
      </c>
      <c r="J636" s="176">
        <v>46040</v>
      </c>
      <c r="K636" s="172" t="s">
        <v>93</v>
      </c>
      <c r="L636" s="172" t="s">
        <v>94</v>
      </c>
      <c r="M636" s="179">
        <v>0.43</v>
      </c>
      <c r="N636" s="177"/>
      <c r="O636" s="177"/>
      <c r="P636" s="180">
        <v>-810.55</v>
      </c>
    </row>
    <row r="637" spans="1:16" ht="19.5" customHeight="1">
      <c r="A637" s="172" t="s">
        <v>271</v>
      </c>
      <c r="B637" s="176">
        <v>46046</v>
      </c>
      <c r="C637" s="172" t="s">
        <v>81</v>
      </c>
      <c r="D637" s="172" t="s">
        <v>95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1885</v>
      </c>
      <c r="J637" s="176">
        <v>46040</v>
      </c>
      <c r="K637" s="172" t="s">
        <v>93</v>
      </c>
      <c r="L637" s="172" t="s">
        <v>94</v>
      </c>
      <c r="M637" s="179">
        <v>0.43</v>
      </c>
      <c r="N637" s="177"/>
      <c r="O637" s="177"/>
      <c r="P637" s="180">
        <v>-11.95</v>
      </c>
    </row>
    <row r="638" spans="1:16" ht="19.5" customHeight="1">
      <c r="A638" s="172" t="s">
        <v>271</v>
      </c>
      <c r="B638" s="176">
        <v>46046</v>
      </c>
      <c r="C638" s="172" t="s">
        <v>81</v>
      </c>
      <c r="D638" s="172" t="s">
        <v>82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0</v>
      </c>
      <c r="J638" s="176">
        <v>46040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-17.59</v>
      </c>
    </row>
    <row r="639" spans="1:16" ht="19.5" customHeight="1">
      <c r="A639" s="172" t="s">
        <v>165</v>
      </c>
      <c r="B639" s="176">
        <v>46046</v>
      </c>
      <c r="C639" s="172" t="s">
        <v>92</v>
      </c>
      <c r="D639" s="172" t="s">
        <v>272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0</v>
      </c>
      <c r="J639" s="176">
        <v>46036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0</v>
      </c>
    </row>
    <row r="640" spans="1:16" ht="19.5" customHeight="1">
      <c r="A640" s="172" t="s">
        <v>165</v>
      </c>
      <c r="B640" s="176">
        <v>46046</v>
      </c>
      <c r="C640" s="172" t="s">
        <v>92</v>
      </c>
      <c r="D640" s="172" t="s">
        <v>97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0</v>
      </c>
      <c r="J640" s="176">
        <v>46036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-56.94</v>
      </c>
    </row>
    <row r="641" spans="1:16" ht="19.5" customHeight="1">
      <c r="A641" s="172" t="s">
        <v>165</v>
      </c>
      <c r="B641" s="176">
        <v>46046</v>
      </c>
      <c r="C641" s="172" t="s">
        <v>81</v>
      </c>
      <c r="D641" s="172" t="s">
        <v>98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0</v>
      </c>
      <c r="J641" s="176">
        <v>46036</v>
      </c>
      <c r="K641" s="172" t="s">
        <v>93</v>
      </c>
      <c r="L641" s="172" t="s">
        <v>94</v>
      </c>
      <c r="M641" s="179">
        <v>0</v>
      </c>
      <c r="N641" s="177"/>
      <c r="O641" s="177"/>
      <c r="P641" s="180">
        <v>-15</v>
      </c>
    </row>
    <row r="642" spans="1:16" ht="19.5" customHeight="1">
      <c r="A642" s="172" t="s">
        <v>273</v>
      </c>
      <c r="B642" s="176">
        <v>46046</v>
      </c>
      <c r="C642" s="172" t="s">
        <v>92</v>
      </c>
      <c r="D642" s="172" t="s">
        <v>24</v>
      </c>
      <c r="E642" s="172" t="s">
        <v>42</v>
      </c>
      <c r="F642" s="172" t="s">
        <v>89</v>
      </c>
      <c r="G642" s="172" t="s">
        <v>84</v>
      </c>
      <c r="H642" s="177">
        <v>1</v>
      </c>
      <c r="I642" s="178">
        <v>1750</v>
      </c>
      <c r="J642" s="176">
        <v>46044</v>
      </c>
      <c r="K642" s="172" t="s">
        <v>93</v>
      </c>
      <c r="L642" s="172" t="s">
        <v>94</v>
      </c>
      <c r="M642" s="179">
        <v>0.43</v>
      </c>
      <c r="N642" s="177"/>
      <c r="O642" s="177">
        <v>42</v>
      </c>
      <c r="P642" s="180">
        <v>-123.31</v>
      </c>
    </row>
    <row r="643" spans="1:16" ht="19.5" customHeight="1">
      <c r="A643" s="172" t="s">
        <v>273</v>
      </c>
      <c r="B643" s="176">
        <v>46046</v>
      </c>
      <c r="C643" s="172" t="s">
        <v>100</v>
      </c>
      <c r="D643" s="172" t="s">
        <v>101</v>
      </c>
      <c r="E643" s="172" t="s">
        <v>42</v>
      </c>
      <c r="F643" s="172" t="s">
        <v>89</v>
      </c>
      <c r="G643" s="172" t="s">
        <v>84</v>
      </c>
      <c r="H643" s="177">
        <v>1</v>
      </c>
      <c r="I643" s="178">
        <v>1750</v>
      </c>
      <c r="J643" s="176">
        <v>46044</v>
      </c>
      <c r="K643" s="172" t="s">
        <v>93</v>
      </c>
      <c r="L643" s="172" t="s">
        <v>94</v>
      </c>
      <c r="M643" s="179">
        <v>0</v>
      </c>
      <c r="N643" s="177"/>
      <c r="O643" s="177"/>
      <c r="P643" s="180">
        <v>609.52</v>
      </c>
    </row>
    <row r="644" spans="1:16" ht="19.5" customHeight="1">
      <c r="A644" s="172" t="s">
        <v>273</v>
      </c>
      <c r="B644" s="176">
        <v>46046</v>
      </c>
      <c r="C644" s="172" t="s">
        <v>100</v>
      </c>
      <c r="D644" s="172" t="s">
        <v>102</v>
      </c>
      <c r="E644" s="172" t="s">
        <v>42</v>
      </c>
      <c r="F644" s="172" t="s">
        <v>89</v>
      </c>
      <c r="G644" s="172" t="s">
        <v>84</v>
      </c>
      <c r="H644" s="177">
        <v>1</v>
      </c>
      <c r="I644" s="178">
        <v>1750</v>
      </c>
      <c r="J644" s="176">
        <v>46044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6.1</v>
      </c>
    </row>
    <row r="645" spans="1:16" ht="19.5" customHeight="1">
      <c r="A645" s="172" t="s">
        <v>273</v>
      </c>
      <c r="B645" s="176">
        <v>46046</v>
      </c>
      <c r="C645" s="172" t="s">
        <v>100</v>
      </c>
      <c r="D645" s="172" t="s">
        <v>103</v>
      </c>
      <c r="E645" s="172" t="s">
        <v>42</v>
      </c>
      <c r="F645" s="172" t="s">
        <v>89</v>
      </c>
      <c r="G645" s="172" t="s">
        <v>84</v>
      </c>
      <c r="H645" s="177">
        <v>1</v>
      </c>
      <c r="I645" s="178">
        <v>1750</v>
      </c>
      <c r="J645" s="176">
        <v>46044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1134.3800000000001</v>
      </c>
    </row>
    <row r="646" spans="1:16" ht="19.5" customHeight="1">
      <c r="A646" s="172" t="s">
        <v>273</v>
      </c>
      <c r="B646" s="176">
        <v>46046</v>
      </c>
      <c r="C646" s="172" t="s">
        <v>104</v>
      </c>
      <c r="D646" s="172" t="s">
        <v>105</v>
      </c>
      <c r="E646" s="172" t="s">
        <v>42</v>
      </c>
      <c r="F646" s="172" t="s">
        <v>89</v>
      </c>
      <c r="G646" s="172" t="s">
        <v>84</v>
      </c>
      <c r="H646" s="177">
        <v>1</v>
      </c>
      <c r="I646" s="178">
        <v>1750</v>
      </c>
      <c r="J646" s="176">
        <v>46044</v>
      </c>
      <c r="K646" s="172" t="s">
        <v>93</v>
      </c>
      <c r="L646" s="172" t="s">
        <v>94</v>
      </c>
      <c r="M646" s="179">
        <v>0.43</v>
      </c>
      <c r="N646" s="177"/>
      <c r="O646" s="177"/>
      <c r="P646" s="180">
        <v>-752.5</v>
      </c>
    </row>
    <row r="647" spans="1:16" ht="19.5" customHeight="1">
      <c r="A647" s="172" t="s">
        <v>273</v>
      </c>
      <c r="B647" s="176">
        <v>46046</v>
      </c>
      <c r="C647" s="172" t="s">
        <v>81</v>
      </c>
      <c r="D647" s="172" t="s">
        <v>95</v>
      </c>
      <c r="E647" s="172" t="s">
        <v>42</v>
      </c>
      <c r="F647" s="172" t="s">
        <v>89</v>
      </c>
      <c r="G647" s="172" t="s">
        <v>84</v>
      </c>
      <c r="H647" s="177">
        <v>1</v>
      </c>
      <c r="I647" s="178">
        <v>1750</v>
      </c>
      <c r="J647" s="176">
        <v>46044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-10.73</v>
      </c>
    </row>
    <row r="648" spans="1:16" ht="19.5" customHeight="1">
      <c r="A648" s="172" t="s">
        <v>274</v>
      </c>
      <c r="B648" s="176">
        <v>46046</v>
      </c>
      <c r="C648" s="172" t="s">
        <v>92</v>
      </c>
      <c r="D648" s="172" t="s">
        <v>24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1750</v>
      </c>
      <c r="J648" s="176">
        <v>46042</v>
      </c>
      <c r="K648" s="172" t="s">
        <v>93</v>
      </c>
      <c r="L648" s="172" t="s">
        <v>94</v>
      </c>
      <c r="M648" s="179">
        <v>0.43</v>
      </c>
      <c r="N648" s="177"/>
      <c r="O648" s="177">
        <v>43</v>
      </c>
      <c r="P648" s="180">
        <v>-127.33</v>
      </c>
    </row>
    <row r="649" spans="1:16" ht="19.5" customHeight="1">
      <c r="A649" s="172" t="s">
        <v>274</v>
      </c>
      <c r="B649" s="176">
        <v>46046</v>
      </c>
      <c r="C649" s="172" t="s">
        <v>100</v>
      </c>
      <c r="D649" s="172" t="s">
        <v>101</v>
      </c>
      <c r="E649" s="172" t="s">
        <v>41</v>
      </c>
      <c r="F649" s="172" t="s">
        <v>83</v>
      </c>
      <c r="G649" s="172" t="s">
        <v>84</v>
      </c>
      <c r="H649" s="177">
        <v>1</v>
      </c>
      <c r="I649" s="178">
        <v>1750</v>
      </c>
      <c r="J649" s="176">
        <v>46042</v>
      </c>
      <c r="K649" s="172" t="s">
        <v>93</v>
      </c>
      <c r="L649" s="172" t="s">
        <v>94</v>
      </c>
      <c r="M649" s="179">
        <v>0</v>
      </c>
      <c r="N649" s="177"/>
      <c r="O649" s="177"/>
      <c r="P649" s="180">
        <v>638.1</v>
      </c>
    </row>
    <row r="650" spans="1:16" ht="19.5" customHeight="1">
      <c r="A650" s="172" t="s">
        <v>274</v>
      </c>
      <c r="B650" s="176">
        <v>46046</v>
      </c>
      <c r="C650" s="172" t="s">
        <v>100</v>
      </c>
      <c r="D650" s="172" t="s">
        <v>102</v>
      </c>
      <c r="E650" s="172" t="s">
        <v>41</v>
      </c>
      <c r="F650" s="172" t="s">
        <v>83</v>
      </c>
      <c r="G650" s="172" t="s">
        <v>84</v>
      </c>
      <c r="H650" s="177">
        <v>1</v>
      </c>
      <c r="I650" s="178">
        <v>1750</v>
      </c>
      <c r="J650" s="176">
        <v>46042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6.38</v>
      </c>
    </row>
    <row r="651" spans="1:16" ht="19.5" customHeight="1">
      <c r="A651" s="172" t="s">
        <v>274</v>
      </c>
      <c r="B651" s="176">
        <v>46046</v>
      </c>
      <c r="C651" s="172" t="s">
        <v>100</v>
      </c>
      <c r="D651" s="172" t="s">
        <v>103</v>
      </c>
      <c r="E651" s="172" t="s">
        <v>41</v>
      </c>
      <c r="F651" s="172" t="s">
        <v>83</v>
      </c>
      <c r="G651" s="172" t="s">
        <v>84</v>
      </c>
      <c r="H651" s="177">
        <v>1</v>
      </c>
      <c r="I651" s="178">
        <v>1750</v>
      </c>
      <c r="J651" s="176">
        <v>46042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1105.52</v>
      </c>
    </row>
    <row r="652" spans="1:16" ht="19.5" customHeight="1">
      <c r="A652" s="172" t="s">
        <v>274</v>
      </c>
      <c r="B652" s="176">
        <v>46046</v>
      </c>
      <c r="C652" s="172" t="s">
        <v>104</v>
      </c>
      <c r="D652" s="172" t="s">
        <v>105</v>
      </c>
      <c r="E652" s="172" t="s">
        <v>41</v>
      </c>
      <c r="F652" s="172" t="s">
        <v>83</v>
      </c>
      <c r="G652" s="172" t="s">
        <v>84</v>
      </c>
      <c r="H652" s="177">
        <v>1</v>
      </c>
      <c r="I652" s="178">
        <v>1750</v>
      </c>
      <c r="J652" s="176">
        <v>46042</v>
      </c>
      <c r="K652" s="172" t="s">
        <v>93</v>
      </c>
      <c r="L652" s="172" t="s">
        <v>94</v>
      </c>
      <c r="M652" s="179">
        <v>0.43</v>
      </c>
      <c r="N652" s="177"/>
      <c r="O652" s="177"/>
      <c r="P652" s="180">
        <v>-752.5</v>
      </c>
    </row>
    <row r="653" spans="1:16" ht="19.5" customHeight="1">
      <c r="A653" s="172" t="s">
        <v>274</v>
      </c>
      <c r="B653" s="176">
        <v>46046</v>
      </c>
      <c r="C653" s="172" t="s">
        <v>81</v>
      </c>
      <c r="D653" s="172" t="s">
        <v>95</v>
      </c>
      <c r="E653" s="172" t="s">
        <v>41</v>
      </c>
      <c r="F653" s="172" t="s">
        <v>83</v>
      </c>
      <c r="G653" s="172" t="s">
        <v>84</v>
      </c>
      <c r="H653" s="177">
        <v>1</v>
      </c>
      <c r="I653" s="178">
        <v>1750</v>
      </c>
      <c r="J653" s="176">
        <v>46042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-10.34</v>
      </c>
    </row>
    <row r="654" spans="1:16" ht="19.5" customHeight="1">
      <c r="A654" s="172" t="s">
        <v>275</v>
      </c>
      <c r="B654" s="176">
        <v>46046</v>
      </c>
      <c r="C654" s="172" t="s">
        <v>81</v>
      </c>
      <c r="D654" s="172" t="s">
        <v>276</v>
      </c>
      <c r="E654" s="172" t="s">
        <v>41</v>
      </c>
      <c r="F654" s="172" t="s">
        <v>83</v>
      </c>
      <c r="G654" s="172" t="s">
        <v>84</v>
      </c>
      <c r="H654" s="177">
        <v>1</v>
      </c>
      <c r="I654" s="178">
        <v>0</v>
      </c>
      <c r="J654" s="176">
        <v>46046</v>
      </c>
      <c r="K654" s="172" t="s">
        <v>85</v>
      </c>
      <c r="L654" s="172" t="s">
        <v>85</v>
      </c>
      <c r="M654" s="179">
        <v>0</v>
      </c>
      <c r="N654" s="177"/>
      <c r="O654" s="177"/>
      <c r="P654" s="180">
        <v>-84</v>
      </c>
    </row>
    <row r="655" spans="1:16" ht="19.5" customHeight="1">
      <c r="A655" s="172" t="s">
        <v>277</v>
      </c>
      <c r="B655" s="176">
        <v>46046</v>
      </c>
      <c r="C655" s="172" t="s">
        <v>81</v>
      </c>
      <c r="D655" s="172" t="s">
        <v>276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46046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-84</v>
      </c>
    </row>
    <row r="656" spans="1:16" ht="19.5" customHeight="1">
      <c r="A656" s="172" t="s">
        <v>278</v>
      </c>
      <c r="B656" s="176">
        <v>46046</v>
      </c>
      <c r="C656" s="172" t="s">
        <v>92</v>
      </c>
      <c r="D656" s="172" t="s">
        <v>24</v>
      </c>
      <c r="E656" s="172" t="s">
        <v>38</v>
      </c>
      <c r="F656" s="172" t="s">
        <v>87</v>
      </c>
      <c r="G656" s="172" t="s">
        <v>84</v>
      </c>
      <c r="H656" s="177">
        <v>1</v>
      </c>
      <c r="I656" s="178">
        <v>1750</v>
      </c>
      <c r="J656" s="176">
        <v>46042</v>
      </c>
      <c r="K656" s="172" t="s">
        <v>93</v>
      </c>
      <c r="L656" s="172" t="s">
        <v>94</v>
      </c>
      <c r="M656" s="179">
        <v>0.43</v>
      </c>
      <c r="N656" s="177"/>
      <c r="O656" s="177">
        <v>43</v>
      </c>
      <c r="P656" s="180">
        <v>-127.33</v>
      </c>
    </row>
    <row r="657" spans="1:16" ht="19.5" customHeight="1">
      <c r="A657" s="172" t="s">
        <v>278</v>
      </c>
      <c r="B657" s="176">
        <v>46046</v>
      </c>
      <c r="C657" s="172" t="s">
        <v>100</v>
      </c>
      <c r="D657" s="172" t="s">
        <v>101</v>
      </c>
      <c r="E657" s="172" t="s">
        <v>38</v>
      </c>
      <c r="F657" s="172" t="s">
        <v>87</v>
      </c>
      <c r="G657" s="172" t="s">
        <v>84</v>
      </c>
      <c r="H657" s="177">
        <v>1</v>
      </c>
      <c r="I657" s="178">
        <v>1750</v>
      </c>
      <c r="J657" s="176">
        <v>46042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636.88</v>
      </c>
    </row>
    <row r="658" spans="1:16" ht="19.5" customHeight="1">
      <c r="A658" s="172" t="s">
        <v>278</v>
      </c>
      <c r="B658" s="176">
        <v>46046</v>
      </c>
      <c r="C658" s="172" t="s">
        <v>100</v>
      </c>
      <c r="D658" s="172" t="s">
        <v>102</v>
      </c>
      <c r="E658" s="172" t="s">
        <v>38</v>
      </c>
      <c r="F658" s="172" t="s">
        <v>87</v>
      </c>
      <c r="G658" s="172" t="s">
        <v>84</v>
      </c>
      <c r="H658" s="177">
        <v>1</v>
      </c>
      <c r="I658" s="178">
        <v>1750</v>
      </c>
      <c r="J658" s="176">
        <v>46042</v>
      </c>
      <c r="K658" s="172" t="s">
        <v>93</v>
      </c>
      <c r="L658" s="172" t="s">
        <v>94</v>
      </c>
      <c r="M658" s="179">
        <v>0</v>
      </c>
      <c r="N658" s="177"/>
      <c r="O658" s="177"/>
      <c r="P658" s="180">
        <v>6.37</v>
      </c>
    </row>
    <row r="659" spans="1:16" ht="19.5" customHeight="1">
      <c r="A659" s="172" t="s">
        <v>278</v>
      </c>
      <c r="B659" s="176">
        <v>46046</v>
      </c>
      <c r="C659" s="172" t="s">
        <v>100</v>
      </c>
      <c r="D659" s="172" t="s">
        <v>103</v>
      </c>
      <c r="E659" s="172" t="s">
        <v>38</v>
      </c>
      <c r="F659" s="172" t="s">
        <v>87</v>
      </c>
      <c r="G659" s="172" t="s">
        <v>84</v>
      </c>
      <c r="H659" s="177">
        <v>1</v>
      </c>
      <c r="I659" s="178">
        <v>1750</v>
      </c>
      <c r="J659" s="176">
        <v>46042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1106.75</v>
      </c>
    </row>
    <row r="660" spans="1:16" ht="19.5" customHeight="1">
      <c r="A660" s="172" t="s">
        <v>278</v>
      </c>
      <c r="B660" s="176">
        <v>46046</v>
      </c>
      <c r="C660" s="172" t="s">
        <v>104</v>
      </c>
      <c r="D660" s="172" t="s">
        <v>105</v>
      </c>
      <c r="E660" s="172" t="s">
        <v>38</v>
      </c>
      <c r="F660" s="172" t="s">
        <v>87</v>
      </c>
      <c r="G660" s="172" t="s">
        <v>84</v>
      </c>
      <c r="H660" s="177">
        <v>1</v>
      </c>
      <c r="I660" s="178">
        <v>1750</v>
      </c>
      <c r="J660" s="176">
        <v>46042</v>
      </c>
      <c r="K660" s="172" t="s">
        <v>93</v>
      </c>
      <c r="L660" s="172" t="s">
        <v>94</v>
      </c>
      <c r="M660" s="179">
        <v>0.43</v>
      </c>
      <c r="N660" s="177"/>
      <c r="O660" s="177"/>
      <c r="P660" s="180">
        <v>-752.5</v>
      </c>
    </row>
    <row r="661" spans="1:16" ht="19.5" customHeight="1">
      <c r="A661" s="172" t="s">
        <v>278</v>
      </c>
      <c r="B661" s="176">
        <v>46046</v>
      </c>
      <c r="C661" s="172" t="s">
        <v>81</v>
      </c>
      <c r="D661" s="172" t="s">
        <v>95</v>
      </c>
      <c r="E661" s="172" t="s">
        <v>38</v>
      </c>
      <c r="F661" s="172" t="s">
        <v>87</v>
      </c>
      <c r="G661" s="172" t="s">
        <v>84</v>
      </c>
      <c r="H661" s="177">
        <v>1</v>
      </c>
      <c r="I661" s="178">
        <v>1750</v>
      </c>
      <c r="J661" s="176">
        <v>46042</v>
      </c>
      <c r="K661" s="172" t="s">
        <v>93</v>
      </c>
      <c r="L661" s="172" t="s">
        <v>94</v>
      </c>
      <c r="M661" s="179">
        <v>0.43</v>
      </c>
      <c r="N661" s="177"/>
      <c r="O661" s="177"/>
      <c r="P661" s="180">
        <v>-25</v>
      </c>
    </row>
    <row r="662" spans="1:16" ht="19.5" customHeight="1">
      <c r="A662" s="172" t="s">
        <v>279</v>
      </c>
      <c r="B662" s="176">
        <v>46046</v>
      </c>
      <c r="C662" s="172" t="s">
        <v>92</v>
      </c>
      <c r="D662" s="172" t="s">
        <v>24</v>
      </c>
      <c r="E662" s="172" t="s">
        <v>41</v>
      </c>
      <c r="F662" s="172" t="s">
        <v>83</v>
      </c>
      <c r="G662" s="172" t="s">
        <v>84</v>
      </c>
      <c r="H662" s="177">
        <v>1</v>
      </c>
      <c r="I662" s="178">
        <v>1750</v>
      </c>
      <c r="J662" s="176">
        <v>46042</v>
      </c>
      <c r="K662" s="172" t="s">
        <v>93</v>
      </c>
      <c r="L662" s="172" t="s">
        <v>94</v>
      </c>
      <c r="M662" s="179">
        <v>0.43</v>
      </c>
      <c r="N662" s="177"/>
      <c r="O662" s="177">
        <v>43</v>
      </c>
      <c r="P662" s="180">
        <v>-126.1</v>
      </c>
    </row>
    <row r="663" spans="1:16" ht="19.5" customHeight="1">
      <c r="A663" s="172" t="s">
        <v>279</v>
      </c>
      <c r="B663" s="176">
        <v>46046</v>
      </c>
      <c r="C663" s="172" t="s">
        <v>100</v>
      </c>
      <c r="D663" s="172" t="s">
        <v>101</v>
      </c>
      <c r="E663" s="172" t="s">
        <v>41</v>
      </c>
      <c r="F663" s="172" t="s">
        <v>83</v>
      </c>
      <c r="G663" s="172" t="s">
        <v>84</v>
      </c>
      <c r="H663" s="177">
        <v>1</v>
      </c>
      <c r="I663" s="178">
        <v>1750</v>
      </c>
      <c r="J663" s="176">
        <v>46042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635.92999999999995</v>
      </c>
    </row>
    <row r="664" spans="1:16" ht="19.5" customHeight="1">
      <c r="A664" s="172" t="s">
        <v>279</v>
      </c>
      <c r="B664" s="176">
        <v>46046</v>
      </c>
      <c r="C664" s="172" t="s">
        <v>100</v>
      </c>
      <c r="D664" s="172" t="s">
        <v>102</v>
      </c>
      <c r="E664" s="172" t="s">
        <v>41</v>
      </c>
      <c r="F664" s="172" t="s">
        <v>83</v>
      </c>
      <c r="G664" s="172" t="s">
        <v>84</v>
      </c>
      <c r="H664" s="177">
        <v>1</v>
      </c>
      <c r="I664" s="178">
        <v>1750</v>
      </c>
      <c r="J664" s="176">
        <v>46042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6.36</v>
      </c>
    </row>
    <row r="665" spans="1:16" ht="19.5" customHeight="1">
      <c r="A665" s="172" t="s">
        <v>279</v>
      </c>
      <c r="B665" s="176">
        <v>46046</v>
      </c>
      <c r="C665" s="172" t="s">
        <v>100</v>
      </c>
      <c r="D665" s="172" t="s">
        <v>103</v>
      </c>
      <c r="E665" s="172" t="s">
        <v>41</v>
      </c>
      <c r="F665" s="172" t="s">
        <v>83</v>
      </c>
      <c r="G665" s="172" t="s">
        <v>84</v>
      </c>
      <c r="H665" s="177">
        <v>1</v>
      </c>
      <c r="I665" s="178">
        <v>1750</v>
      </c>
      <c r="J665" s="176">
        <v>46042</v>
      </c>
      <c r="K665" s="172" t="s">
        <v>93</v>
      </c>
      <c r="L665" s="172" t="s">
        <v>94</v>
      </c>
      <c r="M665" s="179">
        <v>0</v>
      </c>
      <c r="N665" s="177"/>
      <c r="O665" s="177"/>
      <c r="P665" s="180">
        <v>1107.71</v>
      </c>
    </row>
    <row r="666" spans="1:16" ht="19.5" customHeight="1">
      <c r="A666" s="172" t="s">
        <v>279</v>
      </c>
      <c r="B666" s="176">
        <v>46046</v>
      </c>
      <c r="C666" s="172" t="s">
        <v>104</v>
      </c>
      <c r="D666" s="172" t="s">
        <v>105</v>
      </c>
      <c r="E666" s="172" t="s">
        <v>41</v>
      </c>
      <c r="F666" s="172" t="s">
        <v>83</v>
      </c>
      <c r="G666" s="172" t="s">
        <v>84</v>
      </c>
      <c r="H666" s="177">
        <v>1</v>
      </c>
      <c r="I666" s="178">
        <v>1750</v>
      </c>
      <c r="J666" s="176">
        <v>46042</v>
      </c>
      <c r="K666" s="172" t="s">
        <v>93</v>
      </c>
      <c r="L666" s="172" t="s">
        <v>94</v>
      </c>
      <c r="M666" s="179">
        <v>0.43</v>
      </c>
      <c r="N666" s="177"/>
      <c r="O666" s="177"/>
      <c r="P666" s="180">
        <v>-752.5</v>
      </c>
    </row>
    <row r="667" spans="1:16" ht="19.5" customHeight="1">
      <c r="A667" s="172" t="s">
        <v>279</v>
      </c>
      <c r="B667" s="176">
        <v>46046</v>
      </c>
      <c r="C667" s="172" t="s">
        <v>81</v>
      </c>
      <c r="D667" s="172" t="s">
        <v>95</v>
      </c>
      <c r="E667" s="172" t="s">
        <v>41</v>
      </c>
      <c r="F667" s="172" t="s">
        <v>83</v>
      </c>
      <c r="G667" s="172" t="s">
        <v>84</v>
      </c>
      <c r="H667" s="177">
        <v>1</v>
      </c>
      <c r="I667" s="178">
        <v>1750</v>
      </c>
      <c r="J667" s="176">
        <v>46042</v>
      </c>
      <c r="K667" s="172" t="s">
        <v>93</v>
      </c>
      <c r="L667" s="172" t="s">
        <v>94</v>
      </c>
      <c r="M667" s="179">
        <v>0.43</v>
      </c>
      <c r="N667" s="177"/>
      <c r="O667" s="177"/>
      <c r="P667" s="180">
        <v>-25</v>
      </c>
    </row>
    <row r="668" spans="1:16" ht="19.5" customHeight="1">
      <c r="A668" s="172" t="s">
        <v>280</v>
      </c>
      <c r="B668" s="176">
        <v>46046</v>
      </c>
      <c r="C668" s="172" t="s">
        <v>81</v>
      </c>
      <c r="D668" s="172" t="s">
        <v>82</v>
      </c>
      <c r="E668" s="172" t="s">
        <v>39</v>
      </c>
      <c r="F668" s="172" t="s">
        <v>117</v>
      </c>
      <c r="G668" s="172" t="s">
        <v>84</v>
      </c>
      <c r="H668" s="177">
        <v>1</v>
      </c>
      <c r="I668" s="178">
        <v>0</v>
      </c>
      <c r="J668" s="176">
        <v>46046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-5.0199999999999996</v>
      </c>
    </row>
    <row r="669" spans="1:16" ht="19.5" customHeight="1">
      <c r="A669" s="172" t="s">
        <v>281</v>
      </c>
      <c r="B669" s="176">
        <v>46046</v>
      </c>
      <c r="C669" s="172" t="s">
        <v>92</v>
      </c>
      <c r="D669" s="172" t="s">
        <v>24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46042</v>
      </c>
      <c r="K669" s="172" t="s">
        <v>93</v>
      </c>
      <c r="L669" s="172" t="s">
        <v>94</v>
      </c>
      <c r="M669" s="179">
        <v>0.43</v>
      </c>
      <c r="N669" s="177"/>
      <c r="O669" s="177">
        <v>43</v>
      </c>
      <c r="P669" s="180">
        <v>-146.44999999999999</v>
      </c>
    </row>
    <row r="670" spans="1:16" ht="19.5" customHeight="1">
      <c r="A670" s="172" t="s">
        <v>281</v>
      </c>
      <c r="B670" s="176">
        <v>46046</v>
      </c>
      <c r="C670" s="172" t="s">
        <v>100</v>
      </c>
      <c r="D670" s="172" t="s">
        <v>101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46042</v>
      </c>
      <c r="K670" s="172" t="s">
        <v>93</v>
      </c>
      <c r="L670" s="172" t="s">
        <v>94</v>
      </c>
      <c r="M670" s="179">
        <v>0</v>
      </c>
      <c r="N670" s="177"/>
      <c r="O670" s="177"/>
      <c r="P670" s="180">
        <v>641.63</v>
      </c>
    </row>
    <row r="671" spans="1:16" ht="19.5" customHeight="1">
      <c r="A671" s="172" t="s">
        <v>281</v>
      </c>
      <c r="B671" s="176">
        <v>46046</v>
      </c>
      <c r="C671" s="172" t="s">
        <v>100</v>
      </c>
      <c r="D671" s="172" t="s">
        <v>102</v>
      </c>
      <c r="E671" s="172" t="s">
        <v>53</v>
      </c>
      <c r="F671" s="172" t="s">
        <v>120</v>
      </c>
      <c r="G671" s="172" t="s">
        <v>84</v>
      </c>
      <c r="H671" s="177">
        <v>1</v>
      </c>
      <c r="I671" s="178">
        <v>1845</v>
      </c>
      <c r="J671" s="176">
        <v>46042</v>
      </c>
      <c r="K671" s="172" t="s">
        <v>93</v>
      </c>
      <c r="L671" s="172" t="s">
        <v>94</v>
      </c>
      <c r="M671" s="179">
        <v>0</v>
      </c>
      <c r="N671" s="177"/>
      <c r="O671" s="177"/>
      <c r="P671" s="180">
        <v>6.42</v>
      </c>
    </row>
    <row r="672" spans="1:16" ht="19.5" customHeight="1">
      <c r="A672" s="172" t="s">
        <v>281</v>
      </c>
      <c r="B672" s="176">
        <v>46046</v>
      </c>
      <c r="C672" s="172" t="s">
        <v>100</v>
      </c>
      <c r="D672" s="172" t="s">
        <v>103</v>
      </c>
      <c r="E672" s="172" t="s">
        <v>53</v>
      </c>
      <c r="F672" s="172" t="s">
        <v>120</v>
      </c>
      <c r="G672" s="172" t="s">
        <v>84</v>
      </c>
      <c r="H672" s="177">
        <v>1</v>
      </c>
      <c r="I672" s="178">
        <v>1845</v>
      </c>
      <c r="J672" s="176">
        <v>46042</v>
      </c>
      <c r="K672" s="172" t="s">
        <v>93</v>
      </c>
      <c r="L672" s="172" t="s">
        <v>94</v>
      </c>
      <c r="M672" s="179">
        <v>0</v>
      </c>
      <c r="N672" s="177"/>
      <c r="O672" s="177"/>
      <c r="P672" s="180">
        <v>1196.95</v>
      </c>
    </row>
    <row r="673" spans="1:16" ht="19.5" customHeight="1">
      <c r="A673" s="172" t="s">
        <v>281</v>
      </c>
      <c r="B673" s="176">
        <v>46046</v>
      </c>
      <c r="C673" s="172" t="s">
        <v>104</v>
      </c>
      <c r="D673" s="172" t="s">
        <v>105</v>
      </c>
      <c r="E673" s="172" t="s">
        <v>53</v>
      </c>
      <c r="F673" s="172" t="s">
        <v>120</v>
      </c>
      <c r="G673" s="172" t="s">
        <v>84</v>
      </c>
      <c r="H673" s="177">
        <v>1</v>
      </c>
      <c r="I673" s="178">
        <v>1845</v>
      </c>
      <c r="J673" s="176">
        <v>46042</v>
      </c>
      <c r="K673" s="172" t="s">
        <v>93</v>
      </c>
      <c r="L673" s="172" t="s">
        <v>94</v>
      </c>
      <c r="M673" s="179">
        <v>0.43</v>
      </c>
      <c r="N673" s="177"/>
      <c r="O673" s="177"/>
      <c r="P673" s="180">
        <v>-793.35</v>
      </c>
    </row>
    <row r="674" spans="1:16" ht="19.5" customHeight="1">
      <c r="A674" s="172" t="s">
        <v>281</v>
      </c>
      <c r="B674" s="176">
        <v>46046</v>
      </c>
      <c r="C674" s="172" t="s">
        <v>81</v>
      </c>
      <c r="D674" s="172" t="s">
        <v>95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1845</v>
      </c>
      <c r="J674" s="176">
        <v>46042</v>
      </c>
      <c r="K674" s="172" t="s">
        <v>93</v>
      </c>
      <c r="L674" s="172" t="s">
        <v>94</v>
      </c>
      <c r="M674" s="179">
        <v>0.43</v>
      </c>
      <c r="N674" s="177"/>
      <c r="O674" s="177"/>
      <c r="P674" s="180">
        <v>-9.36</v>
      </c>
    </row>
    <row r="675" spans="1:16" ht="19.5" customHeight="1">
      <c r="A675" s="172" t="s">
        <v>282</v>
      </c>
      <c r="B675" s="176">
        <v>46046</v>
      </c>
      <c r="C675" s="172" t="s">
        <v>92</v>
      </c>
      <c r="D675" s="172" t="s">
        <v>24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1845</v>
      </c>
      <c r="J675" s="176">
        <v>46044</v>
      </c>
      <c r="K675" s="172" t="s">
        <v>93</v>
      </c>
      <c r="L675" s="172" t="s">
        <v>94</v>
      </c>
      <c r="M675" s="179">
        <v>0.43</v>
      </c>
      <c r="N675" s="177"/>
      <c r="O675" s="177">
        <v>42</v>
      </c>
      <c r="P675" s="180">
        <v>-140.5</v>
      </c>
    </row>
    <row r="676" spans="1:16" ht="19.5" customHeight="1">
      <c r="A676" s="172" t="s">
        <v>282</v>
      </c>
      <c r="B676" s="176">
        <v>46046</v>
      </c>
      <c r="C676" s="172" t="s">
        <v>100</v>
      </c>
      <c r="D676" s="172" t="s">
        <v>101</v>
      </c>
      <c r="E676" s="172" t="s">
        <v>53</v>
      </c>
      <c r="F676" s="172" t="s">
        <v>120</v>
      </c>
      <c r="G676" s="172" t="s">
        <v>84</v>
      </c>
      <c r="H676" s="177">
        <v>1</v>
      </c>
      <c r="I676" s="178">
        <v>1845</v>
      </c>
      <c r="J676" s="176">
        <v>46044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642.25</v>
      </c>
    </row>
    <row r="677" spans="1:16" ht="19.5" customHeight="1">
      <c r="A677" s="172" t="s">
        <v>282</v>
      </c>
      <c r="B677" s="176">
        <v>46046</v>
      </c>
      <c r="C677" s="172" t="s">
        <v>100</v>
      </c>
      <c r="D677" s="172" t="s">
        <v>102</v>
      </c>
      <c r="E677" s="172" t="s">
        <v>53</v>
      </c>
      <c r="F677" s="172" t="s">
        <v>120</v>
      </c>
      <c r="G677" s="172" t="s">
        <v>84</v>
      </c>
      <c r="H677" s="177">
        <v>1</v>
      </c>
      <c r="I677" s="178">
        <v>1845</v>
      </c>
      <c r="J677" s="176">
        <v>46044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6.42</v>
      </c>
    </row>
    <row r="678" spans="1:16" ht="19.5" customHeight="1">
      <c r="A678" s="172" t="s">
        <v>282</v>
      </c>
      <c r="B678" s="176">
        <v>46046</v>
      </c>
      <c r="C678" s="172" t="s">
        <v>100</v>
      </c>
      <c r="D678" s="172" t="s">
        <v>103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1845</v>
      </c>
      <c r="J678" s="176">
        <v>46044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1196.33</v>
      </c>
    </row>
    <row r="679" spans="1:16" ht="19.5" customHeight="1">
      <c r="A679" s="172" t="s">
        <v>282</v>
      </c>
      <c r="B679" s="176">
        <v>46046</v>
      </c>
      <c r="C679" s="172" t="s">
        <v>104</v>
      </c>
      <c r="D679" s="172" t="s">
        <v>105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1845</v>
      </c>
      <c r="J679" s="176">
        <v>46044</v>
      </c>
      <c r="K679" s="172" t="s">
        <v>93</v>
      </c>
      <c r="L679" s="172" t="s">
        <v>94</v>
      </c>
      <c r="M679" s="179">
        <v>0.43</v>
      </c>
      <c r="N679" s="177"/>
      <c r="O679" s="177"/>
      <c r="P679" s="180">
        <v>-793.35</v>
      </c>
    </row>
    <row r="680" spans="1:16" ht="19.5" customHeight="1">
      <c r="A680" s="172" t="s">
        <v>282</v>
      </c>
      <c r="B680" s="176">
        <v>46046</v>
      </c>
      <c r="C680" s="172" t="s">
        <v>81</v>
      </c>
      <c r="D680" s="172" t="s">
        <v>95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1845</v>
      </c>
      <c r="J680" s="176">
        <v>46044</v>
      </c>
      <c r="K680" s="172" t="s">
        <v>93</v>
      </c>
      <c r="L680" s="172" t="s">
        <v>94</v>
      </c>
      <c r="M680" s="179">
        <v>0.43</v>
      </c>
      <c r="N680" s="177"/>
      <c r="O680" s="177"/>
      <c r="P680" s="180">
        <v>-16.059999999999999</v>
      </c>
    </row>
    <row r="681" spans="1:16" ht="19.5" customHeight="1">
      <c r="A681" s="172" t="s">
        <v>283</v>
      </c>
      <c r="B681" s="176">
        <v>46046</v>
      </c>
      <c r="C681" s="172" t="s">
        <v>92</v>
      </c>
      <c r="D681" s="172" t="s">
        <v>24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1885</v>
      </c>
      <c r="J681" s="176">
        <v>46043</v>
      </c>
      <c r="K681" s="172" t="s">
        <v>93</v>
      </c>
      <c r="L681" s="172" t="s">
        <v>94</v>
      </c>
      <c r="M681" s="179">
        <v>0.43</v>
      </c>
      <c r="N681" s="177"/>
      <c r="O681" s="177">
        <v>43</v>
      </c>
      <c r="P681" s="180">
        <v>-146.15</v>
      </c>
    </row>
    <row r="682" spans="1:16" ht="19.5" customHeight="1">
      <c r="A682" s="172" t="s">
        <v>283</v>
      </c>
      <c r="B682" s="176">
        <v>46046</v>
      </c>
      <c r="C682" s="172" t="s">
        <v>100</v>
      </c>
      <c r="D682" s="172" t="s">
        <v>101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1885</v>
      </c>
      <c r="J682" s="176">
        <v>46043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656.52</v>
      </c>
    </row>
    <row r="683" spans="1:16" ht="19.5" customHeight="1">
      <c r="A683" s="172" t="s">
        <v>283</v>
      </c>
      <c r="B683" s="176">
        <v>46046</v>
      </c>
      <c r="C683" s="172" t="s">
        <v>100</v>
      </c>
      <c r="D683" s="172" t="s">
        <v>102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1885</v>
      </c>
      <c r="J683" s="176">
        <v>46043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6.57</v>
      </c>
    </row>
    <row r="684" spans="1:16" ht="19.5" customHeight="1">
      <c r="A684" s="172" t="s">
        <v>283</v>
      </c>
      <c r="B684" s="176">
        <v>46046</v>
      </c>
      <c r="C684" s="172" t="s">
        <v>100</v>
      </c>
      <c r="D684" s="172" t="s">
        <v>103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1885</v>
      </c>
      <c r="J684" s="176">
        <v>46043</v>
      </c>
      <c r="K684" s="172" t="s">
        <v>93</v>
      </c>
      <c r="L684" s="172" t="s">
        <v>94</v>
      </c>
      <c r="M684" s="179">
        <v>0</v>
      </c>
      <c r="N684" s="177"/>
      <c r="O684" s="177"/>
      <c r="P684" s="180">
        <v>1221.9100000000001</v>
      </c>
    </row>
    <row r="685" spans="1:16" ht="19.5" customHeight="1">
      <c r="A685" s="172" t="s">
        <v>283</v>
      </c>
      <c r="B685" s="176">
        <v>46046</v>
      </c>
      <c r="C685" s="172" t="s">
        <v>104</v>
      </c>
      <c r="D685" s="172" t="s">
        <v>105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1885</v>
      </c>
      <c r="J685" s="176">
        <v>46043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-810.55</v>
      </c>
    </row>
    <row r="686" spans="1:16" ht="19.5" customHeight="1">
      <c r="A686" s="172" t="s">
        <v>283</v>
      </c>
      <c r="B686" s="176">
        <v>46046</v>
      </c>
      <c r="C686" s="172" t="s">
        <v>81</v>
      </c>
      <c r="D686" s="172" t="s">
        <v>95</v>
      </c>
      <c r="E686" s="172" t="s">
        <v>52</v>
      </c>
      <c r="F686" s="172" t="s">
        <v>90</v>
      </c>
      <c r="G686" s="172" t="s">
        <v>84</v>
      </c>
      <c r="H686" s="177">
        <v>1</v>
      </c>
      <c r="I686" s="178">
        <v>1885</v>
      </c>
      <c r="J686" s="176">
        <v>46043</v>
      </c>
      <c r="K686" s="172" t="s">
        <v>93</v>
      </c>
      <c r="L686" s="172" t="s">
        <v>94</v>
      </c>
      <c r="M686" s="179">
        <v>0.43</v>
      </c>
      <c r="N686" s="177"/>
      <c r="O686" s="177"/>
      <c r="P686" s="180">
        <v>-15.78</v>
      </c>
    </row>
    <row r="687" spans="1:16" ht="19.5" customHeight="1">
      <c r="A687" s="172" t="s">
        <v>284</v>
      </c>
      <c r="B687" s="176">
        <v>46046</v>
      </c>
      <c r="C687" s="172" t="s">
        <v>92</v>
      </c>
      <c r="D687" s="172" t="s">
        <v>24</v>
      </c>
      <c r="E687" s="172" t="s">
        <v>41</v>
      </c>
      <c r="F687" s="172" t="s">
        <v>83</v>
      </c>
      <c r="G687" s="172" t="s">
        <v>84</v>
      </c>
      <c r="H687" s="177">
        <v>1</v>
      </c>
      <c r="I687" s="178">
        <v>1750</v>
      </c>
      <c r="J687" s="176">
        <v>46043</v>
      </c>
      <c r="K687" s="172" t="s">
        <v>93</v>
      </c>
      <c r="L687" s="172" t="s">
        <v>94</v>
      </c>
      <c r="M687" s="179">
        <v>0.43</v>
      </c>
      <c r="N687" s="177"/>
      <c r="O687" s="177">
        <v>43</v>
      </c>
      <c r="P687" s="180">
        <v>-126.1</v>
      </c>
    </row>
    <row r="688" spans="1:16" ht="19.5" customHeight="1">
      <c r="A688" s="172" t="s">
        <v>284</v>
      </c>
      <c r="B688" s="176">
        <v>46046</v>
      </c>
      <c r="C688" s="172" t="s">
        <v>100</v>
      </c>
      <c r="D688" s="172" t="s">
        <v>101</v>
      </c>
      <c r="E688" s="172" t="s">
        <v>41</v>
      </c>
      <c r="F688" s="172" t="s">
        <v>83</v>
      </c>
      <c r="G688" s="172" t="s">
        <v>84</v>
      </c>
      <c r="H688" s="177">
        <v>1</v>
      </c>
      <c r="I688" s="178">
        <v>1750</v>
      </c>
      <c r="J688" s="176">
        <v>46043</v>
      </c>
      <c r="K688" s="172" t="s">
        <v>93</v>
      </c>
      <c r="L688" s="172" t="s">
        <v>94</v>
      </c>
      <c r="M688" s="179">
        <v>0</v>
      </c>
      <c r="N688" s="177"/>
      <c r="O688" s="177"/>
      <c r="P688" s="180">
        <v>609.52</v>
      </c>
    </row>
    <row r="689" spans="1:16" ht="19.5" customHeight="1">
      <c r="A689" s="172" t="s">
        <v>284</v>
      </c>
      <c r="B689" s="176">
        <v>46046</v>
      </c>
      <c r="C689" s="172" t="s">
        <v>100</v>
      </c>
      <c r="D689" s="172" t="s">
        <v>102</v>
      </c>
      <c r="E689" s="172" t="s">
        <v>41</v>
      </c>
      <c r="F689" s="172" t="s">
        <v>83</v>
      </c>
      <c r="G689" s="172" t="s">
        <v>84</v>
      </c>
      <c r="H689" s="177">
        <v>1</v>
      </c>
      <c r="I689" s="178">
        <v>1750</v>
      </c>
      <c r="J689" s="176">
        <v>46043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6.1</v>
      </c>
    </row>
    <row r="690" spans="1:16" ht="19.5" customHeight="1">
      <c r="A690" s="172" t="s">
        <v>284</v>
      </c>
      <c r="B690" s="176">
        <v>46046</v>
      </c>
      <c r="C690" s="172" t="s">
        <v>100</v>
      </c>
      <c r="D690" s="172" t="s">
        <v>103</v>
      </c>
      <c r="E690" s="172" t="s">
        <v>41</v>
      </c>
      <c r="F690" s="172" t="s">
        <v>83</v>
      </c>
      <c r="G690" s="172" t="s">
        <v>84</v>
      </c>
      <c r="H690" s="177">
        <v>1</v>
      </c>
      <c r="I690" s="178">
        <v>1750</v>
      </c>
      <c r="J690" s="176">
        <v>46043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1134.3800000000001</v>
      </c>
    </row>
    <row r="691" spans="1:16" ht="19.5" customHeight="1">
      <c r="A691" s="172" t="s">
        <v>284</v>
      </c>
      <c r="B691" s="176">
        <v>46046</v>
      </c>
      <c r="C691" s="172" t="s">
        <v>104</v>
      </c>
      <c r="D691" s="172" t="s">
        <v>105</v>
      </c>
      <c r="E691" s="172" t="s">
        <v>41</v>
      </c>
      <c r="F691" s="172" t="s">
        <v>83</v>
      </c>
      <c r="G691" s="172" t="s">
        <v>84</v>
      </c>
      <c r="H691" s="177">
        <v>1</v>
      </c>
      <c r="I691" s="178">
        <v>1750</v>
      </c>
      <c r="J691" s="176">
        <v>46043</v>
      </c>
      <c r="K691" s="172" t="s">
        <v>93</v>
      </c>
      <c r="L691" s="172" t="s">
        <v>94</v>
      </c>
      <c r="M691" s="179">
        <v>0.43</v>
      </c>
      <c r="N691" s="177"/>
      <c r="O691" s="177"/>
      <c r="P691" s="180">
        <v>-752.5</v>
      </c>
    </row>
    <row r="692" spans="1:16" ht="19.5" customHeight="1">
      <c r="A692" s="172" t="s">
        <v>284</v>
      </c>
      <c r="B692" s="176">
        <v>46046</v>
      </c>
      <c r="C692" s="172" t="s">
        <v>81</v>
      </c>
      <c r="D692" s="172" t="s">
        <v>95</v>
      </c>
      <c r="E692" s="172" t="s">
        <v>41</v>
      </c>
      <c r="F692" s="172" t="s">
        <v>83</v>
      </c>
      <c r="G692" s="172" t="s">
        <v>84</v>
      </c>
      <c r="H692" s="177">
        <v>1</v>
      </c>
      <c r="I692" s="178">
        <v>1750</v>
      </c>
      <c r="J692" s="176">
        <v>46043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-10.18</v>
      </c>
    </row>
    <row r="693" spans="1:16" ht="19.5" customHeight="1">
      <c r="A693" s="172" t="s">
        <v>285</v>
      </c>
      <c r="B693" s="176">
        <v>46046</v>
      </c>
      <c r="C693" s="172" t="s">
        <v>92</v>
      </c>
      <c r="D693" s="172" t="s">
        <v>24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1242</v>
      </c>
      <c r="J693" s="176">
        <v>46045</v>
      </c>
      <c r="K693" s="172" t="s">
        <v>93</v>
      </c>
      <c r="L693" s="172" t="s">
        <v>94</v>
      </c>
      <c r="M693" s="179">
        <v>0.43</v>
      </c>
      <c r="N693" s="177"/>
      <c r="O693" s="177">
        <v>40</v>
      </c>
      <c r="P693" s="180">
        <v>-116.23</v>
      </c>
    </row>
    <row r="694" spans="1:16" ht="19.5" customHeight="1">
      <c r="A694" s="172" t="s">
        <v>285</v>
      </c>
      <c r="B694" s="176">
        <v>46046</v>
      </c>
      <c r="C694" s="172" t="s">
        <v>100</v>
      </c>
      <c r="D694" s="172" t="s">
        <v>101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1242</v>
      </c>
      <c r="J694" s="176">
        <v>46045</v>
      </c>
      <c r="K694" s="172" t="s">
        <v>93</v>
      </c>
      <c r="L694" s="172" t="s">
        <v>94</v>
      </c>
      <c r="M694" s="179">
        <v>0</v>
      </c>
      <c r="N694" s="177"/>
      <c r="O694" s="177"/>
      <c r="P694" s="180">
        <v>426.13</v>
      </c>
    </row>
    <row r="695" spans="1:16" ht="19.5" customHeight="1">
      <c r="A695" s="172" t="s">
        <v>285</v>
      </c>
      <c r="B695" s="176">
        <v>46046</v>
      </c>
      <c r="C695" s="172" t="s">
        <v>100</v>
      </c>
      <c r="D695" s="172" t="s">
        <v>102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1242</v>
      </c>
      <c r="J695" s="176">
        <v>46045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4.26</v>
      </c>
    </row>
    <row r="696" spans="1:16" ht="19.5" customHeight="1">
      <c r="A696" s="172" t="s">
        <v>285</v>
      </c>
      <c r="B696" s="176">
        <v>46046</v>
      </c>
      <c r="C696" s="172" t="s">
        <v>100</v>
      </c>
      <c r="D696" s="172" t="s">
        <v>103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1242</v>
      </c>
      <c r="J696" s="176">
        <v>46045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811.61</v>
      </c>
    </row>
    <row r="697" spans="1:16" ht="19.5" customHeight="1">
      <c r="A697" s="172" t="s">
        <v>285</v>
      </c>
      <c r="B697" s="176">
        <v>46046</v>
      </c>
      <c r="C697" s="172" t="s">
        <v>104</v>
      </c>
      <c r="D697" s="172" t="s">
        <v>105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1242</v>
      </c>
      <c r="J697" s="176">
        <v>46045</v>
      </c>
      <c r="K697" s="172" t="s">
        <v>93</v>
      </c>
      <c r="L697" s="172" t="s">
        <v>94</v>
      </c>
      <c r="M697" s="179">
        <v>0.43</v>
      </c>
      <c r="N697" s="177"/>
      <c r="O697" s="177"/>
      <c r="P697" s="180">
        <v>-534.05999999999995</v>
      </c>
    </row>
    <row r="698" spans="1:16" ht="19.5" customHeight="1">
      <c r="A698" s="172" t="s">
        <v>285</v>
      </c>
      <c r="B698" s="176">
        <v>46046</v>
      </c>
      <c r="C698" s="172" t="s">
        <v>81</v>
      </c>
      <c r="D698" s="172" t="s">
        <v>95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1242</v>
      </c>
      <c r="J698" s="176">
        <v>46045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-6.22</v>
      </c>
    </row>
    <row r="699" spans="1:16" ht="19.5" customHeight="1">
      <c r="A699" s="172" t="s">
        <v>286</v>
      </c>
      <c r="B699" s="176">
        <v>46046</v>
      </c>
      <c r="C699" s="172" t="s">
        <v>92</v>
      </c>
      <c r="D699" s="172" t="s">
        <v>24</v>
      </c>
      <c r="E699" s="172" t="s">
        <v>39</v>
      </c>
      <c r="F699" s="172" t="s">
        <v>117</v>
      </c>
      <c r="G699" s="172" t="s">
        <v>84</v>
      </c>
      <c r="H699" s="177">
        <v>1</v>
      </c>
      <c r="I699" s="178">
        <v>1750</v>
      </c>
      <c r="J699" s="176">
        <v>46044</v>
      </c>
      <c r="K699" s="172" t="s">
        <v>93</v>
      </c>
      <c r="L699" s="172" t="s">
        <v>94</v>
      </c>
      <c r="M699" s="179">
        <v>0.43</v>
      </c>
      <c r="N699" s="177"/>
      <c r="O699" s="177">
        <v>42</v>
      </c>
      <c r="P699" s="180">
        <v>-123.31</v>
      </c>
    </row>
    <row r="700" spans="1:16" ht="19.5" customHeight="1">
      <c r="A700" s="172" t="s">
        <v>286</v>
      </c>
      <c r="B700" s="176">
        <v>46046</v>
      </c>
      <c r="C700" s="172" t="s">
        <v>100</v>
      </c>
      <c r="D700" s="172" t="s">
        <v>101</v>
      </c>
      <c r="E700" s="172" t="s">
        <v>39</v>
      </c>
      <c r="F700" s="172" t="s">
        <v>117</v>
      </c>
      <c r="G700" s="172" t="s">
        <v>84</v>
      </c>
      <c r="H700" s="177">
        <v>1</v>
      </c>
      <c r="I700" s="178">
        <v>1750</v>
      </c>
      <c r="J700" s="176">
        <v>46044</v>
      </c>
      <c r="K700" s="172" t="s">
        <v>93</v>
      </c>
      <c r="L700" s="172" t="s">
        <v>94</v>
      </c>
      <c r="M700" s="179">
        <v>0</v>
      </c>
      <c r="N700" s="177"/>
      <c r="O700" s="177"/>
      <c r="P700" s="180">
        <v>633.08000000000004</v>
      </c>
    </row>
    <row r="701" spans="1:16" ht="19.5" customHeight="1">
      <c r="A701" s="172" t="s">
        <v>286</v>
      </c>
      <c r="B701" s="176">
        <v>46046</v>
      </c>
      <c r="C701" s="172" t="s">
        <v>100</v>
      </c>
      <c r="D701" s="172" t="s">
        <v>102</v>
      </c>
      <c r="E701" s="172" t="s">
        <v>39</v>
      </c>
      <c r="F701" s="172" t="s">
        <v>117</v>
      </c>
      <c r="G701" s="172" t="s">
        <v>84</v>
      </c>
      <c r="H701" s="177">
        <v>1</v>
      </c>
      <c r="I701" s="178">
        <v>1750</v>
      </c>
      <c r="J701" s="176">
        <v>46044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6.33</v>
      </c>
    </row>
    <row r="702" spans="1:16" ht="19.5" customHeight="1">
      <c r="A702" s="172" t="s">
        <v>286</v>
      </c>
      <c r="B702" s="176">
        <v>46046</v>
      </c>
      <c r="C702" s="172" t="s">
        <v>100</v>
      </c>
      <c r="D702" s="172" t="s">
        <v>103</v>
      </c>
      <c r="E702" s="172" t="s">
        <v>39</v>
      </c>
      <c r="F702" s="172" t="s">
        <v>117</v>
      </c>
      <c r="G702" s="172" t="s">
        <v>84</v>
      </c>
      <c r="H702" s="177">
        <v>1</v>
      </c>
      <c r="I702" s="178">
        <v>1750</v>
      </c>
      <c r="J702" s="176">
        <v>46044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1110.5899999999999</v>
      </c>
    </row>
    <row r="703" spans="1:16" ht="19.5" customHeight="1">
      <c r="A703" s="172" t="s">
        <v>286</v>
      </c>
      <c r="B703" s="176">
        <v>46046</v>
      </c>
      <c r="C703" s="172" t="s">
        <v>104</v>
      </c>
      <c r="D703" s="172" t="s">
        <v>105</v>
      </c>
      <c r="E703" s="172" t="s">
        <v>39</v>
      </c>
      <c r="F703" s="172" t="s">
        <v>117</v>
      </c>
      <c r="G703" s="172" t="s">
        <v>84</v>
      </c>
      <c r="H703" s="177">
        <v>1</v>
      </c>
      <c r="I703" s="178">
        <v>1750</v>
      </c>
      <c r="J703" s="176">
        <v>46044</v>
      </c>
      <c r="K703" s="172" t="s">
        <v>93</v>
      </c>
      <c r="L703" s="172" t="s">
        <v>94</v>
      </c>
      <c r="M703" s="179">
        <v>0.43</v>
      </c>
      <c r="N703" s="177"/>
      <c r="O703" s="177"/>
      <c r="P703" s="180">
        <v>-752.5</v>
      </c>
    </row>
    <row r="704" spans="1:16" ht="19.5" customHeight="1">
      <c r="A704" s="172" t="s">
        <v>286</v>
      </c>
      <c r="B704" s="176">
        <v>46046</v>
      </c>
      <c r="C704" s="172" t="s">
        <v>81</v>
      </c>
      <c r="D704" s="172" t="s">
        <v>95</v>
      </c>
      <c r="E704" s="172" t="s">
        <v>39</v>
      </c>
      <c r="F704" s="172" t="s">
        <v>117</v>
      </c>
      <c r="G704" s="172" t="s">
        <v>84</v>
      </c>
      <c r="H704" s="177">
        <v>1</v>
      </c>
      <c r="I704" s="178">
        <v>1750</v>
      </c>
      <c r="J704" s="176">
        <v>46044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-14.35</v>
      </c>
    </row>
    <row r="705" spans="1:16" ht="19.5" customHeight="1">
      <c r="A705" s="172" t="s">
        <v>285</v>
      </c>
      <c r="B705" s="176">
        <v>46046</v>
      </c>
      <c r="C705" s="172" t="s">
        <v>81</v>
      </c>
      <c r="D705" s="172" t="s">
        <v>82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46045</v>
      </c>
      <c r="K705" s="172" t="s">
        <v>85</v>
      </c>
      <c r="L705" s="172" t="s">
        <v>85</v>
      </c>
      <c r="M705" s="179">
        <v>0</v>
      </c>
      <c r="N705" s="177"/>
      <c r="O705" s="177"/>
      <c r="P705" s="180">
        <v>-8.1</v>
      </c>
    </row>
    <row r="706" spans="1:16" ht="19.5" customHeight="1">
      <c r="A706" s="172" t="s">
        <v>287</v>
      </c>
      <c r="B706" s="176">
        <v>46046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46044</v>
      </c>
      <c r="K706" s="172" t="s">
        <v>93</v>
      </c>
      <c r="L706" s="172" t="s">
        <v>94</v>
      </c>
      <c r="M706" s="179">
        <v>0.43</v>
      </c>
      <c r="N706" s="177"/>
      <c r="O706" s="177">
        <v>42</v>
      </c>
      <c r="P706" s="180">
        <v>-140.5</v>
      </c>
    </row>
    <row r="707" spans="1:16" ht="19.5" customHeight="1">
      <c r="A707" s="172" t="s">
        <v>287</v>
      </c>
      <c r="B707" s="176">
        <v>46046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46044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658.42</v>
      </c>
    </row>
    <row r="708" spans="1:16" ht="19.5" customHeight="1">
      <c r="A708" s="172" t="s">
        <v>287</v>
      </c>
      <c r="B708" s="176">
        <v>46046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46044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6.58</v>
      </c>
    </row>
    <row r="709" spans="1:16" ht="19.5" customHeight="1">
      <c r="A709" s="172" t="s">
        <v>287</v>
      </c>
      <c r="B709" s="176">
        <v>46046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46044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1180</v>
      </c>
    </row>
    <row r="710" spans="1:16" ht="19.5" customHeight="1">
      <c r="A710" s="172" t="s">
        <v>287</v>
      </c>
      <c r="B710" s="176">
        <v>46046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46044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287</v>
      </c>
      <c r="B711" s="176">
        <v>46046</v>
      </c>
      <c r="C711" s="172" t="s">
        <v>81</v>
      </c>
      <c r="D711" s="172" t="s">
        <v>95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1845</v>
      </c>
      <c r="J711" s="176">
        <v>46044</v>
      </c>
      <c r="K711" s="172" t="s">
        <v>93</v>
      </c>
      <c r="L711" s="172" t="s">
        <v>94</v>
      </c>
      <c r="M711" s="179">
        <v>0.43</v>
      </c>
      <c r="N711" s="177"/>
      <c r="O711" s="177"/>
      <c r="P711" s="180">
        <v>-19.239999999999998</v>
      </c>
    </row>
    <row r="712" spans="1:16" ht="19.5" customHeight="1">
      <c r="A712" s="172" t="s">
        <v>286</v>
      </c>
      <c r="B712" s="176">
        <v>46046</v>
      </c>
      <c r="C712" s="172" t="s">
        <v>81</v>
      </c>
      <c r="D712" s="172" t="s">
        <v>82</v>
      </c>
      <c r="E712" s="172" t="s">
        <v>39</v>
      </c>
      <c r="F712" s="172" t="s">
        <v>117</v>
      </c>
      <c r="G712" s="172" t="s">
        <v>84</v>
      </c>
      <c r="H712" s="177">
        <v>1</v>
      </c>
      <c r="I712" s="178">
        <v>0</v>
      </c>
      <c r="J712" s="176">
        <v>46044</v>
      </c>
      <c r="K712" s="172" t="s">
        <v>85</v>
      </c>
      <c r="L712" s="172" t="s">
        <v>85</v>
      </c>
      <c r="M712" s="179">
        <v>0</v>
      </c>
      <c r="N712" s="177"/>
      <c r="O712" s="177"/>
      <c r="P712" s="180">
        <v>-12.03</v>
      </c>
    </row>
    <row r="713" spans="1:16" ht="19.5" customHeight="1">
      <c r="A713" s="172" t="s">
        <v>288</v>
      </c>
      <c r="B713" s="176">
        <v>46046</v>
      </c>
      <c r="C713" s="172" t="s">
        <v>92</v>
      </c>
      <c r="D713" s="172" t="s">
        <v>24</v>
      </c>
      <c r="E713" s="172" t="s">
        <v>52</v>
      </c>
      <c r="F713" s="172" t="s">
        <v>90</v>
      </c>
      <c r="G713" s="172" t="s">
        <v>84</v>
      </c>
      <c r="H713" s="177">
        <v>1</v>
      </c>
      <c r="I713" s="178">
        <v>1885</v>
      </c>
      <c r="J713" s="176">
        <v>46044</v>
      </c>
      <c r="K713" s="172" t="s">
        <v>93</v>
      </c>
      <c r="L713" s="172" t="s">
        <v>94</v>
      </c>
      <c r="M713" s="179">
        <v>0.43</v>
      </c>
      <c r="N713" s="177"/>
      <c r="O713" s="177">
        <v>42</v>
      </c>
      <c r="P713" s="180">
        <v>-141.63999999999999</v>
      </c>
    </row>
    <row r="714" spans="1:16" ht="19.5" customHeight="1">
      <c r="A714" s="172" t="s">
        <v>288</v>
      </c>
      <c r="B714" s="176">
        <v>46046</v>
      </c>
      <c r="C714" s="172" t="s">
        <v>100</v>
      </c>
      <c r="D714" s="172" t="s">
        <v>101</v>
      </c>
      <c r="E714" s="172" t="s">
        <v>52</v>
      </c>
      <c r="F714" s="172" t="s">
        <v>90</v>
      </c>
      <c r="G714" s="172" t="s">
        <v>84</v>
      </c>
      <c r="H714" s="177">
        <v>1</v>
      </c>
      <c r="I714" s="178">
        <v>1885</v>
      </c>
      <c r="J714" s="176">
        <v>46044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657.14</v>
      </c>
    </row>
    <row r="715" spans="1:16" ht="19.5" customHeight="1">
      <c r="A715" s="172" t="s">
        <v>288</v>
      </c>
      <c r="B715" s="176">
        <v>46046</v>
      </c>
      <c r="C715" s="172" t="s">
        <v>100</v>
      </c>
      <c r="D715" s="172" t="s">
        <v>102</v>
      </c>
      <c r="E715" s="172" t="s">
        <v>52</v>
      </c>
      <c r="F715" s="172" t="s">
        <v>90</v>
      </c>
      <c r="G715" s="172" t="s">
        <v>84</v>
      </c>
      <c r="H715" s="177">
        <v>1</v>
      </c>
      <c r="I715" s="178">
        <v>1885</v>
      </c>
      <c r="J715" s="176">
        <v>46044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6.57</v>
      </c>
    </row>
    <row r="716" spans="1:16" ht="19.5" customHeight="1">
      <c r="A716" s="172" t="s">
        <v>288</v>
      </c>
      <c r="B716" s="176">
        <v>46046</v>
      </c>
      <c r="C716" s="172" t="s">
        <v>100</v>
      </c>
      <c r="D716" s="172" t="s">
        <v>103</v>
      </c>
      <c r="E716" s="172" t="s">
        <v>52</v>
      </c>
      <c r="F716" s="172" t="s">
        <v>90</v>
      </c>
      <c r="G716" s="172" t="s">
        <v>84</v>
      </c>
      <c r="H716" s="177">
        <v>1</v>
      </c>
      <c r="I716" s="178">
        <v>1885</v>
      </c>
      <c r="J716" s="176">
        <v>46044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1221.29</v>
      </c>
    </row>
    <row r="717" spans="1:16" ht="19.5" customHeight="1">
      <c r="A717" s="172" t="s">
        <v>288</v>
      </c>
      <c r="B717" s="176">
        <v>46046</v>
      </c>
      <c r="C717" s="172" t="s">
        <v>104</v>
      </c>
      <c r="D717" s="172" t="s">
        <v>105</v>
      </c>
      <c r="E717" s="172" t="s">
        <v>52</v>
      </c>
      <c r="F717" s="172" t="s">
        <v>90</v>
      </c>
      <c r="G717" s="172" t="s">
        <v>84</v>
      </c>
      <c r="H717" s="177">
        <v>1</v>
      </c>
      <c r="I717" s="178">
        <v>1885</v>
      </c>
      <c r="J717" s="176">
        <v>46044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-810.55</v>
      </c>
    </row>
    <row r="718" spans="1:16" ht="19.5" customHeight="1">
      <c r="A718" s="172" t="s">
        <v>288</v>
      </c>
      <c r="B718" s="176">
        <v>46046</v>
      </c>
      <c r="C718" s="172" t="s">
        <v>81</v>
      </c>
      <c r="D718" s="172" t="s">
        <v>95</v>
      </c>
      <c r="E718" s="172" t="s">
        <v>52</v>
      </c>
      <c r="F718" s="172" t="s">
        <v>90</v>
      </c>
      <c r="G718" s="172" t="s">
        <v>84</v>
      </c>
      <c r="H718" s="177">
        <v>1</v>
      </c>
      <c r="I718" s="178">
        <v>1885</v>
      </c>
      <c r="J718" s="176">
        <v>46044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-9.4499999999999993</v>
      </c>
    </row>
    <row r="719" spans="1:16" ht="19.5" customHeight="1">
      <c r="A719" s="172" t="s">
        <v>289</v>
      </c>
      <c r="B719" s="176">
        <v>46046</v>
      </c>
      <c r="C719" s="172" t="s">
        <v>92</v>
      </c>
      <c r="D719" s="172" t="s">
        <v>24</v>
      </c>
      <c r="E719" s="172" t="s">
        <v>41</v>
      </c>
      <c r="F719" s="172" t="s">
        <v>83</v>
      </c>
      <c r="G719" s="172" t="s">
        <v>84</v>
      </c>
      <c r="H719" s="177">
        <v>1</v>
      </c>
      <c r="I719" s="178">
        <v>1750</v>
      </c>
      <c r="J719" s="176">
        <v>46043</v>
      </c>
      <c r="K719" s="172" t="s">
        <v>93</v>
      </c>
      <c r="L719" s="172" t="s">
        <v>94</v>
      </c>
      <c r="M719" s="179">
        <v>0.43</v>
      </c>
      <c r="N719" s="177"/>
      <c r="O719" s="177">
        <v>43</v>
      </c>
      <c r="P719" s="180">
        <v>-127.33</v>
      </c>
    </row>
    <row r="720" spans="1:16" ht="19.5" customHeight="1">
      <c r="A720" s="172" t="s">
        <v>289</v>
      </c>
      <c r="B720" s="176">
        <v>46046</v>
      </c>
      <c r="C720" s="172" t="s">
        <v>100</v>
      </c>
      <c r="D720" s="172" t="s">
        <v>101</v>
      </c>
      <c r="E720" s="172" t="s">
        <v>41</v>
      </c>
      <c r="F720" s="172" t="s">
        <v>83</v>
      </c>
      <c r="G720" s="172" t="s">
        <v>84</v>
      </c>
      <c r="H720" s="177">
        <v>1</v>
      </c>
      <c r="I720" s="178">
        <v>1750</v>
      </c>
      <c r="J720" s="176">
        <v>46043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698.1</v>
      </c>
    </row>
    <row r="721" spans="1:16" ht="19.5" customHeight="1">
      <c r="A721" s="172" t="s">
        <v>289</v>
      </c>
      <c r="B721" s="176">
        <v>46046</v>
      </c>
      <c r="C721" s="172" t="s">
        <v>100</v>
      </c>
      <c r="D721" s="172" t="s">
        <v>102</v>
      </c>
      <c r="E721" s="172" t="s">
        <v>41</v>
      </c>
      <c r="F721" s="172" t="s">
        <v>83</v>
      </c>
      <c r="G721" s="172" t="s">
        <v>84</v>
      </c>
      <c r="H721" s="177">
        <v>1</v>
      </c>
      <c r="I721" s="178">
        <v>1750</v>
      </c>
      <c r="J721" s="176">
        <v>46043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0</v>
      </c>
    </row>
    <row r="722" spans="1:16" ht="19.5" customHeight="1">
      <c r="A722" s="172" t="s">
        <v>289</v>
      </c>
      <c r="B722" s="176">
        <v>46046</v>
      </c>
      <c r="C722" s="172" t="s">
        <v>100</v>
      </c>
      <c r="D722" s="172" t="s">
        <v>103</v>
      </c>
      <c r="E722" s="172" t="s">
        <v>41</v>
      </c>
      <c r="F722" s="172" t="s">
        <v>83</v>
      </c>
      <c r="G722" s="172" t="s">
        <v>84</v>
      </c>
      <c r="H722" s="177">
        <v>1</v>
      </c>
      <c r="I722" s="178">
        <v>1750</v>
      </c>
      <c r="J722" s="176">
        <v>46043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1051.9000000000001</v>
      </c>
    </row>
    <row r="723" spans="1:16" ht="19.5" customHeight="1">
      <c r="A723" s="172" t="s">
        <v>289</v>
      </c>
      <c r="B723" s="176">
        <v>46046</v>
      </c>
      <c r="C723" s="172" t="s">
        <v>104</v>
      </c>
      <c r="D723" s="172" t="s">
        <v>105</v>
      </c>
      <c r="E723" s="172" t="s">
        <v>41</v>
      </c>
      <c r="F723" s="172" t="s">
        <v>83</v>
      </c>
      <c r="G723" s="172" t="s">
        <v>84</v>
      </c>
      <c r="H723" s="177">
        <v>1</v>
      </c>
      <c r="I723" s="178">
        <v>1750</v>
      </c>
      <c r="J723" s="176">
        <v>46043</v>
      </c>
      <c r="K723" s="172" t="s">
        <v>93</v>
      </c>
      <c r="L723" s="172" t="s">
        <v>94</v>
      </c>
      <c r="M723" s="179">
        <v>0.43</v>
      </c>
      <c r="N723" s="177"/>
      <c r="O723" s="177"/>
      <c r="P723" s="180">
        <v>-752.5</v>
      </c>
    </row>
    <row r="724" spans="1:16" ht="19.5" customHeight="1">
      <c r="A724" s="172" t="s">
        <v>289</v>
      </c>
      <c r="B724" s="176">
        <v>46046</v>
      </c>
      <c r="C724" s="172" t="s">
        <v>81</v>
      </c>
      <c r="D724" s="172" t="s">
        <v>95</v>
      </c>
      <c r="E724" s="172" t="s">
        <v>41</v>
      </c>
      <c r="F724" s="172" t="s">
        <v>83</v>
      </c>
      <c r="G724" s="172" t="s">
        <v>84</v>
      </c>
      <c r="H724" s="177">
        <v>1</v>
      </c>
      <c r="I724" s="178">
        <v>1750</v>
      </c>
      <c r="J724" s="176">
        <v>46043</v>
      </c>
      <c r="K724" s="172" t="s">
        <v>93</v>
      </c>
      <c r="L724" s="172" t="s">
        <v>94</v>
      </c>
      <c r="M724" s="179">
        <v>0.43</v>
      </c>
      <c r="N724" s="177"/>
      <c r="O724" s="177"/>
      <c r="P724" s="180">
        <v>-15.22</v>
      </c>
    </row>
    <row r="725" spans="1:16" ht="19.5" customHeight="1">
      <c r="A725" s="172" t="s">
        <v>290</v>
      </c>
      <c r="B725" s="176">
        <v>46046</v>
      </c>
      <c r="C725" s="172" t="s">
        <v>81</v>
      </c>
      <c r="D725" s="172" t="s">
        <v>82</v>
      </c>
      <c r="E725" s="172" t="s">
        <v>53</v>
      </c>
      <c r="F725" s="172" t="s">
        <v>120</v>
      </c>
      <c r="G725" s="172" t="s">
        <v>84</v>
      </c>
      <c r="H725" s="177">
        <v>1</v>
      </c>
      <c r="I725" s="178">
        <v>0</v>
      </c>
      <c r="J725" s="176">
        <v>46046</v>
      </c>
      <c r="K725" s="172" t="s">
        <v>85</v>
      </c>
      <c r="L725" s="172" t="s">
        <v>85</v>
      </c>
      <c r="M725" s="179">
        <v>0</v>
      </c>
      <c r="N725" s="177"/>
      <c r="O725" s="177"/>
      <c r="P725" s="180">
        <v>-13.54</v>
      </c>
    </row>
    <row r="726" spans="1:16" ht="19.5" customHeight="1">
      <c r="A726" s="172" t="s">
        <v>291</v>
      </c>
      <c r="B726" s="176">
        <v>46046</v>
      </c>
      <c r="C726" s="172" t="s">
        <v>92</v>
      </c>
      <c r="D726" s="172" t="s">
        <v>24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1885</v>
      </c>
      <c r="J726" s="176">
        <v>46044</v>
      </c>
      <c r="K726" s="172" t="s">
        <v>93</v>
      </c>
      <c r="L726" s="172" t="s">
        <v>94</v>
      </c>
      <c r="M726" s="179">
        <v>0.43</v>
      </c>
      <c r="N726" s="177"/>
      <c r="O726" s="177">
        <v>42</v>
      </c>
      <c r="P726" s="180">
        <v>-141.63999999999999</v>
      </c>
    </row>
    <row r="727" spans="1:16" ht="19.5" customHeight="1">
      <c r="A727" s="172" t="s">
        <v>291</v>
      </c>
      <c r="B727" s="176">
        <v>46046</v>
      </c>
      <c r="C727" s="172" t="s">
        <v>100</v>
      </c>
      <c r="D727" s="172" t="s">
        <v>101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1885</v>
      </c>
      <c r="J727" s="176">
        <v>46044</v>
      </c>
      <c r="K727" s="172" t="s">
        <v>93</v>
      </c>
      <c r="L727" s="172" t="s">
        <v>94</v>
      </c>
      <c r="M727" s="179">
        <v>0</v>
      </c>
      <c r="N727" s="177"/>
      <c r="O727" s="177"/>
      <c r="P727" s="180">
        <v>657.14</v>
      </c>
    </row>
    <row r="728" spans="1:16" ht="19.5" customHeight="1">
      <c r="A728" s="172" t="s">
        <v>291</v>
      </c>
      <c r="B728" s="176">
        <v>46046</v>
      </c>
      <c r="C728" s="172" t="s">
        <v>100</v>
      </c>
      <c r="D728" s="172" t="s">
        <v>102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1885</v>
      </c>
      <c r="J728" s="176">
        <v>46044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6.57</v>
      </c>
    </row>
    <row r="729" spans="1:16" ht="19.5" customHeight="1">
      <c r="A729" s="172" t="s">
        <v>291</v>
      </c>
      <c r="B729" s="176">
        <v>46046</v>
      </c>
      <c r="C729" s="172" t="s">
        <v>100</v>
      </c>
      <c r="D729" s="172" t="s">
        <v>103</v>
      </c>
      <c r="E729" s="172" t="s">
        <v>52</v>
      </c>
      <c r="F729" s="172" t="s">
        <v>90</v>
      </c>
      <c r="G729" s="172" t="s">
        <v>84</v>
      </c>
      <c r="H729" s="177">
        <v>1</v>
      </c>
      <c r="I729" s="178">
        <v>1885</v>
      </c>
      <c r="J729" s="176">
        <v>46044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1221.29</v>
      </c>
    </row>
    <row r="730" spans="1:16" ht="19.5" customHeight="1">
      <c r="A730" s="172" t="s">
        <v>291</v>
      </c>
      <c r="B730" s="176">
        <v>46046</v>
      </c>
      <c r="C730" s="172" t="s">
        <v>104</v>
      </c>
      <c r="D730" s="172" t="s">
        <v>105</v>
      </c>
      <c r="E730" s="172" t="s">
        <v>52</v>
      </c>
      <c r="F730" s="172" t="s">
        <v>90</v>
      </c>
      <c r="G730" s="172" t="s">
        <v>84</v>
      </c>
      <c r="H730" s="177">
        <v>1</v>
      </c>
      <c r="I730" s="178">
        <v>1885</v>
      </c>
      <c r="J730" s="176">
        <v>46044</v>
      </c>
      <c r="K730" s="172" t="s">
        <v>93</v>
      </c>
      <c r="L730" s="172" t="s">
        <v>94</v>
      </c>
      <c r="M730" s="179">
        <v>0.43</v>
      </c>
      <c r="N730" s="177"/>
      <c r="O730" s="177"/>
      <c r="P730" s="180">
        <v>-810.55</v>
      </c>
    </row>
    <row r="731" spans="1:16" ht="19.5" customHeight="1">
      <c r="A731" s="172" t="s">
        <v>291</v>
      </c>
      <c r="B731" s="176">
        <v>46046</v>
      </c>
      <c r="C731" s="172" t="s">
        <v>81</v>
      </c>
      <c r="D731" s="172" t="s">
        <v>95</v>
      </c>
      <c r="E731" s="172" t="s">
        <v>52</v>
      </c>
      <c r="F731" s="172" t="s">
        <v>90</v>
      </c>
      <c r="G731" s="172" t="s">
        <v>84</v>
      </c>
      <c r="H731" s="177">
        <v>1</v>
      </c>
      <c r="I731" s="178">
        <v>1885</v>
      </c>
      <c r="J731" s="176">
        <v>46044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-11.41</v>
      </c>
    </row>
    <row r="732" spans="1:16" ht="19.5" customHeight="1">
      <c r="A732" s="172" t="s">
        <v>292</v>
      </c>
      <c r="B732" s="176">
        <v>46046</v>
      </c>
      <c r="C732" s="172" t="s">
        <v>81</v>
      </c>
      <c r="D732" s="172" t="s">
        <v>82</v>
      </c>
      <c r="E732" s="172" t="s">
        <v>52</v>
      </c>
      <c r="F732" s="172" t="s">
        <v>90</v>
      </c>
      <c r="G732" s="172" t="s">
        <v>84</v>
      </c>
      <c r="H732" s="177">
        <v>1</v>
      </c>
      <c r="I732" s="178">
        <v>0</v>
      </c>
      <c r="J732" s="176">
        <v>46046</v>
      </c>
      <c r="K732" s="172" t="s">
        <v>85</v>
      </c>
      <c r="L732" s="172" t="s">
        <v>85</v>
      </c>
      <c r="M732" s="179">
        <v>0</v>
      </c>
      <c r="N732" s="177"/>
      <c r="O732" s="177"/>
      <c r="P732" s="180">
        <v>-13.12</v>
      </c>
    </row>
    <row r="733" spans="1:16" ht="19.5" customHeight="1">
      <c r="A733" s="172" t="s">
        <v>293</v>
      </c>
      <c r="B733" s="176">
        <v>46046</v>
      </c>
      <c r="C733" s="172" t="s">
        <v>81</v>
      </c>
      <c r="D733" s="172" t="s">
        <v>82</v>
      </c>
      <c r="E733" s="172" t="s">
        <v>41</v>
      </c>
      <c r="F733" s="172" t="s">
        <v>83</v>
      </c>
      <c r="G733" s="172" t="s">
        <v>84</v>
      </c>
      <c r="H733" s="177">
        <v>1</v>
      </c>
      <c r="I733" s="178">
        <v>0</v>
      </c>
      <c r="J733" s="176">
        <v>46046</v>
      </c>
      <c r="K733" s="172" t="s">
        <v>85</v>
      </c>
      <c r="L733" s="172" t="s">
        <v>85</v>
      </c>
      <c r="M733" s="179">
        <v>0</v>
      </c>
      <c r="N733" s="177"/>
      <c r="O733" s="177"/>
      <c r="P733" s="180">
        <v>-13.03</v>
      </c>
    </row>
    <row r="734" spans="1:16" ht="19.5" customHeight="1">
      <c r="A734" s="172" t="s">
        <v>288</v>
      </c>
      <c r="B734" s="176">
        <v>46046</v>
      </c>
      <c r="C734" s="172" t="s">
        <v>81</v>
      </c>
      <c r="D734" s="172" t="s">
        <v>82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0</v>
      </c>
      <c r="J734" s="176">
        <v>46044</v>
      </c>
      <c r="K734" s="172" t="s">
        <v>85</v>
      </c>
      <c r="L734" s="172" t="s">
        <v>85</v>
      </c>
      <c r="M734" s="179">
        <v>0</v>
      </c>
      <c r="N734" s="177"/>
      <c r="O734" s="177"/>
      <c r="P734" s="180">
        <v>-12.49</v>
      </c>
    </row>
    <row r="735" spans="1:16" ht="19.5" customHeight="1">
      <c r="A735" s="172" t="s">
        <v>294</v>
      </c>
      <c r="B735" s="176">
        <v>46046</v>
      </c>
      <c r="C735" s="172" t="s">
        <v>92</v>
      </c>
      <c r="D735" s="172" t="s">
        <v>24</v>
      </c>
      <c r="E735" s="172" t="s">
        <v>41</v>
      </c>
      <c r="F735" s="172" t="s">
        <v>83</v>
      </c>
      <c r="G735" s="172" t="s">
        <v>84</v>
      </c>
      <c r="H735" s="177">
        <v>1</v>
      </c>
      <c r="I735" s="178">
        <v>1750</v>
      </c>
      <c r="J735" s="176">
        <v>46045</v>
      </c>
      <c r="K735" s="172" t="s">
        <v>93</v>
      </c>
      <c r="L735" s="172" t="s">
        <v>94</v>
      </c>
      <c r="M735" s="179">
        <v>0.43</v>
      </c>
      <c r="N735" s="177"/>
      <c r="O735" s="177">
        <v>40</v>
      </c>
      <c r="P735" s="180">
        <v>-115.25</v>
      </c>
    </row>
    <row r="736" spans="1:16" ht="19.5" customHeight="1">
      <c r="A736" s="172" t="s">
        <v>294</v>
      </c>
      <c r="B736" s="176">
        <v>46046</v>
      </c>
      <c r="C736" s="172" t="s">
        <v>100</v>
      </c>
      <c r="D736" s="172" t="s">
        <v>101</v>
      </c>
      <c r="E736" s="172" t="s">
        <v>41</v>
      </c>
      <c r="F736" s="172" t="s">
        <v>83</v>
      </c>
      <c r="G736" s="172" t="s">
        <v>84</v>
      </c>
      <c r="H736" s="177">
        <v>1</v>
      </c>
      <c r="I736" s="178">
        <v>1750</v>
      </c>
      <c r="J736" s="176">
        <v>46045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806</v>
      </c>
    </row>
    <row r="737" spans="1:16" ht="19.5" customHeight="1">
      <c r="A737" s="172" t="s">
        <v>294</v>
      </c>
      <c r="B737" s="176">
        <v>46046</v>
      </c>
      <c r="C737" s="172" t="s">
        <v>100</v>
      </c>
      <c r="D737" s="172" t="s">
        <v>102</v>
      </c>
      <c r="E737" s="172" t="s">
        <v>41</v>
      </c>
      <c r="F737" s="172" t="s">
        <v>83</v>
      </c>
      <c r="G737" s="172" t="s">
        <v>84</v>
      </c>
      <c r="H737" s="177">
        <v>1</v>
      </c>
      <c r="I737" s="178">
        <v>1750</v>
      </c>
      <c r="J737" s="176">
        <v>46045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0</v>
      </c>
    </row>
    <row r="738" spans="1:16" ht="19.5" customHeight="1">
      <c r="A738" s="172" t="s">
        <v>294</v>
      </c>
      <c r="B738" s="176">
        <v>46046</v>
      </c>
      <c r="C738" s="172" t="s">
        <v>100</v>
      </c>
      <c r="D738" s="172" t="s">
        <v>103</v>
      </c>
      <c r="E738" s="172" t="s">
        <v>41</v>
      </c>
      <c r="F738" s="172" t="s">
        <v>83</v>
      </c>
      <c r="G738" s="172" t="s">
        <v>84</v>
      </c>
      <c r="H738" s="177">
        <v>1</v>
      </c>
      <c r="I738" s="178">
        <v>1750</v>
      </c>
      <c r="J738" s="176">
        <v>46045</v>
      </c>
      <c r="K738" s="172" t="s">
        <v>93</v>
      </c>
      <c r="L738" s="172" t="s">
        <v>94</v>
      </c>
      <c r="M738" s="179">
        <v>0</v>
      </c>
      <c r="N738" s="177"/>
      <c r="O738" s="177"/>
      <c r="P738" s="180">
        <v>944</v>
      </c>
    </row>
    <row r="739" spans="1:16" ht="19.5" customHeight="1">
      <c r="A739" s="172" t="s">
        <v>294</v>
      </c>
      <c r="B739" s="176">
        <v>46046</v>
      </c>
      <c r="C739" s="172" t="s">
        <v>104</v>
      </c>
      <c r="D739" s="172" t="s">
        <v>105</v>
      </c>
      <c r="E739" s="172" t="s">
        <v>41</v>
      </c>
      <c r="F739" s="172" t="s">
        <v>83</v>
      </c>
      <c r="G739" s="172" t="s">
        <v>84</v>
      </c>
      <c r="H739" s="177">
        <v>1</v>
      </c>
      <c r="I739" s="178">
        <v>1750</v>
      </c>
      <c r="J739" s="176">
        <v>46045</v>
      </c>
      <c r="K739" s="172" t="s">
        <v>93</v>
      </c>
      <c r="L739" s="172" t="s">
        <v>94</v>
      </c>
      <c r="M739" s="179">
        <v>0.43</v>
      </c>
      <c r="N739" s="177"/>
      <c r="O739" s="177"/>
      <c r="P739" s="180">
        <v>-752.5</v>
      </c>
    </row>
    <row r="740" spans="1:16" ht="19.5" customHeight="1">
      <c r="A740" s="172" t="s">
        <v>295</v>
      </c>
      <c r="B740" s="176">
        <v>46046</v>
      </c>
      <c r="C740" s="172" t="s">
        <v>81</v>
      </c>
      <c r="D740" s="172" t="s">
        <v>82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0</v>
      </c>
      <c r="J740" s="176">
        <v>46046</v>
      </c>
      <c r="K740" s="172" t="s">
        <v>85</v>
      </c>
      <c r="L740" s="172" t="s">
        <v>85</v>
      </c>
      <c r="M740" s="179">
        <v>0</v>
      </c>
      <c r="N740" s="177"/>
      <c r="O740" s="177"/>
      <c r="P740" s="180">
        <v>-2.77</v>
      </c>
    </row>
    <row r="741" spans="1:16" ht="19.5" customHeight="1">
      <c r="A741" s="172" t="s">
        <v>295</v>
      </c>
      <c r="B741" s="176">
        <v>46046</v>
      </c>
      <c r="C741" s="172" t="s">
        <v>81</v>
      </c>
      <c r="D741" s="172" t="s">
        <v>82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0</v>
      </c>
      <c r="J741" s="176">
        <v>46046</v>
      </c>
      <c r="K741" s="172" t="s">
        <v>85</v>
      </c>
      <c r="L741" s="172" t="s">
        <v>85</v>
      </c>
      <c r="M741" s="179">
        <v>0</v>
      </c>
      <c r="N741" s="177"/>
      <c r="O741" s="177"/>
      <c r="P741" s="180">
        <v>2.77</v>
      </c>
    </row>
    <row r="742" spans="1:16" ht="19.5" customHeight="1">
      <c r="A742" s="172" t="s">
        <v>160</v>
      </c>
      <c r="B742" s="176">
        <v>46046</v>
      </c>
      <c r="C742" s="172" t="s">
        <v>81</v>
      </c>
      <c r="D742" s="172" t="s">
        <v>82</v>
      </c>
      <c r="E742" s="172" t="s">
        <v>41</v>
      </c>
      <c r="F742" s="172" t="s">
        <v>83</v>
      </c>
      <c r="G742" s="172" t="s">
        <v>84</v>
      </c>
      <c r="H742" s="177">
        <v>1</v>
      </c>
      <c r="I742" s="178">
        <v>0</v>
      </c>
      <c r="J742" s="176">
        <v>46042</v>
      </c>
      <c r="K742" s="172" t="s">
        <v>85</v>
      </c>
      <c r="L742" s="172" t="s">
        <v>85</v>
      </c>
      <c r="M742" s="179">
        <v>0</v>
      </c>
      <c r="N742" s="177"/>
      <c r="O742" s="177"/>
      <c r="P742" s="180">
        <v>11.58</v>
      </c>
    </row>
    <row r="743" spans="1:16" ht="19.5" customHeight="1">
      <c r="A743" s="172" t="s">
        <v>296</v>
      </c>
      <c r="B743" s="176">
        <v>46046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0</v>
      </c>
      <c r="J743" s="176">
        <v>46040</v>
      </c>
      <c r="K743" s="172" t="s">
        <v>93</v>
      </c>
      <c r="L743" s="172" t="s">
        <v>94</v>
      </c>
      <c r="M743" s="179">
        <v>0</v>
      </c>
      <c r="N743" s="177"/>
      <c r="O743" s="177">
        <v>45</v>
      </c>
      <c r="P743" s="180">
        <v>-56.94</v>
      </c>
    </row>
    <row r="744" spans="1:16" ht="19.5" customHeight="1">
      <c r="A744" s="172" t="s">
        <v>296</v>
      </c>
      <c r="B744" s="176">
        <v>46046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0</v>
      </c>
      <c r="J744" s="176">
        <v>46040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-12.5</v>
      </c>
    </row>
    <row r="745" spans="1:16" ht="19.5" customHeight="1">
      <c r="A745" s="172" t="s">
        <v>296</v>
      </c>
      <c r="B745" s="176">
        <v>46046</v>
      </c>
      <c r="C745" s="172" t="s">
        <v>92</v>
      </c>
      <c r="D745" s="172" t="s">
        <v>96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0</v>
      </c>
      <c r="J745" s="176">
        <v>46040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0</v>
      </c>
    </row>
    <row r="746" spans="1:16" ht="19.5" customHeight="1">
      <c r="A746" s="172" t="s">
        <v>296</v>
      </c>
      <c r="B746" s="176">
        <v>46046</v>
      </c>
      <c r="C746" s="172" t="s">
        <v>92</v>
      </c>
      <c r="D746" s="172" t="s">
        <v>97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0</v>
      </c>
      <c r="J746" s="176">
        <v>46040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-56.94</v>
      </c>
    </row>
    <row r="747" spans="1:16" ht="19.5" customHeight="1">
      <c r="A747" s="172" t="s">
        <v>296</v>
      </c>
      <c r="B747" s="176">
        <v>46046</v>
      </c>
      <c r="C747" s="172" t="s">
        <v>81</v>
      </c>
      <c r="D747" s="172" t="s">
        <v>98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0</v>
      </c>
      <c r="J747" s="176">
        <v>46040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-15</v>
      </c>
    </row>
    <row r="748" spans="1:16" ht="19.5" customHeight="1">
      <c r="A748" s="172" t="s">
        <v>297</v>
      </c>
      <c r="B748" s="176">
        <v>46046</v>
      </c>
      <c r="C748" s="172" t="s">
        <v>81</v>
      </c>
      <c r="D748" s="172" t="s">
        <v>82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0</v>
      </c>
      <c r="J748" s="176">
        <v>46046</v>
      </c>
      <c r="K748" s="172" t="s">
        <v>85</v>
      </c>
      <c r="L748" s="172" t="s">
        <v>85</v>
      </c>
      <c r="M748" s="179">
        <v>0</v>
      </c>
      <c r="N748" s="177"/>
      <c r="O748" s="177"/>
      <c r="P748" s="180">
        <v>-13.54</v>
      </c>
    </row>
    <row r="749" spans="1:16" ht="19.5" customHeight="1">
      <c r="A749" s="172" t="s">
        <v>298</v>
      </c>
      <c r="B749" s="176">
        <v>46046</v>
      </c>
      <c r="C749" s="172" t="s">
        <v>81</v>
      </c>
      <c r="D749" s="172" t="s">
        <v>82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0</v>
      </c>
      <c r="J749" s="176">
        <v>46046</v>
      </c>
      <c r="K749" s="172" t="s">
        <v>85</v>
      </c>
      <c r="L749" s="172" t="s">
        <v>85</v>
      </c>
      <c r="M749" s="179">
        <v>0</v>
      </c>
      <c r="N749" s="177"/>
      <c r="O749" s="177"/>
      <c r="P749" s="180">
        <v>-5.22</v>
      </c>
    </row>
    <row r="750" spans="1:16" ht="19.5" customHeight="1">
      <c r="A750" s="172" t="s">
        <v>299</v>
      </c>
      <c r="B750" s="176">
        <v>46046</v>
      </c>
      <c r="C750" s="172" t="s">
        <v>81</v>
      </c>
      <c r="D750" s="172" t="s">
        <v>82</v>
      </c>
      <c r="E750" s="172" t="s">
        <v>43</v>
      </c>
      <c r="F750" s="172" t="s">
        <v>125</v>
      </c>
      <c r="G750" s="172" t="s">
        <v>84</v>
      </c>
      <c r="H750" s="177">
        <v>1</v>
      </c>
      <c r="I750" s="178">
        <v>0</v>
      </c>
      <c r="J750" s="176">
        <v>46046</v>
      </c>
      <c r="K750" s="172" t="s">
        <v>85</v>
      </c>
      <c r="L750" s="172" t="s">
        <v>85</v>
      </c>
      <c r="M750" s="179">
        <v>0</v>
      </c>
      <c r="N750" s="177"/>
      <c r="O750" s="177"/>
      <c r="P750" s="180">
        <v>-12.47</v>
      </c>
    </row>
    <row r="751" spans="1:16" ht="19.5" customHeight="1">
      <c r="A751" s="172" t="s">
        <v>300</v>
      </c>
      <c r="B751" s="176">
        <v>46046</v>
      </c>
      <c r="C751" s="172" t="s">
        <v>92</v>
      </c>
      <c r="D751" s="172" t="s">
        <v>272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0</v>
      </c>
      <c r="J751" s="176">
        <v>45996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0</v>
      </c>
    </row>
    <row r="752" spans="1:16" ht="19.5" customHeight="1">
      <c r="A752" s="172" t="s">
        <v>300</v>
      </c>
      <c r="B752" s="176">
        <v>46046</v>
      </c>
      <c r="C752" s="172" t="s">
        <v>92</v>
      </c>
      <c r="D752" s="172" t="s">
        <v>97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0</v>
      </c>
      <c r="J752" s="176">
        <v>45996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-56</v>
      </c>
    </row>
    <row r="753" spans="1:16" ht="19.5" customHeight="1">
      <c r="A753" s="172" t="s">
        <v>300</v>
      </c>
      <c r="B753" s="176">
        <v>46046</v>
      </c>
      <c r="C753" s="172" t="s">
        <v>81</v>
      </c>
      <c r="D753" s="172" t="s">
        <v>98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0</v>
      </c>
      <c r="J753" s="176">
        <v>45996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-15</v>
      </c>
    </row>
    <row r="754" spans="1:16" ht="19.5" customHeight="1">
      <c r="A754" s="172" t="s">
        <v>141</v>
      </c>
      <c r="B754" s="176">
        <v>46046</v>
      </c>
      <c r="C754" s="172" t="s">
        <v>109</v>
      </c>
      <c r="D754" s="172" t="s">
        <v>139</v>
      </c>
      <c r="E754" s="172" t="s">
        <v>85</v>
      </c>
      <c r="F754" s="172" t="s">
        <v>85</v>
      </c>
      <c r="G754" s="172" t="s">
        <v>85</v>
      </c>
      <c r="H754" s="177">
        <v>0</v>
      </c>
      <c r="I754" s="178">
        <v>0</v>
      </c>
      <c r="J754" s="176">
        <v>46046</v>
      </c>
      <c r="K754" s="172" t="s">
        <v>85</v>
      </c>
      <c r="L754" s="172" t="s">
        <v>85</v>
      </c>
      <c r="M754" s="179">
        <v>0</v>
      </c>
      <c r="N754" s="177"/>
      <c r="O754" s="177"/>
      <c r="P754" s="180">
        <v>-314.58</v>
      </c>
    </row>
    <row r="755" spans="1:16" ht="19.5" customHeight="1">
      <c r="A755" s="172" t="s">
        <v>145</v>
      </c>
      <c r="B755" s="176">
        <v>46046</v>
      </c>
      <c r="C755" s="172" t="s">
        <v>109</v>
      </c>
      <c r="D755" s="172" t="s">
        <v>139</v>
      </c>
      <c r="E755" s="172" t="s">
        <v>85</v>
      </c>
      <c r="F755" s="172" t="s">
        <v>85</v>
      </c>
      <c r="G755" s="172" t="s">
        <v>85</v>
      </c>
      <c r="H755" s="177">
        <v>0</v>
      </c>
      <c r="I755" s="178">
        <v>0</v>
      </c>
      <c r="J755" s="176">
        <v>46046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-716.33</v>
      </c>
    </row>
    <row r="756" spans="1:16" ht="19.5" customHeight="1">
      <c r="A756" s="172" t="s">
        <v>144</v>
      </c>
      <c r="B756" s="176">
        <v>46046</v>
      </c>
      <c r="C756" s="172" t="s">
        <v>109</v>
      </c>
      <c r="D756" s="172" t="s">
        <v>139</v>
      </c>
      <c r="E756" s="172" t="s">
        <v>85</v>
      </c>
      <c r="F756" s="172" t="s">
        <v>85</v>
      </c>
      <c r="G756" s="172" t="s">
        <v>85</v>
      </c>
      <c r="H756" s="177">
        <v>0</v>
      </c>
      <c r="I756" s="178">
        <v>0</v>
      </c>
      <c r="J756" s="176">
        <v>46046</v>
      </c>
      <c r="K756" s="172" t="s">
        <v>85</v>
      </c>
      <c r="L756" s="172" t="s">
        <v>85</v>
      </c>
      <c r="M756" s="179">
        <v>0</v>
      </c>
      <c r="N756" s="177"/>
      <c r="O756" s="177"/>
      <c r="P756" s="180">
        <v>-1431.22</v>
      </c>
    </row>
    <row r="757" spans="1:16" ht="19.5" customHeight="1">
      <c r="A757" s="172" t="s">
        <v>138</v>
      </c>
      <c r="B757" s="176">
        <v>46046</v>
      </c>
      <c r="C757" s="172" t="s">
        <v>109</v>
      </c>
      <c r="D757" s="172" t="s">
        <v>139</v>
      </c>
      <c r="E757" s="172" t="s">
        <v>85</v>
      </c>
      <c r="F757" s="172" t="s">
        <v>85</v>
      </c>
      <c r="G757" s="172" t="s">
        <v>85</v>
      </c>
      <c r="H757" s="177">
        <v>0</v>
      </c>
      <c r="I757" s="178">
        <v>0</v>
      </c>
      <c r="J757" s="176">
        <v>46046</v>
      </c>
      <c r="K757" s="172" t="s">
        <v>85</v>
      </c>
      <c r="L757" s="172" t="s">
        <v>85</v>
      </c>
      <c r="M757" s="179">
        <v>0</v>
      </c>
      <c r="N757" s="177"/>
      <c r="O757" s="177"/>
      <c r="P757" s="180">
        <v>-1118.54</v>
      </c>
    </row>
    <row r="758" spans="1:16" ht="19.5" customHeight="1">
      <c r="A758" s="172" t="s">
        <v>142</v>
      </c>
      <c r="B758" s="176">
        <v>46046</v>
      </c>
      <c r="C758" s="172" t="s">
        <v>109</v>
      </c>
      <c r="D758" s="172" t="s">
        <v>143</v>
      </c>
      <c r="E758" s="172" t="s">
        <v>85</v>
      </c>
      <c r="F758" s="172" t="s">
        <v>85</v>
      </c>
      <c r="G758" s="172" t="s">
        <v>85</v>
      </c>
      <c r="H758" s="177">
        <v>0</v>
      </c>
      <c r="I758" s="178">
        <v>0</v>
      </c>
      <c r="J758" s="176">
        <v>46046</v>
      </c>
      <c r="K758" s="172" t="s">
        <v>85</v>
      </c>
      <c r="L758" s="172" t="s">
        <v>85</v>
      </c>
      <c r="M758" s="179">
        <v>0</v>
      </c>
      <c r="N758" s="177"/>
      <c r="O758" s="177"/>
      <c r="P758" s="180">
        <v>-1950.9</v>
      </c>
    </row>
    <row r="759" spans="1:16" ht="19.5" customHeight="1">
      <c r="A759" s="172" t="s">
        <v>301</v>
      </c>
      <c r="B759" s="176">
        <v>46047</v>
      </c>
      <c r="C759" s="172" t="s">
        <v>81</v>
      </c>
      <c r="D759" s="172" t="s">
        <v>82</v>
      </c>
      <c r="E759" s="172" t="s">
        <v>42</v>
      </c>
      <c r="F759" s="172" t="s">
        <v>89</v>
      </c>
      <c r="G759" s="172" t="s">
        <v>84</v>
      </c>
      <c r="H759" s="177">
        <v>1</v>
      </c>
      <c r="I759" s="178">
        <v>0</v>
      </c>
      <c r="J759" s="176">
        <v>46047</v>
      </c>
      <c r="K759" s="172" t="s">
        <v>85</v>
      </c>
      <c r="L759" s="172" t="s">
        <v>85</v>
      </c>
      <c r="M759" s="179">
        <v>0</v>
      </c>
      <c r="N759" s="177"/>
      <c r="O759" s="177"/>
      <c r="P759" s="180">
        <v>-6.32</v>
      </c>
    </row>
    <row r="760" spans="1:16" ht="19.5" customHeight="1">
      <c r="A760" s="172" t="s">
        <v>302</v>
      </c>
      <c r="B760" s="176">
        <v>46047</v>
      </c>
      <c r="C760" s="172" t="s">
        <v>81</v>
      </c>
      <c r="D760" s="172" t="s">
        <v>82</v>
      </c>
      <c r="E760" s="172" t="s">
        <v>53</v>
      </c>
      <c r="F760" s="172" t="s">
        <v>120</v>
      </c>
      <c r="G760" s="172" t="s">
        <v>84</v>
      </c>
      <c r="H760" s="177">
        <v>1</v>
      </c>
      <c r="I760" s="178">
        <v>0</v>
      </c>
      <c r="J760" s="176">
        <v>46047</v>
      </c>
      <c r="K760" s="172" t="s">
        <v>85</v>
      </c>
      <c r="L760" s="172" t="s">
        <v>85</v>
      </c>
      <c r="M760" s="179">
        <v>0</v>
      </c>
      <c r="N760" s="177"/>
      <c r="O760" s="177"/>
      <c r="P760" s="180">
        <v>-12.3</v>
      </c>
    </row>
    <row r="761" spans="1:16" ht="19.5" customHeight="1">
      <c r="A761" s="172" t="s">
        <v>303</v>
      </c>
      <c r="B761" s="176">
        <v>46047</v>
      </c>
      <c r="C761" s="172" t="s">
        <v>81</v>
      </c>
      <c r="D761" s="172" t="s">
        <v>82</v>
      </c>
      <c r="E761" s="172" t="s">
        <v>53</v>
      </c>
      <c r="F761" s="172" t="s">
        <v>120</v>
      </c>
      <c r="G761" s="172" t="s">
        <v>84</v>
      </c>
      <c r="H761" s="177">
        <v>1</v>
      </c>
      <c r="I761" s="178">
        <v>0</v>
      </c>
      <c r="J761" s="176">
        <v>46047</v>
      </c>
      <c r="K761" s="172" t="s">
        <v>85</v>
      </c>
      <c r="L761" s="172" t="s">
        <v>85</v>
      </c>
      <c r="M761" s="179">
        <v>0</v>
      </c>
      <c r="N761" s="177"/>
      <c r="O761" s="177"/>
      <c r="P761" s="180">
        <v>-2.77</v>
      </c>
    </row>
    <row r="762" spans="1:16" ht="19.5" customHeight="1">
      <c r="A762" s="172" t="s">
        <v>304</v>
      </c>
      <c r="B762" s="176">
        <v>46047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46047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-6.24</v>
      </c>
    </row>
    <row r="763" spans="1:16" ht="19.5" customHeight="1">
      <c r="A763" s="172" t="s">
        <v>305</v>
      </c>
      <c r="B763" s="176">
        <v>46047</v>
      </c>
      <c r="C763" s="172" t="s">
        <v>92</v>
      </c>
      <c r="D763" s="172" t="s">
        <v>24</v>
      </c>
      <c r="E763" s="172" t="s">
        <v>41</v>
      </c>
      <c r="F763" s="172" t="s">
        <v>83</v>
      </c>
      <c r="G763" s="172" t="s">
        <v>84</v>
      </c>
      <c r="H763" s="177">
        <v>1</v>
      </c>
      <c r="I763" s="178">
        <v>0</v>
      </c>
      <c r="J763" s="176">
        <v>46036</v>
      </c>
      <c r="K763" s="172" t="s">
        <v>93</v>
      </c>
      <c r="L763" s="172" t="s">
        <v>94</v>
      </c>
      <c r="M763" s="179">
        <v>0</v>
      </c>
      <c r="N763" s="177"/>
      <c r="O763" s="177">
        <v>45</v>
      </c>
      <c r="P763" s="180">
        <v>-46.77</v>
      </c>
    </row>
    <row r="764" spans="1:16" ht="19.5" customHeight="1">
      <c r="A764" s="172" t="s">
        <v>305</v>
      </c>
      <c r="B764" s="176">
        <v>46047</v>
      </c>
      <c r="C764" s="172" t="s">
        <v>81</v>
      </c>
      <c r="D764" s="172" t="s">
        <v>95</v>
      </c>
      <c r="E764" s="172" t="s">
        <v>41</v>
      </c>
      <c r="F764" s="172" t="s">
        <v>83</v>
      </c>
      <c r="G764" s="172" t="s">
        <v>84</v>
      </c>
      <c r="H764" s="177">
        <v>1</v>
      </c>
      <c r="I764" s="178">
        <v>0</v>
      </c>
      <c r="J764" s="176">
        <v>46036</v>
      </c>
      <c r="K764" s="172" t="s">
        <v>93</v>
      </c>
      <c r="L764" s="172" t="s">
        <v>94</v>
      </c>
      <c r="M764" s="179">
        <v>0</v>
      </c>
      <c r="N764" s="177"/>
      <c r="O764" s="177"/>
      <c r="P764" s="180">
        <v>-12.14</v>
      </c>
    </row>
    <row r="765" spans="1:16" ht="19.5" customHeight="1">
      <c r="A765" s="172" t="s">
        <v>305</v>
      </c>
      <c r="B765" s="176">
        <v>46047</v>
      </c>
      <c r="C765" s="172" t="s">
        <v>92</v>
      </c>
      <c r="D765" s="172" t="s">
        <v>96</v>
      </c>
      <c r="E765" s="172" t="s">
        <v>41</v>
      </c>
      <c r="F765" s="172" t="s">
        <v>83</v>
      </c>
      <c r="G765" s="172" t="s">
        <v>84</v>
      </c>
      <c r="H765" s="177">
        <v>1</v>
      </c>
      <c r="I765" s="178">
        <v>0</v>
      </c>
      <c r="J765" s="176">
        <v>46036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0</v>
      </c>
    </row>
    <row r="766" spans="1:16" ht="19.5" customHeight="1">
      <c r="A766" s="172" t="s">
        <v>305</v>
      </c>
      <c r="B766" s="176">
        <v>46047</v>
      </c>
      <c r="C766" s="172" t="s">
        <v>92</v>
      </c>
      <c r="D766" s="172" t="s">
        <v>97</v>
      </c>
      <c r="E766" s="172" t="s">
        <v>41</v>
      </c>
      <c r="F766" s="172" t="s">
        <v>83</v>
      </c>
      <c r="G766" s="172" t="s">
        <v>84</v>
      </c>
      <c r="H766" s="177">
        <v>1</v>
      </c>
      <c r="I766" s="178">
        <v>0</v>
      </c>
      <c r="J766" s="176">
        <v>46036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-46.77</v>
      </c>
    </row>
    <row r="767" spans="1:16" ht="19.5" customHeight="1">
      <c r="A767" s="172" t="s">
        <v>305</v>
      </c>
      <c r="B767" s="176">
        <v>46047</v>
      </c>
      <c r="C767" s="172" t="s">
        <v>81</v>
      </c>
      <c r="D767" s="172" t="s">
        <v>98</v>
      </c>
      <c r="E767" s="172" t="s">
        <v>41</v>
      </c>
      <c r="F767" s="172" t="s">
        <v>83</v>
      </c>
      <c r="G767" s="172" t="s">
        <v>84</v>
      </c>
      <c r="H767" s="177">
        <v>1</v>
      </c>
      <c r="I767" s="178">
        <v>0</v>
      </c>
      <c r="J767" s="176">
        <v>46036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-15</v>
      </c>
    </row>
    <row r="768" spans="1:16" ht="19.5" customHeight="1">
      <c r="A768" s="172" t="s">
        <v>306</v>
      </c>
      <c r="B768" s="176">
        <v>46047</v>
      </c>
      <c r="C768" s="172" t="s">
        <v>81</v>
      </c>
      <c r="D768" s="172" t="s">
        <v>82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0</v>
      </c>
      <c r="J768" s="176">
        <v>46047</v>
      </c>
      <c r="K768" s="172" t="s">
        <v>85</v>
      </c>
      <c r="L768" s="172" t="s">
        <v>85</v>
      </c>
      <c r="M768" s="179">
        <v>0</v>
      </c>
      <c r="N768" s="177"/>
      <c r="O768" s="177"/>
      <c r="P768" s="180">
        <v>-13.54</v>
      </c>
    </row>
    <row r="769" spans="1:16" ht="19.5" customHeight="1">
      <c r="A769" s="172" t="s">
        <v>85</v>
      </c>
      <c r="B769" s="176">
        <v>46047</v>
      </c>
      <c r="C769" s="172" t="s">
        <v>109</v>
      </c>
      <c r="D769" s="172" t="s">
        <v>110</v>
      </c>
      <c r="E769" s="172" t="s">
        <v>85</v>
      </c>
      <c r="F769" s="172" t="s">
        <v>85</v>
      </c>
      <c r="G769" s="172" t="s">
        <v>307</v>
      </c>
      <c r="H769" s="177">
        <v>0</v>
      </c>
      <c r="I769" s="178">
        <v>0</v>
      </c>
      <c r="J769" s="176">
        <v>46047</v>
      </c>
      <c r="K769" s="172" t="s">
        <v>85</v>
      </c>
      <c r="L769" s="172" t="s">
        <v>85</v>
      </c>
      <c r="M769" s="179">
        <v>0</v>
      </c>
      <c r="N769" s="177"/>
      <c r="O769" s="177"/>
      <c r="P769" s="180">
        <v>-150</v>
      </c>
    </row>
    <row r="770" spans="1:16" ht="19.5" customHeight="1">
      <c r="A770" s="172" t="s">
        <v>308</v>
      </c>
      <c r="B770" s="176">
        <v>46047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0</v>
      </c>
      <c r="J770" s="176">
        <v>46031</v>
      </c>
      <c r="K770" s="172" t="s">
        <v>93</v>
      </c>
      <c r="L770" s="172" t="s">
        <v>94</v>
      </c>
      <c r="M770" s="179">
        <v>0</v>
      </c>
      <c r="N770" s="177"/>
      <c r="O770" s="177">
        <v>42</v>
      </c>
      <c r="P770" s="180">
        <v>-56</v>
      </c>
    </row>
    <row r="771" spans="1:16" ht="19.5" customHeight="1">
      <c r="A771" s="172" t="s">
        <v>308</v>
      </c>
      <c r="B771" s="176">
        <v>46047</v>
      </c>
      <c r="C771" s="172" t="s">
        <v>81</v>
      </c>
      <c r="D771" s="172" t="s">
        <v>95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0</v>
      </c>
      <c r="J771" s="176">
        <v>46031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-15.48</v>
      </c>
    </row>
    <row r="772" spans="1:16" ht="19.5" customHeight="1">
      <c r="A772" s="172" t="s">
        <v>309</v>
      </c>
      <c r="B772" s="176">
        <v>46047</v>
      </c>
      <c r="C772" s="172" t="s">
        <v>92</v>
      </c>
      <c r="D772" s="172" t="s">
        <v>24</v>
      </c>
      <c r="E772" s="172" t="s">
        <v>43</v>
      </c>
      <c r="F772" s="172" t="s">
        <v>125</v>
      </c>
      <c r="G772" s="172" t="s">
        <v>84</v>
      </c>
      <c r="H772" s="177">
        <v>1</v>
      </c>
      <c r="I772" s="178">
        <v>1750</v>
      </c>
      <c r="J772" s="176">
        <v>46042</v>
      </c>
      <c r="K772" s="172" t="s">
        <v>93</v>
      </c>
      <c r="L772" s="172" t="s">
        <v>94</v>
      </c>
      <c r="M772" s="179">
        <v>0.43</v>
      </c>
      <c r="N772" s="177"/>
      <c r="O772" s="177">
        <v>43</v>
      </c>
      <c r="P772" s="180">
        <v>-127.33</v>
      </c>
    </row>
    <row r="773" spans="1:16" ht="19.5" customHeight="1">
      <c r="A773" s="172" t="s">
        <v>309</v>
      </c>
      <c r="B773" s="176">
        <v>46047</v>
      </c>
      <c r="C773" s="172" t="s">
        <v>100</v>
      </c>
      <c r="D773" s="172" t="s">
        <v>101</v>
      </c>
      <c r="E773" s="172" t="s">
        <v>43</v>
      </c>
      <c r="F773" s="172" t="s">
        <v>125</v>
      </c>
      <c r="G773" s="172" t="s">
        <v>84</v>
      </c>
      <c r="H773" s="177">
        <v>1</v>
      </c>
      <c r="I773" s="178">
        <v>1750</v>
      </c>
      <c r="J773" s="176">
        <v>46042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609.52</v>
      </c>
    </row>
    <row r="774" spans="1:16" ht="19.5" customHeight="1">
      <c r="A774" s="172" t="s">
        <v>309</v>
      </c>
      <c r="B774" s="176">
        <v>46047</v>
      </c>
      <c r="C774" s="172" t="s">
        <v>100</v>
      </c>
      <c r="D774" s="172" t="s">
        <v>102</v>
      </c>
      <c r="E774" s="172" t="s">
        <v>43</v>
      </c>
      <c r="F774" s="172" t="s">
        <v>125</v>
      </c>
      <c r="G774" s="172" t="s">
        <v>84</v>
      </c>
      <c r="H774" s="177">
        <v>1</v>
      </c>
      <c r="I774" s="178">
        <v>1750</v>
      </c>
      <c r="J774" s="176">
        <v>46042</v>
      </c>
      <c r="K774" s="172" t="s">
        <v>93</v>
      </c>
      <c r="L774" s="172" t="s">
        <v>94</v>
      </c>
      <c r="M774" s="179">
        <v>0</v>
      </c>
      <c r="N774" s="177"/>
      <c r="O774" s="177"/>
      <c r="P774" s="180">
        <v>6.1</v>
      </c>
    </row>
    <row r="775" spans="1:16" ht="19.5" customHeight="1">
      <c r="A775" s="172" t="s">
        <v>309</v>
      </c>
      <c r="B775" s="176">
        <v>46047</v>
      </c>
      <c r="C775" s="172" t="s">
        <v>100</v>
      </c>
      <c r="D775" s="172" t="s">
        <v>103</v>
      </c>
      <c r="E775" s="172" t="s">
        <v>43</v>
      </c>
      <c r="F775" s="172" t="s">
        <v>125</v>
      </c>
      <c r="G775" s="172" t="s">
        <v>84</v>
      </c>
      <c r="H775" s="177">
        <v>1</v>
      </c>
      <c r="I775" s="178">
        <v>1750</v>
      </c>
      <c r="J775" s="176">
        <v>46042</v>
      </c>
      <c r="K775" s="172" t="s">
        <v>93</v>
      </c>
      <c r="L775" s="172" t="s">
        <v>94</v>
      </c>
      <c r="M775" s="179">
        <v>0</v>
      </c>
      <c r="N775" s="177"/>
      <c r="O775" s="177"/>
      <c r="P775" s="180">
        <v>1134.3800000000001</v>
      </c>
    </row>
    <row r="776" spans="1:16" ht="19.5" customHeight="1">
      <c r="A776" s="172" t="s">
        <v>309</v>
      </c>
      <c r="B776" s="176">
        <v>46047</v>
      </c>
      <c r="C776" s="172" t="s">
        <v>104</v>
      </c>
      <c r="D776" s="172" t="s">
        <v>105</v>
      </c>
      <c r="E776" s="172" t="s">
        <v>43</v>
      </c>
      <c r="F776" s="172" t="s">
        <v>125</v>
      </c>
      <c r="G776" s="172" t="s">
        <v>84</v>
      </c>
      <c r="H776" s="177">
        <v>1</v>
      </c>
      <c r="I776" s="178">
        <v>1750</v>
      </c>
      <c r="J776" s="176">
        <v>46042</v>
      </c>
      <c r="K776" s="172" t="s">
        <v>93</v>
      </c>
      <c r="L776" s="172" t="s">
        <v>94</v>
      </c>
      <c r="M776" s="179">
        <v>0.43</v>
      </c>
      <c r="N776" s="177"/>
      <c r="O776" s="177"/>
      <c r="P776" s="180">
        <v>-752.5</v>
      </c>
    </row>
    <row r="777" spans="1:16" ht="19.5" customHeight="1">
      <c r="A777" s="172" t="s">
        <v>309</v>
      </c>
      <c r="B777" s="176">
        <v>46047</v>
      </c>
      <c r="C777" s="172" t="s">
        <v>81</v>
      </c>
      <c r="D777" s="172" t="s">
        <v>95</v>
      </c>
      <c r="E777" s="172" t="s">
        <v>43</v>
      </c>
      <c r="F777" s="172" t="s">
        <v>125</v>
      </c>
      <c r="G777" s="172" t="s">
        <v>84</v>
      </c>
      <c r="H777" s="177">
        <v>1</v>
      </c>
      <c r="I777" s="178">
        <v>1750</v>
      </c>
      <c r="J777" s="176">
        <v>46042</v>
      </c>
      <c r="K777" s="172" t="s">
        <v>93</v>
      </c>
      <c r="L777" s="172" t="s">
        <v>94</v>
      </c>
      <c r="M777" s="179">
        <v>0.43</v>
      </c>
      <c r="N777" s="177"/>
      <c r="O777" s="177"/>
      <c r="P777" s="180">
        <v>-25</v>
      </c>
    </row>
    <row r="778" spans="1:16" ht="19.5" customHeight="1">
      <c r="A778" s="172" t="s">
        <v>310</v>
      </c>
      <c r="B778" s="176">
        <v>46047</v>
      </c>
      <c r="C778" s="172" t="s">
        <v>92</v>
      </c>
      <c r="D778" s="172" t="s">
        <v>24</v>
      </c>
      <c r="E778" s="172" t="s">
        <v>52</v>
      </c>
      <c r="F778" s="172" t="s">
        <v>90</v>
      </c>
      <c r="G778" s="172" t="s">
        <v>84</v>
      </c>
      <c r="H778" s="177">
        <v>1</v>
      </c>
      <c r="I778" s="178">
        <v>1885</v>
      </c>
      <c r="J778" s="176">
        <v>46041</v>
      </c>
      <c r="K778" s="172" t="s">
        <v>93</v>
      </c>
      <c r="L778" s="172" t="s">
        <v>94</v>
      </c>
      <c r="M778" s="179">
        <v>0.43</v>
      </c>
      <c r="N778" s="177"/>
      <c r="O778" s="177">
        <v>44</v>
      </c>
      <c r="P778" s="180">
        <v>-150.66</v>
      </c>
    </row>
    <row r="779" spans="1:16" ht="19.5" customHeight="1">
      <c r="A779" s="172" t="s">
        <v>310</v>
      </c>
      <c r="B779" s="176">
        <v>46047</v>
      </c>
      <c r="C779" s="172" t="s">
        <v>100</v>
      </c>
      <c r="D779" s="172" t="s">
        <v>101</v>
      </c>
      <c r="E779" s="172" t="s">
        <v>52</v>
      </c>
      <c r="F779" s="172" t="s">
        <v>90</v>
      </c>
      <c r="G779" s="172" t="s">
        <v>84</v>
      </c>
      <c r="H779" s="177">
        <v>1</v>
      </c>
      <c r="I779" s="178">
        <v>1885</v>
      </c>
      <c r="J779" s="176">
        <v>46041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743.81</v>
      </c>
    </row>
    <row r="780" spans="1:16" ht="19.5" customHeight="1">
      <c r="A780" s="172" t="s">
        <v>310</v>
      </c>
      <c r="B780" s="176">
        <v>46047</v>
      </c>
      <c r="C780" s="172" t="s">
        <v>100</v>
      </c>
      <c r="D780" s="172" t="s">
        <v>102</v>
      </c>
      <c r="E780" s="172" t="s">
        <v>52</v>
      </c>
      <c r="F780" s="172" t="s">
        <v>90</v>
      </c>
      <c r="G780" s="172" t="s">
        <v>84</v>
      </c>
      <c r="H780" s="177">
        <v>1</v>
      </c>
      <c r="I780" s="178">
        <v>1885</v>
      </c>
      <c r="J780" s="176">
        <v>46041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7.44</v>
      </c>
    </row>
    <row r="781" spans="1:16" ht="19.5" customHeight="1">
      <c r="A781" s="172" t="s">
        <v>310</v>
      </c>
      <c r="B781" s="176">
        <v>46047</v>
      </c>
      <c r="C781" s="172" t="s">
        <v>100</v>
      </c>
      <c r="D781" s="172" t="s">
        <v>103</v>
      </c>
      <c r="E781" s="172" t="s">
        <v>52</v>
      </c>
      <c r="F781" s="172" t="s">
        <v>90</v>
      </c>
      <c r="G781" s="172" t="s">
        <v>84</v>
      </c>
      <c r="H781" s="177">
        <v>1</v>
      </c>
      <c r="I781" s="178">
        <v>1885</v>
      </c>
      <c r="J781" s="176">
        <v>46041</v>
      </c>
      <c r="K781" s="172" t="s">
        <v>93</v>
      </c>
      <c r="L781" s="172" t="s">
        <v>94</v>
      </c>
      <c r="M781" s="179">
        <v>0</v>
      </c>
      <c r="N781" s="177"/>
      <c r="O781" s="177"/>
      <c r="P781" s="180">
        <v>1133.75</v>
      </c>
    </row>
    <row r="782" spans="1:16" ht="19.5" customHeight="1">
      <c r="A782" s="172" t="s">
        <v>310</v>
      </c>
      <c r="B782" s="176">
        <v>46047</v>
      </c>
      <c r="C782" s="172" t="s">
        <v>104</v>
      </c>
      <c r="D782" s="172" t="s">
        <v>105</v>
      </c>
      <c r="E782" s="172" t="s">
        <v>52</v>
      </c>
      <c r="F782" s="172" t="s">
        <v>90</v>
      </c>
      <c r="G782" s="172" t="s">
        <v>84</v>
      </c>
      <c r="H782" s="177">
        <v>1</v>
      </c>
      <c r="I782" s="178">
        <v>1885</v>
      </c>
      <c r="J782" s="176">
        <v>46041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-810.55</v>
      </c>
    </row>
    <row r="783" spans="1:16" ht="19.5" customHeight="1">
      <c r="A783" s="172" t="s">
        <v>310</v>
      </c>
      <c r="B783" s="176">
        <v>46047</v>
      </c>
      <c r="C783" s="172" t="s">
        <v>81</v>
      </c>
      <c r="D783" s="172" t="s">
        <v>95</v>
      </c>
      <c r="E783" s="172" t="s">
        <v>52</v>
      </c>
      <c r="F783" s="172" t="s">
        <v>90</v>
      </c>
      <c r="G783" s="172" t="s">
        <v>84</v>
      </c>
      <c r="H783" s="177">
        <v>1</v>
      </c>
      <c r="I783" s="178">
        <v>1885</v>
      </c>
      <c r="J783" s="176">
        <v>46041</v>
      </c>
      <c r="K783" s="172" t="s">
        <v>93</v>
      </c>
      <c r="L783" s="172" t="s">
        <v>94</v>
      </c>
      <c r="M783" s="179">
        <v>0.43</v>
      </c>
      <c r="N783" s="177"/>
      <c r="O783" s="177"/>
      <c r="P783" s="180">
        <v>-11.5</v>
      </c>
    </row>
    <row r="784" spans="1:16" ht="19.5" customHeight="1">
      <c r="A784" s="172" t="s">
        <v>311</v>
      </c>
      <c r="B784" s="176">
        <v>46047</v>
      </c>
      <c r="C784" s="172" t="s">
        <v>92</v>
      </c>
      <c r="D784" s="172" t="s">
        <v>24</v>
      </c>
      <c r="E784" s="172" t="s">
        <v>40</v>
      </c>
      <c r="F784" s="172" t="s">
        <v>197</v>
      </c>
      <c r="G784" s="172" t="s">
        <v>84</v>
      </c>
      <c r="H784" s="177">
        <v>1</v>
      </c>
      <c r="I784" s="178">
        <v>1750</v>
      </c>
      <c r="J784" s="176">
        <v>46040</v>
      </c>
      <c r="K784" s="172" t="s">
        <v>93</v>
      </c>
      <c r="L784" s="172" t="s">
        <v>94</v>
      </c>
      <c r="M784" s="179">
        <v>0.43</v>
      </c>
      <c r="N784" s="177"/>
      <c r="O784" s="177">
        <v>45</v>
      </c>
      <c r="P784" s="180">
        <v>-135.38999999999999</v>
      </c>
    </row>
    <row r="785" spans="1:16" ht="19.5" customHeight="1">
      <c r="A785" s="172" t="s">
        <v>311</v>
      </c>
      <c r="B785" s="176">
        <v>46047</v>
      </c>
      <c r="C785" s="172" t="s">
        <v>100</v>
      </c>
      <c r="D785" s="172" t="s">
        <v>101</v>
      </c>
      <c r="E785" s="172" t="s">
        <v>40</v>
      </c>
      <c r="F785" s="172" t="s">
        <v>197</v>
      </c>
      <c r="G785" s="172" t="s">
        <v>84</v>
      </c>
      <c r="H785" s="177">
        <v>1</v>
      </c>
      <c r="I785" s="178">
        <v>1750</v>
      </c>
      <c r="J785" s="176">
        <v>46040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663.18</v>
      </c>
    </row>
    <row r="786" spans="1:16" ht="19.5" customHeight="1">
      <c r="A786" s="172" t="s">
        <v>311</v>
      </c>
      <c r="B786" s="176">
        <v>46047</v>
      </c>
      <c r="C786" s="172" t="s">
        <v>100</v>
      </c>
      <c r="D786" s="172" t="s">
        <v>102</v>
      </c>
      <c r="E786" s="172" t="s">
        <v>40</v>
      </c>
      <c r="F786" s="172" t="s">
        <v>197</v>
      </c>
      <c r="G786" s="172" t="s">
        <v>84</v>
      </c>
      <c r="H786" s="177">
        <v>1</v>
      </c>
      <c r="I786" s="178">
        <v>1750</v>
      </c>
      <c r="J786" s="176">
        <v>46040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6.63</v>
      </c>
    </row>
    <row r="787" spans="1:16" ht="19.5" customHeight="1">
      <c r="A787" s="172" t="s">
        <v>311</v>
      </c>
      <c r="B787" s="176">
        <v>46047</v>
      </c>
      <c r="C787" s="172" t="s">
        <v>100</v>
      </c>
      <c r="D787" s="172" t="s">
        <v>103</v>
      </c>
      <c r="E787" s="172" t="s">
        <v>40</v>
      </c>
      <c r="F787" s="172" t="s">
        <v>197</v>
      </c>
      <c r="G787" s="172" t="s">
        <v>84</v>
      </c>
      <c r="H787" s="177">
        <v>1</v>
      </c>
      <c r="I787" s="178">
        <v>1750</v>
      </c>
      <c r="J787" s="176">
        <v>46040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1080.19</v>
      </c>
    </row>
    <row r="788" spans="1:16" ht="19.5" customHeight="1">
      <c r="A788" s="172" t="s">
        <v>311</v>
      </c>
      <c r="B788" s="176">
        <v>46047</v>
      </c>
      <c r="C788" s="172" t="s">
        <v>104</v>
      </c>
      <c r="D788" s="172" t="s">
        <v>105</v>
      </c>
      <c r="E788" s="172" t="s">
        <v>40</v>
      </c>
      <c r="F788" s="172" t="s">
        <v>197</v>
      </c>
      <c r="G788" s="172" t="s">
        <v>84</v>
      </c>
      <c r="H788" s="177">
        <v>1</v>
      </c>
      <c r="I788" s="178">
        <v>1750</v>
      </c>
      <c r="J788" s="176">
        <v>46040</v>
      </c>
      <c r="K788" s="172" t="s">
        <v>93</v>
      </c>
      <c r="L788" s="172" t="s">
        <v>94</v>
      </c>
      <c r="M788" s="179">
        <v>0.43</v>
      </c>
      <c r="N788" s="177"/>
      <c r="O788" s="177"/>
      <c r="P788" s="180">
        <v>-752.5</v>
      </c>
    </row>
    <row r="789" spans="1:16" ht="19.5" customHeight="1">
      <c r="A789" s="172" t="s">
        <v>311</v>
      </c>
      <c r="B789" s="176">
        <v>46047</v>
      </c>
      <c r="C789" s="172" t="s">
        <v>81</v>
      </c>
      <c r="D789" s="172" t="s">
        <v>95</v>
      </c>
      <c r="E789" s="172" t="s">
        <v>40</v>
      </c>
      <c r="F789" s="172" t="s">
        <v>197</v>
      </c>
      <c r="G789" s="172" t="s">
        <v>84</v>
      </c>
      <c r="H789" s="177">
        <v>1</v>
      </c>
      <c r="I789" s="178">
        <v>1750</v>
      </c>
      <c r="J789" s="176">
        <v>46040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-25</v>
      </c>
    </row>
    <row r="790" spans="1:16" ht="19.5" customHeight="1">
      <c r="A790" s="172" t="s">
        <v>308</v>
      </c>
      <c r="B790" s="176">
        <v>46047</v>
      </c>
      <c r="C790" s="172" t="s">
        <v>92</v>
      </c>
      <c r="D790" s="172" t="s">
        <v>96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0</v>
      </c>
      <c r="J790" s="176">
        <v>46031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0</v>
      </c>
    </row>
    <row r="791" spans="1:16" ht="19.5" customHeight="1">
      <c r="A791" s="172" t="s">
        <v>308</v>
      </c>
      <c r="B791" s="176">
        <v>46047</v>
      </c>
      <c r="C791" s="172" t="s">
        <v>92</v>
      </c>
      <c r="D791" s="172" t="s">
        <v>97</v>
      </c>
      <c r="E791" s="172" t="s">
        <v>53</v>
      </c>
      <c r="F791" s="172" t="s">
        <v>120</v>
      </c>
      <c r="G791" s="172" t="s">
        <v>84</v>
      </c>
      <c r="H791" s="177">
        <v>1</v>
      </c>
      <c r="I791" s="178">
        <v>0</v>
      </c>
      <c r="J791" s="176">
        <v>46031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-56</v>
      </c>
    </row>
    <row r="792" spans="1:16" ht="19.5" customHeight="1">
      <c r="A792" s="172" t="s">
        <v>308</v>
      </c>
      <c r="B792" s="176">
        <v>46047</v>
      </c>
      <c r="C792" s="172" t="s">
        <v>81</v>
      </c>
      <c r="D792" s="172" t="s">
        <v>98</v>
      </c>
      <c r="E792" s="172" t="s">
        <v>53</v>
      </c>
      <c r="F792" s="172" t="s">
        <v>120</v>
      </c>
      <c r="G792" s="172" t="s">
        <v>84</v>
      </c>
      <c r="H792" s="177">
        <v>1</v>
      </c>
      <c r="I792" s="178">
        <v>0</v>
      </c>
      <c r="J792" s="176">
        <v>46031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-15</v>
      </c>
    </row>
    <row r="793" spans="1:16" ht="19.5" customHeight="1">
      <c r="A793" s="172" t="s">
        <v>312</v>
      </c>
      <c r="B793" s="176">
        <v>46047</v>
      </c>
      <c r="C793" s="172" t="s">
        <v>92</v>
      </c>
      <c r="D793" s="172" t="s">
        <v>24</v>
      </c>
      <c r="E793" s="172" t="s">
        <v>42</v>
      </c>
      <c r="F793" s="172" t="s">
        <v>89</v>
      </c>
      <c r="G793" s="172" t="s">
        <v>84</v>
      </c>
      <c r="H793" s="177">
        <v>1</v>
      </c>
      <c r="I793" s="178">
        <v>1750</v>
      </c>
      <c r="J793" s="176">
        <v>46041</v>
      </c>
      <c r="K793" s="172" t="s">
        <v>93</v>
      </c>
      <c r="L793" s="172" t="s">
        <v>94</v>
      </c>
      <c r="M793" s="179">
        <v>0.43</v>
      </c>
      <c r="N793" s="177"/>
      <c r="O793" s="177">
        <v>44</v>
      </c>
      <c r="P793" s="180">
        <v>-131.37</v>
      </c>
    </row>
    <row r="794" spans="1:16" ht="19.5" customHeight="1">
      <c r="A794" s="172" t="s">
        <v>312</v>
      </c>
      <c r="B794" s="176">
        <v>46047</v>
      </c>
      <c r="C794" s="172" t="s">
        <v>100</v>
      </c>
      <c r="D794" s="172" t="s">
        <v>101</v>
      </c>
      <c r="E794" s="172" t="s">
        <v>42</v>
      </c>
      <c r="F794" s="172" t="s">
        <v>89</v>
      </c>
      <c r="G794" s="172" t="s">
        <v>84</v>
      </c>
      <c r="H794" s="177">
        <v>1</v>
      </c>
      <c r="I794" s="178">
        <v>1750</v>
      </c>
      <c r="J794" s="176">
        <v>46041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664.76</v>
      </c>
    </row>
    <row r="795" spans="1:16" ht="19.5" customHeight="1">
      <c r="A795" s="172" t="s">
        <v>312</v>
      </c>
      <c r="B795" s="176">
        <v>46047</v>
      </c>
      <c r="C795" s="172" t="s">
        <v>100</v>
      </c>
      <c r="D795" s="172" t="s">
        <v>102</v>
      </c>
      <c r="E795" s="172" t="s">
        <v>42</v>
      </c>
      <c r="F795" s="172" t="s">
        <v>89</v>
      </c>
      <c r="G795" s="172" t="s">
        <v>84</v>
      </c>
      <c r="H795" s="177">
        <v>1</v>
      </c>
      <c r="I795" s="178">
        <v>1750</v>
      </c>
      <c r="J795" s="176">
        <v>46041</v>
      </c>
      <c r="K795" s="172" t="s">
        <v>93</v>
      </c>
      <c r="L795" s="172" t="s">
        <v>94</v>
      </c>
      <c r="M795" s="179">
        <v>0</v>
      </c>
      <c r="N795" s="177"/>
      <c r="O795" s="177"/>
      <c r="P795" s="180">
        <v>6.65</v>
      </c>
    </row>
    <row r="796" spans="1:16" ht="19.5" customHeight="1">
      <c r="A796" s="172" t="s">
        <v>312</v>
      </c>
      <c r="B796" s="176">
        <v>46047</v>
      </c>
      <c r="C796" s="172" t="s">
        <v>100</v>
      </c>
      <c r="D796" s="172" t="s">
        <v>103</v>
      </c>
      <c r="E796" s="172" t="s">
        <v>42</v>
      </c>
      <c r="F796" s="172" t="s">
        <v>89</v>
      </c>
      <c r="G796" s="172" t="s">
        <v>84</v>
      </c>
      <c r="H796" s="177">
        <v>1</v>
      </c>
      <c r="I796" s="178">
        <v>1750</v>
      </c>
      <c r="J796" s="176">
        <v>46041</v>
      </c>
      <c r="K796" s="172" t="s">
        <v>93</v>
      </c>
      <c r="L796" s="172" t="s">
        <v>94</v>
      </c>
      <c r="M796" s="179">
        <v>0</v>
      </c>
      <c r="N796" s="177"/>
      <c r="O796" s="177"/>
      <c r="P796" s="180">
        <v>1078.5899999999999</v>
      </c>
    </row>
    <row r="797" spans="1:16" ht="19.5" customHeight="1">
      <c r="A797" s="172" t="s">
        <v>312</v>
      </c>
      <c r="B797" s="176">
        <v>46047</v>
      </c>
      <c r="C797" s="172" t="s">
        <v>104</v>
      </c>
      <c r="D797" s="172" t="s">
        <v>105</v>
      </c>
      <c r="E797" s="172" t="s">
        <v>42</v>
      </c>
      <c r="F797" s="172" t="s">
        <v>89</v>
      </c>
      <c r="G797" s="172" t="s">
        <v>84</v>
      </c>
      <c r="H797" s="177">
        <v>1</v>
      </c>
      <c r="I797" s="178">
        <v>1750</v>
      </c>
      <c r="J797" s="176">
        <v>46041</v>
      </c>
      <c r="K797" s="172" t="s">
        <v>93</v>
      </c>
      <c r="L797" s="172" t="s">
        <v>94</v>
      </c>
      <c r="M797" s="179">
        <v>0.43</v>
      </c>
      <c r="N797" s="177"/>
      <c r="O797" s="177"/>
      <c r="P797" s="180">
        <v>-752.5</v>
      </c>
    </row>
    <row r="798" spans="1:16" ht="19.5" customHeight="1">
      <c r="A798" s="172" t="s">
        <v>312</v>
      </c>
      <c r="B798" s="176">
        <v>46047</v>
      </c>
      <c r="C798" s="172" t="s">
        <v>81</v>
      </c>
      <c r="D798" s="172" t="s">
        <v>95</v>
      </c>
      <c r="E798" s="172" t="s">
        <v>42</v>
      </c>
      <c r="F798" s="172" t="s">
        <v>89</v>
      </c>
      <c r="G798" s="172" t="s">
        <v>84</v>
      </c>
      <c r="H798" s="177">
        <v>1</v>
      </c>
      <c r="I798" s="178">
        <v>1750</v>
      </c>
      <c r="J798" s="176">
        <v>46041</v>
      </c>
      <c r="K798" s="172" t="s">
        <v>93</v>
      </c>
      <c r="L798" s="172" t="s">
        <v>94</v>
      </c>
      <c r="M798" s="179">
        <v>0.43</v>
      </c>
      <c r="N798" s="177"/>
      <c r="O798" s="177"/>
      <c r="P798" s="180">
        <v>-9.02</v>
      </c>
    </row>
    <row r="799" spans="1:16" ht="19.5" customHeight="1">
      <c r="A799" s="172" t="s">
        <v>309</v>
      </c>
      <c r="B799" s="176">
        <v>46047</v>
      </c>
      <c r="C799" s="172" t="s">
        <v>81</v>
      </c>
      <c r="D799" s="172" t="s">
        <v>82</v>
      </c>
      <c r="E799" s="172" t="s">
        <v>43</v>
      </c>
      <c r="F799" s="172" t="s">
        <v>125</v>
      </c>
      <c r="G799" s="172" t="s">
        <v>84</v>
      </c>
      <c r="H799" s="177">
        <v>1</v>
      </c>
      <c r="I799" s="178">
        <v>0</v>
      </c>
      <c r="J799" s="176">
        <v>46042</v>
      </c>
      <c r="K799" s="172" t="s">
        <v>85</v>
      </c>
      <c r="L799" s="172" t="s">
        <v>85</v>
      </c>
      <c r="M799" s="179">
        <v>0</v>
      </c>
      <c r="N799" s="177"/>
      <c r="O799" s="177"/>
      <c r="P799" s="180">
        <v>-11.58</v>
      </c>
    </row>
    <row r="800" spans="1:16" ht="19.5" customHeight="1">
      <c r="A800" s="172" t="s">
        <v>311</v>
      </c>
      <c r="B800" s="176">
        <v>46047</v>
      </c>
      <c r="C800" s="172" t="s">
        <v>81</v>
      </c>
      <c r="D800" s="172" t="s">
        <v>82</v>
      </c>
      <c r="E800" s="172" t="s">
        <v>40</v>
      </c>
      <c r="F800" s="172" t="s">
        <v>197</v>
      </c>
      <c r="G800" s="172" t="s">
        <v>84</v>
      </c>
      <c r="H800" s="177">
        <v>1</v>
      </c>
      <c r="I800" s="178">
        <v>0</v>
      </c>
      <c r="J800" s="176">
        <v>46040</v>
      </c>
      <c r="K800" s="172" t="s">
        <v>85</v>
      </c>
      <c r="L800" s="172" t="s">
        <v>85</v>
      </c>
      <c r="M800" s="179">
        <v>0</v>
      </c>
      <c r="N800" s="177"/>
      <c r="O800" s="177"/>
      <c r="P800" s="180">
        <v>-12.6</v>
      </c>
    </row>
    <row r="801" spans="1:16" ht="19.5" customHeight="1">
      <c r="A801" s="172" t="s">
        <v>313</v>
      </c>
      <c r="B801" s="176">
        <v>46047</v>
      </c>
      <c r="C801" s="172" t="s">
        <v>92</v>
      </c>
      <c r="D801" s="172" t="s">
        <v>24</v>
      </c>
      <c r="E801" s="172" t="s">
        <v>39</v>
      </c>
      <c r="F801" s="172" t="s">
        <v>117</v>
      </c>
      <c r="G801" s="172" t="s">
        <v>84</v>
      </c>
      <c r="H801" s="177">
        <v>1</v>
      </c>
      <c r="I801" s="178">
        <v>1750</v>
      </c>
      <c r="J801" s="176">
        <v>46044</v>
      </c>
      <c r="K801" s="172" t="s">
        <v>93</v>
      </c>
      <c r="L801" s="172" t="s">
        <v>94</v>
      </c>
      <c r="M801" s="179">
        <v>0.43</v>
      </c>
      <c r="N801" s="177"/>
      <c r="O801" s="177">
        <v>42</v>
      </c>
      <c r="P801" s="180">
        <v>-123.31</v>
      </c>
    </row>
    <row r="802" spans="1:16" ht="19.5" customHeight="1">
      <c r="A802" s="172" t="s">
        <v>313</v>
      </c>
      <c r="B802" s="176">
        <v>46047</v>
      </c>
      <c r="C802" s="172" t="s">
        <v>100</v>
      </c>
      <c r="D802" s="172" t="s">
        <v>101</v>
      </c>
      <c r="E802" s="172" t="s">
        <v>39</v>
      </c>
      <c r="F802" s="172" t="s">
        <v>117</v>
      </c>
      <c r="G802" s="172" t="s">
        <v>84</v>
      </c>
      <c r="H802" s="177">
        <v>1</v>
      </c>
      <c r="I802" s="178">
        <v>1750</v>
      </c>
      <c r="J802" s="176">
        <v>46044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665.4</v>
      </c>
    </row>
    <row r="803" spans="1:16" ht="19.5" customHeight="1">
      <c r="A803" s="172" t="s">
        <v>313</v>
      </c>
      <c r="B803" s="176">
        <v>46047</v>
      </c>
      <c r="C803" s="172" t="s">
        <v>100</v>
      </c>
      <c r="D803" s="172" t="s">
        <v>102</v>
      </c>
      <c r="E803" s="172" t="s">
        <v>39</v>
      </c>
      <c r="F803" s="172" t="s">
        <v>117</v>
      </c>
      <c r="G803" s="172" t="s">
        <v>84</v>
      </c>
      <c r="H803" s="177">
        <v>1</v>
      </c>
      <c r="I803" s="178">
        <v>1750</v>
      </c>
      <c r="J803" s="176">
        <v>46044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0</v>
      </c>
    </row>
    <row r="804" spans="1:16" ht="19.5" customHeight="1">
      <c r="A804" s="172" t="s">
        <v>313</v>
      </c>
      <c r="B804" s="176">
        <v>46047</v>
      </c>
      <c r="C804" s="172" t="s">
        <v>100</v>
      </c>
      <c r="D804" s="172" t="s">
        <v>103</v>
      </c>
      <c r="E804" s="172" t="s">
        <v>39</v>
      </c>
      <c r="F804" s="172" t="s">
        <v>117</v>
      </c>
      <c r="G804" s="172" t="s">
        <v>84</v>
      </c>
      <c r="H804" s="177">
        <v>1</v>
      </c>
      <c r="I804" s="178">
        <v>1750</v>
      </c>
      <c r="J804" s="176">
        <v>46044</v>
      </c>
      <c r="K804" s="172" t="s">
        <v>93</v>
      </c>
      <c r="L804" s="172" t="s">
        <v>94</v>
      </c>
      <c r="M804" s="179">
        <v>0</v>
      </c>
      <c r="N804" s="177"/>
      <c r="O804" s="177"/>
      <c r="P804" s="180">
        <v>1084.5999999999999</v>
      </c>
    </row>
    <row r="805" spans="1:16" ht="19.5" customHeight="1">
      <c r="A805" s="172" t="s">
        <v>313</v>
      </c>
      <c r="B805" s="176">
        <v>46047</v>
      </c>
      <c r="C805" s="172" t="s">
        <v>104</v>
      </c>
      <c r="D805" s="172" t="s">
        <v>105</v>
      </c>
      <c r="E805" s="172" t="s">
        <v>39</v>
      </c>
      <c r="F805" s="172" t="s">
        <v>117</v>
      </c>
      <c r="G805" s="172" t="s">
        <v>84</v>
      </c>
      <c r="H805" s="177">
        <v>1</v>
      </c>
      <c r="I805" s="178">
        <v>1750</v>
      </c>
      <c r="J805" s="176">
        <v>46044</v>
      </c>
      <c r="K805" s="172" t="s">
        <v>93</v>
      </c>
      <c r="L805" s="172" t="s">
        <v>94</v>
      </c>
      <c r="M805" s="179">
        <v>0.43</v>
      </c>
      <c r="N805" s="177"/>
      <c r="O805" s="177"/>
      <c r="P805" s="180">
        <v>-752.5</v>
      </c>
    </row>
    <row r="806" spans="1:16" ht="19.5" customHeight="1">
      <c r="A806" s="172" t="s">
        <v>313</v>
      </c>
      <c r="B806" s="176">
        <v>46047</v>
      </c>
      <c r="C806" s="172" t="s">
        <v>81</v>
      </c>
      <c r="D806" s="172" t="s">
        <v>95</v>
      </c>
      <c r="E806" s="172" t="s">
        <v>39</v>
      </c>
      <c r="F806" s="172" t="s">
        <v>117</v>
      </c>
      <c r="G806" s="172" t="s">
        <v>84</v>
      </c>
      <c r="H806" s="177">
        <v>1</v>
      </c>
      <c r="I806" s="178">
        <v>1750</v>
      </c>
      <c r="J806" s="176">
        <v>46044</v>
      </c>
      <c r="K806" s="172" t="s">
        <v>93</v>
      </c>
      <c r="L806" s="172" t="s">
        <v>94</v>
      </c>
      <c r="M806" s="179">
        <v>0.43</v>
      </c>
      <c r="N806" s="177"/>
      <c r="O806" s="177"/>
      <c r="P806" s="180">
        <v>-25</v>
      </c>
    </row>
    <row r="807" spans="1:16" ht="19.5" customHeight="1">
      <c r="A807" s="172" t="s">
        <v>314</v>
      </c>
      <c r="B807" s="176">
        <v>46047</v>
      </c>
      <c r="C807" s="172" t="s">
        <v>92</v>
      </c>
      <c r="D807" s="172" t="s">
        <v>24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46044</v>
      </c>
      <c r="K807" s="172" t="s">
        <v>93</v>
      </c>
      <c r="L807" s="172" t="s">
        <v>94</v>
      </c>
      <c r="M807" s="179">
        <v>0.43</v>
      </c>
      <c r="N807" s="177"/>
      <c r="O807" s="177">
        <v>42</v>
      </c>
      <c r="P807" s="180">
        <v>-140.5</v>
      </c>
    </row>
    <row r="808" spans="1:16" ht="19.5" customHeight="1">
      <c r="A808" s="172" t="s">
        <v>314</v>
      </c>
      <c r="B808" s="176">
        <v>46047</v>
      </c>
      <c r="C808" s="172" t="s">
        <v>100</v>
      </c>
      <c r="D808" s="172" t="s">
        <v>101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46044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664.76</v>
      </c>
    </row>
    <row r="809" spans="1:16" ht="19.5" customHeight="1">
      <c r="A809" s="172" t="s">
        <v>314</v>
      </c>
      <c r="B809" s="176">
        <v>46047</v>
      </c>
      <c r="C809" s="172" t="s">
        <v>100</v>
      </c>
      <c r="D809" s="172" t="s">
        <v>102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46044</v>
      </c>
      <c r="K809" s="172" t="s">
        <v>93</v>
      </c>
      <c r="L809" s="172" t="s">
        <v>94</v>
      </c>
      <c r="M809" s="179">
        <v>0</v>
      </c>
      <c r="N809" s="177"/>
      <c r="O809" s="177"/>
      <c r="P809" s="180">
        <v>6.65</v>
      </c>
    </row>
    <row r="810" spans="1:16" ht="19.5" customHeight="1">
      <c r="A810" s="172" t="s">
        <v>314</v>
      </c>
      <c r="B810" s="176">
        <v>46047</v>
      </c>
      <c r="C810" s="172" t="s">
        <v>100</v>
      </c>
      <c r="D810" s="172" t="s">
        <v>103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46044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1173.5899999999999</v>
      </c>
    </row>
    <row r="811" spans="1:16" ht="19.5" customHeight="1">
      <c r="A811" s="172" t="s">
        <v>314</v>
      </c>
      <c r="B811" s="176">
        <v>46047</v>
      </c>
      <c r="C811" s="172" t="s">
        <v>104</v>
      </c>
      <c r="D811" s="172" t="s">
        <v>105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1845</v>
      </c>
      <c r="J811" s="176">
        <v>46044</v>
      </c>
      <c r="K811" s="172" t="s">
        <v>93</v>
      </c>
      <c r="L811" s="172" t="s">
        <v>94</v>
      </c>
      <c r="M811" s="179">
        <v>0.43</v>
      </c>
      <c r="N811" s="177"/>
      <c r="O811" s="177"/>
      <c r="P811" s="180">
        <v>-793.35</v>
      </c>
    </row>
    <row r="812" spans="1:16" ht="19.5" customHeight="1">
      <c r="A812" s="172" t="s">
        <v>314</v>
      </c>
      <c r="B812" s="176">
        <v>46047</v>
      </c>
      <c r="C812" s="172" t="s">
        <v>81</v>
      </c>
      <c r="D812" s="172" t="s">
        <v>95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1845</v>
      </c>
      <c r="J812" s="176">
        <v>46044</v>
      </c>
      <c r="K812" s="172" t="s">
        <v>93</v>
      </c>
      <c r="L812" s="172" t="s">
        <v>94</v>
      </c>
      <c r="M812" s="179">
        <v>0.43</v>
      </c>
      <c r="N812" s="177"/>
      <c r="O812" s="177"/>
      <c r="P812" s="180">
        <v>-25</v>
      </c>
    </row>
    <row r="813" spans="1:16" ht="19.5" customHeight="1">
      <c r="A813" s="172" t="s">
        <v>315</v>
      </c>
      <c r="B813" s="176">
        <v>46047</v>
      </c>
      <c r="C813" s="172" t="s">
        <v>92</v>
      </c>
      <c r="D813" s="172" t="s">
        <v>24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1885</v>
      </c>
      <c r="J813" s="176">
        <v>46044</v>
      </c>
      <c r="K813" s="172" t="s">
        <v>93</v>
      </c>
      <c r="L813" s="172" t="s">
        <v>94</v>
      </c>
      <c r="M813" s="179">
        <v>0.43</v>
      </c>
      <c r="N813" s="177"/>
      <c r="O813" s="177">
        <v>42</v>
      </c>
      <c r="P813" s="180">
        <v>-141.63999999999999</v>
      </c>
    </row>
    <row r="814" spans="1:16" ht="19.5" customHeight="1">
      <c r="A814" s="172" t="s">
        <v>315</v>
      </c>
      <c r="B814" s="176">
        <v>46047</v>
      </c>
      <c r="C814" s="172" t="s">
        <v>100</v>
      </c>
      <c r="D814" s="172" t="s">
        <v>101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1885</v>
      </c>
      <c r="J814" s="176">
        <v>46044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657.14</v>
      </c>
    </row>
    <row r="815" spans="1:16" ht="19.5" customHeight="1">
      <c r="A815" s="172" t="s">
        <v>315</v>
      </c>
      <c r="B815" s="176">
        <v>46047</v>
      </c>
      <c r="C815" s="172" t="s">
        <v>100</v>
      </c>
      <c r="D815" s="172" t="s">
        <v>102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1885</v>
      </c>
      <c r="J815" s="176">
        <v>46044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6.57</v>
      </c>
    </row>
    <row r="816" spans="1:16" ht="19.5" customHeight="1">
      <c r="A816" s="172" t="s">
        <v>315</v>
      </c>
      <c r="B816" s="176">
        <v>46047</v>
      </c>
      <c r="C816" s="172" t="s">
        <v>100</v>
      </c>
      <c r="D816" s="172" t="s">
        <v>103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1885</v>
      </c>
      <c r="J816" s="176">
        <v>46044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1221.29</v>
      </c>
    </row>
    <row r="817" spans="1:16" ht="19.5" customHeight="1">
      <c r="A817" s="172" t="s">
        <v>315</v>
      </c>
      <c r="B817" s="176">
        <v>46047</v>
      </c>
      <c r="C817" s="172" t="s">
        <v>104</v>
      </c>
      <c r="D817" s="172" t="s">
        <v>105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1885</v>
      </c>
      <c r="J817" s="176">
        <v>46044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-810.55</v>
      </c>
    </row>
    <row r="818" spans="1:16" ht="19.5" customHeight="1">
      <c r="A818" s="172" t="s">
        <v>315</v>
      </c>
      <c r="B818" s="176">
        <v>46047</v>
      </c>
      <c r="C818" s="172" t="s">
        <v>81</v>
      </c>
      <c r="D818" s="172" t="s">
        <v>95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1885</v>
      </c>
      <c r="J818" s="176">
        <v>46044</v>
      </c>
      <c r="K818" s="172" t="s">
        <v>93</v>
      </c>
      <c r="L818" s="172" t="s">
        <v>94</v>
      </c>
      <c r="M818" s="179">
        <v>0.43</v>
      </c>
      <c r="N818" s="177"/>
      <c r="O818" s="177"/>
      <c r="P818" s="180">
        <v>-10.47</v>
      </c>
    </row>
    <row r="819" spans="1:16" ht="19.5" customHeight="1">
      <c r="A819" s="172" t="s">
        <v>313</v>
      </c>
      <c r="B819" s="176">
        <v>46047</v>
      </c>
      <c r="C819" s="172" t="s">
        <v>81</v>
      </c>
      <c r="D819" s="172" t="s">
        <v>82</v>
      </c>
      <c r="E819" s="172" t="s">
        <v>39</v>
      </c>
      <c r="F819" s="172" t="s">
        <v>117</v>
      </c>
      <c r="G819" s="172" t="s">
        <v>84</v>
      </c>
      <c r="H819" s="177">
        <v>1</v>
      </c>
      <c r="I819" s="178">
        <v>0</v>
      </c>
      <c r="J819" s="176">
        <v>46044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-3.53</v>
      </c>
    </row>
    <row r="820" spans="1:16" ht="19.5" customHeight="1">
      <c r="A820" s="172" t="s">
        <v>315</v>
      </c>
      <c r="B820" s="176">
        <v>46047</v>
      </c>
      <c r="C820" s="172" t="s">
        <v>81</v>
      </c>
      <c r="D820" s="172" t="s">
        <v>82</v>
      </c>
      <c r="E820" s="172" t="s">
        <v>52</v>
      </c>
      <c r="F820" s="172" t="s">
        <v>90</v>
      </c>
      <c r="G820" s="172" t="s">
        <v>84</v>
      </c>
      <c r="H820" s="177">
        <v>1</v>
      </c>
      <c r="I820" s="178">
        <v>0</v>
      </c>
      <c r="J820" s="176">
        <v>46044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-12.49</v>
      </c>
    </row>
    <row r="821" spans="1:16" ht="19.5" customHeight="1">
      <c r="A821" s="172" t="s">
        <v>316</v>
      </c>
      <c r="B821" s="176">
        <v>46047</v>
      </c>
      <c r="C821" s="172" t="s">
        <v>92</v>
      </c>
      <c r="D821" s="172" t="s">
        <v>24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46046</v>
      </c>
      <c r="K821" s="172" t="s">
        <v>93</v>
      </c>
      <c r="L821" s="172" t="s">
        <v>94</v>
      </c>
      <c r="M821" s="179">
        <v>0.43</v>
      </c>
      <c r="N821" s="177"/>
      <c r="O821" s="177">
        <v>40</v>
      </c>
      <c r="P821" s="180">
        <v>-115.25</v>
      </c>
    </row>
    <row r="822" spans="1:16" ht="19.5" customHeight="1">
      <c r="A822" s="172" t="s">
        <v>316</v>
      </c>
      <c r="B822" s="176">
        <v>46047</v>
      </c>
      <c r="C822" s="172" t="s">
        <v>100</v>
      </c>
      <c r="D822" s="172" t="s">
        <v>101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46046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608.94000000000005</v>
      </c>
    </row>
    <row r="823" spans="1:16" ht="19.5" customHeight="1">
      <c r="A823" s="172" t="s">
        <v>316</v>
      </c>
      <c r="B823" s="176">
        <v>46047</v>
      </c>
      <c r="C823" s="172" t="s">
        <v>100</v>
      </c>
      <c r="D823" s="172" t="s">
        <v>102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46046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6.09</v>
      </c>
    </row>
    <row r="824" spans="1:16" ht="19.5" customHeight="1">
      <c r="A824" s="172" t="s">
        <v>316</v>
      </c>
      <c r="B824" s="176">
        <v>46047</v>
      </c>
      <c r="C824" s="172" t="s">
        <v>100</v>
      </c>
      <c r="D824" s="172" t="s">
        <v>103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46046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1134.97</v>
      </c>
    </row>
    <row r="825" spans="1:16" ht="19.5" customHeight="1">
      <c r="A825" s="172" t="s">
        <v>316</v>
      </c>
      <c r="B825" s="176">
        <v>46047</v>
      </c>
      <c r="C825" s="172" t="s">
        <v>104</v>
      </c>
      <c r="D825" s="172" t="s">
        <v>105</v>
      </c>
      <c r="E825" s="172" t="s">
        <v>42</v>
      </c>
      <c r="F825" s="172" t="s">
        <v>89</v>
      </c>
      <c r="G825" s="172" t="s">
        <v>84</v>
      </c>
      <c r="H825" s="177">
        <v>1</v>
      </c>
      <c r="I825" s="178">
        <v>1750</v>
      </c>
      <c r="J825" s="176">
        <v>46046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-752.5</v>
      </c>
    </row>
    <row r="826" spans="1:16" ht="19.5" customHeight="1">
      <c r="A826" s="172" t="s">
        <v>316</v>
      </c>
      <c r="B826" s="176">
        <v>46047</v>
      </c>
      <c r="C826" s="172" t="s">
        <v>81</v>
      </c>
      <c r="D826" s="172" t="s">
        <v>95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1750</v>
      </c>
      <c r="J826" s="176">
        <v>46046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-9.4700000000000006</v>
      </c>
    </row>
    <row r="827" spans="1:16" ht="19.5" customHeight="1">
      <c r="A827" s="172" t="s">
        <v>316</v>
      </c>
      <c r="B827" s="176">
        <v>46047</v>
      </c>
      <c r="C827" s="172" t="s">
        <v>81</v>
      </c>
      <c r="D827" s="172" t="s">
        <v>82</v>
      </c>
      <c r="E827" s="172" t="s">
        <v>42</v>
      </c>
      <c r="F827" s="172" t="s">
        <v>89</v>
      </c>
      <c r="G827" s="172" t="s">
        <v>84</v>
      </c>
      <c r="H827" s="177">
        <v>1</v>
      </c>
      <c r="I827" s="178">
        <v>0</v>
      </c>
      <c r="J827" s="176">
        <v>46046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-11.57</v>
      </c>
    </row>
    <row r="828" spans="1:16" ht="19.5" customHeight="1">
      <c r="A828" s="172" t="s">
        <v>317</v>
      </c>
      <c r="B828" s="176">
        <v>46047</v>
      </c>
      <c r="C828" s="172" t="s">
        <v>92</v>
      </c>
      <c r="D828" s="172" t="s">
        <v>24</v>
      </c>
      <c r="E828" s="172" t="s">
        <v>53</v>
      </c>
      <c r="F828" s="172" t="s">
        <v>120</v>
      </c>
      <c r="G828" s="172" t="s">
        <v>84</v>
      </c>
      <c r="H828" s="177">
        <v>1</v>
      </c>
      <c r="I828" s="178">
        <v>1812</v>
      </c>
      <c r="J828" s="176">
        <v>46045</v>
      </c>
      <c r="K828" s="172" t="s">
        <v>93</v>
      </c>
      <c r="L828" s="172" t="s">
        <v>94</v>
      </c>
      <c r="M828" s="179">
        <v>0.43</v>
      </c>
      <c r="N828" s="177"/>
      <c r="O828" s="177">
        <v>40</v>
      </c>
      <c r="P828" s="180">
        <v>-130.77000000000001</v>
      </c>
    </row>
    <row r="829" spans="1:16" ht="19.5" customHeight="1">
      <c r="A829" s="172" t="s">
        <v>317</v>
      </c>
      <c r="B829" s="176">
        <v>46047</v>
      </c>
      <c r="C829" s="172" t="s">
        <v>100</v>
      </c>
      <c r="D829" s="172" t="s">
        <v>101</v>
      </c>
      <c r="E829" s="172" t="s">
        <v>53</v>
      </c>
      <c r="F829" s="172" t="s">
        <v>120</v>
      </c>
      <c r="G829" s="172" t="s">
        <v>84</v>
      </c>
      <c r="H829" s="177">
        <v>1</v>
      </c>
      <c r="I829" s="178">
        <v>1812</v>
      </c>
      <c r="J829" s="176">
        <v>46045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654.61</v>
      </c>
    </row>
    <row r="830" spans="1:16" ht="19.5" customHeight="1">
      <c r="A830" s="172" t="s">
        <v>317</v>
      </c>
      <c r="B830" s="176">
        <v>46047</v>
      </c>
      <c r="C830" s="172" t="s">
        <v>100</v>
      </c>
      <c r="D830" s="172" t="s">
        <v>102</v>
      </c>
      <c r="E830" s="172" t="s">
        <v>53</v>
      </c>
      <c r="F830" s="172" t="s">
        <v>120</v>
      </c>
      <c r="G830" s="172" t="s">
        <v>84</v>
      </c>
      <c r="H830" s="177">
        <v>1</v>
      </c>
      <c r="I830" s="178">
        <v>1812</v>
      </c>
      <c r="J830" s="176">
        <v>46045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6.55</v>
      </c>
    </row>
    <row r="831" spans="1:16" ht="19.5" customHeight="1">
      <c r="A831" s="172" t="s">
        <v>317</v>
      </c>
      <c r="B831" s="176">
        <v>46047</v>
      </c>
      <c r="C831" s="172" t="s">
        <v>100</v>
      </c>
      <c r="D831" s="172" t="s">
        <v>103</v>
      </c>
      <c r="E831" s="172" t="s">
        <v>53</v>
      </c>
      <c r="F831" s="172" t="s">
        <v>120</v>
      </c>
      <c r="G831" s="172" t="s">
        <v>84</v>
      </c>
      <c r="H831" s="177">
        <v>1</v>
      </c>
      <c r="I831" s="178">
        <v>1812</v>
      </c>
      <c r="J831" s="176">
        <v>46045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1150.8399999999999</v>
      </c>
    </row>
    <row r="832" spans="1:16" ht="19.5" customHeight="1">
      <c r="A832" s="172" t="s">
        <v>317</v>
      </c>
      <c r="B832" s="176">
        <v>46047</v>
      </c>
      <c r="C832" s="172" t="s">
        <v>104</v>
      </c>
      <c r="D832" s="172" t="s">
        <v>105</v>
      </c>
      <c r="E832" s="172" t="s">
        <v>53</v>
      </c>
      <c r="F832" s="172" t="s">
        <v>120</v>
      </c>
      <c r="G832" s="172" t="s">
        <v>84</v>
      </c>
      <c r="H832" s="177">
        <v>1</v>
      </c>
      <c r="I832" s="178">
        <v>1812</v>
      </c>
      <c r="J832" s="176">
        <v>46045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-779.16</v>
      </c>
    </row>
    <row r="833" spans="1:16" ht="19.5" customHeight="1">
      <c r="A833" s="172" t="s">
        <v>317</v>
      </c>
      <c r="B833" s="176">
        <v>46047</v>
      </c>
      <c r="C833" s="172" t="s">
        <v>81</v>
      </c>
      <c r="D833" s="172" t="s">
        <v>95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1812</v>
      </c>
      <c r="J833" s="176">
        <v>46045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-18.93</v>
      </c>
    </row>
    <row r="834" spans="1:16" ht="19.5" customHeight="1">
      <c r="A834" s="172" t="s">
        <v>318</v>
      </c>
      <c r="B834" s="176">
        <v>46047</v>
      </c>
      <c r="C834" s="172" t="s">
        <v>81</v>
      </c>
      <c r="D834" s="172" t="s">
        <v>82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0</v>
      </c>
      <c r="J834" s="176">
        <v>46047</v>
      </c>
      <c r="K834" s="172" t="s">
        <v>85</v>
      </c>
      <c r="L834" s="172" t="s">
        <v>85</v>
      </c>
      <c r="M834" s="179">
        <v>0</v>
      </c>
      <c r="N834" s="177"/>
      <c r="O834" s="177"/>
      <c r="P834" s="180">
        <v>-3.14</v>
      </c>
    </row>
    <row r="835" spans="1:16" ht="19.5" customHeight="1">
      <c r="A835" s="172" t="s">
        <v>319</v>
      </c>
      <c r="B835" s="176">
        <v>46047</v>
      </c>
      <c r="C835" s="172" t="s">
        <v>92</v>
      </c>
      <c r="D835" s="172" t="s">
        <v>24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1812</v>
      </c>
      <c r="J835" s="176">
        <v>46045</v>
      </c>
      <c r="K835" s="172" t="s">
        <v>93</v>
      </c>
      <c r="L835" s="172" t="s">
        <v>94</v>
      </c>
      <c r="M835" s="179">
        <v>0.43</v>
      </c>
      <c r="N835" s="177"/>
      <c r="O835" s="177">
        <v>40</v>
      </c>
      <c r="P835" s="180">
        <v>-130.77000000000001</v>
      </c>
    </row>
    <row r="836" spans="1:16" ht="19.5" customHeight="1">
      <c r="A836" s="172" t="s">
        <v>319</v>
      </c>
      <c r="B836" s="176">
        <v>46047</v>
      </c>
      <c r="C836" s="172" t="s">
        <v>100</v>
      </c>
      <c r="D836" s="172" t="s">
        <v>101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1812</v>
      </c>
      <c r="J836" s="176">
        <v>46045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654.61</v>
      </c>
    </row>
    <row r="837" spans="1:16" ht="19.5" customHeight="1">
      <c r="A837" s="172" t="s">
        <v>319</v>
      </c>
      <c r="B837" s="176">
        <v>46047</v>
      </c>
      <c r="C837" s="172" t="s">
        <v>100</v>
      </c>
      <c r="D837" s="172" t="s">
        <v>102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1812</v>
      </c>
      <c r="J837" s="176">
        <v>46045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6.55</v>
      </c>
    </row>
    <row r="838" spans="1:16" ht="19.5" customHeight="1">
      <c r="A838" s="172" t="s">
        <v>319</v>
      </c>
      <c r="B838" s="176">
        <v>46047</v>
      </c>
      <c r="C838" s="172" t="s">
        <v>100</v>
      </c>
      <c r="D838" s="172" t="s">
        <v>103</v>
      </c>
      <c r="E838" s="172" t="s">
        <v>53</v>
      </c>
      <c r="F838" s="172" t="s">
        <v>120</v>
      </c>
      <c r="G838" s="172" t="s">
        <v>84</v>
      </c>
      <c r="H838" s="177">
        <v>1</v>
      </c>
      <c r="I838" s="178">
        <v>1812</v>
      </c>
      <c r="J838" s="176">
        <v>46045</v>
      </c>
      <c r="K838" s="172" t="s">
        <v>93</v>
      </c>
      <c r="L838" s="172" t="s">
        <v>94</v>
      </c>
      <c r="M838" s="179">
        <v>0</v>
      </c>
      <c r="N838" s="177"/>
      <c r="O838" s="177"/>
      <c r="P838" s="180">
        <v>1150.8399999999999</v>
      </c>
    </row>
    <row r="839" spans="1:16" ht="19.5" customHeight="1">
      <c r="A839" s="172" t="s">
        <v>319</v>
      </c>
      <c r="B839" s="176">
        <v>46047</v>
      </c>
      <c r="C839" s="172" t="s">
        <v>104</v>
      </c>
      <c r="D839" s="172" t="s">
        <v>105</v>
      </c>
      <c r="E839" s="172" t="s">
        <v>53</v>
      </c>
      <c r="F839" s="172" t="s">
        <v>120</v>
      </c>
      <c r="G839" s="172" t="s">
        <v>84</v>
      </c>
      <c r="H839" s="177">
        <v>1</v>
      </c>
      <c r="I839" s="178">
        <v>1812</v>
      </c>
      <c r="J839" s="176">
        <v>46045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-779.16</v>
      </c>
    </row>
    <row r="840" spans="1:16" ht="19.5" customHeight="1">
      <c r="A840" s="172" t="s">
        <v>319</v>
      </c>
      <c r="B840" s="176">
        <v>46047</v>
      </c>
      <c r="C840" s="172" t="s">
        <v>81</v>
      </c>
      <c r="D840" s="172" t="s">
        <v>95</v>
      </c>
      <c r="E840" s="172" t="s">
        <v>53</v>
      </c>
      <c r="F840" s="172" t="s">
        <v>120</v>
      </c>
      <c r="G840" s="172" t="s">
        <v>84</v>
      </c>
      <c r="H840" s="177">
        <v>1</v>
      </c>
      <c r="I840" s="178">
        <v>1812</v>
      </c>
      <c r="J840" s="176">
        <v>46045</v>
      </c>
      <c r="K840" s="172" t="s">
        <v>93</v>
      </c>
      <c r="L840" s="172" t="s">
        <v>94</v>
      </c>
      <c r="M840" s="179">
        <v>0.43</v>
      </c>
      <c r="N840" s="177"/>
      <c r="O840" s="177"/>
      <c r="P840" s="180">
        <v>-11.9</v>
      </c>
    </row>
    <row r="841" spans="1:16" ht="19.5" customHeight="1">
      <c r="A841" s="172" t="s">
        <v>317</v>
      </c>
      <c r="B841" s="176">
        <v>46047</v>
      </c>
      <c r="C841" s="172" t="s">
        <v>81</v>
      </c>
      <c r="D841" s="172" t="s">
        <v>82</v>
      </c>
      <c r="E841" s="172" t="s">
        <v>53</v>
      </c>
      <c r="F841" s="172" t="s">
        <v>120</v>
      </c>
      <c r="G841" s="172" t="s">
        <v>84</v>
      </c>
      <c r="H841" s="177">
        <v>1</v>
      </c>
      <c r="I841" s="178">
        <v>0</v>
      </c>
      <c r="J841" s="176">
        <v>46045</v>
      </c>
      <c r="K841" s="172" t="s">
        <v>85</v>
      </c>
      <c r="L841" s="172" t="s">
        <v>85</v>
      </c>
      <c r="M841" s="179">
        <v>0</v>
      </c>
      <c r="N841" s="177"/>
      <c r="O841" s="177"/>
      <c r="P841" s="180">
        <v>-12.44</v>
      </c>
    </row>
    <row r="842" spans="1:16" ht="19.5" customHeight="1">
      <c r="A842" s="172" t="s">
        <v>319</v>
      </c>
      <c r="B842" s="176">
        <v>46047</v>
      </c>
      <c r="C842" s="172" t="s">
        <v>81</v>
      </c>
      <c r="D842" s="172" t="s">
        <v>82</v>
      </c>
      <c r="E842" s="172" t="s">
        <v>53</v>
      </c>
      <c r="F842" s="172" t="s">
        <v>120</v>
      </c>
      <c r="G842" s="172" t="s">
        <v>84</v>
      </c>
      <c r="H842" s="177">
        <v>1</v>
      </c>
      <c r="I842" s="178">
        <v>0</v>
      </c>
      <c r="J842" s="176">
        <v>46045</v>
      </c>
      <c r="K842" s="172" t="s">
        <v>85</v>
      </c>
      <c r="L842" s="172" t="s">
        <v>85</v>
      </c>
      <c r="M842" s="179">
        <v>0</v>
      </c>
      <c r="N842" s="177"/>
      <c r="O842" s="177"/>
      <c r="P842" s="180">
        <v>-12.44</v>
      </c>
    </row>
    <row r="843" spans="1:16" ht="19.5" customHeight="1">
      <c r="A843" s="172" t="s">
        <v>320</v>
      </c>
      <c r="B843" s="176">
        <v>46047</v>
      </c>
      <c r="C843" s="172" t="s">
        <v>81</v>
      </c>
      <c r="D843" s="172" t="s">
        <v>82</v>
      </c>
      <c r="E843" s="172" t="s">
        <v>43</v>
      </c>
      <c r="F843" s="172" t="s">
        <v>125</v>
      </c>
      <c r="G843" s="172" t="s">
        <v>84</v>
      </c>
      <c r="H843" s="177">
        <v>1</v>
      </c>
      <c r="I843" s="178">
        <v>0</v>
      </c>
      <c r="J843" s="176">
        <v>46047</v>
      </c>
      <c r="K843" s="172" t="s">
        <v>85</v>
      </c>
      <c r="L843" s="172" t="s">
        <v>85</v>
      </c>
      <c r="M843" s="179">
        <v>0</v>
      </c>
      <c r="N843" s="177"/>
      <c r="O843" s="177"/>
      <c r="P843" s="180">
        <v>-12.49</v>
      </c>
    </row>
    <row r="844" spans="1:16" ht="19.5" customHeight="1">
      <c r="A844" s="172" t="s">
        <v>321</v>
      </c>
      <c r="B844" s="176">
        <v>46047</v>
      </c>
      <c r="C844" s="172" t="s">
        <v>92</v>
      </c>
      <c r="D844" s="172" t="s">
        <v>24</v>
      </c>
      <c r="E844" s="172" t="s">
        <v>43</v>
      </c>
      <c r="F844" s="172" t="s">
        <v>125</v>
      </c>
      <c r="G844" s="172" t="s">
        <v>84</v>
      </c>
      <c r="H844" s="177">
        <v>1</v>
      </c>
      <c r="I844" s="178">
        <v>1750</v>
      </c>
      <c r="J844" s="176">
        <v>46045</v>
      </c>
      <c r="K844" s="172" t="s">
        <v>93</v>
      </c>
      <c r="L844" s="172" t="s">
        <v>94</v>
      </c>
      <c r="M844" s="179">
        <v>0.43</v>
      </c>
      <c r="N844" s="177"/>
      <c r="O844" s="177">
        <v>40</v>
      </c>
      <c r="P844" s="180">
        <v>-115.25</v>
      </c>
    </row>
    <row r="845" spans="1:16" ht="19.5" customHeight="1">
      <c r="A845" s="172" t="s">
        <v>321</v>
      </c>
      <c r="B845" s="176">
        <v>46047</v>
      </c>
      <c r="C845" s="172" t="s">
        <v>100</v>
      </c>
      <c r="D845" s="172" t="s">
        <v>101</v>
      </c>
      <c r="E845" s="172" t="s">
        <v>43</v>
      </c>
      <c r="F845" s="172" t="s">
        <v>125</v>
      </c>
      <c r="G845" s="172" t="s">
        <v>84</v>
      </c>
      <c r="H845" s="177">
        <v>1</v>
      </c>
      <c r="I845" s="178">
        <v>1750</v>
      </c>
      <c r="J845" s="176">
        <v>46045</v>
      </c>
      <c r="K845" s="172" t="s">
        <v>93</v>
      </c>
      <c r="L845" s="172" t="s">
        <v>94</v>
      </c>
      <c r="M845" s="179">
        <v>0</v>
      </c>
      <c r="N845" s="177"/>
      <c r="O845" s="177"/>
      <c r="P845" s="180">
        <v>615.6</v>
      </c>
    </row>
    <row r="846" spans="1:16" ht="19.5" customHeight="1">
      <c r="A846" s="172" t="s">
        <v>321</v>
      </c>
      <c r="B846" s="176">
        <v>46047</v>
      </c>
      <c r="C846" s="172" t="s">
        <v>100</v>
      </c>
      <c r="D846" s="172" t="s">
        <v>102</v>
      </c>
      <c r="E846" s="172" t="s">
        <v>43</v>
      </c>
      <c r="F846" s="172" t="s">
        <v>125</v>
      </c>
      <c r="G846" s="172" t="s">
        <v>84</v>
      </c>
      <c r="H846" s="177">
        <v>1</v>
      </c>
      <c r="I846" s="178">
        <v>1750</v>
      </c>
      <c r="J846" s="176">
        <v>46045</v>
      </c>
      <c r="K846" s="172" t="s">
        <v>93</v>
      </c>
      <c r="L846" s="172" t="s">
        <v>94</v>
      </c>
      <c r="M846" s="179">
        <v>0</v>
      </c>
      <c r="N846" s="177"/>
      <c r="O846" s="177"/>
      <c r="P846" s="180">
        <v>6.16</v>
      </c>
    </row>
    <row r="847" spans="1:16" ht="19.5" customHeight="1">
      <c r="A847" s="172" t="s">
        <v>321</v>
      </c>
      <c r="B847" s="176">
        <v>46047</v>
      </c>
      <c r="C847" s="172" t="s">
        <v>100</v>
      </c>
      <c r="D847" s="172" t="s">
        <v>103</v>
      </c>
      <c r="E847" s="172" t="s">
        <v>43</v>
      </c>
      <c r="F847" s="172" t="s">
        <v>125</v>
      </c>
      <c r="G847" s="172" t="s">
        <v>84</v>
      </c>
      <c r="H847" s="177">
        <v>1</v>
      </c>
      <c r="I847" s="178">
        <v>1750</v>
      </c>
      <c r="J847" s="176">
        <v>46045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1128.24</v>
      </c>
    </row>
    <row r="848" spans="1:16" ht="19.5" customHeight="1">
      <c r="A848" s="172" t="s">
        <v>321</v>
      </c>
      <c r="B848" s="176">
        <v>46047</v>
      </c>
      <c r="C848" s="172" t="s">
        <v>104</v>
      </c>
      <c r="D848" s="172" t="s">
        <v>105</v>
      </c>
      <c r="E848" s="172" t="s">
        <v>43</v>
      </c>
      <c r="F848" s="172" t="s">
        <v>125</v>
      </c>
      <c r="G848" s="172" t="s">
        <v>84</v>
      </c>
      <c r="H848" s="177">
        <v>1</v>
      </c>
      <c r="I848" s="178">
        <v>1750</v>
      </c>
      <c r="J848" s="176">
        <v>46045</v>
      </c>
      <c r="K848" s="172" t="s">
        <v>93</v>
      </c>
      <c r="L848" s="172" t="s">
        <v>94</v>
      </c>
      <c r="M848" s="179">
        <v>0.43</v>
      </c>
      <c r="N848" s="177"/>
      <c r="O848" s="177"/>
      <c r="P848" s="180">
        <v>-752.5</v>
      </c>
    </row>
    <row r="849" spans="1:16" ht="19.5" customHeight="1">
      <c r="A849" s="172" t="s">
        <v>321</v>
      </c>
      <c r="B849" s="176">
        <v>46047</v>
      </c>
      <c r="C849" s="172" t="s">
        <v>81</v>
      </c>
      <c r="D849" s="172" t="s">
        <v>95</v>
      </c>
      <c r="E849" s="172" t="s">
        <v>43</v>
      </c>
      <c r="F849" s="172" t="s">
        <v>125</v>
      </c>
      <c r="G849" s="172" t="s">
        <v>84</v>
      </c>
      <c r="H849" s="177">
        <v>1</v>
      </c>
      <c r="I849" s="178">
        <v>1750</v>
      </c>
      <c r="J849" s="176">
        <v>46045</v>
      </c>
      <c r="K849" s="172" t="s">
        <v>93</v>
      </c>
      <c r="L849" s="172" t="s">
        <v>94</v>
      </c>
      <c r="M849" s="179">
        <v>0.43</v>
      </c>
      <c r="N849" s="177"/>
      <c r="O849" s="177"/>
      <c r="P849" s="180">
        <v>-9.39</v>
      </c>
    </row>
    <row r="850" spans="1:16" ht="19.5" customHeight="1">
      <c r="A850" s="172" t="s">
        <v>322</v>
      </c>
      <c r="B850" s="176">
        <v>46047</v>
      </c>
      <c r="C850" s="172" t="s">
        <v>92</v>
      </c>
      <c r="D850" s="172" t="s">
        <v>24</v>
      </c>
      <c r="E850" s="172" t="s">
        <v>52</v>
      </c>
      <c r="F850" s="172" t="s">
        <v>90</v>
      </c>
      <c r="G850" s="172" t="s">
        <v>84</v>
      </c>
      <c r="H850" s="177">
        <v>1</v>
      </c>
      <c r="I850" s="178">
        <v>1621</v>
      </c>
      <c r="J850" s="176">
        <v>46034</v>
      </c>
      <c r="K850" s="172" t="s">
        <v>93</v>
      </c>
      <c r="L850" s="172" t="s">
        <v>94</v>
      </c>
      <c r="M850" s="179">
        <v>0.43</v>
      </c>
      <c r="N850" s="177"/>
      <c r="O850" s="177">
        <v>42</v>
      </c>
      <c r="P850" s="180">
        <v>-134.12</v>
      </c>
    </row>
    <row r="851" spans="1:16" ht="19.5" customHeight="1">
      <c r="A851" s="172" t="s">
        <v>322</v>
      </c>
      <c r="B851" s="176">
        <v>46047</v>
      </c>
      <c r="C851" s="172" t="s">
        <v>100</v>
      </c>
      <c r="D851" s="172" t="s">
        <v>101</v>
      </c>
      <c r="E851" s="172" t="s">
        <v>52</v>
      </c>
      <c r="F851" s="172" t="s">
        <v>90</v>
      </c>
      <c r="G851" s="172" t="s">
        <v>84</v>
      </c>
      <c r="H851" s="177">
        <v>1</v>
      </c>
      <c r="I851" s="178">
        <v>1621</v>
      </c>
      <c r="J851" s="176">
        <v>46034</v>
      </c>
      <c r="K851" s="172" t="s">
        <v>93</v>
      </c>
      <c r="L851" s="172" t="s">
        <v>94</v>
      </c>
      <c r="M851" s="179">
        <v>0</v>
      </c>
      <c r="N851" s="177"/>
      <c r="O851" s="177"/>
      <c r="P851" s="180">
        <v>557.14</v>
      </c>
    </row>
    <row r="852" spans="1:16" ht="19.5" customHeight="1">
      <c r="A852" s="172" t="s">
        <v>322</v>
      </c>
      <c r="B852" s="176">
        <v>46047</v>
      </c>
      <c r="C852" s="172" t="s">
        <v>100</v>
      </c>
      <c r="D852" s="172" t="s">
        <v>102</v>
      </c>
      <c r="E852" s="172" t="s">
        <v>52</v>
      </c>
      <c r="F852" s="172" t="s">
        <v>90</v>
      </c>
      <c r="G852" s="172" t="s">
        <v>84</v>
      </c>
      <c r="H852" s="177">
        <v>1</v>
      </c>
      <c r="I852" s="178">
        <v>1621</v>
      </c>
      <c r="J852" s="176">
        <v>46034</v>
      </c>
      <c r="K852" s="172" t="s">
        <v>93</v>
      </c>
      <c r="L852" s="172" t="s">
        <v>94</v>
      </c>
      <c r="M852" s="179">
        <v>0</v>
      </c>
      <c r="N852" s="177"/>
      <c r="O852" s="177"/>
      <c r="P852" s="180">
        <v>5.57</v>
      </c>
    </row>
    <row r="853" spans="1:16" ht="19.5" customHeight="1">
      <c r="A853" s="172" t="s">
        <v>322</v>
      </c>
      <c r="B853" s="176">
        <v>46047</v>
      </c>
      <c r="C853" s="172" t="s">
        <v>100</v>
      </c>
      <c r="D853" s="172" t="s">
        <v>103</v>
      </c>
      <c r="E853" s="172" t="s">
        <v>52</v>
      </c>
      <c r="F853" s="172" t="s">
        <v>90</v>
      </c>
      <c r="G853" s="172" t="s">
        <v>84</v>
      </c>
      <c r="H853" s="177">
        <v>1</v>
      </c>
      <c r="I853" s="178">
        <v>1621</v>
      </c>
      <c r="J853" s="176">
        <v>46034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1058.29</v>
      </c>
    </row>
    <row r="854" spans="1:16" ht="19.5" customHeight="1">
      <c r="A854" s="172" t="s">
        <v>322</v>
      </c>
      <c r="B854" s="176">
        <v>46047</v>
      </c>
      <c r="C854" s="172" t="s">
        <v>104</v>
      </c>
      <c r="D854" s="172" t="s">
        <v>105</v>
      </c>
      <c r="E854" s="172" t="s">
        <v>52</v>
      </c>
      <c r="F854" s="172" t="s">
        <v>90</v>
      </c>
      <c r="G854" s="172" t="s">
        <v>84</v>
      </c>
      <c r="H854" s="177">
        <v>1</v>
      </c>
      <c r="I854" s="178">
        <v>1621</v>
      </c>
      <c r="J854" s="176">
        <v>46034</v>
      </c>
      <c r="K854" s="172" t="s">
        <v>93</v>
      </c>
      <c r="L854" s="172" t="s">
        <v>94</v>
      </c>
      <c r="M854" s="179">
        <v>0.43</v>
      </c>
      <c r="N854" s="177"/>
      <c r="O854" s="177"/>
      <c r="P854" s="180">
        <v>-697.03</v>
      </c>
    </row>
    <row r="855" spans="1:16" ht="19.5" customHeight="1">
      <c r="A855" s="172" t="s">
        <v>322</v>
      </c>
      <c r="B855" s="176">
        <v>46047</v>
      </c>
      <c r="C855" s="172" t="s">
        <v>81</v>
      </c>
      <c r="D855" s="172" t="s">
        <v>95</v>
      </c>
      <c r="E855" s="172" t="s">
        <v>52</v>
      </c>
      <c r="F855" s="172" t="s">
        <v>90</v>
      </c>
      <c r="G855" s="172" t="s">
        <v>84</v>
      </c>
      <c r="H855" s="177">
        <v>1</v>
      </c>
      <c r="I855" s="178">
        <v>1621</v>
      </c>
      <c r="J855" s="176">
        <v>46034</v>
      </c>
      <c r="K855" s="172" t="s">
        <v>93</v>
      </c>
      <c r="L855" s="172" t="s">
        <v>94</v>
      </c>
      <c r="M855" s="179">
        <v>0.43</v>
      </c>
      <c r="N855" s="177"/>
      <c r="O855" s="177"/>
      <c r="P855" s="180">
        <v>-7.98</v>
      </c>
    </row>
    <row r="856" spans="1:16" ht="19.5" customHeight="1">
      <c r="A856" s="172" t="s">
        <v>323</v>
      </c>
      <c r="B856" s="176">
        <v>46047</v>
      </c>
      <c r="C856" s="172" t="s">
        <v>81</v>
      </c>
      <c r="D856" s="172" t="s">
        <v>82</v>
      </c>
      <c r="E856" s="172" t="s">
        <v>43</v>
      </c>
      <c r="F856" s="172" t="s">
        <v>125</v>
      </c>
      <c r="G856" s="172" t="s">
        <v>84</v>
      </c>
      <c r="H856" s="177">
        <v>1</v>
      </c>
      <c r="I856" s="178">
        <v>0</v>
      </c>
      <c r="J856" s="176">
        <v>46047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-11.58</v>
      </c>
    </row>
    <row r="857" spans="1:16" ht="19.5" customHeight="1">
      <c r="A857" s="172" t="s">
        <v>324</v>
      </c>
      <c r="B857" s="176">
        <v>46047</v>
      </c>
      <c r="C857" s="172" t="s">
        <v>81</v>
      </c>
      <c r="D857" s="172" t="s">
        <v>82</v>
      </c>
      <c r="E857" s="172" t="s">
        <v>43</v>
      </c>
      <c r="F857" s="172" t="s">
        <v>125</v>
      </c>
      <c r="G857" s="172" t="s">
        <v>84</v>
      </c>
      <c r="H857" s="177">
        <v>1</v>
      </c>
      <c r="I857" s="178">
        <v>0</v>
      </c>
      <c r="J857" s="176">
        <v>46047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-2.87</v>
      </c>
    </row>
    <row r="858" spans="1:16" ht="19.5" customHeight="1">
      <c r="A858" s="172" t="s">
        <v>325</v>
      </c>
      <c r="B858" s="176">
        <v>46047</v>
      </c>
      <c r="C858" s="172" t="s">
        <v>81</v>
      </c>
      <c r="D858" s="172" t="s">
        <v>82</v>
      </c>
      <c r="E858" s="172" t="s">
        <v>39</v>
      </c>
      <c r="F858" s="172" t="s">
        <v>117</v>
      </c>
      <c r="G858" s="172" t="s">
        <v>84</v>
      </c>
      <c r="H858" s="177">
        <v>1</v>
      </c>
      <c r="I858" s="178">
        <v>0</v>
      </c>
      <c r="J858" s="176">
        <v>46047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-13.73</v>
      </c>
    </row>
    <row r="859" spans="1:16" ht="19.5" customHeight="1">
      <c r="A859" s="172" t="s">
        <v>326</v>
      </c>
      <c r="B859" s="176">
        <v>46047</v>
      </c>
      <c r="C859" s="172" t="s">
        <v>92</v>
      </c>
      <c r="D859" s="172" t="s">
        <v>24</v>
      </c>
      <c r="E859" s="172" t="s">
        <v>53</v>
      </c>
      <c r="F859" s="172" t="s">
        <v>120</v>
      </c>
      <c r="G859" s="172" t="s">
        <v>84</v>
      </c>
      <c r="H859" s="177">
        <v>1</v>
      </c>
      <c r="I859" s="178">
        <v>0</v>
      </c>
      <c r="J859" s="176">
        <v>46039</v>
      </c>
      <c r="K859" s="172" t="s">
        <v>93</v>
      </c>
      <c r="L859" s="172" t="s">
        <v>94</v>
      </c>
      <c r="M859" s="179">
        <v>0</v>
      </c>
      <c r="N859" s="177"/>
      <c r="O859" s="177">
        <v>47</v>
      </c>
      <c r="P859" s="180">
        <v>-161.26</v>
      </c>
    </row>
    <row r="860" spans="1:16" ht="19.5" customHeight="1">
      <c r="A860" s="172" t="s">
        <v>327</v>
      </c>
      <c r="B860" s="176">
        <v>46047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46047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-12.38</v>
      </c>
    </row>
    <row r="861" spans="1:16" ht="19.5" customHeight="1">
      <c r="A861" s="172" t="s">
        <v>328</v>
      </c>
      <c r="B861" s="176">
        <v>46047</v>
      </c>
      <c r="C861" s="172" t="s">
        <v>81</v>
      </c>
      <c r="D861" s="172" t="s">
        <v>82</v>
      </c>
      <c r="E861" s="172" t="s">
        <v>41</v>
      </c>
      <c r="F861" s="172" t="s">
        <v>83</v>
      </c>
      <c r="G861" s="172" t="s">
        <v>84</v>
      </c>
      <c r="H861" s="177">
        <v>1</v>
      </c>
      <c r="I861" s="178">
        <v>0</v>
      </c>
      <c r="J861" s="176">
        <v>46047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-13.75</v>
      </c>
    </row>
    <row r="862" spans="1:16" ht="19.5" customHeight="1">
      <c r="A862" s="172" t="s">
        <v>329</v>
      </c>
      <c r="B862" s="176">
        <v>46047</v>
      </c>
      <c r="C862" s="172" t="s">
        <v>81</v>
      </c>
      <c r="D862" s="172" t="s">
        <v>82</v>
      </c>
      <c r="E862" s="172" t="s">
        <v>52</v>
      </c>
      <c r="F862" s="172" t="s">
        <v>90</v>
      </c>
      <c r="G862" s="172" t="s">
        <v>84</v>
      </c>
      <c r="H862" s="177">
        <v>1</v>
      </c>
      <c r="I862" s="178">
        <v>0</v>
      </c>
      <c r="J862" s="176">
        <v>46047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-12.16</v>
      </c>
    </row>
    <row r="863" spans="1:16" ht="19.5" customHeight="1">
      <c r="A863" s="172" t="s">
        <v>330</v>
      </c>
      <c r="B863" s="176">
        <v>46047</v>
      </c>
      <c r="C863" s="172" t="s">
        <v>92</v>
      </c>
      <c r="D863" s="172" t="s">
        <v>24</v>
      </c>
      <c r="E863" s="172" t="s">
        <v>53</v>
      </c>
      <c r="F863" s="172" t="s">
        <v>120</v>
      </c>
      <c r="G863" s="172" t="s">
        <v>84</v>
      </c>
      <c r="H863" s="177">
        <v>1</v>
      </c>
      <c r="I863" s="178">
        <v>0</v>
      </c>
      <c r="J863" s="176">
        <v>46043</v>
      </c>
      <c r="K863" s="172" t="s">
        <v>93</v>
      </c>
      <c r="L863" s="172" t="s">
        <v>94</v>
      </c>
      <c r="M863" s="179">
        <v>0</v>
      </c>
      <c r="N863" s="177"/>
      <c r="O863" s="177">
        <v>43</v>
      </c>
      <c r="P863" s="180">
        <v>-56</v>
      </c>
    </row>
    <row r="864" spans="1:16" ht="19.5" customHeight="1">
      <c r="A864" s="172" t="s">
        <v>330</v>
      </c>
      <c r="B864" s="176">
        <v>46047</v>
      </c>
      <c r="C864" s="172" t="s">
        <v>81</v>
      </c>
      <c r="D864" s="172" t="s">
        <v>95</v>
      </c>
      <c r="E864" s="172" t="s">
        <v>53</v>
      </c>
      <c r="F864" s="172" t="s">
        <v>120</v>
      </c>
      <c r="G864" s="172" t="s">
        <v>84</v>
      </c>
      <c r="H864" s="177">
        <v>1</v>
      </c>
      <c r="I864" s="178">
        <v>0</v>
      </c>
      <c r="J864" s="176">
        <v>46043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-9.2100000000000009</v>
      </c>
    </row>
    <row r="865" spans="1:16" ht="19.5" customHeight="1">
      <c r="A865" s="172" t="s">
        <v>330</v>
      </c>
      <c r="B865" s="176">
        <v>46047</v>
      </c>
      <c r="C865" s="172" t="s">
        <v>92</v>
      </c>
      <c r="D865" s="172" t="s">
        <v>96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0</v>
      </c>
      <c r="J865" s="176">
        <v>46043</v>
      </c>
      <c r="K865" s="172" t="s">
        <v>93</v>
      </c>
      <c r="L865" s="172" t="s">
        <v>94</v>
      </c>
      <c r="M865" s="179">
        <v>0</v>
      </c>
      <c r="N865" s="177"/>
      <c r="O865" s="177"/>
      <c r="P865" s="180">
        <v>0</v>
      </c>
    </row>
    <row r="866" spans="1:16" ht="19.5" customHeight="1">
      <c r="A866" s="172" t="s">
        <v>330</v>
      </c>
      <c r="B866" s="176">
        <v>46047</v>
      </c>
      <c r="C866" s="172" t="s">
        <v>92</v>
      </c>
      <c r="D866" s="172" t="s">
        <v>97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0</v>
      </c>
      <c r="J866" s="176">
        <v>46043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-56</v>
      </c>
    </row>
    <row r="867" spans="1:16" ht="19.5" customHeight="1">
      <c r="A867" s="172" t="s">
        <v>330</v>
      </c>
      <c r="B867" s="176">
        <v>46047</v>
      </c>
      <c r="C867" s="172" t="s">
        <v>81</v>
      </c>
      <c r="D867" s="172" t="s">
        <v>98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46043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-15</v>
      </c>
    </row>
    <row r="868" spans="1:16" ht="19.5" customHeight="1">
      <c r="A868" s="172" t="s">
        <v>331</v>
      </c>
      <c r="B868" s="176">
        <v>46047</v>
      </c>
      <c r="C868" s="172" t="s">
        <v>92</v>
      </c>
      <c r="D868" s="172" t="s">
        <v>24</v>
      </c>
      <c r="E868" s="172" t="s">
        <v>41</v>
      </c>
      <c r="F868" s="172" t="s">
        <v>83</v>
      </c>
      <c r="G868" s="172" t="s">
        <v>84</v>
      </c>
      <c r="H868" s="177">
        <v>1</v>
      </c>
      <c r="I868" s="178">
        <v>1750</v>
      </c>
      <c r="J868" s="176">
        <v>46044</v>
      </c>
      <c r="K868" s="172" t="s">
        <v>93</v>
      </c>
      <c r="L868" s="172" t="s">
        <v>94</v>
      </c>
      <c r="M868" s="179">
        <v>0.43</v>
      </c>
      <c r="N868" s="177"/>
      <c r="O868" s="177">
        <v>42</v>
      </c>
      <c r="P868" s="180">
        <v>-122.1</v>
      </c>
    </row>
    <row r="869" spans="1:16" ht="19.5" customHeight="1">
      <c r="A869" s="172" t="s">
        <v>331</v>
      </c>
      <c r="B869" s="176">
        <v>46047</v>
      </c>
      <c r="C869" s="172" t="s">
        <v>100</v>
      </c>
      <c r="D869" s="172" t="s">
        <v>101</v>
      </c>
      <c r="E869" s="172" t="s">
        <v>41</v>
      </c>
      <c r="F869" s="172" t="s">
        <v>83</v>
      </c>
      <c r="G869" s="172" t="s">
        <v>84</v>
      </c>
      <c r="H869" s="177">
        <v>1</v>
      </c>
      <c r="I869" s="178">
        <v>1750</v>
      </c>
      <c r="J869" s="176">
        <v>46044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980.02</v>
      </c>
    </row>
    <row r="870" spans="1:16" ht="19.5" customHeight="1">
      <c r="A870" s="172" t="s">
        <v>331</v>
      </c>
      <c r="B870" s="176">
        <v>46047</v>
      </c>
      <c r="C870" s="172" t="s">
        <v>100</v>
      </c>
      <c r="D870" s="172" t="s">
        <v>102</v>
      </c>
      <c r="E870" s="172" t="s">
        <v>41</v>
      </c>
      <c r="F870" s="172" t="s">
        <v>83</v>
      </c>
      <c r="G870" s="172" t="s">
        <v>84</v>
      </c>
      <c r="H870" s="177">
        <v>1</v>
      </c>
      <c r="I870" s="178">
        <v>1750</v>
      </c>
      <c r="J870" s="176">
        <v>46044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9.8000000000000007</v>
      </c>
    </row>
    <row r="871" spans="1:16" ht="19.5" customHeight="1">
      <c r="A871" s="172" t="s">
        <v>331</v>
      </c>
      <c r="B871" s="176">
        <v>46047</v>
      </c>
      <c r="C871" s="172" t="s">
        <v>100</v>
      </c>
      <c r="D871" s="172" t="s">
        <v>103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1750</v>
      </c>
      <c r="J871" s="176">
        <v>46044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760.18</v>
      </c>
    </row>
    <row r="872" spans="1:16" ht="19.5" customHeight="1">
      <c r="A872" s="172" t="s">
        <v>331</v>
      </c>
      <c r="B872" s="176">
        <v>46047</v>
      </c>
      <c r="C872" s="172" t="s">
        <v>104</v>
      </c>
      <c r="D872" s="172" t="s">
        <v>105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1750</v>
      </c>
      <c r="J872" s="176">
        <v>46044</v>
      </c>
      <c r="K872" s="172" t="s">
        <v>93</v>
      </c>
      <c r="L872" s="172" t="s">
        <v>94</v>
      </c>
      <c r="M872" s="179">
        <v>0.43</v>
      </c>
      <c r="N872" s="177"/>
      <c r="O872" s="177"/>
      <c r="P872" s="180">
        <v>-752.5</v>
      </c>
    </row>
    <row r="873" spans="1:16" ht="19.5" customHeight="1">
      <c r="A873" s="172" t="s">
        <v>331</v>
      </c>
      <c r="B873" s="176">
        <v>46047</v>
      </c>
      <c r="C873" s="172" t="s">
        <v>81</v>
      </c>
      <c r="D873" s="172" t="s">
        <v>95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1750</v>
      </c>
      <c r="J873" s="176">
        <v>46044</v>
      </c>
      <c r="K873" s="172" t="s">
        <v>93</v>
      </c>
      <c r="L873" s="172" t="s">
        <v>94</v>
      </c>
      <c r="M873" s="179">
        <v>0.43</v>
      </c>
      <c r="N873" s="177"/>
      <c r="O873" s="177"/>
      <c r="P873" s="180">
        <v>-14.64</v>
      </c>
    </row>
    <row r="874" spans="1:16" ht="19.5" customHeight="1">
      <c r="A874" s="172" t="s">
        <v>332</v>
      </c>
      <c r="B874" s="176">
        <v>46047</v>
      </c>
      <c r="C874" s="172" t="s">
        <v>81</v>
      </c>
      <c r="D874" s="172" t="s">
        <v>82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46047</v>
      </c>
      <c r="K874" s="172" t="s">
        <v>85</v>
      </c>
      <c r="L874" s="172" t="s">
        <v>85</v>
      </c>
      <c r="M874" s="179">
        <v>0</v>
      </c>
      <c r="N874" s="177"/>
      <c r="O874" s="177"/>
      <c r="P874" s="180">
        <v>-4.6900000000000004</v>
      </c>
    </row>
    <row r="875" spans="1:16" ht="19.5" customHeight="1">
      <c r="A875" s="172" t="s">
        <v>333</v>
      </c>
      <c r="B875" s="176">
        <v>46047</v>
      </c>
      <c r="C875" s="172" t="s">
        <v>92</v>
      </c>
      <c r="D875" s="172" t="s">
        <v>24</v>
      </c>
      <c r="E875" s="172" t="s">
        <v>42</v>
      </c>
      <c r="F875" s="172" t="s">
        <v>89</v>
      </c>
      <c r="G875" s="172" t="s">
        <v>84</v>
      </c>
      <c r="H875" s="177">
        <v>1</v>
      </c>
      <c r="I875" s="178">
        <v>1750</v>
      </c>
      <c r="J875" s="176">
        <v>46043</v>
      </c>
      <c r="K875" s="172" t="s">
        <v>93</v>
      </c>
      <c r="L875" s="172" t="s">
        <v>94</v>
      </c>
      <c r="M875" s="179">
        <v>0.43</v>
      </c>
      <c r="N875" s="177"/>
      <c r="O875" s="177">
        <v>43</v>
      </c>
      <c r="P875" s="180">
        <v>-127.33</v>
      </c>
    </row>
    <row r="876" spans="1:16" ht="19.5" customHeight="1">
      <c r="A876" s="172" t="s">
        <v>333</v>
      </c>
      <c r="B876" s="176">
        <v>46047</v>
      </c>
      <c r="C876" s="172" t="s">
        <v>100</v>
      </c>
      <c r="D876" s="172" t="s">
        <v>101</v>
      </c>
      <c r="E876" s="172" t="s">
        <v>42</v>
      </c>
      <c r="F876" s="172" t="s">
        <v>89</v>
      </c>
      <c r="G876" s="172" t="s">
        <v>84</v>
      </c>
      <c r="H876" s="177">
        <v>1</v>
      </c>
      <c r="I876" s="178">
        <v>1750</v>
      </c>
      <c r="J876" s="176">
        <v>46043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609.52</v>
      </c>
    </row>
    <row r="877" spans="1:16" ht="19.5" customHeight="1">
      <c r="A877" s="172" t="s">
        <v>333</v>
      </c>
      <c r="B877" s="176">
        <v>46047</v>
      </c>
      <c r="C877" s="172" t="s">
        <v>100</v>
      </c>
      <c r="D877" s="172" t="s">
        <v>102</v>
      </c>
      <c r="E877" s="172" t="s">
        <v>42</v>
      </c>
      <c r="F877" s="172" t="s">
        <v>89</v>
      </c>
      <c r="G877" s="172" t="s">
        <v>84</v>
      </c>
      <c r="H877" s="177">
        <v>1</v>
      </c>
      <c r="I877" s="178">
        <v>1750</v>
      </c>
      <c r="J877" s="176">
        <v>46043</v>
      </c>
      <c r="K877" s="172" t="s">
        <v>93</v>
      </c>
      <c r="L877" s="172" t="s">
        <v>94</v>
      </c>
      <c r="M877" s="179">
        <v>0</v>
      </c>
      <c r="N877" s="177"/>
      <c r="O877" s="177"/>
      <c r="P877" s="180">
        <v>6.1</v>
      </c>
    </row>
    <row r="878" spans="1:16" ht="19.5" customHeight="1">
      <c r="A878" s="172" t="s">
        <v>333</v>
      </c>
      <c r="B878" s="176">
        <v>46047</v>
      </c>
      <c r="C878" s="172" t="s">
        <v>100</v>
      </c>
      <c r="D878" s="172" t="s">
        <v>103</v>
      </c>
      <c r="E878" s="172" t="s">
        <v>42</v>
      </c>
      <c r="F878" s="172" t="s">
        <v>89</v>
      </c>
      <c r="G878" s="172" t="s">
        <v>84</v>
      </c>
      <c r="H878" s="177">
        <v>1</v>
      </c>
      <c r="I878" s="178">
        <v>1750</v>
      </c>
      <c r="J878" s="176">
        <v>46043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1134.3800000000001</v>
      </c>
    </row>
    <row r="879" spans="1:16" ht="19.5" customHeight="1">
      <c r="A879" s="172" t="s">
        <v>333</v>
      </c>
      <c r="B879" s="176">
        <v>46047</v>
      </c>
      <c r="C879" s="172" t="s">
        <v>104</v>
      </c>
      <c r="D879" s="172" t="s">
        <v>105</v>
      </c>
      <c r="E879" s="172" t="s">
        <v>42</v>
      </c>
      <c r="F879" s="172" t="s">
        <v>89</v>
      </c>
      <c r="G879" s="172" t="s">
        <v>84</v>
      </c>
      <c r="H879" s="177">
        <v>1</v>
      </c>
      <c r="I879" s="178">
        <v>1750</v>
      </c>
      <c r="J879" s="176">
        <v>46043</v>
      </c>
      <c r="K879" s="172" t="s">
        <v>93</v>
      </c>
      <c r="L879" s="172" t="s">
        <v>94</v>
      </c>
      <c r="M879" s="179">
        <v>0.43</v>
      </c>
      <c r="N879" s="177"/>
      <c r="O879" s="177"/>
      <c r="P879" s="180">
        <v>-752.5</v>
      </c>
    </row>
    <row r="880" spans="1:16" ht="19.5" customHeight="1">
      <c r="A880" s="172" t="s">
        <v>333</v>
      </c>
      <c r="B880" s="176">
        <v>46047</v>
      </c>
      <c r="C880" s="172" t="s">
        <v>81</v>
      </c>
      <c r="D880" s="172" t="s">
        <v>95</v>
      </c>
      <c r="E880" s="172" t="s">
        <v>42</v>
      </c>
      <c r="F880" s="172" t="s">
        <v>89</v>
      </c>
      <c r="G880" s="172" t="s">
        <v>84</v>
      </c>
      <c r="H880" s="177">
        <v>1</v>
      </c>
      <c r="I880" s="178">
        <v>1750</v>
      </c>
      <c r="J880" s="176">
        <v>46043</v>
      </c>
      <c r="K880" s="172" t="s">
        <v>93</v>
      </c>
      <c r="L880" s="172" t="s">
        <v>94</v>
      </c>
      <c r="M880" s="179">
        <v>0.43</v>
      </c>
      <c r="N880" s="177"/>
      <c r="O880" s="177"/>
      <c r="P880" s="180">
        <v>-9.7100000000000009</v>
      </c>
    </row>
    <row r="881" spans="1:16" ht="19.5" customHeight="1">
      <c r="A881" s="172" t="s">
        <v>333</v>
      </c>
      <c r="B881" s="176">
        <v>46047</v>
      </c>
      <c r="C881" s="172" t="s">
        <v>81</v>
      </c>
      <c r="D881" s="172" t="s">
        <v>82</v>
      </c>
      <c r="E881" s="172" t="s">
        <v>42</v>
      </c>
      <c r="F881" s="172" t="s">
        <v>89</v>
      </c>
      <c r="G881" s="172" t="s">
        <v>84</v>
      </c>
      <c r="H881" s="177">
        <v>1</v>
      </c>
      <c r="I881" s="178">
        <v>0</v>
      </c>
      <c r="J881" s="176">
        <v>46043</v>
      </c>
      <c r="K881" s="172" t="s">
        <v>85</v>
      </c>
      <c r="L881" s="172" t="s">
        <v>85</v>
      </c>
      <c r="M881" s="179">
        <v>0</v>
      </c>
      <c r="N881" s="177"/>
      <c r="O881" s="177"/>
      <c r="P881" s="180">
        <v>-11.58</v>
      </c>
    </row>
    <row r="882" spans="1:16" ht="19.5" customHeight="1">
      <c r="A882" s="172" t="s">
        <v>334</v>
      </c>
      <c r="B882" s="176">
        <v>46047</v>
      </c>
      <c r="C882" s="172" t="s">
        <v>92</v>
      </c>
      <c r="D882" s="172" t="s">
        <v>24</v>
      </c>
      <c r="E882" s="172" t="s">
        <v>53</v>
      </c>
      <c r="F882" s="172" t="s">
        <v>120</v>
      </c>
      <c r="G882" s="172" t="s">
        <v>84</v>
      </c>
      <c r="H882" s="177">
        <v>1</v>
      </c>
      <c r="I882" s="178">
        <v>1812</v>
      </c>
      <c r="J882" s="176">
        <v>46046</v>
      </c>
      <c r="K882" s="172" t="s">
        <v>93</v>
      </c>
      <c r="L882" s="172" t="s">
        <v>94</v>
      </c>
      <c r="M882" s="179">
        <v>0.43</v>
      </c>
      <c r="N882" s="177"/>
      <c r="O882" s="177">
        <v>40</v>
      </c>
      <c r="P882" s="180">
        <v>-130.77000000000001</v>
      </c>
    </row>
    <row r="883" spans="1:16" ht="19.5" customHeight="1">
      <c r="A883" s="172" t="s">
        <v>334</v>
      </c>
      <c r="B883" s="176">
        <v>46047</v>
      </c>
      <c r="C883" s="172" t="s">
        <v>100</v>
      </c>
      <c r="D883" s="172" t="s">
        <v>101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1812</v>
      </c>
      <c r="J883" s="176">
        <v>46046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690.34</v>
      </c>
    </row>
    <row r="884" spans="1:16" ht="19.5" customHeight="1">
      <c r="A884" s="172" t="s">
        <v>334</v>
      </c>
      <c r="B884" s="176">
        <v>46047</v>
      </c>
      <c r="C884" s="172" t="s">
        <v>100</v>
      </c>
      <c r="D884" s="172" t="s">
        <v>102</v>
      </c>
      <c r="E884" s="172" t="s">
        <v>53</v>
      </c>
      <c r="F884" s="172" t="s">
        <v>120</v>
      </c>
      <c r="G884" s="172" t="s">
        <v>84</v>
      </c>
      <c r="H884" s="177">
        <v>1</v>
      </c>
      <c r="I884" s="178">
        <v>1812</v>
      </c>
      <c r="J884" s="176">
        <v>46046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6.9</v>
      </c>
    </row>
    <row r="885" spans="1:16" ht="19.5" customHeight="1">
      <c r="A885" s="172" t="s">
        <v>334</v>
      </c>
      <c r="B885" s="176">
        <v>46047</v>
      </c>
      <c r="C885" s="172" t="s">
        <v>100</v>
      </c>
      <c r="D885" s="172" t="s">
        <v>103</v>
      </c>
      <c r="E885" s="172" t="s">
        <v>53</v>
      </c>
      <c r="F885" s="172" t="s">
        <v>120</v>
      </c>
      <c r="G885" s="172" t="s">
        <v>84</v>
      </c>
      <c r="H885" s="177">
        <v>1</v>
      </c>
      <c r="I885" s="178">
        <v>1812</v>
      </c>
      <c r="J885" s="176">
        <v>46046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1114.76</v>
      </c>
    </row>
    <row r="886" spans="1:16" ht="19.5" customHeight="1">
      <c r="A886" s="172" t="s">
        <v>334</v>
      </c>
      <c r="B886" s="176">
        <v>46047</v>
      </c>
      <c r="C886" s="172" t="s">
        <v>104</v>
      </c>
      <c r="D886" s="172" t="s">
        <v>105</v>
      </c>
      <c r="E886" s="172" t="s">
        <v>53</v>
      </c>
      <c r="F886" s="172" t="s">
        <v>120</v>
      </c>
      <c r="G886" s="172" t="s">
        <v>84</v>
      </c>
      <c r="H886" s="177">
        <v>1</v>
      </c>
      <c r="I886" s="178">
        <v>1812</v>
      </c>
      <c r="J886" s="176">
        <v>46046</v>
      </c>
      <c r="K886" s="172" t="s">
        <v>93</v>
      </c>
      <c r="L886" s="172" t="s">
        <v>94</v>
      </c>
      <c r="M886" s="179">
        <v>0.43</v>
      </c>
      <c r="N886" s="177"/>
      <c r="O886" s="177"/>
      <c r="P886" s="180">
        <v>-779.16</v>
      </c>
    </row>
    <row r="887" spans="1:16" ht="19.5" customHeight="1">
      <c r="A887" s="172" t="s">
        <v>334</v>
      </c>
      <c r="B887" s="176">
        <v>46047</v>
      </c>
      <c r="C887" s="172" t="s">
        <v>81</v>
      </c>
      <c r="D887" s="172" t="s">
        <v>95</v>
      </c>
      <c r="E887" s="172" t="s">
        <v>53</v>
      </c>
      <c r="F887" s="172" t="s">
        <v>120</v>
      </c>
      <c r="G887" s="172" t="s">
        <v>84</v>
      </c>
      <c r="H887" s="177">
        <v>1</v>
      </c>
      <c r="I887" s="178">
        <v>1812</v>
      </c>
      <c r="J887" s="176">
        <v>46046</v>
      </c>
      <c r="K887" s="172" t="s">
        <v>93</v>
      </c>
      <c r="L887" s="172" t="s">
        <v>94</v>
      </c>
      <c r="M887" s="179">
        <v>0.43</v>
      </c>
      <c r="N887" s="177"/>
      <c r="O887" s="177"/>
      <c r="P887" s="180">
        <v>-11.41</v>
      </c>
    </row>
    <row r="888" spans="1:16" ht="19.5" customHeight="1">
      <c r="A888" s="172" t="s">
        <v>335</v>
      </c>
      <c r="B888" s="176">
        <v>46047</v>
      </c>
      <c r="C888" s="172" t="s">
        <v>92</v>
      </c>
      <c r="D888" s="172" t="s">
        <v>24</v>
      </c>
      <c r="E888" s="172" t="s">
        <v>42</v>
      </c>
      <c r="F888" s="172" t="s">
        <v>89</v>
      </c>
      <c r="G888" s="172" t="s">
        <v>84</v>
      </c>
      <c r="H888" s="177">
        <v>1</v>
      </c>
      <c r="I888" s="178">
        <v>1750</v>
      </c>
      <c r="J888" s="176">
        <v>46043</v>
      </c>
      <c r="K888" s="172" t="s">
        <v>93</v>
      </c>
      <c r="L888" s="172" t="s">
        <v>94</v>
      </c>
      <c r="M888" s="179">
        <v>0.43</v>
      </c>
      <c r="N888" s="177"/>
      <c r="O888" s="177">
        <v>43</v>
      </c>
      <c r="P888" s="180">
        <v>-127.33</v>
      </c>
    </row>
    <row r="889" spans="1:16" ht="19.5" customHeight="1">
      <c r="A889" s="172" t="s">
        <v>335</v>
      </c>
      <c r="B889" s="176">
        <v>46047</v>
      </c>
      <c r="C889" s="172" t="s">
        <v>100</v>
      </c>
      <c r="D889" s="172" t="s">
        <v>101</v>
      </c>
      <c r="E889" s="172" t="s">
        <v>42</v>
      </c>
      <c r="F889" s="172" t="s">
        <v>89</v>
      </c>
      <c r="G889" s="172" t="s">
        <v>84</v>
      </c>
      <c r="H889" s="177">
        <v>1</v>
      </c>
      <c r="I889" s="178">
        <v>1750</v>
      </c>
      <c r="J889" s="176">
        <v>46043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608.37</v>
      </c>
    </row>
    <row r="890" spans="1:16" ht="19.5" customHeight="1">
      <c r="A890" s="172" t="s">
        <v>335</v>
      </c>
      <c r="B890" s="176">
        <v>46047</v>
      </c>
      <c r="C890" s="172" t="s">
        <v>100</v>
      </c>
      <c r="D890" s="172" t="s">
        <v>102</v>
      </c>
      <c r="E890" s="172" t="s">
        <v>42</v>
      </c>
      <c r="F890" s="172" t="s">
        <v>89</v>
      </c>
      <c r="G890" s="172" t="s">
        <v>84</v>
      </c>
      <c r="H890" s="177">
        <v>1</v>
      </c>
      <c r="I890" s="178">
        <v>1750</v>
      </c>
      <c r="J890" s="176">
        <v>46043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6.08</v>
      </c>
    </row>
    <row r="891" spans="1:16" ht="19.5" customHeight="1">
      <c r="A891" s="172" t="s">
        <v>335</v>
      </c>
      <c r="B891" s="176">
        <v>46047</v>
      </c>
      <c r="C891" s="172" t="s">
        <v>100</v>
      </c>
      <c r="D891" s="172" t="s">
        <v>103</v>
      </c>
      <c r="E891" s="172" t="s">
        <v>42</v>
      </c>
      <c r="F891" s="172" t="s">
        <v>89</v>
      </c>
      <c r="G891" s="172" t="s">
        <v>84</v>
      </c>
      <c r="H891" s="177">
        <v>1</v>
      </c>
      <c r="I891" s="178">
        <v>1750</v>
      </c>
      <c r="J891" s="176">
        <v>46043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1135.55</v>
      </c>
    </row>
    <row r="892" spans="1:16" ht="19.5" customHeight="1">
      <c r="A892" s="172" t="s">
        <v>335</v>
      </c>
      <c r="B892" s="176">
        <v>46047</v>
      </c>
      <c r="C892" s="172" t="s">
        <v>104</v>
      </c>
      <c r="D892" s="172" t="s">
        <v>105</v>
      </c>
      <c r="E892" s="172" t="s">
        <v>42</v>
      </c>
      <c r="F892" s="172" t="s">
        <v>89</v>
      </c>
      <c r="G892" s="172" t="s">
        <v>84</v>
      </c>
      <c r="H892" s="177">
        <v>1</v>
      </c>
      <c r="I892" s="178">
        <v>1750</v>
      </c>
      <c r="J892" s="176">
        <v>46043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-752.5</v>
      </c>
    </row>
    <row r="893" spans="1:16" ht="19.5" customHeight="1">
      <c r="A893" s="172" t="s">
        <v>335</v>
      </c>
      <c r="B893" s="176">
        <v>46047</v>
      </c>
      <c r="C893" s="172" t="s">
        <v>81</v>
      </c>
      <c r="D893" s="172" t="s">
        <v>95</v>
      </c>
      <c r="E893" s="172" t="s">
        <v>42</v>
      </c>
      <c r="F893" s="172" t="s">
        <v>89</v>
      </c>
      <c r="G893" s="172" t="s">
        <v>84</v>
      </c>
      <c r="H893" s="177">
        <v>1</v>
      </c>
      <c r="I893" s="178">
        <v>1750</v>
      </c>
      <c r="J893" s="176">
        <v>46043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-9.02</v>
      </c>
    </row>
    <row r="894" spans="1:16" ht="19.5" customHeight="1">
      <c r="A894" s="172" t="s">
        <v>336</v>
      </c>
      <c r="B894" s="176">
        <v>46047</v>
      </c>
      <c r="C894" s="172" t="s">
        <v>81</v>
      </c>
      <c r="D894" s="172" t="s">
        <v>82</v>
      </c>
      <c r="E894" s="172" t="s">
        <v>52</v>
      </c>
      <c r="F894" s="172" t="s">
        <v>90</v>
      </c>
      <c r="G894" s="172" t="s">
        <v>84</v>
      </c>
      <c r="H894" s="177">
        <v>1</v>
      </c>
      <c r="I894" s="178">
        <v>0</v>
      </c>
      <c r="J894" s="176">
        <v>46047</v>
      </c>
      <c r="K894" s="172" t="s">
        <v>85</v>
      </c>
      <c r="L894" s="172" t="s">
        <v>85</v>
      </c>
      <c r="M894" s="179">
        <v>0</v>
      </c>
      <c r="N894" s="177"/>
      <c r="O894" s="177"/>
      <c r="P894" s="180">
        <v>-11.92</v>
      </c>
    </row>
    <row r="895" spans="1:16" ht="19.5" customHeight="1">
      <c r="A895" s="172" t="s">
        <v>141</v>
      </c>
      <c r="B895" s="176">
        <v>46047</v>
      </c>
      <c r="C895" s="172" t="s">
        <v>109</v>
      </c>
      <c r="D895" s="172" t="s">
        <v>139</v>
      </c>
      <c r="E895" s="172" t="s">
        <v>85</v>
      </c>
      <c r="F895" s="172" t="s">
        <v>85</v>
      </c>
      <c r="G895" s="172" t="s">
        <v>85</v>
      </c>
      <c r="H895" s="177">
        <v>0</v>
      </c>
      <c r="I895" s="178">
        <v>0</v>
      </c>
      <c r="J895" s="176">
        <v>46047</v>
      </c>
      <c r="K895" s="172" t="s">
        <v>85</v>
      </c>
      <c r="L895" s="172" t="s">
        <v>85</v>
      </c>
      <c r="M895" s="179">
        <v>0</v>
      </c>
      <c r="N895" s="177"/>
      <c r="O895" s="177"/>
      <c r="P895" s="180">
        <v>-724.92</v>
      </c>
    </row>
    <row r="896" spans="1:16" ht="19.5" customHeight="1">
      <c r="A896" s="172" t="s">
        <v>145</v>
      </c>
      <c r="B896" s="176">
        <v>46047</v>
      </c>
      <c r="C896" s="172" t="s">
        <v>109</v>
      </c>
      <c r="D896" s="172" t="s">
        <v>139</v>
      </c>
      <c r="E896" s="172" t="s">
        <v>85</v>
      </c>
      <c r="F896" s="172" t="s">
        <v>85</v>
      </c>
      <c r="G896" s="172" t="s">
        <v>85</v>
      </c>
      <c r="H896" s="177">
        <v>0</v>
      </c>
      <c r="I896" s="178">
        <v>0</v>
      </c>
      <c r="J896" s="176">
        <v>46047</v>
      </c>
      <c r="K896" s="172" t="s">
        <v>85</v>
      </c>
      <c r="L896" s="172" t="s">
        <v>85</v>
      </c>
      <c r="M896" s="179">
        <v>0</v>
      </c>
      <c r="N896" s="177"/>
      <c r="O896" s="177"/>
      <c r="P896" s="180">
        <v>-687.68</v>
      </c>
    </row>
    <row r="897" spans="1:16" ht="19.5" customHeight="1">
      <c r="A897" s="172" t="s">
        <v>138</v>
      </c>
      <c r="B897" s="176">
        <v>46047</v>
      </c>
      <c r="C897" s="172" t="s">
        <v>109</v>
      </c>
      <c r="D897" s="172" t="s">
        <v>139</v>
      </c>
      <c r="E897" s="172" t="s">
        <v>85</v>
      </c>
      <c r="F897" s="172" t="s">
        <v>85</v>
      </c>
      <c r="G897" s="172" t="s">
        <v>85</v>
      </c>
      <c r="H897" s="177">
        <v>0</v>
      </c>
      <c r="I897" s="178">
        <v>0</v>
      </c>
      <c r="J897" s="176">
        <v>46047</v>
      </c>
      <c r="K897" s="172" t="s">
        <v>85</v>
      </c>
      <c r="L897" s="172" t="s">
        <v>85</v>
      </c>
      <c r="M897" s="179">
        <v>0</v>
      </c>
      <c r="N897" s="177"/>
      <c r="O897" s="177"/>
      <c r="P897" s="180">
        <v>-1745.13</v>
      </c>
    </row>
    <row r="898" spans="1:16" ht="19.5" customHeight="1">
      <c r="A898" s="172" t="s">
        <v>144</v>
      </c>
      <c r="B898" s="176">
        <v>46047</v>
      </c>
      <c r="C898" s="172" t="s">
        <v>109</v>
      </c>
      <c r="D898" s="172" t="s">
        <v>139</v>
      </c>
      <c r="E898" s="172" t="s">
        <v>85</v>
      </c>
      <c r="F898" s="172" t="s">
        <v>85</v>
      </c>
      <c r="G898" s="172" t="s">
        <v>85</v>
      </c>
      <c r="H898" s="177">
        <v>0</v>
      </c>
      <c r="I898" s="178">
        <v>0</v>
      </c>
      <c r="J898" s="176">
        <v>46047</v>
      </c>
      <c r="K898" s="172" t="s">
        <v>85</v>
      </c>
      <c r="L898" s="172" t="s">
        <v>85</v>
      </c>
      <c r="M898" s="179">
        <v>0</v>
      </c>
      <c r="N898" s="177"/>
      <c r="O898" s="177"/>
      <c r="P898" s="180">
        <v>-1522.74</v>
      </c>
    </row>
    <row r="899" spans="1:16" ht="19.5" customHeight="1">
      <c r="A899" s="172" t="s">
        <v>142</v>
      </c>
      <c r="B899" s="176">
        <v>46047</v>
      </c>
      <c r="C899" s="172" t="s">
        <v>109</v>
      </c>
      <c r="D899" s="172" t="s">
        <v>143</v>
      </c>
      <c r="E899" s="172" t="s">
        <v>85</v>
      </c>
      <c r="F899" s="172" t="s">
        <v>85</v>
      </c>
      <c r="G899" s="172" t="s">
        <v>85</v>
      </c>
      <c r="H899" s="177">
        <v>0</v>
      </c>
      <c r="I899" s="178">
        <v>0</v>
      </c>
      <c r="J899" s="176">
        <v>46047</v>
      </c>
      <c r="K899" s="172" t="s">
        <v>85</v>
      </c>
      <c r="L899" s="172" t="s">
        <v>85</v>
      </c>
      <c r="M899" s="179">
        <v>0</v>
      </c>
      <c r="N899" s="177"/>
      <c r="O899" s="177"/>
      <c r="P899" s="180">
        <v>-3987.2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50F4D9-F808-480F-8A2C-35D606F683DF}">
  <dimension ref="A1:P1221"/>
  <sheetViews>
    <sheetView workbookViewId="0">
      <selection activeCell="D6" sqref="D6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370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371</v>
      </c>
      <c r="B3" s="176">
        <v>46034</v>
      </c>
      <c r="C3" s="172" t="s">
        <v>92</v>
      </c>
      <c r="D3" s="172" t="s">
        <v>24</v>
      </c>
      <c r="E3" s="172" t="s">
        <v>41</v>
      </c>
      <c r="F3" s="172" t="s">
        <v>83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93</v>
      </c>
      <c r="L3" s="172" t="s">
        <v>94</v>
      </c>
      <c r="M3" s="179">
        <v>0</v>
      </c>
      <c r="N3" s="177"/>
      <c r="O3" s="177">
        <v>45</v>
      </c>
      <c r="P3" s="180">
        <v>-46.77</v>
      </c>
    </row>
    <row r="4" spans="1:16" ht="19.5" customHeight="1">
      <c r="A4" s="172" t="s">
        <v>371</v>
      </c>
      <c r="B4" s="176">
        <v>46034</v>
      </c>
      <c r="C4" s="172" t="s">
        <v>81</v>
      </c>
      <c r="D4" s="172" t="s">
        <v>95</v>
      </c>
      <c r="E4" s="172" t="s">
        <v>41</v>
      </c>
      <c r="F4" s="172" t="s">
        <v>83</v>
      </c>
      <c r="G4" s="172" t="s">
        <v>84</v>
      </c>
      <c r="H4" s="177">
        <v>1</v>
      </c>
      <c r="I4" s="178">
        <v>0</v>
      </c>
      <c r="J4" s="176">
        <v>46027</v>
      </c>
      <c r="K4" s="172" t="s">
        <v>93</v>
      </c>
      <c r="L4" s="172" t="s">
        <v>94</v>
      </c>
      <c r="M4" s="179">
        <v>0</v>
      </c>
      <c r="N4" s="177"/>
      <c r="O4" s="177"/>
      <c r="P4" s="180">
        <v>-6.26</v>
      </c>
    </row>
    <row r="5" spans="1:16" ht="19.5" customHeight="1">
      <c r="A5" s="172" t="s">
        <v>371</v>
      </c>
      <c r="B5" s="176">
        <v>46034</v>
      </c>
      <c r="C5" s="172" t="s">
        <v>92</v>
      </c>
      <c r="D5" s="172" t="s">
        <v>96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46027</v>
      </c>
      <c r="K5" s="172" t="s">
        <v>93</v>
      </c>
      <c r="L5" s="172" t="s">
        <v>94</v>
      </c>
      <c r="M5" s="179">
        <v>0</v>
      </c>
      <c r="N5" s="177"/>
      <c r="O5" s="177"/>
      <c r="P5" s="180">
        <v>0</v>
      </c>
    </row>
    <row r="6" spans="1:16" ht="19.5" customHeight="1">
      <c r="A6" s="172" t="s">
        <v>371</v>
      </c>
      <c r="B6" s="176">
        <v>46034</v>
      </c>
      <c r="C6" s="172" t="s">
        <v>92</v>
      </c>
      <c r="D6" s="172" t="s">
        <v>97</v>
      </c>
      <c r="E6" s="172" t="s">
        <v>41</v>
      </c>
      <c r="F6" s="172" t="s">
        <v>83</v>
      </c>
      <c r="G6" s="172" t="s">
        <v>84</v>
      </c>
      <c r="H6" s="177">
        <v>1</v>
      </c>
      <c r="I6" s="178">
        <v>0</v>
      </c>
      <c r="J6" s="176">
        <v>46027</v>
      </c>
      <c r="K6" s="172" t="s">
        <v>93</v>
      </c>
      <c r="L6" s="172" t="s">
        <v>94</v>
      </c>
      <c r="M6" s="179">
        <v>0</v>
      </c>
      <c r="N6" s="177"/>
      <c r="O6" s="177"/>
      <c r="P6" s="180">
        <v>-46.77</v>
      </c>
    </row>
    <row r="7" spans="1:16" ht="19.5" customHeight="1">
      <c r="A7" s="172" t="s">
        <v>371</v>
      </c>
      <c r="B7" s="176">
        <v>46034</v>
      </c>
      <c r="C7" s="172" t="s">
        <v>81</v>
      </c>
      <c r="D7" s="172" t="s">
        <v>98</v>
      </c>
      <c r="E7" s="172" t="s">
        <v>41</v>
      </c>
      <c r="F7" s="172" t="s">
        <v>83</v>
      </c>
      <c r="G7" s="172" t="s">
        <v>84</v>
      </c>
      <c r="H7" s="177">
        <v>1</v>
      </c>
      <c r="I7" s="178">
        <v>0</v>
      </c>
      <c r="J7" s="176">
        <v>46027</v>
      </c>
      <c r="K7" s="172" t="s">
        <v>93</v>
      </c>
      <c r="L7" s="172" t="s">
        <v>94</v>
      </c>
      <c r="M7" s="179">
        <v>0</v>
      </c>
      <c r="N7" s="177"/>
      <c r="O7" s="177"/>
      <c r="P7" s="180">
        <v>-15</v>
      </c>
    </row>
    <row r="8" spans="1:16" ht="19.5" customHeight="1">
      <c r="A8" s="172" t="s">
        <v>372</v>
      </c>
      <c r="B8" s="176">
        <v>46034</v>
      </c>
      <c r="C8" s="172" t="s">
        <v>92</v>
      </c>
      <c r="D8" s="172" t="s">
        <v>24</v>
      </c>
      <c r="E8" s="172" t="s">
        <v>43</v>
      </c>
      <c r="F8" s="172" t="s">
        <v>125</v>
      </c>
      <c r="G8" s="172" t="s">
        <v>84</v>
      </c>
      <c r="H8" s="177">
        <v>1</v>
      </c>
      <c r="I8" s="178">
        <v>0</v>
      </c>
      <c r="J8" s="176">
        <v>46023</v>
      </c>
      <c r="K8" s="172" t="s">
        <v>93</v>
      </c>
      <c r="L8" s="172" t="s">
        <v>94</v>
      </c>
      <c r="M8" s="179">
        <v>0</v>
      </c>
      <c r="N8" s="177"/>
      <c r="O8" s="177">
        <v>43</v>
      </c>
      <c r="P8" s="180">
        <v>-46.77</v>
      </c>
    </row>
    <row r="9" spans="1:16" ht="19.5" customHeight="1">
      <c r="A9" s="172" t="s">
        <v>372</v>
      </c>
      <c r="B9" s="176">
        <v>46034</v>
      </c>
      <c r="C9" s="172" t="s">
        <v>81</v>
      </c>
      <c r="D9" s="172" t="s">
        <v>95</v>
      </c>
      <c r="E9" s="172" t="s">
        <v>43</v>
      </c>
      <c r="F9" s="172" t="s">
        <v>125</v>
      </c>
      <c r="G9" s="172" t="s">
        <v>84</v>
      </c>
      <c r="H9" s="177">
        <v>1</v>
      </c>
      <c r="I9" s="178">
        <v>0</v>
      </c>
      <c r="J9" s="176">
        <v>46023</v>
      </c>
      <c r="K9" s="172" t="s">
        <v>93</v>
      </c>
      <c r="L9" s="172" t="s">
        <v>94</v>
      </c>
      <c r="M9" s="179">
        <v>0</v>
      </c>
      <c r="N9" s="177"/>
      <c r="O9" s="177"/>
      <c r="P9" s="180">
        <v>-5.27</v>
      </c>
    </row>
    <row r="10" spans="1:16" ht="19.5" customHeight="1">
      <c r="A10" s="172" t="s">
        <v>373</v>
      </c>
      <c r="B10" s="176">
        <v>46034</v>
      </c>
      <c r="C10" s="172" t="s">
        <v>92</v>
      </c>
      <c r="D10" s="172" t="s">
        <v>24</v>
      </c>
      <c r="E10" s="172" t="s">
        <v>53</v>
      </c>
      <c r="F10" s="172" t="s">
        <v>120</v>
      </c>
      <c r="G10" s="172" t="s">
        <v>84</v>
      </c>
      <c r="H10" s="177">
        <v>1</v>
      </c>
      <c r="I10" s="178">
        <v>0</v>
      </c>
      <c r="J10" s="176">
        <v>46028</v>
      </c>
      <c r="K10" s="172" t="s">
        <v>93</v>
      </c>
      <c r="L10" s="172" t="s">
        <v>94</v>
      </c>
      <c r="M10" s="179">
        <v>0</v>
      </c>
      <c r="N10" s="177"/>
      <c r="O10" s="177">
        <v>44</v>
      </c>
      <c r="P10" s="180">
        <v>-56.94</v>
      </c>
    </row>
    <row r="11" spans="1:16" ht="19.5" customHeight="1">
      <c r="A11" s="172" t="s">
        <v>373</v>
      </c>
      <c r="B11" s="176">
        <v>46034</v>
      </c>
      <c r="C11" s="172" t="s">
        <v>81</v>
      </c>
      <c r="D11" s="172" t="s">
        <v>95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46028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-10.77</v>
      </c>
    </row>
    <row r="12" spans="1:16" ht="19.5" customHeight="1">
      <c r="A12" s="172" t="s">
        <v>372</v>
      </c>
      <c r="B12" s="176">
        <v>46034</v>
      </c>
      <c r="C12" s="172" t="s">
        <v>92</v>
      </c>
      <c r="D12" s="172" t="s">
        <v>96</v>
      </c>
      <c r="E12" s="172" t="s">
        <v>43</v>
      </c>
      <c r="F12" s="172" t="s">
        <v>125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0</v>
      </c>
    </row>
    <row r="13" spans="1:16" ht="19.5" customHeight="1">
      <c r="A13" s="172" t="s">
        <v>372</v>
      </c>
      <c r="B13" s="176">
        <v>46034</v>
      </c>
      <c r="C13" s="172" t="s">
        <v>92</v>
      </c>
      <c r="D13" s="172" t="s">
        <v>97</v>
      </c>
      <c r="E13" s="172" t="s">
        <v>43</v>
      </c>
      <c r="F13" s="172" t="s">
        <v>125</v>
      </c>
      <c r="G13" s="172" t="s">
        <v>84</v>
      </c>
      <c r="H13" s="177">
        <v>1</v>
      </c>
      <c r="I13" s="178">
        <v>0</v>
      </c>
      <c r="J13" s="176">
        <v>46023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-46.77</v>
      </c>
    </row>
    <row r="14" spans="1:16" ht="19.5" customHeight="1">
      <c r="A14" s="172" t="s">
        <v>372</v>
      </c>
      <c r="B14" s="176">
        <v>46034</v>
      </c>
      <c r="C14" s="172" t="s">
        <v>81</v>
      </c>
      <c r="D14" s="172" t="s">
        <v>98</v>
      </c>
      <c r="E14" s="172" t="s">
        <v>43</v>
      </c>
      <c r="F14" s="172" t="s">
        <v>125</v>
      </c>
      <c r="G14" s="172" t="s">
        <v>84</v>
      </c>
      <c r="H14" s="177">
        <v>1</v>
      </c>
      <c r="I14" s="178">
        <v>0</v>
      </c>
      <c r="J14" s="176">
        <v>46023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-15</v>
      </c>
    </row>
    <row r="15" spans="1:16" ht="19.5" customHeight="1">
      <c r="A15" s="172" t="s">
        <v>373</v>
      </c>
      <c r="B15" s="176">
        <v>46034</v>
      </c>
      <c r="C15" s="172" t="s">
        <v>92</v>
      </c>
      <c r="D15" s="172" t="s">
        <v>96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0</v>
      </c>
      <c r="J15" s="176">
        <v>46028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0</v>
      </c>
    </row>
    <row r="16" spans="1:16" ht="19.5" customHeight="1">
      <c r="A16" s="172" t="s">
        <v>373</v>
      </c>
      <c r="B16" s="176">
        <v>46034</v>
      </c>
      <c r="C16" s="172" t="s">
        <v>92</v>
      </c>
      <c r="D16" s="172" t="s">
        <v>97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0</v>
      </c>
      <c r="J16" s="176">
        <v>46028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-56.94</v>
      </c>
    </row>
    <row r="17" spans="1:16" ht="19.5" customHeight="1">
      <c r="A17" s="172" t="s">
        <v>373</v>
      </c>
      <c r="B17" s="176">
        <v>46034</v>
      </c>
      <c r="C17" s="172" t="s">
        <v>81</v>
      </c>
      <c r="D17" s="172" t="s">
        <v>98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0</v>
      </c>
      <c r="J17" s="176">
        <v>46028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-15</v>
      </c>
    </row>
    <row r="18" spans="1:16" ht="19.5" customHeight="1">
      <c r="A18" s="172" t="s">
        <v>374</v>
      </c>
      <c r="B18" s="176">
        <v>46034</v>
      </c>
      <c r="C18" s="172" t="s">
        <v>81</v>
      </c>
      <c r="D18" s="172" t="s">
        <v>82</v>
      </c>
      <c r="E18" s="172" t="s">
        <v>42</v>
      </c>
      <c r="F18" s="172" t="s">
        <v>89</v>
      </c>
      <c r="G18" s="172" t="s">
        <v>84</v>
      </c>
      <c r="H18" s="177">
        <v>1</v>
      </c>
      <c r="I18" s="178">
        <v>0</v>
      </c>
      <c r="J18" s="176">
        <v>46034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374</v>
      </c>
      <c r="B19" s="176">
        <v>46034</v>
      </c>
      <c r="C19" s="172" t="s">
        <v>81</v>
      </c>
      <c r="D19" s="172" t="s">
        <v>82</v>
      </c>
      <c r="E19" s="172" t="s">
        <v>42</v>
      </c>
      <c r="F19" s="172" t="s">
        <v>89</v>
      </c>
      <c r="G19" s="172" t="s">
        <v>84</v>
      </c>
      <c r="H19" s="177">
        <v>1</v>
      </c>
      <c r="I19" s="178">
        <v>0</v>
      </c>
      <c r="J19" s="176">
        <v>46034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12.16</v>
      </c>
    </row>
    <row r="20" spans="1:16" ht="19.5" customHeight="1">
      <c r="A20" s="172" t="s">
        <v>375</v>
      </c>
      <c r="B20" s="176">
        <v>46034</v>
      </c>
      <c r="C20" s="172" t="s">
        <v>92</v>
      </c>
      <c r="D20" s="172" t="s">
        <v>24</v>
      </c>
      <c r="E20" s="172" t="s">
        <v>53</v>
      </c>
      <c r="F20" s="172" t="s">
        <v>120</v>
      </c>
      <c r="G20" s="172" t="s">
        <v>84</v>
      </c>
      <c r="H20" s="177">
        <v>1</v>
      </c>
      <c r="I20" s="178">
        <v>0</v>
      </c>
      <c r="J20" s="176">
        <v>46025</v>
      </c>
      <c r="K20" s="172" t="s">
        <v>93</v>
      </c>
      <c r="L20" s="172" t="s">
        <v>94</v>
      </c>
      <c r="M20" s="179">
        <v>0</v>
      </c>
      <c r="N20" s="177"/>
      <c r="O20" s="177">
        <v>44</v>
      </c>
      <c r="P20" s="180">
        <v>-56</v>
      </c>
    </row>
    <row r="21" spans="1:16" ht="19.5" customHeight="1">
      <c r="A21" s="172" t="s">
        <v>375</v>
      </c>
      <c r="B21" s="176">
        <v>46034</v>
      </c>
      <c r="C21" s="172" t="s">
        <v>81</v>
      </c>
      <c r="D21" s="172" t="s">
        <v>95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0</v>
      </c>
      <c r="J21" s="176">
        <v>46025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-9.5399999999999991</v>
      </c>
    </row>
    <row r="22" spans="1:16" ht="19.5" customHeight="1">
      <c r="A22" s="172" t="s">
        <v>375</v>
      </c>
      <c r="B22" s="176">
        <v>46034</v>
      </c>
      <c r="C22" s="172" t="s">
        <v>92</v>
      </c>
      <c r="D22" s="172" t="s">
        <v>96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0</v>
      </c>
      <c r="J22" s="176">
        <v>46025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375</v>
      </c>
      <c r="B23" s="176">
        <v>46034</v>
      </c>
      <c r="C23" s="172" t="s">
        <v>92</v>
      </c>
      <c r="D23" s="172" t="s">
        <v>97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0</v>
      </c>
      <c r="J23" s="176">
        <v>46025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375</v>
      </c>
      <c r="B24" s="176">
        <v>46034</v>
      </c>
      <c r="C24" s="172" t="s">
        <v>81</v>
      </c>
      <c r="D24" s="172" t="s">
        <v>98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0</v>
      </c>
      <c r="J24" s="176">
        <v>46025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376</v>
      </c>
      <c r="B25" s="176">
        <v>46034</v>
      </c>
      <c r="C25" s="172" t="s">
        <v>92</v>
      </c>
      <c r="D25" s="172" t="s">
        <v>96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0</v>
      </c>
      <c r="J25" s="176">
        <v>46024</v>
      </c>
      <c r="K25" s="172" t="s">
        <v>93</v>
      </c>
      <c r="L25" s="172" t="s">
        <v>94</v>
      </c>
      <c r="M25" s="179">
        <v>0</v>
      </c>
      <c r="N25" s="177"/>
      <c r="O25" s="177"/>
      <c r="P25" s="180">
        <v>0</v>
      </c>
    </row>
    <row r="26" spans="1:16" ht="19.5" customHeight="1">
      <c r="A26" s="172" t="s">
        <v>376</v>
      </c>
      <c r="B26" s="176">
        <v>46034</v>
      </c>
      <c r="C26" s="172" t="s">
        <v>92</v>
      </c>
      <c r="D26" s="172" t="s">
        <v>97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0</v>
      </c>
      <c r="J26" s="176">
        <v>46024</v>
      </c>
      <c r="K26" s="172" t="s">
        <v>93</v>
      </c>
      <c r="L26" s="172" t="s">
        <v>94</v>
      </c>
      <c r="M26" s="179">
        <v>0</v>
      </c>
      <c r="N26" s="177"/>
      <c r="O26" s="177"/>
      <c r="P26" s="180">
        <v>-56</v>
      </c>
    </row>
    <row r="27" spans="1:16" ht="19.5" customHeight="1">
      <c r="A27" s="172" t="s">
        <v>376</v>
      </c>
      <c r="B27" s="176">
        <v>46034</v>
      </c>
      <c r="C27" s="172" t="s">
        <v>81</v>
      </c>
      <c r="D27" s="172" t="s">
        <v>98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46024</v>
      </c>
      <c r="K27" s="172" t="s">
        <v>93</v>
      </c>
      <c r="L27" s="172" t="s">
        <v>94</v>
      </c>
      <c r="M27" s="179">
        <v>0</v>
      </c>
      <c r="N27" s="177"/>
      <c r="O27" s="177"/>
      <c r="P27" s="180">
        <v>-15</v>
      </c>
    </row>
    <row r="28" spans="1:16" ht="19.5" customHeight="1">
      <c r="A28" s="172" t="s">
        <v>376</v>
      </c>
      <c r="B28" s="176">
        <v>46034</v>
      </c>
      <c r="C28" s="172" t="s">
        <v>92</v>
      </c>
      <c r="D28" s="172" t="s">
        <v>24</v>
      </c>
      <c r="E28" s="172" t="s">
        <v>53</v>
      </c>
      <c r="F28" s="172" t="s">
        <v>120</v>
      </c>
      <c r="G28" s="172" t="s">
        <v>84</v>
      </c>
      <c r="H28" s="177">
        <v>1</v>
      </c>
      <c r="I28" s="178">
        <v>0</v>
      </c>
      <c r="J28" s="176">
        <v>46024</v>
      </c>
      <c r="K28" s="172" t="s">
        <v>93</v>
      </c>
      <c r="L28" s="172" t="s">
        <v>94</v>
      </c>
      <c r="M28" s="179">
        <v>0</v>
      </c>
      <c r="N28" s="177"/>
      <c r="O28" s="177">
        <v>42</v>
      </c>
      <c r="P28" s="180">
        <v>-56</v>
      </c>
    </row>
    <row r="29" spans="1:16" ht="19.5" customHeight="1">
      <c r="A29" s="172" t="s">
        <v>376</v>
      </c>
      <c r="B29" s="176">
        <v>46034</v>
      </c>
      <c r="C29" s="172" t="s">
        <v>81</v>
      </c>
      <c r="D29" s="172" t="s">
        <v>95</v>
      </c>
      <c r="E29" s="172" t="s">
        <v>53</v>
      </c>
      <c r="F29" s="172" t="s">
        <v>120</v>
      </c>
      <c r="G29" s="172" t="s">
        <v>84</v>
      </c>
      <c r="H29" s="177">
        <v>1</v>
      </c>
      <c r="I29" s="178">
        <v>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-12.08</v>
      </c>
    </row>
    <row r="30" spans="1:16" ht="19.5" customHeight="1">
      <c r="A30" s="172" t="s">
        <v>377</v>
      </c>
      <c r="B30" s="176">
        <v>46034</v>
      </c>
      <c r="C30" s="172" t="s">
        <v>92</v>
      </c>
      <c r="D30" s="172" t="s">
        <v>24</v>
      </c>
      <c r="E30" s="172" t="s">
        <v>41</v>
      </c>
      <c r="F30" s="172" t="s">
        <v>83</v>
      </c>
      <c r="G30" s="172" t="s">
        <v>84</v>
      </c>
      <c r="H30" s="177">
        <v>1</v>
      </c>
      <c r="I30" s="178">
        <v>1600</v>
      </c>
      <c r="J30" s="176">
        <v>46026</v>
      </c>
      <c r="K30" s="172" t="s">
        <v>93</v>
      </c>
      <c r="L30" s="172" t="s">
        <v>94</v>
      </c>
      <c r="M30" s="179">
        <v>0.43</v>
      </c>
      <c r="N30" s="177"/>
      <c r="O30" s="177">
        <v>46</v>
      </c>
      <c r="P30" s="180">
        <v>-134.24</v>
      </c>
    </row>
    <row r="31" spans="1:16" ht="19.5" customHeight="1">
      <c r="A31" s="172" t="s">
        <v>377</v>
      </c>
      <c r="B31" s="176">
        <v>46034</v>
      </c>
      <c r="C31" s="172" t="s">
        <v>100</v>
      </c>
      <c r="D31" s="172" t="s">
        <v>101</v>
      </c>
      <c r="E31" s="172" t="s">
        <v>41</v>
      </c>
      <c r="F31" s="172" t="s">
        <v>83</v>
      </c>
      <c r="G31" s="172" t="s">
        <v>84</v>
      </c>
      <c r="H31" s="177">
        <v>1</v>
      </c>
      <c r="I31" s="178">
        <v>1600</v>
      </c>
      <c r="J31" s="176">
        <v>46026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553.33000000000004</v>
      </c>
    </row>
    <row r="32" spans="1:16" ht="19.5" customHeight="1">
      <c r="A32" s="172" t="s">
        <v>377</v>
      </c>
      <c r="B32" s="176">
        <v>46034</v>
      </c>
      <c r="C32" s="172" t="s">
        <v>100</v>
      </c>
      <c r="D32" s="172" t="s">
        <v>102</v>
      </c>
      <c r="E32" s="172" t="s">
        <v>41</v>
      </c>
      <c r="F32" s="172" t="s">
        <v>83</v>
      </c>
      <c r="G32" s="172" t="s">
        <v>84</v>
      </c>
      <c r="H32" s="177">
        <v>1</v>
      </c>
      <c r="I32" s="178">
        <v>1600</v>
      </c>
      <c r="J32" s="176">
        <v>46026</v>
      </c>
      <c r="K32" s="172" t="s">
        <v>93</v>
      </c>
      <c r="L32" s="172" t="s">
        <v>94</v>
      </c>
      <c r="M32" s="179">
        <v>0</v>
      </c>
      <c r="N32" s="177"/>
      <c r="O32" s="177"/>
      <c r="P32" s="180">
        <v>5.53</v>
      </c>
    </row>
    <row r="33" spans="1:16" ht="19.5" customHeight="1">
      <c r="A33" s="172" t="s">
        <v>377</v>
      </c>
      <c r="B33" s="176">
        <v>46034</v>
      </c>
      <c r="C33" s="172" t="s">
        <v>100</v>
      </c>
      <c r="D33" s="172" t="s">
        <v>103</v>
      </c>
      <c r="E33" s="172" t="s">
        <v>41</v>
      </c>
      <c r="F33" s="172" t="s">
        <v>83</v>
      </c>
      <c r="G33" s="172" t="s">
        <v>84</v>
      </c>
      <c r="H33" s="177">
        <v>1</v>
      </c>
      <c r="I33" s="178">
        <v>1600</v>
      </c>
      <c r="J33" s="176">
        <v>46026</v>
      </c>
      <c r="K33" s="172" t="s">
        <v>93</v>
      </c>
      <c r="L33" s="172" t="s">
        <v>94</v>
      </c>
      <c r="M33" s="179">
        <v>0</v>
      </c>
      <c r="N33" s="177"/>
      <c r="O33" s="177"/>
      <c r="P33" s="180">
        <v>1041.1400000000001</v>
      </c>
    </row>
    <row r="34" spans="1:16" ht="19.5" customHeight="1">
      <c r="A34" s="172" t="s">
        <v>377</v>
      </c>
      <c r="B34" s="176">
        <v>46034</v>
      </c>
      <c r="C34" s="172" t="s">
        <v>104</v>
      </c>
      <c r="D34" s="172" t="s">
        <v>105</v>
      </c>
      <c r="E34" s="172" t="s">
        <v>41</v>
      </c>
      <c r="F34" s="172" t="s">
        <v>83</v>
      </c>
      <c r="G34" s="172" t="s">
        <v>84</v>
      </c>
      <c r="H34" s="177">
        <v>1</v>
      </c>
      <c r="I34" s="178">
        <v>1600</v>
      </c>
      <c r="J34" s="176">
        <v>46026</v>
      </c>
      <c r="K34" s="172" t="s">
        <v>93</v>
      </c>
      <c r="L34" s="172" t="s">
        <v>94</v>
      </c>
      <c r="M34" s="179">
        <v>0.43</v>
      </c>
      <c r="N34" s="177"/>
      <c r="O34" s="177"/>
      <c r="P34" s="180">
        <v>-688</v>
      </c>
    </row>
    <row r="35" spans="1:16" ht="19.5" customHeight="1">
      <c r="A35" s="172" t="s">
        <v>378</v>
      </c>
      <c r="B35" s="176">
        <v>46034</v>
      </c>
      <c r="C35" s="172" t="s">
        <v>92</v>
      </c>
      <c r="D35" s="172" t="s">
        <v>24</v>
      </c>
      <c r="E35" s="172" t="s">
        <v>42</v>
      </c>
      <c r="F35" s="172" t="s">
        <v>89</v>
      </c>
      <c r="G35" s="172" t="s">
        <v>84</v>
      </c>
      <c r="H35" s="177">
        <v>1</v>
      </c>
      <c r="I35" s="178">
        <v>0</v>
      </c>
      <c r="J35" s="176">
        <v>46015</v>
      </c>
      <c r="K35" s="172" t="s">
        <v>93</v>
      </c>
      <c r="L35" s="172" t="s">
        <v>94</v>
      </c>
      <c r="M35" s="179">
        <v>0</v>
      </c>
      <c r="N35" s="177"/>
      <c r="O35" s="177">
        <v>43</v>
      </c>
      <c r="P35" s="180">
        <v>-46.77</v>
      </c>
    </row>
    <row r="36" spans="1:16" ht="19.5" customHeight="1">
      <c r="A36" s="172" t="s">
        <v>378</v>
      </c>
      <c r="B36" s="176">
        <v>46034</v>
      </c>
      <c r="C36" s="172" t="s">
        <v>81</v>
      </c>
      <c r="D36" s="172" t="s">
        <v>95</v>
      </c>
      <c r="E36" s="172" t="s">
        <v>42</v>
      </c>
      <c r="F36" s="172" t="s">
        <v>89</v>
      </c>
      <c r="G36" s="172" t="s">
        <v>84</v>
      </c>
      <c r="H36" s="177">
        <v>1</v>
      </c>
      <c r="I36" s="178">
        <v>0</v>
      </c>
      <c r="J36" s="176">
        <v>46015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-11.38</v>
      </c>
    </row>
    <row r="37" spans="1:16" ht="19.5" customHeight="1">
      <c r="A37" s="172" t="s">
        <v>378</v>
      </c>
      <c r="B37" s="176">
        <v>46034</v>
      </c>
      <c r="C37" s="172" t="s">
        <v>92</v>
      </c>
      <c r="D37" s="172" t="s">
        <v>96</v>
      </c>
      <c r="E37" s="172" t="s">
        <v>42</v>
      </c>
      <c r="F37" s="172" t="s">
        <v>89</v>
      </c>
      <c r="G37" s="172" t="s">
        <v>84</v>
      </c>
      <c r="H37" s="177">
        <v>1</v>
      </c>
      <c r="I37" s="178">
        <v>0</v>
      </c>
      <c r="J37" s="176">
        <v>46015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0</v>
      </c>
    </row>
    <row r="38" spans="1:16" ht="19.5" customHeight="1">
      <c r="A38" s="172" t="s">
        <v>378</v>
      </c>
      <c r="B38" s="176">
        <v>46034</v>
      </c>
      <c r="C38" s="172" t="s">
        <v>92</v>
      </c>
      <c r="D38" s="172" t="s">
        <v>97</v>
      </c>
      <c r="E38" s="172" t="s">
        <v>42</v>
      </c>
      <c r="F38" s="172" t="s">
        <v>89</v>
      </c>
      <c r="G38" s="172" t="s">
        <v>84</v>
      </c>
      <c r="H38" s="177">
        <v>1</v>
      </c>
      <c r="I38" s="178">
        <v>0</v>
      </c>
      <c r="J38" s="176">
        <v>46015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-46.77</v>
      </c>
    </row>
    <row r="39" spans="1:16" ht="19.5" customHeight="1">
      <c r="A39" s="172" t="s">
        <v>379</v>
      </c>
      <c r="B39" s="176">
        <v>46034</v>
      </c>
      <c r="C39" s="172" t="s">
        <v>81</v>
      </c>
      <c r="D39" s="172" t="s">
        <v>82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46034</v>
      </c>
      <c r="K39" s="172" t="s">
        <v>85</v>
      </c>
      <c r="L39" s="172" t="s">
        <v>85</v>
      </c>
      <c r="M39" s="179">
        <v>0</v>
      </c>
      <c r="N39" s="177"/>
      <c r="O39" s="177"/>
      <c r="P39" s="180">
        <v>-4.82</v>
      </c>
    </row>
    <row r="40" spans="1:16" ht="19.5" customHeight="1">
      <c r="A40" s="172" t="s">
        <v>85</v>
      </c>
      <c r="B40" s="176">
        <v>46034</v>
      </c>
      <c r="C40" s="172" t="s">
        <v>109</v>
      </c>
      <c r="D40" s="172" t="s">
        <v>110</v>
      </c>
      <c r="E40" s="172" t="s">
        <v>85</v>
      </c>
      <c r="F40" s="172" t="s">
        <v>85</v>
      </c>
      <c r="G40" s="172" t="s">
        <v>380</v>
      </c>
      <c r="H40" s="177">
        <v>0</v>
      </c>
      <c r="I40" s="178">
        <v>0</v>
      </c>
      <c r="J40" s="176">
        <v>46034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-150</v>
      </c>
    </row>
    <row r="41" spans="1:16" ht="19.5" customHeight="1">
      <c r="A41" s="172" t="s">
        <v>381</v>
      </c>
      <c r="B41" s="176">
        <v>46034</v>
      </c>
      <c r="C41" s="172" t="s">
        <v>81</v>
      </c>
      <c r="D41" s="172" t="s">
        <v>82</v>
      </c>
      <c r="E41" s="172" t="s">
        <v>53</v>
      </c>
      <c r="F41" s="172" t="s">
        <v>120</v>
      </c>
      <c r="G41" s="172" t="s">
        <v>84</v>
      </c>
      <c r="H41" s="177">
        <v>1</v>
      </c>
      <c r="I41" s="178">
        <v>0</v>
      </c>
      <c r="J41" s="176">
        <v>46034</v>
      </c>
      <c r="K41" s="172" t="s">
        <v>85</v>
      </c>
      <c r="L41" s="172" t="s">
        <v>85</v>
      </c>
      <c r="M41" s="179">
        <v>0</v>
      </c>
      <c r="N41" s="177"/>
      <c r="O41" s="177"/>
      <c r="P41" s="180">
        <v>-12.21</v>
      </c>
    </row>
    <row r="42" spans="1:16" ht="19.5" customHeight="1">
      <c r="A42" s="172" t="s">
        <v>382</v>
      </c>
      <c r="B42" s="176">
        <v>46034</v>
      </c>
      <c r="C42" s="172" t="s">
        <v>92</v>
      </c>
      <c r="D42" s="172" t="s">
        <v>24</v>
      </c>
      <c r="E42" s="172" t="s">
        <v>42</v>
      </c>
      <c r="F42" s="172" t="s">
        <v>89</v>
      </c>
      <c r="G42" s="172" t="s">
        <v>84</v>
      </c>
      <c r="H42" s="177">
        <v>1</v>
      </c>
      <c r="I42" s="178">
        <v>1600</v>
      </c>
      <c r="J42" s="176">
        <v>46031</v>
      </c>
      <c r="K42" s="172" t="s">
        <v>93</v>
      </c>
      <c r="L42" s="172" t="s">
        <v>94</v>
      </c>
      <c r="M42" s="179">
        <v>0.43</v>
      </c>
      <c r="N42" s="177"/>
      <c r="O42" s="177">
        <v>42</v>
      </c>
      <c r="P42" s="180">
        <v>-119.03</v>
      </c>
    </row>
    <row r="43" spans="1:16" ht="19.5" customHeight="1">
      <c r="A43" s="172" t="s">
        <v>382</v>
      </c>
      <c r="B43" s="176">
        <v>46034</v>
      </c>
      <c r="C43" s="172" t="s">
        <v>100</v>
      </c>
      <c r="D43" s="172" t="s">
        <v>101</v>
      </c>
      <c r="E43" s="172" t="s">
        <v>42</v>
      </c>
      <c r="F43" s="172" t="s">
        <v>89</v>
      </c>
      <c r="G43" s="172" t="s">
        <v>84</v>
      </c>
      <c r="H43" s="177">
        <v>1</v>
      </c>
      <c r="I43" s="178">
        <v>1600</v>
      </c>
      <c r="J43" s="176">
        <v>46031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572.38</v>
      </c>
    </row>
    <row r="44" spans="1:16" ht="19.5" customHeight="1">
      <c r="A44" s="172" t="s">
        <v>382</v>
      </c>
      <c r="B44" s="176">
        <v>46034</v>
      </c>
      <c r="C44" s="172" t="s">
        <v>100</v>
      </c>
      <c r="D44" s="172" t="s">
        <v>102</v>
      </c>
      <c r="E44" s="172" t="s">
        <v>42</v>
      </c>
      <c r="F44" s="172" t="s">
        <v>89</v>
      </c>
      <c r="G44" s="172" t="s">
        <v>84</v>
      </c>
      <c r="H44" s="177">
        <v>1</v>
      </c>
      <c r="I44" s="178">
        <v>1600</v>
      </c>
      <c r="J44" s="176">
        <v>46031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5.72</v>
      </c>
    </row>
    <row r="45" spans="1:16" ht="19.5" customHeight="1">
      <c r="A45" s="172" t="s">
        <v>382</v>
      </c>
      <c r="B45" s="176">
        <v>46034</v>
      </c>
      <c r="C45" s="172" t="s">
        <v>100</v>
      </c>
      <c r="D45" s="172" t="s">
        <v>103</v>
      </c>
      <c r="E45" s="172" t="s">
        <v>42</v>
      </c>
      <c r="F45" s="172" t="s">
        <v>89</v>
      </c>
      <c r="G45" s="172" t="s">
        <v>84</v>
      </c>
      <c r="H45" s="177">
        <v>1</v>
      </c>
      <c r="I45" s="178">
        <v>1600</v>
      </c>
      <c r="J45" s="176">
        <v>46031</v>
      </c>
      <c r="K45" s="172" t="s">
        <v>93</v>
      </c>
      <c r="L45" s="172" t="s">
        <v>94</v>
      </c>
      <c r="M45" s="179">
        <v>0</v>
      </c>
      <c r="N45" s="177"/>
      <c r="O45" s="177"/>
      <c r="P45" s="180">
        <v>1021.9</v>
      </c>
    </row>
    <row r="46" spans="1:16" ht="19.5" customHeight="1">
      <c r="A46" s="172" t="s">
        <v>382</v>
      </c>
      <c r="B46" s="176">
        <v>46034</v>
      </c>
      <c r="C46" s="172" t="s">
        <v>104</v>
      </c>
      <c r="D46" s="172" t="s">
        <v>105</v>
      </c>
      <c r="E46" s="172" t="s">
        <v>42</v>
      </c>
      <c r="F46" s="172" t="s">
        <v>89</v>
      </c>
      <c r="G46" s="172" t="s">
        <v>84</v>
      </c>
      <c r="H46" s="177">
        <v>1</v>
      </c>
      <c r="I46" s="178">
        <v>1600</v>
      </c>
      <c r="J46" s="176">
        <v>46031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-688</v>
      </c>
    </row>
    <row r="47" spans="1:16" ht="19.5" customHeight="1">
      <c r="A47" s="172" t="s">
        <v>382</v>
      </c>
      <c r="B47" s="176">
        <v>46034</v>
      </c>
      <c r="C47" s="172" t="s">
        <v>81</v>
      </c>
      <c r="D47" s="172" t="s">
        <v>95</v>
      </c>
      <c r="E47" s="172" t="s">
        <v>42</v>
      </c>
      <c r="F47" s="172" t="s">
        <v>89</v>
      </c>
      <c r="G47" s="172" t="s">
        <v>84</v>
      </c>
      <c r="H47" s="177">
        <v>1</v>
      </c>
      <c r="I47" s="178">
        <v>1600</v>
      </c>
      <c r="J47" s="176">
        <v>46031</v>
      </c>
      <c r="K47" s="172" t="s">
        <v>93</v>
      </c>
      <c r="L47" s="172" t="s">
        <v>94</v>
      </c>
      <c r="M47" s="179">
        <v>0.43</v>
      </c>
      <c r="N47" s="177"/>
      <c r="O47" s="177"/>
      <c r="P47" s="180">
        <v>-12.22</v>
      </c>
    </row>
    <row r="48" spans="1:16" ht="19.5" customHeight="1">
      <c r="A48" s="172" t="s">
        <v>383</v>
      </c>
      <c r="B48" s="176">
        <v>46034</v>
      </c>
      <c r="C48" s="172" t="s">
        <v>81</v>
      </c>
      <c r="D48" s="172" t="s">
        <v>82</v>
      </c>
      <c r="E48" s="172" t="s">
        <v>52</v>
      </c>
      <c r="F48" s="172" t="s">
        <v>90</v>
      </c>
      <c r="G48" s="172" t="s">
        <v>84</v>
      </c>
      <c r="H48" s="177">
        <v>1</v>
      </c>
      <c r="I48" s="178">
        <v>0</v>
      </c>
      <c r="J48" s="176">
        <v>46034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-10.59</v>
      </c>
    </row>
    <row r="49" spans="1:16" ht="19.5" customHeight="1">
      <c r="A49" s="172" t="s">
        <v>384</v>
      </c>
      <c r="B49" s="176">
        <v>46034</v>
      </c>
      <c r="C49" s="172" t="s">
        <v>81</v>
      </c>
      <c r="D49" s="172" t="s">
        <v>82</v>
      </c>
      <c r="E49" s="172" t="s">
        <v>41</v>
      </c>
      <c r="F49" s="172" t="s">
        <v>83</v>
      </c>
      <c r="G49" s="172" t="s">
        <v>84</v>
      </c>
      <c r="H49" s="177">
        <v>1</v>
      </c>
      <c r="I49" s="178">
        <v>0</v>
      </c>
      <c r="J49" s="176">
        <v>46034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-3.62</v>
      </c>
    </row>
    <row r="50" spans="1:16" ht="19.5" customHeight="1">
      <c r="A50" s="172" t="s">
        <v>385</v>
      </c>
      <c r="B50" s="176">
        <v>46034</v>
      </c>
      <c r="C50" s="172" t="s">
        <v>92</v>
      </c>
      <c r="D50" s="172" t="s">
        <v>24</v>
      </c>
      <c r="E50" s="172" t="s">
        <v>52</v>
      </c>
      <c r="F50" s="172" t="s">
        <v>90</v>
      </c>
      <c r="G50" s="172" t="s">
        <v>84</v>
      </c>
      <c r="H50" s="177">
        <v>1</v>
      </c>
      <c r="I50" s="178">
        <v>1621</v>
      </c>
      <c r="J50" s="176">
        <v>46031</v>
      </c>
      <c r="K50" s="172" t="s">
        <v>93</v>
      </c>
      <c r="L50" s="172" t="s">
        <v>94</v>
      </c>
      <c r="M50" s="179">
        <v>0.43</v>
      </c>
      <c r="N50" s="177"/>
      <c r="O50" s="177">
        <v>42</v>
      </c>
      <c r="P50" s="180">
        <v>-134.12</v>
      </c>
    </row>
    <row r="51" spans="1:16" ht="19.5" customHeight="1">
      <c r="A51" s="172" t="s">
        <v>385</v>
      </c>
      <c r="B51" s="176">
        <v>46034</v>
      </c>
      <c r="C51" s="172" t="s">
        <v>100</v>
      </c>
      <c r="D51" s="172" t="s">
        <v>101</v>
      </c>
      <c r="E51" s="172" t="s">
        <v>52</v>
      </c>
      <c r="F51" s="172" t="s">
        <v>90</v>
      </c>
      <c r="G51" s="172" t="s">
        <v>84</v>
      </c>
      <c r="H51" s="177">
        <v>1</v>
      </c>
      <c r="I51" s="178">
        <v>1621</v>
      </c>
      <c r="J51" s="176">
        <v>46031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556.61</v>
      </c>
    </row>
    <row r="52" spans="1:16" ht="19.5" customHeight="1">
      <c r="A52" s="172" t="s">
        <v>385</v>
      </c>
      <c r="B52" s="176">
        <v>46034</v>
      </c>
      <c r="C52" s="172" t="s">
        <v>100</v>
      </c>
      <c r="D52" s="172" t="s">
        <v>102</v>
      </c>
      <c r="E52" s="172" t="s">
        <v>52</v>
      </c>
      <c r="F52" s="172" t="s">
        <v>90</v>
      </c>
      <c r="G52" s="172" t="s">
        <v>84</v>
      </c>
      <c r="H52" s="177">
        <v>1</v>
      </c>
      <c r="I52" s="178">
        <v>1621</v>
      </c>
      <c r="J52" s="176">
        <v>46031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5.57</v>
      </c>
    </row>
    <row r="53" spans="1:16" ht="19.5" customHeight="1">
      <c r="A53" s="172" t="s">
        <v>385</v>
      </c>
      <c r="B53" s="176">
        <v>46034</v>
      </c>
      <c r="C53" s="172" t="s">
        <v>100</v>
      </c>
      <c r="D53" s="172" t="s">
        <v>103</v>
      </c>
      <c r="E53" s="172" t="s">
        <v>52</v>
      </c>
      <c r="F53" s="172" t="s">
        <v>90</v>
      </c>
      <c r="G53" s="172" t="s">
        <v>84</v>
      </c>
      <c r="H53" s="177">
        <v>1</v>
      </c>
      <c r="I53" s="178">
        <v>1621</v>
      </c>
      <c r="J53" s="176">
        <v>46031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1058.82</v>
      </c>
    </row>
    <row r="54" spans="1:16" ht="19.5" customHeight="1">
      <c r="A54" s="172" t="s">
        <v>385</v>
      </c>
      <c r="B54" s="176">
        <v>46034</v>
      </c>
      <c r="C54" s="172" t="s">
        <v>104</v>
      </c>
      <c r="D54" s="172" t="s">
        <v>105</v>
      </c>
      <c r="E54" s="172" t="s">
        <v>52</v>
      </c>
      <c r="F54" s="172" t="s">
        <v>90</v>
      </c>
      <c r="G54" s="172" t="s">
        <v>84</v>
      </c>
      <c r="H54" s="177">
        <v>1</v>
      </c>
      <c r="I54" s="178">
        <v>1621</v>
      </c>
      <c r="J54" s="176">
        <v>46031</v>
      </c>
      <c r="K54" s="172" t="s">
        <v>93</v>
      </c>
      <c r="L54" s="172" t="s">
        <v>94</v>
      </c>
      <c r="M54" s="179">
        <v>0.43</v>
      </c>
      <c r="N54" s="177"/>
      <c r="O54" s="177"/>
      <c r="P54" s="180">
        <v>-697.03</v>
      </c>
    </row>
    <row r="55" spans="1:16" ht="19.5" customHeight="1">
      <c r="A55" s="172" t="s">
        <v>385</v>
      </c>
      <c r="B55" s="176">
        <v>46034</v>
      </c>
      <c r="C55" s="172" t="s">
        <v>81</v>
      </c>
      <c r="D55" s="172" t="s">
        <v>95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1621</v>
      </c>
      <c r="J55" s="176">
        <v>46031</v>
      </c>
      <c r="K55" s="172" t="s">
        <v>93</v>
      </c>
      <c r="L55" s="172" t="s">
        <v>94</v>
      </c>
      <c r="M55" s="179">
        <v>0.43</v>
      </c>
      <c r="N55" s="177"/>
      <c r="O55" s="177"/>
      <c r="P55" s="180">
        <v>-8.26</v>
      </c>
    </row>
    <row r="56" spans="1:16" ht="19.5" customHeight="1">
      <c r="A56" s="172" t="s">
        <v>386</v>
      </c>
      <c r="B56" s="176">
        <v>46034</v>
      </c>
      <c r="C56" s="172" t="s">
        <v>81</v>
      </c>
      <c r="D56" s="172" t="s">
        <v>82</v>
      </c>
      <c r="E56" s="172" t="s">
        <v>52</v>
      </c>
      <c r="F56" s="172" t="s">
        <v>90</v>
      </c>
      <c r="G56" s="172" t="s">
        <v>84</v>
      </c>
      <c r="H56" s="177">
        <v>1</v>
      </c>
      <c r="I56" s="178">
        <v>0</v>
      </c>
      <c r="J56" s="176">
        <v>46034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-10.59</v>
      </c>
    </row>
    <row r="57" spans="1:16" ht="19.5" customHeight="1">
      <c r="A57" s="172" t="s">
        <v>387</v>
      </c>
      <c r="B57" s="176">
        <v>46034</v>
      </c>
      <c r="C57" s="172" t="s">
        <v>92</v>
      </c>
      <c r="D57" s="172" t="s">
        <v>24</v>
      </c>
      <c r="E57" s="172" t="s">
        <v>39</v>
      </c>
      <c r="F57" s="172" t="s">
        <v>117</v>
      </c>
      <c r="G57" s="172" t="s">
        <v>84</v>
      </c>
      <c r="H57" s="177">
        <v>1</v>
      </c>
      <c r="I57" s="178">
        <v>1650</v>
      </c>
      <c r="J57" s="176">
        <v>46024</v>
      </c>
      <c r="K57" s="172" t="s">
        <v>93</v>
      </c>
      <c r="L57" s="172" t="s">
        <v>94</v>
      </c>
      <c r="M57" s="179">
        <v>0.43</v>
      </c>
      <c r="N57" s="177"/>
      <c r="O57" s="177">
        <v>42</v>
      </c>
      <c r="P57" s="180">
        <v>-120.46</v>
      </c>
    </row>
    <row r="58" spans="1:16" ht="19.5" customHeight="1">
      <c r="A58" s="172" t="s">
        <v>387</v>
      </c>
      <c r="B58" s="176">
        <v>46034</v>
      </c>
      <c r="C58" s="172" t="s">
        <v>100</v>
      </c>
      <c r="D58" s="172" t="s">
        <v>101</v>
      </c>
      <c r="E58" s="172" t="s">
        <v>39</v>
      </c>
      <c r="F58" s="172" t="s">
        <v>117</v>
      </c>
      <c r="G58" s="172" t="s">
        <v>84</v>
      </c>
      <c r="H58" s="177">
        <v>1</v>
      </c>
      <c r="I58" s="178">
        <v>1650</v>
      </c>
      <c r="J58" s="176">
        <v>46024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387</v>
      </c>
      <c r="B59" s="176">
        <v>46034</v>
      </c>
      <c r="C59" s="172" t="s">
        <v>100</v>
      </c>
      <c r="D59" s="172" t="s">
        <v>102</v>
      </c>
      <c r="E59" s="172" t="s">
        <v>39</v>
      </c>
      <c r="F59" s="172" t="s">
        <v>117</v>
      </c>
      <c r="G59" s="172" t="s">
        <v>84</v>
      </c>
      <c r="H59" s="177">
        <v>1</v>
      </c>
      <c r="I59" s="178">
        <v>1650</v>
      </c>
      <c r="J59" s="176">
        <v>46024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387</v>
      </c>
      <c r="B60" s="176">
        <v>46034</v>
      </c>
      <c r="C60" s="172" t="s">
        <v>100</v>
      </c>
      <c r="D60" s="172" t="s">
        <v>103</v>
      </c>
      <c r="E60" s="172" t="s">
        <v>39</v>
      </c>
      <c r="F60" s="172" t="s">
        <v>117</v>
      </c>
      <c r="G60" s="172" t="s">
        <v>84</v>
      </c>
      <c r="H60" s="177">
        <v>1</v>
      </c>
      <c r="I60" s="178">
        <v>1650</v>
      </c>
      <c r="J60" s="176">
        <v>46024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387</v>
      </c>
      <c r="B61" s="176">
        <v>46034</v>
      </c>
      <c r="C61" s="172" t="s">
        <v>104</v>
      </c>
      <c r="D61" s="172" t="s">
        <v>105</v>
      </c>
      <c r="E61" s="172" t="s">
        <v>39</v>
      </c>
      <c r="F61" s="172" t="s">
        <v>117</v>
      </c>
      <c r="G61" s="172" t="s">
        <v>84</v>
      </c>
      <c r="H61" s="177">
        <v>1</v>
      </c>
      <c r="I61" s="178">
        <v>1650</v>
      </c>
      <c r="J61" s="176">
        <v>46024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387</v>
      </c>
      <c r="B62" s="176">
        <v>46034</v>
      </c>
      <c r="C62" s="172" t="s">
        <v>81</v>
      </c>
      <c r="D62" s="172" t="s">
        <v>95</v>
      </c>
      <c r="E62" s="172" t="s">
        <v>39</v>
      </c>
      <c r="F62" s="172" t="s">
        <v>117</v>
      </c>
      <c r="G62" s="172" t="s">
        <v>84</v>
      </c>
      <c r="H62" s="177">
        <v>1</v>
      </c>
      <c r="I62" s="178">
        <v>1650</v>
      </c>
      <c r="J62" s="176">
        <v>46024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-25</v>
      </c>
    </row>
    <row r="63" spans="1:16" ht="19.5" customHeight="1">
      <c r="A63" s="172" t="s">
        <v>388</v>
      </c>
      <c r="B63" s="176">
        <v>46034</v>
      </c>
      <c r="C63" s="172" t="s">
        <v>81</v>
      </c>
      <c r="D63" s="172" t="s">
        <v>82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0</v>
      </c>
      <c r="J63" s="176">
        <v>46034</v>
      </c>
      <c r="K63" s="172" t="s">
        <v>85</v>
      </c>
      <c r="L63" s="172" t="s">
        <v>85</v>
      </c>
      <c r="M63" s="179">
        <v>0</v>
      </c>
      <c r="N63" s="177"/>
      <c r="O63" s="177"/>
      <c r="P63" s="180">
        <v>-10.57</v>
      </c>
    </row>
    <row r="64" spans="1:16" ht="19.5" customHeight="1">
      <c r="A64" s="172" t="s">
        <v>387</v>
      </c>
      <c r="B64" s="176">
        <v>46034</v>
      </c>
      <c r="C64" s="172" t="s">
        <v>81</v>
      </c>
      <c r="D64" s="172" t="s">
        <v>82</v>
      </c>
      <c r="E64" s="172" t="s">
        <v>39</v>
      </c>
      <c r="F64" s="172" t="s">
        <v>117</v>
      </c>
      <c r="G64" s="172" t="s">
        <v>84</v>
      </c>
      <c r="H64" s="177">
        <v>1</v>
      </c>
      <c r="I64" s="178">
        <v>0</v>
      </c>
      <c r="J64" s="176">
        <v>46024</v>
      </c>
      <c r="K64" s="172" t="s">
        <v>85</v>
      </c>
      <c r="L64" s="172" t="s">
        <v>85</v>
      </c>
      <c r="M64" s="179">
        <v>0</v>
      </c>
      <c r="N64" s="177"/>
      <c r="O64" s="177"/>
      <c r="P64" s="180">
        <v>-10.77</v>
      </c>
    </row>
    <row r="65" spans="1:16" ht="19.5" customHeight="1">
      <c r="A65" s="172" t="s">
        <v>389</v>
      </c>
      <c r="B65" s="176">
        <v>46034</v>
      </c>
      <c r="C65" s="172" t="s">
        <v>92</v>
      </c>
      <c r="D65" s="172" t="s">
        <v>24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0</v>
      </c>
      <c r="J65" s="176">
        <v>46031</v>
      </c>
      <c r="K65" s="172" t="s">
        <v>93</v>
      </c>
      <c r="L65" s="172" t="s">
        <v>94</v>
      </c>
      <c r="M65" s="179">
        <v>0</v>
      </c>
      <c r="N65" s="177"/>
      <c r="O65" s="177">
        <v>42</v>
      </c>
      <c r="P65" s="180">
        <v>-134.12</v>
      </c>
    </row>
    <row r="66" spans="1:16" ht="19.5" customHeight="1">
      <c r="A66" s="172" t="s">
        <v>390</v>
      </c>
      <c r="B66" s="176">
        <v>46034</v>
      </c>
      <c r="C66" s="172" t="s">
        <v>92</v>
      </c>
      <c r="D66" s="172" t="s">
        <v>24</v>
      </c>
      <c r="E66" s="172" t="s">
        <v>53</v>
      </c>
      <c r="F66" s="172" t="s">
        <v>120</v>
      </c>
      <c r="G66" s="172" t="s">
        <v>84</v>
      </c>
      <c r="H66" s="177">
        <v>1</v>
      </c>
      <c r="I66" s="178">
        <v>0</v>
      </c>
      <c r="J66" s="176">
        <v>46019</v>
      </c>
      <c r="K66" s="172" t="s">
        <v>93</v>
      </c>
      <c r="L66" s="172" t="s">
        <v>94</v>
      </c>
      <c r="M66" s="179">
        <v>0</v>
      </c>
      <c r="N66" s="177"/>
      <c r="O66" s="177">
        <v>41</v>
      </c>
      <c r="P66" s="180">
        <v>-56</v>
      </c>
    </row>
    <row r="67" spans="1:16" ht="19.5" customHeight="1">
      <c r="A67" s="172" t="s">
        <v>390</v>
      </c>
      <c r="B67" s="176">
        <v>46034</v>
      </c>
      <c r="C67" s="172" t="s">
        <v>81</v>
      </c>
      <c r="D67" s="172" t="s">
        <v>95</v>
      </c>
      <c r="E67" s="172" t="s">
        <v>53</v>
      </c>
      <c r="F67" s="172" t="s">
        <v>120</v>
      </c>
      <c r="G67" s="172" t="s">
        <v>84</v>
      </c>
      <c r="H67" s="177">
        <v>1</v>
      </c>
      <c r="I67" s="178">
        <v>0</v>
      </c>
      <c r="J67" s="176">
        <v>46019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-15.4</v>
      </c>
    </row>
    <row r="68" spans="1:16" ht="19.5" customHeight="1">
      <c r="A68" s="172" t="s">
        <v>390</v>
      </c>
      <c r="B68" s="176">
        <v>46034</v>
      </c>
      <c r="C68" s="172" t="s">
        <v>92</v>
      </c>
      <c r="D68" s="172" t="s">
        <v>96</v>
      </c>
      <c r="E68" s="172" t="s">
        <v>53</v>
      </c>
      <c r="F68" s="172" t="s">
        <v>120</v>
      </c>
      <c r="G68" s="172" t="s">
        <v>84</v>
      </c>
      <c r="H68" s="177">
        <v>1</v>
      </c>
      <c r="I68" s="178">
        <v>0</v>
      </c>
      <c r="J68" s="176">
        <v>46019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0</v>
      </c>
    </row>
    <row r="69" spans="1:16" ht="19.5" customHeight="1">
      <c r="A69" s="172" t="s">
        <v>390</v>
      </c>
      <c r="B69" s="176">
        <v>46034</v>
      </c>
      <c r="C69" s="172" t="s">
        <v>92</v>
      </c>
      <c r="D69" s="172" t="s">
        <v>97</v>
      </c>
      <c r="E69" s="172" t="s">
        <v>53</v>
      </c>
      <c r="F69" s="172" t="s">
        <v>120</v>
      </c>
      <c r="G69" s="172" t="s">
        <v>84</v>
      </c>
      <c r="H69" s="177">
        <v>1</v>
      </c>
      <c r="I69" s="178">
        <v>0</v>
      </c>
      <c r="J69" s="176">
        <v>46019</v>
      </c>
      <c r="K69" s="172" t="s">
        <v>93</v>
      </c>
      <c r="L69" s="172" t="s">
        <v>94</v>
      </c>
      <c r="M69" s="179">
        <v>0</v>
      </c>
      <c r="N69" s="177"/>
      <c r="O69" s="177"/>
      <c r="P69" s="180">
        <v>-56</v>
      </c>
    </row>
    <row r="70" spans="1:16" ht="19.5" customHeight="1">
      <c r="A70" s="172" t="s">
        <v>390</v>
      </c>
      <c r="B70" s="176">
        <v>46034</v>
      </c>
      <c r="C70" s="172" t="s">
        <v>81</v>
      </c>
      <c r="D70" s="172" t="s">
        <v>98</v>
      </c>
      <c r="E70" s="172" t="s">
        <v>53</v>
      </c>
      <c r="F70" s="172" t="s">
        <v>120</v>
      </c>
      <c r="G70" s="172" t="s">
        <v>84</v>
      </c>
      <c r="H70" s="177">
        <v>1</v>
      </c>
      <c r="I70" s="178">
        <v>0</v>
      </c>
      <c r="J70" s="176">
        <v>46019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-15</v>
      </c>
    </row>
    <row r="71" spans="1:16" ht="19.5" customHeight="1">
      <c r="A71" s="172" t="s">
        <v>391</v>
      </c>
      <c r="B71" s="176">
        <v>46034</v>
      </c>
      <c r="C71" s="172" t="s">
        <v>92</v>
      </c>
      <c r="D71" s="172" t="s">
        <v>24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46030</v>
      </c>
      <c r="K71" s="172" t="s">
        <v>93</v>
      </c>
      <c r="L71" s="172" t="s">
        <v>94</v>
      </c>
      <c r="M71" s="179">
        <v>0.43</v>
      </c>
      <c r="N71" s="177"/>
      <c r="O71" s="177">
        <v>42</v>
      </c>
      <c r="P71" s="180">
        <v>-117.82</v>
      </c>
    </row>
    <row r="72" spans="1:16" ht="19.5" customHeight="1">
      <c r="A72" s="172" t="s">
        <v>391</v>
      </c>
      <c r="B72" s="176">
        <v>46034</v>
      </c>
      <c r="C72" s="172" t="s">
        <v>100</v>
      </c>
      <c r="D72" s="172" t="s">
        <v>101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46030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549.52</v>
      </c>
    </row>
    <row r="73" spans="1:16" ht="19.5" customHeight="1">
      <c r="A73" s="172" t="s">
        <v>391</v>
      </c>
      <c r="B73" s="176">
        <v>46034</v>
      </c>
      <c r="C73" s="172" t="s">
        <v>100</v>
      </c>
      <c r="D73" s="172" t="s">
        <v>102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46030</v>
      </c>
      <c r="K73" s="172" t="s">
        <v>93</v>
      </c>
      <c r="L73" s="172" t="s">
        <v>94</v>
      </c>
      <c r="M73" s="179">
        <v>0</v>
      </c>
      <c r="N73" s="177"/>
      <c r="O73" s="177"/>
      <c r="P73" s="180">
        <v>5.5</v>
      </c>
    </row>
    <row r="74" spans="1:16" ht="19.5" customHeight="1">
      <c r="A74" s="172" t="s">
        <v>391</v>
      </c>
      <c r="B74" s="176">
        <v>46034</v>
      </c>
      <c r="C74" s="172" t="s">
        <v>100</v>
      </c>
      <c r="D74" s="172" t="s">
        <v>103</v>
      </c>
      <c r="E74" s="172" t="s">
        <v>41</v>
      </c>
      <c r="F74" s="172" t="s">
        <v>83</v>
      </c>
      <c r="G74" s="172" t="s">
        <v>84</v>
      </c>
      <c r="H74" s="177">
        <v>1</v>
      </c>
      <c r="I74" s="178">
        <v>1600</v>
      </c>
      <c r="J74" s="176">
        <v>46030</v>
      </c>
      <c r="K74" s="172" t="s">
        <v>93</v>
      </c>
      <c r="L74" s="172" t="s">
        <v>94</v>
      </c>
      <c r="M74" s="179">
        <v>0</v>
      </c>
      <c r="N74" s="177"/>
      <c r="O74" s="177"/>
      <c r="P74" s="180">
        <v>1044.98</v>
      </c>
    </row>
    <row r="75" spans="1:16" ht="19.5" customHeight="1">
      <c r="A75" s="172" t="s">
        <v>391</v>
      </c>
      <c r="B75" s="176">
        <v>46034</v>
      </c>
      <c r="C75" s="172" t="s">
        <v>104</v>
      </c>
      <c r="D75" s="172" t="s">
        <v>105</v>
      </c>
      <c r="E75" s="172" t="s">
        <v>41</v>
      </c>
      <c r="F75" s="172" t="s">
        <v>83</v>
      </c>
      <c r="G75" s="172" t="s">
        <v>84</v>
      </c>
      <c r="H75" s="177">
        <v>1</v>
      </c>
      <c r="I75" s="178">
        <v>1600</v>
      </c>
      <c r="J75" s="176">
        <v>46030</v>
      </c>
      <c r="K75" s="172" t="s">
        <v>93</v>
      </c>
      <c r="L75" s="172" t="s">
        <v>94</v>
      </c>
      <c r="M75" s="179">
        <v>0.43</v>
      </c>
      <c r="N75" s="177"/>
      <c r="O75" s="177"/>
      <c r="P75" s="180">
        <v>-688</v>
      </c>
    </row>
    <row r="76" spans="1:16" ht="19.5" customHeight="1">
      <c r="A76" s="172" t="s">
        <v>391</v>
      </c>
      <c r="B76" s="176">
        <v>46034</v>
      </c>
      <c r="C76" s="172" t="s">
        <v>81</v>
      </c>
      <c r="D76" s="172" t="s">
        <v>95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1600</v>
      </c>
      <c r="J76" s="176">
        <v>46030</v>
      </c>
      <c r="K76" s="172" t="s">
        <v>93</v>
      </c>
      <c r="L76" s="172" t="s">
        <v>94</v>
      </c>
      <c r="M76" s="179">
        <v>0.43</v>
      </c>
      <c r="N76" s="177"/>
      <c r="O76" s="177"/>
      <c r="P76" s="180">
        <v>-14.06</v>
      </c>
    </row>
    <row r="77" spans="1:16" ht="19.5" customHeight="1">
      <c r="A77" s="172" t="s">
        <v>392</v>
      </c>
      <c r="B77" s="176">
        <v>46034</v>
      </c>
      <c r="C77" s="172" t="s">
        <v>92</v>
      </c>
      <c r="D77" s="172" t="s">
        <v>24</v>
      </c>
      <c r="E77" s="172" t="s">
        <v>41</v>
      </c>
      <c r="F77" s="172" t="s">
        <v>83</v>
      </c>
      <c r="G77" s="172" t="s">
        <v>84</v>
      </c>
      <c r="H77" s="177">
        <v>1</v>
      </c>
      <c r="I77" s="178">
        <v>1600</v>
      </c>
      <c r="J77" s="176">
        <v>46027</v>
      </c>
      <c r="K77" s="172" t="s">
        <v>93</v>
      </c>
      <c r="L77" s="172" t="s">
        <v>94</v>
      </c>
      <c r="M77" s="179">
        <v>0.43</v>
      </c>
      <c r="N77" s="177"/>
      <c r="O77" s="177">
        <v>45</v>
      </c>
      <c r="P77" s="180">
        <v>-129.16</v>
      </c>
    </row>
    <row r="78" spans="1:16" ht="19.5" customHeight="1">
      <c r="A78" s="172" t="s">
        <v>392</v>
      </c>
      <c r="B78" s="176">
        <v>46034</v>
      </c>
      <c r="C78" s="172" t="s">
        <v>100</v>
      </c>
      <c r="D78" s="172" t="s">
        <v>101</v>
      </c>
      <c r="E78" s="172" t="s">
        <v>41</v>
      </c>
      <c r="F78" s="172" t="s">
        <v>83</v>
      </c>
      <c r="G78" s="172" t="s">
        <v>84</v>
      </c>
      <c r="H78" s="177">
        <v>1</v>
      </c>
      <c r="I78" s="178">
        <v>1600</v>
      </c>
      <c r="J78" s="176">
        <v>46027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549.52</v>
      </c>
    </row>
    <row r="79" spans="1:16" ht="19.5" customHeight="1">
      <c r="A79" s="172" t="s">
        <v>392</v>
      </c>
      <c r="B79" s="176">
        <v>46034</v>
      </c>
      <c r="C79" s="172" t="s">
        <v>100</v>
      </c>
      <c r="D79" s="172" t="s">
        <v>102</v>
      </c>
      <c r="E79" s="172" t="s">
        <v>41</v>
      </c>
      <c r="F79" s="172" t="s">
        <v>83</v>
      </c>
      <c r="G79" s="172" t="s">
        <v>84</v>
      </c>
      <c r="H79" s="177">
        <v>1</v>
      </c>
      <c r="I79" s="178">
        <v>1600</v>
      </c>
      <c r="J79" s="176">
        <v>46027</v>
      </c>
      <c r="K79" s="172" t="s">
        <v>93</v>
      </c>
      <c r="L79" s="172" t="s">
        <v>94</v>
      </c>
      <c r="M79" s="179">
        <v>0</v>
      </c>
      <c r="N79" s="177"/>
      <c r="O79" s="177"/>
      <c r="P79" s="180">
        <v>5.5</v>
      </c>
    </row>
    <row r="80" spans="1:16" ht="19.5" customHeight="1">
      <c r="A80" s="172" t="s">
        <v>392</v>
      </c>
      <c r="B80" s="176">
        <v>46034</v>
      </c>
      <c r="C80" s="172" t="s">
        <v>100</v>
      </c>
      <c r="D80" s="172" t="s">
        <v>103</v>
      </c>
      <c r="E80" s="172" t="s">
        <v>41</v>
      </c>
      <c r="F80" s="172" t="s">
        <v>83</v>
      </c>
      <c r="G80" s="172" t="s">
        <v>84</v>
      </c>
      <c r="H80" s="177">
        <v>1</v>
      </c>
      <c r="I80" s="178">
        <v>1600</v>
      </c>
      <c r="J80" s="176">
        <v>46027</v>
      </c>
      <c r="K80" s="172" t="s">
        <v>93</v>
      </c>
      <c r="L80" s="172" t="s">
        <v>94</v>
      </c>
      <c r="M80" s="179">
        <v>0</v>
      </c>
      <c r="N80" s="177"/>
      <c r="O80" s="177"/>
      <c r="P80" s="180">
        <v>1044.98</v>
      </c>
    </row>
    <row r="81" spans="1:16" ht="19.5" customHeight="1">
      <c r="A81" s="172" t="s">
        <v>392</v>
      </c>
      <c r="B81" s="176">
        <v>46034</v>
      </c>
      <c r="C81" s="172" t="s">
        <v>104</v>
      </c>
      <c r="D81" s="172" t="s">
        <v>105</v>
      </c>
      <c r="E81" s="172" t="s">
        <v>41</v>
      </c>
      <c r="F81" s="172" t="s">
        <v>83</v>
      </c>
      <c r="G81" s="172" t="s">
        <v>84</v>
      </c>
      <c r="H81" s="177">
        <v>1</v>
      </c>
      <c r="I81" s="178">
        <v>1600</v>
      </c>
      <c r="J81" s="176">
        <v>46027</v>
      </c>
      <c r="K81" s="172" t="s">
        <v>93</v>
      </c>
      <c r="L81" s="172" t="s">
        <v>94</v>
      </c>
      <c r="M81" s="179">
        <v>0.43</v>
      </c>
      <c r="N81" s="177"/>
      <c r="O81" s="177"/>
      <c r="P81" s="180">
        <v>-688</v>
      </c>
    </row>
    <row r="82" spans="1:16" ht="19.5" customHeight="1">
      <c r="A82" s="172" t="s">
        <v>392</v>
      </c>
      <c r="B82" s="176">
        <v>46034</v>
      </c>
      <c r="C82" s="172" t="s">
        <v>81</v>
      </c>
      <c r="D82" s="172" t="s">
        <v>95</v>
      </c>
      <c r="E82" s="172" t="s">
        <v>41</v>
      </c>
      <c r="F82" s="172" t="s">
        <v>83</v>
      </c>
      <c r="G82" s="172" t="s">
        <v>84</v>
      </c>
      <c r="H82" s="177">
        <v>1</v>
      </c>
      <c r="I82" s="178">
        <v>1600</v>
      </c>
      <c r="J82" s="176">
        <v>46027</v>
      </c>
      <c r="K82" s="172" t="s">
        <v>93</v>
      </c>
      <c r="L82" s="172" t="s">
        <v>94</v>
      </c>
      <c r="M82" s="179">
        <v>0.43</v>
      </c>
      <c r="N82" s="177"/>
      <c r="O82" s="177"/>
      <c r="P82" s="180">
        <v>-7.17</v>
      </c>
    </row>
    <row r="83" spans="1:16" ht="19.5" customHeight="1">
      <c r="A83" s="172" t="s">
        <v>393</v>
      </c>
      <c r="B83" s="176">
        <v>46034</v>
      </c>
      <c r="C83" s="172" t="s">
        <v>92</v>
      </c>
      <c r="D83" s="172" t="s">
        <v>24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46027</v>
      </c>
      <c r="K83" s="172" t="s">
        <v>93</v>
      </c>
      <c r="L83" s="172" t="s">
        <v>94</v>
      </c>
      <c r="M83" s="179">
        <v>0.43</v>
      </c>
      <c r="N83" s="177"/>
      <c r="O83" s="177">
        <v>45</v>
      </c>
      <c r="P83" s="180">
        <v>-148.01</v>
      </c>
    </row>
    <row r="84" spans="1:16" ht="19.5" customHeight="1">
      <c r="A84" s="172" t="s">
        <v>393</v>
      </c>
      <c r="B84" s="176">
        <v>46034</v>
      </c>
      <c r="C84" s="172" t="s">
        <v>100</v>
      </c>
      <c r="D84" s="172" t="s">
        <v>101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46027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616.55999999999995</v>
      </c>
    </row>
    <row r="85" spans="1:16" ht="19.5" customHeight="1">
      <c r="A85" s="172" t="s">
        <v>393</v>
      </c>
      <c r="B85" s="176">
        <v>46034</v>
      </c>
      <c r="C85" s="172" t="s">
        <v>100</v>
      </c>
      <c r="D85" s="172" t="s">
        <v>102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46027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0</v>
      </c>
    </row>
    <row r="86" spans="1:16" ht="19.5" customHeight="1">
      <c r="A86" s="172" t="s">
        <v>393</v>
      </c>
      <c r="B86" s="176">
        <v>46034</v>
      </c>
      <c r="C86" s="172" t="s">
        <v>100</v>
      </c>
      <c r="D86" s="172" t="s">
        <v>103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46027</v>
      </c>
      <c r="K86" s="172" t="s">
        <v>93</v>
      </c>
      <c r="L86" s="172" t="s">
        <v>94</v>
      </c>
      <c r="M86" s="179">
        <v>0</v>
      </c>
      <c r="N86" s="177"/>
      <c r="O86" s="177"/>
      <c r="P86" s="180">
        <v>1004.44</v>
      </c>
    </row>
    <row r="87" spans="1:16" ht="19.5" customHeight="1">
      <c r="A87" s="172" t="s">
        <v>393</v>
      </c>
      <c r="B87" s="176">
        <v>46034</v>
      </c>
      <c r="C87" s="172" t="s">
        <v>104</v>
      </c>
      <c r="D87" s="172" t="s">
        <v>105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46027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-697.03</v>
      </c>
    </row>
    <row r="88" spans="1:16" ht="19.5" customHeight="1">
      <c r="A88" s="172" t="s">
        <v>393</v>
      </c>
      <c r="B88" s="176">
        <v>46034</v>
      </c>
      <c r="C88" s="172" t="s">
        <v>81</v>
      </c>
      <c r="D88" s="172" t="s">
        <v>95</v>
      </c>
      <c r="E88" s="172" t="s">
        <v>52</v>
      </c>
      <c r="F88" s="172" t="s">
        <v>90</v>
      </c>
      <c r="G88" s="172" t="s">
        <v>84</v>
      </c>
      <c r="H88" s="177">
        <v>1</v>
      </c>
      <c r="I88" s="178">
        <v>1621</v>
      </c>
      <c r="J88" s="176">
        <v>46027</v>
      </c>
      <c r="K88" s="172" t="s">
        <v>93</v>
      </c>
      <c r="L88" s="172" t="s">
        <v>94</v>
      </c>
      <c r="M88" s="179">
        <v>0.43</v>
      </c>
      <c r="N88" s="177"/>
      <c r="O88" s="177"/>
      <c r="P88" s="180">
        <v>-7.85</v>
      </c>
    </row>
    <row r="89" spans="1:16" ht="19.5" customHeight="1">
      <c r="A89" s="172" t="s">
        <v>394</v>
      </c>
      <c r="B89" s="176">
        <v>46034</v>
      </c>
      <c r="C89" s="172" t="s">
        <v>92</v>
      </c>
      <c r="D89" s="172" t="s">
        <v>24</v>
      </c>
      <c r="E89" s="172" t="s">
        <v>52</v>
      </c>
      <c r="F89" s="172" t="s">
        <v>90</v>
      </c>
      <c r="G89" s="172" t="s">
        <v>84</v>
      </c>
      <c r="H89" s="177">
        <v>1</v>
      </c>
      <c r="I89" s="178">
        <v>0</v>
      </c>
      <c r="J89" s="176">
        <v>46020</v>
      </c>
      <c r="K89" s="172" t="s">
        <v>93</v>
      </c>
      <c r="L89" s="172" t="s">
        <v>94</v>
      </c>
      <c r="M89" s="179">
        <v>0</v>
      </c>
      <c r="N89" s="177"/>
      <c r="O89" s="177">
        <v>41</v>
      </c>
      <c r="P89" s="180">
        <v>-56</v>
      </c>
    </row>
    <row r="90" spans="1:16" ht="19.5" customHeight="1">
      <c r="A90" s="172" t="s">
        <v>394</v>
      </c>
      <c r="B90" s="176">
        <v>46034</v>
      </c>
      <c r="C90" s="172" t="s">
        <v>81</v>
      </c>
      <c r="D90" s="172" t="s">
        <v>95</v>
      </c>
      <c r="E90" s="172" t="s">
        <v>52</v>
      </c>
      <c r="F90" s="172" t="s">
        <v>90</v>
      </c>
      <c r="G90" s="172" t="s">
        <v>84</v>
      </c>
      <c r="H90" s="177">
        <v>1</v>
      </c>
      <c r="I90" s="178">
        <v>0</v>
      </c>
      <c r="J90" s="176">
        <v>46020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-8.82</v>
      </c>
    </row>
    <row r="91" spans="1:16" ht="19.5" customHeight="1">
      <c r="A91" s="172" t="s">
        <v>394</v>
      </c>
      <c r="B91" s="176">
        <v>46034</v>
      </c>
      <c r="C91" s="172" t="s">
        <v>92</v>
      </c>
      <c r="D91" s="172" t="s">
        <v>96</v>
      </c>
      <c r="E91" s="172" t="s">
        <v>52</v>
      </c>
      <c r="F91" s="172" t="s">
        <v>90</v>
      </c>
      <c r="G91" s="172" t="s">
        <v>84</v>
      </c>
      <c r="H91" s="177">
        <v>1</v>
      </c>
      <c r="I91" s="178">
        <v>0</v>
      </c>
      <c r="J91" s="176">
        <v>46020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0</v>
      </c>
    </row>
    <row r="92" spans="1:16" ht="19.5" customHeight="1">
      <c r="A92" s="172" t="s">
        <v>394</v>
      </c>
      <c r="B92" s="176">
        <v>46034</v>
      </c>
      <c r="C92" s="172" t="s">
        <v>92</v>
      </c>
      <c r="D92" s="172" t="s">
        <v>97</v>
      </c>
      <c r="E92" s="172" t="s">
        <v>52</v>
      </c>
      <c r="F92" s="172" t="s">
        <v>90</v>
      </c>
      <c r="G92" s="172" t="s">
        <v>84</v>
      </c>
      <c r="H92" s="177">
        <v>1</v>
      </c>
      <c r="I92" s="178">
        <v>0</v>
      </c>
      <c r="J92" s="176">
        <v>46020</v>
      </c>
      <c r="K92" s="172" t="s">
        <v>93</v>
      </c>
      <c r="L92" s="172" t="s">
        <v>94</v>
      </c>
      <c r="M92" s="179">
        <v>0</v>
      </c>
      <c r="N92" s="177"/>
      <c r="O92" s="177"/>
      <c r="P92" s="180">
        <v>-56</v>
      </c>
    </row>
    <row r="93" spans="1:16" ht="19.5" customHeight="1">
      <c r="A93" s="172" t="s">
        <v>394</v>
      </c>
      <c r="B93" s="176">
        <v>46034</v>
      </c>
      <c r="C93" s="172" t="s">
        <v>81</v>
      </c>
      <c r="D93" s="172" t="s">
        <v>98</v>
      </c>
      <c r="E93" s="172" t="s">
        <v>52</v>
      </c>
      <c r="F93" s="172" t="s">
        <v>90</v>
      </c>
      <c r="G93" s="172" t="s">
        <v>84</v>
      </c>
      <c r="H93" s="177">
        <v>1</v>
      </c>
      <c r="I93" s="178">
        <v>0</v>
      </c>
      <c r="J93" s="176">
        <v>46020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-15</v>
      </c>
    </row>
    <row r="94" spans="1:16" ht="19.5" customHeight="1">
      <c r="A94" s="172" t="s">
        <v>393</v>
      </c>
      <c r="B94" s="176">
        <v>46034</v>
      </c>
      <c r="C94" s="172" t="s">
        <v>81</v>
      </c>
      <c r="D94" s="172" t="s">
        <v>82</v>
      </c>
      <c r="E94" s="172" t="s">
        <v>52</v>
      </c>
      <c r="F94" s="172" t="s">
        <v>90</v>
      </c>
      <c r="G94" s="172" t="s">
        <v>84</v>
      </c>
      <c r="H94" s="177">
        <v>1</v>
      </c>
      <c r="I94" s="178">
        <v>0</v>
      </c>
      <c r="J94" s="176">
        <v>46027</v>
      </c>
      <c r="K94" s="172" t="s">
        <v>85</v>
      </c>
      <c r="L94" s="172" t="s">
        <v>85</v>
      </c>
      <c r="M94" s="179">
        <v>0</v>
      </c>
      <c r="N94" s="177"/>
      <c r="O94" s="177"/>
      <c r="P94" s="180">
        <v>-4.7300000000000004</v>
      </c>
    </row>
    <row r="95" spans="1:16" ht="19.5" customHeight="1">
      <c r="A95" s="172" t="s">
        <v>395</v>
      </c>
      <c r="B95" s="176">
        <v>46034</v>
      </c>
      <c r="C95" s="172" t="s">
        <v>92</v>
      </c>
      <c r="D95" s="172" t="s">
        <v>24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0</v>
      </c>
      <c r="J95" s="176">
        <v>46027</v>
      </c>
      <c r="K95" s="172" t="s">
        <v>93</v>
      </c>
      <c r="L95" s="172" t="s">
        <v>94</v>
      </c>
      <c r="M95" s="179">
        <v>0</v>
      </c>
      <c r="N95" s="177"/>
      <c r="O95" s="177">
        <v>45</v>
      </c>
      <c r="P95" s="180">
        <v>-56</v>
      </c>
    </row>
    <row r="96" spans="1:16" ht="19.5" customHeight="1">
      <c r="A96" s="172" t="s">
        <v>395</v>
      </c>
      <c r="B96" s="176">
        <v>46034</v>
      </c>
      <c r="C96" s="172" t="s">
        <v>81</v>
      </c>
      <c r="D96" s="172" t="s">
        <v>95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0</v>
      </c>
      <c r="J96" s="176">
        <v>46027</v>
      </c>
      <c r="K96" s="172" t="s">
        <v>93</v>
      </c>
      <c r="L96" s="172" t="s">
        <v>94</v>
      </c>
      <c r="M96" s="179">
        <v>0</v>
      </c>
      <c r="N96" s="177"/>
      <c r="O96" s="177"/>
      <c r="P96" s="180">
        <v>-11.25</v>
      </c>
    </row>
    <row r="97" spans="1:16" ht="19.5" customHeight="1">
      <c r="A97" s="172" t="s">
        <v>395</v>
      </c>
      <c r="B97" s="176">
        <v>46034</v>
      </c>
      <c r="C97" s="172" t="s">
        <v>92</v>
      </c>
      <c r="D97" s="172" t="s">
        <v>96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46027</v>
      </c>
      <c r="K97" s="172" t="s">
        <v>93</v>
      </c>
      <c r="L97" s="172" t="s">
        <v>94</v>
      </c>
      <c r="M97" s="179">
        <v>0</v>
      </c>
      <c r="N97" s="177"/>
      <c r="O97" s="177"/>
      <c r="P97" s="180">
        <v>0</v>
      </c>
    </row>
    <row r="98" spans="1:16" ht="19.5" customHeight="1">
      <c r="A98" s="172" t="s">
        <v>395</v>
      </c>
      <c r="B98" s="176">
        <v>46034</v>
      </c>
      <c r="C98" s="172" t="s">
        <v>92</v>
      </c>
      <c r="D98" s="172" t="s">
        <v>97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46027</v>
      </c>
      <c r="K98" s="172" t="s">
        <v>93</v>
      </c>
      <c r="L98" s="172" t="s">
        <v>94</v>
      </c>
      <c r="M98" s="179">
        <v>0</v>
      </c>
      <c r="N98" s="177"/>
      <c r="O98" s="177"/>
      <c r="P98" s="180">
        <v>-56</v>
      </c>
    </row>
    <row r="99" spans="1:16" ht="19.5" customHeight="1">
      <c r="A99" s="172" t="s">
        <v>395</v>
      </c>
      <c r="B99" s="176">
        <v>46034</v>
      </c>
      <c r="C99" s="172" t="s">
        <v>81</v>
      </c>
      <c r="D99" s="172" t="s">
        <v>98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46027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-15</v>
      </c>
    </row>
    <row r="100" spans="1:16" ht="19.5" customHeight="1">
      <c r="A100" s="172" t="s">
        <v>396</v>
      </c>
      <c r="B100" s="176">
        <v>46034</v>
      </c>
      <c r="C100" s="172" t="s">
        <v>92</v>
      </c>
      <c r="D100" s="172" t="s">
        <v>24</v>
      </c>
      <c r="E100" s="172" t="s">
        <v>52</v>
      </c>
      <c r="F100" s="172" t="s">
        <v>90</v>
      </c>
      <c r="G100" s="172" t="s">
        <v>84</v>
      </c>
      <c r="H100" s="177">
        <v>1</v>
      </c>
      <c r="I100" s="178">
        <v>1621</v>
      </c>
      <c r="J100" s="176">
        <v>46033</v>
      </c>
      <c r="K100" s="172" t="s">
        <v>93</v>
      </c>
      <c r="L100" s="172" t="s">
        <v>94</v>
      </c>
      <c r="M100" s="179">
        <v>0.43</v>
      </c>
      <c r="N100" s="177"/>
      <c r="O100" s="177">
        <v>42</v>
      </c>
      <c r="P100" s="180">
        <v>-134.12</v>
      </c>
    </row>
    <row r="101" spans="1:16" ht="19.5" customHeight="1">
      <c r="A101" s="172" t="s">
        <v>396</v>
      </c>
      <c r="B101" s="176">
        <v>46034</v>
      </c>
      <c r="C101" s="172" t="s">
        <v>100</v>
      </c>
      <c r="D101" s="172" t="s">
        <v>101</v>
      </c>
      <c r="E101" s="172" t="s">
        <v>52</v>
      </c>
      <c r="F101" s="172" t="s">
        <v>90</v>
      </c>
      <c r="G101" s="172" t="s">
        <v>84</v>
      </c>
      <c r="H101" s="177">
        <v>1</v>
      </c>
      <c r="I101" s="178">
        <v>1621</v>
      </c>
      <c r="J101" s="176">
        <v>46033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557.14</v>
      </c>
    </row>
    <row r="102" spans="1:16" ht="19.5" customHeight="1">
      <c r="A102" s="172" t="s">
        <v>396</v>
      </c>
      <c r="B102" s="176">
        <v>46034</v>
      </c>
      <c r="C102" s="172" t="s">
        <v>100</v>
      </c>
      <c r="D102" s="172" t="s">
        <v>102</v>
      </c>
      <c r="E102" s="172" t="s">
        <v>52</v>
      </c>
      <c r="F102" s="172" t="s">
        <v>90</v>
      </c>
      <c r="G102" s="172" t="s">
        <v>84</v>
      </c>
      <c r="H102" s="177">
        <v>1</v>
      </c>
      <c r="I102" s="178">
        <v>1621</v>
      </c>
      <c r="J102" s="176">
        <v>46033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5.57</v>
      </c>
    </row>
    <row r="103" spans="1:16" ht="19.5" customHeight="1">
      <c r="A103" s="172" t="s">
        <v>396</v>
      </c>
      <c r="B103" s="176">
        <v>46034</v>
      </c>
      <c r="C103" s="172" t="s">
        <v>100</v>
      </c>
      <c r="D103" s="172" t="s">
        <v>103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1621</v>
      </c>
      <c r="J103" s="176">
        <v>46033</v>
      </c>
      <c r="K103" s="172" t="s">
        <v>93</v>
      </c>
      <c r="L103" s="172" t="s">
        <v>94</v>
      </c>
      <c r="M103" s="179">
        <v>0</v>
      </c>
      <c r="N103" s="177"/>
      <c r="O103" s="177"/>
      <c r="P103" s="180">
        <v>1058.29</v>
      </c>
    </row>
    <row r="104" spans="1:16" ht="19.5" customHeight="1">
      <c r="A104" s="172" t="s">
        <v>396</v>
      </c>
      <c r="B104" s="176">
        <v>46034</v>
      </c>
      <c r="C104" s="172" t="s">
        <v>104</v>
      </c>
      <c r="D104" s="172" t="s">
        <v>105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46033</v>
      </c>
      <c r="K104" s="172" t="s">
        <v>93</v>
      </c>
      <c r="L104" s="172" t="s">
        <v>94</v>
      </c>
      <c r="M104" s="179">
        <v>0.43</v>
      </c>
      <c r="N104" s="177"/>
      <c r="O104" s="177"/>
      <c r="P104" s="180">
        <v>-697.03</v>
      </c>
    </row>
    <row r="105" spans="1:16" ht="19.5" customHeight="1">
      <c r="A105" s="172" t="s">
        <v>396</v>
      </c>
      <c r="B105" s="176">
        <v>46034</v>
      </c>
      <c r="C105" s="172" t="s">
        <v>81</v>
      </c>
      <c r="D105" s="172" t="s">
        <v>95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46033</v>
      </c>
      <c r="K105" s="172" t="s">
        <v>93</v>
      </c>
      <c r="L105" s="172" t="s">
        <v>94</v>
      </c>
      <c r="M105" s="179">
        <v>0.43</v>
      </c>
      <c r="N105" s="177"/>
      <c r="O105" s="177"/>
      <c r="P105" s="180">
        <v>-6.05</v>
      </c>
    </row>
    <row r="106" spans="1:16" ht="19.5" customHeight="1">
      <c r="A106" s="172" t="s">
        <v>397</v>
      </c>
      <c r="B106" s="176">
        <v>46034</v>
      </c>
      <c r="C106" s="172" t="s">
        <v>92</v>
      </c>
      <c r="D106" s="172" t="s">
        <v>24</v>
      </c>
      <c r="E106" s="172" t="s">
        <v>41</v>
      </c>
      <c r="F106" s="172" t="s">
        <v>83</v>
      </c>
      <c r="G106" s="172" t="s">
        <v>84</v>
      </c>
      <c r="H106" s="177">
        <v>1</v>
      </c>
      <c r="I106" s="178">
        <v>1600</v>
      </c>
      <c r="J106" s="176">
        <v>46029</v>
      </c>
      <c r="K106" s="172" t="s">
        <v>93</v>
      </c>
      <c r="L106" s="172" t="s">
        <v>94</v>
      </c>
      <c r="M106" s="179">
        <v>0.43</v>
      </c>
      <c r="N106" s="177"/>
      <c r="O106" s="177">
        <v>43</v>
      </c>
      <c r="P106" s="180">
        <v>-121.6</v>
      </c>
    </row>
    <row r="107" spans="1:16" ht="19.5" customHeight="1">
      <c r="A107" s="172" t="s">
        <v>397</v>
      </c>
      <c r="B107" s="176">
        <v>46034</v>
      </c>
      <c r="C107" s="172" t="s">
        <v>100</v>
      </c>
      <c r="D107" s="172" t="s">
        <v>101</v>
      </c>
      <c r="E107" s="172" t="s">
        <v>41</v>
      </c>
      <c r="F107" s="172" t="s">
        <v>83</v>
      </c>
      <c r="G107" s="172" t="s">
        <v>84</v>
      </c>
      <c r="H107" s="177">
        <v>1</v>
      </c>
      <c r="I107" s="178">
        <v>1600</v>
      </c>
      <c r="J107" s="176">
        <v>46029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549.52</v>
      </c>
    </row>
    <row r="108" spans="1:16" ht="19.5" customHeight="1">
      <c r="A108" s="172" t="s">
        <v>397</v>
      </c>
      <c r="B108" s="176">
        <v>46034</v>
      </c>
      <c r="C108" s="172" t="s">
        <v>100</v>
      </c>
      <c r="D108" s="172" t="s">
        <v>102</v>
      </c>
      <c r="E108" s="172" t="s">
        <v>41</v>
      </c>
      <c r="F108" s="172" t="s">
        <v>83</v>
      </c>
      <c r="G108" s="172" t="s">
        <v>84</v>
      </c>
      <c r="H108" s="177">
        <v>1</v>
      </c>
      <c r="I108" s="178">
        <v>1600</v>
      </c>
      <c r="J108" s="176">
        <v>46029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5.5</v>
      </c>
    </row>
    <row r="109" spans="1:16" ht="19.5" customHeight="1">
      <c r="A109" s="172" t="s">
        <v>397</v>
      </c>
      <c r="B109" s="176">
        <v>46034</v>
      </c>
      <c r="C109" s="172" t="s">
        <v>100</v>
      </c>
      <c r="D109" s="172" t="s">
        <v>103</v>
      </c>
      <c r="E109" s="172" t="s">
        <v>41</v>
      </c>
      <c r="F109" s="172" t="s">
        <v>83</v>
      </c>
      <c r="G109" s="172" t="s">
        <v>84</v>
      </c>
      <c r="H109" s="177">
        <v>1</v>
      </c>
      <c r="I109" s="178">
        <v>1600</v>
      </c>
      <c r="J109" s="176">
        <v>46029</v>
      </c>
      <c r="K109" s="172" t="s">
        <v>93</v>
      </c>
      <c r="L109" s="172" t="s">
        <v>94</v>
      </c>
      <c r="M109" s="179">
        <v>0</v>
      </c>
      <c r="N109" s="177"/>
      <c r="O109" s="177"/>
      <c r="P109" s="180">
        <v>1044.98</v>
      </c>
    </row>
    <row r="110" spans="1:16" ht="19.5" customHeight="1">
      <c r="A110" s="172" t="s">
        <v>397</v>
      </c>
      <c r="B110" s="176">
        <v>46034</v>
      </c>
      <c r="C110" s="172" t="s">
        <v>104</v>
      </c>
      <c r="D110" s="172" t="s">
        <v>105</v>
      </c>
      <c r="E110" s="172" t="s">
        <v>41</v>
      </c>
      <c r="F110" s="172" t="s">
        <v>83</v>
      </c>
      <c r="G110" s="172" t="s">
        <v>84</v>
      </c>
      <c r="H110" s="177">
        <v>1</v>
      </c>
      <c r="I110" s="178">
        <v>1600</v>
      </c>
      <c r="J110" s="176">
        <v>46029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-688</v>
      </c>
    </row>
    <row r="111" spans="1:16" ht="19.5" customHeight="1">
      <c r="A111" s="172" t="s">
        <v>397</v>
      </c>
      <c r="B111" s="176">
        <v>46034</v>
      </c>
      <c r="C111" s="172" t="s">
        <v>81</v>
      </c>
      <c r="D111" s="172" t="s">
        <v>95</v>
      </c>
      <c r="E111" s="172" t="s">
        <v>41</v>
      </c>
      <c r="F111" s="172" t="s">
        <v>83</v>
      </c>
      <c r="G111" s="172" t="s">
        <v>84</v>
      </c>
      <c r="H111" s="177">
        <v>1</v>
      </c>
      <c r="I111" s="178">
        <v>1600</v>
      </c>
      <c r="J111" s="176">
        <v>46029</v>
      </c>
      <c r="K111" s="172" t="s">
        <v>93</v>
      </c>
      <c r="L111" s="172" t="s">
        <v>94</v>
      </c>
      <c r="M111" s="179">
        <v>0.43</v>
      </c>
      <c r="N111" s="177"/>
      <c r="O111" s="177"/>
      <c r="P111" s="180">
        <v>-16.73</v>
      </c>
    </row>
    <row r="112" spans="1:16" ht="19.5" customHeight="1">
      <c r="A112" s="172" t="s">
        <v>396</v>
      </c>
      <c r="B112" s="176">
        <v>46034</v>
      </c>
      <c r="C112" s="172" t="s">
        <v>81</v>
      </c>
      <c r="D112" s="172" t="s">
        <v>82</v>
      </c>
      <c r="E112" s="172" t="s">
        <v>52</v>
      </c>
      <c r="F112" s="172" t="s">
        <v>90</v>
      </c>
      <c r="G112" s="172" t="s">
        <v>84</v>
      </c>
      <c r="H112" s="177">
        <v>1</v>
      </c>
      <c r="I112" s="178">
        <v>0</v>
      </c>
      <c r="J112" s="176">
        <v>46033</v>
      </c>
      <c r="K112" s="172" t="s">
        <v>85</v>
      </c>
      <c r="L112" s="172" t="s">
        <v>85</v>
      </c>
      <c r="M112" s="179">
        <v>0</v>
      </c>
      <c r="N112" s="177"/>
      <c r="O112" s="177"/>
      <c r="P112" s="180">
        <v>-10.59</v>
      </c>
    </row>
    <row r="113" spans="1:16" ht="19.5" customHeight="1">
      <c r="A113" s="172" t="s">
        <v>398</v>
      </c>
      <c r="B113" s="176">
        <v>46034</v>
      </c>
      <c r="C113" s="172" t="s">
        <v>81</v>
      </c>
      <c r="D113" s="172" t="s">
        <v>82</v>
      </c>
      <c r="E113" s="172" t="s">
        <v>52</v>
      </c>
      <c r="F113" s="172" t="s">
        <v>90</v>
      </c>
      <c r="G113" s="172" t="s">
        <v>84</v>
      </c>
      <c r="H113" s="177">
        <v>1</v>
      </c>
      <c r="I113" s="178">
        <v>0</v>
      </c>
      <c r="J113" s="176">
        <v>46034</v>
      </c>
      <c r="K113" s="172" t="s">
        <v>85</v>
      </c>
      <c r="L113" s="172" t="s">
        <v>85</v>
      </c>
      <c r="M113" s="179">
        <v>0</v>
      </c>
      <c r="N113" s="177"/>
      <c r="O113" s="177"/>
      <c r="P113" s="180">
        <v>-4.75</v>
      </c>
    </row>
    <row r="114" spans="1:16" ht="19.5" customHeight="1">
      <c r="A114" s="172" t="s">
        <v>399</v>
      </c>
      <c r="B114" s="176">
        <v>46034</v>
      </c>
      <c r="C114" s="172" t="s">
        <v>92</v>
      </c>
      <c r="D114" s="172" t="s">
        <v>24</v>
      </c>
      <c r="E114" s="172" t="s">
        <v>52</v>
      </c>
      <c r="F114" s="172" t="s">
        <v>90</v>
      </c>
      <c r="G114" s="172" t="s">
        <v>84</v>
      </c>
      <c r="H114" s="177">
        <v>1</v>
      </c>
      <c r="I114" s="178">
        <v>1621</v>
      </c>
      <c r="J114" s="176">
        <v>46031</v>
      </c>
      <c r="K114" s="172" t="s">
        <v>93</v>
      </c>
      <c r="L114" s="172" t="s">
        <v>94</v>
      </c>
      <c r="M114" s="179">
        <v>0.43</v>
      </c>
      <c r="N114" s="177"/>
      <c r="O114" s="177">
        <v>42</v>
      </c>
      <c r="P114" s="180">
        <v>-134.12</v>
      </c>
    </row>
    <row r="115" spans="1:16" ht="19.5" customHeight="1">
      <c r="A115" s="172" t="s">
        <v>399</v>
      </c>
      <c r="B115" s="176">
        <v>46034</v>
      </c>
      <c r="C115" s="172" t="s">
        <v>100</v>
      </c>
      <c r="D115" s="172" t="s">
        <v>101</v>
      </c>
      <c r="E115" s="172" t="s">
        <v>52</v>
      </c>
      <c r="F115" s="172" t="s">
        <v>90</v>
      </c>
      <c r="G115" s="172" t="s">
        <v>84</v>
      </c>
      <c r="H115" s="177">
        <v>1</v>
      </c>
      <c r="I115" s="178">
        <v>1621</v>
      </c>
      <c r="J115" s="176">
        <v>46031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557.14</v>
      </c>
    </row>
    <row r="116" spans="1:16" ht="19.5" customHeight="1">
      <c r="A116" s="172" t="s">
        <v>399</v>
      </c>
      <c r="B116" s="176">
        <v>46034</v>
      </c>
      <c r="C116" s="172" t="s">
        <v>100</v>
      </c>
      <c r="D116" s="172" t="s">
        <v>102</v>
      </c>
      <c r="E116" s="172" t="s">
        <v>52</v>
      </c>
      <c r="F116" s="172" t="s">
        <v>90</v>
      </c>
      <c r="G116" s="172" t="s">
        <v>84</v>
      </c>
      <c r="H116" s="177">
        <v>1</v>
      </c>
      <c r="I116" s="178">
        <v>1621</v>
      </c>
      <c r="J116" s="176">
        <v>46031</v>
      </c>
      <c r="K116" s="172" t="s">
        <v>93</v>
      </c>
      <c r="L116" s="172" t="s">
        <v>94</v>
      </c>
      <c r="M116" s="179">
        <v>0</v>
      </c>
      <c r="N116" s="177"/>
      <c r="O116" s="177"/>
      <c r="P116" s="180">
        <v>5.57</v>
      </c>
    </row>
    <row r="117" spans="1:16" ht="19.5" customHeight="1">
      <c r="A117" s="172" t="s">
        <v>399</v>
      </c>
      <c r="B117" s="176">
        <v>46034</v>
      </c>
      <c r="C117" s="172" t="s">
        <v>100</v>
      </c>
      <c r="D117" s="172" t="s">
        <v>103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1621</v>
      </c>
      <c r="J117" s="176">
        <v>46031</v>
      </c>
      <c r="K117" s="172" t="s">
        <v>93</v>
      </c>
      <c r="L117" s="172" t="s">
        <v>94</v>
      </c>
      <c r="M117" s="179">
        <v>0</v>
      </c>
      <c r="N117" s="177"/>
      <c r="O117" s="177"/>
      <c r="P117" s="180">
        <v>1058.29</v>
      </c>
    </row>
    <row r="118" spans="1:16" ht="19.5" customHeight="1">
      <c r="A118" s="172" t="s">
        <v>399</v>
      </c>
      <c r="B118" s="176">
        <v>46034</v>
      </c>
      <c r="C118" s="172" t="s">
        <v>104</v>
      </c>
      <c r="D118" s="172" t="s">
        <v>105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1621</v>
      </c>
      <c r="J118" s="176">
        <v>46031</v>
      </c>
      <c r="K118" s="172" t="s">
        <v>93</v>
      </c>
      <c r="L118" s="172" t="s">
        <v>94</v>
      </c>
      <c r="M118" s="179">
        <v>0.43</v>
      </c>
      <c r="N118" s="177"/>
      <c r="O118" s="177"/>
      <c r="P118" s="180">
        <v>-697.03</v>
      </c>
    </row>
    <row r="119" spans="1:16" ht="19.5" customHeight="1">
      <c r="A119" s="172" t="s">
        <v>399</v>
      </c>
      <c r="B119" s="176">
        <v>46034</v>
      </c>
      <c r="C119" s="172" t="s">
        <v>81</v>
      </c>
      <c r="D119" s="172" t="s">
        <v>95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46031</v>
      </c>
      <c r="K119" s="172" t="s">
        <v>93</v>
      </c>
      <c r="L119" s="172" t="s">
        <v>94</v>
      </c>
      <c r="M119" s="179">
        <v>0.43</v>
      </c>
      <c r="N119" s="177"/>
      <c r="O119" s="177"/>
      <c r="P119" s="180">
        <v>-9.91</v>
      </c>
    </row>
    <row r="120" spans="1:16" ht="19.5" customHeight="1">
      <c r="A120" s="172" t="s">
        <v>400</v>
      </c>
      <c r="B120" s="176">
        <v>46034</v>
      </c>
      <c r="C120" s="172" t="s">
        <v>81</v>
      </c>
      <c r="D120" s="172" t="s">
        <v>82</v>
      </c>
      <c r="E120" s="172" t="s">
        <v>39</v>
      </c>
      <c r="F120" s="172" t="s">
        <v>117</v>
      </c>
      <c r="G120" s="172" t="s">
        <v>84</v>
      </c>
      <c r="H120" s="177">
        <v>1</v>
      </c>
      <c r="I120" s="178">
        <v>0</v>
      </c>
      <c r="J120" s="176">
        <v>46034</v>
      </c>
      <c r="K120" s="172" t="s">
        <v>85</v>
      </c>
      <c r="L120" s="172" t="s">
        <v>85</v>
      </c>
      <c r="M120" s="179">
        <v>0</v>
      </c>
      <c r="N120" s="177"/>
      <c r="O120" s="177"/>
      <c r="P120" s="180">
        <v>-11.57</v>
      </c>
    </row>
    <row r="121" spans="1:16" ht="19.5" customHeight="1">
      <c r="A121" s="172" t="s">
        <v>399</v>
      </c>
      <c r="B121" s="176">
        <v>46034</v>
      </c>
      <c r="C121" s="172" t="s">
        <v>81</v>
      </c>
      <c r="D121" s="172" t="s">
        <v>82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0</v>
      </c>
      <c r="J121" s="176">
        <v>46031</v>
      </c>
      <c r="K121" s="172" t="s">
        <v>85</v>
      </c>
      <c r="L121" s="172" t="s">
        <v>85</v>
      </c>
      <c r="M121" s="179">
        <v>0</v>
      </c>
      <c r="N121" s="177"/>
      <c r="O121" s="177"/>
      <c r="P121" s="180">
        <v>-10.59</v>
      </c>
    </row>
    <row r="122" spans="1:16" ht="19.5" customHeight="1">
      <c r="A122" s="172" t="s">
        <v>401</v>
      </c>
      <c r="B122" s="176">
        <v>46034</v>
      </c>
      <c r="C122" s="172" t="s">
        <v>92</v>
      </c>
      <c r="D122" s="172" t="s">
        <v>24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46032</v>
      </c>
      <c r="K122" s="172" t="s">
        <v>93</v>
      </c>
      <c r="L122" s="172" t="s">
        <v>94</v>
      </c>
      <c r="M122" s="179">
        <v>0.43</v>
      </c>
      <c r="N122" s="177"/>
      <c r="O122" s="177">
        <v>41</v>
      </c>
      <c r="P122" s="180">
        <v>-130.01</v>
      </c>
    </row>
    <row r="123" spans="1:16" ht="19.5" customHeight="1">
      <c r="A123" s="172" t="s">
        <v>401</v>
      </c>
      <c r="B123" s="176">
        <v>46034</v>
      </c>
      <c r="C123" s="172" t="s">
        <v>100</v>
      </c>
      <c r="D123" s="172" t="s">
        <v>101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46032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556.61</v>
      </c>
    </row>
    <row r="124" spans="1:16" ht="19.5" customHeight="1">
      <c r="A124" s="172" t="s">
        <v>401</v>
      </c>
      <c r="B124" s="176">
        <v>46034</v>
      </c>
      <c r="C124" s="172" t="s">
        <v>100</v>
      </c>
      <c r="D124" s="172" t="s">
        <v>102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46032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5.57</v>
      </c>
    </row>
    <row r="125" spans="1:16" ht="19.5" customHeight="1">
      <c r="A125" s="172" t="s">
        <v>401</v>
      </c>
      <c r="B125" s="176">
        <v>46034</v>
      </c>
      <c r="C125" s="172" t="s">
        <v>100</v>
      </c>
      <c r="D125" s="172" t="s">
        <v>103</v>
      </c>
      <c r="E125" s="172" t="s">
        <v>52</v>
      </c>
      <c r="F125" s="172" t="s">
        <v>90</v>
      </c>
      <c r="G125" s="172" t="s">
        <v>84</v>
      </c>
      <c r="H125" s="177">
        <v>1</v>
      </c>
      <c r="I125" s="178">
        <v>1621</v>
      </c>
      <c r="J125" s="176">
        <v>46032</v>
      </c>
      <c r="K125" s="172" t="s">
        <v>93</v>
      </c>
      <c r="L125" s="172" t="s">
        <v>94</v>
      </c>
      <c r="M125" s="179">
        <v>0</v>
      </c>
      <c r="N125" s="177"/>
      <c r="O125" s="177"/>
      <c r="P125" s="180">
        <v>1058.82</v>
      </c>
    </row>
    <row r="126" spans="1:16" ht="19.5" customHeight="1">
      <c r="A126" s="172" t="s">
        <v>401</v>
      </c>
      <c r="B126" s="176">
        <v>46034</v>
      </c>
      <c r="C126" s="172" t="s">
        <v>104</v>
      </c>
      <c r="D126" s="172" t="s">
        <v>105</v>
      </c>
      <c r="E126" s="172" t="s">
        <v>52</v>
      </c>
      <c r="F126" s="172" t="s">
        <v>90</v>
      </c>
      <c r="G126" s="172" t="s">
        <v>84</v>
      </c>
      <c r="H126" s="177">
        <v>1</v>
      </c>
      <c r="I126" s="178">
        <v>1621</v>
      </c>
      <c r="J126" s="176">
        <v>46032</v>
      </c>
      <c r="K126" s="172" t="s">
        <v>93</v>
      </c>
      <c r="L126" s="172" t="s">
        <v>94</v>
      </c>
      <c r="M126" s="179">
        <v>0.43</v>
      </c>
      <c r="N126" s="177"/>
      <c r="O126" s="177"/>
      <c r="P126" s="180">
        <v>-697.03</v>
      </c>
    </row>
    <row r="127" spans="1:16" ht="19.5" customHeight="1">
      <c r="A127" s="172" t="s">
        <v>401</v>
      </c>
      <c r="B127" s="176">
        <v>46034</v>
      </c>
      <c r="C127" s="172" t="s">
        <v>81</v>
      </c>
      <c r="D127" s="172" t="s">
        <v>95</v>
      </c>
      <c r="E127" s="172" t="s">
        <v>52</v>
      </c>
      <c r="F127" s="172" t="s">
        <v>90</v>
      </c>
      <c r="G127" s="172" t="s">
        <v>84</v>
      </c>
      <c r="H127" s="177">
        <v>1</v>
      </c>
      <c r="I127" s="178">
        <v>1621</v>
      </c>
      <c r="J127" s="176">
        <v>46032</v>
      </c>
      <c r="K127" s="172" t="s">
        <v>93</v>
      </c>
      <c r="L127" s="172" t="s">
        <v>94</v>
      </c>
      <c r="M127" s="179">
        <v>0.43</v>
      </c>
      <c r="N127" s="177"/>
      <c r="O127" s="177"/>
      <c r="P127" s="180">
        <v>-7.61</v>
      </c>
    </row>
    <row r="128" spans="1:16" ht="19.5" customHeight="1">
      <c r="A128" s="172" t="s">
        <v>401</v>
      </c>
      <c r="B128" s="176">
        <v>46034</v>
      </c>
      <c r="C128" s="172" t="s">
        <v>166</v>
      </c>
      <c r="D128" s="172" t="s">
        <v>167</v>
      </c>
      <c r="E128" s="172" t="s">
        <v>52</v>
      </c>
      <c r="F128" s="172" t="s">
        <v>90</v>
      </c>
      <c r="G128" s="172" t="s">
        <v>84</v>
      </c>
      <c r="H128" s="177">
        <v>1</v>
      </c>
      <c r="I128" s="178">
        <v>-1621</v>
      </c>
      <c r="J128" s="176">
        <v>46032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-556.61</v>
      </c>
    </row>
    <row r="129" spans="1:16" ht="19.5" customHeight="1">
      <c r="A129" s="172" t="s">
        <v>401</v>
      </c>
      <c r="B129" s="176">
        <v>46034</v>
      </c>
      <c r="C129" s="172" t="s">
        <v>166</v>
      </c>
      <c r="D129" s="172" t="s">
        <v>102</v>
      </c>
      <c r="E129" s="172" t="s">
        <v>52</v>
      </c>
      <c r="F129" s="172" t="s">
        <v>90</v>
      </c>
      <c r="G129" s="172" t="s">
        <v>84</v>
      </c>
      <c r="H129" s="177">
        <v>1</v>
      </c>
      <c r="I129" s="178">
        <v>-1621</v>
      </c>
      <c r="J129" s="176">
        <v>46032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-5.57</v>
      </c>
    </row>
    <row r="130" spans="1:16" ht="19.5" customHeight="1">
      <c r="A130" s="172" t="s">
        <v>401</v>
      </c>
      <c r="B130" s="176">
        <v>46034</v>
      </c>
      <c r="C130" s="172" t="s">
        <v>166</v>
      </c>
      <c r="D130" s="172" t="s">
        <v>103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-1621</v>
      </c>
      <c r="J130" s="176">
        <v>46032</v>
      </c>
      <c r="K130" s="172" t="s">
        <v>93</v>
      </c>
      <c r="L130" s="172" t="s">
        <v>94</v>
      </c>
      <c r="M130" s="179">
        <v>0</v>
      </c>
      <c r="N130" s="177"/>
      <c r="O130" s="177"/>
      <c r="P130" s="180">
        <v>-1058.82</v>
      </c>
    </row>
    <row r="131" spans="1:16" ht="19.5" customHeight="1">
      <c r="A131" s="172" t="s">
        <v>401</v>
      </c>
      <c r="B131" s="176">
        <v>46034</v>
      </c>
      <c r="C131" s="172" t="s">
        <v>104</v>
      </c>
      <c r="D131" s="172" t="s">
        <v>168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-1621</v>
      </c>
      <c r="J131" s="176">
        <v>46032</v>
      </c>
      <c r="K131" s="172" t="s">
        <v>93</v>
      </c>
      <c r="L131" s="172" t="s">
        <v>94</v>
      </c>
      <c r="M131" s="179">
        <v>0.43</v>
      </c>
      <c r="N131" s="177"/>
      <c r="O131" s="177"/>
      <c r="P131" s="180">
        <v>697.03</v>
      </c>
    </row>
    <row r="132" spans="1:16" ht="19.5" customHeight="1">
      <c r="A132" s="172" t="s">
        <v>402</v>
      </c>
      <c r="B132" s="176">
        <v>46034</v>
      </c>
      <c r="C132" s="172" t="s">
        <v>81</v>
      </c>
      <c r="D132" s="172" t="s">
        <v>82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0</v>
      </c>
      <c r="J132" s="176">
        <v>46032</v>
      </c>
      <c r="K132" s="172" t="s">
        <v>85</v>
      </c>
      <c r="L132" s="172" t="s">
        <v>85</v>
      </c>
      <c r="M132" s="179">
        <v>0</v>
      </c>
      <c r="N132" s="177"/>
      <c r="O132" s="177"/>
      <c r="P132" s="180">
        <v>10.58</v>
      </c>
    </row>
    <row r="133" spans="1:16" ht="19.5" customHeight="1">
      <c r="A133" s="172" t="s">
        <v>403</v>
      </c>
      <c r="B133" s="176">
        <v>46034</v>
      </c>
      <c r="C133" s="172" t="s">
        <v>92</v>
      </c>
      <c r="D133" s="172" t="s">
        <v>96</v>
      </c>
      <c r="E133" s="172" t="s">
        <v>53</v>
      </c>
      <c r="F133" s="172" t="s">
        <v>120</v>
      </c>
      <c r="G133" s="172" t="s">
        <v>84</v>
      </c>
      <c r="H133" s="177">
        <v>1</v>
      </c>
      <c r="I133" s="178">
        <v>0</v>
      </c>
      <c r="J133" s="176">
        <v>46012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0</v>
      </c>
    </row>
    <row r="134" spans="1:16" ht="19.5" customHeight="1">
      <c r="A134" s="172" t="s">
        <v>403</v>
      </c>
      <c r="B134" s="176">
        <v>46034</v>
      </c>
      <c r="C134" s="172" t="s">
        <v>92</v>
      </c>
      <c r="D134" s="172" t="s">
        <v>97</v>
      </c>
      <c r="E134" s="172" t="s">
        <v>53</v>
      </c>
      <c r="F134" s="172" t="s">
        <v>120</v>
      </c>
      <c r="G134" s="172" t="s">
        <v>84</v>
      </c>
      <c r="H134" s="177">
        <v>1</v>
      </c>
      <c r="I134" s="178">
        <v>0</v>
      </c>
      <c r="J134" s="176">
        <v>46012</v>
      </c>
      <c r="K134" s="172" t="s">
        <v>93</v>
      </c>
      <c r="L134" s="172" t="s">
        <v>94</v>
      </c>
      <c r="M134" s="179">
        <v>0</v>
      </c>
      <c r="N134" s="177"/>
      <c r="O134" s="177"/>
      <c r="P134" s="180">
        <v>-56</v>
      </c>
    </row>
    <row r="135" spans="1:16" ht="19.5" customHeight="1">
      <c r="A135" s="172" t="s">
        <v>403</v>
      </c>
      <c r="B135" s="176">
        <v>46034</v>
      </c>
      <c r="C135" s="172" t="s">
        <v>81</v>
      </c>
      <c r="D135" s="172" t="s">
        <v>98</v>
      </c>
      <c r="E135" s="172" t="s">
        <v>53</v>
      </c>
      <c r="F135" s="172" t="s">
        <v>120</v>
      </c>
      <c r="G135" s="172" t="s">
        <v>84</v>
      </c>
      <c r="H135" s="177">
        <v>1</v>
      </c>
      <c r="I135" s="178">
        <v>0</v>
      </c>
      <c r="J135" s="176">
        <v>46012</v>
      </c>
      <c r="K135" s="172" t="s">
        <v>93</v>
      </c>
      <c r="L135" s="172" t="s">
        <v>94</v>
      </c>
      <c r="M135" s="179">
        <v>0</v>
      </c>
      <c r="N135" s="177"/>
      <c r="O135" s="177"/>
      <c r="P135" s="180">
        <v>-15</v>
      </c>
    </row>
    <row r="136" spans="1:16" ht="19.5" customHeight="1">
      <c r="A136" s="172" t="s">
        <v>403</v>
      </c>
      <c r="B136" s="176">
        <v>46034</v>
      </c>
      <c r="C136" s="172" t="s">
        <v>92</v>
      </c>
      <c r="D136" s="172" t="s">
        <v>24</v>
      </c>
      <c r="E136" s="172" t="s">
        <v>53</v>
      </c>
      <c r="F136" s="172" t="s">
        <v>120</v>
      </c>
      <c r="G136" s="172" t="s">
        <v>84</v>
      </c>
      <c r="H136" s="177">
        <v>1</v>
      </c>
      <c r="I136" s="178">
        <v>0</v>
      </c>
      <c r="J136" s="176">
        <v>46012</v>
      </c>
      <c r="K136" s="172" t="s">
        <v>93</v>
      </c>
      <c r="L136" s="172" t="s">
        <v>94</v>
      </c>
      <c r="M136" s="179">
        <v>0</v>
      </c>
      <c r="N136" s="177"/>
      <c r="O136" s="177">
        <v>43</v>
      </c>
      <c r="P136" s="180">
        <v>-56</v>
      </c>
    </row>
    <row r="137" spans="1:16" ht="19.5" customHeight="1">
      <c r="A137" s="172" t="s">
        <v>403</v>
      </c>
      <c r="B137" s="176">
        <v>46034</v>
      </c>
      <c r="C137" s="172" t="s">
        <v>81</v>
      </c>
      <c r="D137" s="172" t="s">
        <v>95</v>
      </c>
      <c r="E137" s="172" t="s">
        <v>53</v>
      </c>
      <c r="F137" s="172" t="s">
        <v>120</v>
      </c>
      <c r="G137" s="172" t="s">
        <v>84</v>
      </c>
      <c r="H137" s="177">
        <v>1</v>
      </c>
      <c r="I137" s="178">
        <v>0</v>
      </c>
      <c r="J137" s="176">
        <v>46012</v>
      </c>
      <c r="K137" s="172" t="s">
        <v>93</v>
      </c>
      <c r="L137" s="172" t="s">
        <v>94</v>
      </c>
      <c r="M137" s="179">
        <v>0</v>
      </c>
      <c r="N137" s="177"/>
      <c r="O137" s="177"/>
      <c r="P137" s="180">
        <v>-9.35</v>
      </c>
    </row>
    <row r="138" spans="1:16" ht="19.5" customHeight="1">
      <c r="A138" s="172" t="s">
        <v>404</v>
      </c>
      <c r="B138" s="176">
        <v>46034</v>
      </c>
      <c r="C138" s="172" t="s">
        <v>92</v>
      </c>
      <c r="D138" s="172" t="s">
        <v>24</v>
      </c>
      <c r="E138" s="172" t="s">
        <v>53</v>
      </c>
      <c r="F138" s="172" t="s">
        <v>120</v>
      </c>
      <c r="G138" s="172" t="s">
        <v>84</v>
      </c>
      <c r="H138" s="177">
        <v>1</v>
      </c>
      <c r="I138" s="178">
        <v>1845</v>
      </c>
      <c r="J138" s="176">
        <v>46032</v>
      </c>
      <c r="K138" s="172" t="s">
        <v>93</v>
      </c>
      <c r="L138" s="172" t="s">
        <v>94</v>
      </c>
      <c r="M138" s="179">
        <v>0.43</v>
      </c>
      <c r="N138" s="177"/>
      <c r="O138" s="177">
        <v>41</v>
      </c>
      <c r="P138" s="180">
        <v>-137.51</v>
      </c>
    </row>
    <row r="139" spans="1:16" ht="19.5" customHeight="1">
      <c r="A139" s="172" t="s">
        <v>404</v>
      </c>
      <c r="B139" s="176">
        <v>46034</v>
      </c>
      <c r="C139" s="172" t="s">
        <v>100</v>
      </c>
      <c r="D139" s="172" t="s">
        <v>101</v>
      </c>
      <c r="E139" s="172" t="s">
        <v>53</v>
      </c>
      <c r="F139" s="172" t="s">
        <v>120</v>
      </c>
      <c r="G139" s="172" t="s">
        <v>84</v>
      </c>
      <c r="H139" s="177">
        <v>1</v>
      </c>
      <c r="I139" s="178">
        <v>1845</v>
      </c>
      <c r="J139" s="176">
        <v>46032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639.80999999999995</v>
      </c>
    </row>
    <row r="140" spans="1:16" ht="19.5" customHeight="1">
      <c r="A140" s="172" t="s">
        <v>404</v>
      </c>
      <c r="B140" s="176">
        <v>46034</v>
      </c>
      <c r="C140" s="172" t="s">
        <v>100</v>
      </c>
      <c r="D140" s="172" t="s">
        <v>102</v>
      </c>
      <c r="E140" s="172" t="s">
        <v>53</v>
      </c>
      <c r="F140" s="172" t="s">
        <v>120</v>
      </c>
      <c r="G140" s="172" t="s">
        <v>84</v>
      </c>
      <c r="H140" s="177">
        <v>1</v>
      </c>
      <c r="I140" s="178">
        <v>1845</v>
      </c>
      <c r="J140" s="176">
        <v>46032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6.4</v>
      </c>
    </row>
    <row r="141" spans="1:16" ht="19.5" customHeight="1">
      <c r="A141" s="172" t="s">
        <v>404</v>
      </c>
      <c r="B141" s="176">
        <v>46034</v>
      </c>
      <c r="C141" s="172" t="s">
        <v>100</v>
      </c>
      <c r="D141" s="172" t="s">
        <v>103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1845</v>
      </c>
      <c r="J141" s="176">
        <v>46032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1198.79</v>
      </c>
    </row>
    <row r="142" spans="1:16" ht="19.5" customHeight="1">
      <c r="A142" s="172" t="s">
        <v>404</v>
      </c>
      <c r="B142" s="176">
        <v>46034</v>
      </c>
      <c r="C142" s="172" t="s">
        <v>104</v>
      </c>
      <c r="D142" s="172" t="s">
        <v>105</v>
      </c>
      <c r="E142" s="172" t="s">
        <v>53</v>
      </c>
      <c r="F142" s="172" t="s">
        <v>120</v>
      </c>
      <c r="G142" s="172" t="s">
        <v>84</v>
      </c>
      <c r="H142" s="177">
        <v>1</v>
      </c>
      <c r="I142" s="178">
        <v>1845</v>
      </c>
      <c r="J142" s="176">
        <v>46032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-793.35</v>
      </c>
    </row>
    <row r="143" spans="1:16" ht="19.5" customHeight="1">
      <c r="A143" s="172" t="s">
        <v>404</v>
      </c>
      <c r="B143" s="176">
        <v>46034</v>
      </c>
      <c r="C143" s="172" t="s">
        <v>81</v>
      </c>
      <c r="D143" s="172" t="s">
        <v>95</v>
      </c>
      <c r="E143" s="172" t="s">
        <v>53</v>
      </c>
      <c r="F143" s="172" t="s">
        <v>120</v>
      </c>
      <c r="G143" s="172" t="s">
        <v>84</v>
      </c>
      <c r="H143" s="177">
        <v>1</v>
      </c>
      <c r="I143" s="178">
        <v>1845</v>
      </c>
      <c r="J143" s="176">
        <v>46032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-12.84</v>
      </c>
    </row>
    <row r="144" spans="1:16" ht="19.5" customHeight="1">
      <c r="A144" s="172" t="s">
        <v>405</v>
      </c>
      <c r="B144" s="176">
        <v>46034</v>
      </c>
      <c r="C144" s="172" t="s">
        <v>81</v>
      </c>
      <c r="D144" s="172" t="s">
        <v>82</v>
      </c>
      <c r="E144" s="172" t="s">
        <v>53</v>
      </c>
      <c r="F144" s="172" t="s">
        <v>120</v>
      </c>
      <c r="G144" s="172" t="s">
        <v>84</v>
      </c>
      <c r="H144" s="177">
        <v>1</v>
      </c>
      <c r="I144" s="178">
        <v>0</v>
      </c>
      <c r="J144" s="176">
        <v>46034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-12.21</v>
      </c>
    </row>
    <row r="145" spans="1:16" ht="19.5" customHeight="1">
      <c r="A145" s="172" t="s">
        <v>406</v>
      </c>
      <c r="B145" s="176">
        <v>46034</v>
      </c>
      <c r="C145" s="172" t="s">
        <v>92</v>
      </c>
      <c r="D145" s="172" t="s">
        <v>24</v>
      </c>
      <c r="E145" s="172" t="s">
        <v>43</v>
      </c>
      <c r="F145" s="172" t="s">
        <v>125</v>
      </c>
      <c r="G145" s="172" t="s">
        <v>84</v>
      </c>
      <c r="H145" s="177">
        <v>1</v>
      </c>
      <c r="I145" s="178">
        <v>1750</v>
      </c>
      <c r="J145" s="176">
        <v>46033</v>
      </c>
      <c r="K145" s="172" t="s">
        <v>93</v>
      </c>
      <c r="L145" s="172" t="s">
        <v>94</v>
      </c>
      <c r="M145" s="179">
        <v>0.43</v>
      </c>
      <c r="N145" s="177"/>
      <c r="O145" s="177">
        <v>42</v>
      </c>
      <c r="P145" s="180">
        <v>-123.31</v>
      </c>
    </row>
    <row r="146" spans="1:16" ht="19.5" customHeight="1">
      <c r="A146" s="172" t="s">
        <v>406</v>
      </c>
      <c r="B146" s="176">
        <v>46034</v>
      </c>
      <c r="C146" s="172" t="s">
        <v>100</v>
      </c>
      <c r="D146" s="172" t="s">
        <v>101</v>
      </c>
      <c r="E146" s="172" t="s">
        <v>43</v>
      </c>
      <c r="F146" s="172" t="s">
        <v>125</v>
      </c>
      <c r="G146" s="172" t="s">
        <v>84</v>
      </c>
      <c r="H146" s="177">
        <v>1</v>
      </c>
      <c r="I146" s="178">
        <v>1750</v>
      </c>
      <c r="J146" s="176">
        <v>46033</v>
      </c>
      <c r="K146" s="172" t="s">
        <v>93</v>
      </c>
      <c r="L146" s="172" t="s">
        <v>94</v>
      </c>
      <c r="M146" s="179">
        <v>0</v>
      </c>
      <c r="N146" s="177"/>
      <c r="O146" s="177"/>
      <c r="P146" s="180">
        <v>609.52</v>
      </c>
    </row>
    <row r="147" spans="1:16" ht="19.5" customHeight="1">
      <c r="A147" s="172" t="s">
        <v>406</v>
      </c>
      <c r="B147" s="176">
        <v>46034</v>
      </c>
      <c r="C147" s="172" t="s">
        <v>100</v>
      </c>
      <c r="D147" s="172" t="s">
        <v>102</v>
      </c>
      <c r="E147" s="172" t="s">
        <v>43</v>
      </c>
      <c r="F147" s="172" t="s">
        <v>125</v>
      </c>
      <c r="G147" s="172" t="s">
        <v>84</v>
      </c>
      <c r="H147" s="177">
        <v>1</v>
      </c>
      <c r="I147" s="178">
        <v>1750</v>
      </c>
      <c r="J147" s="176">
        <v>46033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6.1</v>
      </c>
    </row>
    <row r="148" spans="1:16" ht="19.5" customHeight="1">
      <c r="A148" s="172" t="s">
        <v>406</v>
      </c>
      <c r="B148" s="176">
        <v>46034</v>
      </c>
      <c r="C148" s="172" t="s">
        <v>100</v>
      </c>
      <c r="D148" s="172" t="s">
        <v>103</v>
      </c>
      <c r="E148" s="172" t="s">
        <v>43</v>
      </c>
      <c r="F148" s="172" t="s">
        <v>125</v>
      </c>
      <c r="G148" s="172" t="s">
        <v>84</v>
      </c>
      <c r="H148" s="177">
        <v>1</v>
      </c>
      <c r="I148" s="178">
        <v>1750</v>
      </c>
      <c r="J148" s="176">
        <v>46033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1134.3800000000001</v>
      </c>
    </row>
    <row r="149" spans="1:16" ht="19.5" customHeight="1">
      <c r="A149" s="172" t="s">
        <v>406</v>
      </c>
      <c r="B149" s="176">
        <v>46034</v>
      </c>
      <c r="C149" s="172" t="s">
        <v>104</v>
      </c>
      <c r="D149" s="172" t="s">
        <v>105</v>
      </c>
      <c r="E149" s="172" t="s">
        <v>43</v>
      </c>
      <c r="F149" s="172" t="s">
        <v>125</v>
      </c>
      <c r="G149" s="172" t="s">
        <v>84</v>
      </c>
      <c r="H149" s="177">
        <v>1</v>
      </c>
      <c r="I149" s="178">
        <v>1750</v>
      </c>
      <c r="J149" s="176">
        <v>46033</v>
      </c>
      <c r="K149" s="172" t="s">
        <v>93</v>
      </c>
      <c r="L149" s="172" t="s">
        <v>94</v>
      </c>
      <c r="M149" s="179">
        <v>0.43</v>
      </c>
      <c r="N149" s="177"/>
      <c r="O149" s="177"/>
      <c r="P149" s="180">
        <v>-752.5</v>
      </c>
    </row>
    <row r="150" spans="1:16" ht="19.5" customHeight="1">
      <c r="A150" s="172" t="s">
        <v>406</v>
      </c>
      <c r="B150" s="176">
        <v>46034</v>
      </c>
      <c r="C150" s="172" t="s">
        <v>81</v>
      </c>
      <c r="D150" s="172" t="s">
        <v>95</v>
      </c>
      <c r="E150" s="172" t="s">
        <v>43</v>
      </c>
      <c r="F150" s="172" t="s">
        <v>125</v>
      </c>
      <c r="G150" s="172" t="s">
        <v>84</v>
      </c>
      <c r="H150" s="177">
        <v>1</v>
      </c>
      <c r="I150" s="178">
        <v>1750</v>
      </c>
      <c r="J150" s="176">
        <v>46033</v>
      </c>
      <c r="K150" s="172" t="s">
        <v>93</v>
      </c>
      <c r="L150" s="172" t="s">
        <v>94</v>
      </c>
      <c r="M150" s="179">
        <v>0.43</v>
      </c>
      <c r="N150" s="177"/>
      <c r="O150" s="177"/>
      <c r="P150" s="180">
        <v>-16.36</v>
      </c>
    </row>
    <row r="151" spans="1:16" ht="19.5" customHeight="1">
      <c r="A151" s="172" t="s">
        <v>407</v>
      </c>
      <c r="B151" s="176">
        <v>46034</v>
      </c>
      <c r="C151" s="172" t="s">
        <v>92</v>
      </c>
      <c r="D151" s="172" t="s">
        <v>24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1845</v>
      </c>
      <c r="J151" s="176">
        <v>46031</v>
      </c>
      <c r="K151" s="172" t="s">
        <v>93</v>
      </c>
      <c r="L151" s="172" t="s">
        <v>94</v>
      </c>
      <c r="M151" s="179">
        <v>0.43</v>
      </c>
      <c r="N151" s="177"/>
      <c r="O151" s="177">
        <v>42</v>
      </c>
      <c r="P151" s="180">
        <v>-140.5</v>
      </c>
    </row>
    <row r="152" spans="1:16" ht="19.5" customHeight="1">
      <c r="A152" s="172" t="s">
        <v>407</v>
      </c>
      <c r="B152" s="176">
        <v>46034</v>
      </c>
      <c r="C152" s="172" t="s">
        <v>100</v>
      </c>
      <c r="D152" s="172" t="s">
        <v>101</v>
      </c>
      <c r="E152" s="172" t="s">
        <v>53</v>
      </c>
      <c r="F152" s="172" t="s">
        <v>120</v>
      </c>
      <c r="G152" s="172" t="s">
        <v>84</v>
      </c>
      <c r="H152" s="177">
        <v>1</v>
      </c>
      <c r="I152" s="178">
        <v>1845</v>
      </c>
      <c r="J152" s="176">
        <v>46031</v>
      </c>
      <c r="K152" s="172" t="s">
        <v>93</v>
      </c>
      <c r="L152" s="172" t="s">
        <v>94</v>
      </c>
      <c r="M152" s="179">
        <v>0</v>
      </c>
      <c r="N152" s="177"/>
      <c r="O152" s="177"/>
      <c r="P152" s="180">
        <v>642.86</v>
      </c>
    </row>
    <row r="153" spans="1:16" ht="19.5" customHeight="1">
      <c r="A153" s="172" t="s">
        <v>407</v>
      </c>
      <c r="B153" s="176">
        <v>46034</v>
      </c>
      <c r="C153" s="172" t="s">
        <v>100</v>
      </c>
      <c r="D153" s="172" t="s">
        <v>102</v>
      </c>
      <c r="E153" s="172" t="s">
        <v>53</v>
      </c>
      <c r="F153" s="172" t="s">
        <v>120</v>
      </c>
      <c r="G153" s="172" t="s">
        <v>84</v>
      </c>
      <c r="H153" s="177">
        <v>1</v>
      </c>
      <c r="I153" s="178">
        <v>1845</v>
      </c>
      <c r="J153" s="176">
        <v>46031</v>
      </c>
      <c r="K153" s="172" t="s">
        <v>93</v>
      </c>
      <c r="L153" s="172" t="s">
        <v>94</v>
      </c>
      <c r="M153" s="179">
        <v>0</v>
      </c>
      <c r="N153" s="177"/>
      <c r="O153" s="177"/>
      <c r="P153" s="180">
        <v>6.43</v>
      </c>
    </row>
    <row r="154" spans="1:16" ht="19.5" customHeight="1">
      <c r="A154" s="172" t="s">
        <v>407</v>
      </c>
      <c r="B154" s="176">
        <v>46034</v>
      </c>
      <c r="C154" s="172" t="s">
        <v>100</v>
      </c>
      <c r="D154" s="172" t="s">
        <v>103</v>
      </c>
      <c r="E154" s="172" t="s">
        <v>53</v>
      </c>
      <c r="F154" s="172" t="s">
        <v>120</v>
      </c>
      <c r="G154" s="172" t="s">
        <v>84</v>
      </c>
      <c r="H154" s="177">
        <v>1</v>
      </c>
      <c r="I154" s="178">
        <v>1845</v>
      </c>
      <c r="J154" s="176">
        <v>46031</v>
      </c>
      <c r="K154" s="172" t="s">
        <v>93</v>
      </c>
      <c r="L154" s="172" t="s">
        <v>94</v>
      </c>
      <c r="M154" s="179">
        <v>0</v>
      </c>
      <c r="N154" s="177"/>
      <c r="O154" s="177"/>
      <c r="P154" s="180">
        <v>1195.71</v>
      </c>
    </row>
    <row r="155" spans="1:16" ht="19.5" customHeight="1">
      <c r="A155" s="172" t="s">
        <v>407</v>
      </c>
      <c r="B155" s="176">
        <v>46034</v>
      </c>
      <c r="C155" s="172" t="s">
        <v>104</v>
      </c>
      <c r="D155" s="172" t="s">
        <v>105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1845</v>
      </c>
      <c r="J155" s="176">
        <v>46031</v>
      </c>
      <c r="K155" s="172" t="s">
        <v>93</v>
      </c>
      <c r="L155" s="172" t="s">
        <v>94</v>
      </c>
      <c r="M155" s="179">
        <v>0.43</v>
      </c>
      <c r="N155" s="177"/>
      <c r="O155" s="177"/>
      <c r="P155" s="180">
        <v>-793.35</v>
      </c>
    </row>
    <row r="156" spans="1:16" ht="19.5" customHeight="1">
      <c r="A156" s="172" t="s">
        <v>407</v>
      </c>
      <c r="B156" s="176">
        <v>46034</v>
      </c>
      <c r="C156" s="172" t="s">
        <v>81</v>
      </c>
      <c r="D156" s="172" t="s">
        <v>95</v>
      </c>
      <c r="E156" s="172" t="s">
        <v>53</v>
      </c>
      <c r="F156" s="172" t="s">
        <v>120</v>
      </c>
      <c r="G156" s="172" t="s">
        <v>84</v>
      </c>
      <c r="H156" s="177">
        <v>1</v>
      </c>
      <c r="I156" s="178">
        <v>1845</v>
      </c>
      <c r="J156" s="176">
        <v>46031</v>
      </c>
      <c r="K156" s="172" t="s">
        <v>93</v>
      </c>
      <c r="L156" s="172" t="s">
        <v>94</v>
      </c>
      <c r="M156" s="179">
        <v>0.43</v>
      </c>
      <c r="N156" s="177"/>
      <c r="O156" s="177"/>
      <c r="P156" s="180">
        <v>-12.99</v>
      </c>
    </row>
    <row r="157" spans="1:16" ht="19.5" customHeight="1">
      <c r="A157" s="172" t="s">
        <v>406</v>
      </c>
      <c r="B157" s="176">
        <v>46034</v>
      </c>
      <c r="C157" s="172" t="s">
        <v>81</v>
      </c>
      <c r="D157" s="172" t="s">
        <v>82</v>
      </c>
      <c r="E157" s="172" t="s">
        <v>43</v>
      </c>
      <c r="F157" s="172" t="s">
        <v>125</v>
      </c>
      <c r="G157" s="172" t="s">
        <v>84</v>
      </c>
      <c r="H157" s="177">
        <v>1</v>
      </c>
      <c r="I157" s="178">
        <v>0</v>
      </c>
      <c r="J157" s="176">
        <v>46033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-11.58</v>
      </c>
    </row>
    <row r="158" spans="1:16" ht="19.5" customHeight="1">
      <c r="A158" s="172" t="s">
        <v>407</v>
      </c>
      <c r="B158" s="176">
        <v>46034</v>
      </c>
      <c r="C158" s="172" t="s">
        <v>81</v>
      </c>
      <c r="D158" s="172" t="s">
        <v>82</v>
      </c>
      <c r="E158" s="172" t="s">
        <v>53</v>
      </c>
      <c r="F158" s="172" t="s">
        <v>120</v>
      </c>
      <c r="G158" s="172" t="s">
        <v>84</v>
      </c>
      <c r="H158" s="177">
        <v>1</v>
      </c>
      <c r="I158" s="178">
        <v>0</v>
      </c>
      <c r="J158" s="176">
        <v>46031</v>
      </c>
      <c r="K158" s="172" t="s">
        <v>85</v>
      </c>
      <c r="L158" s="172" t="s">
        <v>85</v>
      </c>
      <c r="M158" s="179">
        <v>0</v>
      </c>
      <c r="N158" s="177"/>
      <c r="O158" s="177"/>
      <c r="P158" s="180">
        <v>-12.21</v>
      </c>
    </row>
    <row r="159" spans="1:16" ht="19.5" customHeight="1">
      <c r="A159" s="172" t="s">
        <v>408</v>
      </c>
      <c r="B159" s="176">
        <v>46034</v>
      </c>
      <c r="C159" s="172" t="s">
        <v>92</v>
      </c>
      <c r="D159" s="172" t="s">
        <v>24</v>
      </c>
      <c r="E159" s="172" t="s">
        <v>41</v>
      </c>
      <c r="F159" s="172" t="s">
        <v>83</v>
      </c>
      <c r="G159" s="172" t="s">
        <v>84</v>
      </c>
      <c r="H159" s="177">
        <v>1</v>
      </c>
      <c r="I159" s="178">
        <v>0</v>
      </c>
      <c r="J159" s="176">
        <v>46023</v>
      </c>
      <c r="K159" s="172" t="s">
        <v>93</v>
      </c>
      <c r="L159" s="172" t="s">
        <v>94</v>
      </c>
      <c r="M159" s="179">
        <v>0</v>
      </c>
      <c r="N159" s="177"/>
      <c r="O159" s="177">
        <v>43</v>
      </c>
      <c r="P159" s="180">
        <v>-46</v>
      </c>
    </row>
    <row r="160" spans="1:16" ht="19.5" customHeight="1">
      <c r="A160" s="172" t="s">
        <v>408</v>
      </c>
      <c r="B160" s="176">
        <v>46034</v>
      </c>
      <c r="C160" s="172" t="s">
        <v>81</v>
      </c>
      <c r="D160" s="172" t="s">
        <v>95</v>
      </c>
      <c r="E160" s="172" t="s">
        <v>41</v>
      </c>
      <c r="F160" s="172" t="s">
        <v>83</v>
      </c>
      <c r="G160" s="172" t="s">
        <v>84</v>
      </c>
      <c r="H160" s="177">
        <v>1</v>
      </c>
      <c r="I160" s="178">
        <v>0</v>
      </c>
      <c r="J160" s="176">
        <v>46023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-6.7</v>
      </c>
    </row>
    <row r="161" spans="1:16" ht="19.5" customHeight="1">
      <c r="A161" s="172" t="s">
        <v>408</v>
      </c>
      <c r="B161" s="176">
        <v>46034</v>
      </c>
      <c r="C161" s="172" t="s">
        <v>92</v>
      </c>
      <c r="D161" s="172" t="s">
        <v>96</v>
      </c>
      <c r="E161" s="172" t="s">
        <v>41</v>
      </c>
      <c r="F161" s="172" t="s">
        <v>83</v>
      </c>
      <c r="G161" s="172" t="s">
        <v>84</v>
      </c>
      <c r="H161" s="177">
        <v>1</v>
      </c>
      <c r="I161" s="178">
        <v>0</v>
      </c>
      <c r="J161" s="176">
        <v>46023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0</v>
      </c>
    </row>
    <row r="162" spans="1:16" ht="19.5" customHeight="1">
      <c r="A162" s="172" t="s">
        <v>408</v>
      </c>
      <c r="B162" s="176">
        <v>46034</v>
      </c>
      <c r="C162" s="172" t="s">
        <v>92</v>
      </c>
      <c r="D162" s="172" t="s">
        <v>97</v>
      </c>
      <c r="E162" s="172" t="s">
        <v>41</v>
      </c>
      <c r="F162" s="172" t="s">
        <v>83</v>
      </c>
      <c r="G162" s="172" t="s">
        <v>84</v>
      </c>
      <c r="H162" s="177">
        <v>1</v>
      </c>
      <c r="I162" s="178">
        <v>0</v>
      </c>
      <c r="J162" s="176">
        <v>46023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-46</v>
      </c>
    </row>
    <row r="163" spans="1:16" ht="19.5" customHeight="1">
      <c r="A163" s="172" t="s">
        <v>408</v>
      </c>
      <c r="B163" s="176">
        <v>46034</v>
      </c>
      <c r="C163" s="172" t="s">
        <v>81</v>
      </c>
      <c r="D163" s="172" t="s">
        <v>98</v>
      </c>
      <c r="E163" s="172" t="s">
        <v>41</v>
      </c>
      <c r="F163" s="172" t="s">
        <v>83</v>
      </c>
      <c r="G163" s="172" t="s">
        <v>84</v>
      </c>
      <c r="H163" s="177">
        <v>1</v>
      </c>
      <c r="I163" s="178">
        <v>0</v>
      </c>
      <c r="J163" s="176">
        <v>46023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-15</v>
      </c>
    </row>
    <row r="164" spans="1:16" ht="19.5" customHeight="1">
      <c r="A164" s="172" t="s">
        <v>409</v>
      </c>
      <c r="B164" s="176">
        <v>46034</v>
      </c>
      <c r="C164" s="172" t="s">
        <v>81</v>
      </c>
      <c r="D164" s="172" t="s">
        <v>82</v>
      </c>
      <c r="E164" s="172" t="s">
        <v>41</v>
      </c>
      <c r="F164" s="172" t="s">
        <v>83</v>
      </c>
      <c r="G164" s="172" t="s">
        <v>84</v>
      </c>
      <c r="H164" s="177">
        <v>1</v>
      </c>
      <c r="I164" s="178">
        <v>0</v>
      </c>
      <c r="J164" s="176">
        <v>46034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-11.58</v>
      </c>
    </row>
    <row r="165" spans="1:16" ht="19.5" customHeight="1">
      <c r="A165" s="172" t="s">
        <v>138</v>
      </c>
      <c r="B165" s="176">
        <v>46034</v>
      </c>
      <c r="C165" s="172" t="s">
        <v>109</v>
      </c>
      <c r="D165" s="172" t="s">
        <v>139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46034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-2449.31</v>
      </c>
    </row>
    <row r="166" spans="1:16" ht="19.5" customHeight="1">
      <c r="A166" s="172" t="s">
        <v>410</v>
      </c>
      <c r="B166" s="176">
        <v>46034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46034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-2167.2399999999998</v>
      </c>
    </row>
    <row r="167" spans="1:16" ht="19.5" customHeight="1">
      <c r="A167" s="172" t="s">
        <v>142</v>
      </c>
      <c r="B167" s="176">
        <v>46034</v>
      </c>
      <c r="C167" s="172" t="s">
        <v>109</v>
      </c>
      <c r="D167" s="172" t="s">
        <v>143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46034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-2922.2</v>
      </c>
    </row>
    <row r="168" spans="1:16" ht="19.5" customHeight="1">
      <c r="A168" s="172" t="s">
        <v>144</v>
      </c>
      <c r="B168" s="176">
        <v>46034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46034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-2958.59</v>
      </c>
    </row>
    <row r="169" spans="1:16" ht="19.5" customHeight="1">
      <c r="A169" s="172" t="s">
        <v>145</v>
      </c>
      <c r="B169" s="176">
        <v>46034</v>
      </c>
      <c r="C169" s="172" t="s">
        <v>109</v>
      </c>
      <c r="D169" s="172" t="s">
        <v>139</v>
      </c>
      <c r="E169" s="172" t="s">
        <v>85</v>
      </c>
      <c r="F169" s="172" t="s">
        <v>85</v>
      </c>
      <c r="G169" s="172" t="s">
        <v>85</v>
      </c>
      <c r="H169" s="177">
        <v>0</v>
      </c>
      <c r="I169" s="178">
        <v>0</v>
      </c>
      <c r="J169" s="176">
        <v>46034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-301.74</v>
      </c>
    </row>
    <row r="170" spans="1:16" ht="19.5" customHeight="1">
      <c r="A170" s="172" t="s">
        <v>140</v>
      </c>
      <c r="B170" s="176">
        <v>46034</v>
      </c>
      <c r="C170" s="172" t="s">
        <v>109</v>
      </c>
      <c r="D170" s="172" t="s">
        <v>139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46034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-281.7</v>
      </c>
    </row>
    <row r="171" spans="1:16" ht="19.5" customHeight="1">
      <c r="A171" s="172" t="s">
        <v>146</v>
      </c>
      <c r="B171" s="176">
        <v>46034</v>
      </c>
      <c r="C171" s="172" t="s">
        <v>109</v>
      </c>
      <c r="D171" s="172" t="s">
        <v>139</v>
      </c>
      <c r="E171" s="172" t="s">
        <v>85</v>
      </c>
      <c r="F171" s="172" t="s">
        <v>85</v>
      </c>
      <c r="G171" s="172" t="s">
        <v>85</v>
      </c>
      <c r="H171" s="177">
        <v>0</v>
      </c>
      <c r="I171" s="178">
        <v>0</v>
      </c>
      <c r="J171" s="176">
        <v>46034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-321.89</v>
      </c>
    </row>
    <row r="172" spans="1:16" ht="19.5" customHeight="1">
      <c r="A172" s="172" t="s">
        <v>411</v>
      </c>
      <c r="B172" s="176">
        <v>46034</v>
      </c>
      <c r="C172" s="172" t="s">
        <v>109</v>
      </c>
      <c r="D172" s="172" t="s">
        <v>139</v>
      </c>
      <c r="E172" s="172" t="s">
        <v>85</v>
      </c>
      <c r="F172" s="172" t="s">
        <v>85</v>
      </c>
      <c r="G172" s="172" t="s">
        <v>85</v>
      </c>
      <c r="H172" s="177">
        <v>0</v>
      </c>
      <c r="I172" s="178">
        <v>0</v>
      </c>
      <c r="J172" s="176">
        <v>46034</v>
      </c>
      <c r="K172" s="172" t="s">
        <v>85</v>
      </c>
      <c r="L172" s="172" t="s">
        <v>85</v>
      </c>
      <c r="M172" s="179">
        <v>0</v>
      </c>
      <c r="N172" s="177"/>
      <c r="O172" s="177"/>
      <c r="P172" s="180">
        <v>-307.74</v>
      </c>
    </row>
    <row r="173" spans="1:16" ht="19.5" customHeight="1">
      <c r="A173" s="172" t="s">
        <v>412</v>
      </c>
      <c r="B173" s="176">
        <v>46034</v>
      </c>
      <c r="C173" s="172" t="s">
        <v>109</v>
      </c>
      <c r="D173" s="172" t="s">
        <v>139</v>
      </c>
      <c r="E173" s="172" t="s">
        <v>85</v>
      </c>
      <c r="F173" s="172" t="s">
        <v>85</v>
      </c>
      <c r="G173" s="172" t="s">
        <v>85</v>
      </c>
      <c r="H173" s="177">
        <v>0</v>
      </c>
      <c r="I173" s="178">
        <v>0</v>
      </c>
      <c r="J173" s="176">
        <v>46034</v>
      </c>
      <c r="K173" s="172" t="s">
        <v>85</v>
      </c>
      <c r="L173" s="172" t="s">
        <v>85</v>
      </c>
      <c r="M173" s="179">
        <v>0</v>
      </c>
      <c r="N173" s="177"/>
      <c r="O173" s="177"/>
      <c r="P173" s="180">
        <v>-310.57</v>
      </c>
    </row>
    <row r="174" spans="1:16" ht="19.5" customHeight="1">
      <c r="A174" s="172" t="s">
        <v>413</v>
      </c>
      <c r="B174" s="176">
        <v>46035</v>
      </c>
      <c r="C174" s="172" t="s">
        <v>92</v>
      </c>
      <c r="D174" s="172" t="s">
        <v>96</v>
      </c>
      <c r="E174" s="172" t="s">
        <v>52</v>
      </c>
      <c r="F174" s="172" t="s">
        <v>90</v>
      </c>
      <c r="G174" s="172" t="s">
        <v>84</v>
      </c>
      <c r="H174" s="177">
        <v>1</v>
      </c>
      <c r="I174" s="178">
        <v>0</v>
      </c>
      <c r="J174" s="176">
        <v>46025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413</v>
      </c>
      <c r="B175" s="176">
        <v>46035</v>
      </c>
      <c r="C175" s="172" t="s">
        <v>92</v>
      </c>
      <c r="D175" s="172" t="s">
        <v>97</v>
      </c>
      <c r="E175" s="172" t="s">
        <v>52</v>
      </c>
      <c r="F175" s="172" t="s">
        <v>90</v>
      </c>
      <c r="G175" s="172" t="s">
        <v>84</v>
      </c>
      <c r="H175" s="177">
        <v>1</v>
      </c>
      <c r="I175" s="178">
        <v>0</v>
      </c>
      <c r="J175" s="176">
        <v>46025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413</v>
      </c>
      <c r="B176" s="176">
        <v>46035</v>
      </c>
      <c r="C176" s="172" t="s">
        <v>81</v>
      </c>
      <c r="D176" s="172" t="s">
        <v>98</v>
      </c>
      <c r="E176" s="172" t="s">
        <v>52</v>
      </c>
      <c r="F176" s="172" t="s">
        <v>90</v>
      </c>
      <c r="G176" s="172" t="s">
        <v>84</v>
      </c>
      <c r="H176" s="177">
        <v>1</v>
      </c>
      <c r="I176" s="178">
        <v>0</v>
      </c>
      <c r="J176" s="176">
        <v>46025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413</v>
      </c>
      <c r="B177" s="176">
        <v>46035</v>
      </c>
      <c r="C177" s="172" t="s">
        <v>92</v>
      </c>
      <c r="D177" s="172" t="s">
        <v>24</v>
      </c>
      <c r="E177" s="172" t="s">
        <v>52</v>
      </c>
      <c r="F177" s="172" t="s">
        <v>90</v>
      </c>
      <c r="G177" s="172" t="s">
        <v>84</v>
      </c>
      <c r="H177" s="177">
        <v>1</v>
      </c>
      <c r="I177" s="178">
        <v>0</v>
      </c>
      <c r="J177" s="176">
        <v>46025</v>
      </c>
      <c r="K177" s="172" t="s">
        <v>93</v>
      </c>
      <c r="L177" s="172" t="s">
        <v>94</v>
      </c>
      <c r="M177" s="179">
        <v>0</v>
      </c>
      <c r="N177" s="177"/>
      <c r="O177" s="177">
        <v>44</v>
      </c>
      <c r="P177" s="180">
        <v>-56</v>
      </c>
    </row>
    <row r="178" spans="1:16" ht="19.5" customHeight="1">
      <c r="A178" s="172" t="s">
        <v>413</v>
      </c>
      <c r="B178" s="176">
        <v>46035</v>
      </c>
      <c r="C178" s="172" t="s">
        <v>81</v>
      </c>
      <c r="D178" s="172" t="s">
        <v>95</v>
      </c>
      <c r="E178" s="172" t="s">
        <v>52</v>
      </c>
      <c r="F178" s="172" t="s">
        <v>90</v>
      </c>
      <c r="G178" s="172" t="s">
        <v>84</v>
      </c>
      <c r="H178" s="177">
        <v>1</v>
      </c>
      <c r="I178" s="178">
        <v>0</v>
      </c>
      <c r="J178" s="176">
        <v>46025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-10.83</v>
      </c>
    </row>
    <row r="179" spans="1:16" ht="19.5" customHeight="1">
      <c r="A179" s="172" t="s">
        <v>414</v>
      </c>
      <c r="B179" s="176">
        <v>46035</v>
      </c>
      <c r="C179" s="172" t="s">
        <v>81</v>
      </c>
      <c r="D179" s="172" t="s">
        <v>82</v>
      </c>
      <c r="E179" s="172" t="s">
        <v>38</v>
      </c>
      <c r="F179" s="172" t="s">
        <v>87</v>
      </c>
      <c r="G179" s="172" t="s">
        <v>84</v>
      </c>
      <c r="H179" s="177">
        <v>1</v>
      </c>
      <c r="I179" s="178">
        <v>0</v>
      </c>
      <c r="J179" s="176">
        <v>46035</v>
      </c>
      <c r="K179" s="172" t="s">
        <v>85</v>
      </c>
      <c r="L179" s="172" t="s">
        <v>85</v>
      </c>
      <c r="M179" s="179">
        <v>0</v>
      </c>
      <c r="N179" s="177"/>
      <c r="O179" s="177"/>
      <c r="P179" s="180">
        <v>-11.58</v>
      </c>
    </row>
    <row r="180" spans="1:16" ht="19.5" customHeight="1">
      <c r="A180" s="172" t="s">
        <v>415</v>
      </c>
      <c r="B180" s="176">
        <v>46035</v>
      </c>
      <c r="C180" s="172" t="s">
        <v>92</v>
      </c>
      <c r="D180" s="172" t="s">
        <v>24</v>
      </c>
      <c r="E180" s="172" t="s">
        <v>43</v>
      </c>
      <c r="F180" s="172" t="s">
        <v>125</v>
      </c>
      <c r="G180" s="172" t="s">
        <v>84</v>
      </c>
      <c r="H180" s="177">
        <v>1</v>
      </c>
      <c r="I180" s="178">
        <v>0</v>
      </c>
      <c r="J180" s="176">
        <v>46032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415</v>
      </c>
      <c r="B181" s="176">
        <v>46035</v>
      </c>
      <c r="C181" s="172" t="s">
        <v>92</v>
      </c>
      <c r="D181" s="172" t="s">
        <v>96</v>
      </c>
      <c r="E181" s="172" t="s">
        <v>43</v>
      </c>
      <c r="F181" s="172" t="s">
        <v>125</v>
      </c>
      <c r="G181" s="172" t="s">
        <v>84</v>
      </c>
      <c r="H181" s="177">
        <v>1</v>
      </c>
      <c r="I181" s="178">
        <v>0</v>
      </c>
      <c r="J181" s="176">
        <v>46032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0</v>
      </c>
    </row>
    <row r="182" spans="1:16" ht="19.5" customHeight="1">
      <c r="A182" s="172" t="s">
        <v>415</v>
      </c>
      <c r="B182" s="176">
        <v>46035</v>
      </c>
      <c r="C182" s="172" t="s">
        <v>92</v>
      </c>
      <c r="D182" s="172" t="s">
        <v>97</v>
      </c>
      <c r="E182" s="172" t="s">
        <v>43</v>
      </c>
      <c r="F182" s="172" t="s">
        <v>125</v>
      </c>
      <c r="G182" s="172" t="s">
        <v>84</v>
      </c>
      <c r="H182" s="177">
        <v>1</v>
      </c>
      <c r="I182" s="178">
        <v>0</v>
      </c>
      <c r="J182" s="176">
        <v>46032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-46.77</v>
      </c>
    </row>
    <row r="183" spans="1:16" ht="19.5" customHeight="1">
      <c r="A183" s="172" t="s">
        <v>416</v>
      </c>
      <c r="B183" s="176">
        <v>46035</v>
      </c>
      <c r="C183" s="172" t="s">
        <v>81</v>
      </c>
      <c r="D183" s="172" t="s">
        <v>82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0</v>
      </c>
      <c r="J183" s="176">
        <v>46035</v>
      </c>
      <c r="K183" s="172" t="s">
        <v>85</v>
      </c>
      <c r="L183" s="172" t="s">
        <v>85</v>
      </c>
      <c r="M183" s="179">
        <v>0</v>
      </c>
      <c r="N183" s="177"/>
      <c r="O183" s="177"/>
      <c r="P183" s="180">
        <v>-12.21</v>
      </c>
    </row>
    <row r="184" spans="1:16" ht="19.5" customHeight="1">
      <c r="A184" s="172" t="s">
        <v>85</v>
      </c>
      <c r="B184" s="176">
        <v>46035</v>
      </c>
      <c r="C184" s="172" t="s">
        <v>109</v>
      </c>
      <c r="D184" s="172" t="s">
        <v>110</v>
      </c>
      <c r="E184" s="172" t="s">
        <v>85</v>
      </c>
      <c r="F184" s="172" t="s">
        <v>85</v>
      </c>
      <c r="G184" s="172" t="s">
        <v>417</v>
      </c>
      <c r="H184" s="177">
        <v>0</v>
      </c>
      <c r="I184" s="178">
        <v>0</v>
      </c>
      <c r="J184" s="176">
        <v>46035</v>
      </c>
      <c r="K184" s="172" t="s">
        <v>85</v>
      </c>
      <c r="L184" s="172" t="s">
        <v>85</v>
      </c>
      <c r="M184" s="179">
        <v>0</v>
      </c>
      <c r="N184" s="177"/>
      <c r="O184" s="177"/>
      <c r="P184" s="180">
        <v>-150</v>
      </c>
    </row>
    <row r="185" spans="1:16" ht="19.5" customHeight="1">
      <c r="A185" s="172" t="s">
        <v>418</v>
      </c>
      <c r="B185" s="176">
        <v>46035</v>
      </c>
      <c r="C185" s="172" t="s">
        <v>81</v>
      </c>
      <c r="D185" s="172" t="s">
        <v>82</v>
      </c>
      <c r="E185" s="172" t="s">
        <v>41</v>
      </c>
      <c r="F185" s="172" t="s">
        <v>83</v>
      </c>
      <c r="G185" s="172" t="s">
        <v>84</v>
      </c>
      <c r="H185" s="177">
        <v>1</v>
      </c>
      <c r="I185" s="178">
        <v>0</v>
      </c>
      <c r="J185" s="176">
        <v>46035</v>
      </c>
      <c r="K185" s="172" t="s">
        <v>85</v>
      </c>
      <c r="L185" s="172" t="s">
        <v>85</v>
      </c>
      <c r="M185" s="179">
        <v>0</v>
      </c>
      <c r="N185" s="177"/>
      <c r="O185" s="177"/>
      <c r="P185" s="180">
        <v>-10.94</v>
      </c>
    </row>
    <row r="186" spans="1:16" ht="19.5" customHeight="1">
      <c r="A186" s="172" t="s">
        <v>419</v>
      </c>
      <c r="B186" s="176">
        <v>46035</v>
      </c>
      <c r="C186" s="172" t="s">
        <v>92</v>
      </c>
      <c r="D186" s="172" t="s">
        <v>24</v>
      </c>
      <c r="E186" s="172" t="s">
        <v>43</v>
      </c>
      <c r="F186" s="172" t="s">
        <v>125</v>
      </c>
      <c r="G186" s="172" t="s">
        <v>84</v>
      </c>
      <c r="H186" s="177">
        <v>1</v>
      </c>
      <c r="I186" s="178">
        <v>1202</v>
      </c>
      <c r="J186" s="176">
        <v>46031</v>
      </c>
      <c r="K186" s="172" t="s">
        <v>93</v>
      </c>
      <c r="L186" s="172" t="s">
        <v>94</v>
      </c>
      <c r="M186" s="179">
        <v>0.43</v>
      </c>
      <c r="N186" s="177"/>
      <c r="O186" s="177">
        <v>42</v>
      </c>
      <c r="P186" s="180">
        <v>-107.69</v>
      </c>
    </row>
    <row r="187" spans="1:16" ht="19.5" customHeight="1">
      <c r="A187" s="172" t="s">
        <v>419</v>
      </c>
      <c r="B187" s="176">
        <v>46035</v>
      </c>
      <c r="C187" s="172" t="s">
        <v>100</v>
      </c>
      <c r="D187" s="172" t="s">
        <v>101</v>
      </c>
      <c r="E187" s="172" t="s">
        <v>43</v>
      </c>
      <c r="F187" s="172" t="s">
        <v>125</v>
      </c>
      <c r="G187" s="172" t="s">
        <v>84</v>
      </c>
      <c r="H187" s="177">
        <v>1</v>
      </c>
      <c r="I187" s="178">
        <v>1202</v>
      </c>
      <c r="J187" s="176">
        <v>46031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443.81</v>
      </c>
    </row>
    <row r="188" spans="1:16" ht="19.5" customHeight="1">
      <c r="A188" s="172" t="s">
        <v>419</v>
      </c>
      <c r="B188" s="176">
        <v>46035</v>
      </c>
      <c r="C188" s="172" t="s">
        <v>100</v>
      </c>
      <c r="D188" s="172" t="s">
        <v>102</v>
      </c>
      <c r="E188" s="172" t="s">
        <v>43</v>
      </c>
      <c r="F188" s="172" t="s">
        <v>125</v>
      </c>
      <c r="G188" s="172" t="s">
        <v>84</v>
      </c>
      <c r="H188" s="177">
        <v>1</v>
      </c>
      <c r="I188" s="178">
        <v>1202</v>
      </c>
      <c r="J188" s="176">
        <v>46031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4.4400000000000004</v>
      </c>
    </row>
    <row r="189" spans="1:16" ht="19.5" customHeight="1">
      <c r="A189" s="172" t="s">
        <v>419</v>
      </c>
      <c r="B189" s="176">
        <v>46035</v>
      </c>
      <c r="C189" s="172" t="s">
        <v>100</v>
      </c>
      <c r="D189" s="172" t="s">
        <v>103</v>
      </c>
      <c r="E189" s="172" t="s">
        <v>43</v>
      </c>
      <c r="F189" s="172" t="s">
        <v>125</v>
      </c>
      <c r="G189" s="172" t="s">
        <v>84</v>
      </c>
      <c r="H189" s="177">
        <v>1</v>
      </c>
      <c r="I189" s="178">
        <v>1202</v>
      </c>
      <c r="J189" s="176">
        <v>46031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753.75</v>
      </c>
    </row>
    <row r="190" spans="1:16" ht="19.5" customHeight="1">
      <c r="A190" s="172" t="s">
        <v>419</v>
      </c>
      <c r="B190" s="176">
        <v>46035</v>
      </c>
      <c r="C190" s="172" t="s">
        <v>104</v>
      </c>
      <c r="D190" s="172" t="s">
        <v>105</v>
      </c>
      <c r="E190" s="172" t="s">
        <v>43</v>
      </c>
      <c r="F190" s="172" t="s">
        <v>125</v>
      </c>
      <c r="G190" s="172" t="s">
        <v>84</v>
      </c>
      <c r="H190" s="177">
        <v>1</v>
      </c>
      <c r="I190" s="178">
        <v>1202</v>
      </c>
      <c r="J190" s="176">
        <v>46031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-516.86</v>
      </c>
    </row>
    <row r="191" spans="1:16" ht="19.5" customHeight="1">
      <c r="A191" s="172" t="s">
        <v>419</v>
      </c>
      <c r="B191" s="176">
        <v>46035</v>
      </c>
      <c r="C191" s="172" t="s">
        <v>81</v>
      </c>
      <c r="D191" s="172" t="s">
        <v>95</v>
      </c>
      <c r="E191" s="172" t="s">
        <v>43</v>
      </c>
      <c r="F191" s="172" t="s">
        <v>125</v>
      </c>
      <c r="G191" s="172" t="s">
        <v>84</v>
      </c>
      <c r="H191" s="177">
        <v>1</v>
      </c>
      <c r="I191" s="178">
        <v>1202</v>
      </c>
      <c r="J191" s="176">
        <v>46031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-5.16</v>
      </c>
    </row>
    <row r="192" spans="1:16" ht="19.5" customHeight="1">
      <c r="A192" s="172" t="s">
        <v>419</v>
      </c>
      <c r="B192" s="176">
        <v>46035</v>
      </c>
      <c r="C192" s="172" t="s">
        <v>81</v>
      </c>
      <c r="D192" s="172" t="s">
        <v>82</v>
      </c>
      <c r="E192" s="172" t="s">
        <v>43</v>
      </c>
      <c r="F192" s="172" t="s">
        <v>125</v>
      </c>
      <c r="G192" s="172" t="s">
        <v>84</v>
      </c>
      <c r="H192" s="177">
        <v>1</v>
      </c>
      <c r="I192" s="178">
        <v>0</v>
      </c>
      <c r="J192" s="176">
        <v>46031</v>
      </c>
      <c r="K192" s="172" t="s">
        <v>85</v>
      </c>
      <c r="L192" s="172" t="s">
        <v>85</v>
      </c>
      <c r="M192" s="179">
        <v>0</v>
      </c>
      <c r="N192" s="177"/>
      <c r="O192" s="177"/>
      <c r="P192" s="180">
        <v>-8.43</v>
      </c>
    </row>
    <row r="193" spans="1:16" ht="19.5" customHeight="1">
      <c r="A193" s="172" t="s">
        <v>420</v>
      </c>
      <c r="B193" s="176">
        <v>46035</v>
      </c>
      <c r="C193" s="172" t="s">
        <v>92</v>
      </c>
      <c r="D193" s="172" t="s">
        <v>24</v>
      </c>
      <c r="E193" s="172" t="s">
        <v>41</v>
      </c>
      <c r="F193" s="172" t="s">
        <v>83</v>
      </c>
      <c r="G193" s="172" t="s">
        <v>84</v>
      </c>
      <c r="H193" s="177">
        <v>1</v>
      </c>
      <c r="I193" s="178">
        <v>0</v>
      </c>
      <c r="J193" s="176">
        <v>46027</v>
      </c>
      <c r="K193" s="172" t="s">
        <v>93</v>
      </c>
      <c r="L193" s="172" t="s">
        <v>94</v>
      </c>
      <c r="M193" s="179">
        <v>0</v>
      </c>
      <c r="N193" s="177"/>
      <c r="O193" s="177">
        <v>45</v>
      </c>
      <c r="P193" s="180">
        <v>-46.77</v>
      </c>
    </row>
    <row r="194" spans="1:16" ht="19.5" customHeight="1">
      <c r="A194" s="172" t="s">
        <v>420</v>
      </c>
      <c r="B194" s="176">
        <v>46035</v>
      </c>
      <c r="C194" s="172" t="s">
        <v>81</v>
      </c>
      <c r="D194" s="172" t="s">
        <v>95</v>
      </c>
      <c r="E194" s="172" t="s">
        <v>41</v>
      </c>
      <c r="F194" s="172" t="s">
        <v>83</v>
      </c>
      <c r="G194" s="172" t="s">
        <v>84</v>
      </c>
      <c r="H194" s="177">
        <v>1</v>
      </c>
      <c r="I194" s="178">
        <v>0</v>
      </c>
      <c r="J194" s="176">
        <v>46027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-9.14</v>
      </c>
    </row>
    <row r="195" spans="1:16" ht="19.5" customHeight="1">
      <c r="A195" s="172" t="s">
        <v>421</v>
      </c>
      <c r="B195" s="176">
        <v>46035</v>
      </c>
      <c r="C195" s="172" t="s">
        <v>92</v>
      </c>
      <c r="D195" s="172" t="s">
        <v>24</v>
      </c>
      <c r="E195" s="172" t="s">
        <v>41</v>
      </c>
      <c r="F195" s="172" t="s">
        <v>83</v>
      </c>
      <c r="G195" s="172" t="s">
        <v>84</v>
      </c>
      <c r="H195" s="177">
        <v>1</v>
      </c>
      <c r="I195" s="178">
        <v>0</v>
      </c>
      <c r="J195" s="176">
        <v>46027</v>
      </c>
      <c r="K195" s="172" t="s">
        <v>93</v>
      </c>
      <c r="L195" s="172" t="s">
        <v>94</v>
      </c>
      <c r="M195" s="179">
        <v>0</v>
      </c>
      <c r="N195" s="177"/>
      <c r="O195" s="177">
        <v>45</v>
      </c>
      <c r="P195" s="180">
        <v>-46.77</v>
      </c>
    </row>
    <row r="196" spans="1:16" ht="19.5" customHeight="1">
      <c r="A196" s="172" t="s">
        <v>421</v>
      </c>
      <c r="B196" s="176">
        <v>46035</v>
      </c>
      <c r="C196" s="172" t="s">
        <v>81</v>
      </c>
      <c r="D196" s="172" t="s">
        <v>95</v>
      </c>
      <c r="E196" s="172" t="s">
        <v>41</v>
      </c>
      <c r="F196" s="172" t="s">
        <v>83</v>
      </c>
      <c r="G196" s="172" t="s">
        <v>84</v>
      </c>
      <c r="H196" s="177">
        <v>1</v>
      </c>
      <c r="I196" s="178">
        <v>0</v>
      </c>
      <c r="J196" s="176">
        <v>46027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-9.14</v>
      </c>
    </row>
    <row r="197" spans="1:16" ht="19.5" customHeight="1">
      <c r="A197" s="172" t="s">
        <v>420</v>
      </c>
      <c r="B197" s="176">
        <v>46035</v>
      </c>
      <c r="C197" s="172" t="s">
        <v>92</v>
      </c>
      <c r="D197" s="172" t="s">
        <v>96</v>
      </c>
      <c r="E197" s="172" t="s">
        <v>41</v>
      </c>
      <c r="F197" s="172" t="s">
        <v>83</v>
      </c>
      <c r="G197" s="172" t="s">
        <v>84</v>
      </c>
      <c r="H197" s="177">
        <v>1</v>
      </c>
      <c r="I197" s="178">
        <v>0</v>
      </c>
      <c r="J197" s="176">
        <v>46027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0</v>
      </c>
    </row>
    <row r="198" spans="1:16" ht="19.5" customHeight="1">
      <c r="A198" s="172" t="s">
        <v>420</v>
      </c>
      <c r="B198" s="176">
        <v>46035</v>
      </c>
      <c r="C198" s="172" t="s">
        <v>92</v>
      </c>
      <c r="D198" s="172" t="s">
        <v>97</v>
      </c>
      <c r="E198" s="172" t="s">
        <v>41</v>
      </c>
      <c r="F198" s="172" t="s">
        <v>83</v>
      </c>
      <c r="G198" s="172" t="s">
        <v>84</v>
      </c>
      <c r="H198" s="177">
        <v>1</v>
      </c>
      <c r="I198" s="178">
        <v>0</v>
      </c>
      <c r="J198" s="176">
        <v>46027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-46.77</v>
      </c>
    </row>
    <row r="199" spans="1:16" ht="19.5" customHeight="1">
      <c r="A199" s="172" t="s">
        <v>420</v>
      </c>
      <c r="B199" s="176">
        <v>46035</v>
      </c>
      <c r="C199" s="172" t="s">
        <v>81</v>
      </c>
      <c r="D199" s="172" t="s">
        <v>98</v>
      </c>
      <c r="E199" s="172" t="s">
        <v>41</v>
      </c>
      <c r="F199" s="172" t="s">
        <v>83</v>
      </c>
      <c r="G199" s="172" t="s">
        <v>84</v>
      </c>
      <c r="H199" s="177">
        <v>1</v>
      </c>
      <c r="I199" s="178">
        <v>0</v>
      </c>
      <c r="J199" s="176">
        <v>46027</v>
      </c>
      <c r="K199" s="172" t="s">
        <v>93</v>
      </c>
      <c r="L199" s="172" t="s">
        <v>94</v>
      </c>
      <c r="M199" s="179">
        <v>0</v>
      </c>
      <c r="N199" s="177"/>
      <c r="O199" s="177"/>
      <c r="P199" s="180">
        <v>-15</v>
      </c>
    </row>
    <row r="200" spans="1:16" ht="19.5" customHeight="1">
      <c r="A200" s="172" t="s">
        <v>421</v>
      </c>
      <c r="B200" s="176">
        <v>46035</v>
      </c>
      <c r="C200" s="172" t="s">
        <v>92</v>
      </c>
      <c r="D200" s="172" t="s">
        <v>96</v>
      </c>
      <c r="E200" s="172" t="s">
        <v>41</v>
      </c>
      <c r="F200" s="172" t="s">
        <v>83</v>
      </c>
      <c r="G200" s="172" t="s">
        <v>84</v>
      </c>
      <c r="H200" s="177">
        <v>1</v>
      </c>
      <c r="I200" s="178">
        <v>0</v>
      </c>
      <c r="J200" s="176">
        <v>46027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421</v>
      </c>
      <c r="B201" s="176">
        <v>46035</v>
      </c>
      <c r="C201" s="172" t="s">
        <v>92</v>
      </c>
      <c r="D201" s="172" t="s">
        <v>97</v>
      </c>
      <c r="E201" s="172" t="s">
        <v>41</v>
      </c>
      <c r="F201" s="172" t="s">
        <v>83</v>
      </c>
      <c r="G201" s="172" t="s">
        <v>84</v>
      </c>
      <c r="H201" s="177">
        <v>1</v>
      </c>
      <c r="I201" s="178">
        <v>0</v>
      </c>
      <c r="J201" s="176">
        <v>46027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-46.77</v>
      </c>
    </row>
    <row r="202" spans="1:16" ht="19.5" customHeight="1">
      <c r="A202" s="172" t="s">
        <v>421</v>
      </c>
      <c r="B202" s="176">
        <v>46035</v>
      </c>
      <c r="C202" s="172" t="s">
        <v>81</v>
      </c>
      <c r="D202" s="172" t="s">
        <v>98</v>
      </c>
      <c r="E202" s="172" t="s">
        <v>41</v>
      </c>
      <c r="F202" s="172" t="s">
        <v>83</v>
      </c>
      <c r="G202" s="172" t="s">
        <v>84</v>
      </c>
      <c r="H202" s="177">
        <v>1</v>
      </c>
      <c r="I202" s="178">
        <v>0</v>
      </c>
      <c r="J202" s="176">
        <v>46027</v>
      </c>
      <c r="K202" s="172" t="s">
        <v>93</v>
      </c>
      <c r="L202" s="172" t="s">
        <v>94</v>
      </c>
      <c r="M202" s="179">
        <v>0</v>
      </c>
      <c r="N202" s="177"/>
      <c r="O202" s="177"/>
      <c r="P202" s="180">
        <v>-15</v>
      </c>
    </row>
    <row r="203" spans="1:16" ht="19.5" customHeight="1">
      <c r="A203" s="172" t="s">
        <v>422</v>
      </c>
      <c r="B203" s="176">
        <v>46035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46033</v>
      </c>
      <c r="K203" s="172" t="s">
        <v>93</v>
      </c>
      <c r="L203" s="172" t="s">
        <v>94</v>
      </c>
      <c r="M203" s="179">
        <v>0.43</v>
      </c>
      <c r="N203" s="177"/>
      <c r="O203" s="177">
        <v>42</v>
      </c>
      <c r="P203" s="180">
        <v>-141.97999999999999</v>
      </c>
    </row>
    <row r="204" spans="1:16" ht="19.5" customHeight="1">
      <c r="A204" s="172" t="s">
        <v>422</v>
      </c>
      <c r="B204" s="176">
        <v>46035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46033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422</v>
      </c>
      <c r="B205" s="176">
        <v>46035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46033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422</v>
      </c>
      <c r="B206" s="176">
        <v>46035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46033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422</v>
      </c>
      <c r="B207" s="176">
        <v>46035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46033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422</v>
      </c>
      <c r="B208" s="176">
        <v>46035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46033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-10.11</v>
      </c>
    </row>
    <row r="209" spans="1:16" ht="19.5" customHeight="1">
      <c r="A209" s="172" t="s">
        <v>423</v>
      </c>
      <c r="B209" s="176">
        <v>46035</v>
      </c>
      <c r="C209" s="172" t="s">
        <v>81</v>
      </c>
      <c r="D209" s="172" t="s">
        <v>82</v>
      </c>
      <c r="E209" s="172" t="s">
        <v>52</v>
      </c>
      <c r="F209" s="172" t="s">
        <v>90</v>
      </c>
      <c r="G209" s="172" t="s">
        <v>84</v>
      </c>
      <c r="H209" s="177">
        <v>1</v>
      </c>
      <c r="I209" s="178">
        <v>0</v>
      </c>
      <c r="J209" s="176">
        <v>46035</v>
      </c>
      <c r="K209" s="172" t="s">
        <v>85</v>
      </c>
      <c r="L209" s="172" t="s">
        <v>85</v>
      </c>
      <c r="M209" s="179">
        <v>0</v>
      </c>
      <c r="N209" s="177"/>
      <c r="O209" s="177"/>
      <c r="P209" s="180">
        <v>-4.1399999999999997</v>
      </c>
    </row>
    <row r="210" spans="1:16" ht="19.5" customHeight="1">
      <c r="A210" s="172" t="s">
        <v>424</v>
      </c>
      <c r="B210" s="176">
        <v>46035</v>
      </c>
      <c r="C210" s="172" t="s">
        <v>92</v>
      </c>
      <c r="D210" s="172" t="s">
        <v>24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0</v>
      </c>
      <c r="J210" s="176">
        <v>46026</v>
      </c>
      <c r="K210" s="172" t="s">
        <v>93</v>
      </c>
      <c r="L210" s="172" t="s">
        <v>94</v>
      </c>
      <c r="M210" s="179">
        <v>0</v>
      </c>
      <c r="N210" s="177"/>
      <c r="O210" s="177">
        <v>46</v>
      </c>
      <c r="P210" s="180">
        <v>-56</v>
      </c>
    </row>
    <row r="211" spans="1:16" ht="19.5" customHeight="1">
      <c r="A211" s="172" t="s">
        <v>424</v>
      </c>
      <c r="B211" s="176">
        <v>46035</v>
      </c>
      <c r="C211" s="172" t="s">
        <v>81</v>
      </c>
      <c r="D211" s="172" t="s">
        <v>95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0</v>
      </c>
      <c r="J211" s="176">
        <v>46026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-12.08</v>
      </c>
    </row>
    <row r="212" spans="1:16" ht="19.5" customHeight="1">
      <c r="A212" s="172" t="s">
        <v>425</v>
      </c>
      <c r="B212" s="176">
        <v>46035</v>
      </c>
      <c r="C212" s="172" t="s">
        <v>92</v>
      </c>
      <c r="D212" s="172" t="s">
        <v>24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46031</v>
      </c>
      <c r="K212" s="172" t="s">
        <v>93</v>
      </c>
      <c r="L212" s="172" t="s">
        <v>94</v>
      </c>
      <c r="M212" s="179">
        <v>0.43</v>
      </c>
      <c r="N212" s="177"/>
      <c r="O212" s="177">
        <v>42</v>
      </c>
      <c r="P212" s="180">
        <v>-107.69</v>
      </c>
    </row>
    <row r="213" spans="1:16" ht="19.5" customHeight="1">
      <c r="A213" s="172" t="s">
        <v>425</v>
      </c>
      <c r="B213" s="176">
        <v>46035</v>
      </c>
      <c r="C213" s="172" t="s">
        <v>100</v>
      </c>
      <c r="D213" s="172" t="s">
        <v>101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46031</v>
      </c>
      <c r="K213" s="172" t="s">
        <v>93</v>
      </c>
      <c r="L213" s="172" t="s">
        <v>94</v>
      </c>
      <c r="M213" s="179">
        <v>0</v>
      </c>
      <c r="N213" s="177"/>
      <c r="O213" s="177"/>
      <c r="P213" s="180">
        <v>496.19</v>
      </c>
    </row>
    <row r="214" spans="1:16" ht="19.5" customHeight="1">
      <c r="A214" s="172" t="s">
        <v>425</v>
      </c>
      <c r="B214" s="176">
        <v>46035</v>
      </c>
      <c r="C214" s="172" t="s">
        <v>100</v>
      </c>
      <c r="D214" s="172" t="s">
        <v>102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46031</v>
      </c>
      <c r="K214" s="172" t="s">
        <v>93</v>
      </c>
      <c r="L214" s="172" t="s">
        <v>94</v>
      </c>
      <c r="M214" s="179">
        <v>0</v>
      </c>
      <c r="N214" s="177"/>
      <c r="O214" s="177"/>
      <c r="P214" s="180">
        <v>4.96</v>
      </c>
    </row>
    <row r="215" spans="1:16" ht="19.5" customHeight="1">
      <c r="A215" s="172" t="s">
        <v>425</v>
      </c>
      <c r="B215" s="176">
        <v>46035</v>
      </c>
      <c r="C215" s="172" t="s">
        <v>100</v>
      </c>
      <c r="D215" s="172" t="s">
        <v>103</v>
      </c>
      <c r="E215" s="172" t="s">
        <v>43</v>
      </c>
      <c r="F215" s="172" t="s">
        <v>125</v>
      </c>
      <c r="G215" s="172" t="s">
        <v>84</v>
      </c>
      <c r="H215" s="177">
        <v>1</v>
      </c>
      <c r="I215" s="178">
        <v>1202</v>
      </c>
      <c r="J215" s="176">
        <v>46031</v>
      </c>
      <c r="K215" s="172" t="s">
        <v>93</v>
      </c>
      <c r="L215" s="172" t="s">
        <v>94</v>
      </c>
      <c r="M215" s="179">
        <v>0</v>
      </c>
      <c r="N215" s="177"/>
      <c r="O215" s="177"/>
      <c r="P215" s="180">
        <v>700.85</v>
      </c>
    </row>
    <row r="216" spans="1:16" ht="19.5" customHeight="1">
      <c r="A216" s="172" t="s">
        <v>425</v>
      </c>
      <c r="B216" s="176">
        <v>46035</v>
      </c>
      <c r="C216" s="172" t="s">
        <v>104</v>
      </c>
      <c r="D216" s="172" t="s">
        <v>105</v>
      </c>
      <c r="E216" s="172" t="s">
        <v>43</v>
      </c>
      <c r="F216" s="172" t="s">
        <v>125</v>
      </c>
      <c r="G216" s="172" t="s">
        <v>84</v>
      </c>
      <c r="H216" s="177">
        <v>1</v>
      </c>
      <c r="I216" s="178">
        <v>1202</v>
      </c>
      <c r="J216" s="176">
        <v>46031</v>
      </c>
      <c r="K216" s="172" t="s">
        <v>93</v>
      </c>
      <c r="L216" s="172" t="s">
        <v>94</v>
      </c>
      <c r="M216" s="179">
        <v>0.43</v>
      </c>
      <c r="N216" s="177"/>
      <c r="O216" s="177"/>
      <c r="P216" s="180">
        <v>-516.86</v>
      </c>
    </row>
    <row r="217" spans="1:16" ht="19.5" customHeight="1">
      <c r="A217" s="172" t="s">
        <v>425</v>
      </c>
      <c r="B217" s="176">
        <v>46035</v>
      </c>
      <c r="C217" s="172" t="s">
        <v>81</v>
      </c>
      <c r="D217" s="172" t="s">
        <v>95</v>
      </c>
      <c r="E217" s="172" t="s">
        <v>43</v>
      </c>
      <c r="F217" s="172" t="s">
        <v>125</v>
      </c>
      <c r="G217" s="172" t="s">
        <v>84</v>
      </c>
      <c r="H217" s="177">
        <v>1</v>
      </c>
      <c r="I217" s="178">
        <v>1202</v>
      </c>
      <c r="J217" s="176">
        <v>46031</v>
      </c>
      <c r="K217" s="172" t="s">
        <v>93</v>
      </c>
      <c r="L217" s="172" t="s">
        <v>94</v>
      </c>
      <c r="M217" s="179">
        <v>0.43</v>
      </c>
      <c r="N217" s="177"/>
      <c r="O217" s="177"/>
      <c r="P217" s="180">
        <v>-8.9700000000000006</v>
      </c>
    </row>
    <row r="218" spans="1:16" ht="19.5" customHeight="1">
      <c r="A218" s="172" t="s">
        <v>426</v>
      </c>
      <c r="B218" s="176">
        <v>46035</v>
      </c>
      <c r="C218" s="172" t="s">
        <v>92</v>
      </c>
      <c r="D218" s="172" t="s">
        <v>24</v>
      </c>
      <c r="E218" s="172" t="s">
        <v>38</v>
      </c>
      <c r="F218" s="172" t="s">
        <v>87</v>
      </c>
      <c r="G218" s="172" t="s">
        <v>84</v>
      </c>
      <c r="H218" s="177">
        <v>1</v>
      </c>
      <c r="I218" s="178">
        <v>1650</v>
      </c>
      <c r="J218" s="176">
        <v>46031</v>
      </c>
      <c r="K218" s="172" t="s">
        <v>93</v>
      </c>
      <c r="L218" s="172" t="s">
        <v>94</v>
      </c>
      <c r="M218" s="179">
        <v>0.43</v>
      </c>
      <c r="N218" s="177"/>
      <c r="O218" s="177">
        <v>42</v>
      </c>
      <c r="P218" s="180">
        <v>-120.46</v>
      </c>
    </row>
    <row r="219" spans="1:16" ht="19.5" customHeight="1">
      <c r="A219" s="172" t="s">
        <v>426</v>
      </c>
      <c r="B219" s="176">
        <v>46035</v>
      </c>
      <c r="C219" s="172" t="s">
        <v>100</v>
      </c>
      <c r="D219" s="172" t="s">
        <v>101</v>
      </c>
      <c r="E219" s="172" t="s">
        <v>38</v>
      </c>
      <c r="F219" s="172" t="s">
        <v>87</v>
      </c>
      <c r="G219" s="172" t="s">
        <v>84</v>
      </c>
      <c r="H219" s="177">
        <v>1</v>
      </c>
      <c r="I219" s="178">
        <v>1650</v>
      </c>
      <c r="J219" s="176">
        <v>46031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626.66999999999996</v>
      </c>
    </row>
    <row r="220" spans="1:16" ht="19.5" customHeight="1">
      <c r="A220" s="172" t="s">
        <v>426</v>
      </c>
      <c r="B220" s="176">
        <v>46035</v>
      </c>
      <c r="C220" s="172" t="s">
        <v>100</v>
      </c>
      <c r="D220" s="172" t="s">
        <v>102</v>
      </c>
      <c r="E220" s="172" t="s">
        <v>38</v>
      </c>
      <c r="F220" s="172" t="s">
        <v>87</v>
      </c>
      <c r="G220" s="172" t="s">
        <v>84</v>
      </c>
      <c r="H220" s="177">
        <v>1</v>
      </c>
      <c r="I220" s="178">
        <v>1650</v>
      </c>
      <c r="J220" s="176">
        <v>46031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6.27</v>
      </c>
    </row>
    <row r="221" spans="1:16" ht="19.5" customHeight="1">
      <c r="A221" s="172" t="s">
        <v>426</v>
      </c>
      <c r="B221" s="176">
        <v>46035</v>
      </c>
      <c r="C221" s="172" t="s">
        <v>100</v>
      </c>
      <c r="D221" s="172" t="s">
        <v>103</v>
      </c>
      <c r="E221" s="172" t="s">
        <v>38</v>
      </c>
      <c r="F221" s="172" t="s">
        <v>87</v>
      </c>
      <c r="G221" s="172" t="s">
        <v>84</v>
      </c>
      <c r="H221" s="177">
        <v>1</v>
      </c>
      <c r="I221" s="178">
        <v>1650</v>
      </c>
      <c r="J221" s="176">
        <v>46031</v>
      </c>
      <c r="K221" s="172" t="s">
        <v>93</v>
      </c>
      <c r="L221" s="172" t="s">
        <v>94</v>
      </c>
      <c r="M221" s="179">
        <v>0</v>
      </c>
      <c r="N221" s="177"/>
      <c r="O221" s="177"/>
      <c r="P221" s="180">
        <v>1017.06</v>
      </c>
    </row>
    <row r="222" spans="1:16" ht="19.5" customHeight="1">
      <c r="A222" s="172" t="s">
        <v>426</v>
      </c>
      <c r="B222" s="176">
        <v>46035</v>
      </c>
      <c r="C222" s="172" t="s">
        <v>104</v>
      </c>
      <c r="D222" s="172" t="s">
        <v>105</v>
      </c>
      <c r="E222" s="172" t="s">
        <v>38</v>
      </c>
      <c r="F222" s="172" t="s">
        <v>87</v>
      </c>
      <c r="G222" s="172" t="s">
        <v>84</v>
      </c>
      <c r="H222" s="177">
        <v>1</v>
      </c>
      <c r="I222" s="178">
        <v>1650</v>
      </c>
      <c r="J222" s="176">
        <v>46031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-709.5</v>
      </c>
    </row>
    <row r="223" spans="1:16" ht="19.5" customHeight="1">
      <c r="A223" s="172" t="s">
        <v>426</v>
      </c>
      <c r="B223" s="176">
        <v>46035</v>
      </c>
      <c r="C223" s="172" t="s">
        <v>81</v>
      </c>
      <c r="D223" s="172" t="s">
        <v>95</v>
      </c>
      <c r="E223" s="172" t="s">
        <v>38</v>
      </c>
      <c r="F223" s="172" t="s">
        <v>87</v>
      </c>
      <c r="G223" s="172" t="s">
        <v>84</v>
      </c>
      <c r="H223" s="177">
        <v>1</v>
      </c>
      <c r="I223" s="178">
        <v>1650</v>
      </c>
      <c r="J223" s="176">
        <v>46031</v>
      </c>
      <c r="K223" s="172" t="s">
        <v>93</v>
      </c>
      <c r="L223" s="172" t="s">
        <v>94</v>
      </c>
      <c r="M223" s="179">
        <v>0.43</v>
      </c>
      <c r="N223" s="177"/>
      <c r="O223" s="177"/>
      <c r="P223" s="180">
        <v>-12.31</v>
      </c>
    </row>
    <row r="224" spans="1:16" ht="19.5" customHeight="1">
      <c r="A224" s="172" t="s">
        <v>424</v>
      </c>
      <c r="B224" s="176">
        <v>46035</v>
      </c>
      <c r="C224" s="172" t="s">
        <v>92</v>
      </c>
      <c r="D224" s="172" t="s">
        <v>96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0</v>
      </c>
      <c r="J224" s="176">
        <v>46026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0</v>
      </c>
    </row>
    <row r="225" spans="1:16" ht="19.5" customHeight="1">
      <c r="A225" s="172" t="s">
        <v>424</v>
      </c>
      <c r="B225" s="176">
        <v>46035</v>
      </c>
      <c r="C225" s="172" t="s">
        <v>92</v>
      </c>
      <c r="D225" s="172" t="s">
        <v>97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0</v>
      </c>
      <c r="J225" s="176">
        <v>46026</v>
      </c>
      <c r="K225" s="172" t="s">
        <v>93</v>
      </c>
      <c r="L225" s="172" t="s">
        <v>94</v>
      </c>
      <c r="M225" s="179">
        <v>0</v>
      </c>
      <c r="N225" s="177"/>
      <c r="O225" s="177"/>
      <c r="P225" s="180">
        <v>-56</v>
      </c>
    </row>
    <row r="226" spans="1:16" ht="19.5" customHeight="1">
      <c r="A226" s="172" t="s">
        <v>424</v>
      </c>
      <c r="B226" s="176">
        <v>46035</v>
      </c>
      <c r="C226" s="172" t="s">
        <v>81</v>
      </c>
      <c r="D226" s="172" t="s">
        <v>98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0</v>
      </c>
      <c r="J226" s="176">
        <v>46026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-15</v>
      </c>
    </row>
    <row r="227" spans="1:16" ht="19.5" customHeight="1">
      <c r="A227" s="172" t="s">
        <v>427</v>
      </c>
      <c r="B227" s="176">
        <v>46035</v>
      </c>
      <c r="C227" s="172" t="s">
        <v>92</v>
      </c>
      <c r="D227" s="172" t="s">
        <v>24</v>
      </c>
      <c r="E227" s="172" t="s">
        <v>52</v>
      </c>
      <c r="F227" s="172" t="s">
        <v>90</v>
      </c>
      <c r="G227" s="172" t="s">
        <v>84</v>
      </c>
      <c r="H227" s="177">
        <v>1</v>
      </c>
      <c r="I227" s="178">
        <v>1621</v>
      </c>
      <c r="J227" s="176">
        <v>46033</v>
      </c>
      <c r="K227" s="172" t="s">
        <v>93</v>
      </c>
      <c r="L227" s="172" t="s">
        <v>94</v>
      </c>
      <c r="M227" s="179">
        <v>0.43</v>
      </c>
      <c r="N227" s="177"/>
      <c r="O227" s="177">
        <v>42</v>
      </c>
      <c r="P227" s="180">
        <v>-135.6</v>
      </c>
    </row>
    <row r="228" spans="1:16" ht="19.5" customHeight="1">
      <c r="A228" s="172" t="s">
        <v>427</v>
      </c>
      <c r="B228" s="176">
        <v>46035</v>
      </c>
      <c r="C228" s="172" t="s">
        <v>100</v>
      </c>
      <c r="D228" s="172" t="s">
        <v>101</v>
      </c>
      <c r="E228" s="172" t="s">
        <v>52</v>
      </c>
      <c r="F228" s="172" t="s">
        <v>90</v>
      </c>
      <c r="G228" s="172" t="s">
        <v>84</v>
      </c>
      <c r="H228" s="177">
        <v>1</v>
      </c>
      <c r="I228" s="178">
        <v>1621</v>
      </c>
      <c r="J228" s="176">
        <v>46033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615.97</v>
      </c>
    </row>
    <row r="229" spans="1:16" ht="19.5" customHeight="1">
      <c r="A229" s="172" t="s">
        <v>427</v>
      </c>
      <c r="B229" s="176">
        <v>46035</v>
      </c>
      <c r="C229" s="172" t="s">
        <v>100</v>
      </c>
      <c r="D229" s="172" t="s">
        <v>102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46033</v>
      </c>
      <c r="K229" s="172" t="s">
        <v>93</v>
      </c>
      <c r="L229" s="172" t="s">
        <v>94</v>
      </c>
      <c r="M229" s="179">
        <v>0</v>
      </c>
      <c r="N229" s="177"/>
      <c r="O229" s="177"/>
      <c r="P229" s="180">
        <v>0</v>
      </c>
    </row>
    <row r="230" spans="1:16" ht="19.5" customHeight="1">
      <c r="A230" s="172" t="s">
        <v>427</v>
      </c>
      <c r="B230" s="176">
        <v>46035</v>
      </c>
      <c r="C230" s="172" t="s">
        <v>100</v>
      </c>
      <c r="D230" s="172" t="s">
        <v>103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46033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1005.03</v>
      </c>
    </row>
    <row r="231" spans="1:16" ht="19.5" customHeight="1">
      <c r="A231" s="172" t="s">
        <v>427</v>
      </c>
      <c r="B231" s="176">
        <v>46035</v>
      </c>
      <c r="C231" s="172" t="s">
        <v>104</v>
      </c>
      <c r="D231" s="172" t="s">
        <v>105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46033</v>
      </c>
      <c r="K231" s="172" t="s">
        <v>93</v>
      </c>
      <c r="L231" s="172" t="s">
        <v>94</v>
      </c>
      <c r="M231" s="179">
        <v>0.43</v>
      </c>
      <c r="N231" s="177"/>
      <c r="O231" s="177"/>
      <c r="P231" s="180">
        <v>-697.03</v>
      </c>
    </row>
    <row r="232" spans="1:16" ht="19.5" customHeight="1">
      <c r="A232" s="172" t="s">
        <v>427</v>
      </c>
      <c r="B232" s="176">
        <v>46035</v>
      </c>
      <c r="C232" s="172" t="s">
        <v>81</v>
      </c>
      <c r="D232" s="172" t="s">
        <v>95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46033</v>
      </c>
      <c r="K232" s="172" t="s">
        <v>93</v>
      </c>
      <c r="L232" s="172" t="s">
        <v>94</v>
      </c>
      <c r="M232" s="179">
        <v>0.43</v>
      </c>
      <c r="N232" s="177"/>
      <c r="O232" s="177"/>
      <c r="P232" s="180">
        <v>-8.9499999999999993</v>
      </c>
    </row>
    <row r="233" spans="1:16" ht="19.5" customHeight="1">
      <c r="A233" s="172" t="s">
        <v>426</v>
      </c>
      <c r="B233" s="176">
        <v>46035</v>
      </c>
      <c r="C233" s="172" t="s">
        <v>81</v>
      </c>
      <c r="D233" s="172" t="s">
        <v>82</v>
      </c>
      <c r="E233" s="172" t="s">
        <v>38</v>
      </c>
      <c r="F233" s="172" t="s">
        <v>87</v>
      </c>
      <c r="G233" s="172" t="s">
        <v>84</v>
      </c>
      <c r="H233" s="177">
        <v>1</v>
      </c>
      <c r="I233" s="178">
        <v>0</v>
      </c>
      <c r="J233" s="176">
        <v>46031</v>
      </c>
      <c r="K233" s="172" t="s">
        <v>85</v>
      </c>
      <c r="L233" s="172" t="s">
        <v>85</v>
      </c>
      <c r="M233" s="179">
        <v>0</v>
      </c>
      <c r="N233" s="177"/>
      <c r="O233" s="177"/>
      <c r="P233" s="180">
        <v>-11.91</v>
      </c>
    </row>
    <row r="234" spans="1:16" ht="19.5" customHeight="1">
      <c r="A234" s="172" t="s">
        <v>425</v>
      </c>
      <c r="B234" s="176">
        <v>46035</v>
      </c>
      <c r="C234" s="172" t="s">
        <v>81</v>
      </c>
      <c r="D234" s="172" t="s">
        <v>82</v>
      </c>
      <c r="E234" s="172" t="s">
        <v>43</v>
      </c>
      <c r="F234" s="172" t="s">
        <v>125</v>
      </c>
      <c r="G234" s="172" t="s">
        <v>84</v>
      </c>
      <c r="H234" s="177">
        <v>1</v>
      </c>
      <c r="I234" s="178">
        <v>0</v>
      </c>
      <c r="J234" s="176">
        <v>46031</v>
      </c>
      <c r="K234" s="172" t="s">
        <v>85</v>
      </c>
      <c r="L234" s="172" t="s">
        <v>85</v>
      </c>
      <c r="M234" s="179">
        <v>0</v>
      </c>
      <c r="N234" s="177"/>
      <c r="O234" s="177"/>
      <c r="P234" s="180">
        <v>-9.43</v>
      </c>
    </row>
    <row r="235" spans="1:16" ht="19.5" customHeight="1">
      <c r="A235" s="172" t="s">
        <v>428</v>
      </c>
      <c r="B235" s="176">
        <v>46035</v>
      </c>
      <c r="C235" s="172" t="s">
        <v>92</v>
      </c>
      <c r="D235" s="172" t="s">
        <v>24</v>
      </c>
      <c r="E235" s="172" t="s">
        <v>42</v>
      </c>
      <c r="F235" s="172" t="s">
        <v>89</v>
      </c>
      <c r="G235" s="172" t="s">
        <v>84</v>
      </c>
      <c r="H235" s="177">
        <v>1</v>
      </c>
      <c r="I235" s="178">
        <v>1600</v>
      </c>
      <c r="J235" s="176">
        <v>46030</v>
      </c>
      <c r="K235" s="172" t="s">
        <v>93</v>
      </c>
      <c r="L235" s="172" t="s">
        <v>94</v>
      </c>
      <c r="M235" s="179">
        <v>0.43</v>
      </c>
      <c r="N235" s="177"/>
      <c r="O235" s="177">
        <v>42</v>
      </c>
      <c r="P235" s="180">
        <v>-119.03</v>
      </c>
    </row>
    <row r="236" spans="1:16" ht="19.5" customHeight="1">
      <c r="A236" s="172" t="s">
        <v>428</v>
      </c>
      <c r="B236" s="176">
        <v>46035</v>
      </c>
      <c r="C236" s="172" t="s">
        <v>100</v>
      </c>
      <c r="D236" s="172" t="s">
        <v>101</v>
      </c>
      <c r="E236" s="172" t="s">
        <v>42</v>
      </c>
      <c r="F236" s="172" t="s">
        <v>89</v>
      </c>
      <c r="G236" s="172" t="s">
        <v>84</v>
      </c>
      <c r="H236" s="177">
        <v>1</v>
      </c>
      <c r="I236" s="178">
        <v>1600</v>
      </c>
      <c r="J236" s="176">
        <v>46030</v>
      </c>
      <c r="K236" s="172" t="s">
        <v>93</v>
      </c>
      <c r="L236" s="172" t="s">
        <v>94</v>
      </c>
      <c r="M236" s="179">
        <v>0</v>
      </c>
      <c r="N236" s="177"/>
      <c r="O236" s="177"/>
      <c r="P236" s="180">
        <v>629.52</v>
      </c>
    </row>
    <row r="237" spans="1:16" ht="19.5" customHeight="1">
      <c r="A237" s="172" t="s">
        <v>428</v>
      </c>
      <c r="B237" s="176">
        <v>46035</v>
      </c>
      <c r="C237" s="172" t="s">
        <v>100</v>
      </c>
      <c r="D237" s="172" t="s">
        <v>102</v>
      </c>
      <c r="E237" s="172" t="s">
        <v>42</v>
      </c>
      <c r="F237" s="172" t="s">
        <v>89</v>
      </c>
      <c r="G237" s="172" t="s">
        <v>84</v>
      </c>
      <c r="H237" s="177">
        <v>1</v>
      </c>
      <c r="I237" s="178">
        <v>1600</v>
      </c>
      <c r="J237" s="176">
        <v>46030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6.3</v>
      </c>
    </row>
    <row r="238" spans="1:16" ht="19.5" customHeight="1">
      <c r="A238" s="172" t="s">
        <v>428</v>
      </c>
      <c r="B238" s="176">
        <v>46035</v>
      </c>
      <c r="C238" s="172" t="s">
        <v>100</v>
      </c>
      <c r="D238" s="172" t="s">
        <v>103</v>
      </c>
      <c r="E238" s="172" t="s">
        <v>42</v>
      </c>
      <c r="F238" s="172" t="s">
        <v>89</v>
      </c>
      <c r="G238" s="172" t="s">
        <v>84</v>
      </c>
      <c r="H238" s="177">
        <v>1</v>
      </c>
      <c r="I238" s="178">
        <v>1600</v>
      </c>
      <c r="J238" s="176">
        <v>46030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964.18</v>
      </c>
    </row>
    <row r="239" spans="1:16" ht="19.5" customHeight="1">
      <c r="A239" s="172" t="s">
        <v>428</v>
      </c>
      <c r="B239" s="176">
        <v>46035</v>
      </c>
      <c r="C239" s="172" t="s">
        <v>104</v>
      </c>
      <c r="D239" s="172" t="s">
        <v>105</v>
      </c>
      <c r="E239" s="172" t="s">
        <v>42</v>
      </c>
      <c r="F239" s="172" t="s">
        <v>89</v>
      </c>
      <c r="G239" s="172" t="s">
        <v>84</v>
      </c>
      <c r="H239" s="177">
        <v>1</v>
      </c>
      <c r="I239" s="178">
        <v>1600</v>
      </c>
      <c r="J239" s="176">
        <v>46030</v>
      </c>
      <c r="K239" s="172" t="s">
        <v>93</v>
      </c>
      <c r="L239" s="172" t="s">
        <v>94</v>
      </c>
      <c r="M239" s="179">
        <v>0.43</v>
      </c>
      <c r="N239" s="177"/>
      <c r="O239" s="177"/>
      <c r="P239" s="180">
        <v>-688</v>
      </c>
    </row>
    <row r="240" spans="1:16" ht="19.5" customHeight="1">
      <c r="A240" s="172" t="s">
        <v>428</v>
      </c>
      <c r="B240" s="176">
        <v>46035</v>
      </c>
      <c r="C240" s="172" t="s">
        <v>81</v>
      </c>
      <c r="D240" s="172" t="s">
        <v>95</v>
      </c>
      <c r="E240" s="172" t="s">
        <v>42</v>
      </c>
      <c r="F240" s="172" t="s">
        <v>89</v>
      </c>
      <c r="G240" s="172" t="s">
        <v>84</v>
      </c>
      <c r="H240" s="177">
        <v>1</v>
      </c>
      <c r="I240" s="178">
        <v>1600</v>
      </c>
      <c r="J240" s="176">
        <v>46030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-8.0299999999999994</v>
      </c>
    </row>
    <row r="241" spans="1:16" ht="19.5" customHeight="1">
      <c r="A241" s="172" t="s">
        <v>429</v>
      </c>
      <c r="B241" s="176">
        <v>46035</v>
      </c>
      <c r="C241" s="172" t="s">
        <v>92</v>
      </c>
      <c r="D241" s="172" t="s">
        <v>24</v>
      </c>
      <c r="E241" s="172" t="s">
        <v>41</v>
      </c>
      <c r="F241" s="172" t="s">
        <v>83</v>
      </c>
      <c r="G241" s="172" t="s">
        <v>84</v>
      </c>
      <c r="H241" s="177">
        <v>1</v>
      </c>
      <c r="I241" s="178">
        <v>1750</v>
      </c>
      <c r="J241" s="176">
        <v>46033</v>
      </c>
      <c r="K241" s="172" t="s">
        <v>93</v>
      </c>
      <c r="L241" s="172" t="s">
        <v>94</v>
      </c>
      <c r="M241" s="179">
        <v>0.43</v>
      </c>
      <c r="N241" s="177"/>
      <c r="O241" s="177">
        <v>42</v>
      </c>
      <c r="P241" s="180">
        <v>-123.31</v>
      </c>
    </row>
    <row r="242" spans="1:16" ht="19.5" customHeight="1">
      <c r="A242" s="172" t="s">
        <v>429</v>
      </c>
      <c r="B242" s="176">
        <v>46035</v>
      </c>
      <c r="C242" s="172" t="s">
        <v>100</v>
      </c>
      <c r="D242" s="172" t="s">
        <v>101</v>
      </c>
      <c r="E242" s="172" t="s">
        <v>41</v>
      </c>
      <c r="F242" s="172" t="s">
        <v>83</v>
      </c>
      <c r="G242" s="172" t="s">
        <v>84</v>
      </c>
      <c r="H242" s="177">
        <v>1</v>
      </c>
      <c r="I242" s="178">
        <v>1750</v>
      </c>
      <c r="J242" s="176">
        <v>46033</v>
      </c>
      <c r="K242" s="172" t="s">
        <v>93</v>
      </c>
      <c r="L242" s="172" t="s">
        <v>94</v>
      </c>
      <c r="M242" s="179">
        <v>0</v>
      </c>
      <c r="N242" s="177"/>
      <c r="O242" s="177"/>
      <c r="P242" s="180">
        <v>609.52</v>
      </c>
    </row>
    <row r="243" spans="1:16" ht="19.5" customHeight="1">
      <c r="A243" s="172" t="s">
        <v>429</v>
      </c>
      <c r="B243" s="176">
        <v>46035</v>
      </c>
      <c r="C243" s="172" t="s">
        <v>100</v>
      </c>
      <c r="D243" s="172" t="s">
        <v>102</v>
      </c>
      <c r="E243" s="172" t="s">
        <v>41</v>
      </c>
      <c r="F243" s="172" t="s">
        <v>83</v>
      </c>
      <c r="G243" s="172" t="s">
        <v>84</v>
      </c>
      <c r="H243" s="177">
        <v>1</v>
      </c>
      <c r="I243" s="178">
        <v>1750</v>
      </c>
      <c r="J243" s="176">
        <v>46033</v>
      </c>
      <c r="K243" s="172" t="s">
        <v>93</v>
      </c>
      <c r="L243" s="172" t="s">
        <v>94</v>
      </c>
      <c r="M243" s="179">
        <v>0</v>
      </c>
      <c r="N243" s="177"/>
      <c r="O243" s="177"/>
      <c r="P243" s="180">
        <v>6.1</v>
      </c>
    </row>
    <row r="244" spans="1:16" ht="19.5" customHeight="1">
      <c r="A244" s="172" t="s">
        <v>429</v>
      </c>
      <c r="B244" s="176">
        <v>46035</v>
      </c>
      <c r="C244" s="172" t="s">
        <v>100</v>
      </c>
      <c r="D244" s="172" t="s">
        <v>103</v>
      </c>
      <c r="E244" s="172" t="s">
        <v>41</v>
      </c>
      <c r="F244" s="172" t="s">
        <v>83</v>
      </c>
      <c r="G244" s="172" t="s">
        <v>84</v>
      </c>
      <c r="H244" s="177">
        <v>1</v>
      </c>
      <c r="I244" s="178">
        <v>1750</v>
      </c>
      <c r="J244" s="176">
        <v>46033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1134.3800000000001</v>
      </c>
    </row>
    <row r="245" spans="1:16" ht="19.5" customHeight="1">
      <c r="A245" s="172" t="s">
        <v>429</v>
      </c>
      <c r="B245" s="176">
        <v>46035</v>
      </c>
      <c r="C245" s="172" t="s">
        <v>104</v>
      </c>
      <c r="D245" s="172" t="s">
        <v>105</v>
      </c>
      <c r="E245" s="172" t="s">
        <v>41</v>
      </c>
      <c r="F245" s="172" t="s">
        <v>83</v>
      </c>
      <c r="G245" s="172" t="s">
        <v>84</v>
      </c>
      <c r="H245" s="177">
        <v>1</v>
      </c>
      <c r="I245" s="178">
        <v>1750</v>
      </c>
      <c r="J245" s="176">
        <v>46033</v>
      </c>
      <c r="K245" s="172" t="s">
        <v>93</v>
      </c>
      <c r="L245" s="172" t="s">
        <v>94</v>
      </c>
      <c r="M245" s="179">
        <v>0.43</v>
      </c>
      <c r="N245" s="177"/>
      <c r="O245" s="177"/>
      <c r="P245" s="180">
        <v>-752.5</v>
      </c>
    </row>
    <row r="246" spans="1:16" ht="19.5" customHeight="1">
      <c r="A246" s="172" t="s">
        <v>429</v>
      </c>
      <c r="B246" s="176">
        <v>46035</v>
      </c>
      <c r="C246" s="172" t="s">
        <v>81</v>
      </c>
      <c r="D246" s="172" t="s">
        <v>95</v>
      </c>
      <c r="E246" s="172" t="s">
        <v>41</v>
      </c>
      <c r="F246" s="172" t="s">
        <v>83</v>
      </c>
      <c r="G246" s="172" t="s">
        <v>84</v>
      </c>
      <c r="H246" s="177">
        <v>1</v>
      </c>
      <c r="I246" s="178">
        <v>1750</v>
      </c>
      <c r="J246" s="176">
        <v>46033</v>
      </c>
      <c r="K246" s="172" t="s">
        <v>93</v>
      </c>
      <c r="L246" s="172" t="s">
        <v>94</v>
      </c>
      <c r="M246" s="179">
        <v>0.43</v>
      </c>
      <c r="N246" s="177"/>
      <c r="O246" s="177"/>
      <c r="P246" s="180">
        <v>-14.1</v>
      </c>
    </row>
    <row r="247" spans="1:16" ht="19.5" customHeight="1">
      <c r="A247" s="172" t="s">
        <v>430</v>
      </c>
      <c r="B247" s="176">
        <v>46035</v>
      </c>
      <c r="C247" s="172" t="s">
        <v>92</v>
      </c>
      <c r="D247" s="172" t="s">
        <v>24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46034</v>
      </c>
      <c r="K247" s="172" t="s">
        <v>93</v>
      </c>
      <c r="L247" s="172" t="s">
        <v>94</v>
      </c>
      <c r="M247" s="179">
        <v>0.43</v>
      </c>
      <c r="N247" s="177"/>
      <c r="O247" s="177">
        <v>42</v>
      </c>
      <c r="P247" s="180">
        <v>-140.5</v>
      </c>
    </row>
    <row r="248" spans="1:16" ht="19.5" customHeight="1">
      <c r="A248" s="172" t="s">
        <v>430</v>
      </c>
      <c r="B248" s="176">
        <v>46035</v>
      </c>
      <c r="C248" s="172" t="s">
        <v>100</v>
      </c>
      <c r="D248" s="172" t="s">
        <v>101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1845</v>
      </c>
      <c r="J248" s="176">
        <v>46034</v>
      </c>
      <c r="K248" s="172" t="s">
        <v>93</v>
      </c>
      <c r="L248" s="172" t="s">
        <v>94</v>
      </c>
      <c r="M248" s="179">
        <v>0</v>
      </c>
      <c r="N248" s="177"/>
      <c r="O248" s="177"/>
      <c r="P248" s="180">
        <v>642.86</v>
      </c>
    </row>
    <row r="249" spans="1:16" ht="19.5" customHeight="1">
      <c r="A249" s="172" t="s">
        <v>430</v>
      </c>
      <c r="B249" s="176">
        <v>46035</v>
      </c>
      <c r="C249" s="172" t="s">
        <v>100</v>
      </c>
      <c r="D249" s="172" t="s">
        <v>102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1845</v>
      </c>
      <c r="J249" s="176">
        <v>46034</v>
      </c>
      <c r="K249" s="172" t="s">
        <v>93</v>
      </c>
      <c r="L249" s="172" t="s">
        <v>94</v>
      </c>
      <c r="M249" s="179">
        <v>0</v>
      </c>
      <c r="N249" s="177"/>
      <c r="O249" s="177"/>
      <c r="P249" s="180">
        <v>6.43</v>
      </c>
    </row>
    <row r="250" spans="1:16" ht="19.5" customHeight="1">
      <c r="A250" s="172" t="s">
        <v>430</v>
      </c>
      <c r="B250" s="176">
        <v>46035</v>
      </c>
      <c r="C250" s="172" t="s">
        <v>100</v>
      </c>
      <c r="D250" s="172" t="s">
        <v>103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1845</v>
      </c>
      <c r="J250" s="176">
        <v>46034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1195.71</v>
      </c>
    </row>
    <row r="251" spans="1:16" ht="19.5" customHeight="1">
      <c r="A251" s="172" t="s">
        <v>430</v>
      </c>
      <c r="B251" s="176">
        <v>46035</v>
      </c>
      <c r="C251" s="172" t="s">
        <v>104</v>
      </c>
      <c r="D251" s="172" t="s">
        <v>105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46034</v>
      </c>
      <c r="K251" s="172" t="s">
        <v>93</v>
      </c>
      <c r="L251" s="172" t="s">
        <v>94</v>
      </c>
      <c r="M251" s="179">
        <v>0.43</v>
      </c>
      <c r="N251" s="177"/>
      <c r="O251" s="177"/>
      <c r="P251" s="180">
        <v>-793.35</v>
      </c>
    </row>
    <row r="252" spans="1:16" ht="19.5" customHeight="1">
      <c r="A252" s="172" t="s">
        <v>430</v>
      </c>
      <c r="B252" s="176">
        <v>46035</v>
      </c>
      <c r="C252" s="172" t="s">
        <v>81</v>
      </c>
      <c r="D252" s="172" t="s">
        <v>95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46034</v>
      </c>
      <c r="K252" s="172" t="s">
        <v>93</v>
      </c>
      <c r="L252" s="172" t="s">
        <v>94</v>
      </c>
      <c r="M252" s="179">
        <v>0.43</v>
      </c>
      <c r="N252" s="177"/>
      <c r="O252" s="177"/>
      <c r="P252" s="180">
        <v>-10.35</v>
      </c>
    </row>
    <row r="253" spans="1:16" ht="19.5" customHeight="1">
      <c r="A253" s="172" t="s">
        <v>431</v>
      </c>
      <c r="B253" s="176">
        <v>46035</v>
      </c>
      <c r="C253" s="172" t="s">
        <v>92</v>
      </c>
      <c r="D253" s="172" t="s">
        <v>24</v>
      </c>
      <c r="E253" s="172" t="s">
        <v>52</v>
      </c>
      <c r="F253" s="172" t="s">
        <v>90</v>
      </c>
      <c r="G253" s="172" t="s">
        <v>84</v>
      </c>
      <c r="H253" s="177">
        <v>1</v>
      </c>
      <c r="I253" s="178">
        <v>0</v>
      </c>
      <c r="J253" s="176">
        <v>46033</v>
      </c>
      <c r="K253" s="172" t="s">
        <v>93</v>
      </c>
      <c r="L253" s="172" t="s">
        <v>94</v>
      </c>
      <c r="M253" s="179">
        <v>0</v>
      </c>
      <c r="N253" s="177"/>
      <c r="O253" s="177">
        <v>42</v>
      </c>
      <c r="P253" s="180">
        <v>-134.12</v>
      </c>
    </row>
    <row r="254" spans="1:16" ht="19.5" customHeight="1">
      <c r="A254" s="172" t="s">
        <v>432</v>
      </c>
      <c r="B254" s="176">
        <v>46035</v>
      </c>
      <c r="C254" s="172" t="s">
        <v>81</v>
      </c>
      <c r="D254" s="172" t="s">
        <v>82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0</v>
      </c>
      <c r="J254" s="176">
        <v>46035</v>
      </c>
      <c r="K254" s="172" t="s">
        <v>85</v>
      </c>
      <c r="L254" s="172" t="s">
        <v>85</v>
      </c>
      <c r="M254" s="179">
        <v>0</v>
      </c>
      <c r="N254" s="177"/>
      <c r="O254" s="177"/>
      <c r="P254" s="180">
        <v>-3.77</v>
      </c>
    </row>
    <row r="255" spans="1:16" ht="19.5" customHeight="1">
      <c r="A255" s="172" t="s">
        <v>433</v>
      </c>
      <c r="B255" s="176">
        <v>46035</v>
      </c>
      <c r="C255" s="172" t="s">
        <v>92</v>
      </c>
      <c r="D255" s="172" t="s">
        <v>24</v>
      </c>
      <c r="E255" s="172" t="s">
        <v>52</v>
      </c>
      <c r="F255" s="172" t="s">
        <v>90</v>
      </c>
      <c r="G255" s="172" t="s">
        <v>84</v>
      </c>
      <c r="H255" s="177">
        <v>1</v>
      </c>
      <c r="I255" s="178">
        <v>1621</v>
      </c>
      <c r="J255" s="176">
        <v>46033</v>
      </c>
      <c r="K255" s="172" t="s">
        <v>93</v>
      </c>
      <c r="L255" s="172" t="s">
        <v>94</v>
      </c>
      <c r="M255" s="179">
        <v>0.43</v>
      </c>
      <c r="N255" s="177"/>
      <c r="O255" s="177">
        <v>42</v>
      </c>
      <c r="P255" s="180">
        <v>-134.12</v>
      </c>
    </row>
    <row r="256" spans="1:16" ht="19.5" customHeight="1">
      <c r="A256" s="172" t="s">
        <v>433</v>
      </c>
      <c r="B256" s="176">
        <v>46035</v>
      </c>
      <c r="C256" s="172" t="s">
        <v>100</v>
      </c>
      <c r="D256" s="172" t="s">
        <v>101</v>
      </c>
      <c r="E256" s="172" t="s">
        <v>52</v>
      </c>
      <c r="F256" s="172" t="s">
        <v>90</v>
      </c>
      <c r="G256" s="172" t="s">
        <v>84</v>
      </c>
      <c r="H256" s="177">
        <v>1</v>
      </c>
      <c r="I256" s="178">
        <v>1621</v>
      </c>
      <c r="J256" s="176">
        <v>46033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557.14</v>
      </c>
    </row>
    <row r="257" spans="1:16" ht="19.5" customHeight="1">
      <c r="A257" s="172" t="s">
        <v>433</v>
      </c>
      <c r="B257" s="176">
        <v>46035</v>
      </c>
      <c r="C257" s="172" t="s">
        <v>100</v>
      </c>
      <c r="D257" s="172" t="s">
        <v>102</v>
      </c>
      <c r="E257" s="172" t="s">
        <v>52</v>
      </c>
      <c r="F257" s="172" t="s">
        <v>90</v>
      </c>
      <c r="G257" s="172" t="s">
        <v>84</v>
      </c>
      <c r="H257" s="177">
        <v>1</v>
      </c>
      <c r="I257" s="178">
        <v>1621</v>
      </c>
      <c r="J257" s="176">
        <v>46033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5.57</v>
      </c>
    </row>
    <row r="258" spans="1:16" ht="19.5" customHeight="1">
      <c r="A258" s="172" t="s">
        <v>433</v>
      </c>
      <c r="B258" s="176">
        <v>46035</v>
      </c>
      <c r="C258" s="172" t="s">
        <v>100</v>
      </c>
      <c r="D258" s="172" t="s">
        <v>103</v>
      </c>
      <c r="E258" s="172" t="s">
        <v>52</v>
      </c>
      <c r="F258" s="172" t="s">
        <v>90</v>
      </c>
      <c r="G258" s="172" t="s">
        <v>84</v>
      </c>
      <c r="H258" s="177">
        <v>1</v>
      </c>
      <c r="I258" s="178">
        <v>1621</v>
      </c>
      <c r="J258" s="176">
        <v>46033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1058.29</v>
      </c>
    </row>
    <row r="259" spans="1:16" ht="19.5" customHeight="1">
      <c r="A259" s="172" t="s">
        <v>433</v>
      </c>
      <c r="B259" s="176">
        <v>46035</v>
      </c>
      <c r="C259" s="172" t="s">
        <v>104</v>
      </c>
      <c r="D259" s="172" t="s">
        <v>105</v>
      </c>
      <c r="E259" s="172" t="s">
        <v>52</v>
      </c>
      <c r="F259" s="172" t="s">
        <v>90</v>
      </c>
      <c r="G259" s="172" t="s">
        <v>84</v>
      </c>
      <c r="H259" s="177">
        <v>1</v>
      </c>
      <c r="I259" s="178">
        <v>1621</v>
      </c>
      <c r="J259" s="176">
        <v>46033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-697.03</v>
      </c>
    </row>
    <row r="260" spans="1:16" ht="19.5" customHeight="1">
      <c r="A260" s="172" t="s">
        <v>433</v>
      </c>
      <c r="B260" s="176">
        <v>46035</v>
      </c>
      <c r="C260" s="172" t="s">
        <v>81</v>
      </c>
      <c r="D260" s="172" t="s">
        <v>95</v>
      </c>
      <c r="E260" s="172" t="s">
        <v>52</v>
      </c>
      <c r="F260" s="172" t="s">
        <v>90</v>
      </c>
      <c r="G260" s="172" t="s">
        <v>84</v>
      </c>
      <c r="H260" s="177">
        <v>1</v>
      </c>
      <c r="I260" s="178">
        <v>1621</v>
      </c>
      <c r="J260" s="176">
        <v>46033</v>
      </c>
      <c r="K260" s="172" t="s">
        <v>93</v>
      </c>
      <c r="L260" s="172" t="s">
        <v>94</v>
      </c>
      <c r="M260" s="179">
        <v>0.43</v>
      </c>
      <c r="N260" s="177"/>
      <c r="O260" s="177"/>
      <c r="P260" s="180">
        <v>-15.16</v>
      </c>
    </row>
    <row r="261" spans="1:16" ht="19.5" customHeight="1">
      <c r="A261" s="172" t="s">
        <v>434</v>
      </c>
      <c r="B261" s="176">
        <v>46035</v>
      </c>
      <c r="C261" s="172" t="s">
        <v>92</v>
      </c>
      <c r="D261" s="172" t="s">
        <v>24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0</v>
      </c>
      <c r="J261" s="176">
        <v>46026</v>
      </c>
      <c r="K261" s="172" t="s">
        <v>93</v>
      </c>
      <c r="L261" s="172" t="s">
        <v>94</v>
      </c>
      <c r="M261" s="179">
        <v>0</v>
      </c>
      <c r="N261" s="177"/>
      <c r="O261" s="177">
        <v>46</v>
      </c>
      <c r="P261" s="180">
        <v>-46.77</v>
      </c>
    </row>
    <row r="262" spans="1:16" ht="19.5" customHeight="1">
      <c r="A262" s="172" t="s">
        <v>434</v>
      </c>
      <c r="B262" s="176">
        <v>46035</v>
      </c>
      <c r="C262" s="172" t="s">
        <v>81</v>
      </c>
      <c r="D262" s="172" t="s">
        <v>95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0</v>
      </c>
      <c r="J262" s="176">
        <v>46026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-8.58</v>
      </c>
    </row>
    <row r="263" spans="1:16" ht="19.5" customHeight="1">
      <c r="A263" s="172" t="s">
        <v>435</v>
      </c>
      <c r="B263" s="176">
        <v>46035</v>
      </c>
      <c r="C263" s="172" t="s">
        <v>92</v>
      </c>
      <c r="D263" s="172" t="s">
        <v>272</v>
      </c>
      <c r="E263" s="172" t="s">
        <v>52</v>
      </c>
      <c r="F263" s="172" t="s">
        <v>90</v>
      </c>
      <c r="G263" s="172" t="s">
        <v>84</v>
      </c>
      <c r="H263" s="177">
        <v>1</v>
      </c>
      <c r="I263" s="178">
        <v>0</v>
      </c>
      <c r="J263" s="176">
        <v>46027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0</v>
      </c>
    </row>
    <row r="264" spans="1:16" ht="19.5" customHeight="1">
      <c r="A264" s="172" t="s">
        <v>435</v>
      </c>
      <c r="B264" s="176">
        <v>46035</v>
      </c>
      <c r="C264" s="172" t="s">
        <v>92</v>
      </c>
      <c r="D264" s="172" t="s">
        <v>97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0</v>
      </c>
      <c r="J264" s="176">
        <v>46027</v>
      </c>
      <c r="K264" s="172" t="s">
        <v>93</v>
      </c>
      <c r="L264" s="172" t="s">
        <v>94</v>
      </c>
      <c r="M264" s="179">
        <v>0</v>
      </c>
      <c r="N264" s="177"/>
      <c r="O264" s="177"/>
      <c r="P264" s="180">
        <v>-56</v>
      </c>
    </row>
    <row r="265" spans="1:16" ht="19.5" customHeight="1">
      <c r="A265" s="172" t="s">
        <v>435</v>
      </c>
      <c r="B265" s="176">
        <v>46035</v>
      </c>
      <c r="C265" s="172" t="s">
        <v>81</v>
      </c>
      <c r="D265" s="172" t="s">
        <v>98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0</v>
      </c>
      <c r="J265" s="176">
        <v>46027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-15</v>
      </c>
    </row>
    <row r="266" spans="1:16" ht="19.5" customHeight="1">
      <c r="A266" s="172" t="s">
        <v>433</v>
      </c>
      <c r="B266" s="176">
        <v>46035</v>
      </c>
      <c r="C266" s="172" t="s">
        <v>81</v>
      </c>
      <c r="D266" s="172" t="s">
        <v>82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0</v>
      </c>
      <c r="J266" s="176">
        <v>46033</v>
      </c>
      <c r="K266" s="172" t="s">
        <v>85</v>
      </c>
      <c r="L266" s="172" t="s">
        <v>85</v>
      </c>
      <c r="M266" s="179">
        <v>0</v>
      </c>
      <c r="N266" s="177"/>
      <c r="O266" s="177"/>
      <c r="P266" s="180">
        <v>-10.59</v>
      </c>
    </row>
    <row r="267" spans="1:16" ht="19.5" customHeight="1">
      <c r="A267" s="172" t="s">
        <v>434</v>
      </c>
      <c r="B267" s="176">
        <v>46035</v>
      </c>
      <c r="C267" s="172" t="s">
        <v>92</v>
      </c>
      <c r="D267" s="172" t="s">
        <v>96</v>
      </c>
      <c r="E267" s="172" t="s">
        <v>41</v>
      </c>
      <c r="F267" s="172" t="s">
        <v>83</v>
      </c>
      <c r="G267" s="172" t="s">
        <v>84</v>
      </c>
      <c r="H267" s="177">
        <v>1</v>
      </c>
      <c r="I267" s="178">
        <v>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0</v>
      </c>
    </row>
    <row r="268" spans="1:16" ht="19.5" customHeight="1">
      <c r="A268" s="172" t="s">
        <v>434</v>
      </c>
      <c r="B268" s="176">
        <v>46035</v>
      </c>
      <c r="C268" s="172" t="s">
        <v>92</v>
      </c>
      <c r="D268" s="172" t="s">
        <v>97</v>
      </c>
      <c r="E268" s="172" t="s">
        <v>41</v>
      </c>
      <c r="F268" s="172" t="s">
        <v>83</v>
      </c>
      <c r="G268" s="172" t="s">
        <v>84</v>
      </c>
      <c r="H268" s="177">
        <v>1</v>
      </c>
      <c r="I268" s="178">
        <v>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-46.77</v>
      </c>
    </row>
    <row r="269" spans="1:16" ht="19.5" customHeight="1">
      <c r="A269" s="172" t="s">
        <v>434</v>
      </c>
      <c r="B269" s="176">
        <v>46035</v>
      </c>
      <c r="C269" s="172" t="s">
        <v>81</v>
      </c>
      <c r="D269" s="172" t="s">
        <v>98</v>
      </c>
      <c r="E269" s="172" t="s">
        <v>41</v>
      </c>
      <c r="F269" s="172" t="s">
        <v>83</v>
      </c>
      <c r="G269" s="172" t="s">
        <v>84</v>
      </c>
      <c r="H269" s="177">
        <v>1</v>
      </c>
      <c r="I269" s="178">
        <v>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-15</v>
      </c>
    </row>
    <row r="270" spans="1:16" ht="19.5" customHeight="1">
      <c r="A270" s="172" t="s">
        <v>436</v>
      </c>
      <c r="B270" s="176">
        <v>46035</v>
      </c>
      <c r="C270" s="172" t="s">
        <v>92</v>
      </c>
      <c r="D270" s="172" t="s">
        <v>24</v>
      </c>
      <c r="E270" s="172" t="s">
        <v>41</v>
      </c>
      <c r="F270" s="172" t="s">
        <v>83</v>
      </c>
      <c r="G270" s="172" t="s">
        <v>84</v>
      </c>
      <c r="H270" s="177">
        <v>1</v>
      </c>
      <c r="I270" s="178">
        <v>1750</v>
      </c>
      <c r="J270" s="176">
        <v>46033</v>
      </c>
      <c r="K270" s="172" t="s">
        <v>93</v>
      </c>
      <c r="L270" s="172" t="s">
        <v>94</v>
      </c>
      <c r="M270" s="179">
        <v>0.43</v>
      </c>
      <c r="N270" s="177"/>
      <c r="O270" s="177">
        <v>42</v>
      </c>
      <c r="P270" s="180">
        <v>-122.1</v>
      </c>
    </row>
    <row r="271" spans="1:16" ht="19.5" customHeight="1">
      <c r="A271" s="172" t="s">
        <v>436</v>
      </c>
      <c r="B271" s="176">
        <v>46035</v>
      </c>
      <c r="C271" s="172" t="s">
        <v>100</v>
      </c>
      <c r="D271" s="172" t="s">
        <v>101</v>
      </c>
      <c r="E271" s="172" t="s">
        <v>41</v>
      </c>
      <c r="F271" s="172" t="s">
        <v>83</v>
      </c>
      <c r="G271" s="172" t="s">
        <v>84</v>
      </c>
      <c r="H271" s="177">
        <v>1</v>
      </c>
      <c r="I271" s="178">
        <v>1750</v>
      </c>
      <c r="J271" s="176">
        <v>46033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666.67</v>
      </c>
    </row>
    <row r="272" spans="1:16" ht="19.5" customHeight="1">
      <c r="A272" s="172" t="s">
        <v>436</v>
      </c>
      <c r="B272" s="176">
        <v>46035</v>
      </c>
      <c r="C272" s="172" t="s">
        <v>100</v>
      </c>
      <c r="D272" s="172" t="s">
        <v>102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1750</v>
      </c>
      <c r="J272" s="176">
        <v>46033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436</v>
      </c>
      <c r="B273" s="176">
        <v>46035</v>
      </c>
      <c r="C273" s="172" t="s">
        <v>100</v>
      </c>
      <c r="D273" s="172" t="s">
        <v>103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1750</v>
      </c>
      <c r="J273" s="176">
        <v>46033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1083.33</v>
      </c>
    </row>
    <row r="274" spans="1:16" ht="19.5" customHeight="1">
      <c r="A274" s="172" t="s">
        <v>436</v>
      </c>
      <c r="B274" s="176">
        <v>46035</v>
      </c>
      <c r="C274" s="172" t="s">
        <v>104</v>
      </c>
      <c r="D274" s="172" t="s">
        <v>105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1750</v>
      </c>
      <c r="J274" s="176">
        <v>46033</v>
      </c>
      <c r="K274" s="172" t="s">
        <v>93</v>
      </c>
      <c r="L274" s="172" t="s">
        <v>94</v>
      </c>
      <c r="M274" s="179">
        <v>0.43</v>
      </c>
      <c r="N274" s="177"/>
      <c r="O274" s="177"/>
      <c r="P274" s="180">
        <v>-752.5</v>
      </c>
    </row>
    <row r="275" spans="1:16" ht="19.5" customHeight="1">
      <c r="A275" s="172" t="s">
        <v>436</v>
      </c>
      <c r="B275" s="176">
        <v>46035</v>
      </c>
      <c r="C275" s="172" t="s">
        <v>81</v>
      </c>
      <c r="D275" s="172" t="s">
        <v>95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1750</v>
      </c>
      <c r="J275" s="176">
        <v>46033</v>
      </c>
      <c r="K275" s="172" t="s">
        <v>93</v>
      </c>
      <c r="L275" s="172" t="s">
        <v>94</v>
      </c>
      <c r="M275" s="179">
        <v>0.43</v>
      </c>
      <c r="N275" s="177"/>
      <c r="O275" s="177"/>
      <c r="P275" s="180">
        <v>-12.34</v>
      </c>
    </row>
    <row r="276" spans="1:16" ht="19.5" customHeight="1">
      <c r="A276" s="172" t="s">
        <v>437</v>
      </c>
      <c r="B276" s="176">
        <v>46035</v>
      </c>
      <c r="C276" s="172" t="s">
        <v>92</v>
      </c>
      <c r="D276" s="172" t="s">
        <v>24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46033</v>
      </c>
      <c r="K276" s="172" t="s">
        <v>93</v>
      </c>
      <c r="L276" s="172" t="s">
        <v>94</v>
      </c>
      <c r="M276" s="179">
        <v>0.43</v>
      </c>
      <c r="N276" s="177"/>
      <c r="O276" s="177">
        <v>42</v>
      </c>
      <c r="P276" s="180">
        <v>-141.97999999999999</v>
      </c>
    </row>
    <row r="277" spans="1:16" ht="19.5" customHeight="1">
      <c r="A277" s="172" t="s">
        <v>437</v>
      </c>
      <c r="B277" s="176">
        <v>46035</v>
      </c>
      <c r="C277" s="172" t="s">
        <v>100</v>
      </c>
      <c r="D277" s="172" t="s">
        <v>101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46033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642.25</v>
      </c>
    </row>
    <row r="278" spans="1:16" ht="19.5" customHeight="1">
      <c r="A278" s="172" t="s">
        <v>437</v>
      </c>
      <c r="B278" s="176">
        <v>46035</v>
      </c>
      <c r="C278" s="172" t="s">
        <v>100</v>
      </c>
      <c r="D278" s="172" t="s">
        <v>102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46033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6.42</v>
      </c>
    </row>
    <row r="279" spans="1:16" ht="19.5" customHeight="1">
      <c r="A279" s="172" t="s">
        <v>437</v>
      </c>
      <c r="B279" s="176">
        <v>46035</v>
      </c>
      <c r="C279" s="172" t="s">
        <v>100</v>
      </c>
      <c r="D279" s="172" t="s">
        <v>103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46033</v>
      </c>
      <c r="K279" s="172" t="s">
        <v>93</v>
      </c>
      <c r="L279" s="172" t="s">
        <v>94</v>
      </c>
      <c r="M279" s="179">
        <v>0</v>
      </c>
      <c r="N279" s="177"/>
      <c r="O279" s="177"/>
      <c r="P279" s="180">
        <v>1196.33</v>
      </c>
    </row>
    <row r="280" spans="1:16" ht="19.5" customHeight="1">
      <c r="A280" s="172" t="s">
        <v>437</v>
      </c>
      <c r="B280" s="176">
        <v>46035</v>
      </c>
      <c r="C280" s="172" t="s">
        <v>104</v>
      </c>
      <c r="D280" s="172" t="s">
        <v>105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46033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-793.35</v>
      </c>
    </row>
    <row r="281" spans="1:16" ht="19.5" customHeight="1">
      <c r="A281" s="172" t="s">
        <v>437</v>
      </c>
      <c r="B281" s="176">
        <v>46035</v>
      </c>
      <c r="C281" s="172" t="s">
        <v>81</v>
      </c>
      <c r="D281" s="172" t="s">
        <v>95</v>
      </c>
      <c r="E281" s="172" t="s">
        <v>53</v>
      </c>
      <c r="F281" s="172" t="s">
        <v>120</v>
      </c>
      <c r="G281" s="172" t="s">
        <v>84</v>
      </c>
      <c r="H281" s="177">
        <v>1</v>
      </c>
      <c r="I281" s="178">
        <v>1845</v>
      </c>
      <c r="J281" s="176">
        <v>46033</v>
      </c>
      <c r="K281" s="172" t="s">
        <v>93</v>
      </c>
      <c r="L281" s="172" t="s">
        <v>94</v>
      </c>
      <c r="M281" s="179">
        <v>0.43</v>
      </c>
      <c r="N281" s="177"/>
      <c r="O281" s="177"/>
      <c r="P281" s="180">
        <v>-14.95</v>
      </c>
    </row>
    <row r="282" spans="1:16" ht="19.5" customHeight="1">
      <c r="A282" s="172" t="s">
        <v>438</v>
      </c>
      <c r="B282" s="176">
        <v>46035</v>
      </c>
      <c r="C282" s="172" t="s">
        <v>92</v>
      </c>
      <c r="D282" s="172" t="s">
        <v>24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46034</v>
      </c>
      <c r="K282" s="172" t="s">
        <v>93</v>
      </c>
      <c r="L282" s="172" t="s">
        <v>94</v>
      </c>
      <c r="M282" s="179">
        <v>0.43</v>
      </c>
      <c r="N282" s="177"/>
      <c r="O282" s="177">
        <v>42</v>
      </c>
      <c r="P282" s="180">
        <v>-134.12</v>
      </c>
    </row>
    <row r="283" spans="1:16" ht="19.5" customHeight="1">
      <c r="A283" s="172" t="s">
        <v>438</v>
      </c>
      <c r="B283" s="176">
        <v>46035</v>
      </c>
      <c r="C283" s="172" t="s">
        <v>100</v>
      </c>
      <c r="D283" s="172" t="s">
        <v>101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46034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557.14</v>
      </c>
    </row>
    <row r="284" spans="1:16" ht="19.5" customHeight="1">
      <c r="A284" s="172" t="s">
        <v>438</v>
      </c>
      <c r="B284" s="176">
        <v>46035</v>
      </c>
      <c r="C284" s="172" t="s">
        <v>100</v>
      </c>
      <c r="D284" s="172" t="s">
        <v>102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46034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5.57</v>
      </c>
    </row>
    <row r="285" spans="1:16" ht="19.5" customHeight="1">
      <c r="A285" s="172" t="s">
        <v>438</v>
      </c>
      <c r="B285" s="176">
        <v>46035</v>
      </c>
      <c r="C285" s="172" t="s">
        <v>100</v>
      </c>
      <c r="D285" s="172" t="s">
        <v>103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46034</v>
      </c>
      <c r="K285" s="172" t="s">
        <v>93</v>
      </c>
      <c r="L285" s="172" t="s">
        <v>94</v>
      </c>
      <c r="M285" s="179">
        <v>0</v>
      </c>
      <c r="N285" s="177"/>
      <c r="O285" s="177"/>
      <c r="P285" s="180">
        <v>1058.29</v>
      </c>
    </row>
    <row r="286" spans="1:16" ht="19.5" customHeight="1">
      <c r="A286" s="172" t="s">
        <v>438</v>
      </c>
      <c r="B286" s="176">
        <v>46035</v>
      </c>
      <c r="C286" s="172" t="s">
        <v>104</v>
      </c>
      <c r="D286" s="172" t="s">
        <v>105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46034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-697.03</v>
      </c>
    </row>
    <row r="287" spans="1:16" ht="19.5" customHeight="1">
      <c r="A287" s="172" t="s">
        <v>438</v>
      </c>
      <c r="B287" s="176">
        <v>46035</v>
      </c>
      <c r="C287" s="172" t="s">
        <v>81</v>
      </c>
      <c r="D287" s="172" t="s">
        <v>95</v>
      </c>
      <c r="E287" s="172" t="s">
        <v>52</v>
      </c>
      <c r="F287" s="172" t="s">
        <v>90</v>
      </c>
      <c r="G287" s="172" t="s">
        <v>84</v>
      </c>
      <c r="H287" s="177">
        <v>1</v>
      </c>
      <c r="I287" s="178">
        <v>1621</v>
      </c>
      <c r="J287" s="176">
        <v>46034</v>
      </c>
      <c r="K287" s="172" t="s">
        <v>93</v>
      </c>
      <c r="L287" s="172" t="s">
        <v>94</v>
      </c>
      <c r="M287" s="179">
        <v>0.43</v>
      </c>
      <c r="N287" s="177"/>
      <c r="O287" s="177"/>
      <c r="P287" s="180">
        <v>-9.33</v>
      </c>
    </row>
    <row r="288" spans="1:16" ht="19.5" customHeight="1">
      <c r="A288" s="172" t="s">
        <v>439</v>
      </c>
      <c r="B288" s="176">
        <v>46035</v>
      </c>
      <c r="C288" s="172" t="s">
        <v>81</v>
      </c>
      <c r="D288" s="172" t="s">
        <v>82</v>
      </c>
      <c r="E288" s="172" t="s">
        <v>52</v>
      </c>
      <c r="F288" s="172" t="s">
        <v>90</v>
      </c>
      <c r="G288" s="172" t="s">
        <v>84</v>
      </c>
      <c r="H288" s="177">
        <v>1</v>
      </c>
      <c r="I288" s="178">
        <v>0</v>
      </c>
      <c r="J288" s="176">
        <v>46035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-10.59</v>
      </c>
    </row>
    <row r="289" spans="1:16" ht="19.5" customHeight="1">
      <c r="A289" s="172" t="s">
        <v>440</v>
      </c>
      <c r="B289" s="176">
        <v>46035</v>
      </c>
      <c r="C289" s="172" t="s">
        <v>92</v>
      </c>
      <c r="D289" s="172" t="s">
        <v>24</v>
      </c>
      <c r="E289" s="172" t="s">
        <v>53</v>
      </c>
      <c r="F289" s="172" t="s">
        <v>120</v>
      </c>
      <c r="G289" s="172" t="s">
        <v>84</v>
      </c>
      <c r="H289" s="177">
        <v>1</v>
      </c>
      <c r="I289" s="178">
        <v>1845</v>
      </c>
      <c r="J289" s="176">
        <v>46034</v>
      </c>
      <c r="K289" s="172" t="s">
        <v>93</v>
      </c>
      <c r="L289" s="172" t="s">
        <v>94</v>
      </c>
      <c r="M289" s="179">
        <v>0.43</v>
      </c>
      <c r="N289" s="177"/>
      <c r="O289" s="177">
        <v>42</v>
      </c>
      <c r="P289" s="180">
        <v>-140.5</v>
      </c>
    </row>
    <row r="290" spans="1:16" ht="19.5" customHeight="1">
      <c r="A290" s="172" t="s">
        <v>440</v>
      </c>
      <c r="B290" s="176">
        <v>46035</v>
      </c>
      <c r="C290" s="172" t="s">
        <v>100</v>
      </c>
      <c r="D290" s="172" t="s">
        <v>101</v>
      </c>
      <c r="E290" s="172" t="s">
        <v>53</v>
      </c>
      <c r="F290" s="172" t="s">
        <v>120</v>
      </c>
      <c r="G290" s="172" t="s">
        <v>84</v>
      </c>
      <c r="H290" s="177">
        <v>1</v>
      </c>
      <c r="I290" s="178">
        <v>1845</v>
      </c>
      <c r="J290" s="176">
        <v>46034</v>
      </c>
      <c r="K290" s="172" t="s">
        <v>93</v>
      </c>
      <c r="L290" s="172" t="s">
        <v>94</v>
      </c>
      <c r="M290" s="179">
        <v>0</v>
      </c>
      <c r="N290" s="177"/>
      <c r="O290" s="177"/>
      <c r="P290" s="180">
        <v>642.86</v>
      </c>
    </row>
    <row r="291" spans="1:16" ht="19.5" customHeight="1">
      <c r="A291" s="172" t="s">
        <v>440</v>
      </c>
      <c r="B291" s="176">
        <v>46035</v>
      </c>
      <c r="C291" s="172" t="s">
        <v>100</v>
      </c>
      <c r="D291" s="172" t="s">
        <v>102</v>
      </c>
      <c r="E291" s="172" t="s">
        <v>53</v>
      </c>
      <c r="F291" s="172" t="s">
        <v>120</v>
      </c>
      <c r="G291" s="172" t="s">
        <v>84</v>
      </c>
      <c r="H291" s="177">
        <v>1</v>
      </c>
      <c r="I291" s="178">
        <v>1845</v>
      </c>
      <c r="J291" s="176">
        <v>46034</v>
      </c>
      <c r="K291" s="172" t="s">
        <v>93</v>
      </c>
      <c r="L291" s="172" t="s">
        <v>94</v>
      </c>
      <c r="M291" s="179">
        <v>0</v>
      </c>
      <c r="N291" s="177"/>
      <c r="O291" s="177"/>
      <c r="P291" s="180">
        <v>6.43</v>
      </c>
    </row>
    <row r="292" spans="1:16" ht="19.5" customHeight="1">
      <c r="A292" s="172" t="s">
        <v>440</v>
      </c>
      <c r="B292" s="176">
        <v>46035</v>
      </c>
      <c r="C292" s="172" t="s">
        <v>100</v>
      </c>
      <c r="D292" s="172" t="s">
        <v>103</v>
      </c>
      <c r="E292" s="172" t="s">
        <v>53</v>
      </c>
      <c r="F292" s="172" t="s">
        <v>120</v>
      </c>
      <c r="G292" s="172" t="s">
        <v>84</v>
      </c>
      <c r="H292" s="177">
        <v>1</v>
      </c>
      <c r="I292" s="178">
        <v>1845</v>
      </c>
      <c r="J292" s="176">
        <v>46034</v>
      </c>
      <c r="K292" s="172" t="s">
        <v>93</v>
      </c>
      <c r="L292" s="172" t="s">
        <v>94</v>
      </c>
      <c r="M292" s="179">
        <v>0</v>
      </c>
      <c r="N292" s="177"/>
      <c r="O292" s="177"/>
      <c r="P292" s="180">
        <v>1195.71</v>
      </c>
    </row>
    <row r="293" spans="1:16" ht="19.5" customHeight="1">
      <c r="A293" s="172" t="s">
        <v>440</v>
      </c>
      <c r="B293" s="176">
        <v>46035</v>
      </c>
      <c r="C293" s="172" t="s">
        <v>104</v>
      </c>
      <c r="D293" s="172" t="s">
        <v>105</v>
      </c>
      <c r="E293" s="172" t="s">
        <v>53</v>
      </c>
      <c r="F293" s="172" t="s">
        <v>120</v>
      </c>
      <c r="G293" s="172" t="s">
        <v>84</v>
      </c>
      <c r="H293" s="177">
        <v>1</v>
      </c>
      <c r="I293" s="178">
        <v>1845</v>
      </c>
      <c r="J293" s="176">
        <v>46034</v>
      </c>
      <c r="K293" s="172" t="s">
        <v>93</v>
      </c>
      <c r="L293" s="172" t="s">
        <v>94</v>
      </c>
      <c r="M293" s="179">
        <v>0.43</v>
      </c>
      <c r="N293" s="177"/>
      <c r="O293" s="177"/>
      <c r="P293" s="180">
        <v>-793.35</v>
      </c>
    </row>
    <row r="294" spans="1:16" ht="19.5" customHeight="1">
      <c r="A294" s="172" t="s">
        <v>440</v>
      </c>
      <c r="B294" s="176">
        <v>46035</v>
      </c>
      <c r="C294" s="172" t="s">
        <v>81</v>
      </c>
      <c r="D294" s="172" t="s">
        <v>95</v>
      </c>
      <c r="E294" s="172" t="s">
        <v>53</v>
      </c>
      <c r="F294" s="172" t="s">
        <v>120</v>
      </c>
      <c r="G294" s="172" t="s">
        <v>84</v>
      </c>
      <c r="H294" s="177">
        <v>1</v>
      </c>
      <c r="I294" s="178">
        <v>1845</v>
      </c>
      <c r="J294" s="176">
        <v>46034</v>
      </c>
      <c r="K294" s="172" t="s">
        <v>93</v>
      </c>
      <c r="L294" s="172" t="s">
        <v>94</v>
      </c>
      <c r="M294" s="179">
        <v>0.43</v>
      </c>
      <c r="N294" s="177"/>
      <c r="O294" s="177"/>
      <c r="P294" s="180">
        <v>-10.42</v>
      </c>
    </row>
    <row r="295" spans="1:16" ht="19.5" customHeight="1">
      <c r="A295" s="172" t="s">
        <v>441</v>
      </c>
      <c r="B295" s="176">
        <v>46035</v>
      </c>
      <c r="C295" s="172" t="s">
        <v>92</v>
      </c>
      <c r="D295" s="172" t="s">
        <v>24</v>
      </c>
      <c r="E295" s="172" t="s">
        <v>41</v>
      </c>
      <c r="F295" s="172" t="s">
        <v>83</v>
      </c>
      <c r="G295" s="172" t="s">
        <v>84</v>
      </c>
      <c r="H295" s="177">
        <v>1</v>
      </c>
      <c r="I295" s="178">
        <v>0</v>
      </c>
      <c r="J295" s="176">
        <v>46031</v>
      </c>
      <c r="K295" s="172" t="s">
        <v>93</v>
      </c>
      <c r="L295" s="172" t="s">
        <v>94</v>
      </c>
      <c r="M295" s="179">
        <v>0</v>
      </c>
      <c r="N295" s="177"/>
      <c r="O295" s="177">
        <v>42</v>
      </c>
      <c r="P295" s="180">
        <v>-119.03</v>
      </c>
    </row>
    <row r="296" spans="1:16" ht="19.5" customHeight="1">
      <c r="A296" s="172" t="s">
        <v>440</v>
      </c>
      <c r="B296" s="176">
        <v>46035</v>
      </c>
      <c r="C296" s="172" t="s">
        <v>81</v>
      </c>
      <c r="D296" s="172" t="s">
        <v>82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46034</v>
      </c>
      <c r="K296" s="172" t="s">
        <v>85</v>
      </c>
      <c r="L296" s="172" t="s">
        <v>85</v>
      </c>
      <c r="M296" s="179">
        <v>0</v>
      </c>
      <c r="N296" s="177"/>
      <c r="O296" s="177"/>
      <c r="P296" s="180">
        <v>-12.21</v>
      </c>
    </row>
    <row r="297" spans="1:16" ht="19.5" customHeight="1">
      <c r="A297" s="172" t="s">
        <v>442</v>
      </c>
      <c r="B297" s="176">
        <v>46035</v>
      </c>
      <c r="C297" s="172" t="s">
        <v>81</v>
      </c>
      <c r="D297" s="172" t="s">
        <v>82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0</v>
      </c>
      <c r="J297" s="176">
        <v>46035</v>
      </c>
      <c r="K297" s="172" t="s">
        <v>85</v>
      </c>
      <c r="L297" s="172" t="s">
        <v>85</v>
      </c>
      <c r="M297" s="179">
        <v>0</v>
      </c>
      <c r="N297" s="177"/>
      <c r="O297" s="177"/>
      <c r="P297" s="180">
        <v>-10.59</v>
      </c>
    </row>
    <row r="298" spans="1:16" ht="19.5" customHeight="1">
      <c r="A298" s="172" t="s">
        <v>443</v>
      </c>
      <c r="B298" s="176">
        <v>46035</v>
      </c>
      <c r="C298" s="172" t="s">
        <v>81</v>
      </c>
      <c r="D298" s="172" t="s">
        <v>82</v>
      </c>
      <c r="E298" s="172" t="s">
        <v>41</v>
      </c>
      <c r="F298" s="172" t="s">
        <v>83</v>
      </c>
      <c r="G298" s="172" t="s">
        <v>84</v>
      </c>
      <c r="H298" s="177">
        <v>1</v>
      </c>
      <c r="I298" s="178">
        <v>0</v>
      </c>
      <c r="J298" s="176">
        <v>46035</v>
      </c>
      <c r="K298" s="172" t="s">
        <v>85</v>
      </c>
      <c r="L298" s="172" t="s">
        <v>85</v>
      </c>
      <c r="M298" s="179">
        <v>0</v>
      </c>
      <c r="N298" s="177"/>
      <c r="O298" s="177"/>
      <c r="P298" s="180">
        <v>-11.58</v>
      </c>
    </row>
    <row r="299" spans="1:16" ht="19.5" customHeight="1">
      <c r="A299" s="172" t="s">
        <v>444</v>
      </c>
      <c r="B299" s="176">
        <v>46035</v>
      </c>
      <c r="C299" s="172" t="s">
        <v>81</v>
      </c>
      <c r="D299" s="172" t="s">
        <v>82</v>
      </c>
      <c r="E299" s="172" t="s">
        <v>43</v>
      </c>
      <c r="F299" s="172" t="s">
        <v>125</v>
      </c>
      <c r="G299" s="172" t="s">
        <v>84</v>
      </c>
      <c r="H299" s="177">
        <v>1</v>
      </c>
      <c r="I299" s="178">
        <v>0</v>
      </c>
      <c r="J299" s="176">
        <v>46035</v>
      </c>
      <c r="K299" s="172" t="s">
        <v>85</v>
      </c>
      <c r="L299" s="172" t="s">
        <v>85</v>
      </c>
      <c r="M299" s="179">
        <v>0</v>
      </c>
      <c r="N299" s="177"/>
      <c r="O299" s="177"/>
      <c r="P299" s="180">
        <v>-3.57</v>
      </c>
    </row>
    <row r="300" spans="1:16" ht="19.5" customHeight="1">
      <c r="A300" s="172" t="s">
        <v>138</v>
      </c>
      <c r="B300" s="176">
        <v>46035</v>
      </c>
      <c r="C300" s="172" t="s">
        <v>109</v>
      </c>
      <c r="D300" s="172" t="s">
        <v>139</v>
      </c>
      <c r="E300" s="172" t="s">
        <v>85</v>
      </c>
      <c r="F300" s="172" t="s">
        <v>85</v>
      </c>
      <c r="G300" s="172" t="s">
        <v>85</v>
      </c>
      <c r="H300" s="177">
        <v>0</v>
      </c>
      <c r="I300" s="178">
        <v>0</v>
      </c>
      <c r="J300" s="176">
        <v>46035</v>
      </c>
      <c r="K300" s="172" t="s">
        <v>85</v>
      </c>
      <c r="L300" s="172" t="s">
        <v>85</v>
      </c>
      <c r="M300" s="179">
        <v>0</v>
      </c>
      <c r="N300" s="177"/>
      <c r="O300" s="177"/>
      <c r="P300" s="180">
        <v>-1426.28</v>
      </c>
    </row>
    <row r="301" spans="1:16" ht="19.5" customHeight="1">
      <c r="A301" s="172" t="s">
        <v>146</v>
      </c>
      <c r="B301" s="176">
        <v>46035</v>
      </c>
      <c r="C301" s="172" t="s">
        <v>109</v>
      </c>
      <c r="D301" s="172" t="s">
        <v>139</v>
      </c>
      <c r="E301" s="172" t="s">
        <v>85</v>
      </c>
      <c r="F301" s="172" t="s">
        <v>85</v>
      </c>
      <c r="G301" s="172" t="s">
        <v>85</v>
      </c>
      <c r="H301" s="177">
        <v>0</v>
      </c>
      <c r="I301" s="178">
        <v>0</v>
      </c>
      <c r="J301" s="176">
        <v>46035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-320.19</v>
      </c>
    </row>
    <row r="302" spans="1:16" ht="19.5" customHeight="1">
      <c r="A302" s="172" t="s">
        <v>411</v>
      </c>
      <c r="B302" s="176">
        <v>46035</v>
      </c>
      <c r="C302" s="172" t="s">
        <v>109</v>
      </c>
      <c r="D302" s="172" t="s">
        <v>139</v>
      </c>
      <c r="E302" s="172" t="s">
        <v>85</v>
      </c>
      <c r="F302" s="172" t="s">
        <v>85</v>
      </c>
      <c r="G302" s="172" t="s">
        <v>85</v>
      </c>
      <c r="H302" s="177">
        <v>0</v>
      </c>
      <c r="I302" s="178">
        <v>0</v>
      </c>
      <c r="J302" s="176">
        <v>46035</v>
      </c>
      <c r="K302" s="172" t="s">
        <v>85</v>
      </c>
      <c r="L302" s="172" t="s">
        <v>85</v>
      </c>
      <c r="M302" s="179">
        <v>0</v>
      </c>
      <c r="N302" s="177"/>
      <c r="O302" s="177"/>
      <c r="P302" s="180">
        <v>-303.83</v>
      </c>
    </row>
    <row r="303" spans="1:16" ht="19.5" customHeight="1">
      <c r="A303" s="172" t="s">
        <v>412</v>
      </c>
      <c r="B303" s="176">
        <v>46035</v>
      </c>
      <c r="C303" s="172" t="s">
        <v>109</v>
      </c>
      <c r="D303" s="172" t="s">
        <v>139</v>
      </c>
      <c r="E303" s="172" t="s">
        <v>85</v>
      </c>
      <c r="F303" s="172" t="s">
        <v>85</v>
      </c>
      <c r="G303" s="172" t="s">
        <v>85</v>
      </c>
      <c r="H303" s="177">
        <v>0</v>
      </c>
      <c r="I303" s="178">
        <v>0</v>
      </c>
      <c r="J303" s="176">
        <v>46035</v>
      </c>
      <c r="K303" s="172" t="s">
        <v>85</v>
      </c>
      <c r="L303" s="172" t="s">
        <v>85</v>
      </c>
      <c r="M303" s="179">
        <v>0</v>
      </c>
      <c r="N303" s="177"/>
      <c r="O303" s="177"/>
      <c r="P303" s="180">
        <v>-315.08</v>
      </c>
    </row>
    <row r="304" spans="1:16" ht="19.5" customHeight="1">
      <c r="A304" s="172" t="s">
        <v>142</v>
      </c>
      <c r="B304" s="176">
        <v>46035</v>
      </c>
      <c r="C304" s="172" t="s">
        <v>109</v>
      </c>
      <c r="D304" s="172" t="s">
        <v>143</v>
      </c>
      <c r="E304" s="172" t="s">
        <v>85</v>
      </c>
      <c r="F304" s="172" t="s">
        <v>85</v>
      </c>
      <c r="G304" s="172" t="s">
        <v>85</v>
      </c>
      <c r="H304" s="177">
        <v>0</v>
      </c>
      <c r="I304" s="178">
        <v>0</v>
      </c>
      <c r="J304" s="176">
        <v>46035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-3180.92</v>
      </c>
    </row>
    <row r="305" spans="1:16" ht="19.5" customHeight="1">
      <c r="A305" s="172" t="s">
        <v>144</v>
      </c>
      <c r="B305" s="176">
        <v>46035</v>
      </c>
      <c r="C305" s="172" t="s">
        <v>109</v>
      </c>
      <c r="D305" s="172" t="s">
        <v>139</v>
      </c>
      <c r="E305" s="172" t="s">
        <v>85</v>
      </c>
      <c r="F305" s="172" t="s">
        <v>85</v>
      </c>
      <c r="G305" s="172" t="s">
        <v>85</v>
      </c>
      <c r="H305" s="177">
        <v>0</v>
      </c>
      <c r="I305" s="178">
        <v>0</v>
      </c>
      <c r="J305" s="176">
        <v>46035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-1658.96</v>
      </c>
    </row>
    <row r="306" spans="1:16" ht="19.5" customHeight="1">
      <c r="A306" s="172" t="s">
        <v>410</v>
      </c>
      <c r="B306" s="176">
        <v>46035</v>
      </c>
      <c r="C306" s="172" t="s">
        <v>109</v>
      </c>
      <c r="D306" s="172" t="s">
        <v>139</v>
      </c>
      <c r="E306" s="172" t="s">
        <v>85</v>
      </c>
      <c r="F306" s="172" t="s">
        <v>85</v>
      </c>
      <c r="G306" s="172" t="s">
        <v>85</v>
      </c>
      <c r="H306" s="177">
        <v>0</v>
      </c>
      <c r="I306" s="178">
        <v>0</v>
      </c>
      <c r="J306" s="176">
        <v>46035</v>
      </c>
      <c r="K306" s="172" t="s">
        <v>85</v>
      </c>
      <c r="L306" s="172" t="s">
        <v>85</v>
      </c>
      <c r="M306" s="179">
        <v>0</v>
      </c>
      <c r="N306" s="177"/>
      <c r="O306" s="177"/>
      <c r="P306" s="180">
        <v>-1241.71</v>
      </c>
    </row>
    <row r="307" spans="1:16" ht="19.5" customHeight="1">
      <c r="A307" s="172" t="s">
        <v>145</v>
      </c>
      <c r="B307" s="176">
        <v>46035</v>
      </c>
      <c r="C307" s="172" t="s">
        <v>109</v>
      </c>
      <c r="D307" s="172" t="s">
        <v>139</v>
      </c>
      <c r="E307" s="172" t="s">
        <v>85</v>
      </c>
      <c r="F307" s="172" t="s">
        <v>85</v>
      </c>
      <c r="G307" s="172" t="s">
        <v>85</v>
      </c>
      <c r="H307" s="177">
        <v>0</v>
      </c>
      <c r="I307" s="178">
        <v>0</v>
      </c>
      <c r="J307" s="176">
        <v>46035</v>
      </c>
      <c r="K307" s="172" t="s">
        <v>85</v>
      </c>
      <c r="L307" s="172" t="s">
        <v>85</v>
      </c>
      <c r="M307" s="179">
        <v>0</v>
      </c>
      <c r="N307" s="177"/>
      <c r="O307" s="177"/>
      <c r="P307" s="180">
        <v>-308.8</v>
      </c>
    </row>
    <row r="308" spans="1:16" ht="19.5" customHeight="1">
      <c r="A308" s="172" t="s">
        <v>140</v>
      </c>
      <c r="B308" s="176">
        <v>46035</v>
      </c>
      <c r="C308" s="172" t="s">
        <v>109</v>
      </c>
      <c r="D308" s="172" t="s">
        <v>139</v>
      </c>
      <c r="E308" s="172" t="s">
        <v>85</v>
      </c>
      <c r="F308" s="172" t="s">
        <v>85</v>
      </c>
      <c r="G308" s="172" t="s">
        <v>85</v>
      </c>
      <c r="H308" s="177">
        <v>0</v>
      </c>
      <c r="I308" s="178">
        <v>0</v>
      </c>
      <c r="J308" s="176">
        <v>46035</v>
      </c>
      <c r="K308" s="172" t="s">
        <v>85</v>
      </c>
      <c r="L308" s="172" t="s">
        <v>85</v>
      </c>
      <c r="M308" s="179">
        <v>0</v>
      </c>
      <c r="N308" s="177"/>
      <c r="O308" s="177"/>
      <c r="P308" s="180">
        <v>-312.95</v>
      </c>
    </row>
    <row r="309" spans="1:16" ht="19.5" customHeight="1">
      <c r="A309" s="172" t="s">
        <v>445</v>
      </c>
      <c r="B309" s="176">
        <v>46036</v>
      </c>
      <c r="C309" s="172" t="s">
        <v>81</v>
      </c>
      <c r="D309" s="172" t="s">
        <v>82</v>
      </c>
      <c r="E309" s="172" t="s">
        <v>52</v>
      </c>
      <c r="F309" s="172" t="s">
        <v>90</v>
      </c>
      <c r="G309" s="172" t="s">
        <v>84</v>
      </c>
      <c r="H309" s="177">
        <v>1</v>
      </c>
      <c r="I309" s="178">
        <v>0</v>
      </c>
      <c r="J309" s="176">
        <v>46036</v>
      </c>
      <c r="K309" s="172" t="s">
        <v>85</v>
      </c>
      <c r="L309" s="172" t="s">
        <v>85</v>
      </c>
      <c r="M309" s="179">
        <v>0</v>
      </c>
      <c r="N309" s="177"/>
      <c r="O309" s="177"/>
      <c r="P309" s="180">
        <v>-10.77</v>
      </c>
    </row>
    <row r="310" spans="1:16" ht="19.5" customHeight="1">
      <c r="A310" s="172" t="s">
        <v>446</v>
      </c>
      <c r="B310" s="176">
        <v>46036</v>
      </c>
      <c r="C310" s="172" t="s">
        <v>92</v>
      </c>
      <c r="D310" s="172" t="s">
        <v>24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1845</v>
      </c>
      <c r="J310" s="176">
        <v>46028</v>
      </c>
      <c r="K310" s="172" t="s">
        <v>93</v>
      </c>
      <c r="L310" s="172" t="s">
        <v>94</v>
      </c>
      <c r="M310" s="179">
        <v>0.43</v>
      </c>
      <c r="N310" s="177"/>
      <c r="O310" s="177">
        <v>44</v>
      </c>
      <c r="P310" s="180">
        <v>-149.4</v>
      </c>
    </row>
    <row r="311" spans="1:16" ht="19.5" customHeight="1">
      <c r="A311" s="172" t="s">
        <v>446</v>
      </c>
      <c r="B311" s="176">
        <v>46036</v>
      </c>
      <c r="C311" s="172" t="s">
        <v>100</v>
      </c>
      <c r="D311" s="172" t="s">
        <v>101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1845</v>
      </c>
      <c r="J311" s="176">
        <v>46028</v>
      </c>
      <c r="K311" s="172" t="s">
        <v>93</v>
      </c>
      <c r="L311" s="172" t="s">
        <v>94</v>
      </c>
      <c r="M311" s="179">
        <v>0</v>
      </c>
      <c r="N311" s="177"/>
      <c r="O311" s="177"/>
      <c r="P311" s="180">
        <v>658.1</v>
      </c>
    </row>
    <row r="312" spans="1:16" ht="19.5" customHeight="1">
      <c r="A312" s="172" t="s">
        <v>446</v>
      </c>
      <c r="B312" s="176">
        <v>46036</v>
      </c>
      <c r="C312" s="172" t="s">
        <v>100</v>
      </c>
      <c r="D312" s="172" t="s">
        <v>102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46028</v>
      </c>
      <c r="K312" s="172" t="s">
        <v>93</v>
      </c>
      <c r="L312" s="172" t="s">
        <v>94</v>
      </c>
      <c r="M312" s="179">
        <v>0</v>
      </c>
      <c r="N312" s="177"/>
      <c r="O312" s="177"/>
      <c r="P312" s="180">
        <v>6.58</v>
      </c>
    </row>
    <row r="313" spans="1:16" ht="19.5" customHeight="1">
      <c r="A313" s="172" t="s">
        <v>446</v>
      </c>
      <c r="B313" s="176">
        <v>46036</v>
      </c>
      <c r="C313" s="172" t="s">
        <v>100</v>
      </c>
      <c r="D313" s="172" t="s">
        <v>103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46028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1180.32</v>
      </c>
    </row>
    <row r="314" spans="1:16" ht="19.5" customHeight="1">
      <c r="A314" s="172" t="s">
        <v>446</v>
      </c>
      <c r="B314" s="176">
        <v>46036</v>
      </c>
      <c r="C314" s="172" t="s">
        <v>104</v>
      </c>
      <c r="D314" s="172" t="s">
        <v>105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46028</v>
      </c>
      <c r="K314" s="172" t="s">
        <v>93</v>
      </c>
      <c r="L314" s="172" t="s">
        <v>94</v>
      </c>
      <c r="M314" s="179">
        <v>0.43</v>
      </c>
      <c r="N314" s="177"/>
      <c r="O314" s="177"/>
      <c r="P314" s="180">
        <v>-793.35</v>
      </c>
    </row>
    <row r="315" spans="1:16" ht="19.5" customHeight="1">
      <c r="A315" s="172" t="s">
        <v>446</v>
      </c>
      <c r="B315" s="176">
        <v>46036</v>
      </c>
      <c r="C315" s="172" t="s">
        <v>81</v>
      </c>
      <c r="D315" s="172" t="s">
        <v>95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46028</v>
      </c>
      <c r="K315" s="172" t="s">
        <v>93</v>
      </c>
      <c r="L315" s="172" t="s">
        <v>94</v>
      </c>
      <c r="M315" s="179">
        <v>0.43</v>
      </c>
      <c r="N315" s="177"/>
      <c r="O315" s="177"/>
      <c r="P315" s="180">
        <v>-25</v>
      </c>
    </row>
    <row r="316" spans="1:16" ht="19.5" customHeight="1">
      <c r="A316" s="172" t="s">
        <v>447</v>
      </c>
      <c r="B316" s="176">
        <v>46036</v>
      </c>
      <c r="C316" s="172" t="s">
        <v>92</v>
      </c>
      <c r="D316" s="172" t="s">
        <v>24</v>
      </c>
      <c r="E316" s="172" t="s">
        <v>52</v>
      </c>
      <c r="F316" s="172" t="s">
        <v>90</v>
      </c>
      <c r="G316" s="172" t="s">
        <v>84</v>
      </c>
      <c r="H316" s="177">
        <v>1</v>
      </c>
      <c r="I316" s="178">
        <v>0</v>
      </c>
      <c r="J316" s="176">
        <v>46025</v>
      </c>
      <c r="K316" s="172" t="s">
        <v>93</v>
      </c>
      <c r="L316" s="172" t="s">
        <v>94</v>
      </c>
      <c r="M316" s="179">
        <v>0</v>
      </c>
      <c r="N316" s="177"/>
      <c r="O316" s="177">
        <v>44</v>
      </c>
      <c r="P316" s="180">
        <v>-56</v>
      </c>
    </row>
    <row r="317" spans="1:16" ht="19.5" customHeight="1">
      <c r="A317" s="172" t="s">
        <v>447</v>
      </c>
      <c r="B317" s="176">
        <v>46036</v>
      </c>
      <c r="C317" s="172" t="s">
        <v>81</v>
      </c>
      <c r="D317" s="172" t="s">
        <v>95</v>
      </c>
      <c r="E317" s="172" t="s">
        <v>52</v>
      </c>
      <c r="F317" s="172" t="s">
        <v>90</v>
      </c>
      <c r="G317" s="172" t="s">
        <v>84</v>
      </c>
      <c r="H317" s="177">
        <v>1</v>
      </c>
      <c r="I317" s="178">
        <v>0</v>
      </c>
      <c r="J317" s="176">
        <v>46025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-8.01</v>
      </c>
    </row>
    <row r="318" spans="1:16" ht="19.5" customHeight="1">
      <c r="A318" s="172" t="s">
        <v>447</v>
      </c>
      <c r="B318" s="176">
        <v>46036</v>
      </c>
      <c r="C318" s="172" t="s">
        <v>92</v>
      </c>
      <c r="D318" s="172" t="s">
        <v>96</v>
      </c>
      <c r="E318" s="172" t="s">
        <v>52</v>
      </c>
      <c r="F318" s="172" t="s">
        <v>90</v>
      </c>
      <c r="G318" s="172" t="s">
        <v>84</v>
      </c>
      <c r="H318" s="177">
        <v>1</v>
      </c>
      <c r="I318" s="178">
        <v>0</v>
      </c>
      <c r="J318" s="176">
        <v>46025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0</v>
      </c>
    </row>
    <row r="319" spans="1:16" ht="19.5" customHeight="1">
      <c r="A319" s="172" t="s">
        <v>447</v>
      </c>
      <c r="B319" s="176">
        <v>46036</v>
      </c>
      <c r="C319" s="172" t="s">
        <v>92</v>
      </c>
      <c r="D319" s="172" t="s">
        <v>97</v>
      </c>
      <c r="E319" s="172" t="s">
        <v>52</v>
      </c>
      <c r="F319" s="172" t="s">
        <v>90</v>
      </c>
      <c r="G319" s="172" t="s">
        <v>84</v>
      </c>
      <c r="H319" s="177">
        <v>1</v>
      </c>
      <c r="I319" s="178">
        <v>0</v>
      </c>
      <c r="J319" s="176">
        <v>46025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-56</v>
      </c>
    </row>
    <row r="320" spans="1:16" ht="19.5" customHeight="1">
      <c r="A320" s="172" t="s">
        <v>447</v>
      </c>
      <c r="B320" s="176">
        <v>46036</v>
      </c>
      <c r="C320" s="172" t="s">
        <v>81</v>
      </c>
      <c r="D320" s="172" t="s">
        <v>98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0</v>
      </c>
      <c r="J320" s="176">
        <v>46025</v>
      </c>
      <c r="K320" s="172" t="s">
        <v>93</v>
      </c>
      <c r="L320" s="172" t="s">
        <v>94</v>
      </c>
      <c r="M320" s="179">
        <v>0</v>
      </c>
      <c r="N320" s="177"/>
      <c r="O320" s="177"/>
      <c r="P320" s="180">
        <v>-15</v>
      </c>
    </row>
    <row r="321" spans="1:16" ht="19.5" customHeight="1">
      <c r="A321" s="172" t="s">
        <v>448</v>
      </c>
      <c r="B321" s="176">
        <v>46036</v>
      </c>
      <c r="C321" s="172" t="s">
        <v>81</v>
      </c>
      <c r="D321" s="172" t="s">
        <v>82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0</v>
      </c>
      <c r="J321" s="176">
        <v>46036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-10.59</v>
      </c>
    </row>
    <row r="322" spans="1:16" ht="19.5" customHeight="1">
      <c r="A322" s="172" t="s">
        <v>449</v>
      </c>
      <c r="B322" s="176">
        <v>46036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46036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-10.59</v>
      </c>
    </row>
    <row r="323" spans="1:16" ht="19.5" customHeight="1">
      <c r="A323" s="172" t="s">
        <v>448</v>
      </c>
      <c r="B323" s="176">
        <v>46036</v>
      </c>
      <c r="C323" s="172" t="s">
        <v>81</v>
      </c>
      <c r="D323" s="172" t="s">
        <v>82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0</v>
      </c>
      <c r="J323" s="176">
        <v>46036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10.59</v>
      </c>
    </row>
    <row r="324" spans="1:16" ht="19.5" customHeight="1">
      <c r="A324" s="172" t="s">
        <v>450</v>
      </c>
      <c r="B324" s="176">
        <v>46036</v>
      </c>
      <c r="C324" s="172" t="s">
        <v>92</v>
      </c>
      <c r="D324" s="172" t="s">
        <v>24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46019</v>
      </c>
      <c r="K324" s="172" t="s">
        <v>93</v>
      </c>
      <c r="L324" s="172" t="s">
        <v>94</v>
      </c>
      <c r="M324" s="179">
        <v>0</v>
      </c>
      <c r="N324" s="177"/>
      <c r="O324" s="177">
        <v>41</v>
      </c>
      <c r="P324" s="180">
        <v>-56</v>
      </c>
    </row>
    <row r="325" spans="1:16" ht="19.5" customHeight="1">
      <c r="A325" s="172" t="s">
        <v>450</v>
      </c>
      <c r="B325" s="176">
        <v>46036</v>
      </c>
      <c r="C325" s="172" t="s">
        <v>92</v>
      </c>
      <c r="D325" s="172" t="s">
        <v>96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0</v>
      </c>
      <c r="J325" s="176">
        <v>46019</v>
      </c>
      <c r="K325" s="172" t="s">
        <v>93</v>
      </c>
      <c r="L325" s="172" t="s">
        <v>94</v>
      </c>
      <c r="M325" s="179">
        <v>0</v>
      </c>
      <c r="N325" s="177"/>
      <c r="O325" s="177"/>
      <c r="P325" s="180">
        <v>0</v>
      </c>
    </row>
    <row r="326" spans="1:16" ht="19.5" customHeight="1">
      <c r="A326" s="172" t="s">
        <v>450</v>
      </c>
      <c r="B326" s="176">
        <v>46036</v>
      </c>
      <c r="C326" s="172" t="s">
        <v>92</v>
      </c>
      <c r="D326" s="172" t="s">
        <v>97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0</v>
      </c>
      <c r="J326" s="176">
        <v>46019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-56</v>
      </c>
    </row>
    <row r="327" spans="1:16" ht="19.5" customHeight="1">
      <c r="A327" s="172" t="s">
        <v>401</v>
      </c>
      <c r="B327" s="176">
        <v>46036</v>
      </c>
      <c r="C327" s="172" t="s">
        <v>92</v>
      </c>
      <c r="D327" s="172" t="s">
        <v>272</v>
      </c>
      <c r="E327" s="172" t="s">
        <v>52</v>
      </c>
      <c r="F327" s="172" t="s">
        <v>90</v>
      </c>
      <c r="G327" s="172" t="s">
        <v>84</v>
      </c>
      <c r="H327" s="177">
        <v>1</v>
      </c>
      <c r="I327" s="178">
        <v>0</v>
      </c>
      <c r="J327" s="176">
        <v>46032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0</v>
      </c>
    </row>
    <row r="328" spans="1:16" ht="19.5" customHeight="1">
      <c r="A328" s="172" t="s">
        <v>401</v>
      </c>
      <c r="B328" s="176">
        <v>46036</v>
      </c>
      <c r="C328" s="172" t="s">
        <v>92</v>
      </c>
      <c r="D328" s="172" t="s">
        <v>97</v>
      </c>
      <c r="E328" s="172" t="s">
        <v>52</v>
      </c>
      <c r="F328" s="172" t="s">
        <v>90</v>
      </c>
      <c r="G328" s="172" t="s">
        <v>84</v>
      </c>
      <c r="H328" s="177">
        <v>1</v>
      </c>
      <c r="I328" s="178">
        <v>0</v>
      </c>
      <c r="J328" s="176">
        <v>46032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-56</v>
      </c>
    </row>
    <row r="329" spans="1:16" ht="19.5" customHeight="1">
      <c r="A329" s="172" t="s">
        <v>401</v>
      </c>
      <c r="B329" s="176">
        <v>46036</v>
      </c>
      <c r="C329" s="172" t="s">
        <v>81</v>
      </c>
      <c r="D329" s="172" t="s">
        <v>98</v>
      </c>
      <c r="E329" s="172" t="s">
        <v>52</v>
      </c>
      <c r="F329" s="172" t="s">
        <v>90</v>
      </c>
      <c r="G329" s="172" t="s">
        <v>84</v>
      </c>
      <c r="H329" s="177">
        <v>1</v>
      </c>
      <c r="I329" s="178">
        <v>0</v>
      </c>
      <c r="J329" s="176">
        <v>46032</v>
      </c>
      <c r="K329" s="172" t="s">
        <v>93</v>
      </c>
      <c r="L329" s="172" t="s">
        <v>94</v>
      </c>
      <c r="M329" s="179">
        <v>0</v>
      </c>
      <c r="N329" s="177"/>
      <c r="O329" s="177"/>
      <c r="P329" s="180">
        <v>-15</v>
      </c>
    </row>
    <row r="330" spans="1:16" ht="19.5" customHeight="1">
      <c r="A330" s="172" t="s">
        <v>85</v>
      </c>
      <c r="B330" s="176">
        <v>46036</v>
      </c>
      <c r="C330" s="172" t="s">
        <v>109</v>
      </c>
      <c r="D330" s="172" t="s">
        <v>110</v>
      </c>
      <c r="E330" s="172" t="s">
        <v>85</v>
      </c>
      <c r="F330" s="172" t="s">
        <v>85</v>
      </c>
      <c r="G330" s="172" t="s">
        <v>451</v>
      </c>
      <c r="H330" s="177">
        <v>0</v>
      </c>
      <c r="I330" s="178">
        <v>0</v>
      </c>
      <c r="J330" s="176">
        <v>46036</v>
      </c>
      <c r="K330" s="172" t="s">
        <v>85</v>
      </c>
      <c r="L330" s="172" t="s">
        <v>85</v>
      </c>
      <c r="M330" s="179">
        <v>0</v>
      </c>
      <c r="N330" s="177"/>
      <c r="O330" s="177"/>
      <c r="P330" s="180">
        <v>-150</v>
      </c>
    </row>
    <row r="331" spans="1:16" ht="19.5" customHeight="1">
      <c r="A331" s="172" t="s">
        <v>452</v>
      </c>
      <c r="B331" s="176">
        <v>46036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46036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-13.41</v>
      </c>
    </row>
    <row r="332" spans="1:16" ht="19.5" customHeight="1">
      <c r="A332" s="172" t="s">
        <v>453</v>
      </c>
      <c r="B332" s="176">
        <v>46036</v>
      </c>
      <c r="C332" s="172" t="s">
        <v>92</v>
      </c>
      <c r="D332" s="172" t="s">
        <v>24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1845</v>
      </c>
      <c r="J332" s="176">
        <v>46031</v>
      </c>
      <c r="K332" s="172" t="s">
        <v>93</v>
      </c>
      <c r="L332" s="172" t="s">
        <v>94</v>
      </c>
      <c r="M332" s="179">
        <v>0.43</v>
      </c>
      <c r="N332" s="177"/>
      <c r="O332" s="177">
        <v>42</v>
      </c>
      <c r="P332" s="180">
        <v>-140.5</v>
      </c>
    </row>
    <row r="333" spans="1:16" ht="19.5" customHeight="1">
      <c r="A333" s="172" t="s">
        <v>453</v>
      </c>
      <c r="B333" s="176">
        <v>46036</v>
      </c>
      <c r="C333" s="172" t="s">
        <v>100</v>
      </c>
      <c r="D333" s="172" t="s">
        <v>101</v>
      </c>
      <c r="E333" s="172" t="s">
        <v>53</v>
      </c>
      <c r="F333" s="172" t="s">
        <v>120</v>
      </c>
      <c r="G333" s="172" t="s">
        <v>84</v>
      </c>
      <c r="H333" s="177">
        <v>1</v>
      </c>
      <c r="I333" s="178">
        <v>1845</v>
      </c>
      <c r="J333" s="176">
        <v>46031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642.86</v>
      </c>
    </row>
    <row r="334" spans="1:16" ht="19.5" customHeight="1">
      <c r="A334" s="172" t="s">
        <v>453</v>
      </c>
      <c r="B334" s="176">
        <v>46036</v>
      </c>
      <c r="C334" s="172" t="s">
        <v>100</v>
      </c>
      <c r="D334" s="172" t="s">
        <v>102</v>
      </c>
      <c r="E334" s="172" t="s">
        <v>53</v>
      </c>
      <c r="F334" s="172" t="s">
        <v>120</v>
      </c>
      <c r="G334" s="172" t="s">
        <v>84</v>
      </c>
      <c r="H334" s="177">
        <v>1</v>
      </c>
      <c r="I334" s="178">
        <v>1845</v>
      </c>
      <c r="J334" s="176">
        <v>46031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6.43</v>
      </c>
    </row>
    <row r="335" spans="1:16" ht="19.5" customHeight="1">
      <c r="A335" s="172" t="s">
        <v>453</v>
      </c>
      <c r="B335" s="176">
        <v>46036</v>
      </c>
      <c r="C335" s="172" t="s">
        <v>100</v>
      </c>
      <c r="D335" s="172" t="s">
        <v>103</v>
      </c>
      <c r="E335" s="172" t="s">
        <v>53</v>
      </c>
      <c r="F335" s="172" t="s">
        <v>120</v>
      </c>
      <c r="G335" s="172" t="s">
        <v>84</v>
      </c>
      <c r="H335" s="177">
        <v>1</v>
      </c>
      <c r="I335" s="178">
        <v>1845</v>
      </c>
      <c r="J335" s="176">
        <v>46031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1195.71</v>
      </c>
    </row>
    <row r="336" spans="1:16" ht="19.5" customHeight="1">
      <c r="A336" s="172" t="s">
        <v>453</v>
      </c>
      <c r="B336" s="176">
        <v>46036</v>
      </c>
      <c r="C336" s="172" t="s">
        <v>104</v>
      </c>
      <c r="D336" s="172" t="s">
        <v>105</v>
      </c>
      <c r="E336" s="172" t="s">
        <v>53</v>
      </c>
      <c r="F336" s="172" t="s">
        <v>120</v>
      </c>
      <c r="G336" s="172" t="s">
        <v>84</v>
      </c>
      <c r="H336" s="177">
        <v>1</v>
      </c>
      <c r="I336" s="178">
        <v>1845</v>
      </c>
      <c r="J336" s="176">
        <v>46031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-793.35</v>
      </c>
    </row>
    <row r="337" spans="1:16" ht="19.5" customHeight="1">
      <c r="A337" s="172" t="s">
        <v>453</v>
      </c>
      <c r="B337" s="176">
        <v>46036</v>
      </c>
      <c r="C337" s="172" t="s">
        <v>81</v>
      </c>
      <c r="D337" s="172" t="s">
        <v>82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0</v>
      </c>
      <c r="J337" s="176">
        <v>46031</v>
      </c>
      <c r="K337" s="172" t="s">
        <v>85</v>
      </c>
      <c r="L337" s="172" t="s">
        <v>85</v>
      </c>
      <c r="M337" s="179">
        <v>0</v>
      </c>
      <c r="N337" s="177"/>
      <c r="O337" s="177"/>
      <c r="P337" s="180">
        <v>-12.21</v>
      </c>
    </row>
    <row r="338" spans="1:16" ht="19.5" customHeight="1">
      <c r="A338" s="172" t="s">
        <v>454</v>
      </c>
      <c r="B338" s="176">
        <v>46036</v>
      </c>
      <c r="C338" s="172" t="s">
        <v>92</v>
      </c>
      <c r="D338" s="172" t="s">
        <v>24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46034</v>
      </c>
      <c r="K338" s="172" t="s">
        <v>93</v>
      </c>
      <c r="L338" s="172" t="s">
        <v>94</v>
      </c>
      <c r="M338" s="179">
        <v>0.43</v>
      </c>
      <c r="N338" s="177"/>
      <c r="O338" s="177">
        <v>42</v>
      </c>
      <c r="P338" s="180">
        <v>-140.5</v>
      </c>
    </row>
    <row r="339" spans="1:16" ht="19.5" customHeight="1">
      <c r="A339" s="172" t="s">
        <v>454</v>
      </c>
      <c r="B339" s="176">
        <v>46036</v>
      </c>
      <c r="C339" s="172" t="s">
        <v>100</v>
      </c>
      <c r="D339" s="172" t="s">
        <v>101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46034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642.86</v>
      </c>
    </row>
    <row r="340" spans="1:16" ht="19.5" customHeight="1">
      <c r="A340" s="172" t="s">
        <v>454</v>
      </c>
      <c r="B340" s="176">
        <v>46036</v>
      </c>
      <c r="C340" s="172" t="s">
        <v>100</v>
      </c>
      <c r="D340" s="172" t="s">
        <v>102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46034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6.43</v>
      </c>
    </row>
    <row r="341" spans="1:16" ht="19.5" customHeight="1">
      <c r="A341" s="172" t="s">
        <v>454</v>
      </c>
      <c r="B341" s="176">
        <v>46036</v>
      </c>
      <c r="C341" s="172" t="s">
        <v>100</v>
      </c>
      <c r="D341" s="172" t="s">
        <v>103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46034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1195.71</v>
      </c>
    </row>
    <row r="342" spans="1:16" ht="19.5" customHeight="1">
      <c r="A342" s="172" t="s">
        <v>454</v>
      </c>
      <c r="B342" s="176">
        <v>46036</v>
      </c>
      <c r="C342" s="172" t="s">
        <v>104</v>
      </c>
      <c r="D342" s="172" t="s">
        <v>105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46034</v>
      </c>
      <c r="K342" s="172" t="s">
        <v>93</v>
      </c>
      <c r="L342" s="172" t="s">
        <v>94</v>
      </c>
      <c r="M342" s="179">
        <v>0.43</v>
      </c>
      <c r="N342" s="177"/>
      <c r="O342" s="177"/>
      <c r="P342" s="180">
        <v>-793.35</v>
      </c>
    </row>
    <row r="343" spans="1:16" ht="19.5" customHeight="1">
      <c r="A343" s="172" t="s">
        <v>454</v>
      </c>
      <c r="B343" s="176">
        <v>46036</v>
      </c>
      <c r="C343" s="172" t="s">
        <v>81</v>
      </c>
      <c r="D343" s="172" t="s">
        <v>95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46034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-9.14</v>
      </c>
    </row>
    <row r="344" spans="1:16" ht="19.5" customHeight="1">
      <c r="A344" s="172" t="s">
        <v>455</v>
      </c>
      <c r="B344" s="176">
        <v>46036</v>
      </c>
      <c r="C344" s="172" t="s">
        <v>92</v>
      </c>
      <c r="D344" s="172" t="s">
        <v>24</v>
      </c>
      <c r="E344" s="172" t="s">
        <v>41</v>
      </c>
      <c r="F344" s="172" t="s">
        <v>83</v>
      </c>
      <c r="G344" s="172" t="s">
        <v>84</v>
      </c>
      <c r="H344" s="177">
        <v>1</v>
      </c>
      <c r="I344" s="178">
        <v>1750</v>
      </c>
      <c r="J344" s="176">
        <v>46032</v>
      </c>
      <c r="K344" s="172" t="s">
        <v>93</v>
      </c>
      <c r="L344" s="172" t="s">
        <v>94</v>
      </c>
      <c r="M344" s="179">
        <v>0.43</v>
      </c>
      <c r="N344" s="177"/>
      <c r="O344" s="177">
        <v>41</v>
      </c>
      <c r="P344" s="180">
        <v>-118.09</v>
      </c>
    </row>
    <row r="345" spans="1:16" ht="19.5" customHeight="1">
      <c r="A345" s="172" t="s">
        <v>455</v>
      </c>
      <c r="B345" s="176">
        <v>46036</v>
      </c>
      <c r="C345" s="172" t="s">
        <v>100</v>
      </c>
      <c r="D345" s="172" t="s">
        <v>101</v>
      </c>
      <c r="E345" s="172" t="s">
        <v>41</v>
      </c>
      <c r="F345" s="172" t="s">
        <v>83</v>
      </c>
      <c r="G345" s="172" t="s">
        <v>84</v>
      </c>
      <c r="H345" s="177">
        <v>1</v>
      </c>
      <c r="I345" s="178">
        <v>1750</v>
      </c>
      <c r="J345" s="176">
        <v>46032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609.52</v>
      </c>
    </row>
    <row r="346" spans="1:16" ht="19.5" customHeight="1">
      <c r="A346" s="172" t="s">
        <v>455</v>
      </c>
      <c r="B346" s="176">
        <v>46036</v>
      </c>
      <c r="C346" s="172" t="s">
        <v>100</v>
      </c>
      <c r="D346" s="172" t="s">
        <v>102</v>
      </c>
      <c r="E346" s="172" t="s">
        <v>41</v>
      </c>
      <c r="F346" s="172" t="s">
        <v>83</v>
      </c>
      <c r="G346" s="172" t="s">
        <v>84</v>
      </c>
      <c r="H346" s="177">
        <v>1</v>
      </c>
      <c r="I346" s="178">
        <v>1750</v>
      </c>
      <c r="J346" s="176">
        <v>46032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6.1</v>
      </c>
    </row>
    <row r="347" spans="1:16" ht="19.5" customHeight="1">
      <c r="A347" s="172" t="s">
        <v>455</v>
      </c>
      <c r="B347" s="176">
        <v>46036</v>
      </c>
      <c r="C347" s="172" t="s">
        <v>100</v>
      </c>
      <c r="D347" s="172" t="s">
        <v>103</v>
      </c>
      <c r="E347" s="172" t="s">
        <v>41</v>
      </c>
      <c r="F347" s="172" t="s">
        <v>83</v>
      </c>
      <c r="G347" s="172" t="s">
        <v>84</v>
      </c>
      <c r="H347" s="177">
        <v>1</v>
      </c>
      <c r="I347" s="178">
        <v>1750</v>
      </c>
      <c r="J347" s="176">
        <v>46032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1134.3800000000001</v>
      </c>
    </row>
    <row r="348" spans="1:16" ht="19.5" customHeight="1">
      <c r="A348" s="172" t="s">
        <v>455</v>
      </c>
      <c r="B348" s="176">
        <v>46036</v>
      </c>
      <c r="C348" s="172" t="s">
        <v>104</v>
      </c>
      <c r="D348" s="172" t="s">
        <v>105</v>
      </c>
      <c r="E348" s="172" t="s">
        <v>41</v>
      </c>
      <c r="F348" s="172" t="s">
        <v>83</v>
      </c>
      <c r="G348" s="172" t="s">
        <v>84</v>
      </c>
      <c r="H348" s="177">
        <v>1</v>
      </c>
      <c r="I348" s="178">
        <v>1750</v>
      </c>
      <c r="J348" s="176">
        <v>46032</v>
      </c>
      <c r="K348" s="172" t="s">
        <v>93</v>
      </c>
      <c r="L348" s="172" t="s">
        <v>94</v>
      </c>
      <c r="M348" s="179">
        <v>0.43</v>
      </c>
      <c r="N348" s="177"/>
      <c r="O348" s="177"/>
      <c r="P348" s="180">
        <v>-752.5</v>
      </c>
    </row>
    <row r="349" spans="1:16" ht="19.5" customHeight="1">
      <c r="A349" s="172" t="s">
        <v>455</v>
      </c>
      <c r="B349" s="176">
        <v>46036</v>
      </c>
      <c r="C349" s="172" t="s">
        <v>81</v>
      </c>
      <c r="D349" s="172" t="s">
        <v>95</v>
      </c>
      <c r="E349" s="172" t="s">
        <v>41</v>
      </c>
      <c r="F349" s="172" t="s">
        <v>83</v>
      </c>
      <c r="G349" s="172" t="s">
        <v>84</v>
      </c>
      <c r="H349" s="177">
        <v>1</v>
      </c>
      <c r="I349" s="178">
        <v>1750</v>
      </c>
      <c r="J349" s="176">
        <v>46032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-21.87</v>
      </c>
    </row>
    <row r="350" spans="1:16" ht="19.5" customHeight="1">
      <c r="A350" s="172" t="s">
        <v>454</v>
      </c>
      <c r="B350" s="176">
        <v>46036</v>
      </c>
      <c r="C350" s="172" t="s">
        <v>81</v>
      </c>
      <c r="D350" s="172" t="s">
        <v>82</v>
      </c>
      <c r="E350" s="172" t="s">
        <v>53</v>
      </c>
      <c r="F350" s="172" t="s">
        <v>120</v>
      </c>
      <c r="G350" s="172" t="s">
        <v>84</v>
      </c>
      <c r="H350" s="177">
        <v>1</v>
      </c>
      <c r="I350" s="178">
        <v>0</v>
      </c>
      <c r="J350" s="176">
        <v>46034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-12.21</v>
      </c>
    </row>
    <row r="351" spans="1:16" ht="19.5" customHeight="1">
      <c r="A351" s="172" t="s">
        <v>455</v>
      </c>
      <c r="B351" s="176">
        <v>46036</v>
      </c>
      <c r="C351" s="172" t="s">
        <v>81</v>
      </c>
      <c r="D351" s="172" t="s">
        <v>82</v>
      </c>
      <c r="E351" s="172" t="s">
        <v>41</v>
      </c>
      <c r="F351" s="172" t="s">
        <v>83</v>
      </c>
      <c r="G351" s="172" t="s">
        <v>84</v>
      </c>
      <c r="H351" s="177">
        <v>1</v>
      </c>
      <c r="I351" s="178">
        <v>0</v>
      </c>
      <c r="J351" s="176">
        <v>46032</v>
      </c>
      <c r="K351" s="172" t="s">
        <v>85</v>
      </c>
      <c r="L351" s="172" t="s">
        <v>85</v>
      </c>
      <c r="M351" s="179">
        <v>0</v>
      </c>
      <c r="N351" s="177"/>
      <c r="O351" s="177"/>
      <c r="P351" s="180">
        <v>-11.58</v>
      </c>
    </row>
    <row r="352" spans="1:16" ht="19.5" customHeight="1">
      <c r="A352" s="172" t="s">
        <v>456</v>
      </c>
      <c r="B352" s="176">
        <v>46036</v>
      </c>
      <c r="C352" s="172" t="s">
        <v>92</v>
      </c>
      <c r="D352" s="172" t="s">
        <v>272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0</v>
      </c>
      <c r="J352" s="176">
        <v>46023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0</v>
      </c>
    </row>
    <row r="353" spans="1:16" ht="19.5" customHeight="1">
      <c r="A353" s="172" t="s">
        <v>456</v>
      </c>
      <c r="B353" s="176">
        <v>46036</v>
      </c>
      <c r="C353" s="172" t="s">
        <v>92</v>
      </c>
      <c r="D353" s="172" t="s">
        <v>97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0</v>
      </c>
      <c r="J353" s="176">
        <v>46023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-99.64</v>
      </c>
    </row>
    <row r="354" spans="1:16" ht="19.5" customHeight="1">
      <c r="A354" s="172" t="s">
        <v>456</v>
      </c>
      <c r="B354" s="176">
        <v>46036</v>
      </c>
      <c r="C354" s="172" t="s">
        <v>81</v>
      </c>
      <c r="D354" s="172" t="s">
        <v>98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0</v>
      </c>
      <c r="J354" s="176">
        <v>46023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-15</v>
      </c>
    </row>
    <row r="355" spans="1:16" ht="19.5" customHeight="1">
      <c r="A355" s="172" t="s">
        <v>457</v>
      </c>
      <c r="B355" s="176">
        <v>46036</v>
      </c>
      <c r="C355" s="172" t="s">
        <v>92</v>
      </c>
      <c r="D355" s="172" t="s">
        <v>24</v>
      </c>
      <c r="E355" s="172" t="s">
        <v>41</v>
      </c>
      <c r="F355" s="172" t="s">
        <v>83</v>
      </c>
      <c r="G355" s="172" t="s">
        <v>84</v>
      </c>
      <c r="H355" s="177">
        <v>1</v>
      </c>
      <c r="I355" s="178">
        <v>0</v>
      </c>
      <c r="J355" s="176">
        <v>46029</v>
      </c>
      <c r="K355" s="172" t="s">
        <v>93</v>
      </c>
      <c r="L355" s="172" t="s">
        <v>94</v>
      </c>
      <c r="M355" s="179">
        <v>0</v>
      </c>
      <c r="N355" s="177"/>
      <c r="O355" s="177">
        <v>43</v>
      </c>
      <c r="P355" s="180">
        <v>-46</v>
      </c>
    </row>
    <row r="356" spans="1:16" ht="19.5" customHeight="1">
      <c r="A356" s="172" t="s">
        <v>457</v>
      </c>
      <c r="B356" s="176">
        <v>46036</v>
      </c>
      <c r="C356" s="172" t="s">
        <v>81</v>
      </c>
      <c r="D356" s="172" t="s">
        <v>95</v>
      </c>
      <c r="E356" s="172" t="s">
        <v>41</v>
      </c>
      <c r="F356" s="172" t="s">
        <v>83</v>
      </c>
      <c r="G356" s="172" t="s">
        <v>84</v>
      </c>
      <c r="H356" s="177">
        <v>1</v>
      </c>
      <c r="I356" s="178">
        <v>0</v>
      </c>
      <c r="J356" s="176">
        <v>46029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-8.4700000000000006</v>
      </c>
    </row>
    <row r="357" spans="1:16" ht="19.5" customHeight="1">
      <c r="A357" s="172" t="s">
        <v>457</v>
      </c>
      <c r="B357" s="176">
        <v>46036</v>
      </c>
      <c r="C357" s="172" t="s">
        <v>92</v>
      </c>
      <c r="D357" s="172" t="s">
        <v>96</v>
      </c>
      <c r="E357" s="172" t="s">
        <v>41</v>
      </c>
      <c r="F357" s="172" t="s">
        <v>83</v>
      </c>
      <c r="G357" s="172" t="s">
        <v>84</v>
      </c>
      <c r="H357" s="177">
        <v>1</v>
      </c>
      <c r="I357" s="178">
        <v>0</v>
      </c>
      <c r="J357" s="176">
        <v>46029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0</v>
      </c>
    </row>
    <row r="358" spans="1:16" ht="19.5" customHeight="1">
      <c r="A358" s="172" t="s">
        <v>457</v>
      </c>
      <c r="B358" s="176">
        <v>46036</v>
      </c>
      <c r="C358" s="172" t="s">
        <v>92</v>
      </c>
      <c r="D358" s="172" t="s">
        <v>97</v>
      </c>
      <c r="E358" s="172" t="s">
        <v>41</v>
      </c>
      <c r="F358" s="172" t="s">
        <v>83</v>
      </c>
      <c r="G358" s="172" t="s">
        <v>84</v>
      </c>
      <c r="H358" s="177">
        <v>1</v>
      </c>
      <c r="I358" s="178">
        <v>0</v>
      </c>
      <c r="J358" s="176">
        <v>46029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-81.34</v>
      </c>
    </row>
    <row r="359" spans="1:16" ht="19.5" customHeight="1">
      <c r="A359" s="172" t="s">
        <v>457</v>
      </c>
      <c r="B359" s="176">
        <v>46036</v>
      </c>
      <c r="C359" s="172" t="s">
        <v>81</v>
      </c>
      <c r="D359" s="172" t="s">
        <v>98</v>
      </c>
      <c r="E359" s="172" t="s">
        <v>41</v>
      </c>
      <c r="F359" s="172" t="s">
        <v>83</v>
      </c>
      <c r="G359" s="172" t="s">
        <v>84</v>
      </c>
      <c r="H359" s="177">
        <v>1</v>
      </c>
      <c r="I359" s="178">
        <v>0</v>
      </c>
      <c r="J359" s="176">
        <v>46029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-15</v>
      </c>
    </row>
    <row r="360" spans="1:16" ht="19.5" customHeight="1">
      <c r="A360" s="172" t="s">
        <v>458</v>
      </c>
      <c r="B360" s="176">
        <v>46036</v>
      </c>
      <c r="C360" s="172" t="s">
        <v>92</v>
      </c>
      <c r="D360" s="172" t="s">
        <v>24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0</v>
      </c>
      <c r="J360" s="176">
        <v>46021</v>
      </c>
      <c r="K360" s="172" t="s">
        <v>93</v>
      </c>
      <c r="L360" s="172" t="s">
        <v>94</v>
      </c>
      <c r="M360" s="179">
        <v>0</v>
      </c>
      <c r="N360" s="177"/>
      <c r="O360" s="177">
        <v>40</v>
      </c>
      <c r="P360" s="180">
        <v>-56</v>
      </c>
    </row>
    <row r="361" spans="1:16" ht="19.5" customHeight="1">
      <c r="A361" s="172" t="s">
        <v>458</v>
      </c>
      <c r="B361" s="176">
        <v>46036</v>
      </c>
      <c r="C361" s="172" t="s">
        <v>81</v>
      </c>
      <c r="D361" s="172" t="s">
        <v>95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46021</v>
      </c>
      <c r="K361" s="172" t="s">
        <v>93</v>
      </c>
      <c r="L361" s="172" t="s">
        <v>94</v>
      </c>
      <c r="M361" s="179">
        <v>0</v>
      </c>
      <c r="N361" s="177"/>
      <c r="O361" s="177"/>
      <c r="P361" s="180">
        <v>-15.76</v>
      </c>
    </row>
    <row r="362" spans="1:16" ht="19.5" customHeight="1">
      <c r="A362" s="172" t="s">
        <v>458</v>
      </c>
      <c r="B362" s="176">
        <v>46036</v>
      </c>
      <c r="C362" s="172" t="s">
        <v>92</v>
      </c>
      <c r="D362" s="172" t="s">
        <v>96</v>
      </c>
      <c r="E362" s="172" t="s">
        <v>53</v>
      </c>
      <c r="F362" s="172" t="s">
        <v>120</v>
      </c>
      <c r="G362" s="172" t="s">
        <v>84</v>
      </c>
      <c r="H362" s="177">
        <v>1</v>
      </c>
      <c r="I362" s="178">
        <v>0</v>
      </c>
      <c r="J362" s="176">
        <v>46021</v>
      </c>
      <c r="K362" s="172" t="s">
        <v>93</v>
      </c>
      <c r="L362" s="172" t="s">
        <v>94</v>
      </c>
      <c r="M362" s="179">
        <v>0</v>
      </c>
      <c r="N362" s="177"/>
      <c r="O362" s="177"/>
      <c r="P362" s="180">
        <v>0</v>
      </c>
    </row>
    <row r="363" spans="1:16" ht="19.5" customHeight="1">
      <c r="A363" s="172" t="s">
        <v>458</v>
      </c>
      <c r="B363" s="176">
        <v>46036</v>
      </c>
      <c r="C363" s="172" t="s">
        <v>92</v>
      </c>
      <c r="D363" s="172" t="s">
        <v>97</v>
      </c>
      <c r="E363" s="172" t="s">
        <v>53</v>
      </c>
      <c r="F363" s="172" t="s">
        <v>120</v>
      </c>
      <c r="G363" s="172" t="s">
        <v>84</v>
      </c>
      <c r="H363" s="177">
        <v>1</v>
      </c>
      <c r="I363" s="178">
        <v>0</v>
      </c>
      <c r="J363" s="176">
        <v>46021</v>
      </c>
      <c r="K363" s="172" t="s">
        <v>93</v>
      </c>
      <c r="L363" s="172" t="s">
        <v>94</v>
      </c>
      <c r="M363" s="179">
        <v>0</v>
      </c>
      <c r="N363" s="177"/>
      <c r="O363" s="177"/>
      <c r="P363" s="180">
        <v>-56</v>
      </c>
    </row>
    <row r="364" spans="1:16" ht="19.5" customHeight="1">
      <c r="A364" s="172" t="s">
        <v>458</v>
      </c>
      <c r="B364" s="176">
        <v>46036</v>
      </c>
      <c r="C364" s="172" t="s">
        <v>81</v>
      </c>
      <c r="D364" s="172" t="s">
        <v>98</v>
      </c>
      <c r="E364" s="172" t="s">
        <v>53</v>
      </c>
      <c r="F364" s="172" t="s">
        <v>120</v>
      </c>
      <c r="G364" s="172" t="s">
        <v>84</v>
      </c>
      <c r="H364" s="177">
        <v>1</v>
      </c>
      <c r="I364" s="178">
        <v>0</v>
      </c>
      <c r="J364" s="176">
        <v>46021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-15</v>
      </c>
    </row>
    <row r="365" spans="1:16" ht="19.5" customHeight="1">
      <c r="A365" s="172" t="s">
        <v>459</v>
      </c>
      <c r="B365" s="176">
        <v>46036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46036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-11.58</v>
      </c>
    </row>
    <row r="366" spans="1:16" ht="19.5" customHeight="1">
      <c r="A366" s="172" t="s">
        <v>460</v>
      </c>
      <c r="B366" s="176">
        <v>46036</v>
      </c>
      <c r="C366" s="172" t="s">
        <v>92</v>
      </c>
      <c r="D366" s="172" t="s">
        <v>24</v>
      </c>
      <c r="E366" s="172" t="s">
        <v>52</v>
      </c>
      <c r="F366" s="172" t="s">
        <v>90</v>
      </c>
      <c r="G366" s="172" t="s">
        <v>84</v>
      </c>
      <c r="H366" s="177">
        <v>1</v>
      </c>
      <c r="I366" s="178">
        <v>0</v>
      </c>
      <c r="J366" s="176">
        <v>46027</v>
      </c>
      <c r="K366" s="172" t="s">
        <v>93</v>
      </c>
      <c r="L366" s="172" t="s">
        <v>94</v>
      </c>
      <c r="M366" s="179">
        <v>0</v>
      </c>
      <c r="N366" s="177"/>
      <c r="O366" s="177">
        <v>45</v>
      </c>
      <c r="P366" s="180">
        <v>-56</v>
      </c>
    </row>
    <row r="367" spans="1:16" ht="19.5" customHeight="1">
      <c r="A367" s="172" t="s">
        <v>460</v>
      </c>
      <c r="B367" s="176">
        <v>46036</v>
      </c>
      <c r="C367" s="172" t="s">
        <v>81</v>
      </c>
      <c r="D367" s="172" t="s">
        <v>95</v>
      </c>
      <c r="E367" s="172" t="s">
        <v>52</v>
      </c>
      <c r="F367" s="172" t="s">
        <v>90</v>
      </c>
      <c r="G367" s="172" t="s">
        <v>84</v>
      </c>
      <c r="H367" s="177">
        <v>1</v>
      </c>
      <c r="I367" s="178">
        <v>0</v>
      </c>
      <c r="J367" s="176">
        <v>46027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-8.42</v>
      </c>
    </row>
    <row r="368" spans="1:16" ht="19.5" customHeight="1">
      <c r="A368" s="172" t="s">
        <v>460</v>
      </c>
      <c r="B368" s="176">
        <v>46036</v>
      </c>
      <c r="C368" s="172" t="s">
        <v>92</v>
      </c>
      <c r="D368" s="172" t="s">
        <v>96</v>
      </c>
      <c r="E368" s="172" t="s">
        <v>52</v>
      </c>
      <c r="F368" s="172" t="s">
        <v>90</v>
      </c>
      <c r="G368" s="172" t="s">
        <v>84</v>
      </c>
      <c r="H368" s="177">
        <v>1</v>
      </c>
      <c r="I368" s="178">
        <v>0</v>
      </c>
      <c r="J368" s="176">
        <v>46027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0</v>
      </c>
    </row>
    <row r="369" spans="1:16" ht="19.5" customHeight="1">
      <c r="A369" s="172" t="s">
        <v>460</v>
      </c>
      <c r="B369" s="176">
        <v>46036</v>
      </c>
      <c r="C369" s="172" t="s">
        <v>92</v>
      </c>
      <c r="D369" s="172" t="s">
        <v>97</v>
      </c>
      <c r="E369" s="172" t="s">
        <v>52</v>
      </c>
      <c r="F369" s="172" t="s">
        <v>90</v>
      </c>
      <c r="G369" s="172" t="s">
        <v>84</v>
      </c>
      <c r="H369" s="177">
        <v>1</v>
      </c>
      <c r="I369" s="178">
        <v>0</v>
      </c>
      <c r="J369" s="176">
        <v>46027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-56</v>
      </c>
    </row>
    <row r="370" spans="1:16" ht="19.5" customHeight="1">
      <c r="A370" s="172" t="s">
        <v>460</v>
      </c>
      <c r="B370" s="176">
        <v>46036</v>
      </c>
      <c r="C370" s="172" t="s">
        <v>81</v>
      </c>
      <c r="D370" s="172" t="s">
        <v>98</v>
      </c>
      <c r="E370" s="172" t="s">
        <v>52</v>
      </c>
      <c r="F370" s="172" t="s">
        <v>90</v>
      </c>
      <c r="G370" s="172" t="s">
        <v>84</v>
      </c>
      <c r="H370" s="177">
        <v>1</v>
      </c>
      <c r="I370" s="178">
        <v>0</v>
      </c>
      <c r="J370" s="176">
        <v>46027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-15</v>
      </c>
    </row>
    <row r="371" spans="1:16" ht="19.5" customHeight="1">
      <c r="A371" s="172" t="s">
        <v>461</v>
      </c>
      <c r="B371" s="176">
        <v>46036</v>
      </c>
      <c r="C371" s="172" t="s">
        <v>92</v>
      </c>
      <c r="D371" s="172" t="s">
        <v>24</v>
      </c>
      <c r="E371" s="172" t="s">
        <v>39</v>
      </c>
      <c r="F371" s="172" t="s">
        <v>117</v>
      </c>
      <c r="G371" s="172" t="s">
        <v>84</v>
      </c>
      <c r="H371" s="177">
        <v>1</v>
      </c>
      <c r="I371" s="178">
        <v>1750</v>
      </c>
      <c r="J371" s="176">
        <v>46034</v>
      </c>
      <c r="K371" s="172" t="s">
        <v>93</v>
      </c>
      <c r="L371" s="172" t="s">
        <v>94</v>
      </c>
      <c r="M371" s="179">
        <v>0.43</v>
      </c>
      <c r="N371" s="177"/>
      <c r="O371" s="177">
        <v>42</v>
      </c>
      <c r="P371" s="180">
        <v>-123.31</v>
      </c>
    </row>
    <row r="372" spans="1:16" ht="19.5" customHeight="1">
      <c r="A372" s="172" t="s">
        <v>461</v>
      </c>
      <c r="B372" s="176">
        <v>46036</v>
      </c>
      <c r="C372" s="172" t="s">
        <v>100</v>
      </c>
      <c r="D372" s="172" t="s">
        <v>101</v>
      </c>
      <c r="E372" s="172" t="s">
        <v>39</v>
      </c>
      <c r="F372" s="172" t="s">
        <v>117</v>
      </c>
      <c r="G372" s="172" t="s">
        <v>84</v>
      </c>
      <c r="H372" s="177">
        <v>1</v>
      </c>
      <c r="I372" s="178">
        <v>1750</v>
      </c>
      <c r="J372" s="176">
        <v>46034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608.94000000000005</v>
      </c>
    </row>
    <row r="373" spans="1:16" ht="19.5" customHeight="1">
      <c r="A373" s="172" t="s">
        <v>461</v>
      </c>
      <c r="B373" s="176">
        <v>46036</v>
      </c>
      <c r="C373" s="172" t="s">
        <v>100</v>
      </c>
      <c r="D373" s="172" t="s">
        <v>102</v>
      </c>
      <c r="E373" s="172" t="s">
        <v>39</v>
      </c>
      <c r="F373" s="172" t="s">
        <v>117</v>
      </c>
      <c r="G373" s="172" t="s">
        <v>84</v>
      </c>
      <c r="H373" s="177">
        <v>1</v>
      </c>
      <c r="I373" s="178">
        <v>1750</v>
      </c>
      <c r="J373" s="176">
        <v>46034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6.09</v>
      </c>
    </row>
    <row r="374" spans="1:16" ht="19.5" customHeight="1">
      <c r="A374" s="172" t="s">
        <v>461</v>
      </c>
      <c r="B374" s="176">
        <v>46036</v>
      </c>
      <c r="C374" s="172" t="s">
        <v>100</v>
      </c>
      <c r="D374" s="172" t="s">
        <v>103</v>
      </c>
      <c r="E374" s="172" t="s">
        <v>39</v>
      </c>
      <c r="F374" s="172" t="s">
        <v>117</v>
      </c>
      <c r="G374" s="172" t="s">
        <v>84</v>
      </c>
      <c r="H374" s="177">
        <v>1</v>
      </c>
      <c r="I374" s="178">
        <v>1750</v>
      </c>
      <c r="J374" s="176">
        <v>46034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1134.97</v>
      </c>
    </row>
    <row r="375" spans="1:16" ht="19.5" customHeight="1">
      <c r="A375" s="172" t="s">
        <v>461</v>
      </c>
      <c r="B375" s="176">
        <v>46036</v>
      </c>
      <c r="C375" s="172" t="s">
        <v>104</v>
      </c>
      <c r="D375" s="172" t="s">
        <v>105</v>
      </c>
      <c r="E375" s="172" t="s">
        <v>39</v>
      </c>
      <c r="F375" s="172" t="s">
        <v>117</v>
      </c>
      <c r="G375" s="172" t="s">
        <v>84</v>
      </c>
      <c r="H375" s="177">
        <v>1</v>
      </c>
      <c r="I375" s="178">
        <v>1750</v>
      </c>
      <c r="J375" s="176">
        <v>46034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-752.5</v>
      </c>
    </row>
    <row r="376" spans="1:16" ht="19.5" customHeight="1">
      <c r="A376" s="172" t="s">
        <v>461</v>
      </c>
      <c r="B376" s="176">
        <v>46036</v>
      </c>
      <c r="C376" s="172" t="s">
        <v>81</v>
      </c>
      <c r="D376" s="172" t="s">
        <v>95</v>
      </c>
      <c r="E376" s="172" t="s">
        <v>39</v>
      </c>
      <c r="F376" s="172" t="s">
        <v>117</v>
      </c>
      <c r="G376" s="172" t="s">
        <v>84</v>
      </c>
      <c r="H376" s="177">
        <v>1</v>
      </c>
      <c r="I376" s="178">
        <v>1750</v>
      </c>
      <c r="J376" s="176">
        <v>46034</v>
      </c>
      <c r="K376" s="172" t="s">
        <v>93</v>
      </c>
      <c r="L376" s="172" t="s">
        <v>94</v>
      </c>
      <c r="M376" s="179">
        <v>0.43</v>
      </c>
      <c r="N376" s="177"/>
      <c r="O376" s="177"/>
      <c r="P376" s="180">
        <v>-10.36</v>
      </c>
    </row>
    <row r="377" spans="1:16" ht="19.5" customHeight="1">
      <c r="A377" s="172" t="s">
        <v>462</v>
      </c>
      <c r="B377" s="176">
        <v>46036</v>
      </c>
      <c r="C377" s="172" t="s">
        <v>81</v>
      </c>
      <c r="D377" s="172" t="s">
        <v>82</v>
      </c>
      <c r="E377" s="172" t="s">
        <v>53</v>
      </c>
      <c r="F377" s="172" t="s">
        <v>120</v>
      </c>
      <c r="G377" s="172" t="s">
        <v>84</v>
      </c>
      <c r="H377" s="177">
        <v>1</v>
      </c>
      <c r="I377" s="178">
        <v>0</v>
      </c>
      <c r="J377" s="176">
        <v>46036</v>
      </c>
      <c r="K377" s="172" t="s">
        <v>85</v>
      </c>
      <c r="L377" s="172" t="s">
        <v>85</v>
      </c>
      <c r="M377" s="179">
        <v>0</v>
      </c>
      <c r="N377" s="177"/>
      <c r="O377" s="177"/>
      <c r="P377" s="180">
        <v>-3.77</v>
      </c>
    </row>
    <row r="378" spans="1:16" ht="19.5" customHeight="1">
      <c r="A378" s="172" t="s">
        <v>463</v>
      </c>
      <c r="B378" s="176">
        <v>46036</v>
      </c>
      <c r="C378" s="172" t="s">
        <v>81</v>
      </c>
      <c r="D378" s="172" t="s">
        <v>82</v>
      </c>
      <c r="E378" s="172" t="s">
        <v>41</v>
      </c>
      <c r="F378" s="172" t="s">
        <v>83</v>
      </c>
      <c r="G378" s="172" t="s">
        <v>84</v>
      </c>
      <c r="H378" s="177">
        <v>1</v>
      </c>
      <c r="I378" s="178">
        <v>0</v>
      </c>
      <c r="J378" s="176">
        <v>46036</v>
      </c>
      <c r="K378" s="172" t="s">
        <v>85</v>
      </c>
      <c r="L378" s="172" t="s">
        <v>85</v>
      </c>
      <c r="M378" s="179">
        <v>0</v>
      </c>
      <c r="N378" s="177"/>
      <c r="O378" s="177"/>
      <c r="P378" s="180">
        <v>-4.7</v>
      </c>
    </row>
    <row r="379" spans="1:16" ht="19.5" customHeight="1">
      <c r="A379" s="172" t="s">
        <v>464</v>
      </c>
      <c r="B379" s="176">
        <v>46036</v>
      </c>
      <c r="C379" s="172" t="s">
        <v>92</v>
      </c>
      <c r="D379" s="172" t="s">
        <v>24</v>
      </c>
      <c r="E379" s="172" t="s">
        <v>53</v>
      </c>
      <c r="F379" s="172" t="s">
        <v>120</v>
      </c>
      <c r="G379" s="172" t="s">
        <v>84</v>
      </c>
      <c r="H379" s="177">
        <v>1</v>
      </c>
      <c r="I379" s="178">
        <v>0</v>
      </c>
      <c r="J379" s="176">
        <v>46021</v>
      </c>
      <c r="K379" s="172" t="s">
        <v>93</v>
      </c>
      <c r="L379" s="172" t="s">
        <v>94</v>
      </c>
      <c r="M379" s="179">
        <v>0</v>
      </c>
      <c r="N379" s="177"/>
      <c r="O379" s="177">
        <v>40</v>
      </c>
      <c r="P379" s="180">
        <v>-56</v>
      </c>
    </row>
    <row r="380" spans="1:16" ht="19.5" customHeight="1">
      <c r="A380" s="172" t="s">
        <v>464</v>
      </c>
      <c r="B380" s="176">
        <v>46036</v>
      </c>
      <c r="C380" s="172" t="s">
        <v>81</v>
      </c>
      <c r="D380" s="172" t="s">
        <v>95</v>
      </c>
      <c r="E380" s="172" t="s">
        <v>53</v>
      </c>
      <c r="F380" s="172" t="s">
        <v>120</v>
      </c>
      <c r="G380" s="172" t="s">
        <v>84</v>
      </c>
      <c r="H380" s="177">
        <v>1</v>
      </c>
      <c r="I380" s="178">
        <v>0</v>
      </c>
      <c r="J380" s="176">
        <v>46021</v>
      </c>
      <c r="K380" s="172" t="s">
        <v>93</v>
      </c>
      <c r="L380" s="172" t="s">
        <v>94</v>
      </c>
      <c r="M380" s="179">
        <v>0</v>
      </c>
      <c r="N380" s="177"/>
      <c r="O380" s="177"/>
      <c r="P380" s="180">
        <v>-9.75</v>
      </c>
    </row>
    <row r="381" spans="1:16" ht="19.5" customHeight="1">
      <c r="A381" s="172" t="s">
        <v>465</v>
      </c>
      <c r="B381" s="176">
        <v>46036</v>
      </c>
      <c r="C381" s="172" t="s">
        <v>92</v>
      </c>
      <c r="D381" s="172" t="s">
        <v>24</v>
      </c>
      <c r="E381" s="172" t="s">
        <v>40</v>
      </c>
      <c r="F381" s="172" t="s">
        <v>197</v>
      </c>
      <c r="G381" s="172" t="s">
        <v>84</v>
      </c>
      <c r="H381" s="177">
        <v>1</v>
      </c>
      <c r="I381" s="178">
        <v>1650</v>
      </c>
      <c r="J381" s="176">
        <v>46030</v>
      </c>
      <c r="K381" s="172" t="s">
        <v>93</v>
      </c>
      <c r="L381" s="172" t="s">
        <v>94</v>
      </c>
      <c r="M381" s="179">
        <v>0.43</v>
      </c>
      <c r="N381" s="177"/>
      <c r="O381" s="177">
        <v>42</v>
      </c>
      <c r="P381" s="180">
        <v>-120.46</v>
      </c>
    </row>
    <row r="382" spans="1:16" ht="19.5" customHeight="1">
      <c r="A382" s="172" t="s">
        <v>465</v>
      </c>
      <c r="B382" s="176">
        <v>46036</v>
      </c>
      <c r="C382" s="172" t="s">
        <v>100</v>
      </c>
      <c r="D382" s="172" t="s">
        <v>101</v>
      </c>
      <c r="E382" s="172" t="s">
        <v>40</v>
      </c>
      <c r="F382" s="172" t="s">
        <v>197</v>
      </c>
      <c r="G382" s="172" t="s">
        <v>84</v>
      </c>
      <c r="H382" s="177">
        <v>1</v>
      </c>
      <c r="I382" s="178">
        <v>1650</v>
      </c>
      <c r="J382" s="176">
        <v>46030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930.13</v>
      </c>
    </row>
    <row r="383" spans="1:16" ht="19.5" customHeight="1">
      <c r="A383" s="172" t="s">
        <v>465</v>
      </c>
      <c r="B383" s="176">
        <v>46036</v>
      </c>
      <c r="C383" s="172" t="s">
        <v>100</v>
      </c>
      <c r="D383" s="172" t="s">
        <v>102</v>
      </c>
      <c r="E383" s="172" t="s">
        <v>40</v>
      </c>
      <c r="F383" s="172" t="s">
        <v>197</v>
      </c>
      <c r="G383" s="172" t="s">
        <v>84</v>
      </c>
      <c r="H383" s="177">
        <v>1</v>
      </c>
      <c r="I383" s="178">
        <v>1650</v>
      </c>
      <c r="J383" s="176">
        <v>46030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0</v>
      </c>
    </row>
    <row r="384" spans="1:16" ht="19.5" customHeight="1">
      <c r="A384" s="172" t="s">
        <v>465</v>
      </c>
      <c r="B384" s="176">
        <v>46036</v>
      </c>
      <c r="C384" s="172" t="s">
        <v>100</v>
      </c>
      <c r="D384" s="172" t="s">
        <v>103</v>
      </c>
      <c r="E384" s="172" t="s">
        <v>40</v>
      </c>
      <c r="F384" s="172" t="s">
        <v>197</v>
      </c>
      <c r="G384" s="172" t="s">
        <v>84</v>
      </c>
      <c r="H384" s="177">
        <v>1</v>
      </c>
      <c r="I384" s="178">
        <v>1650</v>
      </c>
      <c r="J384" s="176">
        <v>46030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719.87</v>
      </c>
    </row>
    <row r="385" spans="1:16" ht="19.5" customHeight="1">
      <c r="A385" s="172" t="s">
        <v>465</v>
      </c>
      <c r="B385" s="176">
        <v>46036</v>
      </c>
      <c r="C385" s="172" t="s">
        <v>104</v>
      </c>
      <c r="D385" s="172" t="s">
        <v>105</v>
      </c>
      <c r="E385" s="172" t="s">
        <v>40</v>
      </c>
      <c r="F385" s="172" t="s">
        <v>197</v>
      </c>
      <c r="G385" s="172" t="s">
        <v>84</v>
      </c>
      <c r="H385" s="177">
        <v>1</v>
      </c>
      <c r="I385" s="178">
        <v>1650</v>
      </c>
      <c r="J385" s="176">
        <v>46030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-709.5</v>
      </c>
    </row>
    <row r="386" spans="1:16" ht="19.5" customHeight="1">
      <c r="A386" s="172" t="s">
        <v>464</v>
      </c>
      <c r="B386" s="176">
        <v>46036</v>
      </c>
      <c r="C386" s="172" t="s">
        <v>92</v>
      </c>
      <c r="D386" s="172" t="s">
        <v>96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0</v>
      </c>
      <c r="J386" s="176">
        <v>46021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0</v>
      </c>
    </row>
    <row r="387" spans="1:16" ht="19.5" customHeight="1">
      <c r="A387" s="172" t="s">
        <v>464</v>
      </c>
      <c r="B387" s="176">
        <v>46036</v>
      </c>
      <c r="C387" s="172" t="s">
        <v>92</v>
      </c>
      <c r="D387" s="172" t="s">
        <v>97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93</v>
      </c>
      <c r="L387" s="172" t="s">
        <v>94</v>
      </c>
      <c r="M387" s="179">
        <v>0</v>
      </c>
      <c r="N387" s="177"/>
      <c r="O387" s="177"/>
      <c r="P387" s="180">
        <v>-56</v>
      </c>
    </row>
    <row r="388" spans="1:16" ht="19.5" customHeight="1">
      <c r="A388" s="172" t="s">
        <v>464</v>
      </c>
      <c r="B388" s="176">
        <v>46036</v>
      </c>
      <c r="C388" s="172" t="s">
        <v>81</v>
      </c>
      <c r="D388" s="172" t="s">
        <v>98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0</v>
      </c>
      <c r="J388" s="176">
        <v>46021</v>
      </c>
      <c r="K388" s="172" t="s">
        <v>93</v>
      </c>
      <c r="L388" s="172" t="s">
        <v>94</v>
      </c>
      <c r="M388" s="179">
        <v>0</v>
      </c>
      <c r="N388" s="177"/>
      <c r="O388" s="177"/>
      <c r="P388" s="180">
        <v>-15</v>
      </c>
    </row>
    <row r="389" spans="1:16" ht="19.5" customHeight="1">
      <c r="A389" s="172" t="s">
        <v>466</v>
      </c>
      <c r="B389" s="176">
        <v>46036</v>
      </c>
      <c r="C389" s="172" t="s">
        <v>354</v>
      </c>
      <c r="D389" s="172" t="s">
        <v>467</v>
      </c>
      <c r="E389" s="172" t="s">
        <v>85</v>
      </c>
      <c r="F389" s="172" t="s">
        <v>85</v>
      </c>
      <c r="G389" s="172" t="s">
        <v>85</v>
      </c>
      <c r="H389" s="177">
        <v>0</v>
      </c>
      <c r="I389" s="178">
        <v>0</v>
      </c>
      <c r="J389" s="176">
        <v>46036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-940</v>
      </c>
    </row>
    <row r="390" spans="1:16" ht="19.5" customHeight="1">
      <c r="A390" s="172" t="s">
        <v>468</v>
      </c>
      <c r="B390" s="176">
        <v>46036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1621</v>
      </c>
      <c r="J390" s="176">
        <v>46033</v>
      </c>
      <c r="K390" s="172" t="s">
        <v>93</v>
      </c>
      <c r="L390" s="172" t="s">
        <v>94</v>
      </c>
      <c r="M390" s="179">
        <v>0.43</v>
      </c>
      <c r="N390" s="177"/>
      <c r="O390" s="177">
        <v>42</v>
      </c>
      <c r="P390" s="180">
        <v>-134.12</v>
      </c>
    </row>
    <row r="391" spans="1:16" ht="19.5" customHeight="1">
      <c r="A391" s="172" t="s">
        <v>468</v>
      </c>
      <c r="B391" s="176">
        <v>46036</v>
      </c>
      <c r="C391" s="172" t="s">
        <v>100</v>
      </c>
      <c r="D391" s="172" t="s">
        <v>101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1621</v>
      </c>
      <c r="J391" s="176">
        <v>46033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557.14</v>
      </c>
    </row>
    <row r="392" spans="1:16" ht="19.5" customHeight="1">
      <c r="A392" s="172" t="s">
        <v>468</v>
      </c>
      <c r="B392" s="176">
        <v>46036</v>
      </c>
      <c r="C392" s="172" t="s">
        <v>100</v>
      </c>
      <c r="D392" s="172" t="s">
        <v>102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1621</v>
      </c>
      <c r="J392" s="176">
        <v>46033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5.57</v>
      </c>
    </row>
    <row r="393" spans="1:16" ht="19.5" customHeight="1">
      <c r="A393" s="172" t="s">
        <v>468</v>
      </c>
      <c r="B393" s="176">
        <v>46036</v>
      </c>
      <c r="C393" s="172" t="s">
        <v>100</v>
      </c>
      <c r="D393" s="172" t="s">
        <v>103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1621</v>
      </c>
      <c r="J393" s="176">
        <v>46033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1058.29</v>
      </c>
    </row>
    <row r="394" spans="1:16" ht="19.5" customHeight="1">
      <c r="A394" s="172" t="s">
        <v>468</v>
      </c>
      <c r="B394" s="176">
        <v>46036</v>
      </c>
      <c r="C394" s="172" t="s">
        <v>104</v>
      </c>
      <c r="D394" s="172" t="s">
        <v>105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1621</v>
      </c>
      <c r="J394" s="176">
        <v>46033</v>
      </c>
      <c r="K394" s="172" t="s">
        <v>93</v>
      </c>
      <c r="L394" s="172" t="s">
        <v>94</v>
      </c>
      <c r="M394" s="179">
        <v>0.43</v>
      </c>
      <c r="N394" s="177"/>
      <c r="O394" s="177"/>
      <c r="P394" s="180">
        <v>-697.03</v>
      </c>
    </row>
    <row r="395" spans="1:16" ht="19.5" customHeight="1">
      <c r="A395" s="172" t="s">
        <v>468</v>
      </c>
      <c r="B395" s="176">
        <v>46036</v>
      </c>
      <c r="C395" s="172" t="s">
        <v>81</v>
      </c>
      <c r="D395" s="172" t="s">
        <v>95</v>
      </c>
      <c r="E395" s="172" t="s">
        <v>52</v>
      </c>
      <c r="F395" s="172" t="s">
        <v>90</v>
      </c>
      <c r="G395" s="172" t="s">
        <v>84</v>
      </c>
      <c r="H395" s="177">
        <v>1</v>
      </c>
      <c r="I395" s="178">
        <v>1621</v>
      </c>
      <c r="J395" s="176">
        <v>46033</v>
      </c>
      <c r="K395" s="172" t="s">
        <v>93</v>
      </c>
      <c r="L395" s="172" t="s">
        <v>94</v>
      </c>
      <c r="M395" s="179">
        <v>0.43</v>
      </c>
      <c r="N395" s="177"/>
      <c r="O395" s="177"/>
      <c r="P395" s="180">
        <v>-11.3</v>
      </c>
    </row>
    <row r="396" spans="1:16" ht="19.5" customHeight="1">
      <c r="A396" s="172" t="s">
        <v>469</v>
      </c>
      <c r="B396" s="176">
        <v>46036</v>
      </c>
      <c r="C396" s="172" t="s">
        <v>92</v>
      </c>
      <c r="D396" s="172" t="s">
        <v>24</v>
      </c>
      <c r="E396" s="172" t="s">
        <v>52</v>
      </c>
      <c r="F396" s="172" t="s">
        <v>90</v>
      </c>
      <c r="G396" s="172" t="s">
        <v>84</v>
      </c>
      <c r="H396" s="177">
        <v>1</v>
      </c>
      <c r="I396" s="178">
        <v>1621</v>
      </c>
      <c r="J396" s="176">
        <v>46032</v>
      </c>
      <c r="K396" s="172" t="s">
        <v>93</v>
      </c>
      <c r="L396" s="172" t="s">
        <v>94</v>
      </c>
      <c r="M396" s="179">
        <v>0.43</v>
      </c>
      <c r="N396" s="177"/>
      <c r="O396" s="177">
        <v>41</v>
      </c>
      <c r="P396" s="180">
        <v>-130.01</v>
      </c>
    </row>
    <row r="397" spans="1:16" ht="19.5" customHeight="1">
      <c r="A397" s="172" t="s">
        <v>469</v>
      </c>
      <c r="B397" s="176">
        <v>46036</v>
      </c>
      <c r="C397" s="172" t="s">
        <v>100</v>
      </c>
      <c r="D397" s="172" t="s">
        <v>101</v>
      </c>
      <c r="E397" s="172" t="s">
        <v>52</v>
      </c>
      <c r="F397" s="172" t="s">
        <v>90</v>
      </c>
      <c r="G397" s="172" t="s">
        <v>84</v>
      </c>
      <c r="H397" s="177">
        <v>1</v>
      </c>
      <c r="I397" s="178">
        <v>1621</v>
      </c>
      <c r="J397" s="176">
        <v>46032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557.14</v>
      </c>
    </row>
    <row r="398" spans="1:16" ht="19.5" customHeight="1">
      <c r="A398" s="172" t="s">
        <v>469</v>
      </c>
      <c r="B398" s="176">
        <v>46036</v>
      </c>
      <c r="C398" s="172" t="s">
        <v>100</v>
      </c>
      <c r="D398" s="172" t="s">
        <v>102</v>
      </c>
      <c r="E398" s="172" t="s">
        <v>52</v>
      </c>
      <c r="F398" s="172" t="s">
        <v>90</v>
      </c>
      <c r="G398" s="172" t="s">
        <v>84</v>
      </c>
      <c r="H398" s="177">
        <v>1</v>
      </c>
      <c r="I398" s="178">
        <v>1621</v>
      </c>
      <c r="J398" s="176">
        <v>46032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5.57</v>
      </c>
    </row>
    <row r="399" spans="1:16" ht="19.5" customHeight="1">
      <c r="A399" s="172" t="s">
        <v>469</v>
      </c>
      <c r="B399" s="176">
        <v>46036</v>
      </c>
      <c r="C399" s="172" t="s">
        <v>100</v>
      </c>
      <c r="D399" s="172" t="s">
        <v>103</v>
      </c>
      <c r="E399" s="172" t="s">
        <v>52</v>
      </c>
      <c r="F399" s="172" t="s">
        <v>90</v>
      </c>
      <c r="G399" s="172" t="s">
        <v>84</v>
      </c>
      <c r="H399" s="177">
        <v>1</v>
      </c>
      <c r="I399" s="178">
        <v>1621</v>
      </c>
      <c r="J399" s="176">
        <v>46032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1058.29</v>
      </c>
    </row>
    <row r="400" spans="1:16" ht="19.5" customHeight="1">
      <c r="A400" s="172" t="s">
        <v>469</v>
      </c>
      <c r="B400" s="176">
        <v>46036</v>
      </c>
      <c r="C400" s="172" t="s">
        <v>104</v>
      </c>
      <c r="D400" s="172" t="s">
        <v>105</v>
      </c>
      <c r="E400" s="172" t="s">
        <v>52</v>
      </c>
      <c r="F400" s="172" t="s">
        <v>90</v>
      </c>
      <c r="G400" s="172" t="s">
        <v>84</v>
      </c>
      <c r="H400" s="177">
        <v>1</v>
      </c>
      <c r="I400" s="178">
        <v>1621</v>
      </c>
      <c r="J400" s="176">
        <v>46032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-697.03</v>
      </c>
    </row>
    <row r="401" spans="1:16" ht="19.5" customHeight="1">
      <c r="A401" s="172" t="s">
        <v>469</v>
      </c>
      <c r="B401" s="176">
        <v>46036</v>
      </c>
      <c r="C401" s="172" t="s">
        <v>81</v>
      </c>
      <c r="D401" s="172" t="s">
        <v>95</v>
      </c>
      <c r="E401" s="172" t="s">
        <v>52</v>
      </c>
      <c r="F401" s="172" t="s">
        <v>90</v>
      </c>
      <c r="G401" s="172" t="s">
        <v>84</v>
      </c>
      <c r="H401" s="177">
        <v>1</v>
      </c>
      <c r="I401" s="178">
        <v>1621</v>
      </c>
      <c r="J401" s="176">
        <v>46032</v>
      </c>
      <c r="K401" s="172" t="s">
        <v>93</v>
      </c>
      <c r="L401" s="172" t="s">
        <v>94</v>
      </c>
      <c r="M401" s="179">
        <v>0.43</v>
      </c>
      <c r="N401" s="177"/>
      <c r="O401" s="177"/>
      <c r="P401" s="180">
        <v>-10.49</v>
      </c>
    </row>
    <row r="402" spans="1:16" ht="19.5" customHeight="1">
      <c r="A402" s="172" t="s">
        <v>470</v>
      </c>
      <c r="B402" s="176">
        <v>46036</v>
      </c>
      <c r="C402" s="172" t="s">
        <v>92</v>
      </c>
      <c r="D402" s="172" t="s">
        <v>272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46018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470</v>
      </c>
      <c r="B403" s="176">
        <v>46036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46018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470</v>
      </c>
      <c r="B404" s="176">
        <v>46036</v>
      </c>
      <c r="C404" s="172" t="s">
        <v>81</v>
      </c>
      <c r="D404" s="172" t="s">
        <v>98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46018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-15</v>
      </c>
    </row>
    <row r="405" spans="1:16" ht="19.5" customHeight="1">
      <c r="A405" s="172" t="s">
        <v>471</v>
      </c>
      <c r="B405" s="176">
        <v>46036</v>
      </c>
      <c r="C405" s="172" t="s">
        <v>81</v>
      </c>
      <c r="D405" s="172" t="s">
        <v>82</v>
      </c>
      <c r="E405" s="172" t="s">
        <v>52</v>
      </c>
      <c r="F405" s="172" t="s">
        <v>90</v>
      </c>
      <c r="G405" s="172" t="s">
        <v>84</v>
      </c>
      <c r="H405" s="177">
        <v>1</v>
      </c>
      <c r="I405" s="178">
        <v>0</v>
      </c>
      <c r="J405" s="176">
        <v>46036</v>
      </c>
      <c r="K405" s="172" t="s">
        <v>85</v>
      </c>
      <c r="L405" s="172" t="s">
        <v>85</v>
      </c>
      <c r="M405" s="179">
        <v>0</v>
      </c>
      <c r="N405" s="177"/>
      <c r="O405" s="177"/>
      <c r="P405" s="180">
        <v>-13.43</v>
      </c>
    </row>
    <row r="406" spans="1:16" ht="19.5" customHeight="1">
      <c r="A406" s="172" t="s">
        <v>472</v>
      </c>
      <c r="B406" s="176">
        <v>46036</v>
      </c>
      <c r="C406" s="172" t="s">
        <v>92</v>
      </c>
      <c r="D406" s="172" t="s">
        <v>24</v>
      </c>
      <c r="E406" s="172" t="s">
        <v>52</v>
      </c>
      <c r="F406" s="172" t="s">
        <v>90</v>
      </c>
      <c r="G406" s="172" t="s">
        <v>84</v>
      </c>
      <c r="H406" s="177">
        <v>1</v>
      </c>
      <c r="I406" s="178">
        <v>1621</v>
      </c>
      <c r="J406" s="176">
        <v>46034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-134.12</v>
      </c>
    </row>
    <row r="407" spans="1:16" ht="19.5" customHeight="1">
      <c r="A407" s="172" t="s">
        <v>472</v>
      </c>
      <c r="B407" s="176">
        <v>46036</v>
      </c>
      <c r="C407" s="172" t="s">
        <v>100</v>
      </c>
      <c r="D407" s="172" t="s">
        <v>101</v>
      </c>
      <c r="E407" s="172" t="s">
        <v>52</v>
      </c>
      <c r="F407" s="172" t="s">
        <v>90</v>
      </c>
      <c r="G407" s="172" t="s">
        <v>84</v>
      </c>
      <c r="H407" s="177">
        <v>1</v>
      </c>
      <c r="I407" s="178">
        <v>1621</v>
      </c>
      <c r="J407" s="176">
        <v>46034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556.08000000000004</v>
      </c>
    </row>
    <row r="408" spans="1:16" ht="19.5" customHeight="1">
      <c r="A408" s="172" t="s">
        <v>472</v>
      </c>
      <c r="B408" s="176">
        <v>46036</v>
      </c>
      <c r="C408" s="172" t="s">
        <v>100</v>
      </c>
      <c r="D408" s="172" t="s">
        <v>102</v>
      </c>
      <c r="E408" s="172" t="s">
        <v>52</v>
      </c>
      <c r="F408" s="172" t="s">
        <v>90</v>
      </c>
      <c r="G408" s="172" t="s">
        <v>84</v>
      </c>
      <c r="H408" s="177">
        <v>1</v>
      </c>
      <c r="I408" s="178">
        <v>1621</v>
      </c>
      <c r="J408" s="176">
        <v>46034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5.56</v>
      </c>
    </row>
    <row r="409" spans="1:16" ht="19.5" customHeight="1">
      <c r="A409" s="172" t="s">
        <v>472</v>
      </c>
      <c r="B409" s="176">
        <v>46036</v>
      </c>
      <c r="C409" s="172" t="s">
        <v>100</v>
      </c>
      <c r="D409" s="172" t="s">
        <v>103</v>
      </c>
      <c r="E409" s="172" t="s">
        <v>52</v>
      </c>
      <c r="F409" s="172" t="s">
        <v>90</v>
      </c>
      <c r="G409" s="172" t="s">
        <v>84</v>
      </c>
      <c r="H409" s="177">
        <v>1</v>
      </c>
      <c r="I409" s="178">
        <v>1621</v>
      </c>
      <c r="J409" s="176">
        <v>46034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1059.3599999999999</v>
      </c>
    </row>
    <row r="410" spans="1:16" ht="19.5" customHeight="1">
      <c r="A410" s="172" t="s">
        <v>472</v>
      </c>
      <c r="B410" s="176">
        <v>46036</v>
      </c>
      <c r="C410" s="172" t="s">
        <v>104</v>
      </c>
      <c r="D410" s="172" t="s">
        <v>105</v>
      </c>
      <c r="E410" s="172" t="s">
        <v>52</v>
      </c>
      <c r="F410" s="172" t="s">
        <v>90</v>
      </c>
      <c r="G410" s="172" t="s">
        <v>84</v>
      </c>
      <c r="H410" s="177">
        <v>1</v>
      </c>
      <c r="I410" s="178">
        <v>1621</v>
      </c>
      <c r="J410" s="176">
        <v>46034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-697.03</v>
      </c>
    </row>
    <row r="411" spans="1:16" ht="19.5" customHeight="1">
      <c r="A411" s="172" t="s">
        <v>472</v>
      </c>
      <c r="B411" s="176">
        <v>46036</v>
      </c>
      <c r="C411" s="172" t="s">
        <v>81</v>
      </c>
      <c r="D411" s="172" t="s">
        <v>95</v>
      </c>
      <c r="E411" s="172" t="s">
        <v>52</v>
      </c>
      <c r="F411" s="172" t="s">
        <v>90</v>
      </c>
      <c r="G411" s="172" t="s">
        <v>84</v>
      </c>
      <c r="H411" s="177">
        <v>1</v>
      </c>
      <c r="I411" s="178">
        <v>1621</v>
      </c>
      <c r="J411" s="176">
        <v>46034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-11.12</v>
      </c>
    </row>
    <row r="412" spans="1:16" ht="19.5" customHeight="1">
      <c r="A412" s="172" t="s">
        <v>473</v>
      </c>
      <c r="B412" s="176">
        <v>46036</v>
      </c>
      <c r="C412" s="172" t="s">
        <v>92</v>
      </c>
      <c r="D412" s="172" t="s">
        <v>24</v>
      </c>
      <c r="E412" s="172" t="s">
        <v>41</v>
      </c>
      <c r="F412" s="172" t="s">
        <v>83</v>
      </c>
      <c r="G412" s="172" t="s">
        <v>84</v>
      </c>
      <c r="H412" s="177">
        <v>1</v>
      </c>
      <c r="I412" s="178">
        <v>1750</v>
      </c>
      <c r="J412" s="176">
        <v>46035</v>
      </c>
      <c r="K412" s="172" t="s">
        <v>93</v>
      </c>
      <c r="L412" s="172" t="s">
        <v>94</v>
      </c>
      <c r="M412" s="179">
        <v>0.43</v>
      </c>
      <c r="N412" s="177"/>
      <c r="O412" s="177">
        <v>45</v>
      </c>
      <c r="P412" s="180">
        <v>-135.38999999999999</v>
      </c>
    </row>
    <row r="413" spans="1:16" ht="19.5" customHeight="1">
      <c r="A413" s="172" t="s">
        <v>473</v>
      </c>
      <c r="B413" s="176">
        <v>46036</v>
      </c>
      <c r="C413" s="172" t="s">
        <v>100</v>
      </c>
      <c r="D413" s="172" t="s">
        <v>101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1750</v>
      </c>
      <c r="J413" s="176">
        <v>46035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609.52</v>
      </c>
    </row>
    <row r="414" spans="1:16" ht="19.5" customHeight="1">
      <c r="A414" s="172" t="s">
        <v>473</v>
      </c>
      <c r="B414" s="176">
        <v>46036</v>
      </c>
      <c r="C414" s="172" t="s">
        <v>100</v>
      </c>
      <c r="D414" s="172" t="s">
        <v>102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1750</v>
      </c>
      <c r="J414" s="176">
        <v>46035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6.1</v>
      </c>
    </row>
    <row r="415" spans="1:16" ht="19.5" customHeight="1">
      <c r="A415" s="172" t="s">
        <v>473</v>
      </c>
      <c r="B415" s="176">
        <v>46036</v>
      </c>
      <c r="C415" s="172" t="s">
        <v>100</v>
      </c>
      <c r="D415" s="172" t="s">
        <v>103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1750</v>
      </c>
      <c r="J415" s="176">
        <v>46035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1134.3800000000001</v>
      </c>
    </row>
    <row r="416" spans="1:16" ht="19.5" customHeight="1">
      <c r="A416" s="172" t="s">
        <v>473</v>
      </c>
      <c r="B416" s="176">
        <v>46036</v>
      </c>
      <c r="C416" s="172" t="s">
        <v>104</v>
      </c>
      <c r="D416" s="172" t="s">
        <v>105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1750</v>
      </c>
      <c r="J416" s="176">
        <v>46035</v>
      </c>
      <c r="K416" s="172" t="s">
        <v>93</v>
      </c>
      <c r="L416" s="172" t="s">
        <v>94</v>
      </c>
      <c r="M416" s="179">
        <v>0.43</v>
      </c>
      <c r="N416" s="177"/>
      <c r="O416" s="177"/>
      <c r="P416" s="180">
        <v>-752.5</v>
      </c>
    </row>
    <row r="417" spans="1:16" ht="19.5" customHeight="1">
      <c r="A417" s="172" t="s">
        <v>473</v>
      </c>
      <c r="B417" s="176">
        <v>46036</v>
      </c>
      <c r="C417" s="172" t="s">
        <v>81</v>
      </c>
      <c r="D417" s="172" t="s">
        <v>95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1750</v>
      </c>
      <c r="J417" s="176">
        <v>46035</v>
      </c>
      <c r="K417" s="172" t="s">
        <v>93</v>
      </c>
      <c r="L417" s="172" t="s">
        <v>94</v>
      </c>
      <c r="M417" s="179">
        <v>0.43</v>
      </c>
      <c r="N417" s="177"/>
      <c r="O417" s="177"/>
      <c r="P417" s="180">
        <v>-10.75</v>
      </c>
    </row>
    <row r="418" spans="1:16" ht="19.5" customHeight="1">
      <c r="A418" s="172" t="s">
        <v>472</v>
      </c>
      <c r="B418" s="176">
        <v>46036</v>
      </c>
      <c r="C418" s="172" t="s">
        <v>81</v>
      </c>
      <c r="D418" s="172" t="s">
        <v>82</v>
      </c>
      <c r="E418" s="172" t="s">
        <v>52</v>
      </c>
      <c r="F418" s="172" t="s">
        <v>90</v>
      </c>
      <c r="G418" s="172" t="s">
        <v>84</v>
      </c>
      <c r="H418" s="177">
        <v>1</v>
      </c>
      <c r="I418" s="178">
        <v>0</v>
      </c>
      <c r="J418" s="176">
        <v>46034</v>
      </c>
      <c r="K418" s="172" t="s">
        <v>85</v>
      </c>
      <c r="L418" s="172" t="s">
        <v>85</v>
      </c>
      <c r="M418" s="179">
        <v>0</v>
      </c>
      <c r="N418" s="177"/>
      <c r="O418" s="177"/>
      <c r="P418" s="180">
        <v>-10.57</v>
      </c>
    </row>
    <row r="419" spans="1:16" ht="19.5" customHeight="1">
      <c r="A419" s="172" t="s">
        <v>473</v>
      </c>
      <c r="B419" s="176">
        <v>46036</v>
      </c>
      <c r="C419" s="172" t="s">
        <v>81</v>
      </c>
      <c r="D419" s="172" t="s">
        <v>82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0</v>
      </c>
      <c r="J419" s="176">
        <v>46035</v>
      </c>
      <c r="K419" s="172" t="s">
        <v>85</v>
      </c>
      <c r="L419" s="172" t="s">
        <v>85</v>
      </c>
      <c r="M419" s="179">
        <v>0</v>
      </c>
      <c r="N419" s="177"/>
      <c r="O419" s="177"/>
      <c r="P419" s="180">
        <v>-11.58</v>
      </c>
    </row>
    <row r="420" spans="1:16" ht="19.5" customHeight="1">
      <c r="A420" s="172" t="s">
        <v>474</v>
      </c>
      <c r="B420" s="176">
        <v>46036</v>
      </c>
      <c r="C420" s="172" t="s">
        <v>92</v>
      </c>
      <c r="D420" s="172" t="s">
        <v>24</v>
      </c>
      <c r="E420" s="172" t="s">
        <v>52</v>
      </c>
      <c r="F420" s="172" t="s">
        <v>90</v>
      </c>
      <c r="G420" s="172" t="s">
        <v>84</v>
      </c>
      <c r="H420" s="177">
        <v>1</v>
      </c>
      <c r="I420" s="178">
        <v>0</v>
      </c>
      <c r="J420" s="176">
        <v>46021</v>
      </c>
      <c r="K420" s="172" t="s">
        <v>93</v>
      </c>
      <c r="L420" s="172" t="s">
        <v>94</v>
      </c>
      <c r="M420" s="179">
        <v>0</v>
      </c>
      <c r="N420" s="177"/>
      <c r="O420" s="177">
        <v>40</v>
      </c>
      <c r="P420" s="180">
        <v>-56</v>
      </c>
    </row>
    <row r="421" spans="1:16" ht="19.5" customHeight="1">
      <c r="A421" s="172" t="s">
        <v>474</v>
      </c>
      <c r="B421" s="176">
        <v>46036</v>
      </c>
      <c r="C421" s="172" t="s">
        <v>81</v>
      </c>
      <c r="D421" s="172" t="s">
        <v>95</v>
      </c>
      <c r="E421" s="172" t="s">
        <v>52</v>
      </c>
      <c r="F421" s="172" t="s">
        <v>90</v>
      </c>
      <c r="G421" s="172" t="s">
        <v>84</v>
      </c>
      <c r="H421" s="177">
        <v>1</v>
      </c>
      <c r="I421" s="178">
        <v>0</v>
      </c>
      <c r="J421" s="176">
        <v>46021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-9.91</v>
      </c>
    </row>
    <row r="422" spans="1:16" ht="19.5" customHeight="1">
      <c r="A422" s="172" t="s">
        <v>474</v>
      </c>
      <c r="B422" s="176">
        <v>46036</v>
      </c>
      <c r="C422" s="172" t="s">
        <v>92</v>
      </c>
      <c r="D422" s="172" t="s">
        <v>96</v>
      </c>
      <c r="E422" s="172" t="s">
        <v>52</v>
      </c>
      <c r="F422" s="172" t="s">
        <v>90</v>
      </c>
      <c r="G422" s="172" t="s">
        <v>84</v>
      </c>
      <c r="H422" s="177">
        <v>1</v>
      </c>
      <c r="I422" s="178">
        <v>0</v>
      </c>
      <c r="J422" s="176">
        <v>46021</v>
      </c>
      <c r="K422" s="172" t="s">
        <v>93</v>
      </c>
      <c r="L422" s="172" t="s">
        <v>94</v>
      </c>
      <c r="M422" s="179">
        <v>0</v>
      </c>
      <c r="N422" s="177"/>
      <c r="O422" s="177"/>
      <c r="P422" s="180">
        <v>0</v>
      </c>
    </row>
    <row r="423" spans="1:16" ht="19.5" customHeight="1">
      <c r="A423" s="172" t="s">
        <v>474</v>
      </c>
      <c r="B423" s="176">
        <v>46036</v>
      </c>
      <c r="C423" s="172" t="s">
        <v>92</v>
      </c>
      <c r="D423" s="172" t="s">
        <v>97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0</v>
      </c>
      <c r="J423" s="176">
        <v>46021</v>
      </c>
      <c r="K423" s="172" t="s">
        <v>93</v>
      </c>
      <c r="L423" s="172" t="s">
        <v>94</v>
      </c>
      <c r="M423" s="179">
        <v>0</v>
      </c>
      <c r="N423" s="177"/>
      <c r="O423" s="177"/>
      <c r="P423" s="180">
        <v>-56</v>
      </c>
    </row>
    <row r="424" spans="1:16" ht="19.5" customHeight="1">
      <c r="A424" s="172" t="s">
        <v>474</v>
      </c>
      <c r="B424" s="176">
        <v>46036</v>
      </c>
      <c r="C424" s="172" t="s">
        <v>81</v>
      </c>
      <c r="D424" s="172" t="s">
        <v>98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0</v>
      </c>
      <c r="J424" s="176">
        <v>46021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-15</v>
      </c>
    </row>
    <row r="425" spans="1:16" ht="19.5" customHeight="1">
      <c r="A425" s="172" t="s">
        <v>475</v>
      </c>
      <c r="B425" s="176">
        <v>46036</v>
      </c>
      <c r="C425" s="172" t="s">
        <v>81</v>
      </c>
      <c r="D425" s="172" t="s">
        <v>82</v>
      </c>
      <c r="E425" s="172" t="s">
        <v>53</v>
      </c>
      <c r="F425" s="172" t="s">
        <v>120</v>
      </c>
      <c r="G425" s="172" t="s">
        <v>84</v>
      </c>
      <c r="H425" s="177">
        <v>1</v>
      </c>
      <c r="I425" s="178">
        <v>0</v>
      </c>
      <c r="J425" s="176">
        <v>46036</v>
      </c>
      <c r="K425" s="172" t="s">
        <v>85</v>
      </c>
      <c r="L425" s="172" t="s">
        <v>85</v>
      </c>
      <c r="M425" s="179">
        <v>0</v>
      </c>
      <c r="N425" s="177"/>
      <c r="O425" s="177"/>
      <c r="P425" s="180">
        <v>-4.72</v>
      </c>
    </row>
    <row r="426" spans="1:16" ht="19.5" customHeight="1">
      <c r="A426" s="172" t="s">
        <v>476</v>
      </c>
      <c r="B426" s="176">
        <v>46036</v>
      </c>
      <c r="C426" s="172" t="s">
        <v>92</v>
      </c>
      <c r="D426" s="172" t="s">
        <v>24</v>
      </c>
      <c r="E426" s="172" t="s">
        <v>53</v>
      </c>
      <c r="F426" s="172" t="s">
        <v>120</v>
      </c>
      <c r="G426" s="172" t="s">
        <v>84</v>
      </c>
      <c r="H426" s="177">
        <v>1</v>
      </c>
      <c r="I426" s="178">
        <v>1845</v>
      </c>
      <c r="J426" s="176">
        <v>46032</v>
      </c>
      <c r="K426" s="172" t="s">
        <v>93</v>
      </c>
      <c r="L426" s="172" t="s">
        <v>94</v>
      </c>
      <c r="M426" s="179">
        <v>0.43</v>
      </c>
      <c r="N426" s="177"/>
      <c r="O426" s="177">
        <v>41</v>
      </c>
      <c r="P426" s="180">
        <v>-136.06</v>
      </c>
    </row>
    <row r="427" spans="1:16" ht="19.5" customHeight="1">
      <c r="A427" s="172" t="s">
        <v>476</v>
      </c>
      <c r="B427" s="176">
        <v>46036</v>
      </c>
      <c r="C427" s="172" t="s">
        <v>100</v>
      </c>
      <c r="D427" s="172" t="s">
        <v>101</v>
      </c>
      <c r="E427" s="172" t="s">
        <v>53</v>
      </c>
      <c r="F427" s="172" t="s">
        <v>120</v>
      </c>
      <c r="G427" s="172" t="s">
        <v>84</v>
      </c>
      <c r="H427" s="177">
        <v>1</v>
      </c>
      <c r="I427" s="178">
        <v>1845</v>
      </c>
      <c r="J427" s="176">
        <v>46032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642.25</v>
      </c>
    </row>
    <row r="428" spans="1:16" ht="19.5" customHeight="1">
      <c r="A428" s="172" t="s">
        <v>476</v>
      </c>
      <c r="B428" s="176">
        <v>46036</v>
      </c>
      <c r="C428" s="172" t="s">
        <v>100</v>
      </c>
      <c r="D428" s="172" t="s">
        <v>102</v>
      </c>
      <c r="E428" s="172" t="s">
        <v>53</v>
      </c>
      <c r="F428" s="172" t="s">
        <v>120</v>
      </c>
      <c r="G428" s="172" t="s">
        <v>84</v>
      </c>
      <c r="H428" s="177">
        <v>1</v>
      </c>
      <c r="I428" s="178">
        <v>1845</v>
      </c>
      <c r="J428" s="176">
        <v>46032</v>
      </c>
      <c r="K428" s="172" t="s">
        <v>93</v>
      </c>
      <c r="L428" s="172" t="s">
        <v>94</v>
      </c>
      <c r="M428" s="179">
        <v>0</v>
      </c>
      <c r="N428" s="177"/>
      <c r="O428" s="177"/>
      <c r="P428" s="180">
        <v>6.42</v>
      </c>
    </row>
    <row r="429" spans="1:16" ht="19.5" customHeight="1">
      <c r="A429" s="172" t="s">
        <v>476</v>
      </c>
      <c r="B429" s="176">
        <v>46036</v>
      </c>
      <c r="C429" s="172" t="s">
        <v>100</v>
      </c>
      <c r="D429" s="172" t="s">
        <v>103</v>
      </c>
      <c r="E429" s="172" t="s">
        <v>53</v>
      </c>
      <c r="F429" s="172" t="s">
        <v>120</v>
      </c>
      <c r="G429" s="172" t="s">
        <v>84</v>
      </c>
      <c r="H429" s="177">
        <v>1</v>
      </c>
      <c r="I429" s="178">
        <v>1845</v>
      </c>
      <c r="J429" s="176">
        <v>46032</v>
      </c>
      <c r="K429" s="172" t="s">
        <v>93</v>
      </c>
      <c r="L429" s="172" t="s">
        <v>94</v>
      </c>
      <c r="M429" s="179">
        <v>0</v>
      </c>
      <c r="N429" s="177"/>
      <c r="O429" s="177"/>
      <c r="P429" s="180">
        <v>1196.33</v>
      </c>
    </row>
    <row r="430" spans="1:16" ht="19.5" customHeight="1">
      <c r="A430" s="172" t="s">
        <v>476</v>
      </c>
      <c r="B430" s="176">
        <v>46036</v>
      </c>
      <c r="C430" s="172" t="s">
        <v>104</v>
      </c>
      <c r="D430" s="172" t="s">
        <v>105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46032</v>
      </c>
      <c r="K430" s="172" t="s">
        <v>93</v>
      </c>
      <c r="L430" s="172" t="s">
        <v>94</v>
      </c>
      <c r="M430" s="179">
        <v>0.43</v>
      </c>
      <c r="N430" s="177"/>
      <c r="O430" s="177"/>
      <c r="P430" s="180">
        <v>-793.35</v>
      </c>
    </row>
    <row r="431" spans="1:16" ht="19.5" customHeight="1">
      <c r="A431" s="172" t="s">
        <v>476</v>
      </c>
      <c r="B431" s="176">
        <v>46036</v>
      </c>
      <c r="C431" s="172" t="s">
        <v>81</v>
      </c>
      <c r="D431" s="172" t="s">
        <v>95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46032</v>
      </c>
      <c r="K431" s="172" t="s">
        <v>93</v>
      </c>
      <c r="L431" s="172" t="s">
        <v>94</v>
      </c>
      <c r="M431" s="179">
        <v>0.43</v>
      </c>
      <c r="N431" s="177"/>
      <c r="O431" s="177"/>
      <c r="P431" s="180">
        <v>-12.75</v>
      </c>
    </row>
    <row r="432" spans="1:16" ht="19.5" customHeight="1">
      <c r="A432" s="172" t="s">
        <v>477</v>
      </c>
      <c r="B432" s="176">
        <v>46036</v>
      </c>
      <c r="C432" s="172" t="s">
        <v>166</v>
      </c>
      <c r="D432" s="172" t="s">
        <v>167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-1600</v>
      </c>
      <c r="J432" s="176">
        <v>46028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-341.3</v>
      </c>
    </row>
    <row r="433" spans="1:16" ht="19.5" customHeight="1">
      <c r="A433" s="172" t="s">
        <v>477</v>
      </c>
      <c r="B433" s="176">
        <v>46036</v>
      </c>
      <c r="C433" s="172" t="s">
        <v>166</v>
      </c>
      <c r="D433" s="172" t="s">
        <v>102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-1600</v>
      </c>
      <c r="J433" s="176">
        <v>46028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-3.41</v>
      </c>
    </row>
    <row r="434" spans="1:16" ht="19.5" customHeight="1">
      <c r="A434" s="172" t="s">
        <v>477</v>
      </c>
      <c r="B434" s="176">
        <v>46036</v>
      </c>
      <c r="C434" s="172" t="s">
        <v>166</v>
      </c>
      <c r="D434" s="172" t="s">
        <v>103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-1600</v>
      </c>
      <c r="J434" s="176">
        <v>46028</v>
      </c>
      <c r="K434" s="172" t="s">
        <v>93</v>
      </c>
      <c r="L434" s="172" t="s">
        <v>94</v>
      </c>
      <c r="M434" s="179">
        <v>0</v>
      </c>
      <c r="N434" s="177"/>
      <c r="O434" s="177"/>
      <c r="P434" s="180">
        <v>-1255.29</v>
      </c>
    </row>
    <row r="435" spans="1:16" ht="19.5" customHeight="1">
      <c r="A435" s="172" t="s">
        <v>477</v>
      </c>
      <c r="B435" s="176">
        <v>46036</v>
      </c>
      <c r="C435" s="172" t="s">
        <v>104</v>
      </c>
      <c r="D435" s="172" t="s">
        <v>168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-1600</v>
      </c>
      <c r="J435" s="176">
        <v>46028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688</v>
      </c>
    </row>
    <row r="436" spans="1:16" ht="19.5" customHeight="1">
      <c r="A436" s="172" t="s">
        <v>478</v>
      </c>
      <c r="B436" s="176">
        <v>46036</v>
      </c>
      <c r="C436" s="172" t="s">
        <v>92</v>
      </c>
      <c r="D436" s="172" t="s">
        <v>24</v>
      </c>
      <c r="E436" s="172" t="s">
        <v>52</v>
      </c>
      <c r="F436" s="172" t="s">
        <v>90</v>
      </c>
      <c r="G436" s="172" t="s">
        <v>84</v>
      </c>
      <c r="H436" s="177">
        <v>1</v>
      </c>
      <c r="I436" s="178">
        <v>1621</v>
      </c>
      <c r="J436" s="176">
        <v>46034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-134.12</v>
      </c>
    </row>
    <row r="437" spans="1:16" ht="19.5" customHeight="1">
      <c r="A437" s="172" t="s">
        <v>478</v>
      </c>
      <c r="B437" s="176">
        <v>46036</v>
      </c>
      <c r="C437" s="172" t="s">
        <v>100</v>
      </c>
      <c r="D437" s="172" t="s">
        <v>101</v>
      </c>
      <c r="E437" s="172" t="s">
        <v>52</v>
      </c>
      <c r="F437" s="172" t="s">
        <v>90</v>
      </c>
      <c r="G437" s="172" t="s">
        <v>84</v>
      </c>
      <c r="H437" s="177">
        <v>1</v>
      </c>
      <c r="I437" s="178">
        <v>1621</v>
      </c>
      <c r="J437" s="176">
        <v>46034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617.14</v>
      </c>
    </row>
    <row r="438" spans="1:16" ht="19.5" customHeight="1">
      <c r="A438" s="172" t="s">
        <v>478</v>
      </c>
      <c r="B438" s="176">
        <v>46036</v>
      </c>
      <c r="C438" s="172" t="s">
        <v>100</v>
      </c>
      <c r="D438" s="172" t="s">
        <v>102</v>
      </c>
      <c r="E438" s="172" t="s">
        <v>52</v>
      </c>
      <c r="F438" s="172" t="s">
        <v>90</v>
      </c>
      <c r="G438" s="172" t="s">
        <v>84</v>
      </c>
      <c r="H438" s="177">
        <v>1</v>
      </c>
      <c r="I438" s="178">
        <v>1621</v>
      </c>
      <c r="J438" s="176">
        <v>46034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0</v>
      </c>
    </row>
    <row r="439" spans="1:16" ht="19.5" customHeight="1">
      <c r="A439" s="172" t="s">
        <v>478</v>
      </c>
      <c r="B439" s="176">
        <v>46036</v>
      </c>
      <c r="C439" s="172" t="s">
        <v>100</v>
      </c>
      <c r="D439" s="172" t="s">
        <v>103</v>
      </c>
      <c r="E439" s="172" t="s">
        <v>52</v>
      </c>
      <c r="F439" s="172" t="s">
        <v>90</v>
      </c>
      <c r="G439" s="172" t="s">
        <v>84</v>
      </c>
      <c r="H439" s="177">
        <v>1</v>
      </c>
      <c r="I439" s="178">
        <v>1621</v>
      </c>
      <c r="J439" s="176">
        <v>46034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1003.86</v>
      </c>
    </row>
    <row r="440" spans="1:16" ht="19.5" customHeight="1">
      <c r="A440" s="172" t="s">
        <v>478</v>
      </c>
      <c r="B440" s="176">
        <v>46036</v>
      </c>
      <c r="C440" s="172" t="s">
        <v>104</v>
      </c>
      <c r="D440" s="172" t="s">
        <v>105</v>
      </c>
      <c r="E440" s="172" t="s">
        <v>52</v>
      </c>
      <c r="F440" s="172" t="s">
        <v>90</v>
      </c>
      <c r="G440" s="172" t="s">
        <v>84</v>
      </c>
      <c r="H440" s="177">
        <v>1</v>
      </c>
      <c r="I440" s="178">
        <v>1621</v>
      </c>
      <c r="J440" s="176">
        <v>46034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-697.03</v>
      </c>
    </row>
    <row r="441" spans="1:16" ht="19.5" customHeight="1">
      <c r="A441" s="172" t="s">
        <v>478</v>
      </c>
      <c r="B441" s="176">
        <v>46036</v>
      </c>
      <c r="C441" s="172" t="s">
        <v>81</v>
      </c>
      <c r="D441" s="172" t="s">
        <v>95</v>
      </c>
      <c r="E441" s="172" t="s">
        <v>52</v>
      </c>
      <c r="F441" s="172" t="s">
        <v>90</v>
      </c>
      <c r="G441" s="172" t="s">
        <v>84</v>
      </c>
      <c r="H441" s="177">
        <v>1</v>
      </c>
      <c r="I441" s="178">
        <v>1621</v>
      </c>
      <c r="J441" s="176">
        <v>46034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-7.63</v>
      </c>
    </row>
    <row r="442" spans="1:16" ht="19.5" customHeight="1">
      <c r="A442" s="172" t="s">
        <v>479</v>
      </c>
      <c r="B442" s="176">
        <v>46036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46028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6.48</v>
      </c>
    </row>
    <row r="443" spans="1:16" ht="19.5" customHeight="1">
      <c r="A443" s="172" t="s">
        <v>480</v>
      </c>
      <c r="B443" s="176">
        <v>46036</v>
      </c>
      <c r="C443" s="172" t="s">
        <v>92</v>
      </c>
      <c r="D443" s="172" t="s">
        <v>272</v>
      </c>
      <c r="E443" s="172" t="s">
        <v>41</v>
      </c>
      <c r="F443" s="172" t="s">
        <v>83</v>
      </c>
      <c r="G443" s="172" t="s">
        <v>84</v>
      </c>
      <c r="H443" s="177">
        <v>1</v>
      </c>
      <c r="I443" s="178">
        <v>0</v>
      </c>
      <c r="J443" s="176">
        <v>46027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0</v>
      </c>
    </row>
    <row r="444" spans="1:16" ht="19.5" customHeight="1">
      <c r="A444" s="172" t="s">
        <v>480</v>
      </c>
      <c r="B444" s="176">
        <v>46036</v>
      </c>
      <c r="C444" s="172" t="s">
        <v>92</v>
      </c>
      <c r="D444" s="172" t="s">
        <v>97</v>
      </c>
      <c r="E444" s="172" t="s">
        <v>41</v>
      </c>
      <c r="F444" s="172" t="s">
        <v>83</v>
      </c>
      <c r="G444" s="172" t="s">
        <v>84</v>
      </c>
      <c r="H444" s="177">
        <v>1</v>
      </c>
      <c r="I444" s="178">
        <v>0</v>
      </c>
      <c r="J444" s="176">
        <v>46027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-46</v>
      </c>
    </row>
    <row r="445" spans="1:16" ht="19.5" customHeight="1">
      <c r="A445" s="172" t="s">
        <v>480</v>
      </c>
      <c r="B445" s="176">
        <v>46036</v>
      </c>
      <c r="C445" s="172" t="s">
        <v>81</v>
      </c>
      <c r="D445" s="172" t="s">
        <v>98</v>
      </c>
      <c r="E445" s="172" t="s">
        <v>41</v>
      </c>
      <c r="F445" s="172" t="s">
        <v>83</v>
      </c>
      <c r="G445" s="172" t="s">
        <v>84</v>
      </c>
      <c r="H445" s="177">
        <v>1</v>
      </c>
      <c r="I445" s="178">
        <v>0</v>
      </c>
      <c r="J445" s="176">
        <v>46027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-15</v>
      </c>
    </row>
    <row r="446" spans="1:16" ht="19.5" customHeight="1">
      <c r="A446" s="172" t="s">
        <v>481</v>
      </c>
      <c r="B446" s="176">
        <v>46036</v>
      </c>
      <c r="C446" s="172" t="s">
        <v>92</v>
      </c>
      <c r="D446" s="172" t="s">
        <v>24</v>
      </c>
      <c r="E446" s="172" t="s">
        <v>42</v>
      </c>
      <c r="F446" s="172" t="s">
        <v>89</v>
      </c>
      <c r="G446" s="172" t="s">
        <v>84</v>
      </c>
      <c r="H446" s="177">
        <v>1</v>
      </c>
      <c r="I446" s="178">
        <v>1750</v>
      </c>
      <c r="J446" s="176">
        <v>46035</v>
      </c>
      <c r="K446" s="172" t="s">
        <v>93</v>
      </c>
      <c r="L446" s="172" t="s">
        <v>94</v>
      </c>
      <c r="M446" s="179">
        <v>0.43</v>
      </c>
      <c r="N446" s="177"/>
      <c r="O446" s="177">
        <v>45</v>
      </c>
      <c r="P446" s="180">
        <v>-135.38999999999999</v>
      </c>
    </row>
    <row r="447" spans="1:16" ht="19.5" customHeight="1">
      <c r="A447" s="172" t="s">
        <v>481</v>
      </c>
      <c r="B447" s="176">
        <v>46036</v>
      </c>
      <c r="C447" s="172" t="s">
        <v>100</v>
      </c>
      <c r="D447" s="172" t="s">
        <v>101</v>
      </c>
      <c r="E447" s="172" t="s">
        <v>42</v>
      </c>
      <c r="F447" s="172" t="s">
        <v>89</v>
      </c>
      <c r="G447" s="172" t="s">
        <v>84</v>
      </c>
      <c r="H447" s="177">
        <v>1</v>
      </c>
      <c r="I447" s="178">
        <v>1750</v>
      </c>
      <c r="J447" s="176">
        <v>46035</v>
      </c>
      <c r="K447" s="172" t="s">
        <v>93</v>
      </c>
      <c r="L447" s="172" t="s">
        <v>94</v>
      </c>
      <c r="M447" s="179">
        <v>0</v>
      </c>
      <c r="N447" s="177"/>
      <c r="O447" s="177"/>
      <c r="P447" s="180">
        <v>605.49</v>
      </c>
    </row>
    <row r="448" spans="1:16" ht="19.5" customHeight="1">
      <c r="A448" s="172" t="s">
        <v>481</v>
      </c>
      <c r="B448" s="176">
        <v>46036</v>
      </c>
      <c r="C448" s="172" t="s">
        <v>100</v>
      </c>
      <c r="D448" s="172" t="s">
        <v>102</v>
      </c>
      <c r="E448" s="172" t="s">
        <v>42</v>
      </c>
      <c r="F448" s="172" t="s">
        <v>89</v>
      </c>
      <c r="G448" s="172" t="s">
        <v>84</v>
      </c>
      <c r="H448" s="177">
        <v>1</v>
      </c>
      <c r="I448" s="178">
        <v>1750</v>
      </c>
      <c r="J448" s="176">
        <v>46035</v>
      </c>
      <c r="K448" s="172" t="s">
        <v>93</v>
      </c>
      <c r="L448" s="172" t="s">
        <v>94</v>
      </c>
      <c r="M448" s="179">
        <v>0</v>
      </c>
      <c r="N448" s="177"/>
      <c r="O448" s="177"/>
      <c r="P448" s="180">
        <v>6.05</v>
      </c>
    </row>
    <row r="449" spans="1:16" ht="19.5" customHeight="1">
      <c r="A449" s="172" t="s">
        <v>481</v>
      </c>
      <c r="B449" s="176">
        <v>46036</v>
      </c>
      <c r="C449" s="172" t="s">
        <v>100</v>
      </c>
      <c r="D449" s="172" t="s">
        <v>103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1750</v>
      </c>
      <c r="J449" s="176">
        <v>46035</v>
      </c>
      <c r="K449" s="172" t="s">
        <v>93</v>
      </c>
      <c r="L449" s="172" t="s">
        <v>94</v>
      </c>
      <c r="M449" s="179">
        <v>0</v>
      </c>
      <c r="N449" s="177"/>
      <c r="O449" s="177"/>
      <c r="P449" s="180">
        <v>1138.46</v>
      </c>
    </row>
    <row r="450" spans="1:16" ht="19.5" customHeight="1">
      <c r="A450" s="172" t="s">
        <v>481</v>
      </c>
      <c r="B450" s="176">
        <v>46036</v>
      </c>
      <c r="C450" s="172" t="s">
        <v>104</v>
      </c>
      <c r="D450" s="172" t="s">
        <v>105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1750</v>
      </c>
      <c r="J450" s="176">
        <v>46035</v>
      </c>
      <c r="K450" s="172" t="s">
        <v>93</v>
      </c>
      <c r="L450" s="172" t="s">
        <v>94</v>
      </c>
      <c r="M450" s="179">
        <v>0.43</v>
      </c>
      <c r="N450" s="177"/>
      <c r="O450" s="177"/>
      <c r="P450" s="180">
        <v>-752.5</v>
      </c>
    </row>
    <row r="451" spans="1:16" ht="19.5" customHeight="1">
      <c r="A451" s="172" t="s">
        <v>481</v>
      </c>
      <c r="B451" s="176">
        <v>46036</v>
      </c>
      <c r="C451" s="172" t="s">
        <v>81</v>
      </c>
      <c r="D451" s="172" t="s">
        <v>95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1750</v>
      </c>
      <c r="J451" s="176">
        <v>46035</v>
      </c>
      <c r="K451" s="172" t="s">
        <v>93</v>
      </c>
      <c r="L451" s="172" t="s">
        <v>94</v>
      </c>
      <c r="M451" s="179">
        <v>0.43</v>
      </c>
      <c r="N451" s="177"/>
      <c r="O451" s="177"/>
      <c r="P451" s="180">
        <v>-8.68</v>
      </c>
    </row>
    <row r="452" spans="1:16" ht="19.5" customHeight="1">
      <c r="A452" s="172" t="s">
        <v>482</v>
      </c>
      <c r="B452" s="176">
        <v>46036</v>
      </c>
      <c r="C452" s="172" t="s">
        <v>92</v>
      </c>
      <c r="D452" s="172" t="s">
        <v>24</v>
      </c>
      <c r="E452" s="172" t="s">
        <v>52</v>
      </c>
      <c r="F452" s="172" t="s">
        <v>90</v>
      </c>
      <c r="G452" s="172" t="s">
        <v>84</v>
      </c>
      <c r="H452" s="177">
        <v>1</v>
      </c>
      <c r="I452" s="178">
        <v>1621</v>
      </c>
      <c r="J452" s="176">
        <v>46035</v>
      </c>
      <c r="K452" s="172" t="s">
        <v>93</v>
      </c>
      <c r="L452" s="172" t="s">
        <v>94</v>
      </c>
      <c r="M452" s="179">
        <v>0.43</v>
      </c>
      <c r="N452" s="177"/>
      <c r="O452" s="177">
        <v>45</v>
      </c>
      <c r="P452" s="180">
        <v>-148.01</v>
      </c>
    </row>
    <row r="453" spans="1:16" ht="19.5" customHeight="1">
      <c r="A453" s="172" t="s">
        <v>482</v>
      </c>
      <c r="B453" s="176">
        <v>46036</v>
      </c>
      <c r="C453" s="172" t="s">
        <v>100</v>
      </c>
      <c r="D453" s="172" t="s">
        <v>101</v>
      </c>
      <c r="E453" s="172" t="s">
        <v>52</v>
      </c>
      <c r="F453" s="172" t="s">
        <v>90</v>
      </c>
      <c r="G453" s="172" t="s">
        <v>84</v>
      </c>
      <c r="H453" s="177">
        <v>1</v>
      </c>
      <c r="I453" s="178">
        <v>1621</v>
      </c>
      <c r="J453" s="176">
        <v>46035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553.45000000000005</v>
      </c>
    </row>
    <row r="454" spans="1:16" ht="19.5" customHeight="1">
      <c r="A454" s="172" t="s">
        <v>482</v>
      </c>
      <c r="B454" s="176">
        <v>46036</v>
      </c>
      <c r="C454" s="172" t="s">
        <v>100</v>
      </c>
      <c r="D454" s="172" t="s">
        <v>102</v>
      </c>
      <c r="E454" s="172" t="s">
        <v>52</v>
      </c>
      <c r="F454" s="172" t="s">
        <v>90</v>
      </c>
      <c r="G454" s="172" t="s">
        <v>84</v>
      </c>
      <c r="H454" s="177">
        <v>1</v>
      </c>
      <c r="I454" s="178">
        <v>1621</v>
      </c>
      <c r="J454" s="176">
        <v>46035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5.53</v>
      </c>
    </row>
    <row r="455" spans="1:16" ht="19.5" customHeight="1">
      <c r="A455" s="172" t="s">
        <v>482</v>
      </c>
      <c r="B455" s="176">
        <v>46036</v>
      </c>
      <c r="C455" s="172" t="s">
        <v>100</v>
      </c>
      <c r="D455" s="172" t="s">
        <v>103</v>
      </c>
      <c r="E455" s="172" t="s">
        <v>52</v>
      </c>
      <c r="F455" s="172" t="s">
        <v>90</v>
      </c>
      <c r="G455" s="172" t="s">
        <v>84</v>
      </c>
      <c r="H455" s="177">
        <v>1</v>
      </c>
      <c r="I455" s="178">
        <v>1621</v>
      </c>
      <c r="J455" s="176">
        <v>46035</v>
      </c>
      <c r="K455" s="172" t="s">
        <v>93</v>
      </c>
      <c r="L455" s="172" t="s">
        <v>94</v>
      </c>
      <c r="M455" s="179">
        <v>0</v>
      </c>
      <c r="N455" s="177"/>
      <c r="O455" s="177"/>
      <c r="P455" s="180">
        <v>1062.02</v>
      </c>
    </row>
    <row r="456" spans="1:16" ht="19.5" customHeight="1">
      <c r="A456" s="172" t="s">
        <v>482</v>
      </c>
      <c r="B456" s="176">
        <v>46036</v>
      </c>
      <c r="C456" s="172" t="s">
        <v>104</v>
      </c>
      <c r="D456" s="172" t="s">
        <v>105</v>
      </c>
      <c r="E456" s="172" t="s">
        <v>52</v>
      </c>
      <c r="F456" s="172" t="s">
        <v>90</v>
      </c>
      <c r="G456" s="172" t="s">
        <v>84</v>
      </c>
      <c r="H456" s="177">
        <v>1</v>
      </c>
      <c r="I456" s="178">
        <v>1621</v>
      </c>
      <c r="J456" s="176">
        <v>46035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-697.03</v>
      </c>
    </row>
    <row r="457" spans="1:16" ht="19.5" customHeight="1">
      <c r="A457" s="172" t="s">
        <v>482</v>
      </c>
      <c r="B457" s="176">
        <v>46036</v>
      </c>
      <c r="C457" s="172" t="s">
        <v>81</v>
      </c>
      <c r="D457" s="172" t="s">
        <v>95</v>
      </c>
      <c r="E457" s="172" t="s">
        <v>52</v>
      </c>
      <c r="F457" s="172" t="s">
        <v>90</v>
      </c>
      <c r="G457" s="172" t="s">
        <v>84</v>
      </c>
      <c r="H457" s="177">
        <v>1</v>
      </c>
      <c r="I457" s="178">
        <v>1621</v>
      </c>
      <c r="J457" s="176">
        <v>46035</v>
      </c>
      <c r="K457" s="172" t="s">
        <v>93</v>
      </c>
      <c r="L457" s="172" t="s">
        <v>94</v>
      </c>
      <c r="M457" s="179">
        <v>0.43</v>
      </c>
      <c r="N457" s="177"/>
      <c r="O457" s="177"/>
      <c r="P457" s="180">
        <v>-8.0399999999999991</v>
      </c>
    </row>
    <row r="458" spans="1:16" ht="19.5" customHeight="1">
      <c r="A458" s="172" t="s">
        <v>481</v>
      </c>
      <c r="B458" s="176">
        <v>46036</v>
      </c>
      <c r="C458" s="172" t="s">
        <v>81</v>
      </c>
      <c r="D458" s="172" t="s">
        <v>82</v>
      </c>
      <c r="E458" s="172" t="s">
        <v>42</v>
      </c>
      <c r="F458" s="172" t="s">
        <v>89</v>
      </c>
      <c r="G458" s="172" t="s">
        <v>84</v>
      </c>
      <c r="H458" s="177">
        <v>1</v>
      </c>
      <c r="I458" s="178">
        <v>0</v>
      </c>
      <c r="J458" s="176">
        <v>46035</v>
      </c>
      <c r="K458" s="172" t="s">
        <v>85</v>
      </c>
      <c r="L458" s="172" t="s">
        <v>85</v>
      </c>
      <c r="M458" s="179">
        <v>0</v>
      </c>
      <c r="N458" s="177"/>
      <c r="O458" s="177"/>
      <c r="P458" s="180">
        <v>-11.5</v>
      </c>
    </row>
    <row r="459" spans="1:16" ht="19.5" customHeight="1">
      <c r="A459" s="172" t="s">
        <v>482</v>
      </c>
      <c r="B459" s="176">
        <v>46036</v>
      </c>
      <c r="C459" s="172" t="s">
        <v>81</v>
      </c>
      <c r="D459" s="172" t="s">
        <v>82</v>
      </c>
      <c r="E459" s="172" t="s">
        <v>52</v>
      </c>
      <c r="F459" s="172" t="s">
        <v>90</v>
      </c>
      <c r="G459" s="172" t="s">
        <v>84</v>
      </c>
      <c r="H459" s="177">
        <v>1</v>
      </c>
      <c r="I459" s="178">
        <v>0</v>
      </c>
      <c r="J459" s="176">
        <v>46035</v>
      </c>
      <c r="K459" s="172" t="s">
        <v>85</v>
      </c>
      <c r="L459" s="172" t="s">
        <v>85</v>
      </c>
      <c r="M459" s="179">
        <v>0</v>
      </c>
      <c r="N459" s="177"/>
      <c r="O459" s="177"/>
      <c r="P459" s="180">
        <v>-10.52</v>
      </c>
    </row>
    <row r="460" spans="1:16" ht="19.5" customHeight="1">
      <c r="A460" s="172" t="s">
        <v>483</v>
      </c>
      <c r="B460" s="176">
        <v>46036</v>
      </c>
      <c r="C460" s="172" t="s">
        <v>92</v>
      </c>
      <c r="D460" s="172" t="s">
        <v>24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0</v>
      </c>
      <c r="J460" s="176">
        <v>46024</v>
      </c>
      <c r="K460" s="172" t="s">
        <v>93</v>
      </c>
      <c r="L460" s="172" t="s">
        <v>94</v>
      </c>
      <c r="M460" s="179">
        <v>0</v>
      </c>
      <c r="N460" s="177"/>
      <c r="O460" s="177">
        <v>42</v>
      </c>
      <c r="P460" s="180">
        <v>-56</v>
      </c>
    </row>
    <row r="461" spans="1:16" ht="19.5" customHeight="1">
      <c r="A461" s="172" t="s">
        <v>483</v>
      </c>
      <c r="B461" s="176">
        <v>46036</v>
      </c>
      <c r="C461" s="172" t="s">
        <v>81</v>
      </c>
      <c r="D461" s="172" t="s">
        <v>95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0</v>
      </c>
      <c r="J461" s="176">
        <v>46024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-9.2200000000000006</v>
      </c>
    </row>
    <row r="462" spans="1:16" ht="19.5" customHeight="1">
      <c r="A462" s="172" t="s">
        <v>483</v>
      </c>
      <c r="B462" s="176">
        <v>46036</v>
      </c>
      <c r="C462" s="172" t="s">
        <v>92</v>
      </c>
      <c r="D462" s="172" t="s">
        <v>96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0</v>
      </c>
      <c r="J462" s="176">
        <v>46024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0</v>
      </c>
    </row>
    <row r="463" spans="1:16" ht="19.5" customHeight="1">
      <c r="A463" s="172" t="s">
        <v>483</v>
      </c>
      <c r="B463" s="176">
        <v>46036</v>
      </c>
      <c r="C463" s="172" t="s">
        <v>92</v>
      </c>
      <c r="D463" s="172" t="s">
        <v>97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0</v>
      </c>
      <c r="J463" s="176">
        <v>46024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-56</v>
      </c>
    </row>
    <row r="464" spans="1:16" ht="19.5" customHeight="1">
      <c r="A464" s="172" t="s">
        <v>483</v>
      </c>
      <c r="B464" s="176">
        <v>46036</v>
      </c>
      <c r="C464" s="172" t="s">
        <v>81</v>
      </c>
      <c r="D464" s="172" t="s">
        <v>98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46024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-15</v>
      </c>
    </row>
    <row r="465" spans="1:16" ht="19.5" customHeight="1">
      <c r="A465" s="172" t="s">
        <v>142</v>
      </c>
      <c r="B465" s="176">
        <v>46036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46036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-3003.9</v>
      </c>
    </row>
    <row r="466" spans="1:16" ht="19.5" customHeight="1">
      <c r="A466" s="172" t="s">
        <v>410</v>
      </c>
      <c r="B466" s="176">
        <v>46036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46036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-1249.01</v>
      </c>
    </row>
    <row r="467" spans="1:16" ht="19.5" customHeight="1">
      <c r="A467" s="172" t="s">
        <v>412</v>
      </c>
      <c r="B467" s="176">
        <v>46036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46036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-51.78</v>
      </c>
    </row>
    <row r="468" spans="1:16" ht="19.5" customHeight="1">
      <c r="A468" s="172" t="s">
        <v>144</v>
      </c>
      <c r="B468" s="176">
        <v>46036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46036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-1654.73</v>
      </c>
    </row>
    <row r="469" spans="1:16" ht="19.5" customHeight="1">
      <c r="A469" s="172" t="s">
        <v>138</v>
      </c>
      <c r="B469" s="176">
        <v>46036</v>
      </c>
      <c r="C469" s="172" t="s">
        <v>109</v>
      </c>
      <c r="D469" s="172" t="s">
        <v>139</v>
      </c>
      <c r="E469" s="172" t="s">
        <v>85</v>
      </c>
      <c r="F469" s="172" t="s">
        <v>85</v>
      </c>
      <c r="G469" s="172" t="s">
        <v>85</v>
      </c>
      <c r="H469" s="177">
        <v>0</v>
      </c>
      <c r="I469" s="178">
        <v>0</v>
      </c>
      <c r="J469" s="176">
        <v>46036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-1394.02</v>
      </c>
    </row>
    <row r="470" spans="1:16" ht="19.5" customHeight="1">
      <c r="A470" s="172" t="s">
        <v>145</v>
      </c>
      <c r="B470" s="176">
        <v>46036</v>
      </c>
      <c r="C470" s="172" t="s">
        <v>109</v>
      </c>
      <c r="D470" s="172" t="s">
        <v>139</v>
      </c>
      <c r="E470" s="172" t="s">
        <v>85</v>
      </c>
      <c r="F470" s="172" t="s">
        <v>85</v>
      </c>
      <c r="G470" s="172" t="s">
        <v>85</v>
      </c>
      <c r="H470" s="177">
        <v>0</v>
      </c>
      <c r="I470" s="178">
        <v>0</v>
      </c>
      <c r="J470" s="176">
        <v>46036</v>
      </c>
      <c r="K470" s="172" t="s">
        <v>85</v>
      </c>
      <c r="L470" s="172" t="s">
        <v>85</v>
      </c>
      <c r="M470" s="179">
        <v>0</v>
      </c>
      <c r="N470" s="177"/>
      <c r="O470" s="177"/>
      <c r="P470" s="180">
        <v>-305.67</v>
      </c>
    </row>
    <row r="471" spans="1:16" ht="19.5" customHeight="1">
      <c r="A471" s="172" t="s">
        <v>140</v>
      </c>
      <c r="B471" s="176">
        <v>46036</v>
      </c>
      <c r="C471" s="172" t="s">
        <v>109</v>
      </c>
      <c r="D471" s="172" t="s">
        <v>139</v>
      </c>
      <c r="E471" s="172" t="s">
        <v>85</v>
      </c>
      <c r="F471" s="172" t="s">
        <v>85</v>
      </c>
      <c r="G471" s="172" t="s">
        <v>85</v>
      </c>
      <c r="H471" s="177">
        <v>0</v>
      </c>
      <c r="I471" s="178">
        <v>0</v>
      </c>
      <c r="J471" s="176">
        <v>46036</v>
      </c>
      <c r="K471" s="172" t="s">
        <v>85</v>
      </c>
      <c r="L471" s="172" t="s">
        <v>85</v>
      </c>
      <c r="M471" s="179">
        <v>0</v>
      </c>
      <c r="N471" s="177"/>
      <c r="O471" s="177"/>
      <c r="P471" s="180">
        <v>-61.67</v>
      </c>
    </row>
    <row r="472" spans="1:16" ht="19.5" customHeight="1">
      <c r="A472" s="172" t="s">
        <v>146</v>
      </c>
      <c r="B472" s="176">
        <v>46036</v>
      </c>
      <c r="C472" s="172" t="s">
        <v>109</v>
      </c>
      <c r="D472" s="172" t="s">
        <v>139</v>
      </c>
      <c r="E472" s="172" t="s">
        <v>85</v>
      </c>
      <c r="F472" s="172" t="s">
        <v>85</v>
      </c>
      <c r="G472" s="172" t="s">
        <v>85</v>
      </c>
      <c r="H472" s="177">
        <v>0</v>
      </c>
      <c r="I472" s="178">
        <v>0</v>
      </c>
      <c r="J472" s="176">
        <v>46036</v>
      </c>
      <c r="K472" s="172" t="s">
        <v>85</v>
      </c>
      <c r="L472" s="172" t="s">
        <v>85</v>
      </c>
      <c r="M472" s="179">
        <v>0</v>
      </c>
      <c r="N472" s="177"/>
      <c r="O472" s="177"/>
      <c r="P472" s="180">
        <v>-312.39</v>
      </c>
    </row>
    <row r="473" spans="1:16" ht="19.5" customHeight="1">
      <c r="A473" s="172" t="s">
        <v>411</v>
      </c>
      <c r="B473" s="176">
        <v>46036</v>
      </c>
      <c r="C473" s="172" t="s">
        <v>109</v>
      </c>
      <c r="D473" s="172" t="s">
        <v>139</v>
      </c>
      <c r="E473" s="172" t="s">
        <v>85</v>
      </c>
      <c r="F473" s="172" t="s">
        <v>85</v>
      </c>
      <c r="G473" s="172" t="s">
        <v>85</v>
      </c>
      <c r="H473" s="177">
        <v>0</v>
      </c>
      <c r="I473" s="178">
        <v>0</v>
      </c>
      <c r="J473" s="176">
        <v>46036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-100.17</v>
      </c>
    </row>
    <row r="474" spans="1:16" ht="19.5" customHeight="1">
      <c r="A474" s="172" t="s">
        <v>484</v>
      </c>
      <c r="B474" s="176">
        <v>46037</v>
      </c>
      <c r="C474" s="172" t="s">
        <v>92</v>
      </c>
      <c r="D474" s="172" t="s">
        <v>96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46025</v>
      </c>
      <c r="K474" s="172" t="s">
        <v>93</v>
      </c>
      <c r="L474" s="172" t="s">
        <v>94</v>
      </c>
      <c r="M474" s="179">
        <v>0</v>
      </c>
      <c r="N474" s="177"/>
      <c r="O474" s="177"/>
      <c r="P474" s="180">
        <v>0</v>
      </c>
    </row>
    <row r="475" spans="1:16" ht="19.5" customHeight="1">
      <c r="A475" s="172" t="s">
        <v>484</v>
      </c>
      <c r="B475" s="176">
        <v>46037</v>
      </c>
      <c r="C475" s="172" t="s">
        <v>92</v>
      </c>
      <c r="D475" s="172" t="s">
        <v>97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46025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-56</v>
      </c>
    </row>
    <row r="476" spans="1:16" ht="19.5" customHeight="1">
      <c r="A476" s="172" t="s">
        <v>484</v>
      </c>
      <c r="B476" s="176">
        <v>46037</v>
      </c>
      <c r="C476" s="172" t="s">
        <v>81</v>
      </c>
      <c r="D476" s="172" t="s">
        <v>98</v>
      </c>
      <c r="E476" s="172" t="s">
        <v>53</v>
      </c>
      <c r="F476" s="172" t="s">
        <v>120</v>
      </c>
      <c r="G476" s="172" t="s">
        <v>84</v>
      </c>
      <c r="H476" s="177">
        <v>1</v>
      </c>
      <c r="I476" s="178">
        <v>0</v>
      </c>
      <c r="J476" s="176">
        <v>46025</v>
      </c>
      <c r="K476" s="172" t="s">
        <v>93</v>
      </c>
      <c r="L476" s="172" t="s">
        <v>94</v>
      </c>
      <c r="M476" s="179">
        <v>0</v>
      </c>
      <c r="N476" s="177"/>
      <c r="O476" s="177"/>
      <c r="P476" s="180">
        <v>-15</v>
      </c>
    </row>
    <row r="477" spans="1:16" ht="19.5" customHeight="1">
      <c r="A477" s="172" t="s">
        <v>484</v>
      </c>
      <c r="B477" s="176">
        <v>46037</v>
      </c>
      <c r="C477" s="172" t="s">
        <v>92</v>
      </c>
      <c r="D477" s="172" t="s">
        <v>24</v>
      </c>
      <c r="E477" s="172" t="s">
        <v>53</v>
      </c>
      <c r="F477" s="172" t="s">
        <v>120</v>
      </c>
      <c r="G477" s="172" t="s">
        <v>84</v>
      </c>
      <c r="H477" s="177">
        <v>1</v>
      </c>
      <c r="I477" s="178">
        <v>0</v>
      </c>
      <c r="J477" s="176">
        <v>46025</v>
      </c>
      <c r="K477" s="172" t="s">
        <v>93</v>
      </c>
      <c r="L477" s="172" t="s">
        <v>94</v>
      </c>
      <c r="M477" s="179">
        <v>0</v>
      </c>
      <c r="N477" s="177"/>
      <c r="O477" s="177">
        <v>44</v>
      </c>
      <c r="P477" s="180">
        <v>-56</v>
      </c>
    </row>
    <row r="478" spans="1:16" ht="19.5" customHeight="1">
      <c r="A478" s="172" t="s">
        <v>484</v>
      </c>
      <c r="B478" s="176">
        <v>46037</v>
      </c>
      <c r="C478" s="172" t="s">
        <v>81</v>
      </c>
      <c r="D478" s="172" t="s">
        <v>95</v>
      </c>
      <c r="E478" s="172" t="s">
        <v>53</v>
      </c>
      <c r="F478" s="172" t="s">
        <v>120</v>
      </c>
      <c r="G478" s="172" t="s">
        <v>84</v>
      </c>
      <c r="H478" s="177">
        <v>1</v>
      </c>
      <c r="I478" s="178">
        <v>0</v>
      </c>
      <c r="J478" s="176">
        <v>46025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-8.33</v>
      </c>
    </row>
    <row r="479" spans="1:16" ht="19.5" customHeight="1">
      <c r="A479" s="172" t="s">
        <v>485</v>
      </c>
      <c r="B479" s="176">
        <v>46037</v>
      </c>
      <c r="C479" s="172" t="s">
        <v>92</v>
      </c>
      <c r="D479" s="172" t="s">
        <v>24</v>
      </c>
      <c r="E479" s="172" t="s">
        <v>43</v>
      </c>
      <c r="F479" s="172" t="s">
        <v>125</v>
      </c>
      <c r="G479" s="172" t="s">
        <v>84</v>
      </c>
      <c r="H479" s="177">
        <v>1</v>
      </c>
      <c r="I479" s="178">
        <v>0</v>
      </c>
      <c r="J479" s="176">
        <v>46026</v>
      </c>
      <c r="K479" s="172" t="s">
        <v>93</v>
      </c>
      <c r="L479" s="172" t="s">
        <v>94</v>
      </c>
      <c r="M479" s="179">
        <v>0</v>
      </c>
      <c r="N479" s="177"/>
      <c r="O479" s="177">
        <v>46</v>
      </c>
      <c r="P479" s="180">
        <v>-46.77</v>
      </c>
    </row>
    <row r="480" spans="1:16" ht="19.5" customHeight="1">
      <c r="A480" s="172" t="s">
        <v>485</v>
      </c>
      <c r="B480" s="176">
        <v>46037</v>
      </c>
      <c r="C480" s="172" t="s">
        <v>81</v>
      </c>
      <c r="D480" s="172" t="s">
        <v>95</v>
      </c>
      <c r="E480" s="172" t="s">
        <v>43</v>
      </c>
      <c r="F480" s="172" t="s">
        <v>125</v>
      </c>
      <c r="G480" s="172" t="s">
        <v>84</v>
      </c>
      <c r="H480" s="177">
        <v>1</v>
      </c>
      <c r="I480" s="178">
        <v>0</v>
      </c>
      <c r="J480" s="176">
        <v>46026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-12.69</v>
      </c>
    </row>
    <row r="481" spans="1:16" ht="19.5" customHeight="1">
      <c r="A481" s="172" t="s">
        <v>485</v>
      </c>
      <c r="B481" s="176">
        <v>46037</v>
      </c>
      <c r="C481" s="172" t="s">
        <v>92</v>
      </c>
      <c r="D481" s="172" t="s">
        <v>96</v>
      </c>
      <c r="E481" s="172" t="s">
        <v>43</v>
      </c>
      <c r="F481" s="172" t="s">
        <v>125</v>
      </c>
      <c r="G481" s="172" t="s">
        <v>84</v>
      </c>
      <c r="H481" s="177">
        <v>1</v>
      </c>
      <c r="I481" s="178">
        <v>0</v>
      </c>
      <c r="J481" s="176">
        <v>46026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485</v>
      </c>
      <c r="B482" s="176">
        <v>46037</v>
      </c>
      <c r="C482" s="172" t="s">
        <v>92</v>
      </c>
      <c r="D482" s="172" t="s">
        <v>97</v>
      </c>
      <c r="E482" s="172" t="s">
        <v>43</v>
      </c>
      <c r="F482" s="172" t="s">
        <v>125</v>
      </c>
      <c r="G482" s="172" t="s">
        <v>84</v>
      </c>
      <c r="H482" s="177">
        <v>1</v>
      </c>
      <c r="I482" s="178">
        <v>0</v>
      </c>
      <c r="J482" s="176">
        <v>46026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485</v>
      </c>
      <c r="B483" s="176">
        <v>46037</v>
      </c>
      <c r="C483" s="172" t="s">
        <v>81</v>
      </c>
      <c r="D483" s="172" t="s">
        <v>98</v>
      </c>
      <c r="E483" s="172" t="s">
        <v>43</v>
      </c>
      <c r="F483" s="172" t="s">
        <v>125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486</v>
      </c>
      <c r="B484" s="176">
        <v>46037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46021</v>
      </c>
      <c r="K484" s="172" t="s">
        <v>93</v>
      </c>
      <c r="L484" s="172" t="s">
        <v>94</v>
      </c>
      <c r="M484" s="179">
        <v>0.43</v>
      </c>
      <c r="N484" s="177"/>
      <c r="O484" s="177">
        <v>40</v>
      </c>
      <c r="P484" s="180">
        <v>-131.61000000000001</v>
      </c>
    </row>
    <row r="485" spans="1:16" ht="19.5" customHeight="1">
      <c r="A485" s="172" t="s">
        <v>486</v>
      </c>
      <c r="B485" s="176">
        <v>46037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46021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658.1</v>
      </c>
    </row>
    <row r="486" spans="1:16" ht="19.5" customHeight="1">
      <c r="A486" s="172" t="s">
        <v>486</v>
      </c>
      <c r="B486" s="176">
        <v>46037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46021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6.58</v>
      </c>
    </row>
    <row r="487" spans="1:16" ht="19.5" customHeight="1">
      <c r="A487" s="172" t="s">
        <v>486</v>
      </c>
      <c r="B487" s="176">
        <v>46037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46021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1180.32</v>
      </c>
    </row>
    <row r="488" spans="1:16" ht="19.5" customHeight="1">
      <c r="A488" s="172" t="s">
        <v>486</v>
      </c>
      <c r="B488" s="176">
        <v>46037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46021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486</v>
      </c>
      <c r="B489" s="176">
        <v>46037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46021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-25</v>
      </c>
    </row>
    <row r="490" spans="1:16" ht="19.5" customHeight="1">
      <c r="A490" s="172" t="s">
        <v>487</v>
      </c>
      <c r="B490" s="176">
        <v>46037</v>
      </c>
      <c r="C490" s="172" t="s">
        <v>92</v>
      </c>
      <c r="D490" s="172" t="s">
        <v>24</v>
      </c>
      <c r="E490" s="172" t="s">
        <v>41</v>
      </c>
      <c r="F490" s="172" t="s">
        <v>83</v>
      </c>
      <c r="G490" s="172" t="s">
        <v>84</v>
      </c>
      <c r="H490" s="177">
        <v>1</v>
      </c>
      <c r="I490" s="178">
        <v>0</v>
      </c>
      <c r="J490" s="176">
        <v>46029</v>
      </c>
      <c r="K490" s="172" t="s">
        <v>93</v>
      </c>
      <c r="L490" s="172" t="s">
        <v>94</v>
      </c>
      <c r="M490" s="179">
        <v>0</v>
      </c>
      <c r="N490" s="177"/>
      <c r="O490" s="177">
        <v>43</v>
      </c>
      <c r="P490" s="180">
        <v>-46</v>
      </c>
    </row>
    <row r="491" spans="1:16" ht="19.5" customHeight="1">
      <c r="A491" s="172" t="s">
        <v>487</v>
      </c>
      <c r="B491" s="176">
        <v>46037</v>
      </c>
      <c r="C491" s="172" t="s">
        <v>81</v>
      </c>
      <c r="D491" s="172" t="s">
        <v>95</v>
      </c>
      <c r="E491" s="172" t="s">
        <v>41</v>
      </c>
      <c r="F491" s="172" t="s">
        <v>83</v>
      </c>
      <c r="G491" s="172" t="s">
        <v>84</v>
      </c>
      <c r="H491" s="177">
        <v>1</v>
      </c>
      <c r="I491" s="178">
        <v>0</v>
      </c>
      <c r="J491" s="176">
        <v>46029</v>
      </c>
      <c r="K491" s="172" t="s">
        <v>93</v>
      </c>
      <c r="L491" s="172" t="s">
        <v>94</v>
      </c>
      <c r="M491" s="179">
        <v>0</v>
      </c>
      <c r="N491" s="177"/>
      <c r="O491" s="177"/>
      <c r="P491" s="180">
        <v>-8.61</v>
      </c>
    </row>
    <row r="492" spans="1:16" ht="19.5" customHeight="1">
      <c r="A492" s="172" t="s">
        <v>487</v>
      </c>
      <c r="B492" s="176">
        <v>46037</v>
      </c>
      <c r="C492" s="172" t="s">
        <v>92</v>
      </c>
      <c r="D492" s="172" t="s">
        <v>96</v>
      </c>
      <c r="E492" s="172" t="s">
        <v>41</v>
      </c>
      <c r="F492" s="172" t="s">
        <v>83</v>
      </c>
      <c r="G492" s="172" t="s">
        <v>84</v>
      </c>
      <c r="H492" s="177">
        <v>1</v>
      </c>
      <c r="I492" s="178">
        <v>0</v>
      </c>
      <c r="J492" s="176">
        <v>46029</v>
      </c>
      <c r="K492" s="172" t="s">
        <v>93</v>
      </c>
      <c r="L492" s="172" t="s">
        <v>94</v>
      </c>
      <c r="M492" s="179">
        <v>0</v>
      </c>
      <c r="N492" s="177"/>
      <c r="O492" s="177"/>
      <c r="P492" s="180">
        <v>0</v>
      </c>
    </row>
    <row r="493" spans="1:16" ht="19.5" customHeight="1">
      <c r="A493" s="172" t="s">
        <v>487</v>
      </c>
      <c r="B493" s="176">
        <v>46037</v>
      </c>
      <c r="C493" s="172" t="s">
        <v>92</v>
      </c>
      <c r="D493" s="172" t="s">
        <v>97</v>
      </c>
      <c r="E493" s="172" t="s">
        <v>41</v>
      </c>
      <c r="F493" s="172" t="s">
        <v>83</v>
      </c>
      <c r="G493" s="172" t="s">
        <v>84</v>
      </c>
      <c r="H493" s="177">
        <v>1</v>
      </c>
      <c r="I493" s="178">
        <v>0</v>
      </c>
      <c r="J493" s="176">
        <v>46029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-46</v>
      </c>
    </row>
    <row r="494" spans="1:16" ht="19.5" customHeight="1">
      <c r="A494" s="172" t="s">
        <v>487</v>
      </c>
      <c r="B494" s="176">
        <v>46037</v>
      </c>
      <c r="C494" s="172" t="s">
        <v>81</v>
      </c>
      <c r="D494" s="172" t="s">
        <v>98</v>
      </c>
      <c r="E494" s="172" t="s">
        <v>41</v>
      </c>
      <c r="F494" s="172" t="s">
        <v>83</v>
      </c>
      <c r="G494" s="172" t="s">
        <v>84</v>
      </c>
      <c r="H494" s="177">
        <v>1</v>
      </c>
      <c r="I494" s="178">
        <v>0</v>
      </c>
      <c r="J494" s="176">
        <v>46029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-15</v>
      </c>
    </row>
    <row r="495" spans="1:16" ht="19.5" customHeight="1">
      <c r="A495" s="172" t="s">
        <v>488</v>
      </c>
      <c r="B495" s="176">
        <v>46037</v>
      </c>
      <c r="C495" s="172" t="s">
        <v>92</v>
      </c>
      <c r="D495" s="172" t="s">
        <v>96</v>
      </c>
      <c r="E495" s="172" t="s">
        <v>53</v>
      </c>
      <c r="F495" s="172" t="s">
        <v>120</v>
      </c>
      <c r="G495" s="172" t="s">
        <v>84</v>
      </c>
      <c r="H495" s="177">
        <v>1</v>
      </c>
      <c r="I495" s="178">
        <v>0</v>
      </c>
      <c r="J495" s="176">
        <v>46028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0</v>
      </c>
    </row>
    <row r="496" spans="1:16" ht="19.5" customHeight="1">
      <c r="A496" s="172" t="s">
        <v>488</v>
      </c>
      <c r="B496" s="176">
        <v>46037</v>
      </c>
      <c r="C496" s="172" t="s">
        <v>92</v>
      </c>
      <c r="D496" s="172" t="s">
        <v>97</v>
      </c>
      <c r="E496" s="172" t="s">
        <v>53</v>
      </c>
      <c r="F496" s="172" t="s">
        <v>120</v>
      </c>
      <c r="G496" s="172" t="s">
        <v>84</v>
      </c>
      <c r="H496" s="177">
        <v>1</v>
      </c>
      <c r="I496" s="178">
        <v>0</v>
      </c>
      <c r="J496" s="176">
        <v>46028</v>
      </c>
      <c r="K496" s="172" t="s">
        <v>93</v>
      </c>
      <c r="L496" s="172" t="s">
        <v>94</v>
      </c>
      <c r="M496" s="179">
        <v>0</v>
      </c>
      <c r="N496" s="177"/>
      <c r="O496" s="177"/>
      <c r="P496" s="180">
        <v>-56</v>
      </c>
    </row>
    <row r="497" spans="1:16" ht="19.5" customHeight="1">
      <c r="A497" s="172" t="s">
        <v>488</v>
      </c>
      <c r="B497" s="176">
        <v>46037</v>
      </c>
      <c r="C497" s="172" t="s">
        <v>81</v>
      </c>
      <c r="D497" s="172" t="s">
        <v>98</v>
      </c>
      <c r="E497" s="172" t="s">
        <v>53</v>
      </c>
      <c r="F497" s="172" t="s">
        <v>120</v>
      </c>
      <c r="G497" s="172" t="s">
        <v>84</v>
      </c>
      <c r="H497" s="177">
        <v>1</v>
      </c>
      <c r="I497" s="178">
        <v>0</v>
      </c>
      <c r="J497" s="176">
        <v>46028</v>
      </c>
      <c r="K497" s="172" t="s">
        <v>93</v>
      </c>
      <c r="L497" s="172" t="s">
        <v>94</v>
      </c>
      <c r="M497" s="179">
        <v>0</v>
      </c>
      <c r="N497" s="177"/>
      <c r="O497" s="177"/>
      <c r="P497" s="180">
        <v>-15</v>
      </c>
    </row>
    <row r="498" spans="1:16" ht="19.5" customHeight="1">
      <c r="A498" s="172" t="s">
        <v>488</v>
      </c>
      <c r="B498" s="176">
        <v>46037</v>
      </c>
      <c r="C498" s="172" t="s">
        <v>92</v>
      </c>
      <c r="D498" s="172" t="s">
        <v>24</v>
      </c>
      <c r="E498" s="172" t="s">
        <v>53</v>
      </c>
      <c r="F498" s="172" t="s">
        <v>120</v>
      </c>
      <c r="G498" s="172" t="s">
        <v>84</v>
      </c>
      <c r="H498" s="177">
        <v>1</v>
      </c>
      <c r="I498" s="178">
        <v>0</v>
      </c>
      <c r="J498" s="176">
        <v>46028</v>
      </c>
      <c r="K498" s="172" t="s">
        <v>93</v>
      </c>
      <c r="L498" s="172" t="s">
        <v>94</v>
      </c>
      <c r="M498" s="179">
        <v>0</v>
      </c>
      <c r="N498" s="177"/>
      <c r="O498" s="177">
        <v>44</v>
      </c>
      <c r="P498" s="180">
        <v>-56</v>
      </c>
    </row>
    <row r="499" spans="1:16" ht="19.5" customHeight="1">
      <c r="A499" s="172" t="s">
        <v>488</v>
      </c>
      <c r="B499" s="176">
        <v>46037</v>
      </c>
      <c r="C499" s="172" t="s">
        <v>81</v>
      </c>
      <c r="D499" s="172" t="s">
        <v>95</v>
      </c>
      <c r="E499" s="172" t="s">
        <v>53</v>
      </c>
      <c r="F499" s="172" t="s">
        <v>120</v>
      </c>
      <c r="G499" s="172" t="s">
        <v>84</v>
      </c>
      <c r="H499" s="177">
        <v>1</v>
      </c>
      <c r="I499" s="178">
        <v>0</v>
      </c>
      <c r="J499" s="176">
        <v>46028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-13.68</v>
      </c>
    </row>
    <row r="500" spans="1:16" ht="19.5" customHeight="1">
      <c r="A500" s="172" t="s">
        <v>489</v>
      </c>
      <c r="B500" s="176">
        <v>46037</v>
      </c>
      <c r="C500" s="172" t="s">
        <v>92</v>
      </c>
      <c r="D500" s="172" t="s">
        <v>24</v>
      </c>
      <c r="E500" s="172" t="s">
        <v>53</v>
      </c>
      <c r="F500" s="172" t="s">
        <v>120</v>
      </c>
      <c r="G500" s="172" t="s">
        <v>84</v>
      </c>
      <c r="H500" s="177">
        <v>1</v>
      </c>
      <c r="I500" s="178">
        <v>0</v>
      </c>
      <c r="J500" s="176">
        <v>46031</v>
      </c>
      <c r="K500" s="172" t="s">
        <v>93</v>
      </c>
      <c r="L500" s="172" t="s">
        <v>94</v>
      </c>
      <c r="M500" s="179">
        <v>0</v>
      </c>
      <c r="N500" s="177"/>
      <c r="O500" s="177">
        <v>42</v>
      </c>
      <c r="P500" s="180">
        <v>-56</v>
      </c>
    </row>
    <row r="501" spans="1:16" ht="19.5" customHeight="1">
      <c r="A501" s="172" t="s">
        <v>489</v>
      </c>
      <c r="B501" s="176">
        <v>46037</v>
      </c>
      <c r="C501" s="172" t="s">
        <v>92</v>
      </c>
      <c r="D501" s="172" t="s">
        <v>96</v>
      </c>
      <c r="E501" s="172" t="s">
        <v>53</v>
      </c>
      <c r="F501" s="172" t="s">
        <v>120</v>
      </c>
      <c r="G501" s="172" t="s">
        <v>84</v>
      </c>
      <c r="H501" s="177">
        <v>1</v>
      </c>
      <c r="I501" s="178">
        <v>0</v>
      </c>
      <c r="J501" s="176">
        <v>46031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0</v>
      </c>
    </row>
    <row r="502" spans="1:16" ht="19.5" customHeight="1">
      <c r="A502" s="172" t="s">
        <v>489</v>
      </c>
      <c r="B502" s="176">
        <v>46037</v>
      </c>
      <c r="C502" s="172" t="s">
        <v>92</v>
      </c>
      <c r="D502" s="172" t="s">
        <v>97</v>
      </c>
      <c r="E502" s="172" t="s">
        <v>53</v>
      </c>
      <c r="F502" s="172" t="s">
        <v>120</v>
      </c>
      <c r="G502" s="172" t="s">
        <v>84</v>
      </c>
      <c r="H502" s="177">
        <v>1</v>
      </c>
      <c r="I502" s="178">
        <v>0</v>
      </c>
      <c r="J502" s="176">
        <v>46031</v>
      </c>
      <c r="K502" s="172" t="s">
        <v>93</v>
      </c>
      <c r="L502" s="172" t="s">
        <v>94</v>
      </c>
      <c r="M502" s="179">
        <v>0</v>
      </c>
      <c r="N502" s="177"/>
      <c r="O502" s="177"/>
      <c r="P502" s="180">
        <v>-56</v>
      </c>
    </row>
    <row r="503" spans="1:16" ht="19.5" customHeight="1">
      <c r="A503" s="172" t="s">
        <v>490</v>
      </c>
      <c r="B503" s="176">
        <v>46037</v>
      </c>
      <c r="C503" s="172" t="s">
        <v>92</v>
      </c>
      <c r="D503" s="172" t="s">
        <v>272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0</v>
      </c>
      <c r="J503" s="176">
        <v>46030</v>
      </c>
      <c r="K503" s="172" t="s">
        <v>93</v>
      </c>
      <c r="L503" s="172" t="s">
        <v>94</v>
      </c>
      <c r="M503" s="179">
        <v>0</v>
      </c>
      <c r="N503" s="177"/>
      <c r="O503" s="177"/>
      <c r="P503" s="180">
        <v>0</v>
      </c>
    </row>
    <row r="504" spans="1:16" ht="19.5" customHeight="1">
      <c r="A504" s="172" t="s">
        <v>490</v>
      </c>
      <c r="B504" s="176">
        <v>46037</v>
      </c>
      <c r="C504" s="172" t="s">
        <v>92</v>
      </c>
      <c r="D504" s="172" t="s">
        <v>97</v>
      </c>
      <c r="E504" s="172" t="s">
        <v>52</v>
      </c>
      <c r="F504" s="172" t="s">
        <v>90</v>
      </c>
      <c r="G504" s="172" t="s">
        <v>84</v>
      </c>
      <c r="H504" s="177">
        <v>1</v>
      </c>
      <c r="I504" s="178">
        <v>0</v>
      </c>
      <c r="J504" s="176">
        <v>46030</v>
      </c>
      <c r="K504" s="172" t="s">
        <v>93</v>
      </c>
      <c r="L504" s="172" t="s">
        <v>94</v>
      </c>
      <c r="M504" s="179">
        <v>0</v>
      </c>
      <c r="N504" s="177"/>
      <c r="O504" s="177"/>
      <c r="P504" s="180">
        <v>-56</v>
      </c>
    </row>
    <row r="505" spans="1:16" ht="19.5" customHeight="1">
      <c r="A505" s="172" t="s">
        <v>490</v>
      </c>
      <c r="B505" s="176">
        <v>46037</v>
      </c>
      <c r="C505" s="172" t="s">
        <v>81</v>
      </c>
      <c r="D505" s="172" t="s">
        <v>98</v>
      </c>
      <c r="E505" s="172" t="s">
        <v>52</v>
      </c>
      <c r="F505" s="172" t="s">
        <v>90</v>
      </c>
      <c r="G505" s="172" t="s">
        <v>84</v>
      </c>
      <c r="H505" s="177">
        <v>1</v>
      </c>
      <c r="I505" s="178">
        <v>0</v>
      </c>
      <c r="J505" s="176">
        <v>46030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-15</v>
      </c>
    </row>
    <row r="506" spans="1:16" ht="19.5" customHeight="1">
      <c r="A506" s="172" t="s">
        <v>491</v>
      </c>
      <c r="B506" s="176">
        <v>46037</v>
      </c>
      <c r="C506" s="172" t="s">
        <v>92</v>
      </c>
      <c r="D506" s="172" t="s">
        <v>24</v>
      </c>
      <c r="E506" s="172" t="s">
        <v>53</v>
      </c>
      <c r="F506" s="172" t="s">
        <v>120</v>
      </c>
      <c r="G506" s="172" t="s">
        <v>84</v>
      </c>
      <c r="H506" s="177">
        <v>1</v>
      </c>
      <c r="I506" s="178">
        <v>0</v>
      </c>
      <c r="J506" s="176">
        <v>46013</v>
      </c>
      <c r="K506" s="172" t="s">
        <v>93</v>
      </c>
      <c r="L506" s="172" t="s">
        <v>94</v>
      </c>
      <c r="M506" s="179">
        <v>0</v>
      </c>
      <c r="N506" s="177"/>
      <c r="O506" s="177">
        <v>43</v>
      </c>
      <c r="P506" s="180">
        <v>-56</v>
      </c>
    </row>
    <row r="507" spans="1:16" ht="19.5" customHeight="1">
      <c r="A507" s="172" t="s">
        <v>491</v>
      </c>
      <c r="B507" s="176">
        <v>46037</v>
      </c>
      <c r="C507" s="172" t="s">
        <v>81</v>
      </c>
      <c r="D507" s="172" t="s">
        <v>95</v>
      </c>
      <c r="E507" s="172" t="s">
        <v>53</v>
      </c>
      <c r="F507" s="172" t="s">
        <v>120</v>
      </c>
      <c r="G507" s="172" t="s">
        <v>84</v>
      </c>
      <c r="H507" s="177">
        <v>1</v>
      </c>
      <c r="I507" s="178">
        <v>0</v>
      </c>
      <c r="J507" s="176">
        <v>46013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-10.19</v>
      </c>
    </row>
    <row r="508" spans="1:16" ht="19.5" customHeight="1">
      <c r="A508" s="172" t="s">
        <v>491</v>
      </c>
      <c r="B508" s="176">
        <v>46037</v>
      </c>
      <c r="C508" s="172" t="s">
        <v>92</v>
      </c>
      <c r="D508" s="172" t="s">
        <v>96</v>
      </c>
      <c r="E508" s="172" t="s">
        <v>53</v>
      </c>
      <c r="F508" s="172" t="s">
        <v>120</v>
      </c>
      <c r="G508" s="172" t="s">
        <v>84</v>
      </c>
      <c r="H508" s="177">
        <v>1</v>
      </c>
      <c r="I508" s="178">
        <v>0</v>
      </c>
      <c r="J508" s="176">
        <v>46013</v>
      </c>
      <c r="K508" s="172" t="s">
        <v>93</v>
      </c>
      <c r="L508" s="172" t="s">
        <v>94</v>
      </c>
      <c r="M508" s="179">
        <v>0</v>
      </c>
      <c r="N508" s="177"/>
      <c r="O508" s="177"/>
      <c r="P508" s="180">
        <v>0</v>
      </c>
    </row>
    <row r="509" spans="1:16" ht="19.5" customHeight="1">
      <c r="A509" s="172" t="s">
        <v>491</v>
      </c>
      <c r="B509" s="176">
        <v>46037</v>
      </c>
      <c r="C509" s="172" t="s">
        <v>92</v>
      </c>
      <c r="D509" s="172" t="s">
        <v>97</v>
      </c>
      <c r="E509" s="172" t="s">
        <v>53</v>
      </c>
      <c r="F509" s="172" t="s">
        <v>120</v>
      </c>
      <c r="G509" s="172" t="s">
        <v>84</v>
      </c>
      <c r="H509" s="177">
        <v>1</v>
      </c>
      <c r="I509" s="178">
        <v>0</v>
      </c>
      <c r="J509" s="176">
        <v>46013</v>
      </c>
      <c r="K509" s="172" t="s">
        <v>93</v>
      </c>
      <c r="L509" s="172" t="s">
        <v>94</v>
      </c>
      <c r="M509" s="179">
        <v>0</v>
      </c>
      <c r="N509" s="177"/>
      <c r="O509" s="177"/>
      <c r="P509" s="180">
        <v>-56</v>
      </c>
    </row>
    <row r="510" spans="1:16" ht="19.5" customHeight="1">
      <c r="A510" s="172" t="s">
        <v>492</v>
      </c>
      <c r="B510" s="176">
        <v>46037</v>
      </c>
      <c r="C510" s="172" t="s">
        <v>81</v>
      </c>
      <c r="D510" s="172" t="s">
        <v>82</v>
      </c>
      <c r="E510" s="172" t="s">
        <v>42</v>
      </c>
      <c r="F510" s="172" t="s">
        <v>89</v>
      </c>
      <c r="G510" s="172" t="s">
        <v>84</v>
      </c>
      <c r="H510" s="177">
        <v>1</v>
      </c>
      <c r="I510" s="178">
        <v>0</v>
      </c>
      <c r="J510" s="176">
        <v>46037</v>
      </c>
      <c r="K510" s="172" t="s">
        <v>85</v>
      </c>
      <c r="L510" s="172" t="s">
        <v>85</v>
      </c>
      <c r="M510" s="179">
        <v>0</v>
      </c>
      <c r="N510" s="177"/>
      <c r="O510" s="177"/>
      <c r="P510" s="180">
        <v>-11.76</v>
      </c>
    </row>
    <row r="511" spans="1:16" ht="19.5" customHeight="1">
      <c r="A511" s="172" t="s">
        <v>85</v>
      </c>
      <c r="B511" s="176">
        <v>46037</v>
      </c>
      <c r="C511" s="172" t="s">
        <v>109</v>
      </c>
      <c r="D511" s="172" t="s">
        <v>110</v>
      </c>
      <c r="E511" s="172" t="s">
        <v>85</v>
      </c>
      <c r="F511" s="172" t="s">
        <v>85</v>
      </c>
      <c r="G511" s="172" t="s">
        <v>493</v>
      </c>
      <c r="H511" s="177">
        <v>0</v>
      </c>
      <c r="I511" s="178">
        <v>0</v>
      </c>
      <c r="J511" s="176">
        <v>46037</v>
      </c>
      <c r="K511" s="172" t="s">
        <v>85</v>
      </c>
      <c r="L511" s="172" t="s">
        <v>85</v>
      </c>
      <c r="M511" s="179">
        <v>0</v>
      </c>
      <c r="N511" s="177"/>
      <c r="O511" s="177"/>
      <c r="P511" s="180">
        <v>-150</v>
      </c>
    </row>
    <row r="512" spans="1:16" ht="19.5" customHeight="1">
      <c r="A512" s="172" t="s">
        <v>494</v>
      </c>
      <c r="B512" s="176">
        <v>46037</v>
      </c>
      <c r="C512" s="172" t="s">
        <v>92</v>
      </c>
      <c r="D512" s="172" t="s">
        <v>96</v>
      </c>
      <c r="E512" s="172" t="s">
        <v>43</v>
      </c>
      <c r="F512" s="172" t="s">
        <v>125</v>
      </c>
      <c r="G512" s="172" t="s">
        <v>84</v>
      </c>
      <c r="H512" s="177">
        <v>1</v>
      </c>
      <c r="I512" s="178">
        <v>0</v>
      </c>
      <c r="J512" s="176">
        <v>46023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0</v>
      </c>
    </row>
    <row r="513" spans="1:16" ht="19.5" customHeight="1">
      <c r="A513" s="172" t="s">
        <v>494</v>
      </c>
      <c r="B513" s="176">
        <v>46037</v>
      </c>
      <c r="C513" s="172" t="s">
        <v>92</v>
      </c>
      <c r="D513" s="172" t="s">
        <v>97</v>
      </c>
      <c r="E513" s="172" t="s">
        <v>43</v>
      </c>
      <c r="F513" s="172" t="s">
        <v>125</v>
      </c>
      <c r="G513" s="172" t="s">
        <v>84</v>
      </c>
      <c r="H513" s="177">
        <v>1</v>
      </c>
      <c r="I513" s="178">
        <v>0</v>
      </c>
      <c r="J513" s="176">
        <v>46023</v>
      </c>
      <c r="K513" s="172" t="s">
        <v>93</v>
      </c>
      <c r="L513" s="172" t="s">
        <v>94</v>
      </c>
      <c r="M513" s="179">
        <v>0</v>
      </c>
      <c r="N513" s="177"/>
      <c r="O513" s="177"/>
      <c r="P513" s="180">
        <v>-46.77</v>
      </c>
    </row>
    <row r="514" spans="1:16" ht="19.5" customHeight="1">
      <c r="A514" s="172" t="s">
        <v>494</v>
      </c>
      <c r="B514" s="176">
        <v>46037</v>
      </c>
      <c r="C514" s="172" t="s">
        <v>81</v>
      </c>
      <c r="D514" s="172" t="s">
        <v>98</v>
      </c>
      <c r="E514" s="172" t="s">
        <v>43</v>
      </c>
      <c r="F514" s="172" t="s">
        <v>125</v>
      </c>
      <c r="G514" s="172" t="s">
        <v>84</v>
      </c>
      <c r="H514" s="177">
        <v>1</v>
      </c>
      <c r="I514" s="178">
        <v>0</v>
      </c>
      <c r="J514" s="176">
        <v>46023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-15</v>
      </c>
    </row>
    <row r="515" spans="1:16" ht="19.5" customHeight="1">
      <c r="A515" s="172" t="s">
        <v>494</v>
      </c>
      <c r="B515" s="176">
        <v>46037</v>
      </c>
      <c r="C515" s="172" t="s">
        <v>92</v>
      </c>
      <c r="D515" s="172" t="s">
        <v>24</v>
      </c>
      <c r="E515" s="172" t="s">
        <v>43</v>
      </c>
      <c r="F515" s="172" t="s">
        <v>125</v>
      </c>
      <c r="G515" s="172" t="s">
        <v>84</v>
      </c>
      <c r="H515" s="177">
        <v>1</v>
      </c>
      <c r="I515" s="178">
        <v>0</v>
      </c>
      <c r="J515" s="176">
        <v>46023</v>
      </c>
      <c r="K515" s="172" t="s">
        <v>93</v>
      </c>
      <c r="L515" s="172" t="s">
        <v>94</v>
      </c>
      <c r="M515" s="179">
        <v>0</v>
      </c>
      <c r="N515" s="177"/>
      <c r="O515" s="177">
        <v>43</v>
      </c>
      <c r="P515" s="180">
        <v>-46.77</v>
      </c>
    </row>
    <row r="516" spans="1:16" ht="19.5" customHeight="1">
      <c r="A516" s="172" t="s">
        <v>494</v>
      </c>
      <c r="B516" s="176">
        <v>46037</v>
      </c>
      <c r="C516" s="172" t="s">
        <v>81</v>
      </c>
      <c r="D516" s="172" t="s">
        <v>95</v>
      </c>
      <c r="E516" s="172" t="s">
        <v>43</v>
      </c>
      <c r="F516" s="172" t="s">
        <v>125</v>
      </c>
      <c r="G516" s="172" t="s">
        <v>84</v>
      </c>
      <c r="H516" s="177">
        <v>1</v>
      </c>
      <c r="I516" s="178">
        <v>0</v>
      </c>
      <c r="J516" s="176">
        <v>46023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-7.18</v>
      </c>
    </row>
    <row r="517" spans="1:16" ht="19.5" customHeight="1">
      <c r="A517" s="172" t="s">
        <v>495</v>
      </c>
      <c r="B517" s="176">
        <v>46037</v>
      </c>
      <c r="C517" s="172" t="s">
        <v>92</v>
      </c>
      <c r="D517" s="172" t="s">
        <v>24</v>
      </c>
      <c r="E517" s="172" t="s">
        <v>52</v>
      </c>
      <c r="F517" s="172" t="s">
        <v>90</v>
      </c>
      <c r="G517" s="172" t="s">
        <v>84</v>
      </c>
      <c r="H517" s="177">
        <v>1</v>
      </c>
      <c r="I517" s="178">
        <v>1621</v>
      </c>
      <c r="J517" s="176">
        <v>46026</v>
      </c>
      <c r="K517" s="172" t="s">
        <v>93</v>
      </c>
      <c r="L517" s="172" t="s">
        <v>94</v>
      </c>
      <c r="M517" s="179">
        <v>0.43</v>
      </c>
      <c r="N517" s="177"/>
      <c r="O517" s="177">
        <v>46</v>
      </c>
      <c r="P517" s="180">
        <v>-150.56</v>
      </c>
    </row>
    <row r="518" spans="1:16" ht="19.5" customHeight="1">
      <c r="A518" s="172" t="s">
        <v>495</v>
      </c>
      <c r="B518" s="176">
        <v>46037</v>
      </c>
      <c r="C518" s="172" t="s">
        <v>100</v>
      </c>
      <c r="D518" s="172" t="s">
        <v>101</v>
      </c>
      <c r="E518" s="172" t="s">
        <v>52</v>
      </c>
      <c r="F518" s="172" t="s">
        <v>90</v>
      </c>
      <c r="G518" s="172" t="s">
        <v>84</v>
      </c>
      <c r="H518" s="177">
        <v>1</v>
      </c>
      <c r="I518" s="178">
        <v>1621</v>
      </c>
      <c r="J518" s="176">
        <v>46026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570.48</v>
      </c>
    </row>
    <row r="519" spans="1:16" ht="19.5" customHeight="1">
      <c r="A519" s="172" t="s">
        <v>495</v>
      </c>
      <c r="B519" s="176">
        <v>46037</v>
      </c>
      <c r="C519" s="172" t="s">
        <v>100</v>
      </c>
      <c r="D519" s="172" t="s">
        <v>102</v>
      </c>
      <c r="E519" s="172" t="s">
        <v>52</v>
      </c>
      <c r="F519" s="172" t="s">
        <v>90</v>
      </c>
      <c r="G519" s="172" t="s">
        <v>84</v>
      </c>
      <c r="H519" s="177">
        <v>1</v>
      </c>
      <c r="I519" s="178">
        <v>1621</v>
      </c>
      <c r="J519" s="176">
        <v>46026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5.7</v>
      </c>
    </row>
    <row r="520" spans="1:16" ht="19.5" customHeight="1">
      <c r="A520" s="172" t="s">
        <v>495</v>
      </c>
      <c r="B520" s="176">
        <v>46037</v>
      </c>
      <c r="C520" s="172" t="s">
        <v>100</v>
      </c>
      <c r="D520" s="172" t="s">
        <v>103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46026</v>
      </c>
      <c r="K520" s="172" t="s">
        <v>93</v>
      </c>
      <c r="L520" s="172" t="s">
        <v>94</v>
      </c>
      <c r="M520" s="179">
        <v>0</v>
      </c>
      <c r="N520" s="177"/>
      <c r="O520" s="177"/>
      <c r="P520" s="180">
        <v>1044.82</v>
      </c>
    </row>
    <row r="521" spans="1:16" ht="19.5" customHeight="1">
      <c r="A521" s="172" t="s">
        <v>495</v>
      </c>
      <c r="B521" s="176">
        <v>46037</v>
      </c>
      <c r="C521" s="172" t="s">
        <v>104</v>
      </c>
      <c r="D521" s="172" t="s">
        <v>105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46026</v>
      </c>
      <c r="K521" s="172" t="s">
        <v>93</v>
      </c>
      <c r="L521" s="172" t="s">
        <v>94</v>
      </c>
      <c r="M521" s="179">
        <v>0.43</v>
      </c>
      <c r="N521" s="177"/>
      <c r="O521" s="177"/>
      <c r="P521" s="180">
        <v>-697.03</v>
      </c>
    </row>
    <row r="522" spans="1:16" ht="19.5" customHeight="1">
      <c r="A522" s="172" t="s">
        <v>495</v>
      </c>
      <c r="B522" s="176">
        <v>46037</v>
      </c>
      <c r="C522" s="172" t="s">
        <v>81</v>
      </c>
      <c r="D522" s="172" t="s">
        <v>95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46026</v>
      </c>
      <c r="K522" s="172" t="s">
        <v>93</v>
      </c>
      <c r="L522" s="172" t="s">
        <v>94</v>
      </c>
      <c r="M522" s="179">
        <v>0.43</v>
      </c>
      <c r="N522" s="177"/>
      <c r="O522" s="177"/>
      <c r="P522" s="180">
        <v>-9.51</v>
      </c>
    </row>
    <row r="523" spans="1:16" ht="19.5" customHeight="1">
      <c r="A523" s="172" t="s">
        <v>496</v>
      </c>
      <c r="B523" s="176">
        <v>46037</v>
      </c>
      <c r="C523" s="172" t="s">
        <v>92</v>
      </c>
      <c r="D523" s="172" t="s">
        <v>24</v>
      </c>
      <c r="E523" s="172" t="s">
        <v>53</v>
      </c>
      <c r="F523" s="172" t="s">
        <v>120</v>
      </c>
      <c r="G523" s="172" t="s">
        <v>84</v>
      </c>
      <c r="H523" s="177">
        <v>1</v>
      </c>
      <c r="I523" s="178">
        <v>1845</v>
      </c>
      <c r="J523" s="176">
        <v>46034</v>
      </c>
      <c r="K523" s="172" t="s">
        <v>93</v>
      </c>
      <c r="L523" s="172" t="s">
        <v>94</v>
      </c>
      <c r="M523" s="179">
        <v>0.43</v>
      </c>
      <c r="N523" s="177"/>
      <c r="O523" s="177">
        <v>42</v>
      </c>
      <c r="P523" s="180">
        <v>-140.5</v>
      </c>
    </row>
    <row r="524" spans="1:16" ht="19.5" customHeight="1">
      <c r="A524" s="172" t="s">
        <v>496</v>
      </c>
      <c r="B524" s="176">
        <v>46037</v>
      </c>
      <c r="C524" s="172" t="s">
        <v>100</v>
      </c>
      <c r="D524" s="172" t="s">
        <v>101</v>
      </c>
      <c r="E524" s="172" t="s">
        <v>53</v>
      </c>
      <c r="F524" s="172" t="s">
        <v>120</v>
      </c>
      <c r="G524" s="172" t="s">
        <v>84</v>
      </c>
      <c r="H524" s="177">
        <v>1</v>
      </c>
      <c r="I524" s="178">
        <v>1845</v>
      </c>
      <c r="J524" s="176">
        <v>46034</v>
      </c>
      <c r="K524" s="172" t="s">
        <v>93</v>
      </c>
      <c r="L524" s="172" t="s">
        <v>94</v>
      </c>
      <c r="M524" s="179">
        <v>0</v>
      </c>
      <c r="N524" s="177"/>
      <c r="O524" s="177"/>
      <c r="P524" s="180">
        <v>642.86</v>
      </c>
    </row>
    <row r="525" spans="1:16" ht="19.5" customHeight="1">
      <c r="A525" s="172" t="s">
        <v>496</v>
      </c>
      <c r="B525" s="176">
        <v>46037</v>
      </c>
      <c r="C525" s="172" t="s">
        <v>100</v>
      </c>
      <c r="D525" s="172" t="s">
        <v>102</v>
      </c>
      <c r="E525" s="172" t="s">
        <v>53</v>
      </c>
      <c r="F525" s="172" t="s">
        <v>120</v>
      </c>
      <c r="G525" s="172" t="s">
        <v>84</v>
      </c>
      <c r="H525" s="177">
        <v>1</v>
      </c>
      <c r="I525" s="178">
        <v>1845</v>
      </c>
      <c r="J525" s="176">
        <v>46034</v>
      </c>
      <c r="K525" s="172" t="s">
        <v>93</v>
      </c>
      <c r="L525" s="172" t="s">
        <v>94</v>
      </c>
      <c r="M525" s="179">
        <v>0</v>
      </c>
      <c r="N525" s="177"/>
      <c r="O525" s="177"/>
      <c r="P525" s="180">
        <v>6.43</v>
      </c>
    </row>
    <row r="526" spans="1:16" ht="19.5" customHeight="1">
      <c r="A526" s="172" t="s">
        <v>496</v>
      </c>
      <c r="B526" s="176">
        <v>46037</v>
      </c>
      <c r="C526" s="172" t="s">
        <v>100</v>
      </c>
      <c r="D526" s="172" t="s">
        <v>103</v>
      </c>
      <c r="E526" s="172" t="s">
        <v>53</v>
      </c>
      <c r="F526" s="172" t="s">
        <v>120</v>
      </c>
      <c r="G526" s="172" t="s">
        <v>84</v>
      </c>
      <c r="H526" s="177">
        <v>1</v>
      </c>
      <c r="I526" s="178">
        <v>1845</v>
      </c>
      <c r="J526" s="176">
        <v>46034</v>
      </c>
      <c r="K526" s="172" t="s">
        <v>93</v>
      </c>
      <c r="L526" s="172" t="s">
        <v>94</v>
      </c>
      <c r="M526" s="179">
        <v>0</v>
      </c>
      <c r="N526" s="177"/>
      <c r="O526" s="177"/>
      <c r="P526" s="180">
        <v>1195.71</v>
      </c>
    </row>
    <row r="527" spans="1:16" ht="19.5" customHeight="1">
      <c r="A527" s="172" t="s">
        <v>496</v>
      </c>
      <c r="B527" s="176">
        <v>46037</v>
      </c>
      <c r="C527" s="172" t="s">
        <v>104</v>
      </c>
      <c r="D527" s="172" t="s">
        <v>105</v>
      </c>
      <c r="E527" s="172" t="s">
        <v>53</v>
      </c>
      <c r="F527" s="172" t="s">
        <v>120</v>
      </c>
      <c r="G527" s="172" t="s">
        <v>84</v>
      </c>
      <c r="H527" s="177">
        <v>1</v>
      </c>
      <c r="I527" s="178">
        <v>1845</v>
      </c>
      <c r="J527" s="176">
        <v>46034</v>
      </c>
      <c r="K527" s="172" t="s">
        <v>93</v>
      </c>
      <c r="L527" s="172" t="s">
        <v>94</v>
      </c>
      <c r="M527" s="179">
        <v>0.43</v>
      </c>
      <c r="N527" s="177"/>
      <c r="O527" s="177"/>
      <c r="P527" s="180">
        <v>-793.35</v>
      </c>
    </row>
    <row r="528" spans="1:16" ht="19.5" customHeight="1">
      <c r="A528" s="172" t="s">
        <v>496</v>
      </c>
      <c r="B528" s="176">
        <v>46037</v>
      </c>
      <c r="C528" s="172" t="s">
        <v>81</v>
      </c>
      <c r="D528" s="172" t="s">
        <v>95</v>
      </c>
      <c r="E528" s="172" t="s">
        <v>53</v>
      </c>
      <c r="F528" s="172" t="s">
        <v>120</v>
      </c>
      <c r="G528" s="172" t="s">
        <v>84</v>
      </c>
      <c r="H528" s="177">
        <v>1</v>
      </c>
      <c r="I528" s="178">
        <v>1845</v>
      </c>
      <c r="J528" s="176">
        <v>46034</v>
      </c>
      <c r="K528" s="172" t="s">
        <v>93</v>
      </c>
      <c r="L528" s="172" t="s">
        <v>94</v>
      </c>
      <c r="M528" s="179">
        <v>0.43</v>
      </c>
      <c r="N528" s="177"/>
      <c r="O528" s="177"/>
      <c r="P528" s="180">
        <v>-25</v>
      </c>
    </row>
    <row r="529" spans="1:16" ht="19.5" customHeight="1">
      <c r="A529" s="172" t="s">
        <v>497</v>
      </c>
      <c r="B529" s="176">
        <v>46037</v>
      </c>
      <c r="C529" s="172" t="s">
        <v>92</v>
      </c>
      <c r="D529" s="172" t="s">
        <v>24</v>
      </c>
      <c r="E529" s="172" t="s">
        <v>53</v>
      </c>
      <c r="F529" s="172" t="s">
        <v>120</v>
      </c>
      <c r="G529" s="172" t="s">
        <v>84</v>
      </c>
      <c r="H529" s="177">
        <v>1</v>
      </c>
      <c r="I529" s="178">
        <v>0</v>
      </c>
      <c r="J529" s="176">
        <v>46034</v>
      </c>
      <c r="K529" s="172" t="s">
        <v>93</v>
      </c>
      <c r="L529" s="172" t="s">
        <v>94</v>
      </c>
      <c r="M529" s="179">
        <v>0</v>
      </c>
      <c r="N529" s="177"/>
      <c r="O529" s="177">
        <v>42</v>
      </c>
      <c r="P529" s="180">
        <v>-56</v>
      </c>
    </row>
    <row r="530" spans="1:16" ht="19.5" customHeight="1">
      <c r="A530" s="172" t="s">
        <v>497</v>
      </c>
      <c r="B530" s="176">
        <v>46037</v>
      </c>
      <c r="C530" s="172" t="s">
        <v>81</v>
      </c>
      <c r="D530" s="172" t="s">
        <v>95</v>
      </c>
      <c r="E530" s="172" t="s">
        <v>53</v>
      </c>
      <c r="F530" s="172" t="s">
        <v>120</v>
      </c>
      <c r="G530" s="172" t="s">
        <v>84</v>
      </c>
      <c r="H530" s="177">
        <v>1</v>
      </c>
      <c r="I530" s="178">
        <v>0</v>
      </c>
      <c r="J530" s="176">
        <v>46034</v>
      </c>
      <c r="K530" s="172" t="s">
        <v>93</v>
      </c>
      <c r="L530" s="172" t="s">
        <v>94</v>
      </c>
      <c r="M530" s="179">
        <v>0</v>
      </c>
      <c r="N530" s="177"/>
      <c r="O530" s="177"/>
      <c r="P530" s="180">
        <v>-13.73</v>
      </c>
    </row>
    <row r="531" spans="1:16" ht="19.5" customHeight="1">
      <c r="A531" s="172" t="s">
        <v>497</v>
      </c>
      <c r="B531" s="176">
        <v>46037</v>
      </c>
      <c r="C531" s="172" t="s">
        <v>92</v>
      </c>
      <c r="D531" s="172" t="s">
        <v>96</v>
      </c>
      <c r="E531" s="172" t="s">
        <v>53</v>
      </c>
      <c r="F531" s="172" t="s">
        <v>120</v>
      </c>
      <c r="G531" s="172" t="s">
        <v>84</v>
      </c>
      <c r="H531" s="177">
        <v>1</v>
      </c>
      <c r="I531" s="178">
        <v>0</v>
      </c>
      <c r="J531" s="176">
        <v>46034</v>
      </c>
      <c r="K531" s="172" t="s">
        <v>93</v>
      </c>
      <c r="L531" s="172" t="s">
        <v>94</v>
      </c>
      <c r="M531" s="179">
        <v>0</v>
      </c>
      <c r="N531" s="177"/>
      <c r="O531" s="177"/>
      <c r="P531" s="180">
        <v>0</v>
      </c>
    </row>
    <row r="532" spans="1:16" ht="19.5" customHeight="1">
      <c r="A532" s="172" t="s">
        <v>497</v>
      </c>
      <c r="B532" s="176">
        <v>46037</v>
      </c>
      <c r="C532" s="172" t="s">
        <v>92</v>
      </c>
      <c r="D532" s="172" t="s">
        <v>97</v>
      </c>
      <c r="E532" s="172" t="s">
        <v>53</v>
      </c>
      <c r="F532" s="172" t="s">
        <v>120</v>
      </c>
      <c r="G532" s="172" t="s">
        <v>84</v>
      </c>
      <c r="H532" s="177">
        <v>1</v>
      </c>
      <c r="I532" s="178">
        <v>0</v>
      </c>
      <c r="J532" s="176">
        <v>46034</v>
      </c>
      <c r="K532" s="172" t="s">
        <v>93</v>
      </c>
      <c r="L532" s="172" t="s">
        <v>94</v>
      </c>
      <c r="M532" s="179">
        <v>0</v>
      </c>
      <c r="N532" s="177"/>
      <c r="O532" s="177"/>
      <c r="P532" s="180">
        <v>-56</v>
      </c>
    </row>
    <row r="533" spans="1:16" ht="19.5" customHeight="1">
      <c r="A533" s="172" t="s">
        <v>497</v>
      </c>
      <c r="B533" s="176">
        <v>46037</v>
      </c>
      <c r="C533" s="172" t="s">
        <v>81</v>
      </c>
      <c r="D533" s="172" t="s">
        <v>98</v>
      </c>
      <c r="E533" s="172" t="s">
        <v>53</v>
      </c>
      <c r="F533" s="172" t="s">
        <v>120</v>
      </c>
      <c r="G533" s="172" t="s">
        <v>84</v>
      </c>
      <c r="H533" s="177">
        <v>1</v>
      </c>
      <c r="I533" s="178">
        <v>0</v>
      </c>
      <c r="J533" s="176">
        <v>46034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-15</v>
      </c>
    </row>
    <row r="534" spans="1:16" ht="19.5" customHeight="1">
      <c r="A534" s="172" t="s">
        <v>498</v>
      </c>
      <c r="B534" s="176">
        <v>46037</v>
      </c>
      <c r="C534" s="172" t="s">
        <v>81</v>
      </c>
      <c r="D534" s="172" t="s">
        <v>82</v>
      </c>
      <c r="E534" s="172" t="s">
        <v>53</v>
      </c>
      <c r="F534" s="172" t="s">
        <v>120</v>
      </c>
      <c r="G534" s="172" t="s">
        <v>84</v>
      </c>
      <c r="H534" s="177">
        <v>1</v>
      </c>
      <c r="I534" s="178">
        <v>0</v>
      </c>
      <c r="J534" s="176">
        <v>46037</v>
      </c>
      <c r="K534" s="172" t="s">
        <v>85</v>
      </c>
      <c r="L534" s="172" t="s">
        <v>85</v>
      </c>
      <c r="M534" s="179">
        <v>0</v>
      </c>
      <c r="N534" s="177"/>
      <c r="O534" s="177"/>
      <c r="P534" s="180">
        <v>-4.72</v>
      </c>
    </row>
    <row r="535" spans="1:16" ht="19.5" customHeight="1">
      <c r="A535" s="172" t="s">
        <v>496</v>
      </c>
      <c r="B535" s="176">
        <v>46037</v>
      </c>
      <c r="C535" s="172" t="s">
        <v>81</v>
      </c>
      <c r="D535" s="172" t="s">
        <v>82</v>
      </c>
      <c r="E535" s="172" t="s">
        <v>53</v>
      </c>
      <c r="F535" s="172" t="s">
        <v>120</v>
      </c>
      <c r="G535" s="172" t="s">
        <v>84</v>
      </c>
      <c r="H535" s="177">
        <v>1</v>
      </c>
      <c r="I535" s="178">
        <v>0</v>
      </c>
      <c r="J535" s="176">
        <v>46034</v>
      </c>
      <c r="K535" s="172" t="s">
        <v>85</v>
      </c>
      <c r="L535" s="172" t="s">
        <v>85</v>
      </c>
      <c r="M535" s="179">
        <v>0</v>
      </c>
      <c r="N535" s="177"/>
      <c r="O535" s="177"/>
      <c r="P535" s="180">
        <v>-12.21</v>
      </c>
    </row>
    <row r="536" spans="1:16" ht="19.5" customHeight="1">
      <c r="A536" s="172" t="s">
        <v>499</v>
      </c>
      <c r="B536" s="176">
        <v>46037</v>
      </c>
      <c r="C536" s="172" t="s">
        <v>92</v>
      </c>
      <c r="D536" s="172" t="s">
        <v>24</v>
      </c>
      <c r="E536" s="172" t="s">
        <v>41</v>
      </c>
      <c r="F536" s="172" t="s">
        <v>83</v>
      </c>
      <c r="G536" s="172" t="s">
        <v>84</v>
      </c>
      <c r="H536" s="177">
        <v>1</v>
      </c>
      <c r="I536" s="178">
        <v>1750</v>
      </c>
      <c r="J536" s="176">
        <v>46032</v>
      </c>
      <c r="K536" s="172" t="s">
        <v>93</v>
      </c>
      <c r="L536" s="172" t="s">
        <v>94</v>
      </c>
      <c r="M536" s="179">
        <v>0.43</v>
      </c>
      <c r="N536" s="177"/>
      <c r="O536" s="177">
        <v>41</v>
      </c>
      <c r="P536" s="180">
        <v>-118.09</v>
      </c>
    </row>
    <row r="537" spans="1:16" ht="19.5" customHeight="1">
      <c r="A537" s="172" t="s">
        <v>499</v>
      </c>
      <c r="B537" s="176">
        <v>46037</v>
      </c>
      <c r="C537" s="172" t="s">
        <v>100</v>
      </c>
      <c r="D537" s="172" t="s">
        <v>101</v>
      </c>
      <c r="E537" s="172" t="s">
        <v>41</v>
      </c>
      <c r="F537" s="172" t="s">
        <v>83</v>
      </c>
      <c r="G537" s="172" t="s">
        <v>84</v>
      </c>
      <c r="H537" s="177">
        <v>1</v>
      </c>
      <c r="I537" s="178">
        <v>1750</v>
      </c>
      <c r="J537" s="176">
        <v>46032</v>
      </c>
      <c r="K537" s="172" t="s">
        <v>93</v>
      </c>
      <c r="L537" s="172" t="s">
        <v>94</v>
      </c>
      <c r="M537" s="179">
        <v>0</v>
      </c>
      <c r="N537" s="177"/>
      <c r="O537" s="177"/>
      <c r="P537" s="180">
        <v>608.94000000000005</v>
      </c>
    </row>
    <row r="538" spans="1:16" ht="19.5" customHeight="1">
      <c r="A538" s="172" t="s">
        <v>499</v>
      </c>
      <c r="B538" s="176">
        <v>46037</v>
      </c>
      <c r="C538" s="172" t="s">
        <v>100</v>
      </c>
      <c r="D538" s="172" t="s">
        <v>102</v>
      </c>
      <c r="E538" s="172" t="s">
        <v>41</v>
      </c>
      <c r="F538" s="172" t="s">
        <v>83</v>
      </c>
      <c r="G538" s="172" t="s">
        <v>84</v>
      </c>
      <c r="H538" s="177">
        <v>1</v>
      </c>
      <c r="I538" s="178">
        <v>1750</v>
      </c>
      <c r="J538" s="176">
        <v>46032</v>
      </c>
      <c r="K538" s="172" t="s">
        <v>93</v>
      </c>
      <c r="L538" s="172" t="s">
        <v>94</v>
      </c>
      <c r="M538" s="179">
        <v>0</v>
      </c>
      <c r="N538" s="177"/>
      <c r="O538" s="177"/>
      <c r="P538" s="180">
        <v>6.09</v>
      </c>
    </row>
    <row r="539" spans="1:16" ht="19.5" customHeight="1">
      <c r="A539" s="172" t="s">
        <v>499</v>
      </c>
      <c r="B539" s="176">
        <v>46037</v>
      </c>
      <c r="C539" s="172" t="s">
        <v>100</v>
      </c>
      <c r="D539" s="172" t="s">
        <v>103</v>
      </c>
      <c r="E539" s="172" t="s">
        <v>41</v>
      </c>
      <c r="F539" s="172" t="s">
        <v>83</v>
      </c>
      <c r="G539" s="172" t="s">
        <v>84</v>
      </c>
      <c r="H539" s="177">
        <v>1</v>
      </c>
      <c r="I539" s="178">
        <v>1750</v>
      </c>
      <c r="J539" s="176">
        <v>46032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1134.97</v>
      </c>
    </row>
    <row r="540" spans="1:16" ht="19.5" customHeight="1">
      <c r="A540" s="172" t="s">
        <v>499</v>
      </c>
      <c r="B540" s="176">
        <v>46037</v>
      </c>
      <c r="C540" s="172" t="s">
        <v>104</v>
      </c>
      <c r="D540" s="172" t="s">
        <v>105</v>
      </c>
      <c r="E540" s="172" t="s">
        <v>41</v>
      </c>
      <c r="F540" s="172" t="s">
        <v>83</v>
      </c>
      <c r="G540" s="172" t="s">
        <v>84</v>
      </c>
      <c r="H540" s="177">
        <v>1</v>
      </c>
      <c r="I540" s="178">
        <v>1750</v>
      </c>
      <c r="J540" s="176">
        <v>46032</v>
      </c>
      <c r="K540" s="172" t="s">
        <v>93</v>
      </c>
      <c r="L540" s="172" t="s">
        <v>94</v>
      </c>
      <c r="M540" s="179">
        <v>0.43</v>
      </c>
      <c r="N540" s="177"/>
      <c r="O540" s="177"/>
      <c r="P540" s="180">
        <v>-752.5</v>
      </c>
    </row>
    <row r="541" spans="1:16" ht="19.5" customHeight="1">
      <c r="A541" s="172" t="s">
        <v>499</v>
      </c>
      <c r="B541" s="176">
        <v>46037</v>
      </c>
      <c r="C541" s="172" t="s">
        <v>81</v>
      </c>
      <c r="D541" s="172" t="s">
        <v>95</v>
      </c>
      <c r="E541" s="172" t="s">
        <v>41</v>
      </c>
      <c r="F541" s="172" t="s">
        <v>83</v>
      </c>
      <c r="G541" s="172" t="s">
        <v>84</v>
      </c>
      <c r="H541" s="177">
        <v>1</v>
      </c>
      <c r="I541" s="178">
        <v>1750</v>
      </c>
      <c r="J541" s="176">
        <v>46032</v>
      </c>
      <c r="K541" s="172" t="s">
        <v>93</v>
      </c>
      <c r="L541" s="172" t="s">
        <v>94</v>
      </c>
      <c r="M541" s="179">
        <v>0.43</v>
      </c>
      <c r="N541" s="177"/>
      <c r="O541" s="177"/>
      <c r="P541" s="180">
        <v>-10.64</v>
      </c>
    </row>
    <row r="542" spans="1:16" ht="19.5" customHeight="1">
      <c r="A542" s="172" t="s">
        <v>499</v>
      </c>
      <c r="B542" s="176">
        <v>46037</v>
      </c>
      <c r="C542" s="172" t="s">
        <v>81</v>
      </c>
      <c r="D542" s="172" t="s">
        <v>82</v>
      </c>
      <c r="E542" s="172" t="s">
        <v>41</v>
      </c>
      <c r="F542" s="172" t="s">
        <v>83</v>
      </c>
      <c r="G542" s="172" t="s">
        <v>84</v>
      </c>
      <c r="H542" s="177">
        <v>1</v>
      </c>
      <c r="I542" s="178">
        <v>0</v>
      </c>
      <c r="J542" s="176">
        <v>46032</v>
      </c>
      <c r="K542" s="172" t="s">
        <v>85</v>
      </c>
      <c r="L542" s="172" t="s">
        <v>85</v>
      </c>
      <c r="M542" s="179">
        <v>0</v>
      </c>
      <c r="N542" s="177"/>
      <c r="O542" s="177"/>
      <c r="P542" s="180">
        <v>-11.57</v>
      </c>
    </row>
    <row r="543" spans="1:16" ht="19.5" customHeight="1">
      <c r="A543" s="172" t="s">
        <v>500</v>
      </c>
      <c r="B543" s="176">
        <v>46037</v>
      </c>
      <c r="C543" s="172" t="s">
        <v>92</v>
      </c>
      <c r="D543" s="172" t="s">
        <v>24</v>
      </c>
      <c r="E543" s="172" t="s">
        <v>53</v>
      </c>
      <c r="F543" s="172" t="s">
        <v>120</v>
      </c>
      <c r="G543" s="172" t="s">
        <v>84</v>
      </c>
      <c r="H543" s="177">
        <v>1</v>
      </c>
      <c r="I543" s="178">
        <v>1845</v>
      </c>
      <c r="J543" s="176">
        <v>46034</v>
      </c>
      <c r="K543" s="172" t="s">
        <v>93</v>
      </c>
      <c r="L543" s="172" t="s">
        <v>94</v>
      </c>
      <c r="M543" s="179">
        <v>0.43</v>
      </c>
      <c r="N543" s="177"/>
      <c r="O543" s="177">
        <v>42</v>
      </c>
      <c r="P543" s="180">
        <v>-141.97999999999999</v>
      </c>
    </row>
    <row r="544" spans="1:16" ht="19.5" customHeight="1">
      <c r="A544" s="172" t="s">
        <v>500</v>
      </c>
      <c r="B544" s="176">
        <v>46037</v>
      </c>
      <c r="C544" s="172" t="s">
        <v>100</v>
      </c>
      <c r="D544" s="172" t="s">
        <v>101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46034</v>
      </c>
      <c r="K544" s="172" t="s">
        <v>93</v>
      </c>
      <c r="L544" s="172" t="s">
        <v>94</v>
      </c>
      <c r="M544" s="179">
        <v>0</v>
      </c>
      <c r="N544" s="177"/>
      <c r="O544" s="177"/>
      <c r="P544" s="180">
        <v>642.86</v>
      </c>
    </row>
    <row r="545" spans="1:16" ht="19.5" customHeight="1">
      <c r="A545" s="172" t="s">
        <v>500</v>
      </c>
      <c r="B545" s="176">
        <v>46037</v>
      </c>
      <c r="C545" s="172" t="s">
        <v>100</v>
      </c>
      <c r="D545" s="172" t="s">
        <v>102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46034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6.43</v>
      </c>
    </row>
    <row r="546" spans="1:16" ht="19.5" customHeight="1">
      <c r="A546" s="172" t="s">
        <v>500</v>
      </c>
      <c r="B546" s="176">
        <v>46037</v>
      </c>
      <c r="C546" s="172" t="s">
        <v>100</v>
      </c>
      <c r="D546" s="172" t="s">
        <v>103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46034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1195.71</v>
      </c>
    </row>
    <row r="547" spans="1:16" ht="19.5" customHeight="1">
      <c r="A547" s="172" t="s">
        <v>500</v>
      </c>
      <c r="B547" s="176">
        <v>46037</v>
      </c>
      <c r="C547" s="172" t="s">
        <v>104</v>
      </c>
      <c r="D547" s="172" t="s">
        <v>105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46034</v>
      </c>
      <c r="K547" s="172" t="s">
        <v>93</v>
      </c>
      <c r="L547" s="172" t="s">
        <v>94</v>
      </c>
      <c r="M547" s="179">
        <v>0.43</v>
      </c>
      <c r="N547" s="177"/>
      <c r="O547" s="177"/>
      <c r="P547" s="180">
        <v>-793.35</v>
      </c>
    </row>
    <row r="548" spans="1:16" ht="19.5" customHeight="1">
      <c r="A548" s="172" t="s">
        <v>500</v>
      </c>
      <c r="B548" s="176">
        <v>46037</v>
      </c>
      <c r="C548" s="172" t="s">
        <v>81</v>
      </c>
      <c r="D548" s="172" t="s">
        <v>95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46034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-10.7</v>
      </c>
    </row>
    <row r="549" spans="1:16" ht="19.5" customHeight="1">
      <c r="A549" s="172" t="s">
        <v>501</v>
      </c>
      <c r="B549" s="176">
        <v>46037</v>
      </c>
      <c r="C549" s="172" t="s">
        <v>92</v>
      </c>
      <c r="D549" s="172" t="s">
        <v>24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0</v>
      </c>
      <c r="J549" s="176">
        <v>46009</v>
      </c>
      <c r="K549" s="172" t="s">
        <v>93</v>
      </c>
      <c r="L549" s="172" t="s">
        <v>94</v>
      </c>
      <c r="M549" s="179">
        <v>0</v>
      </c>
      <c r="N549" s="177"/>
      <c r="O549" s="177">
        <v>43</v>
      </c>
      <c r="P549" s="180">
        <v>-56</v>
      </c>
    </row>
    <row r="550" spans="1:16" ht="19.5" customHeight="1">
      <c r="A550" s="172" t="s">
        <v>501</v>
      </c>
      <c r="B550" s="176">
        <v>46037</v>
      </c>
      <c r="C550" s="172" t="s">
        <v>81</v>
      </c>
      <c r="D550" s="172" t="s">
        <v>95</v>
      </c>
      <c r="E550" s="172" t="s">
        <v>53</v>
      </c>
      <c r="F550" s="172" t="s">
        <v>120</v>
      </c>
      <c r="G550" s="172" t="s">
        <v>84</v>
      </c>
      <c r="H550" s="177">
        <v>1</v>
      </c>
      <c r="I550" s="178">
        <v>0</v>
      </c>
      <c r="J550" s="176">
        <v>46009</v>
      </c>
      <c r="K550" s="172" t="s">
        <v>93</v>
      </c>
      <c r="L550" s="172" t="s">
        <v>94</v>
      </c>
      <c r="M550" s="179">
        <v>0</v>
      </c>
      <c r="N550" s="177"/>
      <c r="O550" s="177"/>
      <c r="P550" s="180">
        <v>-8.7899999999999991</v>
      </c>
    </row>
    <row r="551" spans="1:16" ht="19.5" customHeight="1">
      <c r="A551" s="172" t="s">
        <v>501</v>
      </c>
      <c r="B551" s="176">
        <v>46037</v>
      </c>
      <c r="C551" s="172" t="s">
        <v>92</v>
      </c>
      <c r="D551" s="172" t="s">
        <v>96</v>
      </c>
      <c r="E551" s="172" t="s">
        <v>53</v>
      </c>
      <c r="F551" s="172" t="s">
        <v>120</v>
      </c>
      <c r="G551" s="172" t="s">
        <v>84</v>
      </c>
      <c r="H551" s="177">
        <v>1</v>
      </c>
      <c r="I551" s="178">
        <v>0</v>
      </c>
      <c r="J551" s="176">
        <v>46009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0</v>
      </c>
    </row>
    <row r="552" spans="1:16" ht="19.5" customHeight="1">
      <c r="A552" s="172" t="s">
        <v>501</v>
      </c>
      <c r="B552" s="176">
        <v>46037</v>
      </c>
      <c r="C552" s="172" t="s">
        <v>92</v>
      </c>
      <c r="D552" s="172" t="s">
        <v>97</v>
      </c>
      <c r="E552" s="172" t="s">
        <v>53</v>
      </c>
      <c r="F552" s="172" t="s">
        <v>120</v>
      </c>
      <c r="G552" s="172" t="s">
        <v>84</v>
      </c>
      <c r="H552" s="177">
        <v>1</v>
      </c>
      <c r="I552" s="178">
        <v>0</v>
      </c>
      <c r="J552" s="176">
        <v>46009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-56</v>
      </c>
    </row>
    <row r="553" spans="1:16" ht="19.5" customHeight="1">
      <c r="A553" s="172" t="s">
        <v>502</v>
      </c>
      <c r="B553" s="176">
        <v>46037</v>
      </c>
      <c r="C553" s="172" t="s">
        <v>92</v>
      </c>
      <c r="D553" s="172" t="s">
        <v>24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0</v>
      </c>
      <c r="J553" s="176">
        <v>46030</v>
      </c>
      <c r="K553" s="172" t="s">
        <v>93</v>
      </c>
      <c r="L553" s="172" t="s">
        <v>94</v>
      </c>
      <c r="M553" s="179">
        <v>0</v>
      </c>
      <c r="N553" s="177"/>
      <c r="O553" s="177">
        <v>42</v>
      </c>
      <c r="P553" s="180">
        <v>-56</v>
      </c>
    </row>
    <row r="554" spans="1:16" ht="19.5" customHeight="1">
      <c r="A554" s="172" t="s">
        <v>502</v>
      </c>
      <c r="B554" s="176">
        <v>46037</v>
      </c>
      <c r="C554" s="172" t="s">
        <v>81</v>
      </c>
      <c r="D554" s="172" t="s">
        <v>95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0</v>
      </c>
      <c r="J554" s="176">
        <v>46030</v>
      </c>
      <c r="K554" s="172" t="s">
        <v>93</v>
      </c>
      <c r="L554" s="172" t="s">
        <v>94</v>
      </c>
      <c r="M554" s="179">
        <v>0</v>
      </c>
      <c r="N554" s="177"/>
      <c r="O554" s="177"/>
      <c r="P554" s="180">
        <v>-8.18</v>
      </c>
    </row>
    <row r="555" spans="1:16" ht="19.5" customHeight="1">
      <c r="A555" s="172" t="s">
        <v>502</v>
      </c>
      <c r="B555" s="176">
        <v>46037</v>
      </c>
      <c r="C555" s="172" t="s">
        <v>92</v>
      </c>
      <c r="D555" s="172" t="s">
        <v>96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0</v>
      </c>
      <c r="J555" s="176">
        <v>46030</v>
      </c>
      <c r="K555" s="172" t="s">
        <v>93</v>
      </c>
      <c r="L555" s="172" t="s">
        <v>94</v>
      </c>
      <c r="M555" s="179">
        <v>0</v>
      </c>
      <c r="N555" s="177"/>
      <c r="O555" s="177"/>
      <c r="P555" s="180">
        <v>0</v>
      </c>
    </row>
    <row r="556" spans="1:16" ht="19.5" customHeight="1">
      <c r="A556" s="172" t="s">
        <v>502</v>
      </c>
      <c r="B556" s="176">
        <v>46037</v>
      </c>
      <c r="C556" s="172" t="s">
        <v>92</v>
      </c>
      <c r="D556" s="172" t="s">
        <v>97</v>
      </c>
      <c r="E556" s="172" t="s">
        <v>52</v>
      </c>
      <c r="F556" s="172" t="s">
        <v>90</v>
      </c>
      <c r="G556" s="172" t="s">
        <v>84</v>
      </c>
      <c r="H556" s="177">
        <v>1</v>
      </c>
      <c r="I556" s="178">
        <v>0</v>
      </c>
      <c r="J556" s="176">
        <v>46030</v>
      </c>
      <c r="K556" s="172" t="s">
        <v>93</v>
      </c>
      <c r="L556" s="172" t="s">
        <v>94</v>
      </c>
      <c r="M556" s="179">
        <v>0</v>
      </c>
      <c r="N556" s="177"/>
      <c r="O556" s="177"/>
      <c r="P556" s="180">
        <v>-56</v>
      </c>
    </row>
    <row r="557" spans="1:16" ht="19.5" customHeight="1">
      <c r="A557" s="172" t="s">
        <v>502</v>
      </c>
      <c r="B557" s="176">
        <v>46037</v>
      </c>
      <c r="C557" s="172" t="s">
        <v>81</v>
      </c>
      <c r="D557" s="172" t="s">
        <v>98</v>
      </c>
      <c r="E557" s="172" t="s">
        <v>52</v>
      </c>
      <c r="F557" s="172" t="s">
        <v>90</v>
      </c>
      <c r="G557" s="172" t="s">
        <v>84</v>
      </c>
      <c r="H557" s="177">
        <v>1</v>
      </c>
      <c r="I557" s="178">
        <v>0</v>
      </c>
      <c r="J557" s="176">
        <v>46030</v>
      </c>
      <c r="K557" s="172" t="s">
        <v>93</v>
      </c>
      <c r="L557" s="172" t="s">
        <v>94</v>
      </c>
      <c r="M557" s="179">
        <v>0</v>
      </c>
      <c r="N557" s="177"/>
      <c r="O557" s="177"/>
      <c r="P557" s="180">
        <v>-15</v>
      </c>
    </row>
    <row r="558" spans="1:16" ht="19.5" customHeight="1">
      <c r="A558" s="172" t="s">
        <v>503</v>
      </c>
      <c r="B558" s="176">
        <v>46037</v>
      </c>
      <c r="C558" s="172" t="s">
        <v>92</v>
      </c>
      <c r="D558" s="172" t="s">
        <v>24</v>
      </c>
      <c r="E558" s="172" t="s">
        <v>52</v>
      </c>
      <c r="F558" s="172" t="s">
        <v>90</v>
      </c>
      <c r="G558" s="172" t="s">
        <v>84</v>
      </c>
      <c r="H558" s="177">
        <v>1</v>
      </c>
      <c r="I558" s="178">
        <v>1621</v>
      </c>
      <c r="J558" s="176">
        <v>46034</v>
      </c>
      <c r="K558" s="172" t="s">
        <v>93</v>
      </c>
      <c r="L558" s="172" t="s">
        <v>94</v>
      </c>
      <c r="M558" s="179">
        <v>0.43</v>
      </c>
      <c r="N558" s="177"/>
      <c r="O558" s="177">
        <v>42</v>
      </c>
      <c r="P558" s="180">
        <v>-134.12</v>
      </c>
    </row>
    <row r="559" spans="1:16" ht="19.5" customHeight="1">
      <c r="A559" s="172" t="s">
        <v>503</v>
      </c>
      <c r="B559" s="176">
        <v>46037</v>
      </c>
      <c r="C559" s="172" t="s">
        <v>100</v>
      </c>
      <c r="D559" s="172" t="s">
        <v>101</v>
      </c>
      <c r="E559" s="172" t="s">
        <v>52</v>
      </c>
      <c r="F559" s="172" t="s">
        <v>90</v>
      </c>
      <c r="G559" s="172" t="s">
        <v>84</v>
      </c>
      <c r="H559" s="177">
        <v>1</v>
      </c>
      <c r="I559" s="178">
        <v>1621</v>
      </c>
      <c r="J559" s="176">
        <v>46034</v>
      </c>
      <c r="K559" s="172" t="s">
        <v>93</v>
      </c>
      <c r="L559" s="172" t="s">
        <v>94</v>
      </c>
      <c r="M559" s="179">
        <v>0</v>
      </c>
      <c r="N559" s="177"/>
      <c r="O559" s="177"/>
      <c r="P559" s="180">
        <v>556.08000000000004</v>
      </c>
    </row>
    <row r="560" spans="1:16" ht="19.5" customHeight="1">
      <c r="A560" s="172" t="s">
        <v>503</v>
      </c>
      <c r="B560" s="176">
        <v>46037</v>
      </c>
      <c r="C560" s="172" t="s">
        <v>100</v>
      </c>
      <c r="D560" s="172" t="s">
        <v>102</v>
      </c>
      <c r="E560" s="172" t="s">
        <v>52</v>
      </c>
      <c r="F560" s="172" t="s">
        <v>90</v>
      </c>
      <c r="G560" s="172" t="s">
        <v>84</v>
      </c>
      <c r="H560" s="177">
        <v>1</v>
      </c>
      <c r="I560" s="178">
        <v>1621</v>
      </c>
      <c r="J560" s="176">
        <v>46034</v>
      </c>
      <c r="K560" s="172" t="s">
        <v>93</v>
      </c>
      <c r="L560" s="172" t="s">
        <v>94</v>
      </c>
      <c r="M560" s="179">
        <v>0</v>
      </c>
      <c r="N560" s="177"/>
      <c r="O560" s="177"/>
      <c r="P560" s="180">
        <v>5.56</v>
      </c>
    </row>
    <row r="561" spans="1:16" ht="19.5" customHeight="1">
      <c r="A561" s="172" t="s">
        <v>503</v>
      </c>
      <c r="B561" s="176">
        <v>46037</v>
      </c>
      <c r="C561" s="172" t="s">
        <v>100</v>
      </c>
      <c r="D561" s="172" t="s">
        <v>103</v>
      </c>
      <c r="E561" s="172" t="s">
        <v>52</v>
      </c>
      <c r="F561" s="172" t="s">
        <v>90</v>
      </c>
      <c r="G561" s="172" t="s">
        <v>84</v>
      </c>
      <c r="H561" s="177">
        <v>1</v>
      </c>
      <c r="I561" s="178">
        <v>1621</v>
      </c>
      <c r="J561" s="176">
        <v>46034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1059.3599999999999</v>
      </c>
    </row>
    <row r="562" spans="1:16" ht="19.5" customHeight="1">
      <c r="A562" s="172" t="s">
        <v>503</v>
      </c>
      <c r="B562" s="176">
        <v>46037</v>
      </c>
      <c r="C562" s="172" t="s">
        <v>104</v>
      </c>
      <c r="D562" s="172" t="s">
        <v>105</v>
      </c>
      <c r="E562" s="172" t="s">
        <v>52</v>
      </c>
      <c r="F562" s="172" t="s">
        <v>90</v>
      </c>
      <c r="G562" s="172" t="s">
        <v>84</v>
      </c>
      <c r="H562" s="177">
        <v>1</v>
      </c>
      <c r="I562" s="178">
        <v>1621</v>
      </c>
      <c r="J562" s="176">
        <v>46034</v>
      </c>
      <c r="K562" s="172" t="s">
        <v>93</v>
      </c>
      <c r="L562" s="172" t="s">
        <v>94</v>
      </c>
      <c r="M562" s="179">
        <v>0.43</v>
      </c>
      <c r="N562" s="177"/>
      <c r="O562" s="177"/>
      <c r="P562" s="180">
        <v>-697.03</v>
      </c>
    </row>
    <row r="563" spans="1:16" ht="19.5" customHeight="1">
      <c r="A563" s="172" t="s">
        <v>503</v>
      </c>
      <c r="B563" s="176">
        <v>46037</v>
      </c>
      <c r="C563" s="172" t="s">
        <v>81</v>
      </c>
      <c r="D563" s="172" t="s">
        <v>95</v>
      </c>
      <c r="E563" s="172" t="s">
        <v>52</v>
      </c>
      <c r="F563" s="172" t="s">
        <v>90</v>
      </c>
      <c r="G563" s="172" t="s">
        <v>84</v>
      </c>
      <c r="H563" s="177">
        <v>1</v>
      </c>
      <c r="I563" s="178">
        <v>1621</v>
      </c>
      <c r="J563" s="176">
        <v>46034</v>
      </c>
      <c r="K563" s="172" t="s">
        <v>93</v>
      </c>
      <c r="L563" s="172" t="s">
        <v>94</v>
      </c>
      <c r="M563" s="179">
        <v>0.43</v>
      </c>
      <c r="N563" s="177"/>
      <c r="O563" s="177"/>
      <c r="P563" s="180">
        <v>-21.79</v>
      </c>
    </row>
    <row r="564" spans="1:16" ht="19.5" customHeight="1">
      <c r="A564" s="172" t="s">
        <v>504</v>
      </c>
      <c r="B564" s="176">
        <v>46037</v>
      </c>
      <c r="C564" s="172" t="s">
        <v>92</v>
      </c>
      <c r="D564" s="172" t="s">
        <v>24</v>
      </c>
      <c r="E564" s="172" t="s">
        <v>41</v>
      </c>
      <c r="F564" s="172" t="s">
        <v>83</v>
      </c>
      <c r="G564" s="172" t="s">
        <v>84</v>
      </c>
      <c r="H564" s="177">
        <v>1</v>
      </c>
      <c r="I564" s="178">
        <v>1750</v>
      </c>
      <c r="J564" s="176">
        <v>46035</v>
      </c>
      <c r="K564" s="172" t="s">
        <v>93</v>
      </c>
      <c r="L564" s="172" t="s">
        <v>94</v>
      </c>
      <c r="M564" s="179">
        <v>0.43</v>
      </c>
      <c r="N564" s="177"/>
      <c r="O564" s="177">
        <v>45</v>
      </c>
      <c r="P564" s="180">
        <v>-134.11000000000001</v>
      </c>
    </row>
    <row r="565" spans="1:16" ht="19.5" customHeight="1">
      <c r="A565" s="172" t="s">
        <v>504</v>
      </c>
      <c r="B565" s="176">
        <v>46037</v>
      </c>
      <c r="C565" s="172" t="s">
        <v>100</v>
      </c>
      <c r="D565" s="172" t="s">
        <v>101</v>
      </c>
      <c r="E565" s="172" t="s">
        <v>41</v>
      </c>
      <c r="F565" s="172" t="s">
        <v>83</v>
      </c>
      <c r="G565" s="172" t="s">
        <v>84</v>
      </c>
      <c r="H565" s="177">
        <v>1</v>
      </c>
      <c r="I565" s="178">
        <v>1750</v>
      </c>
      <c r="J565" s="176">
        <v>46035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575.73</v>
      </c>
    </row>
    <row r="566" spans="1:16" ht="19.5" customHeight="1">
      <c r="A566" s="172" t="s">
        <v>504</v>
      </c>
      <c r="B566" s="176">
        <v>46037</v>
      </c>
      <c r="C566" s="172" t="s">
        <v>100</v>
      </c>
      <c r="D566" s="172" t="s">
        <v>102</v>
      </c>
      <c r="E566" s="172" t="s">
        <v>41</v>
      </c>
      <c r="F566" s="172" t="s">
        <v>83</v>
      </c>
      <c r="G566" s="172" t="s">
        <v>84</v>
      </c>
      <c r="H566" s="177">
        <v>1</v>
      </c>
      <c r="I566" s="178">
        <v>1750</v>
      </c>
      <c r="J566" s="176">
        <v>46035</v>
      </c>
      <c r="K566" s="172" t="s">
        <v>93</v>
      </c>
      <c r="L566" s="172" t="s">
        <v>94</v>
      </c>
      <c r="M566" s="179">
        <v>0</v>
      </c>
      <c r="N566" s="177"/>
      <c r="O566" s="177"/>
      <c r="P566" s="180">
        <v>5.76</v>
      </c>
    </row>
    <row r="567" spans="1:16" ht="19.5" customHeight="1">
      <c r="A567" s="172" t="s">
        <v>504</v>
      </c>
      <c r="B567" s="176">
        <v>46037</v>
      </c>
      <c r="C567" s="172" t="s">
        <v>100</v>
      </c>
      <c r="D567" s="172" t="s">
        <v>103</v>
      </c>
      <c r="E567" s="172" t="s">
        <v>41</v>
      </c>
      <c r="F567" s="172" t="s">
        <v>83</v>
      </c>
      <c r="G567" s="172" t="s">
        <v>84</v>
      </c>
      <c r="H567" s="177">
        <v>1</v>
      </c>
      <c r="I567" s="178">
        <v>1750</v>
      </c>
      <c r="J567" s="176">
        <v>46035</v>
      </c>
      <c r="K567" s="172" t="s">
        <v>93</v>
      </c>
      <c r="L567" s="172" t="s">
        <v>94</v>
      </c>
      <c r="M567" s="179">
        <v>0</v>
      </c>
      <c r="N567" s="177"/>
      <c r="O567" s="177"/>
      <c r="P567" s="180">
        <v>1168.51</v>
      </c>
    </row>
    <row r="568" spans="1:16" ht="19.5" customHeight="1">
      <c r="A568" s="172" t="s">
        <v>504</v>
      </c>
      <c r="B568" s="176">
        <v>46037</v>
      </c>
      <c r="C568" s="172" t="s">
        <v>104</v>
      </c>
      <c r="D568" s="172" t="s">
        <v>105</v>
      </c>
      <c r="E568" s="172" t="s">
        <v>41</v>
      </c>
      <c r="F568" s="172" t="s">
        <v>83</v>
      </c>
      <c r="G568" s="172" t="s">
        <v>84</v>
      </c>
      <c r="H568" s="177">
        <v>1</v>
      </c>
      <c r="I568" s="178">
        <v>1750</v>
      </c>
      <c r="J568" s="176">
        <v>46035</v>
      </c>
      <c r="K568" s="172" t="s">
        <v>93</v>
      </c>
      <c r="L568" s="172" t="s">
        <v>94</v>
      </c>
      <c r="M568" s="179">
        <v>0.43</v>
      </c>
      <c r="N568" s="177"/>
      <c r="O568" s="177"/>
      <c r="P568" s="180">
        <v>-752.5</v>
      </c>
    </row>
    <row r="569" spans="1:16" ht="19.5" customHeight="1">
      <c r="A569" s="172" t="s">
        <v>504</v>
      </c>
      <c r="B569" s="176">
        <v>46037</v>
      </c>
      <c r="C569" s="172" t="s">
        <v>81</v>
      </c>
      <c r="D569" s="172" t="s">
        <v>95</v>
      </c>
      <c r="E569" s="172" t="s">
        <v>41</v>
      </c>
      <c r="F569" s="172" t="s">
        <v>83</v>
      </c>
      <c r="G569" s="172" t="s">
        <v>84</v>
      </c>
      <c r="H569" s="177">
        <v>1</v>
      </c>
      <c r="I569" s="178">
        <v>1750</v>
      </c>
      <c r="J569" s="176">
        <v>46035</v>
      </c>
      <c r="K569" s="172" t="s">
        <v>93</v>
      </c>
      <c r="L569" s="172" t="s">
        <v>94</v>
      </c>
      <c r="M569" s="179">
        <v>0.43</v>
      </c>
      <c r="N569" s="177"/>
      <c r="O569" s="177"/>
      <c r="P569" s="180">
        <v>-25</v>
      </c>
    </row>
    <row r="570" spans="1:16" ht="19.5" customHeight="1">
      <c r="A570" s="172" t="s">
        <v>503</v>
      </c>
      <c r="B570" s="176">
        <v>46037</v>
      </c>
      <c r="C570" s="172" t="s">
        <v>81</v>
      </c>
      <c r="D570" s="172" t="s">
        <v>82</v>
      </c>
      <c r="E570" s="172" t="s">
        <v>52</v>
      </c>
      <c r="F570" s="172" t="s">
        <v>90</v>
      </c>
      <c r="G570" s="172" t="s">
        <v>84</v>
      </c>
      <c r="H570" s="177">
        <v>1</v>
      </c>
      <c r="I570" s="178">
        <v>0</v>
      </c>
      <c r="J570" s="176">
        <v>46034</v>
      </c>
      <c r="K570" s="172" t="s">
        <v>85</v>
      </c>
      <c r="L570" s="172" t="s">
        <v>85</v>
      </c>
      <c r="M570" s="179">
        <v>0</v>
      </c>
      <c r="N570" s="177"/>
      <c r="O570" s="177"/>
      <c r="P570" s="180">
        <v>-10.57</v>
      </c>
    </row>
    <row r="571" spans="1:16" ht="19.5" customHeight="1">
      <c r="A571" s="172" t="s">
        <v>505</v>
      </c>
      <c r="B571" s="176">
        <v>46037</v>
      </c>
      <c r="C571" s="172" t="s">
        <v>81</v>
      </c>
      <c r="D571" s="172" t="s">
        <v>82</v>
      </c>
      <c r="E571" s="172" t="s">
        <v>52</v>
      </c>
      <c r="F571" s="172" t="s">
        <v>90</v>
      </c>
      <c r="G571" s="172" t="s">
        <v>84</v>
      </c>
      <c r="H571" s="177">
        <v>1</v>
      </c>
      <c r="I571" s="178">
        <v>0</v>
      </c>
      <c r="J571" s="176">
        <v>46037</v>
      </c>
      <c r="K571" s="172" t="s">
        <v>85</v>
      </c>
      <c r="L571" s="172" t="s">
        <v>85</v>
      </c>
      <c r="M571" s="179">
        <v>0</v>
      </c>
      <c r="N571" s="177"/>
      <c r="O571" s="177"/>
      <c r="P571" s="180">
        <v>-13.35</v>
      </c>
    </row>
    <row r="572" spans="1:16" ht="19.5" customHeight="1">
      <c r="A572" s="172" t="s">
        <v>506</v>
      </c>
      <c r="B572" s="176">
        <v>46037</v>
      </c>
      <c r="C572" s="172" t="s">
        <v>92</v>
      </c>
      <c r="D572" s="172" t="s">
        <v>24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0</v>
      </c>
      <c r="J572" s="176">
        <v>46030</v>
      </c>
      <c r="K572" s="172" t="s">
        <v>93</v>
      </c>
      <c r="L572" s="172" t="s">
        <v>94</v>
      </c>
      <c r="M572" s="179">
        <v>0</v>
      </c>
      <c r="N572" s="177"/>
      <c r="O572" s="177">
        <v>42</v>
      </c>
      <c r="P572" s="180">
        <v>-56</v>
      </c>
    </row>
    <row r="573" spans="1:16" ht="19.5" customHeight="1">
      <c r="A573" s="172" t="s">
        <v>506</v>
      </c>
      <c r="B573" s="176">
        <v>46037</v>
      </c>
      <c r="C573" s="172" t="s">
        <v>81</v>
      </c>
      <c r="D573" s="172" t="s">
        <v>95</v>
      </c>
      <c r="E573" s="172" t="s">
        <v>53</v>
      </c>
      <c r="F573" s="172" t="s">
        <v>120</v>
      </c>
      <c r="G573" s="172" t="s">
        <v>84</v>
      </c>
      <c r="H573" s="177">
        <v>1</v>
      </c>
      <c r="I573" s="178">
        <v>0</v>
      </c>
      <c r="J573" s="176">
        <v>46030</v>
      </c>
      <c r="K573" s="172" t="s">
        <v>93</v>
      </c>
      <c r="L573" s="172" t="s">
        <v>94</v>
      </c>
      <c r="M573" s="179">
        <v>0</v>
      </c>
      <c r="N573" s="177"/>
      <c r="O573" s="177"/>
      <c r="P573" s="180">
        <v>-17.84</v>
      </c>
    </row>
    <row r="574" spans="1:16" ht="19.5" customHeight="1">
      <c r="A574" s="172" t="s">
        <v>507</v>
      </c>
      <c r="B574" s="176">
        <v>46037</v>
      </c>
      <c r="C574" s="172" t="s">
        <v>92</v>
      </c>
      <c r="D574" s="172" t="s">
        <v>24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0</v>
      </c>
      <c r="J574" s="176">
        <v>46029</v>
      </c>
      <c r="K574" s="172" t="s">
        <v>93</v>
      </c>
      <c r="L574" s="172" t="s">
        <v>94</v>
      </c>
      <c r="M574" s="179">
        <v>0</v>
      </c>
      <c r="N574" s="177"/>
      <c r="O574" s="177">
        <v>43</v>
      </c>
      <c r="P574" s="180">
        <v>-46.77</v>
      </c>
    </row>
    <row r="575" spans="1:16" ht="19.5" customHeight="1">
      <c r="A575" s="172" t="s">
        <v>507</v>
      </c>
      <c r="B575" s="176">
        <v>46037</v>
      </c>
      <c r="C575" s="172" t="s">
        <v>81</v>
      </c>
      <c r="D575" s="172" t="s">
        <v>95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0</v>
      </c>
      <c r="J575" s="176">
        <v>46029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-14.57</v>
      </c>
    </row>
    <row r="576" spans="1:16" ht="19.5" customHeight="1">
      <c r="A576" s="172" t="s">
        <v>507</v>
      </c>
      <c r="B576" s="176">
        <v>46037</v>
      </c>
      <c r="C576" s="172" t="s">
        <v>92</v>
      </c>
      <c r="D576" s="172" t="s">
        <v>96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0</v>
      </c>
      <c r="J576" s="176">
        <v>46029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0</v>
      </c>
    </row>
    <row r="577" spans="1:16" ht="19.5" customHeight="1">
      <c r="A577" s="172" t="s">
        <v>507</v>
      </c>
      <c r="B577" s="176">
        <v>46037</v>
      </c>
      <c r="C577" s="172" t="s">
        <v>92</v>
      </c>
      <c r="D577" s="172" t="s">
        <v>97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0</v>
      </c>
      <c r="J577" s="176">
        <v>46029</v>
      </c>
      <c r="K577" s="172" t="s">
        <v>93</v>
      </c>
      <c r="L577" s="172" t="s">
        <v>94</v>
      </c>
      <c r="M577" s="179">
        <v>0</v>
      </c>
      <c r="N577" s="177"/>
      <c r="O577" s="177"/>
      <c r="P577" s="180">
        <v>-46.77</v>
      </c>
    </row>
    <row r="578" spans="1:16" ht="19.5" customHeight="1">
      <c r="A578" s="172" t="s">
        <v>507</v>
      </c>
      <c r="B578" s="176">
        <v>46037</v>
      </c>
      <c r="C578" s="172" t="s">
        <v>81</v>
      </c>
      <c r="D578" s="172" t="s">
        <v>98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0</v>
      </c>
      <c r="J578" s="176">
        <v>46029</v>
      </c>
      <c r="K578" s="172" t="s">
        <v>93</v>
      </c>
      <c r="L578" s="172" t="s">
        <v>94</v>
      </c>
      <c r="M578" s="179">
        <v>0</v>
      </c>
      <c r="N578" s="177"/>
      <c r="O578" s="177"/>
      <c r="P578" s="180">
        <v>-15</v>
      </c>
    </row>
    <row r="579" spans="1:16" ht="19.5" customHeight="1">
      <c r="A579" s="172" t="s">
        <v>506</v>
      </c>
      <c r="B579" s="176">
        <v>46037</v>
      </c>
      <c r="C579" s="172" t="s">
        <v>92</v>
      </c>
      <c r="D579" s="172" t="s">
        <v>96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46030</v>
      </c>
      <c r="K579" s="172" t="s">
        <v>93</v>
      </c>
      <c r="L579" s="172" t="s">
        <v>94</v>
      </c>
      <c r="M579" s="179">
        <v>0</v>
      </c>
      <c r="N579" s="177"/>
      <c r="O579" s="177"/>
      <c r="P579" s="180">
        <v>0</v>
      </c>
    </row>
    <row r="580" spans="1:16" ht="19.5" customHeight="1">
      <c r="A580" s="172" t="s">
        <v>506</v>
      </c>
      <c r="B580" s="176">
        <v>46037</v>
      </c>
      <c r="C580" s="172" t="s">
        <v>92</v>
      </c>
      <c r="D580" s="172" t="s">
        <v>97</v>
      </c>
      <c r="E580" s="172" t="s">
        <v>53</v>
      </c>
      <c r="F580" s="172" t="s">
        <v>120</v>
      </c>
      <c r="G580" s="172" t="s">
        <v>84</v>
      </c>
      <c r="H580" s="177">
        <v>1</v>
      </c>
      <c r="I580" s="178">
        <v>0</v>
      </c>
      <c r="J580" s="176">
        <v>46030</v>
      </c>
      <c r="K580" s="172" t="s">
        <v>93</v>
      </c>
      <c r="L580" s="172" t="s">
        <v>94</v>
      </c>
      <c r="M580" s="179">
        <v>0</v>
      </c>
      <c r="N580" s="177"/>
      <c r="O580" s="177"/>
      <c r="P580" s="180">
        <v>-56</v>
      </c>
    </row>
    <row r="581" spans="1:16" ht="19.5" customHeight="1">
      <c r="A581" s="172" t="s">
        <v>506</v>
      </c>
      <c r="B581" s="176">
        <v>46037</v>
      </c>
      <c r="C581" s="172" t="s">
        <v>81</v>
      </c>
      <c r="D581" s="172" t="s">
        <v>98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0</v>
      </c>
      <c r="J581" s="176">
        <v>46030</v>
      </c>
      <c r="K581" s="172" t="s">
        <v>93</v>
      </c>
      <c r="L581" s="172" t="s">
        <v>94</v>
      </c>
      <c r="M581" s="179">
        <v>0</v>
      </c>
      <c r="N581" s="177"/>
      <c r="O581" s="177"/>
      <c r="P581" s="180">
        <v>-15</v>
      </c>
    </row>
    <row r="582" spans="1:16" ht="19.5" customHeight="1">
      <c r="A582" s="172" t="s">
        <v>508</v>
      </c>
      <c r="B582" s="176">
        <v>46037</v>
      </c>
      <c r="C582" s="172" t="s">
        <v>92</v>
      </c>
      <c r="D582" s="172" t="s">
        <v>24</v>
      </c>
      <c r="E582" s="172" t="s">
        <v>43</v>
      </c>
      <c r="F582" s="172" t="s">
        <v>125</v>
      </c>
      <c r="G582" s="172" t="s">
        <v>84</v>
      </c>
      <c r="H582" s="177">
        <v>1</v>
      </c>
      <c r="I582" s="178">
        <v>1750</v>
      </c>
      <c r="J582" s="176">
        <v>46035</v>
      </c>
      <c r="K582" s="172" t="s">
        <v>93</v>
      </c>
      <c r="L582" s="172" t="s">
        <v>94</v>
      </c>
      <c r="M582" s="179">
        <v>0.43</v>
      </c>
      <c r="N582" s="177"/>
      <c r="O582" s="177">
        <v>45</v>
      </c>
      <c r="P582" s="180">
        <v>-135.38999999999999</v>
      </c>
    </row>
    <row r="583" spans="1:16" ht="19.5" customHeight="1">
      <c r="A583" s="172" t="s">
        <v>508</v>
      </c>
      <c r="B583" s="176">
        <v>46037</v>
      </c>
      <c r="C583" s="172" t="s">
        <v>100</v>
      </c>
      <c r="D583" s="172" t="s">
        <v>101</v>
      </c>
      <c r="E583" s="172" t="s">
        <v>43</v>
      </c>
      <c r="F583" s="172" t="s">
        <v>125</v>
      </c>
      <c r="G583" s="172" t="s">
        <v>84</v>
      </c>
      <c r="H583" s="177">
        <v>1</v>
      </c>
      <c r="I583" s="178">
        <v>1750</v>
      </c>
      <c r="J583" s="176">
        <v>46035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666.67</v>
      </c>
    </row>
    <row r="584" spans="1:16" ht="19.5" customHeight="1">
      <c r="A584" s="172" t="s">
        <v>508</v>
      </c>
      <c r="B584" s="176">
        <v>46037</v>
      </c>
      <c r="C584" s="172" t="s">
        <v>100</v>
      </c>
      <c r="D584" s="172" t="s">
        <v>102</v>
      </c>
      <c r="E584" s="172" t="s">
        <v>43</v>
      </c>
      <c r="F584" s="172" t="s">
        <v>125</v>
      </c>
      <c r="G584" s="172" t="s">
        <v>84</v>
      </c>
      <c r="H584" s="177">
        <v>1</v>
      </c>
      <c r="I584" s="178">
        <v>1750</v>
      </c>
      <c r="J584" s="176">
        <v>46035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0</v>
      </c>
    </row>
    <row r="585" spans="1:16" ht="19.5" customHeight="1">
      <c r="A585" s="172" t="s">
        <v>508</v>
      </c>
      <c r="B585" s="176">
        <v>46037</v>
      </c>
      <c r="C585" s="172" t="s">
        <v>100</v>
      </c>
      <c r="D585" s="172" t="s">
        <v>103</v>
      </c>
      <c r="E585" s="172" t="s">
        <v>43</v>
      </c>
      <c r="F585" s="172" t="s">
        <v>125</v>
      </c>
      <c r="G585" s="172" t="s">
        <v>84</v>
      </c>
      <c r="H585" s="177">
        <v>1</v>
      </c>
      <c r="I585" s="178">
        <v>1750</v>
      </c>
      <c r="J585" s="176">
        <v>46035</v>
      </c>
      <c r="K585" s="172" t="s">
        <v>93</v>
      </c>
      <c r="L585" s="172" t="s">
        <v>94</v>
      </c>
      <c r="M585" s="179">
        <v>0</v>
      </c>
      <c r="N585" s="177"/>
      <c r="O585" s="177"/>
      <c r="P585" s="180">
        <v>1083.33</v>
      </c>
    </row>
    <row r="586" spans="1:16" ht="19.5" customHeight="1">
      <c r="A586" s="172" t="s">
        <v>508</v>
      </c>
      <c r="B586" s="176">
        <v>46037</v>
      </c>
      <c r="C586" s="172" t="s">
        <v>104</v>
      </c>
      <c r="D586" s="172" t="s">
        <v>105</v>
      </c>
      <c r="E586" s="172" t="s">
        <v>43</v>
      </c>
      <c r="F586" s="172" t="s">
        <v>125</v>
      </c>
      <c r="G586" s="172" t="s">
        <v>84</v>
      </c>
      <c r="H586" s="177">
        <v>1</v>
      </c>
      <c r="I586" s="178">
        <v>1750</v>
      </c>
      <c r="J586" s="176">
        <v>46035</v>
      </c>
      <c r="K586" s="172" t="s">
        <v>93</v>
      </c>
      <c r="L586" s="172" t="s">
        <v>94</v>
      </c>
      <c r="M586" s="179">
        <v>0.43</v>
      </c>
      <c r="N586" s="177"/>
      <c r="O586" s="177"/>
      <c r="P586" s="180">
        <v>-752.5</v>
      </c>
    </row>
    <row r="587" spans="1:16" ht="19.5" customHeight="1">
      <c r="A587" s="172" t="s">
        <v>508</v>
      </c>
      <c r="B587" s="176">
        <v>46037</v>
      </c>
      <c r="C587" s="172" t="s">
        <v>81</v>
      </c>
      <c r="D587" s="172" t="s">
        <v>95</v>
      </c>
      <c r="E587" s="172" t="s">
        <v>43</v>
      </c>
      <c r="F587" s="172" t="s">
        <v>125</v>
      </c>
      <c r="G587" s="172" t="s">
        <v>84</v>
      </c>
      <c r="H587" s="177">
        <v>1</v>
      </c>
      <c r="I587" s="178">
        <v>1750</v>
      </c>
      <c r="J587" s="176">
        <v>46035</v>
      </c>
      <c r="K587" s="172" t="s">
        <v>93</v>
      </c>
      <c r="L587" s="172" t="s">
        <v>94</v>
      </c>
      <c r="M587" s="179">
        <v>0.43</v>
      </c>
      <c r="N587" s="177"/>
      <c r="O587" s="177"/>
      <c r="P587" s="180">
        <v>-9.93</v>
      </c>
    </row>
    <row r="588" spans="1:16" ht="19.5" customHeight="1">
      <c r="A588" s="172" t="s">
        <v>509</v>
      </c>
      <c r="B588" s="176">
        <v>46037</v>
      </c>
      <c r="C588" s="172" t="s">
        <v>92</v>
      </c>
      <c r="D588" s="172" t="s">
        <v>24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1845</v>
      </c>
      <c r="J588" s="176">
        <v>46035</v>
      </c>
      <c r="K588" s="172" t="s">
        <v>93</v>
      </c>
      <c r="L588" s="172" t="s">
        <v>94</v>
      </c>
      <c r="M588" s="179">
        <v>0.43</v>
      </c>
      <c r="N588" s="177"/>
      <c r="O588" s="177">
        <v>45</v>
      </c>
      <c r="P588" s="180">
        <v>-153.85</v>
      </c>
    </row>
    <row r="589" spans="1:16" ht="19.5" customHeight="1">
      <c r="A589" s="172" t="s">
        <v>509</v>
      </c>
      <c r="B589" s="176">
        <v>46037</v>
      </c>
      <c r="C589" s="172" t="s">
        <v>100</v>
      </c>
      <c r="D589" s="172" t="s">
        <v>101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1845</v>
      </c>
      <c r="J589" s="176">
        <v>46035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642.86</v>
      </c>
    </row>
    <row r="590" spans="1:16" ht="19.5" customHeight="1">
      <c r="A590" s="172" t="s">
        <v>509</v>
      </c>
      <c r="B590" s="176">
        <v>46037</v>
      </c>
      <c r="C590" s="172" t="s">
        <v>100</v>
      </c>
      <c r="D590" s="172" t="s">
        <v>102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1845</v>
      </c>
      <c r="J590" s="176">
        <v>46035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6.43</v>
      </c>
    </row>
    <row r="591" spans="1:16" ht="19.5" customHeight="1">
      <c r="A591" s="172" t="s">
        <v>509</v>
      </c>
      <c r="B591" s="176">
        <v>46037</v>
      </c>
      <c r="C591" s="172" t="s">
        <v>100</v>
      </c>
      <c r="D591" s="172" t="s">
        <v>103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1845</v>
      </c>
      <c r="J591" s="176">
        <v>46035</v>
      </c>
      <c r="K591" s="172" t="s">
        <v>93</v>
      </c>
      <c r="L591" s="172" t="s">
        <v>94</v>
      </c>
      <c r="M591" s="179">
        <v>0</v>
      </c>
      <c r="N591" s="177"/>
      <c r="O591" s="177"/>
      <c r="P591" s="180">
        <v>1195.71</v>
      </c>
    </row>
    <row r="592" spans="1:16" ht="19.5" customHeight="1">
      <c r="A592" s="172" t="s">
        <v>509</v>
      </c>
      <c r="B592" s="176">
        <v>46037</v>
      </c>
      <c r="C592" s="172" t="s">
        <v>104</v>
      </c>
      <c r="D592" s="172" t="s">
        <v>105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1845</v>
      </c>
      <c r="J592" s="176">
        <v>46035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-793.35</v>
      </c>
    </row>
    <row r="593" spans="1:16" ht="19.5" customHeight="1">
      <c r="A593" s="172" t="s">
        <v>509</v>
      </c>
      <c r="B593" s="176">
        <v>46037</v>
      </c>
      <c r="C593" s="172" t="s">
        <v>81</v>
      </c>
      <c r="D593" s="172" t="s">
        <v>95</v>
      </c>
      <c r="E593" s="172" t="s">
        <v>53</v>
      </c>
      <c r="F593" s="172" t="s">
        <v>120</v>
      </c>
      <c r="G593" s="172" t="s">
        <v>84</v>
      </c>
      <c r="H593" s="177">
        <v>1</v>
      </c>
      <c r="I593" s="178">
        <v>1845</v>
      </c>
      <c r="J593" s="176">
        <v>46035</v>
      </c>
      <c r="K593" s="172" t="s">
        <v>93</v>
      </c>
      <c r="L593" s="172" t="s">
        <v>94</v>
      </c>
      <c r="M593" s="179">
        <v>0.43</v>
      </c>
      <c r="N593" s="177"/>
      <c r="O593" s="177"/>
      <c r="P593" s="180">
        <v>-8.17</v>
      </c>
    </row>
    <row r="594" spans="1:16" ht="19.5" customHeight="1">
      <c r="A594" s="172" t="s">
        <v>510</v>
      </c>
      <c r="B594" s="176">
        <v>46037</v>
      </c>
      <c r="C594" s="172" t="s">
        <v>92</v>
      </c>
      <c r="D594" s="172" t="s">
        <v>24</v>
      </c>
      <c r="E594" s="172" t="s">
        <v>41</v>
      </c>
      <c r="F594" s="172" t="s">
        <v>83</v>
      </c>
      <c r="G594" s="172" t="s">
        <v>84</v>
      </c>
      <c r="H594" s="177">
        <v>1</v>
      </c>
      <c r="I594" s="178">
        <v>1750</v>
      </c>
      <c r="J594" s="176">
        <v>46034</v>
      </c>
      <c r="K594" s="172" t="s">
        <v>93</v>
      </c>
      <c r="L594" s="172" t="s">
        <v>94</v>
      </c>
      <c r="M594" s="179">
        <v>0.43</v>
      </c>
      <c r="N594" s="177"/>
      <c r="O594" s="177">
        <v>42</v>
      </c>
      <c r="P594" s="180">
        <v>-123.31</v>
      </c>
    </row>
    <row r="595" spans="1:16" ht="19.5" customHeight="1">
      <c r="A595" s="172" t="s">
        <v>510</v>
      </c>
      <c r="B595" s="176">
        <v>46037</v>
      </c>
      <c r="C595" s="172" t="s">
        <v>100</v>
      </c>
      <c r="D595" s="172" t="s">
        <v>101</v>
      </c>
      <c r="E595" s="172" t="s">
        <v>41</v>
      </c>
      <c r="F595" s="172" t="s">
        <v>83</v>
      </c>
      <c r="G595" s="172" t="s">
        <v>84</v>
      </c>
      <c r="H595" s="177">
        <v>1</v>
      </c>
      <c r="I595" s="178">
        <v>1750</v>
      </c>
      <c r="J595" s="176">
        <v>46034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609.52</v>
      </c>
    </row>
    <row r="596" spans="1:16" ht="19.5" customHeight="1">
      <c r="A596" s="172" t="s">
        <v>510</v>
      </c>
      <c r="B596" s="176">
        <v>46037</v>
      </c>
      <c r="C596" s="172" t="s">
        <v>100</v>
      </c>
      <c r="D596" s="172" t="s">
        <v>102</v>
      </c>
      <c r="E596" s="172" t="s">
        <v>41</v>
      </c>
      <c r="F596" s="172" t="s">
        <v>83</v>
      </c>
      <c r="G596" s="172" t="s">
        <v>84</v>
      </c>
      <c r="H596" s="177">
        <v>1</v>
      </c>
      <c r="I596" s="178">
        <v>1750</v>
      </c>
      <c r="J596" s="176">
        <v>46034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6.1</v>
      </c>
    </row>
    <row r="597" spans="1:16" ht="19.5" customHeight="1">
      <c r="A597" s="172" t="s">
        <v>510</v>
      </c>
      <c r="B597" s="176">
        <v>46037</v>
      </c>
      <c r="C597" s="172" t="s">
        <v>100</v>
      </c>
      <c r="D597" s="172" t="s">
        <v>103</v>
      </c>
      <c r="E597" s="172" t="s">
        <v>41</v>
      </c>
      <c r="F597" s="172" t="s">
        <v>83</v>
      </c>
      <c r="G597" s="172" t="s">
        <v>84</v>
      </c>
      <c r="H597" s="177">
        <v>1</v>
      </c>
      <c r="I597" s="178">
        <v>1750</v>
      </c>
      <c r="J597" s="176">
        <v>46034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1134.3800000000001</v>
      </c>
    </row>
    <row r="598" spans="1:16" ht="19.5" customHeight="1">
      <c r="A598" s="172" t="s">
        <v>510</v>
      </c>
      <c r="B598" s="176">
        <v>46037</v>
      </c>
      <c r="C598" s="172" t="s">
        <v>104</v>
      </c>
      <c r="D598" s="172" t="s">
        <v>105</v>
      </c>
      <c r="E598" s="172" t="s">
        <v>41</v>
      </c>
      <c r="F598" s="172" t="s">
        <v>83</v>
      </c>
      <c r="G598" s="172" t="s">
        <v>84</v>
      </c>
      <c r="H598" s="177">
        <v>1</v>
      </c>
      <c r="I598" s="178">
        <v>1750</v>
      </c>
      <c r="J598" s="176">
        <v>46034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-752.5</v>
      </c>
    </row>
    <row r="599" spans="1:16" ht="19.5" customHeight="1">
      <c r="A599" s="172" t="s">
        <v>510</v>
      </c>
      <c r="B599" s="176">
        <v>46037</v>
      </c>
      <c r="C599" s="172" t="s">
        <v>81</v>
      </c>
      <c r="D599" s="172" t="s">
        <v>95</v>
      </c>
      <c r="E599" s="172" t="s">
        <v>41</v>
      </c>
      <c r="F599" s="172" t="s">
        <v>83</v>
      </c>
      <c r="G599" s="172" t="s">
        <v>84</v>
      </c>
      <c r="H599" s="177">
        <v>1</v>
      </c>
      <c r="I599" s="178">
        <v>1750</v>
      </c>
      <c r="J599" s="176">
        <v>46034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-11.13</v>
      </c>
    </row>
    <row r="600" spans="1:16" ht="19.5" customHeight="1">
      <c r="A600" s="172" t="s">
        <v>511</v>
      </c>
      <c r="B600" s="176">
        <v>46037</v>
      </c>
      <c r="C600" s="172" t="s">
        <v>81</v>
      </c>
      <c r="D600" s="172" t="s">
        <v>82</v>
      </c>
      <c r="E600" s="172" t="s">
        <v>43</v>
      </c>
      <c r="F600" s="172" t="s">
        <v>125</v>
      </c>
      <c r="G600" s="172" t="s">
        <v>84</v>
      </c>
      <c r="H600" s="177">
        <v>1</v>
      </c>
      <c r="I600" s="178">
        <v>0</v>
      </c>
      <c r="J600" s="176">
        <v>46037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-12.35</v>
      </c>
    </row>
    <row r="601" spans="1:16" ht="19.5" customHeight="1">
      <c r="A601" s="172" t="s">
        <v>512</v>
      </c>
      <c r="B601" s="176">
        <v>46037</v>
      </c>
      <c r="C601" s="172" t="s">
        <v>92</v>
      </c>
      <c r="D601" s="172" t="s">
        <v>24</v>
      </c>
      <c r="E601" s="172" t="s">
        <v>42</v>
      </c>
      <c r="F601" s="172" t="s">
        <v>89</v>
      </c>
      <c r="G601" s="172" t="s">
        <v>84</v>
      </c>
      <c r="H601" s="177">
        <v>1</v>
      </c>
      <c r="I601" s="178">
        <v>1750</v>
      </c>
      <c r="J601" s="176">
        <v>46033</v>
      </c>
      <c r="K601" s="172" t="s">
        <v>93</v>
      </c>
      <c r="L601" s="172" t="s">
        <v>94</v>
      </c>
      <c r="M601" s="179">
        <v>0.43</v>
      </c>
      <c r="N601" s="177"/>
      <c r="O601" s="177">
        <v>42</v>
      </c>
      <c r="P601" s="180">
        <v>-123.31</v>
      </c>
    </row>
    <row r="602" spans="1:16" ht="19.5" customHeight="1">
      <c r="A602" s="172" t="s">
        <v>512</v>
      </c>
      <c r="B602" s="176">
        <v>46037</v>
      </c>
      <c r="C602" s="172" t="s">
        <v>100</v>
      </c>
      <c r="D602" s="172" t="s">
        <v>101</v>
      </c>
      <c r="E602" s="172" t="s">
        <v>42</v>
      </c>
      <c r="F602" s="172" t="s">
        <v>89</v>
      </c>
      <c r="G602" s="172" t="s">
        <v>84</v>
      </c>
      <c r="H602" s="177">
        <v>1</v>
      </c>
      <c r="I602" s="178">
        <v>1750</v>
      </c>
      <c r="J602" s="176">
        <v>46033</v>
      </c>
      <c r="K602" s="172" t="s">
        <v>93</v>
      </c>
      <c r="L602" s="172" t="s">
        <v>94</v>
      </c>
      <c r="M602" s="179">
        <v>0</v>
      </c>
      <c r="N602" s="177"/>
      <c r="O602" s="177"/>
      <c r="P602" s="180">
        <v>666.67</v>
      </c>
    </row>
    <row r="603" spans="1:16" ht="19.5" customHeight="1">
      <c r="A603" s="172" t="s">
        <v>512</v>
      </c>
      <c r="B603" s="176">
        <v>46037</v>
      </c>
      <c r="C603" s="172" t="s">
        <v>100</v>
      </c>
      <c r="D603" s="172" t="s">
        <v>102</v>
      </c>
      <c r="E603" s="172" t="s">
        <v>42</v>
      </c>
      <c r="F603" s="172" t="s">
        <v>89</v>
      </c>
      <c r="G603" s="172" t="s">
        <v>84</v>
      </c>
      <c r="H603" s="177">
        <v>1</v>
      </c>
      <c r="I603" s="178">
        <v>1750</v>
      </c>
      <c r="J603" s="176">
        <v>46033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0</v>
      </c>
    </row>
    <row r="604" spans="1:16" ht="19.5" customHeight="1">
      <c r="A604" s="172" t="s">
        <v>512</v>
      </c>
      <c r="B604" s="176">
        <v>46037</v>
      </c>
      <c r="C604" s="172" t="s">
        <v>100</v>
      </c>
      <c r="D604" s="172" t="s">
        <v>103</v>
      </c>
      <c r="E604" s="172" t="s">
        <v>42</v>
      </c>
      <c r="F604" s="172" t="s">
        <v>89</v>
      </c>
      <c r="G604" s="172" t="s">
        <v>84</v>
      </c>
      <c r="H604" s="177">
        <v>1</v>
      </c>
      <c r="I604" s="178">
        <v>1750</v>
      </c>
      <c r="J604" s="176">
        <v>46033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1083.33</v>
      </c>
    </row>
    <row r="605" spans="1:16" ht="19.5" customHeight="1">
      <c r="A605" s="172" t="s">
        <v>512</v>
      </c>
      <c r="B605" s="176">
        <v>46037</v>
      </c>
      <c r="C605" s="172" t="s">
        <v>104</v>
      </c>
      <c r="D605" s="172" t="s">
        <v>105</v>
      </c>
      <c r="E605" s="172" t="s">
        <v>42</v>
      </c>
      <c r="F605" s="172" t="s">
        <v>89</v>
      </c>
      <c r="G605" s="172" t="s">
        <v>84</v>
      </c>
      <c r="H605" s="177">
        <v>1</v>
      </c>
      <c r="I605" s="178">
        <v>1750</v>
      </c>
      <c r="J605" s="176">
        <v>46033</v>
      </c>
      <c r="K605" s="172" t="s">
        <v>93</v>
      </c>
      <c r="L605" s="172" t="s">
        <v>94</v>
      </c>
      <c r="M605" s="179">
        <v>0.43</v>
      </c>
      <c r="N605" s="177"/>
      <c r="O605" s="177"/>
      <c r="P605" s="180">
        <v>-752.5</v>
      </c>
    </row>
    <row r="606" spans="1:16" ht="19.5" customHeight="1">
      <c r="A606" s="172" t="s">
        <v>512</v>
      </c>
      <c r="B606" s="176">
        <v>46037</v>
      </c>
      <c r="C606" s="172" t="s">
        <v>81</v>
      </c>
      <c r="D606" s="172" t="s">
        <v>95</v>
      </c>
      <c r="E606" s="172" t="s">
        <v>42</v>
      </c>
      <c r="F606" s="172" t="s">
        <v>89</v>
      </c>
      <c r="G606" s="172" t="s">
        <v>84</v>
      </c>
      <c r="H606" s="177">
        <v>1</v>
      </c>
      <c r="I606" s="178">
        <v>1750</v>
      </c>
      <c r="J606" s="176">
        <v>46033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-16.329999999999998</v>
      </c>
    </row>
    <row r="607" spans="1:16" ht="19.5" customHeight="1">
      <c r="A607" s="172" t="s">
        <v>512</v>
      </c>
      <c r="B607" s="176">
        <v>46037</v>
      </c>
      <c r="C607" s="172" t="s">
        <v>81</v>
      </c>
      <c r="D607" s="172" t="s">
        <v>82</v>
      </c>
      <c r="E607" s="172" t="s">
        <v>42</v>
      </c>
      <c r="F607" s="172" t="s">
        <v>89</v>
      </c>
      <c r="G607" s="172" t="s">
        <v>84</v>
      </c>
      <c r="H607" s="177">
        <v>1</v>
      </c>
      <c r="I607" s="178">
        <v>0</v>
      </c>
      <c r="J607" s="176">
        <v>46033</v>
      </c>
      <c r="K607" s="172" t="s">
        <v>85</v>
      </c>
      <c r="L607" s="172" t="s">
        <v>85</v>
      </c>
      <c r="M607" s="179">
        <v>0</v>
      </c>
      <c r="N607" s="177"/>
      <c r="O607" s="177"/>
      <c r="P607" s="180">
        <v>-5.12</v>
      </c>
    </row>
    <row r="608" spans="1:16" ht="19.5" customHeight="1">
      <c r="A608" s="172" t="s">
        <v>513</v>
      </c>
      <c r="B608" s="176">
        <v>46037</v>
      </c>
      <c r="C608" s="172" t="s">
        <v>92</v>
      </c>
      <c r="D608" s="172" t="s">
        <v>24</v>
      </c>
      <c r="E608" s="172" t="s">
        <v>42</v>
      </c>
      <c r="F608" s="172" t="s">
        <v>89</v>
      </c>
      <c r="G608" s="172" t="s">
        <v>84</v>
      </c>
      <c r="H608" s="177">
        <v>1</v>
      </c>
      <c r="I608" s="178">
        <v>1750</v>
      </c>
      <c r="J608" s="176">
        <v>46033</v>
      </c>
      <c r="K608" s="172" t="s">
        <v>93</v>
      </c>
      <c r="L608" s="172" t="s">
        <v>94</v>
      </c>
      <c r="M608" s="179">
        <v>0.43</v>
      </c>
      <c r="N608" s="177"/>
      <c r="O608" s="177">
        <v>42</v>
      </c>
      <c r="P608" s="180">
        <v>-123.31</v>
      </c>
    </row>
    <row r="609" spans="1:16" ht="19.5" customHeight="1">
      <c r="A609" s="172" t="s">
        <v>513</v>
      </c>
      <c r="B609" s="176">
        <v>46037</v>
      </c>
      <c r="C609" s="172" t="s">
        <v>100</v>
      </c>
      <c r="D609" s="172" t="s">
        <v>101</v>
      </c>
      <c r="E609" s="172" t="s">
        <v>42</v>
      </c>
      <c r="F609" s="172" t="s">
        <v>89</v>
      </c>
      <c r="G609" s="172" t="s">
        <v>84</v>
      </c>
      <c r="H609" s="177">
        <v>1</v>
      </c>
      <c r="I609" s="178">
        <v>1750</v>
      </c>
      <c r="J609" s="176">
        <v>46033</v>
      </c>
      <c r="K609" s="172" t="s">
        <v>93</v>
      </c>
      <c r="L609" s="172" t="s">
        <v>94</v>
      </c>
      <c r="M609" s="179">
        <v>0</v>
      </c>
      <c r="N609" s="177"/>
      <c r="O609" s="177"/>
      <c r="P609" s="180">
        <v>609.52</v>
      </c>
    </row>
    <row r="610" spans="1:16" ht="19.5" customHeight="1">
      <c r="A610" s="172" t="s">
        <v>513</v>
      </c>
      <c r="B610" s="176">
        <v>46037</v>
      </c>
      <c r="C610" s="172" t="s">
        <v>100</v>
      </c>
      <c r="D610" s="172" t="s">
        <v>102</v>
      </c>
      <c r="E610" s="172" t="s">
        <v>42</v>
      </c>
      <c r="F610" s="172" t="s">
        <v>89</v>
      </c>
      <c r="G610" s="172" t="s">
        <v>84</v>
      </c>
      <c r="H610" s="177">
        <v>1</v>
      </c>
      <c r="I610" s="178">
        <v>1750</v>
      </c>
      <c r="J610" s="176">
        <v>46033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6.1</v>
      </c>
    </row>
    <row r="611" spans="1:16" ht="19.5" customHeight="1">
      <c r="A611" s="172" t="s">
        <v>513</v>
      </c>
      <c r="B611" s="176">
        <v>46037</v>
      </c>
      <c r="C611" s="172" t="s">
        <v>100</v>
      </c>
      <c r="D611" s="172" t="s">
        <v>103</v>
      </c>
      <c r="E611" s="172" t="s">
        <v>42</v>
      </c>
      <c r="F611" s="172" t="s">
        <v>89</v>
      </c>
      <c r="G611" s="172" t="s">
        <v>84</v>
      </c>
      <c r="H611" s="177">
        <v>1</v>
      </c>
      <c r="I611" s="178">
        <v>1750</v>
      </c>
      <c r="J611" s="176">
        <v>46033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1134.3800000000001</v>
      </c>
    </row>
    <row r="612" spans="1:16" ht="19.5" customHeight="1">
      <c r="A612" s="172" t="s">
        <v>513</v>
      </c>
      <c r="B612" s="176">
        <v>46037</v>
      </c>
      <c r="C612" s="172" t="s">
        <v>104</v>
      </c>
      <c r="D612" s="172" t="s">
        <v>105</v>
      </c>
      <c r="E612" s="172" t="s">
        <v>42</v>
      </c>
      <c r="F612" s="172" t="s">
        <v>89</v>
      </c>
      <c r="G612" s="172" t="s">
        <v>84</v>
      </c>
      <c r="H612" s="177">
        <v>1</v>
      </c>
      <c r="I612" s="178">
        <v>1750</v>
      </c>
      <c r="J612" s="176">
        <v>46033</v>
      </c>
      <c r="K612" s="172" t="s">
        <v>93</v>
      </c>
      <c r="L612" s="172" t="s">
        <v>94</v>
      </c>
      <c r="M612" s="179">
        <v>0.43</v>
      </c>
      <c r="N612" s="177"/>
      <c r="O612" s="177"/>
      <c r="P612" s="180">
        <v>-752.5</v>
      </c>
    </row>
    <row r="613" spans="1:16" ht="19.5" customHeight="1">
      <c r="A613" s="172" t="s">
        <v>513</v>
      </c>
      <c r="B613" s="176">
        <v>46037</v>
      </c>
      <c r="C613" s="172" t="s">
        <v>81</v>
      </c>
      <c r="D613" s="172" t="s">
        <v>95</v>
      </c>
      <c r="E613" s="172" t="s">
        <v>42</v>
      </c>
      <c r="F613" s="172" t="s">
        <v>89</v>
      </c>
      <c r="G613" s="172" t="s">
        <v>84</v>
      </c>
      <c r="H613" s="177">
        <v>1</v>
      </c>
      <c r="I613" s="178">
        <v>1750</v>
      </c>
      <c r="J613" s="176">
        <v>46033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-16.739999999999998</v>
      </c>
    </row>
    <row r="614" spans="1:16" ht="19.5" customHeight="1">
      <c r="A614" s="172" t="s">
        <v>513</v>
      </c>
      <c r="B614" s="176">
        <v>46037</v>
      </c>
      <c r="C614" s="172" t="s">
        <v>81</v>
      </c>
      <c r="D614" s="172" t="s">
        <v>82</v>
      </c>
      <c r="E614" s="172" t="s">
        <v>42</v>
      </c>
      <c r="F614" s="172" t="s">
        <v>89</v>
      </c>
      <c r="G614" s="172" t="s">
        <v>84</v>
      </c>
      <c r="H614" s="177">
        <v>1</v>
      </c>
      <c r="I614" s="178">
        <v>0</v>
      </c>
      <c r="J614" s="176">
        <v>46033</v>
      </c>
      <c r="K614" s="172" t="s">
        <v>85</v>
      </c>
      <c r="L614" s="172" t="s">
        <v>85</v>
      </c>
      <c r="M614" s="179">
        <v>0</v>
      </c>
      <c r="N614" s="177"/>
      <c r="O614" s="177"/>
      <c r="P614" s="180">
        <v>-11.58</v>
      </c>
    </row>
    <row r="615" spans="1:16" ht="19.5" customHeight="1">
      <c r="A615" s="172" t="s">
        <v>514</v>
      </c>
      <c r="B615" s="176">
        <v>46037</v>
      </c>
      <c r="C615" s="172" t="s">
        <v>92</v>
      </c>
      <c r="D615" s="172" t="s">
        <v>272</v>
      </c>
      <c r="E615" s="172" t="s">
        <v>53</v>
      </c>
      <c r="F615" s="172" t="s">
        <v>120</v>
      </c>
      <c r="G615" s="172" t="s">
        <v>84</v>
      </c>
      <c r="H615" s="177">
        <v>1</v>
      </c>
      <c r="I615" s="178">
        <v>0</v>
      </c>
      <c r="J615" s="176">
        <v>46031</v>
      </c>
      <c r="K615" s="172" t="s">
        <v>93</v>
      </c>
      <c r="L615" s="172" t="s">
        <v>94</v>
      </c>
      <c r="M615" s="179">
        <v>0</v>
      </c>
      <c r="N615" s="177"/>
      <c r="O615" s="177"/>
      <c r="P615" s="180">
        <v>0</v>
      </c>
    </row>
    <row r="616" spans="1:16" ht="19.5" customHeight="1">
      <c r="A616" s="172" t="s">
        <v>514</v>
      </c>
      <c r="B616" s="176">
        <v>46037</v>
      </c>
      <c r="C616" s="172" t="s">
        <v>92</v>
      </c>
      <c r="D616" s="172" t="s">
        <v>97</v>
      </c>
      <c r="E616" s="172" t="s">
        <v>53</v>
      </c>
      <c r="F616" s="172" t="s">
        <v>120</v>
      </c>
      <c r="G616" s="172" t="s">
        <v>84</v>
      </c>
      <c r="H616" s="177">
        <v>1</v>
      </c>
      <c r="I616" s="178">
        <v>0</v>
      </c>
      <c r="J616" s="176">
        <v>46031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-56</v>
      </c>
    </row>
    <row r="617" spans="1:16" ht="19.5" customHeight="1">
      <c r="A617" s="172" t="s">
        <v>514</v>
      </c>
      <c r="B617" s="176">
        <v>46037</v>
      </c>
      <c r="C617" s="172" t="s">
        <v>81</v>
      </c>
      <c r="D617" s="172" t="s">
        <v>98</v>
      </c>
      <c r="E617" s="172" t="s">
        <v>53</v>
      </c>
      <c r="F617" s="172" t="s">
        <v>120</v>
      </c>
      <c r="G617" s="172" t="s">
        <v>84</v>
      </c>
      <c r="H617" s="177">
        <v>1</v>
      </c>
      <c r="I617" s="178">
        <v>0</v>
      </c>
      <c r="J617" s="176">
        <v>46031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-15</v>
      </c>
    </row>
    <row r="618" spans="1:16" ht="19.5" customHeight="1">
      <c r="A618" s="172" t="s">
        <v>515</v>
      </c>
      <c r="B618" s="176">
        <v>46037</v>
      </c>
      <c r="C618" s="172" t="s">
        <v>92</v>
      </c>
      <c r="D618" s="172" t="s">
        <v>24</v>
      </c>
      <c r="E618" s="172" t="s">
        <v>53</v>
      </c>
      <c r="F618" s="172" t="s">
        <v>120</v>
      </c>
      <c r="G618" s="172" t="s">
        <v>84</v>
      </c>
      <c r="H618" s="177">
        <v>1</v>
      </c>
      <c r="I618" s="178">
        <v>1845</v>
      </c>
      <c r="J618" s="176">
        <v>46021</v>
      </c>
      <c r="K618" s="172" t="s">
        <v>93</v>
      </c>
      <c r="L618" s="172" t="s">
        <v>94</v>
      </c>
      <c r="M618" s="179">
        <v>0.43</v>
      </c>
      <c r="N618" s="177"/>
      <c r="O618" s="177">
        <v>40</v>
      </c>
      <c r="P618" s="180">
        <v>-131.61000000000001</v>
      </c>
    </row>
    <row r="619" spans="1:16" ht="19.5" customHeight="1">
      <c r="A619" s="172" t="s">
        <v>515</v>
      </c>
      <c r="B619" s="176">
        <v>46037</v>
      </c>
      <c r="C619" s="172" t="s">
        <v>100</v>
      </c>
      <c r="D619" s="172" t="s">
        <v>101</v>
      </c>
      <c r="E619" s="172" t="s">
        <v>53</v>
      </c>
      <c r="F619" s="172" t="s">
        <v>120</v>
      </c>
      <c r="G619" s="172" t="s">
        <v>84</v>
      </c>
      <c r="H619" s="177">
        <v>1</v>
      </c>
      <c r="I619" s="178">
        <v>1845</v>
      </c>
      <c r="J619" s="176">
        <v>46021</v>
      </c>
      <c r="K619" s="172" t="s">
        <v>93</v>
      </c>
      <c r="L619" s="172" t="s">
        <v>94</v>
      </c>
      <c r="M619" s="179">
        <v>0</v>
      </c>
      <c r="N619" s="177"/>
      <c r="O619" s="177"/>
      <c r="P619" s="180">
        <v>642.86</v>
      </c>
    </row>
    <row r="620" spans="1:16" ht="19.5" customHeight="1">
      <c r="A620" s="172" t="s">
        <v>515</v>
      </c>
      <c r="B620" s="176">
        <v>46037</v>
      </c>
      <c r="C620" s="172" t="s">
        <v>100</v>
      </c>
      <c r="D620" s="172" t="s">
        <v>102</v>
      </c>
      <c r="E620" s="172" t="s">
        <v>53</v>
      </c>
      <c r="F620" s="172" t="s">
        <v>120</v>
      </c>
      <c r="G620" s="172" t="s">
        <v>84</v>
      </c>
      <c r="H620" s="177">
        <v>1</v>
      </c>
      <c r="I620" s="178">
        <v>1845</v>
      </c>
      <c r="J620" s="176">
        <v>46021</v>
      </c>
      <c r="K620" s="172" t="s">
        <v>93</v>
      </c>
      <c r="L620" s="172" t="s">
        <v>94</v>
      </c>
      <c r="M620" s="179">
        <v>0</v>
      </c>
      <c r="N620" s="177"/>
      <c r="O620" s="177"/>
      <c r="P620" s="180">
        <v>6.43</v>
      </c>
    </row>
    <row r="621" spans="1:16" ht="19.5" customHeight="1">
      <c r="A621" s="172" t="s">
        <v>515</v>
      </c>
      <c r="B621" s="176">
        <v>46037</v>
      </c>
      <c r="C621" s="172" t="s">
        <v>100</v>
      </c>
      <c r="D621" s="172" t="s">
        <v>103</v>
      </c>
      <c r="E621" s="172" t="s">
        <v>53</v>
      </c>
      <c r="F621" s="172" t="s">
        <v>120</v>
      </c>
      <c r="G621" s="172" t="s">
        <v>84</v>
      </c>
      <c r="H621" s="177">
        <v>1</v>
      </c>
      <c r="I621" s="178">
        <v>1845</v>
      </c>
      <c r="J621" s="176">
        <v>46021</v>
      </c>
      <c r="K621" s="172" t="s">
        <v>93</v>
      </c>
      <c r="L621" s="172" t="s">
        <v>94</v>
      </c>
      <c r="M621" s="179">
        <v>0</v>
      </c>
      <c r="N621" s="177"/>
      <c r="O621" s="177"/>
      <c r="P621" s="180">
        <v>1195.71</v>
      </c>
    </row>
    <row r="622" spans="1:16" ht="19.5" customHeight="1">
      <c r="A622" s="172" t="s">
        <v>515</v>
      </c>
      <c r="B622" s="176">
        <v>46037</v>
      </c>
      <c r="C622" s="172" t="s">
        <v>104</v>
      </c>
      <c r="D622" s="172" t="s">
        <v>105</v>
      </c>
      <c r="E622" s="172" t="s">
        <v>53</v>
      </c>
      <c r="F622" s="172" t="s">
        <v>120</v>
      </c>
      <c r="G622" s="172" t="s">
        <v>84</v>
      </c>
      <c r="H622" s="177">
        <v>1</v>
      </c>
      <c r="I622" s="178">
        <v>1845</v>
      </c>
      <c r="J622" s="176">
        <v>46021</v>
      </c>
      <c r="K622" s="172" t="s">
        <v>93</v>
      </c>
      <c r="L622" s="172" t="s">
        <v>94</v>
      </c>
      <c r="M622" s="179">
        <v>0.43</v>
      </c>
      <c r="N622" s="177"/>
      <c r="O622" s="177"/>
      <c r="P622" s="180">
        <v>-793.35</v>
      </c>
    </row>
    <row r="623" spans="1:16" ht="19.5" customHeight="1">
      <c r="A623" s="172" t="s">
        <v>515</v>
      </c>
      <c r="B623" s="176">
        <v>46037</v>
      </c>
      <c r="C623" s="172" t="s">
        <v>81</v>
      </c>
      <c r="D623" s="172" t="s">
        <v>95</v>
      </c>
      <c r="E623" s="172" t="s">
        <v>53</v>
      </c>
      <c r="F623" s="172" t="s">
        <v>120</v>
      </c>
      <c r="G623" s="172" t="s">
        <v>84</v>
      </c>
      <c r="H623" s="177">
        <v>1</v>
      </c>
      <c r="I623" s="178">
        <v>1845</v>
      </c>
      <c r="J623" s="176">
        <v>46021</v>
      </c>
      <c r="K623" s="172" t="s">
        <v>93</v>
      </c>
      <c r="L623" s="172" t="s">
        <v>94</v>
      </c>
      <c r="M623" s="179">
        <v>0.43</v>
      </c>
      <c r="N623" s="177"/>
      <c r="O623" s="177"/>
      <c r="P623" s="180">
        <v>-13.79</v>
      </c>
    </row>
    <row r="624" spans="1:16" ht="19.5" customHeight="1">
      <c r="A624" s="172" t="s">
        <v>516</v>
      </c>
      <c r="B624" s="176">
        <v>46037</v>
      </c>
      <c r="C624" s="172" t="s">
        <v>92</v>
      </c>
      <c r="D624" s="172" t="s">
        <v>24</v>
      </c>
      <c r="E624" s="172" t="s">
        <v>41</v>
      </c>
      <c r="F624" s="172" t="s">
        <v>83</v>
      </c>
      <c r="G624" s="172" t="s">
        <v>84</v>
      </c>
      <c r="H624" s="177">
        <v>1</v>
      </c>
      <c r="I624" s="178">
        <v>1750</v>
      </c>
      <c r="J624" s="176">
        <v>46032</v>
      </c>
      <c r="K624" s="172" t="s">
        <v>93</v>
      </c>
      <c r="L624" s="172" t="s">
        <v>94</v>
      </c>
      <c r="M624" s="179">
        <v>0.43</v>
      </c>
      <c r="N624" s="177"/>
      <c r="O624" s="177">
        <v>41</v>
      </c>
      <c r="P624" s="180">
        <v>-119.28</v>
      </c>
    </row>
    <row r="625" spans="1:16" ht="19.5" customHeight="1">
      <c r="A625" s="172" t="s">
        <v>516</v>
      </c>
      <c r="B625" s="176">
        <v>46037</v>
      </c>
      <c r="C625" s="172" t="s">
        <v>100</v>
      </c>
      <c r="D625" s="172" t="s">
        <v>101</v>
      </c>
      <c r="E625" s="172" t="s">
        <v>41</v>
      </c>
      <c r="F625" s="172" t="s">
        <v>83</v>
      </c>
      <c r="G625" s="172" t="s">
        <v>84</v>
      </c>
      <c r="H625" s="177">
        <v>1</v>
      </c>
      <c r="I625" s="178">
        <v>1750</v>
      </c>
      <c r="J625" s="176">
        <v>46032</v>
      </c>
      <c r="K625" s="172" t="s">
        <v>93</v>
      </c>
      <c r="L625" s="172" t="s">
        <v>94</v>
      </c>
      <c r="M625" s="179">
        <v>0</v>
      </c>
      <c r="N625" s="177"/>
      <c r="O625" s="177"/>
      <c r="P625" s="180">
        <v>666.67</v>
      </c>
    </row>
    <row r="626" spans="1:16" ht="19.5" customHeight="1">
      <c r="A626" s="172" t="s">
        <v>516</v>
      </c>
      <c r="B626" s="176">
        <v>46037</v>
      </c>
      <c r="C626" s="172" t="s">
        <v>100</v>
      </c>
      <c r="D626" s="172" t="s">
        <v>102</v>
      </c>
      <c r="E626" s="172" t="s">
        <v>41</v>
      </c>
      <c r="F626" s="172" t="s">
        <v>83</v>
      </c>
      <c r="G626" s="172" t="s">
        <v>84</v>
      </c>
      <c r="H626" s="177">
        <v>1</v>
      </c>
      <c r="I626" s="178">
        <v>1750</v>
      </c>
      <c r="J626" s="176">
        <v>46032</v>
      </c>
      <c r="K626" s="172" t="s">
        <v>93</v>
      </c>
      <c r="L626" s="172" t="s">
        <v>94</v>
      </c>
      <c r="M626" s="179">
        <v>0</v>
      </c>
      <c r="N626" s="177"/>
      <c r="O626" s="177"/>
      <c r="P626" s="180">
        <v>0</v>
      </c>
    </row>
    <row r="627" spans="1:16" ht="19.5" customHeight="1">
      <c r="A627" s="172" t="s">
        <v>516</v>
      </c>
      <c r="B627" s="176">
        <v>46037</v>
      </c>
      <c r="C627" s="172" t="s">
        <v>100</v>
      </c>
      <c r="D627" s="172" t="s">
        <v>103</v>
      </c>
      <c r="E627" s="172" t="s">
        <v>41</v>
      </c>
      <c r="F627" s="172" t="s">
        <v>83</v>
      </c>
      <c r="G627" s="172" t="s">
        <v>84</v>
      </c>
      <c r="H627" s="177">
        <v>1</v>
      </c>
      <c r="I627" s="178">
        <v>1750</v>
      </c>
      <c r="J627" s="176">
        <v>46032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1083.33</v>
      </c>
    </row>
    <row r="628" spans="1:16" ht="19.5" customHeight="1">
      <c r="A628" s="172" t="s">
        <v>516</v>
      </c>
      <c r="B628" s="176">
        <v>46037</v>
      </c>
      <c r="C628" s="172" t="s">
        <v>104</v>
      </c>
      <c r="D628" s="172" t="s">
        <v>105</v>
      </c>
      <c r="E628" s="172" t="s">
        <v>41</v>
      </c>
      <c r="F628" s="172" t="s">
        <v>83</v>
      </c>
      <c r="G628" s="172" t="s">
        <v>84</v>
      </c>
      <c r="H628" s="177">
        <v>1</v>
      </c>
      <c r="I628" s="178">
        <v>1750</v>
      </c>
      <c r="J628" s="176">
        <v>46032</v>
      </c>
      <c r="K628" s="172" t="s">
        <v>93</v>
      </c>
      <c r="L628" s="172" t="s">
        <v>94</v>
      </c>
      <c r="M628" s="179">
        <v>0.43</v>
      </c>
      <c r="N628" s="177"/>
      <c r="O628" s="177"/>
      <c r="P628" s="180">
        <v>-752.5</v>
      </c>
    </row>
    <row r="629" spans="1:16" ht="19.5" customHeight="1">
      <c r="A629" s="172" t="s">
        <v>516</v>
      </c>
      <c r="B629" s="176">
        <v>46037</v>
      </c>
      <c r="C629" s="172" t="s">
        <v>81</v>
      </c>
      <c r="D629" s="172" t="s">
        <v>95</v>
      </c>
      <c r="E629" s="172" t="s">
        <v>41</v>
      </c>
      <c r="F629" s="172" t="s">
        <v>83</v>
      </c>
      <c r="G629" s="172" t="s">
        <v>84</v>
      </c>
      <c r="H629" s="177">
        <v>1</v>
      </c>
      <c r="I629" s="178">
        <v>1750</v>
      </c>
      <c r="J629" s="176">
        <v>46032</v>
      </c>
      <c r="K629" s="172" t="s">
        <v>93</v>
      </c>
      <c r="L629" s="172" t="s">
        <v>94</v>
      </c>
      <c r="M629" s="179">
        <v>0.43</v>
      </c>
      <c r="N629" s="177"/>
      <c r="O629" s="177"/>
      <c r="P629" s="180">
        <v>-20.45</v>
      </c>
    </row>
    <row r="630" spans="1:16" ht="19.5" customHeight="1">
      <c r="A630" s="172" t="s">
        <v>517</v>
      </c>
      <c r="B630" s="176">
        <v>46037</v>
      </c>
      <c r="C630" s="172" t="s">
        <v>92</v>
      </c>
      <c r="D630" s="172" t="s">
        <v>24</v>
      </c>
      <c r="E630" s="172" t="s">
        <v>52</v>
      </c>
      <c r="F630" s="172" t="s">
        <v>90</v>
      </c>
      <c r="G630" s="172" t="s">
        <v>84</v>
      </c>
      <c r="H630" s="177">
        <v>1</v>
      </c>
      <c r="I630" s="178">
        <v>1621</v>
      </c>
      <c r="J630" s="176">
        <v>46035</v>
      </c>
      <c r="K630" s="172" t="s">
        <v>93</v>
      </c>
      <c r="L630" s="172" t="s">
        <v>94</v>
      </c>
      <c r="M630" s="179">
        <v>0.43</v>
      </c>
      <c r="N630" s="177"/>
      <c r="O630" s="177">
        <v>45</v>
      </c>
      <c r="P630" s="180">
        <v>-146.44999999999999</v>
      </c>
    </row>
    <row r="631" spans="1:16" ht="19.5" customHeight="1">
      <c r="A631" s="172" t="s">
        <v>517</v>
      </c>
      <c r="B631" s="176">
        <v>46037</v>
      </c>
      <c r="C631" s="172" t="s">
        <v>100</v>
      </c>
      <c r="D631" s="172" t="s">
        <v>101</v>
      </c>
      <c r="E631" s="172" t="s">
        <v>52</v>
      </c>
      <c r="F631" s="172" t="s">
        <v>90</v>
      </c>
      <c r="G631" s="172" t="s">
        <v>84</v>
      </c>
      <c r="H631" s="177">
        <v>1</v>
      </c>
      <c r="I631" s="178">
        <v>1621</v>
      </c>
      <c r="J631" s="176">
        <v>46035</v>
      </c>
      <c r="K631" s="172" t="s">
        <v>93</v>
      </c>
      <c r="L631" s="172" t="s">
        <v>94</v>
      </c>
      <c r="M631" s="179">
        <v>0</v>
      </c>
      <c r="N631" s="177"/>
      <c r="O631" s="177"/>
      <c r="P631" s="180">
        <v>617.14</v>
      </c>
    </row>
    <row r="632" spans="1:16" ht="19.5" customHeight="1">
      <c r="A632" s="172" t="s">
        <v>517</v>
      </c>
      <c r="B632" s="176">
        <v>46037</v>
      </c>
      <c r="C632" s="172" t="s">
        <v>100</v>
      </c>
      <c r="D632" s="172" t="s">
        <v>102</v>
      </c>
      <c r="E632" s="172" t="s">
        <v>52</v>
      </c>
      <c r="F632" s="172" t="s">
        <v>90</v>
      </c>
      <c r="G632" s="172" t="s">
        <v>84</v>
      </c>
      <c r="H632" s="177">
        <v>1</v>
      </c>
      <c r="I632" s="178">
        <v>1621</v>
      </c>
      <c r="J632" s="176">
        <v>46035</v>
      </c>
      <c r="K632" s="172" t="s">
        <v>93</v>
      </c>
      <c r="L632" s="172" t="s">
        <v>94</v>
      </c>
      <c r="M632" s="179">
        <v>0</v>
      </c>
      <c r="N632" s="177"/>
      <c r="O632" s="177"/>
      <c r="P632" s="180">
        <v>0</v>
      </c>
    </row>
    <row r="633" spans="1:16" ht="19.5" customHeight="1">
      <c r="A633" s="172" t="s">
        <v>517</v>
      </c>
      <c r="B633" s="176">
        <v>46037</v>
      </c>
      <c r="C633" s="172" t="s">
        <v>100</v>
      </c>
      <c r="D633" s="172" t="s">
        <v>103</v>
      </c>
      <c r="E633" s="172" t="s">
        <v>52</v>
      </c>
      <c r="F633" s="172" t="s">
        <v>90</v>
      </c>
      <c r="G633" s="172" t="s">
        <v>84</v>
      </c>
      <c r="H633" s="177">
        <v>1</v>
      </c>
      <c r="I633" s="178">
        <v>1621</v>
      </c>
      <c r="J633" s="176">
        <v>46035</v>
      </c>
      <c r="K633" s="172" t="s">
        <v>93</v>
      </c>
      <c r="L633" s="172" t="s">
        <v>94</v>
      </c>
      <c r="M633" s="179">
        <v>0</v>
      </c>
      <c r="N633" s="177"/>
      <c r="O633" s="177"/>
      <c r="P633" s="180">
        <v>1003.86</v>
      </c>
    </row>
    <row r="634" spans="1:16" ht="19.5" customHeight="1">
      <c r="A634" s="172" t="s">
        <v>517</v>
      </c>
      <c r="B634" s="176">
        <v>46037</v>
      </c>
      <c r="C634" s="172" t="s">
        <v>104</v>
      </c>
      <c r="D634" s="172" t="s">
        <v>105</v>
      </c>
      <c r="E634" s="172" t="s">
        <v>52</v>
      </c>
      <c r="F634" s="172" t="s">
        <v>90</v>
      </c>
      <c r="G634" s="172" t="s">
        <v>84</v>
      </c>
      <c r="H634" s="177">
        <v>1</v>
      </c>
      <c r="I634" s="178">
        <v>1621</v>
      </c>
      <c r="J634" s="176">
        <v>46035</v>
      </c>
      <c r="K634" s="172" t="s">
        <v>93</v>
      </c>
      <c r="L634" s="172" t="s">
        <v>94</v>
      </c>
      <c r="M634" s="179">
        <v>0.43</v>
      </c>
      <c r="N634" s="177"/>
      <c r="O634" s="177"/>
      <c r="P634" s="180">
        <v>-697.03</v>
      </c>
    </row>
    <row r="635" spans="1:16" ht="19.5" customHeight="1">
      <c r="A635" s="172" t="s">
        <v>517</v>
      </c>
      <c r="B635" s="176">
        <v>46037</v>
      </c>
      <c r="C635" s="172" t="s">
        <v>81</v>
      </c>
      <c r="D635" s="172" t="s">
        <v>95</v>
      </c>
      <c r="E635" s="172" t="s">
        <v>52</v>
      </c>
      <c r="F635" s="172" t="s">
        <v>90</v>
      </c>
      <c r="G635" s="172" t="s">
        <v>84</v>
      </c>
      <c r="H635" s="177">
        <v>1</v>
      </c>
      <c r="I635" s="178">
        <v>1621</v>
      </c>
      <c r="J635" s="176">
        <v>46035</v>
      </c>
      <c r="K635" s="172" t="s">
        <v>93</v>
      </c>
      <c r="L635" s="172" t="s">
        <v>94</v>
      </c>
      <c r="M635" s="179">
        <v>0.43</v>
      </c>
      <c r="N635" s="177"/>
      <c r="O635" s="177"/>
      <c r="P635" s="180">
        <v>-10.039999999999999</v>
      </c>
    </row>
    <row r="636" spans="1:16" ht="19.5" customHeight="1">
      <c r="A636" s="172" t="s">
        <v>518</v>
      </c>
      <c r="B636" s="176">
        <v>46037</v>
      </c>
      <c r="C636" s="172" t="s">
        <v>81</v>
      </c>
      <c r="D636" s="172" t="s">
        <v>82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46037</v>
      </c>
      <c r="K636" s="172" t="s">
        <v>85</v>
      </c>
      <c r="L636" s="172" t="s">
        <v>85</v>
      </c>
      <c r="M636" s="179">
        <v>0</v>
      </c>
      <c r="N636" s="177"/>
      <c r="O636" s="177"/>
      <c r="P636" s="180">
        <v>-13.55</v>
      </c>
    </row>
    <row r="637" spans="1:16" ht="19.5" customHeight="1">
      <c r="A637" s="172" t="s">
        <v>519</v>
      </c>
      <c r="B637" s="176">
        <v>46037</v>
      </c>
      <c r="C637" s="172" t="s">
        <v>92</v>
      </c>
      <c r="D637" s="172" t="s">
        <v>24</v>
      </c>
      <c r="E637" s="172" t="s">
        <v>52</v>
      </c>
      <c r="F637" s="172" t="s">
        <v>90</v>
      </c>
      <c r="G637" s="172" t="s">
        <v>84</v>
      </c>
      <c r="H637" s="177">
        <v>1</v>
      </c>
      <c r="I637" s="178">
        <v>1621</v>
      </c>
      <c r="J637" s="176">
        <v>46035</v>
      </c>
      <c r="K637" s="172" t="s">
        <v>93</v>
      </c>
      <c r="L637" s="172" t="s">
        <v>94</v>
      </c>
      <c r="M637" s="179">
        <v>0.43</v>
      </c>
      <c r="N637" s="177"/>
      <c r="O637" s="177">
        <v>45</v>
      </c>
      <c r="P637" s="180">
        <v>-146.44999999999999</v>
      </c>
    </row>
    <row r="638" spans="1:16" ht="19.5" customHeight="1">
      <c r="A638" s="172" t="s">
        <v>519</v>
      </c>
      <c r="B638" s="176">
        <v>46037</v>
      </c>
      <c r="C638" s="172" t="s">
        <v>100</v>
      </c>
      <c r="D638" s="172" t="s">
        <v>101</v>
      </c>
      <c r="E638" s="172" t="s">
        <v>52</v>
      </c>
      <c r="F638" s="172" t="s">
        <v>90</v>
      </c>
      <c r="G638" s="172" t="s">
        <v>84</v>
      </c>
      <c r="H638" s="177">
        <v>1</v>
      </c>
      <c r="I638" s="178">
        <v>1621</v>
      </c>
      <c r="J638" s="176">
        <v>46035</v>
      </c>
      <c r="K638" s="172" t="s">
        <v>93</v>
      </c>
      <c r="L638" s="172" t="s">
        <v>94</v>
      </c>
      <c r="M638" s="179">
        <v>0</v>
      </c>
      <c r="N638" s="177"/>
      <c r="O638" s="177"/>
      <c r="P638" s="180">
        <v>556.61</v>
      </c>
    </row>
    <row r="639" spans="1:16" ht="19.5" customHeight="1">
      <c r="A639" s="172" t="s">
        <v>519</v>
      </c>
      <c r="B639" s="176">
        <v>46037</v>
      </c>
      <c r="C639" s="172" t="s">
        <v>100</v>
      </c>
      <c r="D639" s="172" t="s">
        <v>102</v>
      </c>
      <c r="E639" s="172" t="s">
        <v>52</v>
      </c>
      <c r="F639" s="172" t="s">
        <v>90</v>
      </c>
      <c r="G639" s="172" t="s">
        <v>84</v>
      </c>
      <c r="H639" s="177">
        <v>1</v>
      </c>
      <c r="I639" s="178">
        <v>1621</v>
      </c>
      <c r="J639" s="176">
        <v>46035</v>
      </c>
      <c r="K639" s="172" t="s">
        <v>93</v>
      </c>
      <c r="L639" s="172" t="s">
        <v>94</v>
      </c>
      <c r="M639" s="179">
        <v>0</v>
      </c>
      <c r="N639" s="177"/>
      <c r="O639" s="177"/>
      <c r="P639" s="180">
        <v>5.57</v>
      </c>
    </row>
    <row r="640" spans="1:16" ht="19.5" customHeight="1">
      <c r="A640" s="172" t="s">
        <v>519</v>
      </c>
      <c r="B640" s="176">
        <v>46037</v>
      </c>
      <c r="C640" s="172" t="s">
        <v>100</v>
      </c>
      <c r="D640" s="172" t="s">
        <v>103</v>
      </c>
      <c r="E640" s="172" t="s">
        <v>52</v>
      </c>
      <c r="F640" s="172" t="s">
        <v>90</v>
      </c>
      <c r="G640" s="172" t="s">
        <v>84</v>
      </c>
      <c r="H640" s="177">
        <v>1</v>
      </c>
      <c r="I640" s="178">
        <v>1621</v>
      </c>
      <c r="J640" s="176">
        <v>46035</v>
      </c>
      <c r="K640" s="172" t="s">
        <v>93</v>
      </c>
      <c r="L640" s="172" t="s">
        <v>94</v>
      </c>
      <c r="M640" s="179">
        <v>0</v>
      </c>
      <c r="N640" s="177"/>
      <c r="O640" s="177"/>
      <c r="P640" s="180">
        <v>1058.82</v>
      </c>
    </row>
    <row r="641" spans="1:16" ht="19.5" customHeight="1">
      <c r="A641" s="172" t="s">
        <v>519</v>
      </c>
      <c r="B641" s="176">
        <v>46037</v>
      </c>
      <c r="C641" s="172" t="s">
        <v>104</v>
      </c>
      <c r="D641" s="172" t="s">
        <v>105</v>
      </c>
      <c r="E641" s="172" t="s">
        <v>52</v>
      </c>
      <c r="F641" s="172" t="s">
        <v>90</v>
      </c>
      <c r="G641" s="172" t="s">
        <v>84</v>
      </c>
      <c r="H641" s="177">
        <v>1</v>
      </c>
      <c r="I641" s="178">
        <v>1621</v>
      </c>
      <c r="J641" s="176">
        <v>46035</v>
      </c>
      <c r="K641" s="172" t="s">
        <v>93</v>
      </c>
      <c r="L641" s="172" t="s">
        <v>94</v>
      </c>
      <c r="M641" s="179">
        <v>0.43</v>
      </c>
      <c r="N641" s="177"/>
      <c r="O641" s="177"/>
      <c r="P641" s="180">
        <v>-697.03</v>
      </c>
    </row>
    <row r="642" spans="1:16" ht="19.5" customHeight="1">
      <c r="A642" s="172" t="s">
        <v>519</v>
      </c>
      <c r="B642" s="176">
        <v>46037</v>
      </c>
      <c r="C642" s="172" t="s">
        <v>81</v>
      </c>
      <c r="D642" s="172" t="s">
        <v>95</v>
      </c>
      <c r="E642" s="172" t="s">
        <v>52</v>
      </c>
      <c r="F642" s="172" t="s">
        <v>90</v>
      </c>
      <c r="G642" s="172" t="s">
        <v>84</v>
      </c>
      <c r="H642" s="177">
        <v>1</v>
      </c>
      <c r="I642" s="178">
        <v>1621</v>
      </c>
      <c r="J642" s="176">
        <v>46035</v>
      </c>
      <c r="K642" s="172" t="s">
        <v>93</v>
      </c>
      <c r="L642" s="172" t="s">
        <v>94</v>
      </c>
      <c r="M642" s="179">
        <v>0.43</v>
      </c>
      <c r="N642" s="177"/>
      <c r="O642" s="177"/>
      <c r="P642" s="180">
        <v>-11.76</v>
      </c>
    </row>
    <row r="643" spans="1:16" ht="19.5" customHeight="1">
      <c r="A643" s="172" t="s">
        <v>520</v>
      </c>
      <c r="B643" s="176">
        <v>46037</v>
      </c>
      <c r="C643" s="172" t="s">
        <v>92</v>
      </c>
      <c r="D643" s="172" t="s">
        <v>24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1621</v>
      </c>
      <c r="J643" s="176">
        <v>46035</v>
      </c>
      <c r="K643" s="172" t="s">
        <v>93</v>
      </c>
      <c r="L643" s="172" t="s">
        <v>94</v>
      </c>
      <c r="M643" s="179">
        <v>0.43</v>
      </c>
      <c r="N643" s="177"/>
      <c r="O643" s="177">
        <v>45</v>
      </c>
      <c r="P643" s="180">
        <v>-146.44999999999999</v>
      </c>
    </row>
    <row r="644" spans="1:16" ht="19.5" customHeight="1">
      <c r="A644" s="172" t="s">
        <v>520</v>
      </c>
      <c r="B644" s="176">
        <v>46037</v>
      </c>
      <c r="C644" s="172" t="s">
        <v>100</v>
      </c>
      <c r="D644" s="172" t="s">
        <v>101</v>
      </c>
      <c r="E644" s="172" t="s">
        <v>52</v>
      </c>
      <c r="F644" s="172" t="s">
        <v>90</v>
      </c>
      <c r="G644" s="172" t="s">
        <v>84</v>
      </c>
      <c r="H644" s="177">
        <v>1</v>
      </c>
      <c r="I644" s="178">
        <v>1621</v>
      </c>
      <c r="J644" s="176">
        <v>46035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556.61</v>
      </c>
    </row>
    <row r="645" spans="1:16" ht="19.5" customHeight="1">
      <c r="A645" s="172" t="s">
        <v>520</v>
      </c>
      <c r="B645" s="176">
        <v>46037</v>
      </c>
      <c r="C645" s="172" t="s">
        <v>100</v>
      </c>
      <c r="D645" s="172" t="s">
        <v>102</v>
      </c>
      <c r="E645" s="172" t="s">
        <v>52</v>
      </c>
      <c r="F645" s="172" t="s">
        <v>90</v>
      </c>
      <c r="G645" s="172" t="s">
        <v>84</v>
      </c>
      <c r="H645" s="177">
        <v>1</v>
      </c>
      <c r="I645" s="178">
        <v>1621</v>
      </c>
      <c r="J645" s="176">
        <v>46035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5.57</v>
      </c>
    </row>
    <row r="646" spans="1:16" ht="19.5" customHeight="1">
      <c r="A646" s="172" t="s">
        <v>520</v>
      </c>
      <c r="B646" s="176">
        <v>46037</v>
      </c>
      <c r="C646" s="172" t="s">
        <v>100</v>
      </c>
      <c r="D646" s="172" t="s">
        <v>103</v>
      </c>
      <c r="E646" s="172" t="s">
        <v>52</v>
      </c>
      <c r="F646" s="172" t="s">
        <v>90</v>
      </c>
      <c r="G646" s="172" t="s">
        <v>84</v>
      </c>
      <c r="H646" s="177">
        <v>1</v>
      </c>
      <c r="I646" s="178">
        <v>1621</v>
      </c>
      <c r="J646" s="176">
        <v>46035</v>
      </c>
      <c r="K646" s="172" t="s">
        <v>93</v>
      </c>
      <c r="L646" s="172" t="s">
        <v>94</v>
      </c>
      <c r="M646" s="179">
        <v>0</v>
      </c>
      <c r="N646" s="177"/>
      <c r="O646" s="177"/>
      <c r="P646" s="180">
        <v>1058.82</v>
      </c>
    </row>
    <row r="647" spans="1:16" ht="19.5" customHeight="1">
      <c r="A647" s="172" t="s">
        <v>520</v>
      </c>
      <c r="B647" s="176">
        <v>46037</v>
      </c>
      <c r="C647" s="172" t="s">
        <v>104</v>
      </c>
      <c r="D647" s="172" t="s">
        <v>105</v>
      </c>
      <c r="E647" s="172" t="s">
        <v>52</v>
      </c>
      <c r="F647" s="172" t="s">
        <v>90</v>
      </c>
      <c r="G647" s="172" t="s">
        <v>84</v>
      </c>
      <c r="H647" s="177">
        <v>1</v>
      </c>
      <c r="I647" s="178">
        <v>1621</v>
      </c>
      <c r="J647" s="176">
        <v>46035</v>
      </c>
      <c r="K647" s="172" t="s">
        <v>93</v>
      </c>
      <c r="L647" s="172" t="s">
        <v>94</v>
      </c>
      <c r="M647" s="179">
        <v>0.43</v>
      </c>
      <c r="N647" s="177"/>
      <c r="O647" s="177"/>
      <c r="P647" s="180">
        <v>-697.03</v>
      </c>
    </row>
    <row r="648" spans="1:16" ht="19.5" customHeight="1">
      <c r="A648" s="172" t="s">
        <v>520</v>
      </c>
      <c r="B648" s="176">
        <v>46037</v>
      </c>
      <c r="C648" s="172" t="s">
        <v>81</v>
      </c>
      <c r="D648" s="172" t="s">
        <v>95</v>
      </c>
      <c r="E648" s="172" t="s">
        <v>52</v>
      </c>
      <c r="F648" s="172" t="s">
        <v>90</v>
      </c>
      <c r="G648" s="172" t="s">
        <v>84</v>
      </c>
      <c r="H648" s="177">
        <v>1</v>
      </c>
      <c r="I648" s="178">
        <v>1621</v>
      </c>
      <c r="J648" s="176">
        <v>46035</v>
      </c>
      <c r="K648" s="172" t="s">
        <v>93</v>
      </c>
      <c r="L648" s="172" t="s">
        <v>94</v>
      </c>
      <c r="M648" s="179">
        <v>0.43</v>
      </c>
      <c r="N648" s="177"/>
      <c r="O648" s="177"/>
      <c r="P648" s="180">
        <v>-11.76</v>
      </c>
    </row>
    <row r="649" spans="1:16" ht="19.5" customHeight="1">
      <c r="A649" s="172" t="s">
        <v>521</v>
      </c>
      <c r="B649" s="176">
        <v>46037</v>
      </c>
      <c r="C649" s="172" t="s">
        <v>92</v>
      </c>
      <c r="D649" s="172" t="s">
        <v>24</v>
      </c>
      <c r="E649" s="172" t="s">
        <v>52</v>
      </c>
      <c r="F649" s="172" t="s">
        <v>90</v>
      </c>
      <c r="G649" s="172" t="s">
        <v>84</v>
      </c>
      <c r="H649" s="177">
        <v>1</v>
      </c>
      <c r="I649" s="178">
        <v>1621</v>
      </c>
      <c r="J649" s="176">
        <v>46035</v>
      </c>
      <c r="K649" s="172" t="s">
        <v>93</v>
      </c>
      <c r="L649" s="172" t="s">
        <v>94</v>
      </c>
      <c r="M649" s="179">
        <v>0.43</v>
      </c>
      <c r="N649" s="177"/>
      <c r="O649" s="177">
        <v>45</v>
      </c>
      <c r="P649" s="180">
        <v>-146.44999999999999</v>
      </c>
    </row>
    <row r="650" spans="1:16" ht="19.5" customHeight="1">
      <c r="A650" s="172" t="s">
        <v>521</v>
      </c>
      <c r="B650" s="176">
        <v>46037</v>
      </c>
      <c r="C650" s="172" t="s">
        <v>100</v>
      </c>
      <c r="D650" s="172" t="s">
        <v>101</v>
      </c>
      <c r="E650" s="172" t="s">
        <v>52</v>
      </c>
      <c r="F650" s="172" t="s">
        <v>90</v>
      </c>
      <c r="G650" s="172" t="s">
        <v>84</v>
      </c>
      <c r="H650" s="177">
        <v>1</v>
      </c>
      <c r="I650" s="178">
        <v>1621</v>
      </c>
      <c r="J650" s="176">
        <v>46035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557.14</v>
      </c>
    </row>
    <row r="651" spans="1:16" ht="19.5" customHeight="1">
      <c r="A651" s="172" t="s">
        <v>521</v>
      </c>
      <c r="B651" s="176">
        <v>46037</v>
      </c>
      <c r="C651" s="172" t="s">
        <v>100</v>
      </c>
      <c r="D651" s="172" t="s">
        <v>102</v>
      </c>
      <c r="E651" s="172" t="s">
        <v>52</v>
      </c>
      <c r="F651" s="172" t="s">
        <v>90</v>
      </c>
      <c r="G651" s="172" t="s">
        <v>84</v>
      </c>
      <c r="H651" s="177">
        <v>1</v>
      </c>
      <c r="I651" s="178">
        <v>1621</v>
      </c>
      <c r="J651" s="176">
        <v>46035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5.57</v>
      </c>
    </row>
    <row r="652" spans="1:16" ht="19.5" customHeight="1">
      <c r="A652" s="172" t="s">
        <v>521</v>
      </c>
      <c r="B652" s="176">
        <v>46037</v>
      </c>
      <c r="C652" s="172" t="s">
        <v>100</v>
      </c>
      <c r="D652" s="172" t="s">
        <v>103</v>
      </c>
      <c r="E652" s="172" t="s">
        <v>52</v>
      </c>
      <c r="F652" s="172" t="s">
        <v>90</v>
      </c>
      <c r="G652" s="172" t="s">
        <v>84</v>
      </c>
      <c r="H652" s="177">
        <v>1</v>
      </c>
      <c r="I652" s="178">
        <v>1621</v>
      </c>
      <c r="J652" s="176">
        <v>46035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1058.29</v>
      </c>
    </row>
    <row r="653" spans="1:16" ht="19.5" customHeight="1">
      <c r="A653" s="172" t="s">
        <v>521</v>
      </c>
      <c r="B653" s="176">
        <v>46037</v>
      </c>
      <c r="C653" s="172" t="s">
        <v>104</v>
      </c>
      <c r="D653" s="172" t="s">
        <v>105</v>
      </c>
      <c r="E653" s="172" t="s">
        <v>52</v>
      </c>
      <c r="F653" s="172" t="s">
        <v>90</v>
      </c>
      <c r="G653" s="172" t="s">
        <v>84</v>
      </c>
      <c r="H653" s="177">
        <v>1</v>
      </c>
      <c r="I653" s="178">
        <v>1621</v>
      </c>
      <c r="J653" s="176">
        <v>46035</v>
      </c>
      <c r="K653" s="172" t="s">
        <v>93</v>
      </c>
      <c r="L653" s="172" t="s">
        <v>94</v>
      </c>
      <c r="M653" s="179">
        <v>0.43</v>
      </c>
      <c r="N653" s="177"/>
      <c r="O653" s="177"/>
      <c r="P653" s="180">
        <v>-697.03</v>
      </c>
    </row>
    <row r="654" spans="1:16" ht="19.5" customHeight="1">
      <c r="A654" s="172" t="s">
        <v>521</v>
      </c>
      <c r="B654" s="176">
        <v>46037</v>
      </c>
      <c r="C654" s="172" t="s">
        <v>81</v>
      </c>
      <c r="D654" s="172" t="s">
        <v>95</v>
      </c>
      <c r="E654" s="172" t="s">
        <v>52</v>
      </c>
      <c r="F654" s="172" t="s">
        <v>90</v>
      </c>
      <c r="G654" s="172" t="s">
        <v>84</v>
      </c>
      <c r="H654" s="177">
        <v>1</v>
      </c>
      <c r="I654" s="178">
        <v>1621</v>
      </c>
      <c r="J654" s="176">
        <v>46035</v>
      </c>
      <c r="K654" s="172" t="s">
        <v>93</v>
      </c>
      <c r="L654" s="172" t="s">
        <v>94</v>
      </c>
      <c r="M654" s="179">
        <v>0.43</v>
      </c>
      <c r="N654" s="177"/>
      <c r="O654" s="177"/>
      <c r="P654" s="180">
        <v>-8.0299999999999994</v>
      </c>
    </row>
    <row r="655" spans="1:16" ht="19.5" customHeight="1">
      <c r="A655" s="172" t="s">
        <v>520</v>
      </c>
      <c r="B655" s="176">
        <v>46037</v>
      </c>
      <c r="C655" s="172" t="s">
        <v>81</v>
      </c>
      <c r="D655" s="172" t="s">
        <v>82</v>
      </c>
      <c r="E655" s="172" t="s">
        <v>52</v>
      </c>
      <c r="F655" s="172" t="s">
        <v>90</v>
      </c>
      <c r="G655" s="172" t="s">
        <v>84</v>
      </c>
      <c r="H655" s="177">
        <v>1</v>
      </c>
      <c r="I655" s="178">
        <v>0</v>
      </c>
      <c r="J655" s="176">
        <v>46035</v>
      </c>
      <c r="K655" s="172" t="s">
        <v>85</v>
      </c>
      <c r="L655" s="172" t="s">
        <v>85</v>
      </c>
      <c r="M655" s="179">
        <v>0</v>
      </c>
      <c r="N655" s="177"/>
      <c r="O655" s="177"/>
      <c r="P655" s="180">
        <v>-10.58</v>
      </c>
    </row>
    <row r="656" spans="1:16" ht="19.5" customHeight="1">
      <c r="A656" s="172" t="s">
        <v>519</v>
      </c>
      <c r="B656" s="176">
        <v>46037</v>
      </c>
      <c r="C656" s="172" t="s">
        <v>81</v>
      </c>
      <c r="D656" s="172" t="s">
        <v>82</v>
      </c>
      <c r="E656" s="172" t="s">
        <v>52</v>
      </c>
      <c r="F656" s="172" t="s">
        <v>90</v>
      </c>
      <c r="G656" s="172" t="s">
        <v>84</v>
      </c>
      <c r="H656" s="177">
        <v>1</v>
      </c>
      <c r="I656" s="178">
        <v>0</v>
      </c>
      <c r="J656" s="176">
        <v>46035</v>
      </c>
      <c r="K656" s="172" t="s">
        <v>85</v>
      </c>
      <c r="L656" s="172" t="s">
        <v>85</v>
      </c>
      <c r="M656" s="179">
        <v>0</v>
      </c>
      <c r="N656" s="177"/>
      <c r="O656" s="177"/>
      <c r="P656" s="180">
        <v>-10.58</v>
      </c>
    </row>
    <row r="657" spans="1:16" ht="19.5" customHeight="1">
      <c r="A657" s="172" t="s">
        <v>521</v>
      </c>
      <c r="B657" s="176">
        <v>46037</v>
      </c>
      <c r="C657" s="172" t="s">
        <v>81</v>
      </c>
      <c r="D657" s="172" t="s">
        <v>82</v>
      </c>
      <c r="E657" s="172" t="s">
        <v>52</v>
      </c>
      <c r="F657" s="172" t="s">
        <v>90</v>
      </c>
      <c r="G657" s="172" t="s">
        <v>84</v>
      </c>
      <c r="H657" s="177">
        <v>1</v>
      </c>
      <c r="I657" s="178">
        <v>0</v>
      </c>
      <c r="J657" s="176">
        <v>46035</v>
      </c>
      <c r="K657" s="172" t="s">
        <v>85</v>
      </c>
      <c r="L657" s="172" t="s">
        <v>85</v>
      </c>
      <c r="M657" s="179">
        <v>0</v>
      </c>
      <c r="N657" s="177"/>
      <c r="O657" s="177"/>
      <c r="P657" s="180">
        <v>-10.59</v>
      </c>
    </row>
    <row r="658" spans="1:16" ht="19.5" customHeight="1">
      <c r="A658" s="172" t="s">
        <v>522</v>
      </c>
      <c r="B658" s="176">
        <v>46037</v>
      </c>
      <c r="C658" s="172" t="s">
        <v>92</v>
      </c>
      <c r="D658" s="172" t="s">
        <v>24</v>
      </c>
      <c r="E658" s="172" t="s">
        <v>43</v>
      </c>
      <c r="F658" s="172" t="s">
        <v>125</v>
      </c>
      <c r="G658" s="172" t="s">
        <v>84</v>
      </c>
      <c r="H658" s="177">
        <v>1</v>
      </c>
      <c r="I658" s="178">
        <v>1202</v>
      </c>
      <c r="J658" s="176">
        <v>46030</v>
      </c>
      <c r="K658" s="172" t="s">
        <v>93</v>
      </c>
      <c r="L658" s="172" t="s">
        <v>94</v>
      </c>
      <c r="M658" s="179">
        <v>0.43</v>
      </c>
      <c r="N658" s="177"/>
      <c r="O658" s="177">
        <v>42</v>
      </c>
      <c r="P658" s="180">
        <v>-107.69</v>
      </c>
    </row>
    <row r="659" spans="1:16" ht="19.5" customHeight="1">
      <c r="A659" s="172" t="s">
        <v>522</v>
      </c>
      <c r="B659" s="176">
        <v>46037</v>
      </c>
      <c r="C659" s="172" t="s">
        <v>100</v>
      </c>
      <c r="D659" s="172" t="s">
        <v>101</v>
      </c>
      <c r="E659" s="172" t="s">
        <v>43</v>
      </c>
      <c r="F659" s="172" t="s">
        <v>125</v>
      </c>
      <c r="G659" s="172" t="s">
        <v>84</v>
      </c>
      <c r="H659" s="177">
        <v>1</v>
      </c>
      <c r="I659" s="178">
        <v>1202</v>
      </c>
      <c r="J659" s="176">
        <v>46030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512.38</v>
      </c>
    </row>
    <row r="660" spans="1:16" ht="19.5" customHeight="1">
      <c r="A660" s="172" t="s">
        <v>522</v>
      </c>
      <c r="B660" s="176">
        <v>46037</v>
      </c>
      <c r="C660" s="172" t="s">
        <v>100</v>
      </c>
      <c r="D660" s="172" t="s">
        <v>102</v>
      </c>
      <c r="E660" s="172" t="s">
        <v>43</v>
      </c>
      <c r="F660" s="172" t="s">
        <v>125</v>
      </c>
      <c r="G660" s="172" t="s">
        <v>84</v>
      </c>
      <c r="H660" s="177">
        <v>1</v>
      </c>
      <c r="I660" s="178">
        <v>1202</v>
      </c>
      <c r="J660" s="176">
        <v>46030</v>
      </c>
      <c r="K660" s="172" t="s">
        <v>93</v>
      </c>
      <c r="L660" s="172" t="s">
        <v>94</v>
      </c>
      <c r="M660" s="179">
        <v>0</v>
      </c>
      <c r="N660" s="177"/>
      <c r="O660" s="177"/>
      <c r="P660" s="180">
        <v>5.12</v>
      </c>
    </row>
    <row r="661" spans="1:16" ht="19.5" customHeight="1">
      <c r="A661" s="172" t="s">
        <v>522</v>
      </c>
      <c r="B661" s="176">
        <v>46037</v>
      </c>
      <c r="C661" s="172" t="s">
        <v>100</v>
      </c>
      <c r="D661" s="172" t="s">
        <v>103</v>
      </c>
      <c r="E661" s="172" t="s">
        <v>43</v>
      </c>
      <c r="F661" s="172" t="s">
        <v>125</v>
      </c>
      <c r="G661" s="172" t="s">
        <v>84</v>
      </c>
      <c r="H661" s="177">
        <v>1</v>
      </c>
      <c r="I661" s="178">
        <v>1202</v>
      </c>
      <c r="J661" s="176">
        <v>46030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684.5</v>
      </c>
    </row>
    <row r="662" spans="1:16" ht="19.5" customHeight="1">
      <c r="A662" s="172" t="s">
        <v>522</v>
      </c>
      <c r="B662" s="176">
        <v>46037</v>
      </c>
      <c r="C662" s="172" t="s">
        <v>104</v>
      </c>
      <c r="D662" s="172" t="s">
        <v>105</v>
      </c>
      <c r="E662" s="172" t="s">
        <v>43</v>
      </c>
      <c r="F662" s="172" t="s">
        <v>125</v>
      </c>
      <c r="G662" s="172" t="s">
        <v>84</v>
      </c>
      <c r="H662" s="177">
        <v>1</v>
      </c>
      <c r="I662" s="178">
        <v>1202</v>
      </c>
      <c r="J662" s="176">
        <v>46030</v>
      </c>
      <c r="K662" s="172" t="s">
        <v>93</v>
      </c>
      <c r="L662" s="172" t="s">
        <v>94</v>
      </c>
      <c r="M662" s="179">
        <v>0.43</v>
      </c>
      <c r="N662" s="177"/>
      <c r="O662" s="177"/>
      <c r="P662" s="180">
        <v>-516.86</v>
      </c>
    </row>
    <row r="663" spans="1:16" ht="19.5" customHeight="1">
      <c r="A663" s="172" t="s">
        <v>522</v>
      </c>
      <c r="B663" s="176">
        <v>46037</v>
      </c>
      <c r="C663" s="172" t="s">
        <v>81</v>
      </c>
      <c r="D663" s="172" t="s">
        <v>95</v>
      </c>
      <c r="E663" s="172" t="s">
        <v>43</v>
      </c>
      <c r="F663" s="172" t="s">
        <v>125</v>
      </c>
      <c r="G663" s="172" t="s">
        <v>84</v>
      </c>
      <c r="H663" s="177">
        <v>1</v>
      </c>
      <c r="I663" s="178">
        <v>1202</v>
      </c>
      <c r="J663" s="176">
        <v>46030</v>
      </c>
      <c r="K663" s="172" t="s">
        <v>93</v>
      </c>
      <c r="L663" s="172" t="s">
        <v>94</v>
      </c>
      <c r="M663" s="179">
        <v>0.43</v>
      </c>
      <c r="N663" s="177"/>
      <c r="O663" s="177"/>
      <c r="P663" s="180">
        <v>-5.76</v>
      </c>
    </row>
    <row r="664" spans="1:16" ht="19.5" customHeight="1">
      <c r="A664" s="172" t="s">
        <v>522</v>
      </c>
      <c r="B664" s="176">
        <v>46037</v>
      </c>
      <c r="C664" s="172" t="s">
        <v>81</v>
      </c>
      <c r="D664" s="172" t="s">
        <v>82</v>
      </c>
      <c r="E664" s="172" t="s">
        <v>43</v>
      </c>
      <c r="F664" s="172" t="s">
        <v>125</v>
      </c>
      <c r="G664" s="172" t="s">
        <v>84</v>
      </c>
      <c r="H664" s="177">
        <v>1</v>
      </c>
      <c r="I664" s="178">
        <v>0</v>
      </c>
      <c r="J664" s="176">
        <v>46030</v>
      </c>
      <c r="K664" s="172" t="s">
        <v>85</v>
      </c>
      <c r="L664" s="172" t="s">
        <v>85</v>
      </c>
      <c r="M664" s="179">
        <v>0</v>
      </c>
      <c r="N664" s="177"/>
      <c r="O664" s="177"/>
      <c r="P664" s="180">
        <v>-9.74</v>
      </c>
    </row>
    <row r="665" spans="1:16" ht="19.5" customHeight="1">
      <c r="A665" s="172" t="s">
        <v>523</v>
      </c>
      <c r="B665" s="176">
        <v>46037</v>
      </c>
      <c r="C665" s="172" t="s">
        <v>81</v>
      </c>
      <c r="D665" s="172" t="s">
        <v>82</v>
      </c>
      <c r="E665" s="172" t="s">
        <v>43</v>
      </c>
      <c r="F665" s="172" t="s">
        <v>125</v>
      </c>
      <c r="G665" s="172" t="s">
        <v>84</v>
      </c>
      <c r="H665" s="177">
        <v>1</v>
      </c>
      <c r="I665" s="178">
        <v>0</v>
      </c>
      <c r="J665" s="176">
        <v>46037</v>
      </c>
      <c r="K665" s="172" t="s">
        <v>85</v>
      </c>
      <c r="L665" s="172" t="s">
        <v>85</v>
      </c>
      <c r="M665" s="179">
        <v>0</v>
      </c>
      <c r="N665" s="177"/>
      <c r="O665" s="177"/>
      <c r="P665" s="180">
        <v>-11.71</v>
      </c>
    </row>
    <row r="666" spans="1:16" ht="19.5" customHeight="1">
      <c r="A666" s="172" t="s">
        <v>144</v>
      </c>
      <c r="B666" s="176">
        <v>46037</v>
      </c>
      <c r="C666" s="172" t="s">
        <v>109</v>
      </c>
      <c r="D666" s="172" t="s">
        <v>139</v>
      </c>
      <c r="E666" s="172" t="s">
        <v>85</v>
      </c>
      <c r="F666" s="172" t="s">
        <v>85</v>
      </c>
      <c r="G666" s="172" t="s">
        <v>85</v>
      </c>
      <c r="H666" s="177">
        <v>0</v>
      </c>
      <c r="I666" s="178">
        <v>0</v>
      </c>
      <c r="J666" s="176">
        <v>46037</v>
      </c>
      <c r="K666" s="172" t="s">
        <v>85</v>
      </c>
      <c r="L666" s="172" t="s">
        <v>85</v>
      </c>
      <c r="M666" s="179">
        <v>0</v>
      </c>
      <c r="N666" s="177"/>
      <c r="O666" s="177"/>
      <c r="P666" s="180">
        <v>-685.03</v>
      </c>
    </row>
    <row r="667" spans="1:16" ht="19.5" customHeight="1">
      <c r="A667" s="172" t="s">
        <v>138</v>
      </c>
      <c r="B667" s="176">
        <v>46037</v>
      </c>
      <c r="C667" s="172" t="s">
        <v>109</v>
      </c>
      <c r="D667" s="172" t="s">
        <v>139</v>
      </c>
      <c r="E667" s="172" t="s">
        <v>85</v>
      </c>
      <c r="F667" s="172" t="s">
        <v>85</v>
      </c>
      <c r="G667" s="172" t="s">
        <v>85</v>
      </c>
      <c r="H667" s="177">
        <v>0</v>
      </c>
      <c r="I667" s="178">
        <v>0</v>
      </c>
      <c r="J667" s="176">
        <v>46037</v>
      </c>
      <c r="K667" s="172" t="s">
        <v>85</v>
      </c>
      <c r="L667" s="172" t="s">
        <v>85</v>
      </c>
      <c r="M667" s="179">
        <v>0</v>
      </c>
      <c r="N667" s="177"/>
      <c r="O667" s="177"/>
      <c r="P667" s="180">
        <v>-511.12</v>
      </c>
    </row>
    <row r="668" spans="1:16" ht="19.5" customHeight="1">
      <c r="A668" s="172" t="s">
        <v>410</v>
      </c>
      <c r="B668" s="176">
        <v>46037</v>
      </c>
      <c r="C668" s="172" t="s">
        <v>109</v>
      </c>
      <c r="D668" s="172" t="s">
        <v>139</v>
      </c>
      <c r="E668" s="172" t="s">
        <v>85</v>
      </c>
      <c r="F668" s="172" t="s">
        <v>85</v>
      </c>
      <c r="G668" s="172" t="s">
        <v>85</v>
      </c>
      <c r="H668" s="177">
        <v>0</v>
      </c>
      <c r="I668" s="178">
        <v>0</v>
      </c>
      <c r="J668" s="176">
        <v>46037</v>
      </c>
      <c r="K668" s="172" t="s">
        <v>85</v>
      </c>
      <c r="L668" s="172" t="s">
        <v>85</v>
      </c>
      <c r="M668" s="179">
        <v>0</v>
      </c>
      <c r="N668" s="177"/>
      <c r="O668" s="177"/>
      <c r="P668" s="180">
        <v>-550.34</v>
      </c>
    </row>
    <row r="669" spans="1:16" ht="19.5" customHeight="1">
      <c r="A669" s="172" t="s">
        <v>145</v>
      </c>
      <c r="B669" s="176">
        <v>46037</v>
      </c>
      <c r="C669" s="172" t="s">
        <v>109</v>
      </c>
      <c r="D669" s="172" t="s">
        <v>139</v>
      </c>
      <c r="E669" s="172" t="s">
        <v>85</v>
      </c>
      <c r="F669" s="172" t="s">
        <v>85</v>
      </c>
      <c r="G669" s="172" t="s">
        <v>85</v>
      </c>
      <c r="H669" s="177">
        <v>0</v>
      </c>
      <c r="I669" s="178">
        <v>0</v>
      </c>
      <c r="J669" s="176">
        <v>46037</v>
      </c>
      <c r="K669" s="172" t="s">
        <v>85</v>
      </c>
      <c r="L669" s="172" t="s">
        <v>85</v>
      </c>
      <c r="M669" s="179">
        <v>0</v>
      </c>
      <c r="N669" s="177"/>
      <c r="O669" s="177"/>
      <c r="P669" s="180">
        <v>-120.22</v>
      </c>
    </row>
    <row r="670" spans="1:16" ht="19.5" customHeight="1">
      <c r="A670" s="172" t="s">
        <v>146</v>
      </c>
      <c r="B670" s="176">
        <v>46037</v>
      </c>
      <c r="C670" s="172" t="s">
        <v>109</v>
      </c>
      <c r="D670" s="172" t="s">
        <v>139</v>
      </c>
      <c r="E670" s="172" t="s">
        <v>85</v>
      </c>
      <c r="F670" s="172" t="s">
        <v>85</v>
      </c>
      <c r="G670" s="172" t="s">
        <v>85</v>
      </c>
      <c r="H670" s="177">
        <v>0</v>
      </c>
      <c r="I670" s="178">
        <v>0</v>
      </c>
      <c r="J670" s="176">
        <v>46037</v>
      </c>
      <c r="K670" s="172" t="s">
        <v>85</v>
      </c>
      <c r="L670" s="172" t="s">
        <v>85</v>
      </c>
      <c r="M670" s="179">
        <v>0</v>
      </c>
      <c r="N670" s="177"/>
      <c r="O670" s="177"/>
      <c r="P670" s="180">
        <v>-102.17</v>
      </c>
    </row>
    <row r="671" spans="1:16" ht="19.5" customHeight="1">
      <c r="A671" s="172" t="s">
        <v>142</v>
      </c>
      <c r="B671" s="176">
        <v>46037</v>
      </c>
      <c r="C671" s="172" t="s">
        <v>109</v>
      </c>
      <c r="D671" s="172" t="s">
        <v>143</v>
      </c>
      <c r="E671" s="172" t="s">
        <v>85</v>
      </c>
      <c r="F671" s="172" t="s">
        <v>85</v>
      </c>
      <c r="G671" s="172" t="s">
        <v>85</v>
      </c>
      <c r="H671" s="177">
        <v>0</v>
      </c>
      <c r="I671" s="178">
        <v>0</v>
      </c>
      <c r="J671" s="176">
        <v>46037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-2104.6</v>
      </c>
    </row>
    <row r="672" spans="1:16" ht="19.5" customHeight="1">
      <c r="A672" s="172" t="s">
        <v>524</v>
      </c>
      <c r="B672" s="176">
        <v>46038</v>
      </c>
      <c r="C672" s="172" t="s">
        <v>92</v>
      </c>
      <c r="D672" s="172" t="s">
        <v>24</v>
      </c>
      <c r="E672" s="172" t="s">
        <v>52</v>
      </c>
      <c r="F672" s="172" t="s">
        <v>90</v>
      </c>
      <c r="G672" s="172" t="s">
        <v>84</v>
      </c>
      <c r="H672" s="177">
        <v>1</v>
      </c>
      <c r="I672" s="178">
        <v>0</v>
      </c>
      <c r="J672" s="176">
        <v>46018</v>
      </c>
      <c r="K672" s="172" t="s">
        <v>93</v>
      </c>
      <c r="L672" s="172" t="s">
        <v>94</v>
      </c>
      <c r="M672" s="179">
        <v>0</v>
      </c>
      <c r="N672" s="177"/>
      <c r="O672" s="177">
        <v>42</v>
      </c>
      <c r="P672" s="180">
        <v>-56</v>
      </c>
    </row>
    <row r="673" spans="1:16" ht="19.5" customHeight="1">
      <c r="A673" s="172" t="s">
        <v>524</v>
      </c>
      <c r="B673" s="176">
        <v>46038</v>
      </c>
      <c r="C673" s="172" t="s">
        <v>81</v>
      </c>
      <c r="D673" s="172" t="s">
        <v>95</v>
      </c>
      <c r="E673" s="172" t="s">
        <v>52</v>
      </c>
      <c r="F673" s="172" t="s">
        <v>90</v>
      </c>
      <c r="G673" s="172" t="s">
        <v>84</v>
      </c>
      <c r="H673" s="177">
        <v>1</v>
      </c>
      <c r="I673" s="178">
        <v>0</v>
      </c>
      <c r="J673" s="176">
        <v>46018</v>
      </c>
      <c r="K673" s="172" t="s">
        <v>93</v>
      </c>
      <c r="L673" s="172" t="s">
        <v>94</v>
      </c>
      <c r="M673" s="179">
        <v>0</v>
      </c>
      <c r="N673" s="177"/>
      <c r="O673" s="177"/>
      <c r="P673" s="180">
        <v>-14.22</v>
      </c>
    </row>
    <row r="674" spans="1:16" ht="19.5" customHeight="1">
      <c r="A674" s="172" t="s">
        <v>525</v>
      </c>
      <c r="B674" s="176">
        <v>46038</v>
      </c>
      <c r="C674" s="172" t="s">
        <v>92</v>
      </c>
      <c r="D674" s="172" t="s">
        <v>24</v>
      </c>
      <c r="E674" s="172" t="s">
        <v>53</v>
      </c>
      <c r="F674" s="172" t="s">
        <v>120</v>
      </c>
      <c r="G674" s="172" t="s">
        <v>84</v>
      </c>
      <c r="H674" s="177">
        <v>1</v>
      </c>
      <c r="I674" s="178">
        <v>0</v>
      </c>
      <c r="J674" s="176">
        <v>46030</v>
      </c>
      <c r="K674" s="172" t="s">
        <v>93</v>
      </c>
      <c r="L674" s="172" t="s">
        <v>94</v>
      </c>
      <c r="M674" s="179">
        <v>0</v>
      </c>
      <c r="N674" s="177"/>
      <c r="O674" s="177">
        <v>42</v>
      </c>
      <c r="P674" s="180">
        <v>-56.94</v>
      </c>
    </row>
    <row r="675" spans="1:16" ht="19.5" customHeight="1">
      <c r="A675" s="172" t="s">
        <v>525</v>
      </c>
      <c r="B675" s="176">
        <v>46038</v>
      </c>
      <c r="C675" s="172" t="s">
        <v>81</v>
      </c>
      <c r="D675" s="172" t="s">
        <v>95</v>
      </c>
      <c r="E675" s="172" t="s">
        <v>53</v>
      </c>
      <c r="F675" s="172" t="s">
        <v>120</v>
      </c>
      <c r="G675" s="172" t="s">
        <v>84</v>
      </c>
      <c r="H675" s="177">
        <v>1</v>
      </c>
      <c r="I675" s="178">
        <v>0</v>
      </c>
      <c r="J675" s="176">
        <v>46030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-13.54</v>
      </c>
    </row>
    <row r="676" spans="1:16" ht="19.5" customHeight="1">
      <c r="A676" s="172" t="s">
        <v>524</v>
      </c>
      <c r="B676" s="176">
        <v>46038</v>
      </c>
      <c r="C676" s="172" t="s">
        <v>92</v>
      </c>
      <c r="D676" s="172" t="s">
        <v>96</v>
      </c>
      <c r="E676" s="172" t="s">
        <v>52</v>
      </c>
      <c r="F676" s="172" t="s">
        <v>90</v>
      </c>
      <c r="G676" s="172" t="s">
        <v>84</v>
      </c>
      <c r="H676" s="177">
        <v>1</v>
      </c>
      <c r="I676" s="178">
        <v>0</v>
      </c>
      <c r="J676" s="176">
        <v>46018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0</v>
      </c>
    </row>
    <row r="677" spans="1:16" ht="19.5" customHeight="1">
      <c r="A677" s="172" t="s">
        <v>524</v>
      </c>
      <c r="B677" s="176">
        <v>46038</v>
      </c>
      <c r="C677" s="172" t="s">
        <v>92</v>
      </c>
      <c r="D677" s="172" t="s">
        <v>97</v>
      </c>
      <c r="E677" s="172" t="s">
        <v>52</v>
      </c>
      <c r="F677" s="172" t="s">
        <v>90</v>
      </c>
      <c r="G677" s="172" t="s">
        <v>84</v>
      </c>
      <c r="H677" s="177">
        <v>1</v>
      </c>
      <c r="I677" s="178">
        <v>0</v>
      </c>
      <c r="J677" s="176">
        <v>46018</v>
      </c>
      <c r="K677" s="172" t="s">
        <v>93</v>
      </c>
      <c r="L677" s="172" t="s">
        <v>94</v>
      </c>
      <c r="M677" s="179">
        <v>0</v>
      </c>
      <c r="N677" s="177"/>
      <c r="O677" s="177"/>
      <c r="P677" s="180">
        <v>-56</v>
      </c>
    </row>
    <row r="678" spans="1:16" ht="19.5" customHeight="1">
      <c r="A678" s="172" t="s">
        <v>525</v>
      </c>
      <c r="B678" s="176">
        <v>46038</v>
      </c>
      <c r="C678" s="172" t="s">
        <v>92</v>
      </c>
      <c r="D678" s="172" t="s">
        <v>96</v>
      </c>
      <c r="E678" s="172" t="s">
        <v>53</v>
      </c>
      <c r="F678" s="172" t="s">
        <v>120</v>
      </c>
      <c r="G678" s="172" t="s">
        <v>84</v>
      </c>
      <c r="H678" s="177">
        <v>1</v>
      </c>
      <c r="I678" s="178">
        <v>0</v>
      </c>
      <c r="J678" s="176">
        <v>46030</v>
      </c>
      <c r="K678" s="172" t="s">
        <v>93</v>
      </c>
      <c r="L678" s="172" t="s">
        <v>94</v>
      </c>
      <c r="M678" s="179">
        <v>0</v>
      </c>
      <c r="N678" s="177"/>
      <c r="O678" s="177"/>
      <c r="P678" s="180">
        <v>0</v>
      </c>
    </row>
    <row r="679" spans="1:16" ht="19.5" customHeight="1">
      <c r="A679" s="172" t="s">
        <v>525</v>
      </c>
      <c r="B679" s="176">
        <v>46038</v>
      </c>
      <c r="C679" s="172" t="s">
        <v>92</v>
      </c>
      <c r="D679" s="172" t="s">
        <v>97</v>
      </c>
      <c r="E679" s="172" t="s">
        <v>53</v>
      </c>
      <c r="F679" s="172" t="s">
        <v>120</v>
      </c>
      <c r="G679" s="172" t="s">
        <v>84</v>
      </c>
      <c r="H679" s="177">
        <v>1</v>
      </c>
      <c r="I679" s="178">
        <v>0</v>
      </c>
      <c r="J679" s="176">
        <v>46030</v>
      </c>
      <c r="K679" s="172" t="s">
        <v>93</v>
      </c>
      <c r="L679" s="172" t="s">
        <v>94</v>
      </c>
      <c r="M679" s="179">
        <v>0</v>
      </c>
      <c r="N679" s="177"/>
      <c r="O679" s="177"/>
      <c r="P679" s="180">
        <v>-56.94</v>
      </c>
    </row>
    <row r="680" spans="1:16" ht="19.5" customHeight="1">
      <c r="A680" s="172" t="s">
        <v>526</v>
      </c>
      <c r="B680" s="176">
        <v>46038</v>
      </c>
      <c r="C680" s="172" t="s">
        <v>92</v>
      </c>
      <c r="D680" s="172" t="s">
        <v>96</v>
      </c>
      <c r="E680" s="172" t="s">
        <v>53</v>
      </c>
      <c r="F680" s="172" t="s">
        <v>120</v>
      </c>
      <c r="G680" s="172" t="s">
        <v>84</v>
      </c>
      <c r="H680" s="177">
        <v>1</v>
      </c>
      <c r="I680" s="178">
        <v>0</v>
      </c>
      <c r="J680" s="176">
        <v>46029</v>
      </c>
      <c r="K680" s="172" t="s">
        <v>93</v>
      </c>
      <c r="L680" s="172" t="s">
        <v>94</v>
      </c>
      <c r="M680" s="179">
        <v>0</v>
      </c>
      <c r="N680" s="177"/>
      <c r="O680" s="177"/>
      <c r="P680" s="180">
        <v>0</v>
      </c>
    </row>
    <row r="681" spans="1:16" ht="19.5" customHeight="1">
      <c r="A681" s="172" t="s">
        <v>526</v>
      </c>
      <c r="B681" s="176">
        <v>46038</v>
      </c>
      <c r="C681" s="172" t="s">
        <v>92</v>
      </c>
      <c r="D681" s="172" t="s">
        <v>97</v>
      </c>
      <c r="E681" s="172" t="s">
        <v>53</v>
      </c>
      <c r="F681" s="172" t="s">
        <v>120</v>
      </c>
      <c r="G681" s="172" t="s">
        <v>84</v>
      </c>
      <c r="H681" s="177">
        <v>1</v>
      </c>
      <c r="I681" s="178">
        <v>0</v>
      </c>
      <c r="J681" s="176">
        <v>46029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-56</v>
      </c>
    </row>
    <row r="682" spans="1:16" ht="19.5" customHeight="1">
      <c r="A682" s="172" t="s">
        <v>526</v>
      </c>
      <c r="B682" s="176">
        <v>46038</v>
      </c>
      <c r="C682" s="172" t="s">
        <v>92</v>
      </c>
      <c r="D682" s="172" t="s">
        <v>24</v>
      </c>
      <c r="E682" s="172" t="s">
        <v>53</v>
      </c>
      <c r="F682" s="172" t="s">
        <v>120</v>
      </c>
      <c r="G682" s="172" t="s">
        <v>84</v>
      </c>
      <c r="H682" s="177">
        <v>1</v>
      </c>
      <c r="I682" s="178">
        <v>0</v>
      </c>
      <c r="J682" s="176">
        <v>46029</v>
      </c>
      <c r="K682" s="172" t="s">
        <v>93</v>
      </c>
      <c r="L682" s="172" t="s">
        <v>94</v>
      </c>
      <c r="M682" s="179">
        <v>0</v>
      </c>
      <c r="N682" s="177"/>
      <c r="O682" s="177">
        <v>43</v>
      </c>
      <c r="P682" s="180">
        <v>-56</v>
      </c>
    </row>
    <row r="683" spans="1:16" ht="19.5" customHeight="1">
      <c r="A683" s="172" t="s">
        <v>526</v>
      </c>
      <c r="B683" s="176">
        <v>46038</v>
      </c>
      <c r="C683" s="172" t="s">
        <v>81</v>
      </c>
      <c r="D683" s="172" t="s">
        <v>95</v>
      </c>
      <c r="E683" s="172" t="s">
        <v>53</v>
      </c>
      <c r="F683" s="172" t="s">
        <v>120</v>
      </c>
      <c r="G683" s="172" t="s">
        <v>84</v>
      </c>
      <c r="H683" s="177">
        <v>1</v>
      </c>
      <c r="I683" s="178">
        <v>0</v>
      </c>
      <c r="J683" s="176">
        <v>46029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-7.88</v>
      </c>
    </row>
    <row r="684" spans="1:16" ht="19.5" customHeight="1">
      <c r="A684" s="172" t="s">
        <v>527</v>
      </c>
      <c r="B684" s="176">
        <v>46038</v>
      </c>
      <c r="C684" s="172" t="s">
        <v>92</v>
      </c>
      <c r="D684" s="172" t="s">
        <v>24</v>
      </c>
      <c r="E684" s="172" t="s">
        <v>43</v>
      </c>
      <c r="F684" s="172" t="s">
        <v>125</v>
      </c>
      <c r="G684" s="172" t="s">
        <v>84</v>
      </c>
      <c r="H684" s="177">
        <v>1</v>
      </c>
      <c r="I684" s="178">
        <v>0</v>
      </c>
      <c r="J684" s="176">
        <v>46029</v>
      </c>
      <c r="K684" s="172" t="s">
        <v>93</v>
      </c>
      <c r="L684" s="172" t="s">
        <v>94</v>
      </c>
      <c r="M684" s="179">
        <v>0</v>
      </c>
      <c r="N684" s="177"/>
      <c r="O684" s="177">
        <v>43</v>
      </c>
      <c r="P684" s="180">
        <v>-46.77</v>
      </c>
    </row>
    <row r="685" spans="1:16" ht="19.5" customHeight="1">
      <c r="A685" s="172" t="s">
        <v>527</v>
      </c>
      <c r="B685" s="176">
        <v>46038</v>
      </c>
      <c r="C685" s="172" t="s">
        <v>81</v>
      </c>
      <c r="D685" s="172" t="s">
        <v>95</v>
      </c>
      <c r="E685" s="172" t="s">
        <v>43</v>
      </c>
      <c r="F685" s="172" t="s">
        <v>125</v>
      </c>
      <c r="G685" s="172" t="s">
        <v>84</v>
      </c>
      <c r="H685" s="177">
        <v>1</v>
      </c>
      <c r="I685" s="178">
        <v>0</v>
      </c>
      <c r="J685" s="176">
        <v>46029</v>
      </c>
      <c r="K685" s="172" t="s">
        <v>93</v>
      </c>
      <c r="L685" s="172" t="s">
        <v>94</v>
      </c>
      <c r="M685" s="179">
        <v>0</v>
      </c>
      <c r="N685" s="177"/>
      <c r="O685" s="177"/>
      <c r="P685" s="180">
        <v>-5.14</v>
      </c>
    </row>
    <row r="686" spans="1:16" ht="19.5" customHeight="1">
      <c r="A686" s="172" t="s">
        <v>527</v>
      </c>
      <c r="B686" s="176">
        <v>46038</v>
      </c>
      <c r="C686" s="172" t="s">
        <v>92</v>
      </c>
      <c r="D686" s="172" t="s">
        <v>96</v>
      </c>
      <c r="E686" s="172" t="s">
        <v>43</v>
      </c>
      <c r="F686" s="172" t="s">
        <v>125</v>
      </c>
      <c r="G686" s="172" t="s">
        <v>84</v>
      </c>
      <c r="H686" s="177">
        <v>1</v>
      </c>
      <c r="I686" s="178">
        <v>0</v>
      </c>
      <c r="J686" s="176">
        <v>46029</v>
      </c>
      <c r="K686" s="172" t="s">
        <v>93</v>
      </c>
      <c r="L686" s="172" t="s">
        <v>94</v>
      </c>
      <c r="M686" s="179">
        <v>0</v>
      </c>
      <c r="N686" s="177"/>
      <c r="O686" s="177"/>
      <c r="P686" s="180">
        <v>0</v>
      </c>
    </row>
    <row r="687" spans="1:16" ht="19.5" customHeight="1">
      <c r="A687" s="172" t="s">
        <v>527</v>
      </c>
      <c r="B687" s="176">
        <v>46038</v>
      </c>
      <c r="C687" s="172" t="s">
        <v>92</v>
      </c>
      <c r="D687" s="172" t="s">
        <v>97</v>
      </c>
      <c r="E687" s="172" t="s">
        <v>43</v>
      </c>
      <c r="F687" s="172" t="s">
        <v>125</v>
      </c>
      <c r="G687" s="172" t="s">
        <v>84</v>
      </c>
      <c r="H687" s="177">
        <v>1</v>
      </c>
      <c r="I687" s="178">
        <v>0</v>
      </c>
      <c r="J687" s="176">
        <v>46029</v>
      </c>
      <c r="K687" s="172" t="s">
        <v>93</v>
      </c>
      <c r="L687" s="172" t="s">
        <v>94</v>
      </c>
      <c r="M687" s="179">
        <v>0</v>
      </c>
      <c r="N687" s="177"/>
      <c r="O687" s="177"/>
      <c r="P687" s="180">
        <v>-46.77</v>
      </c>
    </row>
    <row r="688" spans="1:16" ht="19.5" customHeight="1">
      <c r="A688" s="172" t="s">
        <v>85</v>
      </c>
      <c r="B688" s="176">
        <v>46038</v>
      </c>
      <c r="C688" s="172" t="s">
        <v>109</v>
      </c>
      <c r="D688" s="172" t="s">
        <v>110</v>
      </c>
      <c r="E688" s="172" t="s">
        <v>85</v>
      </c>
      <c r="F688" s="172" t="s">
        <v>85</v>
      </c>
      <c r="G688" s="172" t="s">
        <v>528</v>
      </c>
      <c r="H688" s="177">
        <v>0</v>
      </c>
      <c r="I688" s="178">
        <v>0</v>
      </c>
      <c r="J688" s="176">
        <v>46038</v>
      </c>
      <c r="K688" s="172" t="s">
        <v>85</v>
      </c>
      <c r="L688" s="172" t="s">
        <v>85</v>
      </c>
      <c r="M688" s="179">
        <v>0</v>
      </c>
      <c r="N688" s="177"/>
      <c r="O688" s="177"/>
      <c r="P688" s="180">
        <v>-150</v>
      </c>
    </row>
    <row r="689" spans="1:16" ht="19.5" customHeight="1">
      <c r="A689" s="172" t="s">
        <v>529</v>
      </c>
      <c r="B689" s="176">
        <v>46038</v>
      </c>
      <c r="C689" s="172" t="s">
        <v>92</v>
      </c>
      <c r="D689" s="172" t="s">
        <v>24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0</v>
      </c>
      <c r="J689" s="176">
        <v>46009</v>
      </c>
      <c r="K689" s="172" t="s">
        <v>93</v>
      </c>
      <c r="L689" s="172" t="s">
        <v>94</v>
      </c>
      <c r="M689" s="179">
        <v>0</v>
      </c>
      <c r="N689" s="177"/>
      <c r="O689" s="177">
        <v>43</v>
      </c>
      <c r="P689" s="180">
        <v>-56</v>
      </c>
    </row>
    <row r="690" spans="1:16" ht="19.5" customHeight="1">
      <c r="A690" s="172" t="s">
        <v>529</v>
      </c>
      <c r="B690" s="176">
        <v>46038</v>
      </c>
      <c r="C690" s="172" t="s">
        <v>81</v>
      </c>
      <c r="D690" s="172" t="s">
        <v>95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0</v>
      </c>
      <c r="J690" s="176">
        <v>46009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-9.6999999999999993</v>
      </c>
    </row>
    <row r="691" spans="1:16" ht="19.5" customHeight="1">
      <c r="A691" s="172" t="s">
        <v>529</v>
      </c>
      <c r="B691" s="176">
        <v>46038</v>
      </c>
      <c r="C691" s="172" t="s">
        <v>92</v>
      </c>
      <c r="D691" s="172" t="s">
        <v>96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0</v>
      </c>
      <c r="J691" s="176">
        <v>46009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0</v>
      </c>
    </row>
    <row r="692" spans="1:16" ht="19.5" customHeight="1">
      <c r="A692" s="172" t="s">
        <v>529</v>
      </c>
      <c r="B692" s="176">
        <v>46038</v>
      </c>
      <c r="C692" s="172" t="s">
        <v>92</v>
      </c>
      <c r="D692" s="172" t="s">
        <v>97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0</v>
      </c>
      <c r="J692" s="176">
        <v>46009</v>
      </c>
      <c r="K692" s="172" t="s">
        <v>93</v>
      </c>
      <c r="L692" s="172" t="s">
        <v>94</v>
      </c>
      <c r="M692" s="179">
        <v>0</v>
      </c>
      <c r="N692" s="177"/>
      <c r="O692" s="177"/>
      <c r="P692" s="180">
        <v>-56</v>
      </c>
    </row>
    <row r="693" spans="1:16" ht="19.5" customHeight="1">
      <c r="A693" s="172" t="s">
        <v>529</v>
      </c>
      <c r="B693" s="176">
        <v>46038</v>
      </c>
      <c r="C693" s="172" t="s">
        <v>81</v>
      </c>
      <c r="D693" s="172" t="s">
        <v>98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0</v>
      </c>
      <c r="J693" s="176">
        <v>46009</v>
      </c>
      <c r="K693" s="172" t="s">
        <v>93</v>
      </c>
      <c r="L693" s="172" t="s">
        <v>94</v>
      </c>
      <c r="M693" s="179">
        <v>0</v>
      </c>
      <c r="N693" s="177"/>
      <c r="O693" s="177"/>
      <c r="P693" s="180">
        <v>-15</v>
      </c>
    </row>
    <row r="694" spans="1:16" ht="19.5" customHeight="1">
      <c r="A694" s="172" t="s">
        <v>530</v>
      </c>
      <c r="B694" s="176">
        <v>46038</v>
      </c>
      <c r="C694" s="172" t="s">
        <v>92</v>
      </c>
      <c r="D694" s="172" t="s">
        <v>24</v>
      </c>
      <c r="E694" s="172" t="s">
        <v>53</v>
      </c>
      <c r="F694" s="172" t="s">
        <v>120</v>
      </c>
      <c r="G694" s="172" t="s">
        <v>84</v>
      </c>
      <c r="H694" s="177">
        <v>1</v>
      </c>
      <c r="I694" s="178">
        <v>1845</v>
      </c>
      <c r="J694" s="176">
        <v>46035</v>
      </c>
      <c r="K694" s="172" t="s">
        <v>93</v>
      </c>
      <c r="L694" s="172" t="s">
        <v>94</v>
      </c>
      <c r="M694" s="179">
        <v>0.43</v>
      </c>
      <c r="N694" s="177"/>
      <c r="O694" s="177">
        <v>45</v>
      </c>
      <c r="P694" s="180">
        <v>-153.85</v>
      </c>
    </row>
    <row r="695" spans="1:16" ht="19.5" customHeight="1">
      <c r="A695" s="172" t="s">
        <v>530</v>
      </c>
      <c r="B695" s="176">
        <v>46038</v>
      </c>
      <c r="C695" s="172" t="s">
        <v>100</v>
      </c>
      <c r="D695" s="172" t="s">
        <v>101</v>
      </c>
      <c r="E695" s="172" t="s">
        <v>53</v>
      </c>
      <c r="F695" s="172" t="s">
        <v>120</v>
      </c>
      <c r="G695" s="172" t="s">
        <v>84</v>
      </c>
      <c r="H695" s="177">
        <v>1</v>
      </c>
      <c r="I695" s="178">
        <v>1845</v>
      </c>
      <c r="J695" s="176">
        <v>46035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702.86</v>
      </c>
    </row>
    <row r="696" spans="1:16" ht="19.5" customHeight="1">
      <c r="A696" s="172" t="s">
        <v>530</v>
      </c>
      <c r="B696" s="176">
        <v>46038</v>
      </c>
      <c r="C696" s="172" t="s">
        <v>100</v>
      </c>
      <c r="D696" s="172" t="s">
        <v>102</v>
      </c>
      <c r="E696" s="172" t="s">
        <v>53</v>
      </c>
      <c r="F696" s="172" t="s">
        <v>120</v>
      </c>
      <c r="G696" s="172" t="s">
        <v>84</v>
      </c>
      <c r="H696" s="177">
        <v>1</v>
      </c>
      <c r="I696" s="178">
        <v>1845</v>
      </c>
      <c r="J696" s="176">
        <v>46035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0</v>
      </c>
    </row>
    <row r="697" spans="1:16" ht="19.5" customHeight="1">
      <c r="A697" s="172" t="s">
        <v>530</v>
      </c>
      <c r="B697" s="176">
        <v>46038</v>
      </c>
      <c r="C697" s="172" t="s">
        <v>100</v>
      </c>
      <c r="D697" s="172" t="s">
        <v>103</v>
      </c>
      <c r="E697" s="172" t="s">
        <v>53</v>
      </c>
      <c r="F697" s="172" t="s">
        <v>120</v>
      </c>
      <c r="G697" s="172" t="s">
        <v>84</v>
      </c>
      <c r="H697" s="177">
        <v>1</v>
      </c>
      <c r="I697" s="178">
        <v>1845</v>
      </c>
      <c r="J697" s="176">
        <v>46035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1142.1400000000001</v>
      </c>
    </row>
    <row r="698" spans="1:16" ht="19.5" customHeight="1">
      <c r="A698" s="172" t="s">
        <v>530</v>
      </c>
      <c r="B698" s="176">
        <v>46038</v>
      </c>
      <c r="C698" s="172" t="s">
        <v>104</v>
      </c>
      <c r="D698" s="172" t="s">
        <v>105</v>
      </c>
      <c r="E698" s="172" t="s">
        <v>53</v>
      </c>
      <c r="F698" s="172" t="s">
        <v>120</v>
      </c>
      <c r="G698" s="172" t="s">
        <v>84</v>
      </c>
      <c r="H698" s="177">
        <v>1</v>
      </c>
      <c r="I698" s="178">
        <v>1845</v>
      </c>
      <c r="J698" s="176">
        <v>46035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-793.35</v>
      </c>
    </row>
    <row r="699" spans="1:16" ht="19.5" customHeight="1">
      <c r="A699" s="172" t="s">
        <v>530</v>
      </c>
      <c r="B699" s="176">
        <v>46038</v>
      </c>
      <c r="C699" s="172" t="s">
        <v>81</v>
      </c>
      <c r="D699" s="172" t="s">
        <v>95</v>
      </c>
      <c r="E699" s="172" t="s">
        <v>53</v>
      </c>
      <c r="F699" s="172" t="s">
        <v>120</v>
      </c>
      <c r="G699" s="172" t="s">
        <v>84</v>
      </c>
      <c r="H699" s="177">
        <v>1</v>
      </c>
      <c r="I699" s="178">
        <v>1845</v>
      </c>
      <c r="J699" s="176">
        <v>46035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-15.19</v>
      </c>
    </row>
    <row r="700" spans="1:16" ht="19.5" customHeight="1">
      <c r="A700" s="172" t="s">
        <v>530</v>
      </c>
      <c r="B700" s="176">
        <v>46038</v>
      </c>
      <c r="C700" s="172" t="s">
        <v>81</v>
      </c>
      <c r="D700" s="172" t="s">
        <v>82</v>
      </c>
      <c r="E700" s="172" t="s">
        <v>53</v>
      </c>
      <c r="F700" s="172" t="s">
        <v>120</v>
      </c>
      <c r="G700" s="172" t="s">
        <v>84</v>
      </c>
      <c r="H700" s="177">
        <v>1</v>
      </c>
      <c r="I700" s="178">
        <v>0</v>
      </c>
      <c r="J700" s="176">
        <v>46035</v>
      </c>
      <c r="K700" s="172" t="s">
        <v>85</v>
      </c>
      <c r="L700" s="172" t="s">
        <v>85</v>
      </c>
      <c r="M700" s="179">
        <v>0</v>
      </c>
      <c r="N700" s="177"/>
      <c r="O700" s="177"/>
      <c r="P700" s="180">
        <v>-3.77</v>
      </c>
    </row>
    <row r="701" spans="1:16" ht="19.5" customHeight="1">
      <c r="A701" s="172" t="s">
        <v>531</v>
      </c>
      <c r="B701" s="176">
        <v>46038</v>
      </c>
      <c r="C701" s="172" t="s">
        <v>92</v>
      </c>
      <c r="D701" s="172" t="s">
        <v>24</v>
      </c>
      <c r="E701" s="172" t="s">
        <v>52</v>
      </c>
      <c r="F701" s="172" t="s">
        <v>90</v>
      </c>
      <c r="G701" s="172" t="s">
        <v>84</v>
      </c>
      <c r="H701" s="177">
        <v>1</v>
      </c>
      <c r="I701" s="178">
        <v>0</v>
      </c>
      <c r="J701" s="176">
        <v>46034</v>
      </c>
      <c r="K701" s="172" t="s">
        <v>93</v>
      </c>
      <c r="L701" s="172" t="s">
        <v>94</v>
      </c>
      <c r="M701" s="179">
        <v>0</v>
      </c>
      <c r="N701" s="177"/>
      <c r="O701" s="177">
        <v>42</v>
      </c>
      <c r="P701" s="180">
        <v>-56</v>
      </c>
    </row>
    <row r="702" spans="1:16" ht="19.5" customHeight="1">
      <c r="A702" s="172" t="s">
        <v>531</v>
      </c>
      <c r="B702" s="176">
        <v>46038</v>
      </c>
      <c r="C702" s="172" t="s">
        <v>81</v>
      </c>
      <c r="D702" s="172" t="s">
        <v>95</v>
      </c>
      <c r="E702" s="172" t="s">
        <v>52</v>
      </c>
      <c r="F702" s="172" t="s">
        <v>90</v>
      </c>
      <c r="G702" s="172" t="s">
        <v>84</v>
      </c>
      <c r="H702" s="177">
        <v>1</v>
      </c>
      <c r="I702" s="178">
        <v>0</v>
      </c>
      <c r="J702" s="176">
        <v>46034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-11.05</v>
      </c>
    </row>
    <row r="703" spans="1:16" ht="19.5" customHeight="1">
      <c r="A703" s="172" t="s">
        <v>531</v>
      </c>
      <c r="B703" s="176">
        <v>46038</v>
      </c>
      <c r="C703" s="172" t="s">
        <v>92</v>
      </c>
      <c r="D703" s="172" t="s">
        <v>96</v>
      </c>
      <c r="E703" s="172" t="s">
        <v>52</v>
      </c>
      <c r="F703" s="172" t="s">
        <v>90</v>
      </c>
      <c r="G703" s="172" t="s">
        <v>84</v>
      </c>
      <c r="H703" s="177">
        <v>1</v>
      </c>
      <c r="I703" s="178">
        <v>0</v>
      </c>
      <c r="J703" s="176">
        <v>46034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0</v>
      </c>
    </row>
    <row r="704" spans="1:16" ht="19.5" customHeight="1">
      <c r="A704" s="172" t="s">
        <v>531</v>
      </c>
      <c r="B704" s="176">
        <v>46038</v>
      </c>
      <c r="C704" s="172" t="s">
        <v>92</v>
      </c>
      <c r="D704" s="172" t="s">
        <v>97</v>
      </c>
      <c r="E704" s="172" t="s">
        <v>52</v>
      </c>
      <c r="F704" s="172" t="s">
        <v>90</v>
      </c>
      <c r="G704" s="172" t="s">
        <v>84</v>
      </c>
      <c r="H704" s="177">
        <v>1</v>
      </c>
      <c r="I704" s="178">
        <v>0</v>
      </c>
      <c r="J704" s="176">
        <v>46034</v>
      </c>
      <c r="K704" s="172" t="s">
        <v>93</v>
      </c>
      <c r="L704" s="172" t="s">
        <v>94</v>
      </c>
      <c r="M704" s="179">
        <v>0</v>
      </c>
      <c r="N704" s="177"/>
      <c r="O704" s="177"/>
      <c r="P704" s="180">
        <v>-56</v>
      </c>
    </row>
    <row r="705" spans="1:16" ht="19.5" customHeight="1">
      <c r="A705" s="172" t="s">
        <v>531</v>
      </c>
      <c r="B705" s="176">
        <v>46038</v>
      </c>
      <c r="C705" s="172" t="s">
        <v>81</v>
      </c>
      <c r="D705" s="172" t="s">
        <v>98</v>
      </c>
      <c r="E705" s="172" t="s">
        <v>52</v>
      </c>
      <c r="F705" s="172" t="s">
        <v>90</v>
      </c>
      <c r="G705" s="172" t="s">
        <v>84</v>
      </c>
      <c r="H705" s="177">
        <v>1</v>
      </c>
      <c r="I705" s="178">
        <v>0</v>
      </c>
      <c r="J705" s="176">
        <v>46034</v>
      </c>
      <c r="K705" s="172" t="s">
        <v>93</v>
      </c>
      <c r="L705" s="172" t="s">
        <v>94</v>
      </c>
      <c r="M705" s="179">
        <v>0</v>
      </c>
      <c r="N705" s="177"/>
      <c r="O705" s="177"/>
      <c r="P705" s="180">
        <v>-15</v>
      </c>
    </row>
    <row r="706" spans="1:16" ht="19.5" customHeight="1">
      <c r="A706" s="172" t="s">
        <v>532</v>
      </c>
      <c r="B706" s="176">
        <v>46038</v>
      </c>
      <c r="C706" s="172" t="s">
        <v>92</v>
      </c>
      <c r="D706" s="172" t="s">
        <v>24</v>
      </c>
      <c r="E706" s="172" t="s">
        <v>53</v>
      </c>
      <c r="F706" s="172" t="s">
        <v>120</v>
      </c>
      <c r="G706" s="172" t="s">
        <v>84</v>
      </c>
      <c r="H706" s="177">
        <v>1</v>
      </c>
      <c r="I706" s="178">
        <v>1845</v>
      </c>
      <c r="J706" s="176">
        <v>46025</v>
      </c>
      <c r="K706" s="172" t="s">
        <v>93</v>
      </c>
      <c r="L706" s="172" t="s">
        <v>94</v>
      </c>
      <c r="M706" s="179">
        <v>0.43</v>
      </c>
      <c r="N706" s="177"/>
      <c r="O706" s="177">
        <v>44</v>
      </c>
      <c r="P706" s="180">
        <v>-149.4</v>
      </c>
    </row>
    <row r="707" spans="1:16" ht="19.5" customHeight="1">
      <c r="A707" s="172" t="s">
        <v>532</v>
      </c>
      <c r="B707" s="176">
        <v>46038</v>
      </c>
      <c r="C707" s="172" t="s">
        <v>100</v>
      </c>
      <c r="D707" s="172" t="s">
        <v>101</v>
      </c>
      <c r="E707" s="172" t="s">
        <v>53</v>
      </c>
      <c r="F707" s="172" t="s">
        <v>120</v>
      </c>
      <c r="G707" s="172" t="s">
        <v>84</v>
      </c>
      <c r="H707" s="177">
        <v>1</v>
      </c>
      <c r="I707" s="178">
        <v>1845</v>
      </c>
      <c r="J707" s="176">
        <v>46025</v>
      </c>
      <c r="K707" s="172" t="s">
        <v>93</v>
      </c>
      <c r="L707" s="172" t="s">
        <v>94</v>
      </c>
      <c r="M707" s="179">
        <v>0</v>
      </c>
      <c r="N707" s="177"/>
      <c r="O707" s="177"/>
      <c r="P707" s="180">
        <v>649.52</v>
      </c>
    </row>
    <row r="708" spans="1:16" ht="19.5" customHeight="1">
      <c r="A708" s="172" t="s">
        <v>532</v>
      </c>
      <c r="B708" s="176">
        <v>46038</v>
      </c>
      <c r="C708" s="172" t="s">
        <v>100</v>
      </c>
      <c r="D708" s="172" t="s">
        <v>102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1845</v>
      </c>
      <c r="J708" s="176">
        <v>46025</v>
      </c>
      <c r="K708" s="172" t="s">
        <v>93</v>
      </c>
      <c r="L708" s="172" t="s">
        <v>94</v>
      </c>
      <c r="M708" s="179">
        <v>0</v>
      </c>
      <c r="N708" s="177"/>
      <c r="O708" s="177"/>
      <c r="P708" s="180">
        <v>6.5</v>
      </c>
    </row>
    <row r="709" spans="1:16" ht="19.5" customHeight="1">
      <c r="A709" s="172" t="s">
        <v>532</v>
      </c>
      <c r="B709" s="176">
        <v>46038</v>
      </c>
      <c r="C709" s="172" t="s">
        <v>100</v>
      </c>
      <c r="D709" s="172" t="s">
        <v>103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1845</v>
      </c>
      <c r="J709" s="176">
        <v>46025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1188.98</v>
      </c>
    </row>
    <row r="710" spans="1:16" ht="19.5" customHeight="1">
      <c r="A710" s="172" t="s">
        <v>532</v>
      </c>
      <c r="B710" s="176">
        <v>46038</v>
      </c>
      <c r="C710" s="172" t="s">
        <v>104</v>
      </c>
      <c r="D710" s="172" t="s">
        <v>105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1845</v>
      </c>
      <c r="J710" s="176">
        <v>46025</v>
      </c>
      <c r="K710" s="172" t="s">
        <v>93</v>
      </c>
      <c r="L710" s="172" t="s">
        <v>94</v>
      </c>
      <c r="M710" s="179">
        <v>0.43</v>
      </c>
      <c r="N710" s="177"/>
      <c r="O710" s="177"/>
      <c r="P710" s="180">
        <v>-793.35</v>
      </c>
    </row>
    <row r="711" spans="1:16" ht="19.5" customHeight="1">
      <c r="A711" s="172" t="s">
        <v>533</v>
      </c>
      <c r="B711" s="176">
        <v>46038</v>
      </c>
      <c r="C711" s="172" t="s">
        <v>81</v>
      </c>
      <c r="D711" s="172" t="s">
        <v>82</v>
      </c>
      <c r="E711" s="172" t="s">
        <v>52</v>
      </c>
      <c r="F711" s="172" t="s">
        <v>90</v>
      </c>
      <c r="G711" s="172" t="s">
        <v>84</v>
      </c>
      <c r="H711" s="177">
        <v>1</v>
      </c>
      <c r="I711" s="178">
        <v>0</v>
      </c>
      <c r="J711" s="176">
        <v>46038</v>
      </c>
      <c r="K711" s="172" t="s">
        <v>85</v>
      </c>
      <c r="L711" s="172" t="s">
        <v>85</v>
      </c>
      <c r="M711" s="179">
        <v>0</v>
      </c>
      <c r="N711" s="177"/>
      <c r="O711" s="177"/>
      <c r="P711" s="180">
        <v>-12.47</v>
      </c>
    </row>
    <row r="712" spans="1:16" ht="19.5" customHeight="1">
      <c r="A712" s="172" t="s">
        <v>534</v>
      </c>
      <c r="B712" s="176">
        <v>46038</v>
      </c>
      <c r="C712" s="172" t="s">
        <v>92</v>
      </c>
      <c r="D712" s="172" t="s">
        <v>24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46025</v>
      </c>
      <c r="K712" s="172" t="s">
        <v>93</v>
      </c>
      <c r="L712" s="172" t="s">
        <v>94</v>
      </c>
      <c r="M712" s="179">
        <v>0</v>
      </c>
      <c r="N712" s="177"/>
      <c r="O712" s="177">
        <v>44</v>
      </c>
      <c r="P712" s="180">
        <v>-56</v>
      </c>
    </row>
    <row r="713" spans="1:16" ht="19.5" customHeight="1">
      <c r="A713" s="172" t="s">
        <v>534</v>
      </c>
      <c r="B713" s="176">
        <v>46038</v>
      </c>
      <c r="C713" s="172" t="s">
        <v>92</v>
      </c>
      <c r="D713" s="172" t="s">
        <v>96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0</v>
      </c>
      <c r="J713" s="176">
        <v>46025</v>
      </c>
      <c r="K713" s="172" t="s">
        <v>93</v>
      </c>
      <c r="L713" s="172" t="s">
        <v>94</v>
      </c>
      <c r="M713" s="179">
        <v>0</v>
      </c>
      <c r="N713" s="177"/>
      <c r="O713" s="177"/>
      <c r="P713" s="180">
        <v>0</v>
      </c>
    </row>
    <row r="714" spans="1:16" ht="19.5" customHeight="1">
      <c r="A714" s="172" t="s">
        <v>534</v>
      </c>
      <c r="B714" s="176">
        <v>46038</v>
      </c>
      <c r="C714" s="172" t="s">
        <v>92</v>
      </c>
      <c r="D714" s="172" t="s">
        <v>97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0</v>
      </c>
      <c r="J714" s="176">
        <v>46025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-56</v>
      </c>
    </row>
    <row r="715" spans="1:16" ht="19.5" customHeight="1">
      <c r="A715" s="172" t="s">
        <v>535</v>
      </c>
      <c r="B715" s="176">
        <v>46038</v>
      </c>
      <c r="C715" s="172" t="s">
        <v>92</v>
      </c>
      <c r="D715" s="172" t="s">
        <v>24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46036</v>
      </c>
      <c r="K715" s="172" t="s">
        <v>93</v>
      </c>
      <c r="L715" s="172" t="s">
        <v>94</v>
      </c>
      <c r="M715" s="179">
        <v>0.43</v>
      </c>
      <c r="N715" s="177"/>
      <c r="O715" s="177">
        <v>45</v>
      </c>
      <c r="P715" s="180">
        <v>-155.41</v>
      </c>
    </row>
    <row r="716" spans="1:16" ht="19.5" customHeight="1">
      <c r="A716" s="172" t="s">
        <v>535</v>
      </c>
      <c r="B716" s="176">
        <v>46038</v>
      </c>
      <c r="C716" s="172" t="s">
        <v>100</v>
      </c>
      <c r="D716" s="172" t="s">
        <v>101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46036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702.86</v>
      </c>
    </row>
    <row r="717" spans="1:16" ht="19.5" customHeight="1">
      <c r="A717" s="172" t="s">
        <v>535</v>
      </c>
      <c r="B717" s="176">
        <v>46038</v>
      </c>
      <c r="C717" s="172" t="s">
        <v>100</v>
      </c>
      <c r="D717" s="172" t="s">
        <v>102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46036</v>
      </c>
      <c r="K717" s="172" t="s">
        <v>93</v>
      </c>
      <c r="L717" s="172" t="s">
        <v>94</v>
      </c>
      <c r="M717" s="179">
        <v>0</v>
      </c>
      <c r="N717" s="177"/>
      <c r="O717" s="177"/>
      <c r="P717" s="180">
        <v>0</v>
      </c>
    </row>
    <row r="718" spans="1:16" ht="19.5" customHeight="1">
      <c r="A718" s="172" t="s">
        <v>535</v>
      </c>
      <c r="B718" s="176">
        <v>46038</v>
      </c>
      <c r="C718" s="172" t="s">
        <v>100</v>
      </c>
      <c r="D718" s="172" t="s">
        <v>103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46036</v>
      </c>
      <c r="K718" s="172" t="s">
        <v>93</v>
      </c>
      <c r="L718" s="172" t="s">
        <v>94</v>
      </c>
      <c r="M718" s="179">
        <v>0</v>
      </c>
      <c r="N718" s="177"/>
      <c r="O718" s="177"/>
      <c r="P718" s="180">
        <v>1142.1400000000001</v>
      </c>
    </row>
    <row r="719" spans="1:16" ht="19.5" customHeight="1">
      <c r="A719" s="172" t="s">
        <v>535</v>
      </c>
      <c r="B719" s="176">
        <v>46038</v>
      </c>
      <c r="C719" s="172" t="s">
        <v>104</v>
      </c>
      <c r="D719" s="172" t="s">
        <v>105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1845</v>
      </c>
      <c r="J719" s="176">
        <v>46036</v>
      </c>
      <c r="K719" s="172" t="s">
        <v>93</v>
      </c>
      <c r="L719" s="172" t="s">
        <v>94</v>
      </c>
      <c r="M719" s="179">
        <v>0.43</v>
      </c>
      <c r="N719" s="177"/>
      <c r="O719" s="177"/>
      <c r="P719" s="180">
        <v>-793.35</v>
      </c>
    </row>
    <row r="720" spans="1:16" ht="19.5" customHeight="1">
      <c r="A720" s="172" t="s">
        <v>535</v>
      </c>
      <c r="B720" s="176">
        <v>46038</v>
      </c>
      <c r="C720" s="172" t="s">
        <v>81</v>
      </c>
      <c r="D720" s="172" t="s">
        <v>95</v>
      </c>
      <c r="E720" s="172" t="s">
        <v>53</v>
      </c>
      <c r="F720" s="172" t="s">
        <v>120</v>
      </c>
      <c r="G720" s="172" t="s">
        <v>84</v>
      </c>
      <c r="H720" s="177">
        <v>1</v>
      </c>
      <c r="I720" s="178">
        <v>1845</v>
      </c>
      <c r="J720" s="176">
        <v>46036</v>
      </c>
      <c r="K720" s="172" t="s">
        <v>93</v>
      </c>
      <c r="L720" s="172" t="s">
        <v>94</v>
      </c>
      <c r="M720" s="179">
        <v>0.43</v>
      </c>
      <c r="N720" s="177"/>
      <c r="O720" s="177"/>
      <c r="P720" s="180">
        <v>-25</v>
      </c>
    </row>
    <row r="721" spans="1:16" ht="19.5" customHeight="1">
      <c r="A721" s="172" t="s">
        <v>536</v>
      </c>
      <c r="B721" s="176">
        <v>46038</v>
      </c>
      <c r="C721" s="172" t="s">
        <v>92</v>
      </c>
      <c r="D721" s="172" t="s">
        <v>24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1621</v>
      </c>
      <c r="J721" s="176">
        <v>46035</v>
      </c>
      <c r="K721" s="172" t="s">
        <v>93</v>
      </c>
      <c r="L721" s="172" t="s">
        <v>94</v>
      </c>
      <c r="M721" s="179">
        <v>0.43</v>
      </c>
      <c r="N721" s="177"/>
      <c r="O721" s="177">
        <v>45</v>
      </c>
      <c r="P721" s="180">
        <v>-146.44999999999999</v>
      </c>
    </row>
    <row r="722" spans="1:16" ht="19.5" customHeight="1">
      <c r="A722" s="172" t="s">
        <v>536</v>
      </c>
      <c r="B722" s="176">
        <v>46038</v>
      </c>
      <c r="C722" s="172" t="s">
        <v>100</v>
      </c>
      <c r="D722" s="172" t="s">
        <v>101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1621</v>
      </c>
      <c r="J722" s="176">
        <v>46035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557.14</v>
      </c>
    </row>
    <row r="723" spans="1:16" ht="19.5" customHeight="1">
      <c r="A723" s="172" t="s">
        <v>536</v>
      </c>
      <c r="B723" s="176">
        <v>46038</v>
      </c>
      <c r="C723" s="172" t="s">
        <v>100</v>
      </c>
      <c r="D723" s="172" t="s">
        <v>102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46035</v>
      </c>
      <c r="K723" s="172" t="s">
        <v>93</v>
      </c>
      <c r="L723" s="172" t="s">
        <v>94</v>
      </c>
      <c r="M723" s="179">
        <v>0</v>
      </c>
      <c r="N723" s="177"/>
      <c r="O723" s="177"/>
      <c r="P723" s="180">
        <v>5.57</v>
      </c>
    </row>
    <row r="724" spans="1:16" ht="19.5" customHeight="1">
      <c r="A724" s="172" t="s">
        <v>536</v>
      </c>
      <c r="B724" s="176">
        <v>46038</v>
      </c>
      <c r="C724" s="172" t="s">
        <v>100</v>
      </c>
      <c r="D724" s="172" t="s">
        <v>103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46035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1058.29</v>
      </c>
    </row>
    <row r="725" spans="1:16" ht="19.5" customHeight="1">
      <c r="A725" s="172" t="s">
        <v>536</v>
      </c>
      <c r="B725" s="176">
        <v>46038</v>
      </c>
      <c r="C725" s="172" t="s">
        <v>104</v>
      </c>
      <c r="D725" s="172" t="s">
        <v>105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46035</v>
      </c>
      <c r="K725" s="172" t="s">
        <v>93</v>
      </c>
      <c r="L725" s="172" t="s">
        <v>94</v>
      </c>
      <c r="M725" s="179">
        <v>0.43</v>
      </c>
      <c r="N725" s="177"/>
      <c r="O725" s="177"/>
      <c r="P725" s="180">
        <v>-697.03</v>
      </c>
    </row>
    <row r="726" spans="1:16" ht="19.5" customHeight="1">
      <c r="A726" s="172" t="s">
        <v>536</v>
      </c>
      <c r="B726" s="176">
        <v>46038</v>
      </c>
      <c r="C726" s="172" t="s">
        <v>81</v>
      </c>
      <c r="D726" s="172" t="s">
        <v>95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46035</v>
      </c>
      <c r="K726" s="172" t="s">
        <v>93</v>
      </c>
      <c r="L726" s="172" t="s">
        <v>94</v>
      </c>
      <c r="M726" s="179">
        <v>0.43</v>
      </c>
      <c r="N726" s="177"/>
      <c r="O726" s="177"/>
      <c r="P726" s="180">
        <v>-8.91</v>
      </c>
    </row>
    <row r="727" spans="1:16" ht="19.5" customHeight="1">
      <c r="A727" s="172" t="s">
        <v>537</v>
      </c>
      <c r="B727" s="176">
        <v>46038</v>
      </c>
      <c r="C727" s="172" t="s">
        <v>92</v>
      </c>
      <c r="D727" s="172" t="s">
        <v>24</v>
      </c>
      <c r="E727" s="172" t="s">
        <v>42</v>
      </c>
      <c r="F727" s="172" t="s">
        <v>89</v>
      </c>
      <c r="G727" s="172" t="s">
        <v>84</v>
      </c>
      <c r="H727" s="177">
        <v>1</v>
      </c>
      <c r="I727" s="178">
        <v>1600</v>
      </c>
      <c r="J727" s="176">
        <v>46029</v>
      </c>
      <c r="K727" s="172" t="s">
        <v>93</v>
      </c>
      <c r="L727" s="172" t="s">
        <v>94</v>
      </c>
      <c r="M727" s="179">
        <v>0.43</v>
      </c>
      <c r="N727" s="177"/>
      <c r="O727" s="177">
        <v>43</v>
      </c>
      <c r="P727" s="180">
        <v>-122.83</v>
      </c>
    </row>
    <row r="728" spans="1:16" ht="19.5" customHeight="1">
      <c r="A728" s="172" t="s">
        <v>537</v>
      </c>
      <c r="B728" s="176">
        <v>46038</v>
      </c>
      <c r="C728" s="172" t="s">
        <v>100</v>
      </c>
      <c r="D728" s="172" t="s">
        <v>101</v>
      </c>
      <c r="E728" s="172" t="s">
        <v>42</v>
      </c>
      <c r="F728" s="172" t="s">
        <v>89</v>
      </c>
      <c r="G728" s="172" t="s">
        <v>84</v>
      </c>
      <c r="H728" s="177">
        <v>1</v>
      </c>
      <c r="I728" s="178">
        <v>1600</v>
      </c>
      <c r="J728" s="176">
        <v>46029</v>
      </c>
      <c r="K728" s="172" t="s">
        <v>93</v>
      </c>
      <c r="L728" s="172" t="s">
        <v>94</v>
      </c>
      <c r="M728" s="179">
        <v>0</v>
      </c>
      <c r="N728" s="177"/>
      <c r="O728" s="177"/>
      <c r="P728" s="180">
        <v>569.52</v>
      </c>
    </row>
    <row r="729" spans="1:16" ht="19.5" customHeight="1">
      <c r="A729" s="172" t="s">
        <v>537</v>
      </c>
      <c r="B729" s="176">
        <v>46038</v>
      </c>
      <c r="C729" s="172" t="s">
        <v>100</v>
      </c>
      <c r="D729" s="172" t="s">
        <v>102</v>
      </c>
      <c r="E729" s="172" t="s">
        <v>42</v>
      </c>
      <c r="F729" s="172" t="s">
        <v>89</v>
      </c>
      <c r="G729" s="172" t="s">
        <v>84</v>
      </c>
      <c r="H729" s="177">
        <v>1</v>
      </c>
      <c r="I729" s="178">
        <v>1600</v>
      </c>
      <c r="J729" s="176">
        <v>46029</v>
      </c>
      <c r="K729" s="172" t="s">
        <v>93</v>
      </c>
      <c r="L729" s="172" t="s">
        <v>94</v>
      </c>
      <c r="M729" s="179">
        <v>0</v>
      </c>
      <c r="N729" s="177"/>
      <c r="O729" s="177"/>
      <c r="P729" s="180">
        <v>5.7</v>
      </c>
    </row>
    <row r="730" spans="1:16" ht="19.5" customHeight="1">
      <c r="A730" s="172" t="s">
        <v>537</v>
      </c>
      <c r="B730" s="176">
        <v>46038</v>
      </c>
      <c r="C730" s="172" t="s">
        <v>100</v>
      </c>
      <c r="D730" s="172" t="s">
        <v>103</v>
      </c>
      <c r="E730" s="172" t="s">
        <v>42</v>
      </c>
      <c r="F730" s="172" t="s">
        <v>89</v>
      </c>
      <c r="G730" s="172" t="s">
        <v>84</v>
      </c>
      <c r="H730" s="177">
        <v>1</v>
      </c>
      <c r="I730" s="178">
        <v>1600</v>
      </c>
      <c r="J730" s="176">
        <v>46029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1024.78</v>
      </c>
    </row>
    <row r="731" spans="1:16" ht="19.5" customHeight="1">
      <c r="A731" s="172" t="s">
        <v>537</v>
      </c>
      <c r="B731" s="176">
        <v>46038</v>
      </c>
      <c r="C731" s="172" t="s">
        <v>104</v>
      </c>
      <c r="D731" s="172" t="s">
        <v>105</v>
      </c>
      <c r="E731" s="172" t="s">
        <v>42</v>
      </c>
      <c r="F731" s="172" t="s">
        <v>89</v>
      </c>
      <c r="G731" s="172" t="s">
        <v>84</v>
      </c>
      <c r="H731" s="177">
        <v>1</v>
      </c>
      <c r="I731" s="178">
        <v>1600</v>
      </c>
      <c r="J731" s="176">
        <v>46029</v>
      </c>
      <c r="K731" s="172" t="s">
        <v>93</v>
      </c>
      <c r="L731" s="172" t="s">
        <v>94</v>
      </c>
      <c r="M731" s="179">
        <v>0.43</v>
      </c>
      <c r="N731" s="177"/>
      <c r="O731" s="177"/>
      <c r="P731" s="180">
        <v>-688</v>
      </c>
    </row>
    <row r="732" spans="1:16" ht="19.5" customHeight="1">
      <c r="A732" s="172" t="s">
        <v>537</v>
      </c>
      <c r="B732" s="176">
        <v>46038</v>
      </c>
      <c r="C732" s="172" t="s">
        <v>81</v>
      </c>
      <c r="D732" s="172" t="s">
        <v>95</v>
      </c>
      <c r="E732" s="172" t="s">
        <v>42</v>
      </c>
      <c r="F732" s="172" t="s">
        <v>89</v>
      </c>
      <c r="G732" s="172" t="s">
        <v>84</v>
      </c>
      <c r="H732" s="177">
        <v>1</v>
      </c>
      <c r="I732" s="178">
        <v>1600</v>
      </c>
      <c r="J732" s="176">
        <v>46029</v>
      </c>
      <c r="K732" s="172" t="s">
        <v>93</v>
      </c>
      <c r="L732" s="172" t="s">
        <v>94</v>
      </c>
      <c r="M732" s="179">
        <v>0.43</v>
      </c>
      <c r="N732" s="177"/>
      <c r="O732" s="177"/>
      <c r="P732" s="180">
        <v>-10.96</v>
      </c>
    </row>
    <row r="733" spans="1:16" ht="19.5" customHeight="1">
      <c r="A733" s="172" t="s">
        <v>538</v>
      </c>
      <c r="B733" s="176">
        <v>46038</v>
      </c>
      <c r="C733" s="172" t="s">
        <v>92</v>
      </c>
      <c r="D733" s="172" t="s">
        <v>24</v>
      </c>
      <c r="E733" s="172" t="s">
        <v>53</v>
      </c>
      <c r="F733" s="172" t="s">
        <v>120</v>
      </c>
      <c r="G733" s="172" t="s">
        <v>84</v>
      </c>
      <c r="H733" s="177">
        <v>1</v>
      </c>
      <c r="I733" s="178">
        <v>1845</v>
      </c>
      <c r="J733" s="176">
        <v>46029</v>
      </c>
      <c r="K733" s="172" t="s">
        <v>93</v>
      </c>
      <c r="L733" s="172" t="s">
        <v>94</v>
      </c>
      <c r="M733" s="179">
        <v>0.43</v>
      </c>
      <c r="N733" s="177"/>
      <c r="O733" s="177">
        <v>43</v>
      </c>
      <c r="P733" s="180">
        <v>-144.94999999999999</v>
      </c>
    </row>
    <row r="734" spans="1:16" ht="19.5" customHeight="1">
      <c r="A734" s="172" t="s">
        <v>538</v>
      </c>
      <c r="B734" s="176">
        <v>46038</v>
      </c>
      <c r="C734" s="172" t="s">
        <v>100</v>
      </c>
      <c r="D734" s="172" t="s">
        <v>101</v>
      </c>
      <c r="E734" s="172" t="s">
        <v>53</v>
      </c>
      <c r="F734" s="172" t="s">
        <v>120</v>
      </c>
      <c r="G734" s="172" t="s">
        <v>84</v>
      </c>
      <c r="H734" s="177">
        <v>1</v>
      </c>
      <c r="I734" s="178">
        <v>1845</v>
      </c>
      <c r="J734" s="176">
        <v>46029</v>
      </c>
      <c r="K734" s="172" t="s">
        <v>93</v>
      </c>
      <c r="L734" s="172" t="s">
        <v>94</v>
      </c>
      <c r="M734" s="179">
        <v>0</v>
      </c>
      <c r="N734" s="177"/>
      <c r="O734" s="177"/>
      <c r="P734" s="180">
        <v>642.86</v>
      </c>
    </row>
    <row r="735" spans="1:16" ht="19.5" customHeight="1">
      <c r="A735" s="172" t="s">
        <v>538</v>
      </c>
      <c r="B735" s="176">
        <v>46038</v>
      </c>
      <c r="C735" s="172" t="s">
        <v>100</v>
      </c>
      <c r="D735" s="172" t="s">
        <v>102</v>
      </c>
      <c r="E735" s="172" t="s">
        <v>53</v>
      </c>
      <c r="F735" s="172" t="s">
        <v>120</v>
      </c>
      <c r="G735" s="172" t="s">
        <v>84</v>
      </c>
      <c r="H735" s="177">
        <v>1</v>
      </c>
      <c r="I735" s="178">
        <v>1845</v>
      </c>
      <c r="J735" s="176">
        <v>46029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6.43</v>
      </c>
    </row>
    <row r="736" spans="1:16" ht="19.5" customHeight="1">
      <c r="A736" s="172" t="s">
        <v>538</v>
      </c>
      <c r="B736" s="176">
        <v>46038</v>
      </c>
      <c r="C736" s="172" t="s">
        <v>100</v>
      </c>
      <c r="D736" s="172" t="s">
        <v>103</v>
      </c>
      <c r="E736" s="172" t="s">
        <v>53</v>
      </c>
      <c r="F736" s="172" t="s">
        <v>120</v>
      </c>
      <c r="G736" s="172" t="s">
        <v>84</v>
      </c>
      <c r="H736" s="177">
        <v>1</v>
      </c>
      <c r="I736" s="178">
        <v>1845</v>
      </c>
      <c r="J736" s="176">
        <v>46029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1195.71</v>
      </c>
    </row>
    <row r="737" spans="1:16" ht="19.5" customHeight="1">
      <c r="A737" s="172" t="s">
        <v>538</v>
      </c>
      <c r="B737" s="176">
        <v>46038</v>
      </c>
      <c r="C737" s="172" t="s">
        <v>104</v>
      </c>
      <c r="D737" s="172" t="s">
        <v>105</v>
      </c>
      <c r="E737" s="172" t="s">
        <v>53</v>
      </c>
      <c r="F737" s="172" t="s">
        <v>120</v>
      </c>
      <c r="G737" s="172" t="s">
        <v>84</v>
      </c>
      <c r="H737" s="177">
        <v>1</v>
      </c>
      <c r="I737" s="178">
        <v>1845</v>
      </c>
      <c r="J737" s="176">
        <v>46029</v>
      </c>
      <c r="K737" s="172" t="s">
        <v>93</v>
      </c>
      <c r="L737" s="172" t="s">
        <v>94</v>
      </c>
      <c r="M737" s="179">
        <v>0.43</v>
      </c>
      <c r="N737" s="177"/>
      <c r="O737" s="177"/>
      <c r="P737" s="180">
        <v>-793.35</v>
      </c>
    </row>
    <row r="738" spans="1:16" ht="19.5" customHeight="1">
      <c r="A738" s="172" t="s">
        <v>538</v>
      </c>
      <c r="B738" s="176">
        <v>46038</v>
      </c>
      <c r="C738" s="172" t="s">
        <v>81</v>
      </c>
      <c r="D738" s="172" t="s">
        <v>95</v>
      </c>
      <c r="E738" s="172" t="s">
        <v>53</v>
      </c>
      <c r="F738" s="172" t="s">
        <v>120</v>
      </c>
      <c r="G738" s="172" t="s">
        <v>84</v>
      </c>
      <c r="H738" s="177">
        <v>1</v>
      </c>
      <c r="I738" s="178">
        <v>1845</v>
      </c>
      <c r="J738" s="176">
        <v>46029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-1.29</v>
      </c>
    </row>
    <row r="739" spans="1:16" ht="19.5" customHeight="1">
      <c r="A739" s="172" t="s">
        <v>539</v>
      </c>
      <c r="B739" s="176">
        <v>46038</v>
      </c>
      <c r="C739" s="172" t="s">
        <v>92</v>
      </c>
      <c r="D739" s="172" t="s">
        <v>24</v>
      </c>
      <c r="E739" s="172" t="s">
        <v>52</v>
      </c>
      <c r="F739" s="172" t="s">
        <v>90</v>
      </c>
      <c r="G739" s="172" t="s">
        <v>84</v>
      </c>
      <c r="H739" s="177">
        <v>1</v>
      </c>
      <c r="I739" s="178">
        <v>0</v>
      </c>
      <c r="J739" s="176">
        <v>46019</v>
      </c>
      <c r="K739" s="172" t="s">
        <v>93</v>
      </c>
      <c r="L739" s="172" t="s">
        <v>94</v>
      </c>
      <c r="M739" s="179">
        <v>0</v>
      </c>
      <c r="N739" s="177"/>
      <c r="O739" s="177">
        <v>41</v>
      </c>
      <c r="P739" s="180">
        <v>-56</v>
      </c>
    </row>
    <row r="740" spans="1:16" ht="19.5" customHeight="1">
      <c r="A740" s="172" t="s">
        <v>539</v>
      </c>
      <c r="B740" s="176">
        <v>46038</v>
      </c>
      <c r="C740" s="172" t="s">
        <v>81</v>
      </c>
      <c r="D740" s="172" t="s">
        <v>95</v>
      </c>
      <c r="E740" s="172" t="s">
        <v>52</v>
      </c>
      <c r="F740" s="172" t="s">
        <v>90</v>
      </c>
      <c r="G740" s="172" t="s">
        <v>84</v>
      </c>
      <c r="H740" s="177">
        <v>1</v>
      </c>
      <c r="I740" s="178">
        <v>0</v>
      </c>
      <c r="J740" s="176">
        <v>46019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-9.1300000000000008</v>
      </c>
    </row>
    <row r="741" spans="1:16" ht="19.5" customHeight="1">
      <c r="A741" s="172" t="s">
        <v>539</v>
      </c>
      <c r="B741" s="176">
        <v>46038</v>
      </c>
      <c r="C741" s="172" t="s">
        <v>92</v>
      </c>
      <c r="D741" s="172" t="s">
        <v>96</v>
      </c>
      <c r="E741" s="172" t="s">
        <v>52</v>
      </c>
      <c r="F741" s="172" t="s">
        <v>90</v>
      </c>
      <c r="G741" s="172" t="s">
        <v>84</v>
      </c>
      <c r="H741" s="177">
        <v>1</v>
      </c>
      <c r="I741" s="178">
        <v>0</v>
      </c>
      <c r="J741" s="176">
        <v>46019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0</v>
      </c>
    </row>
    <row r="742" spans="1:16" ht="19.5" customHeight="1">
      <c r="A742" s="172" t="s">
        <v>539</v>
      </c>
      <c r="B742" s="176">
        <v>46038</v>
      </c>
      <c r="C742" s="172" t="s">
        <v>92</v>
      </c>
      <c r="D742" s="172" t="s">
        <v>97</v>
      </c>
      <c r="E742" s="172" t="s">
        <v>52</v>
      </c>
      <c r="F742" s="172" t="s">
        <v>90</v>
      </c>
      <c r="G742" s="172" t="s">
        <v>84</v>
      </c>
      <c r="H742" s="177">
        <v>1</v>
      </c>
      <c r="I742" s="178">
        <v>0</v>
      </c>
      <c r="J742" s="176">
        <v>46019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-56</v>
      </c>
    </row>
    <row r="743" spans="1:16" ht="19.5" customHeight="1">
      <c r="A743" s="172" t="s">
        <v>540</v>
      </c>
      <c r="B743" s="176">
        <v>46038</v>
      </c>
      <c r="C743" s="172" t="s">
        <v>92</v>
      </c>
      <c r="D743" s="172" t="s">
        <v>24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46036</v>
      </c>
      <c r="K743" s="172" t="s">
        <v>93</v>
      </c>
      <c r="L743" s="172" t="s">
        <v>94</v>
      </c>
      <c r="M743" s="179">
        <v>0.43</v>
      </c>
      <c r="N743" s="177"/>
      <c r="O743" s="177">
        <v>45</v>
      </c>
      <c r="P743" s="180">
        <v>-153.85</v>
      </c>
    </row>
    <row r="744" spans="1:16" ht="19.5" customHeight="1">
      <c r="A744" s="172" t="s">
        <v>540</v>
      </c>
      <c r="B744" s="176">
        <v>46038</v>
      </c>
      <c r="C744" s="172" t="s">
        <v>100</v>
      </c>
      <c r="D744" s="172" t="s">
        <v>101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46036</v>
      </c>
      <c r="K744" s="172" t="s">
        <v>93</v>
      </c>
      <c r="L744" s="172" t="s">
        <v>94</v>
      </c>
      <c r="M744" s="179">
        <v>0</v>
      </c>
      <c r="N744" s="177"/>
      <c r="O744" s="177"/>
      <c r="P744" s="180">
        <v>639.80999999999995</v>
      </c>
    </row>
    <row r="745" spans="1:16" ht="19.5" customHeight="1">
      <c r="A745" s="172" t="s">
        <v>540</v>
      </c>
      <c r="B745" s="176">
        <v>46038</v>
      </c>
      <c r="C745" s="172" t="s">
        <v>100</v>
      </c>
      <c r="D745" s="172" t="s">
        <v>102</v>
      </c>
      <c r="E745" s="172" t="s">
        <v>53</v>
      </c>
      <c r="F745" s="172" t="s">
        <v>120</v>
      </c>
      <c r="G745" s="172" t="s">
        <v>84</v>
      </c>
      <c r="H745" s="177">
        <v>1</v>
      </c>
      <c r="I745" s="178">
        <v>1845</v>
      </c>
      <c r="J745" s="176">
        <v>46036</v>
      </c>
      <c r="K745" s="172" t="s">
        <v>93</v>
      </c>
      <c r="L745" s="172" t="s">
        <v>94</v>
      </c>
      <c r="M745" s="179">
        <v>0</v>
      </c>
      <c r="N745" s="177"/>
      <c r="O745" s="177"/>
      <c r="P745" s="180">
        <v>6.4</v>
      </c>
    </row>
    <row r="746" spans="1:16" ht="19.5" customHeight="1">
      <c r="A746" s="172" t="s">
        <v>540</v>
      </c>
      <c r="B746" s="176">
        <v>46038</v>
      </c>
      <c r="C746" s="172" t="s">
        <v>100</v>
      </c>
      <c r="D746" s="172" t="s">
        <v>103</v>
      </c>
      <c r="E746" s="172" t="s">
        <v>53</v>
      </c>
      <c r="F746" s="172" t="s">
        <v>120</v>
      </c>
      <c r="G746" s="172" t="s">
        <v>84</v>
      </c>
      <c r="H746" s="177">
        <v>1</v>
      </c>
      <c r="I746" s="178">
        <v>1845</v>
      </c>
      <c r="J746" s="176">
        <v>46036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1198.79</v>
      </c>
    </row>
    <row r="747" spans="1:16" ht="19.5" customHeight="1">
      <c r="A747" s="172" t="s">
        <v>540</v>
      </c>
      <c r="B747" s="176">
        <v>46038</v>
      </c>
      <c r="C747" s="172" t="s">
        <v>104</v>
      </c>
      <c r="D747" s="172" t="s">
        <v>105</v>
      </c>
      <c r="E747" s="172" t="s">
        <v>53</v>
      </c>
      <c r="F747" s="172" t="s">
        <v>120</v>
      </c>
      <c r="G747" s="172" t="s">
        <v>84</v>
      </c>
      <c r="H747" s="177">
        <v>1</v>
      </c>
      <c r="I747" s="178">
        <v>1845</v>
      </c>
      <c r="J747" s="176">
        <v>46036</v>
      </c>
      <c r="K747" s="172" t="s">
        <v>93</v>
      </c>
      <c r="L747" s="172" t="s">
        <v>94</v>
      </c>
      <c r="M747" s="179">
        <v>0.43</v>
      </c>
      <c r="N747" s="177"/>
      <c r="O747" s="177"/>
      <c r="P747" s="180">
        <v>-793.35</v>
      </c>
    </row>
    <row r="748" spans="1:16" ht="19.5" customHeight="1">
      <c r="A748" s="172" t="s">
        <v>540</v>
      </c>
      <c r="B748" s="176">
        <v>46038</v>
      </c>
      <c r="C748" s="172" t="s">
        <v>81</v>
      </c>
      <c r="D748" s="172" t="s">
        <v>95</v>
      </c>
      <c r="E748" s="172" t="s">
        <v>53</v>
      </c>
      <c r="F748" s="172" t="s">
        <v>120</v>
      </c>
      <c r="G748" s="172" t="s">
        <v>84</v>
      </c>
      <c r="H748" s="177">
        <v>1</v>
      </c>
      <c r="I748" s="178">
        <v>1845</v>
      </c>
      <c r="J748" s="176">
        <v>46036</v>
      </c>
      <c r="K748" s="172" t="s">
        <v>93</v>
      </c>
      <c r="L748" s="172" t="s">
        <v>94</v>
      </c>
      <c r="M748" s="179">
        <v>0.43</v>
      </c>
      <c r="N748" s="177"/>
      <c r="O748" s="177"/>
      <c r="P748" s="180">
        <v>-11.78</v>
      </c>
    </row>
    <row r="749" spans="1:16" ht="19.5" customHeight="1">
      <c r="A749" s="172" t="s">
        <v>541</v>
      </c>
      <c r="B749" s="176">
        <v>46038</v>
      </c>
      <c r="C749" s="172" t="s">
        <v>92</v>
      </c>
      <c r="D749" s="172" t="s">
        <v>24</v>
      </c>
      <c r="E749" s="172" t="s">
        <v>53</v>
      </c>
      <c r="F749" s="172" t="s">
        <v>120</v>
      </c>
      <c r="G749" s="172" t="s">
        <v>84</v>
      </c>
      <c r="H749" s="177">
        <v>1</v>
      </c>
      <c r="I749" s="178">
        <v>1845</v>
      </c>
      <c r="J749" s="176">
        <v>46032</v>
      </c>
      <c r="K749" s="172" t="s">
        <v>93</v>
      </c>
      <c r="L749" s="172" t="s">
        <v>94</v>
      </c>
      <c r="M749" s="179">
        <v>0.43</v>
      </c>
      <c r="N749" s="177"/>
      <c r="O749" s="177">
        <v>41</v>
      </c>
      <c r="P749" s="180">
        <v>-136.06</v>
      </c>
    </row>
    <row r="750" spans="1:16" ht="19.5" customHeight="1">
      <c r="A750" s="172" t="s">
        <v>541</v>
      </c>
      <c r="B750" s="176">
        <v>46038</v>
      </c>
      <c r="C750" s="172" t="s">
        <v>100</v>
      </c>
      <c r="D750" s="172" t="s">
        <v>101</v>
      </c>
      <c r="E750" s="172" t="s">
        <v>53</v>
      </c>
      <c r="F750" s="172" t="s">
        <v>120</v>
      </c>
      <c r="G750" s="172" t="s">
        <v>84</v>
      </c>
      <c r="H750" s="177">
        <v>1</v>
      </c>
      <c r="I750" s="178">
        <v>1845</v>
      </c>
      <c r="J750" s="176">
        <v>46032</v>
      </c>
      <c r="K750" s="172" t="s">
        <v>93</v>
      </c>
      <c r="L750" s="172" t="s">
        <v>94</v>
      </c>
      <c r="M750" s="179">
        <v>0</v>
      </c>
      <c r="N750" s="177"/>
      <c r="O750" s="177"/>
      <c r="P750" s="180">
        <v>642.86</v>
      </c>
    </row>
    <row r="751" spans="1:16" ht="19.5" customHeight="1">
      <c r="A751" s="172" t="s">
        <v>541</v>
      </c>
      <c r="B751" s="176">
        <v>46038</v>
      </c>
      <c r="C751" s="172" t="s">
        <v>100</v>
      </c>
      <c r="D751" s="172" t="s">
        <v>102</v>
      </c>
      <c r="E751" s="172" t="s">
        <v>53</v>
      </c>
      <c r="F751" s="172" t="s">
        <v>120</v>
      </c>
      <c r="G751" s="172" t="s">
        <v>84</v>
      </c>
      <c r="H751" s="177">
        <v>1</v>
      </c>
      <c r="I751" s="178">
        <v>1845</v>
      </c>
      <c r="J751" s="176">
        <v>46032</v>
      </c>
      <c r="K751" s="172" t="s">
        <v>93</v>
      </c>
      <c r="L751" s="172" t="s">
        <v>94</v>
      </c>
      <c r="M751" s="179">
        <v>0</v>
      </c>
      <c r="N751" s="177"/>
      <c r="O751" s="177"/>
      <c r="P751" s="180">
        <v>6.43</v>
      </c>
    </row>
    <row r="752" spans="1:16" ht="19.5" customHeight="1">
      <c r="A752" s="172" t="s">
        <v>541</v>
      </c>
      <c r="B752" s="176">
        <v>46038</v>
      </c>
      <c r="C752" s="172" t="s">
        <v>100</v>
      </c>
      <c r="D752" s="172" t="s">
        <v>103</v>
      </c>
      <c r="E752" s="172" t="s">
        <v>53</v>
      </c>
      <c r="F752" s="172" t="s">
        <v>120</v>
      </c>
      <c r="G752" s="172" t="s">
        <v>84</v>
      </c>
      <c r="H752" s="177">
        <v>1</v>
      </c>
      <c r="I752" s="178">
        <v>1845</v>
      </c>
      <c r="J752" s="176">
        <v>46032</v>
      </c>
      <c r="K752" s="172" t="s">
        <v>93</v>
      </c>
      <c r="L752" s="172" t="s">
        <v>94</v>
      </c>
      <c r="M752" s="179">
        <v>0</v>
      </c>
      <c r="N752" s="177"/>
      <c r="O752" s="177"/>
      <c r="P752" s="180">
        <v>1195.71</v>
      </c>
    </row>
    <row r="753" spans="1:16" ht="19.5" customHeight="1">
      <c r="A753" s="172" t="s">
        <v>541</v>
      </c>
      <c r="B753" s="176">
        <v>46038</v>
      </c>
      <c r="C753" s="172" t="s">
        <v>104</v>
      </c>
      <c r="D753" s="172" t="s">
        <v>105</v>
      </c>
      <c r="E753" s="172" t="s">
        <v>53</v>
      </c>
      <c r="F753" s="172" t="s">
        <v>120</v>
      </c>
      <c r="G753" s="172" t="s">
        <v>84</v>
      </c>
      <c r="H753" s="177">
        <v>1</v>
      </c>
      <c r="I753" s="178">
        <v>1845</v>
      </c>
      <c r="J753" s="176">
        <v>46032</v>
      </c>
      <c r="K753" s="172" t="s">
        <v>93</v>
      </c>
      <c r="L753" s="172" t="s">
        <v>94</v>
      </c>
      <c r="M753" s="179">
        <v>0.43</v>
      </c>
      <c r="N753" s="177"/>
      <c r="O753" s="177"/>
      <c r="P753" s="180">
        <v>-793.35</v>
      </c>
    </row>
    <row r="754" spans="1:16" ht="19.5" customHeight="1">
      <c r="A754" s="172" t="s">
        <v>541</v>
      </c>
      <c r="B754" s="176">
        <v>46038</v>
      </c>
      <c r="C754" s="172" t="s">
        <v>81</v>
      </c>
      <c r="D754" s="172" t="s">
        <v>95</v>
      </c>
      <c r="E754" s="172" t="s">
        <v>53</v>
      </c>
      <c r="F754" s="172" t="s">
        <v>120</v>
      </c>
      <c r="G754" s="172" t="s">
        <v>84</v>
      </c>
      <c r="H754" s="177">
        <v>1</v>
      </c>
      <c r="I754" s="178">
        <v>1845</v>
      </c>
      <c r="J754" s="176">
        <v>46032</v>
      </c>
      <c r="K754" s="172" t="s">
        <v>93</v>
      </c>
      <c r="L754" s="172" t="s">
        <v>94</v>
      </c>
      <c r="M754" s="179">
        <v>0.43</v>
      </c>
      <c r="N754" s="177"/>
      <c r="O754" s="177"/>
      <c r="P754" s="180">
        <v>-19.93</v>
      </c>
    </row>
    <row r="755" spans="1:16" ht="19.5" customHeight="1">
      <c r="A755" s="172" t="s">
        <v>540</v>
      </c>
      <c r="B755" s="176">
        <v>46038</v>
      </c>
      <c r="C755" s="172" t="s">
        <v>81</v>
      </c>
      <c r="D755" s="172" t="s">
        <v>82</v>
      </c>
      <c r="E755" s="172" t="s">
        <v>53</v>
      </c>
      <c r="F755" s="172" t="s">
        <v>120</v>
      </c>
      <c r="G755" s="172" t="s">
        <v>84</v>
      </c>
      <c r="H755" s="177">
        <v>1</v>
      </c>
      <c r="I755" s="178">
        <v>0</v>
      </c>
      <c r="J755" s="176">
        <v>46036</v>
      </c>
      <c r="K755" s="172" t="s">
        <v>85</v>
      </c>
      <c r="L755" s="172" t="s">
        <v>85</v>
      </c>
      <c r="M755" s="179">
        <v>0</v>
      </c>
      <c r="N755" s="177"/>
      <c r="O755" s="177"/>
      <c r="P755" s="180">
        <v>-12.16</v>
      </c>
    </row>
    <row r="756" spans="1:16" ht="19.5" customHeight="1">
      <c r="A756" s="172" t="s">
        <v>542</v>
      </c>
      <c r="B756" s="176">
        <v>46038</v>
      </c>
      <c r="C756" s="172" t="s">
        <v>92</v>
      </c>
      <c r="D756" s="172" t="s">
        <v>24</v>
      </c>
      <c r="E756" s="172" t="s">
        <v>40</v>
      </c>
      <c r="F756" s="172" t="s">
        <v>197</v>
      </c>
      <c r="G756" s="172" t="s">
        <v>84</v>
      </c>
      <c r="H756" s="177">
        <v>1</v>
      </c>
      <c r="I756" s="178">
        <v>1650</v>
      </c>
      <c r="J756" s="176">
        <v>46030</v>
      </c>
      <c r="K756" s="172" t="s">
        <v>93</v>
      </c>
      <c r="L756" s="172" t="s">
        <v>94</v>
      </c>
      <c r="M756" s="179">
        <v>0.43</v>
      </c>
      <c r="N756" s="177"/>
      <c r="O756" s="177">
        <v>42</v>
      </c>
      <c r="P756" s="180">
        <v>-120.46</v>
      </c>
    </row>
    <row r="757" spans="1:16" ht="19.5" customHeight="1">
      <c r="A757" s="172" t="s">
        <v>542</v>
      </c>
      <c r="B757" s="176">
        <v>46038</v>
      </c>
      <c r="C757" s="172" t="s">
        <v>100</v>
      </c>
      <c r="D757" s="172" t="s">
        <v>101</v>
      </c>
      <c r="E757" s="172" t="s">
        <v>40</v>
      </c>
      <c r="F757" s="172" t="s">
        <v>197</v>
      </c>
      <c r="G757" s="172" t="s">
        <v>84</v>
      </c>
      <c r="H757" s="177">
        <v>1</v>
      </c>
      <c r="I757" s="178">
        <v>1650</v>
      </c>
      <c r="J757" s="176">
        <v>46030</v>
      </c>
      <c r="K757" s="172" t="s">
        <v>93</v>
      </c>
      <c r="L757" s="172" t="s">
        <v>94</v>
      </c>
      <c r="M757" s="179">
        <v>0</v>
      </c>
      <c r="N757" s="177"/>
      <c r="O757" s="177"/>
      <c r="P757" s="180">
        <v>885.71</v>
      </c>
    </row>
    <row r="758" spans="1:16" ht="19.5" customHeight="1">
      <c r="A758" s="172" t="s">
        <v>542</v>
      </c>
      <c r="B758" s="176">
        <v>46038</v>
      </c>
      <c r="C758" s="172" t="s">
        <v>100</v>
      </c>
      <c r="D758" s="172" t="s">
        <v>102</v>
      </c>
      <c r="E758" s="172" t="s">
        <v>40</v>
      </c>
      <c r="F758" s="172" t="s">
        <v>197</v>
      </c>
      <c r="G758" s="172" t="s">
        <v>84</v>
      </c>
      <c r="H758" s="177">
        <v>1</v>
      </c>
      <c r="I758" s="178">
        <v>1650</v>
      </c>
      <c r="J758" s="176">
        <v>46030</v>
      </c>
      <c r="K758" s="172" t="s">
        <v>93</v>
      </c>
      <c r="L758" s="172" t="s">
        <v>94</v>
      </c>
      <c r="M758" s="179">
        <v>0</v>
      </c>
      <c r="N758" s="177"/>
      <c r="O758" s="177"/>
      <c r="P758" s="180">
        <v>8.86</v>
      </c>
    </row>
    <row r="759" spans="1:16" ht="19.5" customHeight="1">
      <c r="A759" s="172" t="s">
        <v>542</v>
      </c>
      <c r="B759" s="176">
        <v>46038</v>
      </c>
      <c r="C759" s="172" t="s">
        <v>100</v>
      </c>
      <c r="D759" s="172" t="s">
        <v>103</v>
      </c>
      <c r="E759" s="172" t="s">
        <v>40</v>
      </c>
      <c r="F759" s="172" t="s">
        <v>197</v>
      </c>
      <c r="G759" s="172" t="s">
        <v>84</v>
      </c>
      <c r="H759" s="177">
        <v>1</v>
      </c>
      <c r="I759" s="178">
        <v>1650</v>
      </c>
      <c r="J759" s="176">
        <v>46030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755.43</v>
      </c>
    </row>
    <row r="760" spans="1:16" ht="19.5" customHeight="1">
      <c r="A760" s="172" t="s">
        <v>542</v>
      </c>
      <c r="B760" s="176">
        <v>46038</v>
      </c>
      <c r="C760" s="172" t="s">
        <v>104</v>
      </c>
      <c r="D760" s="172" t="s">
        <v>105</v>
      </c>
      <c r="E760" s="172" t="s">
        <v>40</v>
      </c>
      <c r="F760" s="172" t="s">
        <v>197</v>
      </c>
      <c r="G760" s="172" t="s">
        <v>84</v>
      </c>
      <c r="H760" s="177">
        <v>1</v>
      </c>
      <c r="I760" s="178">
        <v>1650</v>
      </c>
      <c r="J760" s="176">
        <v>46030</v>
      </c>
      <c r="K760" s="172" t="s">
        <v>93</v>
      </c>
      <c r="L760" s="172" t="s">
        <v>94</v>
      </c>
      <c r="M760" s="179">
        <v>0.43</v>
      </c>
      <c r="N760" s="177"/>
      <c r="O760" s="177"/>
      <c r="P760" s="180">
        <v>-709.5</v>
      </c>
    </row>
    <row r="761" spans="1:16" ht="19.5" customHeight="1">
      <c r="A761" s="172" t="s">
        <v>542</v>
      </c>
      <c r="B761" s="176">
        <v>46038</v>
      </c>
      <c r="C761" s="172" t="s">
        <v>81</v>
      </c>
      <c r="D761" s="172" t="s">
        <v>95</v>
      </c>
      <c r="E761" s="172" t="s">
        <v>40</v>
      </c>
      <c r="F761" s="172" t="s">
        <v>197</v>
      </c>
      <c r="G761" s="172" t="s">
        <v>84</v>
      </c>
      <c r="H761" s="177">
        <v>1</v>
      </c>
      <c r="I761" s="178">
        <v>1650</v>
      </c>
      <c r="J761" s="176">
        <v>46030</v>
      </c>
      <c r="K761" s="172" t="s">
        <v>93</v>
      </c>
      <c r="L761" s="172" t="s">
        <v>94</v>
      </c>
      <c r="M761" s="179">
        <v>0.43</v>
      </c>
      <c r="N761" s="177"/>
      <c r="O761" s="177"/>
      <c r="P761" s="180">
        <v>-9.14</v>
      </c>
    </row>
    <row r="762" spans="1:16" ht="19.5" customHeight="1">
      <c r="A762" s="172" t="s">
        <v>543</v>
      </c>
      <c r="B762" s="176">
        <v>46038</v>
      </c>
      <c r="C762" s="172" t="s">
        <v>81</v>
      </c>
      <c r="D762" s="172" t="s">
        <v>82</v>
      </c>
      <c r="E762" s="172" t="s">
        <v>53</v>
      </c>
      <c r="F762" s="172" t="s">
        <v>120</v>
      </c>
      <c r="G762" s="172" t="s">
        <v>84</v>
      </c>
      <c r="H762" s="177">
        <v>1</v>
      </c>
      <c r="I762" s="178">
        <v>0</v>
      </c>
      <c r="J762" s="176">
        <v>46038</v>
      </c>
      <c r="K762" s="172" t="s">
        <v>85</v>
      </c>
      <c r="L762" s="172" t="s">
        <v>85</v>
      </c>
      <c r="M762" s="179">
        <v>0</v>
      </c>
      <c r="N762" s="177"/>
      <c r="O762" s="177"/>
      <c r="P762" s="180">
        <v>-12.16</v>
      </c>
    </row>
    <row r="763" spans="1:16" ht="19.5" customHeight="1">
      <c r="A763" s="172" t="s">
        <v>542</v>
      </c>
      <c r="B763" s="176">
        <v>46038</v>
      </c>
      <c r="C763" s="172" t="s">
        <v>81</v>
      </c>
      <c r="D763" s="172" t="s">
        <v>82</v>
      </c>
      <c r="E763" s="172" t="s">
        <v>40</v>
      </c>
      <c r="F763" s="172" t="s">
        <v>197</v>
      </c>
      <c r="G763" s="172" t="s">
        <v>84</v>
      </c>
      <c r="H763" s="177">
        <v>1</v>
      </c>
      <c r="I763" s="178">
        <v>0</v>
      </c>
      <c r="J763" s="176">
        <v>46030</v>
      </c>
      <c r="K763" s="172" t="s">
        <v>85</v>
      </c>
      <c r="L763" s="172" t="s">
        <v>85</v>
      </c>
      <c r="M763" s="179">
        <v>0</v>
      </c>
      <c r="N763" s="177"/>
      <c r="O763" s="177"/>
      <c r="P763" s="180">
        <v>-16.829999999999998</v>
      </c>
    </row>
    <row r="764" spans="1:16" ht="19.5" customHeight="1">
      <c r="A764" s="172" t="s">
        <v>544</v>
      </c>
      <c r="B764" s="176">
        <v>46038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46035</v>
      </c>
      <c r="K764" s="172" t="s">
        <v>93</v>
      </c>
      <c r="L764" s="172" t="s">
        <v>94</v>
      </c>
      <c r="M764" s="179">
        <v>0.43</v>
      </c>
      <c r="N764" s="177"/>
      <c r="O764" s="177">
        <v>45</v>
      </c>
      <c r="P764" s="180">
        <v>-153.85</v>
      </c>
    </row>
    <row r="765" spans="1:16" ht="19.5" customHeight="1">
      <c r="A765" s="172" t="s">
        <v>544</v>
      </c>
      <c r="B765" s="176">
        <v>46038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46035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702.86</v>
      </c>
    </row>
    <row r="766" spans="1:16" ht="19.5" customHeight="1">
      <c r="A766" s="172" t="s">
        <v>544</v>
      </c>
      <c r="B766" s="176">
        <v>46038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46035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0</v>
      </c>
    </row>
    <row r="767" spans="1:16" ht="19.5" customHeight="1">
      <c r="A767" s="172" t="s">
        <v>544</v>
      </c>
      <c r="B767" s="176">
        <v>46038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46035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1142.1400000000001</v>
      </c>
    </row>
    <row r="768" spans="1:16" ht="19.5" customHeight="1">
      <c r="A768" s="172" t="s">
        <v>544</v>
      </c>
      <c r="B768" s="176">
        <v>46038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46035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544</v>
      </c>
      <c r="B769" s="176">
        <v>46038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46035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-17.71</v>
      </c>
    </row>
    <row r="770" spans="1:16" ht="19.5" customHeight="1">
      <c r="A770" s="172" t="s">
        <v>545</v>
      </c>
      <c r="B770" s="176">
        <v>46038</v>
      </c>
      <c r="C770" s="172" t="s">
        <v>92</v>
      </c>
      <c r="D770" s="172" t="s">
        <v>24</v>
      </c>
      <c r="E770" s="172" t="s">
        <v>53</v>
      </c>
      <c r="F770" s="172" t="s">
        <v>120</v>
      </c>
      <c r="G770" s="172" t="s">
        <v>84</v>
      </c>
      <c r="H770" s="177">
        <v>1</v>
      </c>
      <c r="I770" s="178">
        <v>1845</v>
      </c>
      <c r="J770" s="176">
        <v>46035</v>
      </c>
      <c r="K770" s="172" t="s">
        <v>93</v>
      </c>
      <c r="L770" s="172" t="s">
        <v>94</v>
      </c>
      <c r="M770" s="179">
        <v>0.43</v>
      </c>
      <c r="N770" s="177"/>
      <c r="O770" s="177">
        <v>45</v>
      </c>
      <c r="P770" s="180">
        <v>-153.85</v>
      </c>
    </row>
    <row r="771" spans="1:16" ht="19.5" customHeight="1">
      <c r="A771" s="172" t="s">
        <v>545</v>
      </c>
      <c r="B771" s="176">
        <v>46038</v>
      </c>
      <c r="C771" s="172" t="s">
        <v>100</v>
      </c>
      <c r="D771" s="172" t="s">
        <v>101</v>
      </c>
      <c r="E771" s="172" t="s">
        <v>53</v>
      </c>
      <c r="F771" s="172" t="s">
        <v>120</v>
      </c>
      <c r="G771" s="172" t="s">
        <v>84</v>
      </c>
      <c r="H771" s="177">
        <v>1</v>
      </c>
      <c r="I771" s="178">
        <v>1845</v>
      </c>
      <c r="J771" s="176">
        <v>46035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642.86</v>
      </c>
    </row>
    <row r="772" spans="1:16" ht="19.5" customHeight="1">
      <c r="A772" s="172" t="s">
        <v>545</v>
      </c>
      <c r="B772" s="176">
        <v>46038</v>
      </c>
      <c r="C772" s="172" t="s">
        <v>100</v>
      </c>
      <c r="D772" s="172" t="s">
        <v>102</v>
      </c>
      <c r="E772" s="172" t="s">
        <v>53</v>
      </c>
      <c r="F772" s="172" t="s">
        <v>120</v>
      </c>
      <c r="G772" s="172" t="s">
        <v>84</v>
      </c>
      <c r="H772" s="177">
        <v>1</v>
      </c>
      <c r="I772" s="178">
        <v>1845</v>
      </c>
      <c r="J772" s="176">
        <v>46035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6.43</v>
      </c>
    </row>
    <row r="773" spans="1:16" ht="19.5" customHeight="1">
      <c r="A773" s="172" t="s">
        <v>545</v>
      </c>
      <c r="B773" s="176">
        <v>46038</v>
      </c>
      <c r="C773" s="172" t="s">
        <v>100</v>
      </c>
      <c r="D773" s="172" t="s">
        <v>103</v>
      </c>
      <c r="E773" s="172" t="s">
        <v>53</v>
      </c>
      <c r="F773" s="172" t="s">
        <v>120</v>
      </c>
      <c r="G773" s="172" t="s">
        <v>84</v>
      </c>
      <c r="H773" s="177">
        <v>1</v>
      </c>
      <c r="I773" s="178">
        <v>1845</v>
      </c>
      <c r="J773" s="176">
        <v>46035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1195.71</v>
      </c>
    </row>
    <row r="774" spans="1:16" ht="19.5" customHeight="1">
      <c r="A774" s="172" t="s">
        <v>545</v>
      </c>
      <c r="B774" s="176">
        <v>46038</v>
      </c>
      <c r="C774" s="172" t="s">
        <v>104</v>
      </c>
      <c r="D774" s="172" t="s">
        <v>105</v>
      </c>
      <c r="E774" s="172" t="s">
        <v>53</v>
      </c>
      <c r="F774" s="172" t="s">
        <v>120</v>
      </c>
      <c r="G774" s="172" t="s">
        <v>84</v>
      </c>
      <c r="H774" s="177">
        <v>1</v>
      </c>
      <c r="I774" s="178">
        <v>1845</v>
      </c>
      <c r="J774" s="176">
        <v>46035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-793.35</v>
      </c>
    </row>
    <row r="775" spans="1:16" ht="19.5" customHeight="1">
      <c r="A775" s="172" t="s">
        <v>545</v>
      </c>
      <c r="B775" s="176">
        <v>46038</v>
      </c>
      <c r="C775" s="172" t="s">
        <v>81</v>
      </c>
      <c r="D775" s="172" t="s">
        <v>95</v>
      </c>
      <c r="E775" s="172" t="s">
        <v>53</v>
      </c>
      <c r="F775" s="172" t="s">
        <v>120</v>
      </c>
      <c r="G775" s="172" t="s">
        <v>84</v>
      </c>
      <c r="H775" s="177">
        <v>1</v>
      </c>
      <c r="I775" s="178">
        <v>1845</v>
      </c>
      <c r="J775" s="176">
        <v>46035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-15.09</v>
      </c>
    </row>
    <row r="776" spans="1:16" ht="19.5" customHeight="1">
      <c r="A776" s="172" t="s">
        <v>545</v>
      </c>
      <c r="B776" s="176">
        <v>46038</v>
      </c>
      <c r="C776" s="172" t="s">
        <v>81</v>
      </c>
      <c r="D776" s="172" t="s">
        <v>82</v>
      </c>
      <c r="E776" s="172" t="s">
        <v>53</v>
      </c>
      <c r="F776" s="172" t="s">
        <v>120</v>
      </c>
      <c r="G776" s="172" t="s">
        <v>84</v>
      </c>
      <c r="H776" s="177">
        <v>1</v>
      </c>
      <c r="I776" s="178">
        <v>0</v>
      </c>
      <c r="J776" s="176">
        <v>46035</v>
      </c>
      <c r="K776" s="172" t="s">
        <v>85</v>
      </c>
      <c r="L776" s="172" t="s">
        <v>85</v>
      </c>
      <c r="M776" s="179">
        <v>0</v>
      </c>
      <c r="N776" s="177"/>
      <c r="O776" s="177"/>
      <c r="P776" s="180">
        <v>-12.21</v>
      </c>
    </row>
    <row r="777" spans="1:16" ht="19.5" customHeight="1">
      <c r="A777" s="172" t="s">
        <v>546</v>
      </c>
      <c r="B777" s="176">
        <v>46038</v>
      </c>
      <c r="C777" s="172" t="s">
        <v>92</v>
      </c>
      <c r="D777" s="172" t="s">
        <v>24</v>
      </c>
      <c r="E777" s="172" t="s">
        <v>39</v>
      </c>
      <c r="F777" s="172" t="s">
        <v>117</v>
      </c>
      <c r="G777" s="172" t="s">
        <v>84</v>
      </c>
      <c r="H777" s="177">
        <v>1</v>
      </c>
      <c r="I777" s="178">
        <v>1750</v>
      </c>
      <c r="J777" s="176">
        <v>46035</v>
      </c>
      <c r="K777" s="172" t="s">
        <v>93</v>
      </c>
      <c r="L777" s="172" t="s">
        <v>94</v>
      </c>
      <c r="M777" s="179">
        <v>0.43</v>
      </c>
      <c r="N777" s="177"/>
      <c r="O777" s="177">
        <v>45</v>
      </c>
      <c r="P777" s="180">
        <v>-135.38999999999999</v>
      </c>
    </row>
    <row r="778" spans="1:16" ht="19.5" customHeight="1">
      <c r="A778" s="172" t="s">
        <v>546</v>
      </c>
      <c r="B778" s="176">
        <v>46038</v>
      </c>
      <c r="C778" s="172" t="s">
        <v>100</v>
      </c>
      <c r="D778" s="172" t="s">
        <v>101</v>
      </c>
      <c r="E778" s="172" t="s">
        <v>39</v>
      </c>
      <c r="F778" s="172" t="s">
        <v>117</v>
      </c>
      <c r="G778" s="172" t="s">
        <v>84</v>
      </c>
      <c r="H778" s="177">
        <v>1</v>
      </c>
      <c r="I778" s="178">
        <v>1750</v>
      </c>
      <c r="J778" s="176">
        <v>46035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609.52</v>
      </c>
    </row>
    <row r="779" spans="1:16" ht="19.5" customHeight="1">
      <c r="A779" s="172" t="s">
        <v>546</v>
      </c>
      <c r="B779" s="176">
        <v>46038</v>
      </c>
      <c r="C779" s="172" t="s">
        <v>100</v>
      </c>
      <c r="D779" s="172" t="s">
        <v>102</v>
      </c>
      <c r="E779" s="172" t="s">
        <v>39</v>
      </c>
      <c r="F779" s="172" t="s">
        <v>117</v>
      </c>
      <c r="G779" s="172" t="s">
        <v>84</v>
      </c>
      <c r="H779" s="177">
        <v>1</v>
      </c>
      <c r="I779" s="178">
        <v>1750</v>
      </c>
      <c r="J779" s="176">
        <v>46035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6.1</v>
      </c>
    </row>
    <row r="780" spans="1:16" ht="19.5" customHeight="1">
      <c r="A780" s="172" t="s">
        <v>546</v>
      </c>
      <c r="B780" s="176">
        <v>46038</v>
      </c>
      <c r="C780" s="172" t="s">
        <v>100</v>
      </c>
      <c r="D780" s="172" t="s">
        <v>103</v>
      </c>
      <c r="E780" s="172" t="s">
        <v>39</v>
      </c>
      <c r="F780" s="172" t="s">
        <v>117</v>
      </c>
      <c r="G780" s="172" t="s">
        <v>84</v>
      </c>
      <c r="H780" s="177">
        <v>1</v>
      </c>
      <c r="I780" s="178">
        <v>1750</v>
      </c>
      <c r="J780" s="176">
        <v>46035</v>
      </c>
      <c r="K780" s="172" t="s">
        <v>93</v>
      </c>
      <c r="L780" s="172" t="s">
        <v>94</v>
      </c>
      <c r="M780" s="179">
        <v>0</v>
      </c>
      <c r="N780" s="177"/>
      <c r="O780" s="177"/>
      <c r="P780" s="180">
        <v>1134.3800000000001</v>
      </c>
    </row>
    <row r="781" spans="1:16" ht="19.5" customHeight="1">
      <c r="A781" s="172" t="s">
        <v>546</v>
      </c>
      <c r="B781" s="176">
        <v>46038</v>
      </c>
      <c r="C781" s="172" t="s">
        <v>104</v>
      </c>
      <c r="D781" s="172" t="s">
        <v>105</v>
      </c>
      <c r="E781" s="172" t="s">
        <v>39</v>
      </c>
      <c r="F781" s="172" t="s">
        <v>117</v>
      </c>
      <c r="G781" s="172" t="s">
        <v>84</v>
      </c>
      <c r="H781" s="177">
        <v>1</v>
      </c>
      <c r="I781" s="178">
        <v>1750</v>
      </c>
      <c r="J781" s="176">
        <v>46035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-752.5</v>
      </c>
    </row>
    <row r="782" spans="1:16" ht="19.5" customHeight="1">
      <c r="A782" s="172" t="s">
        <v>546</v>
      </c>
      <c r="B782" s="176">
        <v>46038</v>
      </c>
      <c r="C782" s="172" t="s">
        <v>81</v>
      </c>
      <c r="D782" s="172" t="s">
        <v>95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1750</v>
      </c>
      <c r="J782" s="176">
        <v>46035</v>
      </c>
      <c r="K782" s="172" t="s">
        <v>93</v>
      </c>
      <c r="L782" s="172" t="s">
        <v>94</v>
      </c>
      <c r="M782" s="179">
        <v>0.43</v>
      </c>
      <c r="N782" s="177"/>
      <c r="O782" s="177"/>
      <c r="P782" s="180">
        <v>-9.64</v>
      </c>
    </row>
    <row r="783" spans="1:16" ht="19.5" customHeight="1">
      <c r="A783" s="172" t="s">
        <v>547</v>
      </c>
      <c r="B783" s="176">
        <v>46038</v>
      </c>
      <c r="C783" s="172" t="s">
        <v>81</v>
      </c>
      <c r="D783" s="172" t="s">
        <v>82</v>
      </c>
      <c r="E783" s="172" t="s">
        <v>53</v>
      </c>
      <c r="F783" s="172" t="s">
        <v>120</v>
      </c>
      <c r="G783" s="172" t="s">
        <v>84</v>
      </c>
      <c r="H783" s="177">
        <v>1</v>
      </c>
      <c r="I783" s="178">
        <v>0</v>
      </c>
      <c r="J783" s="176">
        <v>46038</v>
      </c>
      <c r="K783" s="172" t="s">
        <v>85</v>
      </c>
      <c r="L783" s="172" t="s">
        <v>85</v>
      </c>
      <c r="M783" s="179">
        <v>0</v>
      </c>
      <c r="N783" s="177"/>
      <c r="O783" s="177"/>
      <c r="P783" s="180">
        <v>-12.84</v>
      </c>
    </row>
    <row r="784" spans="1:16" ht="19.5" customHeight="1">
      <c r="A784" s="172" t="s">
        <v>546</v>
      </c>
      <c r="B784" s="176">
        <v>46038</v>
      </c>
      <c r="C784" s="172" t="s">
        <v>81</v>
      </c>
      <c r="D784" s="172" t="s">
        <v>82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0</v>
      </c>
      <c r="J784" s="176">
        <v>46035</v>
      </c>
      <c r="K784" s="172" t="s">
        <v>85</v>
      </c>
      <c r="L784" s="172" t="s">
        <v>85</v>
      </c>
      <c r="M784" s="179">
        <v>0</v>
      </c>
      <c r="N784" s="177"/>
      <c r="O784" s="177"/>
      <c r="P784" s="180">
        <v>-11.58</v>
      </c>
    </row>
    <row r="785" spans="1:16" ht="19.5" customHeight="1">
      <c r="A785" s="172" t="s">
        <v>548</v>
      </c>
      <c r="B785" s="176">
        <v>46038</v>
      </c>
      <c r="C785" s="172" t="s">
        <v>92</v>
      </c>
      <c r="D785" s="172" t="s">
        <v>24</v>
      </c>
      <c r="E785" s="172" t="s">
        <v>53</v>
      </c>
      <c r="F785" s="172" t="s">
        <v>120</v>
      </c>
      <c r="G785" s="172" t="s">
        <v>84</v>
      </c>
      <c r="H785" s="177">
        <v>1</v>
      </c>
      <c r="I785" s="178">
        <v>1845</v>
      </c>
      <c r="J785" s="176">
        <v>46036</v>
      </c>
      <c r="K785" s="172" t="s">
        <v>93</v>
      </c>
      <c r="L785" s="172" t="s">
        <v>94</v>
      </c>
      <c r="M785" s="179">
        <v>0.43</v>
      </c>
      <c r="N785" s="177"/>
      <c r="O785" s="177">
        <v>45</v>
      </c>
      <c r="P785" s="180">
        <v>-153.85</v>
      </c>
    </row>
    <row r="786" spans="1:16" ht="19.5" customHeight="1">
      <c r="A786" s="172" t="s">
        <v>548</v>
      </c>
      <c r="B786" s="176">
        <v>46038</v>
      </c>
      <c r="C786" s="172" t="s">
        <v>100</v>
      </c>
      <c r="D786" s="172" t="s">
        <v>101</v>
      </c>
      <c r="E786" s="172" t="s">
        <v>53</v>
      </c>
      <c r="F786" s="172" t="s">
        <v>120</v>
      </c>
      <c r="G786" s="172" t="s">
        <v>84</v>
      </c>
      <c r="H786" s="177">
        <v>1</v>
      </c>
      <c r="I786" s="178">
        <v>1845</v>
      </c>
      <c r="J786" s="176">
        <v>46036</v>
      </c>
      <c r="K786" s="172" t="s">
        <v>93</v>
      </c>
      <c r="L786" s="172" t="s">
        <v>94</v>
      </c>
      <c r="M786" s="179">
        <v>0</v>
      </c>
      <c r="N786" s="177"/>
      <c r="O786" s="177"/>
      <c r="P786" s="180">
        <v>642.86</v>
      </c>
    </row>
    <row r="787" spans="1:16" ht="19.5" customHeight="1">
      <c r="A787" s="172" t="s">
        <v>548</v>
      </c>
      <c r="B787" s="176">
        <v>46038</v>
      </c>
      <c r="C787" s="172" t="s">
        <v>100</v>
      </c>
      <c r="D787" s="172" t="s">
        <v>102</v>
      </c>
      <c r="E787" s="172" t="s">
        <v>53</v>
      </c>
      <c r="F787" s="172" t="s">
        <v>120</v>
      </c>
      <c r="G787" s="172" t="s">
        <v>84</v>
      </c>
      <c r="H787" s="177">
        <v>1</v>
      </c>
      <c r="I787" s="178">
        <v>1845</v>
      </c>
      <c r="J787" s="176">
        <v>46036</v>
      </c>
      <c r="K787" s="172" t="s">
        <v>93</v>
      </c>
      <c r="L787" s="172" t="s">
        <v>94</v>
      </c>
      <c r="M787" s="179">
        <v>0</v>
      </c>
      <c r="N787" s="177"/>
      <c r="O787" s="177"/>
      <c r="P787" s="180">
        <v>6.43</v>
      </c>
    </row>
    <row r="788" spans="1:16" ht="19.5" customHeight="1">
      <c r="A788" s="172" t="s">
        <v>548</v>
      </c>
      <c r="B788" s="176">
        <v>46038</v>
      </c>
      <c r="C788" s="172" t="s">
        <v>100</v>
      </c>
      <c r="D788" s="172" t="s">
        <v>103</v>
      </c>
      <c r="E788" s="172" t="s">
        <v>53</v>
      </c>
      <c r="F788" s="172" t="s">
        <v>120</v>
      </c>
      <c r="G788" s="172" t="s">
        <v>84</v>
      </c>
      <c r="H788" s="177">
        <v>1</v>
      </c>
      <c r="I788" s="178">
        <v>1845</v>
      </c>
      <c r="J788" s="176">
        <v>46036</v>
      </c>
      <c r="K788" s="172" t="s">
        <v>93</v>
      </c>
      <c r="L788" s="172" t="s">
        <v>94</v>
      </c>
      <c r="M788" s="179">
        <v>0</v>
      </c>
      <c r="N788" s="177"/>
      <c r="O788" s="177"/>
      <c r="P788" s="180">
        <v>1195.71</v>
      </c>
    </row>
    <row r="789" spans="1:16" ht="19.5" customHeight="1">
      <c r="A789" s="172" t="s">
        <v>548</v>
      </c>
      <c r="B789" s="176">
        <v>46038</v>
      </c>
      <c r="C789" s="172" t="s">
        <v>104</v>
      </c>
      <c r="D789" s="172" t="s">
        <v>105</v>
      </c>
      <c r="E789" s="172" t="s">
        <v>53</v>
      </c>
      <c r="F789" s="172" t="s">
        <v>120</v>
      </c>
      <c r="G789" s="172" t="s">
        <v>84</v>
      </c>
      <c r="H789" s="177">
        <v>1</v>
      </c>
      <c r="I789" s="178">
        <v>1845</v>
      </c>
      <c r="J789" s="176">
        <v>46036</v>
      </c>
      <c r="K789" s="172" t="s">
        <v>93</v>
      </c>
      <c r="L789" s="172" t="s">
        <v>94</v>
      </c>
      <c r="M789" s="179">
        <v>0.43</v>
      </c>
      <c r="N789" s="177"/>
      <c r="O789" s="177"/>
      <c r="P789" s="180">
        <v>-793.35</v>
      </c>
    </row>
    <row r="790" spans="1:16" ht="19.5" customHeight="1">
      <c r="A790" s="172" t="s">
        <v>548</v>
      </c>
      <c r="B790" s="176">
        <v>46038</v>
      </c>
      <c r="C790" s="172" t="s">
        <v>81</v>
      </c>
      <c r="D790" s="172" t="s">
        <v>95</v>
      </c>
      <c r="E790" s="172" t="s">
        <v>53</v>
      </c>
      <c r="F790" s="172" t="s">
        <v>120</v>
      </c>
      <c r="G790" s="172" t="s">
        <v>84</v>
      </c>
      <c r="H790" s="177">
        <v>1</v>
      </c>
      <c r="I790" s="178">
        <v>1845</v>
      </c>
      <c r="J790" s="176">
        <v>46036</v>
      </c>
      <c r="K790" s="172" t="s">
        <v>93</v>
      </c>
      <c r="L790" s="172" t="s">
        <v>94</v>
      </c>
      <c r="M790" s="179">
        <v>0.43</v>
      </c>
      <c r="N790" s="177"/>
      <c r="O790" s="177"/>
      <c r="P790" s="180">
        <v>-10.33</v>
      </c>
    </row>
    <row r="791" spans="1:16" ht="19.5" customHeight="1">
      <c r="A791" s="172" t="s">
        <v>549</v>
      </c>
      <c r="B791" s="176">
        <v>46038</v>
      </c>
      <c r="C791" s="172" t="s">
        <v>92</v>
      </c>
      <c r="D791" s="172" t="s">
        <v>24</v>
      </c>
      <c r="E791" s="172" t="s">
        <v>52</v>
      </c>
      <c r="F791" s="172" t="s">
        <v>90</v>
      </c>
      <c r="G791" s="172" t="s">
        <v>84</v>
      </c>
      <c r="H791" s="177">
        <v>1</v>
      </c>
      <c r="I791" s="178">
        <v>1621</v>
      </c>
      <c r="J791" s="176">
        <v>46033</v>
      </c>
      <c r="K791" s="172" t="s">
        <v>93</v>
      </c>
      <c r="L791" s="172" t="s">
        <v>94</v>
      </c>
      <c r="M791" s="179">
        <v>0.43</v>
      </c>
      <c r="N791" s="177"/>
      <c r="O791" s="177">
        <v>42</v>
      </c>
      <c r="P791" s="180">
        <v>-134.12</v>
      </c>
    </row>
    <row r="792" spans="1:16" ht="19.5" customHeight="1">
      <c r="A792" s="172" t="s">
        <v>549</v>
      </c>
      <c r="B792" s="176">
        <v>46038</v>
      </c>
      <c r="C792" s="172" t="s">
        <v>100</v>
      </c>
      <c r="D792" s="172" t="s">
        <v>101</v>
      </c>
      <c r="E792" s="172" t="s">
        <v>52</v>
      </c>
      <c r="F792" s="172" t="s">
        <v>90</v>
      </c>
      <c r="G792" s="172" t="s">
        <v>84</v>
      </c>
      <c r="H792" s="177">
        <v>1</v>
      </c>
      <c r="I792" s="178">
        <v>1621</v>
      </c>
      <c r="J792" s="176">
        <v>46033</v>
      </c>
      <c r="K792" s="172" t="s">
        <v>93</v>
      </c>
      <c r="L792" s="172" t="s">
        <v>94</v>
      </c>
      <c r="M792" s="179">
        <v>0</v>
      </c>
      <c r="N792" s="177"/>
      <c r="O792" s="177"/>
      <c r="P792" s="180">
        <v>556.61</v>
      </c>
    </row>
    <row r="793" spans="1:16" ht="19.5" customHeight="1">
      <c r="A793" s="172" t="s">
        <v>549</v>
      </c>
      <c r="B793" s="176">
        <v>46038</v>
      </c>
      <c r="C793" s="172" t="s">
        <v>100</v>
      </c>
      <c r="D793" s="172" t="s">
        <v>102</v>
      </c>
      <c r="E793" s="172" t="s">
        <v>52</v>
      </c>
      <c r="F793" s="172" t="s">
        <v>90</v>
      </c>
      <c r="G793" s="172" t="s">
        <v>84</v>
      </c>
      <c r="H793" s="177">
        <v>1</v>
      </c>
      <c r="I793" s="178">
        <v>1621</v>
      </c>
      <c r="J793" s="176">
        <v>46033</v>
      </c>
      <c r="K793" s="172" t="s">
        <v>93</v>
      </c>
      <c r="L793" s="172" t="s">
        <v>94</v>
      </c>
      <c r="M793" s="179">
        <v>0</v>
      </c>
      <c r="N793" s="177"/>
      <c r="O793" s="177"/>
      <c r="P793" s="180">
        <v>5.57</v>
      </c>
    </row>
    <row r="794" spans="1:16" ht="19.5" customHeight="1">
      <c r="A794" s="172" t="s">
        <v>549</v>
      </c>
      <c r="B794" s="176">
        <v>46038</v>
      </c>
      <c r="C794" s="172" t="s">
        <v>100</v>
      </c>
      <c r="D794" s="172" t="s">
        <v>103</v>
      </c>
      <c r="E794" s="172" t="s">
        <v>52</v>
      </c>
      <c r="F794" s="172" t="s">
        <v>90</v>
      </c>
      <c r="G794" s="172" t="s">
        <v>84</v>
      </c>
      <c r="H794" s="177">
        <v>1</v>
      </c>
      <c r="I794" s="178">
        <v>1621</v>
      </c>
      <c r="J794" s="176">
        <v>46033</v>
      </c>
      <c r="K794" s="172" t="s">
        <v>93</v>
      </c>
      <c r="L794" s="172" t="s">
        <v>94</v>
      </c>
      <c r="M794" s="179">
        <v>0</v>
      </c>
      <c r="N794" s="177"/>
      <c r="O794" s="177"/>
      <c r="P794" s="180">
        <v>1058.82</v>
      </c>
    </row>
    <row r="795" spans="1:16" ht="19.5" customHeight="1">
      <c r="A795" s="172" t="s">
        <v>549</v>
      </c>
      <c r="B795" s="176">
        <v>46038</v>
      </c>
      <c r="C795" s="172" t="s">
        <v>104</v>
      </c>
      <c r="D795" s="172" t="s">
        <v>105</v>
      </c>
      <c r="E795" s="172" t="s">
        <v>52</v>
      </c>
      <c r="F795" s="172" t="s">
        <v>90</v>
      </c>
      <c r="G795" s="172" t="s">
        <v>84</v>
      </c>
      <c r="H795" s="177">
        <v>1</v>
      </c>
      <c r="I795" s="178">
        <v>1621</v>
      </c>
      <c r="J795" s="176">
        <v>46033</v>
      </c>
      <c r="K795" s="172" t="s">
        <v>93</v>
      </c>
      <c r="L795" s="172" t="s">
        <v>94</v>
      </c>
      <c r="M795" s="179">
        <v>0.43</v>
      </c>
      <c r="N795" s="177"/>
      <c r="O795" s="177"/>
      <c r="P795" s="180">
        <v>-697.03</v>
      </c>
    </row>
    <row r="796" spans="1:16" ht="19.5" customHeight="1">
      <c r="A796" s="172" t="s">
        <v>549</v>
      </c>
      <c r="B796" s="176">
        <v>46038</v>
      </c>
      <c r="C796" s="172" t="s">
        <v>81</v>
      </c>
      <c r="D796" s="172" t="s">
        <v>95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46033</v>
      </c>
      <c r="K796" s="172" t="s">
        <v>93</v>
      </c>
      <c r="L796" s="172" t="s">
        <v>94</v>
      </c>
      <c r="M796" s="179">
        <v>0.43</v>
      </c>
      <c r="N796" s="177"/>
      <c r="O796" s="177"/>
      <c r="P796" s="180">
        <v>-10.24</v>
      </c>
    </row>
    <row r="797" spans="1:16" ht="19.5" customHeight="1">
      <c r="A797" s="172" t="s">
        <v>548</v>
      </c>
      <c r="B797" s="176">
        <v>46038</v>
      </c>
      <c r="C797" s="172" t="s">
        <v>81</v>
      </c>
      <c r="D797" s="172" t="s">
        <v>82</v>
      </c>
      <c r="E797" s="172" t="s">
        <v>53</v>
      </c>
      <c r="F797" s="172" t="s">
        <v>120</v>
      </c>
      <c r="G797" s="172" t="s">
        <v>84</v>
      </c>
      <c r="H797" s="177">
        <v>1</v>
      </c>
      <c r="I797" s="178">
        <v>0</v>
      </c>
      <c r="J797" s="176">
        <v>46036</v>
      </c>
      <c r="K797" s="172" t="s">
        <v>85</v>
      </c>
      <c r="L797" s="172" t="s">
        <v>85</v>
      </c>
      <c r="M797" s="179">
        <v>0</v>
      </c>
      <c r="N797" s="177"/>
      <c r="O797" s="177"/>
      <c r="P797" s="180">
        <v>-12.21</v>
      </c>
    </row>
    <row r="798" spans="1:16" ht="19.5" customHeight="1">
      <c r="A798" s="172" t="s">
        <v>550</v>
      </c>
      <c r="B798" s="176">
        <v>46038</v>
      </c>
      <c r="C798" s="172" t="s">
        <v>81</v>
      </c>
      <c r="D798" s="172" t="s">
        <v>82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0</v>
      </c>
      <c r="J798" s="176">
        <v>46038</v>
      </c>
      <c r="K798" s="172" t="s">
        <v>85</v>
      </c>
      <c r="L798" s="172" t="s">
        <v>85</v>
      </c>
      <c r="M798" s="179">
        <v>0</v>
      </c>
      <c r="N798" s="177"/>
      <c r="O798" s="177"/>
      <c r="P798" s="180">
        <v>-12.49</v>
      </c>
    </row>
    <row r="799" spans="1:16" ht="19.5" customHeight="1">
      <c r="A799" s="172" t="s">
        <v>551</v>
      </c>
      <c r="B799" s="176">
        <v>46038</v>
      </c>
      <c r="C799" s="172" t="s">
        <v>92</v>
      </c>
      <c r="D799" s="172" t="s">
        <v>24</v>
      </c>
      <c r="E799" s="172" t="s">
        <v>41</v>
      </c>
      <c r="F799" s="172" t="s">
        <v>83</v>
      </c>
      <c r="G799" s="172" t="s">
        <v>84</v>
      </c>
      <c r="H799" s="177">
        <v>1</v>
      </c>
      <c r="I799" s="178">
        <v>1750</v>
      </c>
      <c r="J799" s="176">
        <v>46036</v>
      </c>
      <c r="K799" s="172" t="s">
        <v>93</v>
      </c>
      <c r="L799" s="172" t="s">
        <v>94</v>
      </c>
      <c r="M799" s="179">
        <v>0.43</v>
      </c>
      <c r="N799" s="177"/>
      <c r="O799" s="177">
        <v>45</v>
      </c>
      <c r="P799" s="180">
        <v>-134.11000000000001</v>
      </c>
    </row>
    <row r="800" spans="1:16" ht="19.5" customHeight="1">
      <c r="A800" s="172" t="s">
        <v>551</v>
      </c>
      <c r="B800" s="176">
        <v>46038</v>
      </c>
      <c r="C800" s="172" t="s">
        <v>100</v>
      </c>
      <c r="D800" s="172" t="s">
        <v>101</v>
      </c>
      <c r="E800" s="172" t="s">
        <v>41</v>
      </c>
      <c r="F800" s="172" t="s">
        <v>83</v>
      </c>
      <c r="G800" s="172" t="s">
        <v>84</v>
      </c>
      <c r="H800" s="177">
        <v>1</v>
      </c>
      <c r="I800" s="178">
        <v>1750</v>
      </c>
      <c r="J800" s="176">
        <v>46036</v>
      </c>
      <c r="K800" s="172" t="s">
        <v>93</v>
      </c>
      <c r="L800" s="172" t="s">
        <v>94</v>
      </c>
      <c r="M800" s="179">
        <v>0</v>
      </c>
      <c r="N800" s="177"/>
      <c r="O800" s="177"/>
      <c r="P800" s="180">
        <v>609.52</v>
      </c>
    </row>
    <row r="801" spans="1:16" ht="19.5" customHeight="1">
      <c r="A801" s="172" t="s">
        <v>551</v>
      </c>
      <c r="B801" s="176">
        <v>46038</v>
      </c>
      <c r="C801" s="172" t="s">
        <v>100</v>
      </c>
      <c r="D801" s="172" t="s">
        <v>102</v>
      </c>
      <c r="E801" s="172" t="s">
        <v>41</v>
      </c>
      <c r="F801" s="172" t="s">
        <v>83</v>
      </c>
      <c r="G801" s="172" t="s">
        <v>84</v>
      </c>
      <c r="H801" s="177">
        <v>1</v>
      </c>
      <c r="I801" s="178">
        <v>1750</v>
      </c>
      <c r="J801" s="176">
        <v>46036</v>
      </c>
      <c r="K801" s="172" t="s">
        <v>93</v>
      </c>
      <c r="L801" s="172" t="s">
        <v>94</v>
      </c>
      <c r="M801" s="179">
        <v>0</v>
      </c>
      <c r="N801" s="177"/>
      <c r="O801" s="177"/>
      <c r="P801" s="180">
        <v>6.1</v>
      </c>
    </row>
    <row r="802" spans="1:16" ht="19.5" customHeight="1">
      <c r="A802" s="172" t="s">
        <v>551</v>
      </c>
      <c r="B802" s="176">
        <v>46038</v>
      </c>
      <c r="C802" s="172" t="s">
        <v>100</v>
      </c>
      <c r="D802" s="172" t="s">
        <v>103</v>
      </c>
      <c r="E802" s="172" t="s">
        <v>41</v>
      </c>
      <c r="F802" s="172" t="s">
        <v>83</v>
      </c>
      <c r="G802" s="172" t="s">
        <v>84</v>
      </c>
      <c r="H802" s="177">
        <v>1</v>
      </c>
      <c r="I802" s="178">
        <v>1750</v>
      </c>
      <c r="J802" s="176">
        <v>46036</v>
      </c>
      <c r="K802" s="172" t="s">
        <v>93</v>
      </c>
      <c r="L802" s="172" t="s">
        <v>94</v>
      </c>
      <c r="M802" s="179">
        <v>0</v>
      </c>
      <c r="N802" s="177"/>
      <c r="O802" s="177"/>
      <c r="P802" s="180">
        <v>1134.3800000000001</v>
      </c>
    </row>
    <row r="803" spans="1:16" ht="19.5" customHeight="1">
      <c r="A803" s="172" t="s">
        <v>551</v>
      </c>
      <c r="B803" s="176">
        <v>46038</v>
      </c>
      <c r="C803" s="172" t="s">
        <v>104</v>
      </c>
      <c r="D803" s="172" t="s">
        <v>105</v>
      </c>
      <c r="E803" s="172" t="s">
        <v>41</v>
      </c>
      <c r="F803" s="172" t="s">
        <v>83</v>
      </c>
      <c r="G803" s="172" t="s">
        <v>84</v>
      </c>
      <c r="H803" s="177">
        <v>1</v>
      </c>
      <c r="I803" s="178">
        <v>1750</v>
      </c>
      <c r="J803" s="176">
        <v>46036</v>
      </c>
      <c r="K803" s="172" t="s">
        <v>93</v>
      </c>
      <c r="L803" s="172" t="s">
        <v>94</v>
      </c>
      <c r="M803" s="179">
        <v>0.43</v>
      </c>
      <c r="N803" s="177"/>
      <c r="O803" s="177"/>
      <c r="P803" s="180">
        <v>-752.5</v>
      </c>
    </row>
    <row r="804" spans="1:16" ht="19.5" customHeight="1">
      <c r="A804" s="172" t="s">
        <v>551</v>
      </c>
      <c r="B804" s="176">
        <v>46038</v>
      </c>
      <c r="C804" s="172" t="s">
        <v>81</v>
      </c>
      <c r="D804" s="172" t="s">
        <v>95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1750</v>
      </c>
      <c r="J804" s="176">
        <v>46036</v>
      </c>
      <c r="K804" s="172" t="s">
        <v>93</v>
      </c>
      <c r="L804" s="172" t="s">
        <v>94</v>
      </c>
      <c r="M804" s="179">
        <v>0.43</v>
      </c>
      <c r="N804" s="177"/>
      <c r="O804" s="177"/>
      <c r="P804" s="180">
        <v>-21.6</v>
      </c>
    </row>
    <row r="805" spans="1:16" ht="19.5" customHeight="1">
      <c r="A805" s="172" t="s">
        <v>552</v>
      </c>
      <c r="B805" s="176">
        <v>46038</v>
      </c>
      <c r="C805" s="172" t="s">
        <v>92</v>
      </c>
      <c r="D805" s="172" t="s">
        <v>24</v>
      </c>
      <c r="E805" s="172" t="s">
        <v>53</v>
      </c>
      <c r="F805" s="172" t="s">
        <v>120</v>
      </c>
      <c r="G805" s="172" t="s">
        <v>84</v>
      </c>
      <c r="H805" s="177">
        <v>1</v>
      </c>
      <c r="I805" s="178">
        <v>1845</v>
      </c>
      <c r="J805" s="176">
        <v>46037</v>
      </c>
      <c r="K805" s="172" t="s">
        <v>93</v>
      </c>
      <c r="L805" s="172" t="s">
        <v>94</v>
      </c>
      <c r="M805" s="179">
        <v>0.43</v>
      </c>
      <c r="N805" s="177"/>
      <c r="O805" s="177">
        <v>45</v>
      </c>
      <c r="P805" s="180">
        <v>-153.85</v>
      </c>
    </row>
    <row r="806" spans="1:16" ht="19.5" customHeight="1">
      <c r="A806" s="172" t="s">
        <v>552</v>
      </c>
      <c r="B806" s="176">
        <v>46038</v>
      </c>
      <c r="C806" s="172" t="s">
        <v>100</v>
      </c>
      <c r="D806" s="172" t="s">
        <v>101</v>
      </c>
      <c r="E806" s="172" t="s">
        <v>53</v>
      </c>
      <c r="F806" s="172" t="s">
        <v>120</v>
      </c>
      <c r="G806" s="172" t="s">
        <v>84</v>
      </c>
      <c r="H806" s="177">
        <v>1</v>
      </c>
      <c r="I806" s="178">
        <v>1845</v>
      </c>
      <c r="J806" s="176">
        <v>46037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642.86</v>
      </c>
    </row>
    <row r="807" spans="1:16" ht="19.5" customHeight="1">
      <c r="A807" s="172" t="s">
        <v>552</v>
      </c>
      <c r="B807" s="176">
        <v>46038</v>
      </c>
      <c r="C807" s="172" t="s">
        <v>100</v>
      </c>
      <c r="D807" s="172" t="s">
        <v>102</v>
      </c>
      <c r="E807" s="172" t="s">
        <v>53</v>
      </c>
      <c r="F807" s="172" t="s">
        <v>120</v>
      </c>
      <c r="G807" s="172" t="s">
        <v>84</v>
      </c>
      <c r="H807" s="177">
        <v>1</v>
      </c>
      <c r="I807" s="178">
        <v>1845</v>
      </c>
      <c r="J807" s="176">
        <v>46037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6.43</v>
      </c>
    </row>
    <row r="808" spans="1:16" ht="19.5" customHeight="1">
      <c r="A808" s="172" t="s">
        <v>552</v>
      </c>
      <c r="B808" s="176">
        <v>46038</v>
      </c>
      <c r="C808" s="172" t="s">
        <v>100</v>
      </c>
      <c r="D808" s="172" t="s">
        <v>103</v>
      </c>
      <c r="E808" s="172" t="s">
        <v>53</v>
      </c>
      <c r="F808" s="172" t="s">
        <v>120</v>
      </c>
      <c r="G808" s="172" t="s">
        <v>84</v>
      </c>
      <c r="H808" s="177">
        <v>1</v>
      </c>
      <c r="I808" s="178">
        <v>1845</v>
      </c>
      <c r="J808" s="176">
        <v>46037</v>
      </c>
      <c r="K808" s="172" t="s">
        <v>93</v>
      </c>
      <c r="L808" s="172" t="s">
        <v>94</v>
      </c>
      <c r="M808" s="179">
        <v>0</v>
      </c>
      <c r="N808" s="177"/>
      <c r="O808" s="177"/>
      <c r="P808" s="180">
        <v>1195.71</v>
      </c>
    </row>
    <row r="809" spans="1:16" ht="19.5" customHeight="1">
      <c r="A809" s="172" t="s">
        <v>552</v>
      </c>
      <c r="B809" s="176">
        <v>46038</v>
      </c>
      <c r="C809" s="172" t="s">
        <v>104</v>
      </c>
      <c r="D809" s="172" t="s">
        <v>105</v>
      </c>
      <c r="E809" s="172" t="s">
        <v>53</v>
      </c>
      <c r="F809" s="172" t="s">
        <v>120</v>
      </c>
      <c r="G809" s="172" t="s">
        <v>84</v>
      </c>
      <c r="H809" s="177">
        <v>1</v>
      </c>
      <c r="I809" s="178">
        <v>1845</v>
      </c>
      <c r="J809" s="176">
        <v>46037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-793.35</v>
      </c>
    </row>
    <row r="810" spans="1:16" ht="19.5" customHeight="1">
      <c r="A810" s="172" t="s">
        <v>552</v>
      </c>
      <c r="B810" s="176">
        <v>46038</v>
      </c>
      <c r="C810" s="172" t="s">
        <v>81</v>
      </c>
      <c r="D810" s="172" t="s">
        <v>95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1845</v>
      </c>
      <c r="J810" s="176">
        <v>46037</v>
      </c>
      <c r="K810" s="172" t="s">
        <v>93</v>
      </c>
      <c r="L810" s="172" t="s">
        <v>94</v>
      </c>
      <c r="M810" s="179">
        <v>0.43</v>
      </c>
      <c r="N810" s="177"/>
      <c r="O810" s="177"/>
      <c r="P810" s="180">
        <v>-8.77</v>
      </c>
    </row>
    <row r="811" spans="1:16" ht="19.5" customHeight="1">
      <c r="A811" s="172" t="s">
        <v>552</v>
      </c>
      <c r="B811" s="176">
        <v>46038</v>
      </c>
      <c r="C811" s="172" t="s">
        <v>81</v>
      </c>
      <c r="D811" s="172" t="s">
        <v>82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46037</v>
      </c>
      <c r="K811" s="172" t="s">
        <v>85</v>
      </c>
      <c r="L811" s="172" t="s">
        <v>85</v>
      </c>
      <c r="M811" s="179">
        <v>0</v>
      </c>
      <c r="N811" s="177"/>
      <c r="O811" s="177"/>
      <c r="P811" s="180">
        <v>-12.21</v>
      </c>
    </row>
    <row r="812" spans="1:16" ht="19.5" customHeight="1">
      <c r="A812" s="172" t="s">
        <v>553</v>
      </c>
      <c r="B812" s="176">
        <v>46038</v>
      </c>
      <c r="C812" s="172" t="s">
        <v>92</v>
      </c>
      <c r="D812" s="172" t="s">
        <v>24</v>
      </c>
      <c r="E812" s="172" t="s">
        <v>52</v>
      </c>
      <c r="F812" s="172" t="s">
        <v>90</v>
      </c>
      <c r="G812" s="172" t="s">
        <v>84</v>
      </c>
      <c r="H812" s="177">
        <v>1</v>
      </c>
      <c r="I812" s="178">
        <v>1621</v>
      </c>
      <c r="J812" s="176">
        <v>46035</v>
      </c>
      <c r="K812" s="172" t="s">
        <v>93</v>
      </c>
      <c r="L812" s="172" t="s">
        <v>94</v>
      </c>
      <c r="M812" s="179">
        <v>0.43</v>
      </c>
      <c r="N812" s="177"/>
      <c r="O812" s="177">
        <v>45</v>
      </c>
      <c r="P812" s="180">
        <v>-146.44999999999999</v>
      </c>
    </row>
    <row r="813" spans="1:16" ht="19.5" customHeight="1">
      <c r="A813" s="172" t="s">
        <v>553</v>
      </c>
      <c r="B813" s="176">
        <v>46038</v>
      </c>
      <c r="C813" s="172" t="s">
        <v>100</v>
      </c>
      <c r="D813" s="172" t="s">
        <v>101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1621</v>
      </c>
      <c r="J813" s="176">
        <v>46035</v>
      </c>
      <c r="K813" s="172" t="s">
        <v>93</v>
      </c>
      <c r="L813" s="172" t="s">
        <v>94</v>
      </c>
      <c r="M813" s="179">
        <v>0</v>
      </c>
      <c r="N813" s="177"/>
      <c r="O813" s="177"/>
      <c r="P813" s="180">
        <v>617.14</v>
      </c>
    </row>
    <row r="814" spans="1:16" ht="19.5" customHeight="1">
      <c r="A814" s="172" t="s">
        <v>553</v>
      </c>
      <c r="B814" s="176">
        <v>46038</v>
      </c>
      <c r="C814" s="172" t="s">
        <v>100</v>
      </c>
      <c r="D814" s="172" t="s">
        <v>102</v>
      </c>
      <c r="E814" s="172" t="s">
        <v>52</v>
      </c>
      <c r="F814" s="172" t="s">
        <v>90</v>
      </c>
      <c r="G814" s="172" t="s">
        <v>84</v>
      </c>
      <c r="H814" s="177">
        <v>1</v>
      </c>
      <c r="I814" s="178">
        <v>1621</v>
      </c>
      <c r="J814" s="176">
        <v>46035</v>
      </c>
      <c r="K814" s="172" t="s">
        <v>93</v>
      </c>
      <c r="L814" s="172" t="s">
        <v>94</v>
      </c>
      <c r="M814" s="179">
        <v>0</v>
      </c>
      <c r="N814" s="177"/>
      <c r="O814" s="177"/>
      <c r="P814" s="180">
        <v>0</v>
      </c>
    </row>
    <row r="815" spans="1:16" ht="19.5" customHeight="1">
      <c r="A815" s="172" t="s">
        <v>553</v>
      </c>
      <c r="B815" s="176">
        <v>46038</v>
      </c>
      <c r="C815" s="172" t="s">
        <v>100</v>
      </c>
      <c r="D815" s="172" t="s">
        <v>103</v>
      </c>
      <c r="E815" s="172" t="s">
        <v>52</v>
      </c>
      <c r="F815" s="172" t="s">
        <v>90</v>
      </c>
      <c r="G815" s="172" t="s">
        <v>84</v>
      </c>
      <c r="H815" s="177">
        <v>1</v>
      </c>
      <c r="I815" s="178">
        <v>1621</v>
      </c>
      <c r="J815" s="176">
        <v>46035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1003.86</v>
      </c>
    </row>
    <row r="816" spans="1:16" ht="19.5" customHeight="1">
      <c r="A816" s="172" t="s">
        <v>553</v>
      </c>
      <c r="B816" s="176">
        <v>46038</v>
      </c>
      <c r="C816" s="172" t="s">
        <v>104</v>
      </c>
      <c r="D816" s="172" t="s">
        <v>105</v>
      </c>
      <c r="E816" s="172" t="s">
        <v>52</v>
      </c>
      <c r="F816" s="172" t="s">
        <v>90</v>
      </c>
      <c r="G816" s="172" t="s">
        <v>84</v>
      </c>
      <c r="H816" s="177">
        <v>1</v>
      </c>
      <c r="I816" s="178">
        <v>1621</v>
      </c>
      <c r="J816" s="176">
        <v>46035</v>
      </c>
      <c r="K816" s="172" t="s">
        <v>93</v>
      </c>
      <c r="L816" s="172" t="s">
        <v>94</v>
      </c>
      <c r="M816" s="179">
        <v>0.43</v>
      </c>
      <c r="N816" s="177"/>
      <c r="O816" s="177"/>
      <c r="P816" s="180">
        <v>-697.03</v>
      </c>
    </row>
    <row r="817" spans="1:16" ht="19.5" customHeight="1">
      <c r="A817" s="172" t="s">
        <v>553</v>
      </c>
      <c r="B817" s="176">
        <v>46038</v>
      </c>
      <c r="C817" s="172" t="s">
        <v>81</v>
      </c>
      <c r="D817" s="172" t="s">
        <v>95</v>
      </c>
      <c r="E817" s="172" t="s">
        <v>52</v>
      </c>
      <c r="F817" s="172" t="s">
        <v>90</v>
      </c>
      <c r="G817" s="172" t="s">
        <v>84</v>
      </c>
      <c r="H817" s="177">
        <v>1</v>
      </c>
      <c r="I817" s="178">
        <v>1621</v>
      </c>
      <c r="J817" s="176">
        <v>46035</v>
      </c>
      <c r="K817" s="172" t="s">
        <v>93</v>
      </c>
      <c r="L817" s="172" t="s">
        <v>94</v>
      </c>
      <c r="M817" s="179">
        <v>0.43</v>
      </c>
      <c r="N817" s="177"/>
      <c r="O817" s="177"/>
      <c r="P817" s="180">
        <v>-21.42</v>
      </c>
    </row>
    <row r="818" spans="1:16" ht="19.5" customHeight="1">
      <c r="A818" s="172" t="s">
        <v>554</v>
      </c>
      <c r="B818" s="176">
        <v>46038</v>
      </c>
      <c r="C818" s="172" t="s">
        <v>92</v>
      </c>
      <c r="D818" s="172" t="s">
        <v>24</v>
      </c>
      <c r="E818" s="172" t="s">
        <v>52</v>
      </c>
      <c r="F818" s="172" t="s">
        <v>90</v>
      </c>
      <c r="G818" s="172" t="s">
        <v>84</v>
      </c>
      <c r="H818" s="177">
        <v>1</v>
      </c>
      <c r="I818" s="178">
        <v>0</v>
      </c>
      <c r="J818" s="176">
        <v>46034</v>
      </c>
      <c r="K818" s="172" t="s">
        <v>93</v>
      </c>
      <c r="L818" s="172" t="s">
        <v>94</v>
      </c>
      <c r="M818" s="179">
        <v>0</v>
      </c>
      <c r="N818" s="177"/>
      <c r="O818" s="177">
        <v>42</v>
      </c>
      <c r="P818" s="180">
        <v>-134.12</v>
      </c>
    </row>
    <row r="819" spans="1:16" ht="19.5" customHeight="1">
      <c r="A819" s="172" t="s">
        <v>555</v>
      </c>
      <c r="B819" s="176">
        <v>46038</v>
      </c>
      <c r="C819" s="172" t="s">
        <v>92</v>
      </c>
      <c r="D819" s="172" t="s">
        <v>24</v>
      </c>
      <c r="E819" s="172" t="s">
        <v>42</v>
      </c>
      <c r="F819" s="172" t="s">
        <v>89</v>
      </c>
      <c r="G819" s="172" t="s">
        <v>84</v>
      </c>
      <c r="H819" s="177">
        <v>1</v>
      </c>
      <c r="I819" s="178">
        <v>1750</v>
      </c>
      <c r="J819" s="176">
        <v>46036</v>
      </c>
      <c r="K819" s="172" t="s">
        <v>93</v>
      </c>
      <c r="L819" s="172" t="s">
        <v>94</v>
      </c>
      <c r="M819" s="179">
        <v>0.43</v>
      </c>
      <c r="N819" s="177"/>
      <c r="O819" s="177">
        <v>45</v>
      </c>
      <c r="P819" s="180">
        <v>-135.38999999999999</v>
      </c>
    </row>
    <row r="820" spans="1:16" ht="19.5" customHeight="1">
      <c r="A820" s="172" t="s">
        <v>555</v>
      </c>
      <c r="B820" s="176">
        <v>46038</v>
      </c>
      <c r="C820" s="172" t="s">
        <v>100</v>
      </c>
      <c r="D820" s="172" t="s">
        <v>101</v>
      </c>
      <c r="E820" s="172" t="s">
        <v>42</v>
      </c>
      <c r="F820" s="172" t="s">
        <v>89</v>
      </c>
      <c r="G820" s="172" t="s">
        <v>84</v>
      </c>
      <c r="H820" s="177">
        <v>1</v>
      </c>
      <c r="I820" s="178">
        <v>1750</v>
      </c>
      <c r="J820" s="176">
        <v>46036</v>
      </c>
      <c r="K820" s="172" t="s">
        <v>93</v>
      </c>
      <c r="L820" s="172" t="s">
        <v>94</v>
      </c>
      <c r="M820" s="179">
        <v>0</v>
      </c>
      <c r="N820" s="177"/>
      <c r="O820" s="177"/>
      <c r="P820" s="180">
        <v>609.52</v>
      </c>
    </row>
    <row r="821" spans="1:16" ht="19.5" customHeight="1">
      <c r="A821" s="172" t="s">
        <v>555</v>
      </c>
      <c r="B821" s="176">
        <v>46038</v>
      </c>
      <c r="C821" s="172" t="s">
        <v>100</v>
      </c>
      <c r="D821" s="172" t="s">
        <v>102</v>
      </c>
      <c r="E821" s="172" t="s">
        <v>42</v>
      </c>
      <c r="F821" s="172" t="s">
        <v>89</v>
      </c>
      <c r="G821" s="172" t="s">
        <v>84</v>
      </c>
      <c r="H821" s="177">
        <v>1</v>
      </c>
      <c r="I821" s="178">
        <v>1750</v>
      </c>
      <c r="J821" s="176">
        <v>46036</v>
      </c>
      <c r="K821" s="172" t="s">
        <v>93</v>
      </c>
      <c r="L821" s="172" t="s">
        <v>94</v>
      </c>
      <c r="M821" s="179">
        <v>0</v>
      </c>
      <c r="N821" s="177"/>
      <c r="O821" s="177"/>
      <c r="P821" s="180">
        <v>6.1</v>
      </c>
    </row>
    <row r="822" spans="1:16" ht="19.5" customHeight="1">
      <c r="A822" s="172" t="s">
        <v>555</v>
      </c>
      <c r="B822" s="176">
        <v>46038</v>
      </c>
      <c r="C822" s="172" t="s">
        <v>100</v>
      </c>
      <c r="D822" s="172" t="s">
        <v>103</v>
      </c>
      <c r="E822" s="172" t="s">
        <v>42</v>
      </c>
      <c r="F822" s="172" t="s">
        <v>89</v>
      </c>
      <c r="G822" s="172" t="s">
        <v>84</v>
      </c>
      <c r="H822" s="177">
        <v>1</v>
      </c>
      <c r="I822" s="178">
        <v>1750</v>
      </c>
      <c r="J822" s="176">
        <v>46036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1134.3800000000001</v>
      </c>
    </row>
    <row r="823" spans="1:16" ht="19.5" customHeight="1">
      <c r="A823" s="172" t="s">
        <v>555</v>
      </c>
      <c r="B823" s="176">
        <v>46038</v>
      </c>
      <c r="C823" s="172" t="s">
        <v>104</v>
      </c>
      <c r="D823" s="172" t="s">
        <v>105</v>
      </c>
      <c r="E823" s="172" t="s">
        <v>42</v>
      </c>
      <c r="F823" s="172" t="s">
        <v>89</v>
      </c>
      <c r="G823" s="172" t="s">
        <v>84</v>
      </c>
      <c r="H823" s="177">
        <v>1</v>
      </c>
      <c r="I823" s="178">
        <v>1750</v>
      </c>
      <c r="J823" s="176">
        <v>46036</v>
      </c>
      <c r="K823" s="172" t="s">
        <v>93</v>
      </c>
      <c r="L823" s="172" t="s">
        <v>94</v>
      </c>
      <c r="M823" s="179">
        <v>0.43</v>
      </c>
      <c r="N823" s="177"/>
      <c r="O823" s="177"/>
      <c r="P823" s="180">
        <v>-752.5</v>
      </c>
    </row>
    <row r="824" spans="1:16" ht="19.5" customHeight="1">
      <c r="A824" s="172" t="s">
        <v>555</v>
      </c>
      <c r="B824" s="176">
        <v>46038</v>
      </c>
      <c r="C824" s="172" t="s">
        <v>81</v>
      </c>
      <c r="D824" s="172" t="s">
        <v>95</v>
      </c>
      <c r="E824" s="172" t="s">
        <v>42</v>
      </c>
      <c r="F824" s="172" t="s">
        <v>89</v>
      </c>
      <c r="G824" s="172" t="s">
        <v>84</v>
      </c>
      <c r="H824" s="177">
        <v>1</v>
      </c>
      <c r="I824" s="178">
        <v>1750</v>
      </c>
      <c r="J824" s="176">
        <v>46036</v>
      </c>
      <c r="K824" s="172" t="s">
        <v>93</v>
      </c>
      <c r="L824" s="172" t="s">
        <v>94</v>
      </c>
      <c r="M824" s="179">
        <v>0.43</v>
      </c>
      <c r="N824" s="177"/>
      <c r="O824" s="177"/>
      <c r="P824" s="180">
        <v>-10.85</v>
      </c>
    </row>
    <row r="825" spans="1:16" ht="19.5" customHeight="1">
      <c r="A825" s="172" t="s">
        <v>553</v>
      </c>
      <c r="B825" s="176">
        <v>46038</v>
      </c>
      <c r="C825" s="172" t="s">
        <v>81</v>
      </c>
      <c r="D825" s="172" t="s">
        <v>82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0</v>
      </c>
      <c r="J825" s="176">
        <v>46035</v>
      </c>
      <c r="K825" s="172" t="s">
        <v>85</v>
      </c>
      <c r="L825" s="172" t="s">
        <v>85</v>
      </c>
      <c r="M825" s="179">
        <v>0</v>
      </c>
      <c r="N825" s="177"/>
      <c r="O825" s="177"/>
      <c r="P825" s="180">
        <v>-3.32</v>
      </c>
    </row>
    <row r="826" spans="1:16" ht="19.5" customHeight="1">
      <c r="A826" s="172" t="s">
        <v>555</v>
      </c>
      <c r="B826" s="176">
        <v>46038</v>
      </c>
      <c r="C826" s="172" t="s">
        <v>81</v>
      </c>
      <c r="D826" s="172" t="s">
        <v>82</v>
      </c>
      <c r="E826" s="172" t="s">
        <v>42</v>
      </c>
      <c r="F826" s="172" t="s">
        <v>89</v>
      </c>
      <c r="G826" s="172" t="s">
        <v>84</v>
      </c>
      <c r="H826" s="177">
        <v>1</v>
      </c>
      <c r="I826" s="178">
        <v>0</v>
      </c>
      <c r="J826" s="176">
        <v>46036</v>
      </c>
      <c r="K826" s="172" t="s">
        <v>85</v>
      </c>
      <c r="L826" s="172" t="s">
        <v>85</v>
      </c>
      <c r="M826" s="179">
        <v>0</v>
      </c>
      <c r="N826" s="177"/>
      <c r="O826" s="177"/>
      <c r="P826" s="180">
        <v>-11.58</v>
      </c>
    </row>
    <row r="827" spans="1:16" ht="19.5" customHeight="1">
      <c r="A827" s="172" t="s">
        <v>556</v>
      </c>
      <c r="B827" s="176">
        <v>46038</v>
      </c>
      <c r="C827" s="172" t="s">
        <v>81</v>
      </c>
      <c r="D827" s="172" t="s">
        <v>82</v>
      </c>
      <c r="E827" s="172" t="s">
        <v>53</v>
      </c>
      <c r="F827" s="172" t="s">
        <v>120</v>
      </c>
      <c r="G827" s="172" t="s">
        <v>84</v>
      </c>
      <c r="H827" s="177">
        <v>1</v>
      </c>
      <c r="I827" s="178">
        <v>0</v>
      </c>
      <c r="J827" s="176">
        <v>46038</v>
      </c>
      <c r="K827" s="172" t="s">
        <v>85</v>
      </c>
      <c r="L827" s="172" t="s">
        <v>85</v>
      </c>
      <c r="M827" s="179">
        <v>0</v>
      </c>
      <c r="N827" s="177"/>
      <c r="O827" s="177"/>
      <c r="P827" s="180">
        <v>-13.63</v>
      </c>
    </row>
    <row r="828" spans="1:16" ht="19.5" customHeight="1">
      <c r="A828" s="172" t="s">
        <v>557</v>
      </c>
      <c r="B828" s="176">
        <v>46038</v>
      </c>
      <c r="C828" s="172" t="s">
        <v>92</v>
      </c>
      <c r="D828" s="172" t="s">
        <v>24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1750</v>
      </c>
      <c r="J828" s="176">
        <v>46035</v>
      </c>
      <c r="K828" s="172" t="s">
        <v>93</v>
      </c>
      <c r="L828" s="172" t="s">
        <v>94</v>
      </c>
      <c r="M828" s="179">
        <v>0.43</v>
      </c>
      <c r="N828" s="177"/>
      <c r="O828" s="177">
        <v>45</v>
      </c>
      <c r="P828" s="180">
        <v>-134.11000000000001</v>
      </c>
    </row>
    <row r="829" spans="1:16" ht="19.5" customHeight="1">
      <c r="A829" s="172" t="s">
        <v>557</v>
      </c>
      <c r="B829" s="176">
        <v>46038</v>
      </c>
      <c r="C829" s="172" t="s">
        <v>100</v>
      </c>
      <c r="D829" s="172" t="s">
        <v>101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1750</v>
      </c>
      <c r="J829" s="176">
        <v>46035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609.52</v>
      </c>
    </row>
    <row r="830" spans="1:16" ht="19.5" customHeight="1">
      <c r="A830" s="172" t="s">
        <v>557</v>
      </c>
      <c r="B830" s="176">
        <v>46038</v>
      </c>
      <c r="C830" s="172" t="s">
        <v>100</v>
      </c>
      <c r="D830" s="172" t="s">
        <v>102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1750</v>
      </c>
      <c r="J830" s="176">
        <v>46035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6.1</v>
      </c>
    </row>
    <row r="831" spans="1:16" ht="19.5" customHeight="1">
      <c r="A831" s="172" t="s">
        <v>557</v>
      </c>
      <c r="B831" s="176">
        <v>46038</v>
      </c>
      <c r="C831" s="172" t="s">
        <v>100</v>
      </c>
      <c r="D831" s="172" t="s">
        <v>103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1750</v>
      </c>
      <c r="J831" s="176">
        <v>46035</v>
      </c>
      <c r="K831" s="172" t="s">
        <v>93</v>
      </c>
      <c r="L831" s="172" t="s">
        <v>94</v>
      </c>
      <c r="M831" s="179">
        <v>0</v>
      </c>
      <c r="N831" s="177"/>
      <c r="O831" s="177"/>
      <c r="P831" s="180">
        <v>1134.3800000000001</v>
      </c>
    </row>
    <row r="832" spans="1:16" ht="19.5" customHeight="1">
      <c r="A832" s="172" t="s">
        <v>557</v>
      </c>
      <c r="B832" s="176">
        <v>46038</v>
      </c>
      <c r="C832" s="172" t="s">
        <v>104</v>
      </c>
      <c r="D832" s="172" t="s">
        <v>105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1750</v>
      </c>
      <c r="J832" s="176">
        <v>46035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-752.5</v>
      </c>
    </row>
    <row r="833" spans="1:16" ht="19.5" customHeight="1">
      <c r="A833" s="172" t="s">
        <v>557</v>
      </c>
      <c r="B833" s="176">
        <v>46038</v>
      </c>
      <c r="C833" s="172" t="s">
        <v>81</v>
      </c>
      <c r="D833" s="172" t="s">
        <v>95</v>
      </c>
      <c r="E833" s="172" t="s">
        <v>41</v>
      </c>
      <c r="F833" s="172" t="s">
        <v>83</v>
      </c>
      <c r="G833" s="172" t="s">
        <v>84</v>
      </c>
      <c r="H833" s="177">
        <v>1</v>
      </c>
      <c r="I833" s="178">
        <v>1750</v>
      </c>
      <c r="J833" s="176">
        <v>46035</v>
      </c>
      <c r="K833" s="172" t="s">
        <v>93</v>
      </c>
      <c r="L833" s="172" t="s">
        <v>94</v>
      </c>
      <c r="M833" s="179">
        <v>0.43</v>
      </c>
      <c r="N833" s="177"/>
      <c r="O833" s="177"/>
      <c r="P833" s="180">
        <v>-11.13</v>
      </c>
    </row>
    <row r="834" spans="1:16" ht="19.5" customHeight="1">
      <c r="A834" s="172" t="s">
        <v>558</v>
      </c>
      <c r="B834" s="176">
        <v>46038</v>
      </c>
      <c r="C834" s="172" t="s">
        <v>92</v>
      </c>
      <c r="D834" s="172" t="s">
        <v>24</v>
      </c>
      <c r="E834" s="172" t="s">
        <v>39</v>
      </c>
      <c r="F834" s="172" t="s">
        <v>117</v>
      </c>
      <c r="G834" s="172" t="s">
        <v>84</v>
      </c>
      <c r="H834" s="177">
        <v>1</v>
      </c>
      <c r="I834" s="178">
        <v>1750</v>
      </c>
      <c r="J834" s="176">
        <v>46036</v>
      </c>
      <c r="K834" s="172" t="s">
        <v>93</v>
      </c>
      <c r="L834" s="172" t="s">
        <v>94</v>
      </c>
      <c r="M834" s="179">
        <v>0.43</v>
      </c>
      <c r="N834" s="177"/>
      <c r="O834" s="177">
        <v>45</v>
      </c>
      <c r="P834" s="180">
        <v>-135.38999999999999</v>
      </c>
    </row>
    <row r="835" spans="1:16" ht="19.5" customHeight="1">
      <c r="A835" s="172" t="s">
        <v>558</v>
      </c>
      <c r="B835" s="176">
        <v>46038</v>
      </c>
      <c r="C835" s="172" t="s">
        <v>100</v>
      </c>
      <c r="D835" s="172" t="s">
        <v>101</v>
      </c>
      <c r="E835" s="172" t="s">
        <v>39</v>
      </c>
      <c r="F835" s="172" t="s">
        <v>117</v>
      </c>
      <c r="G835" s="172" t="s">
        <v>84</v>
      </c>
      <c r="H835" s="177">
        <v>1</v>
      </c>
      <c r="I835" s="178">
        <v>1750</v>
      </c>
      <c r="J835" s="176">
        <v>46036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609.52</v>
      </c>
    </row>
    <row r="836" spans="1:16" ht="19.5" customHeight="1">
      <c r="A836" s="172" t="s">
        <v>558</v>
      </c>
      <c r="B836" s="176">
        <v>46038</v>
      </c>
      <c r="C836" s="172" t="s">
        <v>100</v>
      </c>
      <c r="D836" s="172" t="s">
        <v>102</v>
      </c>
      <c r="E836" s="172" t="s">
        <v>39</v>
      </c>
      <c r="F836" s="172" t="s">
        <v>117</v>
      </c>
      <c r="G836" s="172" t="s">
        <v>84</v>
      </c>
      <c r="H836" s="177">
        <v>1</v>
      </c>
      <c r="I836" s="178">
        <v>1750</v>
      </c>
      <c r="J836" s="176">
        <v>46036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6.1</v>
      </c>
    </row>
    <row r="837" spans="1:16" ht="19.5" customHeight="1">
      <c r="A837" s="172" t="s">
        <v>558</v>
      </c>
      <c r="B837" s="176">
        <v>46038</v>
      </c>
      <c r="C837" s="172" t="s">
        <v>100</v>
      </c>
      <c r="D837" s="172" t="s">
        <v>103</v>
      </c>
      <c r="E837" s="172" t="s">
        <v>39</v>
      </c>
      <c r="F837" s="172" t="s">
        <v>117</v>
      </c>
      <c r="G837" s="172" t="s">
        <v>84</v>
      </c>
      <c r="H837" s="177">
        <v>1</v>
      </c>
      <c r="I837" s="178">
        <v>1750</v>
      </c>
      <c r="J837" s="176">
        <v>46036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1134.3800000000001</v>
      </c>
    </row>
    <row r="838" spans="1:16" ht="19.5" customHeight="1">
      <c r="A838" s="172" t="s">
        <v>558</v>
      </c>
      <c r="B838" s="176">
        <v>46038</v>
      </c>
      <c r="C838" s="172" t="s">
        <v>104</v>
      </c>
      <c r="D838" s="172" t="s">
        <v>105</v>
      </c>
      <c r="E838" s="172" t="s">
        <v>39</v>
      </c>
      <c r="F838" s="172" t="s">
        <v>117</v>
      </c>
      <c r="G838" s="172" t="s">
        <v>84</v>
      </c>
      <c r="H838" s="177">
        <v>1</v>
      </c>
      <c r="I838" s="178">
        <v>1750</v>
      </c>
      <c r="J838" s="176">
        <v>46036</v>
      </c>
      <c r="K838" s="172" t="s">
        <v>93</v>
      </c>
      <c r="L838" s="172" t="s">
        <v>94</v>
      </c>
      <c r="M838" s="179">
        <v>0.43</v>
      </c>
      <c r="N838" s="177"/>
      <c r="O838" s="177"/>
      <c r="P838" s="180">
        <v>-752.5</v>
      </c>
    </row>
    <row r="839" spans="1:16" ht="19.5" customHeight="1">
      <c r="A839" s="172" t="s">
        <v>558</v>
      </c>
      <c r="B839" s="176">
        <v>46038</v>
      </c>
      <c r="C839" s="172" t="s">
        <v>81</v>
      </c>
      <c r="D839" s="172" t="s">
        <v>95</v>
      </c>
      <c r="E839" s="172" t="s">
        <v>39</v>
      </c>
      <c r="F839" s="172" t="s">
        <v>117</v>
      </c>
      <c r="G839" s="172" t="s">
        <v>84</v>
      </c>
      <c r="H839" s="177">
        <v>1</v>
      </c>
      <c r="I839" s="178">
        <v>1750</v>
      </c>
      <c r="J839" s="176">
        <v>46036</v>
      </c>
      <c r="K839" s="172" t="s">
        <v>93</v>
      </c>
      <c r="L839" s="172" t="s">
        <v>94</v>
      </c>
      <c r="M839" s="179">
        <v>0.43</v>
      </c>
      <c r="N839" s="177"/>
      <c r="O839" s="177"/>
      <c r="P839" s="180">
        <v>-25</v>
      </c>
    </row>
    <row r="840" spans="1:16" ht="19.5" customHeight="1">
      <c r="A840" s="172" t="s">
        <v>559</v>
      </c>
      <c r="B840" s="176">
        <v>46038</v>
      </c>
      <c r="C840" s="172" t="s">
        <v>92</v>
      </c>
      <c r="D840" s="172" t="s">
        <v>24</v>
      </c>
      <c r="E840" s="172" t="s">
        <v>41</v>
      </c>
      <c r="F840" s="172" t="s">
        <v>83</v>
      </c>
      <c r="G840" s="172" t="s">
        <v>84</v>
      </c>
      <c r="H840" s="177">
        <v>1</v>
      </c>
      <c r="I840" s="178">
        <v>1750</v>
      </c>
      <c r="J840" s="176">
        <v>46036</v>
      </c>
      <c r="K840" s="172" t="s">
        <v>93</v>
      </c>
      <c r="L840" s="172" t="s">
        <v>94</v>
      </c>
      <c r="M840" s="179">
        <v>0.43</v>
      </c>
      <c r="N840" s="177"/>
      <c r="O840" s="177">
        <v>45</v>
      </c>
      <c r="P840" s="180">
        <v>-134.11000000000001</v>
      </c>
    </row>
    <row r="841" spans="1:16" ht="19.5" customHeight="1">
      <c r="A841" s="172" t="s">
        <v>559</v>
      </c>
      <c r="B841" s="176">
        <v>46038</v>
      </c>
      <c r="C841" s="172" t="s">
        <v>100</v>
      </c>
      <c r="D841" s="172" t="s">
        <v>101</v>
      </c>
      <c r="E841" s="172" t="s">
        <v>41</v>
      </c>
      <c r="F841" s="172" t="s">
        <v>83</v>
      </c>
      <c r="G841" s="172" t="s">
        <v>84</v>
      </c>
      <c r="H841" s="177">
        <v>1</v>
      </c>
      <c r="I841" s="178">
        <v>1750</v>
      </c>
      <c r="J841" s="176">
        <v>46036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609.52</v>
      </c>
    </row>
    <row r="842" spans="1:16" ht="19.5" customHeight="1">
      <c r="A842" s="172" t="s">
        <v>559</v>
      </c>
      <c r="B842" s="176">
        <v>46038</v>
      </c>
      <c r="C842" s="172" t="s">
        <v>100</v>
      </c>
      <c r="D842" s="172" t="s">
        <v>102</v>
      </c>
      <c r="E842" s="172" t="s">
        <v>41</v>
      </c>
      <c r="F842" s="172" t="s">
        <v>83</v>
      </c>
      <c r="G842" s="172" t="s">
        <v>84</v>
      </c>
      <c r="H842" s="177">
        <v>1</v>
      </c>
      <c r="I842" s="178">
        <v>1750</v>
      </c>
      <c r="J842" s="176">
        <v>46036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6.1</v>
      </c>
    </row>
    <row r="843" spans="1:16" ht="19.5" customHeight="1">
      <c r="A843" s="172" t="s">
        <v>559</v>
      </c>
      <c r="B843" s="176">
        <v>46038</v>
      </c>
      <c r="C843" s="172" t="s">
        <v>100</v>
      </c>
      <c r="D843" s="172" t="s">
        <v>103</v>
      </c>
      <c r="E843" s="172" t="s">
        <v>41</v>
      </c>
      <c r="F843" s="172" t="s">
        <v>83</v>
      </c>
      <c r="G843" s="172" t="s">
        <v>84</v>
      </c>
      <c r="H843" s="177">
        <v>1</v>
      </c>
      <c r="I843" s="178">
        <v>1750</v>
      </c>
      <c r="J843" s="176">
        <v>46036</v>
      </c>
      <c r="K843" s="172" t="s">
        <v>93</v>
      </c>
      <c r="L843" s="172" t="s">
        <v>94</v>
      </c>
      <c r="M843" s="179">
        <v>0</v>
      </c>
      <c r="N843" s="177"/>
      <c r="O843" s="177"/>
      <c r="P843" s="180">
        <v>1134.3800000000001</v>
      </c>
    </row>
    <row r="844" spans="1:16" ht="19.5" customHeight="1">
      <c r="A844" s="172" t="s">
        <v>559</v>
      </c>
      <c r="B844" s="176">
        <v>46038</v>
      </c>
      <c r="C844" s="172" t="s">
        <v>104</v>
      </c>
      <c r="D844" s="172" t="s">
        <v>105</v>
      </c>
      <c r="E844" s="172" t="s">
        <v>41</v>
      </c>
      <c r="F844" s="172" t="s">
        <v>83</v>
      </c>
      <c r="G844" s="172" t="s">
        <v>84</v>
      </c>
      <c r="H844" s="177">
        <v>1</v>
      </c>
      <c r="I844" s="178">
        <v>1750</v>
      </c>
      <c r="J844" s="176">
        <v>46036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-752.5</v>
      </c>
    </row>
    <row r="845" spans="1:16" ht="19.5" customHeight="1">
      <c r="A845" s="172" t="s">
        <v>559</v>
      </c>
      <c r="B845" s="176">
        <v>46038</v>
      </c>
      <c r="C845" s="172" t="s">
        <v>81</v>
      </c>
      <c r="D845" s="172" t="s">
        <v>95</v>
      </c>
      <c r="E845" s="172" t="s">
        <v>41</v>
      </c>
      <c r="F845" s="172" t="s">
        <v>83</v>
      </c>
      <c r="G845" s="172" t="s">
        <v>84</v>
      </c>
      <c r="H845" s="177">
        <v>1</v>
      </c>
      <c r="I845" s="178">
        <v>1750</v>
      </c>
      <c r="J845" s="176">
        <v>46036</v>
      </c>
      <c r="K845" s="172" t="s">
        <v>93</v>
      </c>
      <c r="L845" s="172" t="s">
        <v>94</v>
      </c>
      <c r="M845" s="179">
        <v>0.43</v>
      </c>
      <c r="N845" s="177"/>
      <c r="O845" s="177"/>
      <c r="P845" s="180">
        <v>-23.4</v>
      </c>
    </row>
    <row r="846" spans="1:16" ht="19.5" customHeight="1">
      <c r="A846" s="172" t="s">
        <v>559</v>
      </c>
      <c r="B846" s="176">
        <v>46038</v>
      </c>
      <c r="C846" s="172" t="s">
        <v>81</v>
      </c>
      <c r="D846" s="172" t="s">
        <v>82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0</v>
      </c>
      <c r="J846" s="176">
        <v>46036</v>
      </c>
      <c r="K846" s="172" t="s">
        <v>85</v>
      </c>
      <c r="L846" s="172" t="s">
        <v>85</v>
      </c>
      <c r="M846" s="179">
        <v>0</v>
      </c>
      <c r="N846" s="177"/>
      <c r="O846" s="177"/>
      <c r="P846" s="180">
        <v>-11.58</v>
      </c>
    </row>
    <row r="847" spans="1:16" ht="19.5" customHeight="1">
      <c r="A847" s="172" t="s">
        <v>558</v>
      </c>
      <c r="B847" s="176">
        <v>46038</v>
      </c>
      <c r="C847" s="172" t="s">
        <v>81</v>
      </c>
      <c r="D847" s="172" t="s">
        <v>82</v>
      </c>
      <c r="E847" s="172" t="s">
        <v>39</v>
      </c>
      <c r="F847" s="172" t="s">
        <v>117</v>
      </c>
      <c r="G847" s="172" t="s">
        <v>84</v>
      </c>
      <c r="H847" s="177">
        <v>1</v>
      </c>
      <c r="I847" s="178">
        <v>0</v>
      </c>
      <c r="J847" s="176">
        <v>46036</v>
      </c>
      <c r="K847" s="172" t="s">
        <v>85</v>
      </c>
      <c r="L847" s="172" t="s">
        <v>85</v>
      </c>
      <c r="M847" s="179">
        <v>0</v>
      </c>
      <c r="N847" s="177"/>
      <c r="O847" s="177"/>
      <c r="P847" s="180">
        <v>-11.58</v>
      </c>
    </row>
    <row r="848" spans="1:16" ht="19.5" customHeight="1">
      <c r="A848" s="172" t="s">
        <v>560</v>
      </c>
      <c r="B848" s="176">
        <v>46038</v>
      </c>
      <c r="C848" s="172" t="s">
        <v>81</v>
      </c>
      <c r="D848" s="172" t="s">
        <v>82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0</v>
      </c>
      <c r="J848" s="176">
        <v>46038</v>
      </c>
      <c r="K848" s="172" t="s">
        <v>85</v>
      </c>
      <c r="L848" s="172" t="s">
        <v>85</v>
      </c>
      <c r="M848" s="179">
        <v>0</v>
      </c>
      <c r="N848" s="177"/>
      <c r="O848" s="177"/>
      <c r="P848" s="180">
        <v>-11.71</v>
      </c>
    </row>
    <row r="849" spans="1:16" ht="19.5" customHeight="1">
      <c r="A849" s="172" t="s">
        <v>144</v>
      </c>
      <c r="B849" s="176">
        <v>46038</v>
      </c>
      <c r="C849" s="172" t="s">
        <v>109</v>
      </c>
      <c r="D849" s="172" t="s">
        <v>139</v>
      </c>
      <c r="E849" s="172" t="s">
        <v>85</v>
      </c>
      <c r="F849" s="172" t="s">
        <v>85</v>
      </c>
      <c r="G849" s="172" t="s">
        <v>85</v>
      </c>
      <c r="H849" s="177">
        <v>0</v>
      </c>
      <c r="I849" s="178">
        <v>0</v>
      </c>
      <c r="J849" s="176">
        <v>46038</v>
      </c>
      <c r="K849" s="172" t="s">
        <v>85</v>
      </c>
      <c r="L849" s="172" t="s">
        <v>85</v>
      </c>
      <c r="M849" s="179">
        <v>0</v>
      </c>
      <c r="N849" s="177"/>
      <c r="O849" s="177"/>
      <c r="P849" s="180">
        <v>-1032.33</v>
      </c>
    </row>
    <row r="850" spans="1:16" ht="19.5" customHeight="1">
      <c r="A850" s="172" t="s">
        <v>138</v>
      </c>
      <c r="B850" s="176">
        <v>46038</v>
      </c>
      <c r="C850" s="172" t="s">
        <v>109</v>
      </c>
      <c r="D850" s="172" t="s">
        <v>139</v>
      </c>
      <c r="E850" s="172" t="s">
        <v>85</v>
      </c>
      <c r="F850" s="172" t="s">
        <v>85</v>
      </c>
      <c r="G850" s="172" t="s">
        <v>85</v>
      </c>
      <c r="H850" s="177">
        <v>0</v>
      </c>
      <c r="I850" s="178">
        <v>0</v>
      </c>
      <c r="J850" s="176">
        <v>46038</v>
      </c>
      <c r="K850" s="172" t="s">
        <v>85</v>
      </c>
      <c r="L850" s="172" t="s">
        <v>85</v>
      </c>
      <c r="M850" s="179">
        <v>0</v>
      </c>
      <c r="N850" s="177"/>
      <c r="O850" s="177"/>
      <c r="P850" s="180">
        <v>-1546.21</v>
      </c>
    </row>
    <row r="851" spans="1:16" ht="19.5" customHeight="1">
      <c r="A851" s="172" t="s">
        <v>146</v>
      </c>
      <c r="B851" s="176">
        <v>46038</v>
      </c>
      <c r="C851" s="172" t="s">
        <v>109</v>
      </c>
      <c r="D851" s="172" t="s">
        <v>139</v>
      </c>
      <c r="E851" s="172" t="s">
        <v>85</v>
      </c>
      <c r="F851" s="172" t="s">
        <v>85</v>
      </c>
      <c r="G851" s="172" t="s">
        <v>85</v>
      </c>
      <c r="H851" s="177">
        <v>0</v>
      </c>
      <c r="I851" s="178">
        <v>0</v>
      </c>
      <c r="J851" s="176">
        <v>46038</v>
      </c>
      <c r="K851" s="172" t="s">
        <v>85</v>
      </c>
      <c r="L851" s="172" t="s">
        <v>85</v>
      </c>
      <c r="M851" s="179">
        <v>0</v>
      </c>
      <c r="N851" s="177"/>
      <c r="O851" s="177"/>
      <c r="P851" s="180">
        <v>-128.02000000000001</v>
      </c>
    </row>
    <row r="852" spans="1:16" ht="19.5" customHeight="1">
      <c r="A852" s="172" t="s">
        <v>142</v>
      </c>
      <c r="B852" s="176">
        <v>46038</v>
      </c>
      <c r="C852" s="172" t="s">
        <v>109</v>
      </c>
      <c r="D852" s="172" t="s">
        <v>143</v>
      </c>
      <c r="E852" s="172" t="s">
        <v>85</v>
      </c>
      <c r="F852" s="172" t="s">
        <v>85</v>
      </c>
      <c r="G852" s="172" t="s">
        <v>85</v>
      </c>
      <c r="H852" s="177">
        <v>0</v>
      </c>
      <c r="I852" s="178">
        <v>0</v>
      </c>
      <c r="J852" s="176">
        <v>46038</v>
      </c>
      <c r="K852" s="172" t="s">
        <v>85</v>
      </c>
      <c r="L852" s="172" t="s">
        <v>85</v>
      </c>
      <c r="M852" s="179">
        <v>0</v>
      </c>
      <c r="N852" s="177"/>
      <c r="O852" s="177"/>
      <c r="P852" s="180">
        <v>-1792.6</v>
      </c>
    </row>
    <row r="853" spans="1:16" ht="19.5" customHeight="1">
      <c r="A853" s="172" t="s">
        <v>145</v>
      </c>
      <c r="B853" s="176">
        <v>46038</v>
      </c>
      <c r="C853" s="172" t="s">
        <v>109</v>
      </c>
      <c r="D853" s="172" t="s">
        <v>139</v>
      </c>
      <c r="E853" s="172" t="s">
        <v>85</v>
      </c>
      <c r="F853" s="172" t="s">
        <v>85</v>
      </c>
      <c r="G853" s="172" t="s">
        <v>85</v>
      </c>
      <c r="H853" s="177">
        <v>0</v>
      </c>
      <c r="I853" s="178">
        <v>0</v>
      </c>
      <c r="J853" s="176">
        <v>46038</v>
      </c>
      <c r="K853" s="172" t="s">
        <v>85</v>
      </c>
      <c r="L853" s="172" t="s">
        <v>85</v>
      </c>
      <c r="M853" s="179">
        <v>0</v>
      </c>
      <c r="N853" s="177"/>
      <c r="O853" s="177"/>
      <c r="P853" s="180">
        <v>-249.97</v>
      </c>
    </row>
    <row r="854" spans="1:16" ht="19.5" customHeight="1">
      <c r="A854" s="172" t="s">
        <v>140</v>
      </c>
      <c r="B854" s="176">
        <v>46038</v>
      </c>
      <c r="C854" s="172" t="s">
        <v>109</v>
      </c>
      <c r="D854" s="172" t="s">
        <v>139</v>
      </c>
      <c r="E854" s="172" t="s">
        <v>85</v>
      </c>
      <c r="F854" s="172" t="s">
        <v>85</v>
      </c>
      <c r="G854" s="172" t="s">
        <v>85</v>
      </c>
      <c r="H854" s="177">
        <v>0</v>
      </c>
      <c r="I854" s="178">
        <v>0</v>
      </c>
      <c r="J854" s="176">
        <v>46038</v>
      </c>
      <c r="K854" s="172" t="s">
        <v>85</v>
      </c>
      <c r="L854" s="172" t="s">
        <v>85</v>
      </c>
      <c r="M854" s="179">
        <v>0</v>
      </c>
      <c r="N854" s="177"/>
      <c r="O854" s="177"/>
      <c r="P854" s="180">
        <v>-318.8</v>
      </c>
    </row>
    <row r="855" spans="1:16" ht="19.5" customHeight="1">
      <c r="A855" s="172" t="s">
        <v>561</v>
      </c>
      <c r="B855" s="176">
        <v>46039</v>
      </c>
      <c r="C855" s="172" t="s">
        <v>81</v>
      </c>
      <c r="D855" s="172" t="s">
        <v>82</v>
      </c>
      <c r="E855" s="172" t="s">
        <v>40</v>
      </c>
      <c r="F855" s="172" t="s">
        <v>197</v>
      </c>
      <c r="G855" s="172" t="s">
        <v>84</v>
      </c>
      <c r="H855" s="177">
        <v>1</v>
      </c>
      <c r="I855" s="178">
        <v>0</v>
      </c>
      <c r="J855" s="176">
        <v>46039</v>
      </c>
      <c r="K855" s="172" t="s">
        <v>85</v>
      </c>
      <c r="L855" s="172" t="s">
        <v>85</v>
      </c>
      <c r="M855" s="179">
        <v>0</v>
      </c>
      <c r="N855" s="177"/>
      <c r="O855" s="177"/>
      <c r="P855" s="180">
        <v>-3.57</v>
      </c>
    </row>
    <row r="856" spans="1:16" ht="19.5" customHeight="1">
      <c r="A856" s="172" t="s">
        <v>562</v>
      </c>
      <c r="B856" s="176">
        <v>46039</v>
      </c>
      <c r="C856" s="172" t="s">
        <v>81</v>
      </c>
      <c r="D856" s="172" t="s">
        <v>82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46039</v>
      </c>
      <c r="K856" s="172" t="s">
        <v>85</v>
      </c>
      <c r="L856" s="172" t="s">
        <v>85</v>
      </c>
      <c r="M856" s="179">
        <v>0</v>
      </c>
      <c r="N856" s="177"/>
      <c r="O856" s="177"/>
      <c r="P856" s="180">
        <v>-13.61</v>
      </c>
    </row>
    <row r="857" spans="1:16" ht="19.5" customHeight="1">
      <c r="A857" s="172" t="s">
        <v>563</v>
      </c>
      <c r="B857" s="176">
        <v>46039</v>
      </c>
      <c r="C857" s="172" t="s">
        <v>92</v>
      </c>
      <c r="D857" s="172" t="s">
        <v>24</v>
      </c>
      <c r="E857" s="172" t="s">
        <v>52</v>
      </c>
      <c r="F857" s="172" t="s">
        <v>90</v>
      </c>
      <c r="G857" s="172" t="s">
        <v>84</v>
      </c>
      <c r="H857" s="177">
        <v>1</v>
      </c>
      <c r="I857" s="178">
        <v>0</v>
      </c>
      <c r="J857" s="176">
        <v>46035</v>
      </c>
      <c r="K857" s="172" t="s">
        <v>93</v>
      </c>
      <c r="L857" s="172" t="s">
        <v>94</v>
      </c>
      <c r="M857" s="179">
        <v>0</v>
      </c>
      <c r="N857" s="177"/>
      <c r="O857" s="177">
        <v>45</v>
      </c>
      <c r="P857" s="180">
        <v>-56</v>
      </c>
    </row>
    <row r="858" spans="1:16" ht="19.5" customHeight="1">
      <c r="A858" s="172" t="s">
        <v>563</v>
      </c>
      <c r="B858" s="176">
        <v>46039</v>
      </c>
      <c r="C858" s="172" t="s">
        <v>81</v>
      </c>
      <c r="D858" s="172" t="s">
        <v>95</v>
      </c>
      <c r="E858" s="172" t="s">
        <v>52</v>
      </c>
      <c r="F858" s="172" t="s">
        <v>90</v>
      </c>
      <c r="G858" s="172" t="s">
        <v>84</v>
      </c>
      <c r="H858" s="177">
        <v>1</v>
      </c>
      <c r="I858" s="178">
        <v>0</v>
      </c>
      <c r="J858" s="176">
        <v>46035</v>
      </c>
      <c r="K858" s="172" t="s">
        <v>93</v>
      </c>
      <c r="L858" s="172" t="s">
        <v>94</v>
      </c>
      <c r="M858" s="179">
        <v>0</v>
      </c>
      <c r="N858" s="177"/>
      <c r="O858" s="177"/>
      <c r="P858" s="180">
        <v>-8.75</v>
      </c>
    </row>
    <row r="859" spans="1:16" ht="19.5" customHeight="1">
      <c r="A859" s="172" t="s">
        <v>563</v>
      </c>
      <c r="B859" s="176">
        <v>46039</v>
      </c>
      <c r="C859" s="172" t="s">
        <v>92</v>
      </c>
      <c r="D859" s="172" t="s">
        <v>96</v>
      </c>
      <c r="E859" s="172" t="s">
        <v>52</v>
      </c>
      <c r="F859" s="172" t="s">
        <v>90</v>
      </c>
      <c r="G859" s="172" t="s">
        <v>84</v>
      </c>
      <c r="H859" s="177">
        <v>1</v>
      </c>
      <c r="I859" s="178">
        <v>0</v>
      </c>
      <c r="J859" s="176">
        <v>46035</v>
      </c>
      <c r="K859" s="172" t="s">
        <v>93</v>
      </c>
      <c r="L859" s="172" t="s">
        <v>94</v>
      </c>
      <c r="M859" s="179">
        <v>0</v>
      </c>
      <c r="N859" s="177"/>
      <c r="O859" s="177"/>
      <c r="P859" s="180">
        <v>0</v>
      </c>
    </row>
    <row r="860" spans="1:16" ht="19.5" customHeight="1">
      <c r="A860" s="172" t="s">
        <v>563</v>
      </c>
      <c r="B860" s="176">
        <v>46039</v>
      </c>
      <c r="C860" s="172" t="s">
        <v>92</v>
      </c>
      <c r="D860" s="172" t="s">
        <v>97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46035</v>
      </c>
      <c r="K860" s="172" t="s">
        <v>93</v>
      </c>
      <c r="L860" s="172" t="s">
        <v>94</v>
      </c>
      <c r="M860" s="179">
        <v>0</v>
      </c>
      <c r="N860" s="177"/>
      <c r="O860" s="177"/>
      <c r="P860" s="180">
        <v>-56</v>
      </c>
    </row>
    <row r="861" spans="1:16" ht="19.5" customHeight="1">
      <c r="A861" s="172" t="s">
        <v>563</v>
      </c>
      <c r="B861" s="176">
        <v>46039</v>
      </c>
      <c r="C861" s="172" t="s">
        <v>81</v>
      </c>
      <c r="D861" s="172" t="s">
        <v>98</v>
      </c>
      <c r="E861" s="172" t="s">
        <v>52</v>
      </c>
      <c r="F861" s="172" t="s">
        <v>90</v>
      </c>
      <c r="G861" s="172" t="s">
        <v>84</v>
      </c>
      <c r="H861" s="177">
        <v>1</v>
      </c>
      <c r="I861" s="178">
        <v>0</v>
      </c>
      <c r="J861" s="176">
        <v>46035</v>
      </c>
      <c r="K861" s="172" t="s">
        <v>93</v>
      </c>
      <c r="L861" s="172" t="s">
        <v>94</v>
      </c>
      <c r="M861" s="179">
        <v>0</v>
      </c>
      <c r="N861" s="177"/>
      <c r="O861" s="177"/>
      <c r="P861" s="180">
        <v>-15</v>
      </c>
    </row>
    <row r="862" spans="1:16" ht="19.5" customHeight="1">
      <c r="A862" s="172" t="s">
        <v>477</v>
      </c>
      <c r="B862" s="176">
        <v>46039</v>
      </c>
      <c r="C862" s="172" t="s">
        <v>92</v>
      </c>
      <c r="D862" s="172" t="s">
        <v>272</v>
      </c>
      <c r="E862" s="172" t="s">
        <v>41</v>
      </c>
      <c r="F862" s="172" t="s">
        <v>83</v>
      </c>
      <c r="G862" s="172" t="s">
        <v>84</v>
      </c>
      <c r="H862" s="177">
        <v>1</v>
      </c>
      <c r="I862" s="178">
        <v>0</v>
      </c>
      <c r="J862" s="176">
        <v>46028</v>
      </c>
      <c r="K862" s="172" t="s">
        <v>93</v>
      </c>
      <c r="L862" s="172" t="s">
        <v>94</v>
      </c>
      <c r="M862" s="179">
        <v>0</v>
      </c>
      <c r="N862" s="177"/>
      <c r="O862" s="177"/>
      <c r="P862" s="180">
        <v>0</v>
      </c>
    </row>
    <row r="863" spans="1:16" ht="19.5" customHeight="1">
      <c r="A863" s="172" t="s">
        <v>477</v>
      </c>
      <c r="B863" s="176">
        <v>46039</v>
      </c>
      <c r="C863" s="172" t="s">
        <v>92</v>
      </c>
      <c r="D863" s="172" t="s">
        <v>97</v>
      </c>
      <c r="E863" s="172" t="s">
        <v>41</v>
      </c>
      <c r="F863" s="172" t="s">
        <v>83</v>
      </c>
      <c r="G863" s="172" t="s">
        <v>84</v>
      </c>
      <c r="H863" s="177">
        <v>1</v>
      </c>
      <c r="I863" s="178">
        <v>0</v>
      </c>
      <c r="J863" s="176">
        <v>46028</v>
      </c>
      <c r="K863" s="172" t="s">
        <v>93</v>
      </c>
      <c r="L863" s="172" t="s">
        <v>94</v>
      </c>
      <c r="M863" s="179">
        <v>0</v>
      </c>
      <c r="N863" s="177"/>
      <c r="O863" s="177"/>
      <c r="P863" s="180">
        <v>-46</v>
      </c>
    </row>
    <row r="864" spans="1:16" ht="19.5" customHeight="1">
      <c r="A864" s="172" t="s">
        <v>477</v>
      </c>
      <c r="B864" s="176">
        <v>46039</v>
      </c>
      <c r="C864" s="172" t="s">
        <v>81</v>
      </c>
      <c r="D864" s="172" t="s">
        <v>98</v>
      </c>
      <c r="E864" s="172" t="s">
        <v>41</v>
      </c>
      <c r="F864" s="172" t="s">
        <v>83</v>
      </c>
      <c r="G864" s="172" t="s">
        <v>84</v>
      </c>
      <c r="H864" s="177">
        <v>1</v>
      </c>
      <c r="I864" s="178">
        <v>0</v>
      </c>
      <c r="J864" s="176">
        <v>46028</v>
      </c>
      <c r="K864" s="172" t="s">
        <v>93</v>
      </c>
      <c r="L864" s="172" t="s">
        <v>94</v>
      </c>
      <c r="M864" s="179">
        <v>0</v>
      </c>
      <c r="N864" s="177"/>
      <c r="O864" s="177"/>
      <c r="P864" s="180">
        <v>-15</v>
      </c>
    </row>
    <row r="865" spans="1:16" ht="19.5" customHeight="1">
      <c r="A865" s="172" t="s">
        <v>564</v>
      </c>
      <c r="B865" s="176">
        <v>46039</v>
      </c>
      <c r="C865" s="172" t="s">
        <v>92</v>
      </c>
      <c r="D865" s="172" t="s">
        <v>24</v>
      </c>
      <c r="E865" s="172" t="s">
        <v>53</v>
      </c>
      <c r="F865" s="172" t="s">
        <v>120</v>
      </c>
      <c r="G865" s="172" t="s">
        <v>84</v>
      </c>
      <c r="H865" s="177">
        <v>1</v>
      </c>
      <c r="I865" s="178">
        <v>1845</v>
      </c>
      <c r="J865" s="176">
        <v>46037</v>
      </c>
      <c r="K865" s="172" t="s">
        <v>93</v>
      </c>
      <c r="L865" s="172" t="s">
        <v>94</v>
      </c>
      <c r="M865" s="179">
        <v>0.43</v>
      </c>
      <c r="N865" s="177"/>
      <c r="O865" s="177">
        <v>45</v>
      </c>
      <c r="P865" s="180">
        <v>-153.85</v>
      </c>
    </row>
    <row r="866" spans="1:16" ht="19.5" customHeight="1">
      <c r="A866" s="172" t="s">
        <v>564</v>
      </c>
      <c r="B866" s="176">
        <v>46039</v>
      </c>
      <c r="C866" s="172" t="s">
        <v>100</v>
      </c>
      <c r="D866" s="172" t="s">
        <v>101</v>
      </c>
      <c r="E866" s="172" t="s">
        <v>53</v>
      </c>
      <c r="F866" s="172" t="s">
        <v>120</v>
      </c>
      <c r="G866" s="172" t="s">
        <v>84</v>
      </c>
      <c r="H866" s="177">
        <v>1</v>
      </c>
      <c r="I866" s="178">
        <v>1845</v>
      </c>
      <c r="J866" s="176">
        <v>46037</v>
      </c>
      <c r="K866" s="172" t="s">
        <v>93</v>
      </c>
      <c r="L866" s="172" t="s">
        <v>94</v>
      </c>
      <c r="M866" s="179">
        <v>0</v>
      </c>
      <c r="N866" s="177"/>
      <c r="O866" s="177"/>
      <c r="P866" s="180">
        <v>702.86</v>
      </c>
    </row>
    <row r="867" spans="1:16" ht="19.5" customHeight="1">
      <c r="A867" s="172" t="s">
        <v>564</v>
      </c>
      <c r="B867" s="176">
        <v>46039</v>
      </c>
      <c r="C867" s="172" t="s">
        <v>100</v>
      </c>
      <c r="D867" s="172" t="s">
        <v>102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1845</v>
      </c>
      <c r="J867" s="176">
        <v>46037</v>
      </c>
      <c r="K867" s="172" t="s">
        <v>93</v>
      </c>
      <c r="L867" s="172" t="s">
        <v>94</v>
      </c>
      <c r="M867" s="179">
        <v>0</v>
      </c>
      <c r="N867" s="177"/>
      <c r="O867" s="177"/>
      <c r="P867" s="180">
        <v>0</v>
      </c>
    </row>
    <row r="868" spans="1:16" ht="19.5" customHeight="1">
      <c r="A868" s="172" t="s">
        <v>564</v>
      </c>
      <c r="B868" s="176">
        <v>46039</v>
      </c>
      <c r="C868" s="172" t="s">
        <v>100</v>
      </c>
      <c r="D868" s="172" t="s">
        <v>103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1845</v>
      </c>
      <c r="J868" s="176">
        <v>46037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1142.1400000000001</v>
      </c>
    </row>
    <row r="869" spans="1:16" ht="19.5" customHeight="1">
      <c r="A869" s="172" t="s">
        <v>564</v>
      </c>
      <c r="B869" s="176">
        <v>46039</v>
      </c>
      <c r="C869" s="172" t="s">
        <v>104</v>
      </c>
      <c r="D869" s="172" t="s">
        <v>105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1845</v>
      </c>
      <c r="J869" s="176">
        <v>46037</v>
      </c>
      <c r="K869" s="172" t="s">
        <v>93</v>
      </c>
      <c r="L869" s="172" t="s">
        <v>94</v>
      </c>
      <c r="M869" s="179">
        <v>0.43</v>
      </c>
      <c r="N869" s="177"/>
      <c r="O869" s="177"/>
      <c r="P869" s="180">
        <v>-793.35</v>
      </c>
    </row>
    <row r="870" spans="1:16" ht="19.5" customHeight="1">
      <c r="A870" s="172" t="s">
        <v>564</v>
      </c>
      <c r="B870" s="176">
        <v>46039</v>
      </c>
      <c r="C870" s="172" t="s">
        <v>81</v>
      </c>
      <c r="D870" s="172" t="s">
        <v>95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1845</v>
      </c>
      <c r="J870" s="176">
        <v>46037</v>
      </c>
      <c r="K870" s="172" t="s">
        <v>93</v>
      </c>
      <c r="L870" s="172" t="s">
        <v>94</v>
      </c>
      <c r="M870" s="179">
        <v>0.43</v>
      </c>
      <c r="N870" s="177"/>
      <c r="O870" s="177"/>
      <c r="P870" s="180">
        <v>-22.08</v>
      </c>
    </row>
    <row r="871" spans="1:16" ht="19.5" customHeight="1">
      <c r="A871" s="172" t="s">
        <v>565</v>
      </c>
      <c r="B871" s="176">
        <v>46039</v>
      </c>
      <c r="C871" s="172" t="s">
        <v>81</v>
      </c>
      <c r="D871" s="172" t="s">
        <v>82</v>
      </c>
      <c r="E871" s="172" t="s">
        <v>41</v>
      </c>
      <c r="F871" s="172" t="s">
        <v>83</v>
      </c>
      <c r="G871" s="172" t="s">
        <v>84</v>
      </c>
      <c r="H871" s="177">
        <v>1</v>
      </c>
      <c r="I871" s="178">
        <v>0</v>
      </c>
      <c r="J871" s="176">
        <v>46039</v>
      </c>
      <c r="K871" s="172" t="s">
        <v>85</v>
      </c>
      <c r="L871" s="172" t="s">
        <v>85</v>
      </c>
      <c r="M871" s="179">
        <v>0</v>
      </c>
      <c r="N871" s="177"/>
      <c r="O871" s="177"/>
      <c r="P871" s="180">
        <v>-12.43</v>
      </c>
    </row>
    <row r="872" spans="1:16" ht="19.5" customHeight="1">
      <c r="A872" s="172" t="s">
        <v>566</v>
      </c>
      <c r="B872" s="176">
        <v>46039</v>
      </c>
      <c r="C872" s="172" t="s">
        <v>81</v>
      </c>
      <c r="D872" s="172" t="s">
        <v>82</v>
      </c>
      <c r="E872" s="172" t="s">
        <v>38</v>
      </c>
      <c r="F872" s="172" t="s">
        <v>87</v>
      </c>
      <c r="G872" s="172" t="s">
        <v>84</v>
      </c>
      <c r="H872" s="177">
        <v>1</v>
      </c>
      <c r="I872" s="178">
        <v>0</v>
      </c>
      <c r="J872" s="176">
        <v>46039</v>
      </c>
      <c r="K872" s="172" t="s">
        <v>85</v>
      </c>
      <c r="L872" s="172" t="s">
        <v>85</v>
      </c>
      <c r="M872" s="179">
        <v>0</v>
      </c>
      <c r="N872" s="177"/>
      <c r="O872" s="177"/>
      <c r="P872" s="180">
        <v>-11.73</v>
      </c>
    </row>
    <row r="873" spans="1:16" ht="19.5" customHeight="1">
      <c r="A873" s="172" t="s">
        <v>85</v>
      </c>
      <c r="B873" s="176">
        <v>46039</v>
      </c>
      <c r="C873" s="172" t="s">
        <v>109</v>
      </c>
      <c r="D873" s="172" t="s">
        <v>110</v>
      </c>
      <c r="E873" s="172" t="s">
        <v>85</v>
      </c>
      <c r="F873" s="172" t="s">
        <v>85</v>
      </c>
      <c r="G873" s="172" t="s">
        <v>567</v>
      </c>
      <c r="H873" s="177">
        <v>0</v>
      </c>
      <c r="I873" s="178">
        <v>0</v>
      </c>
      <c r="J873" s="176">
        <v>46039</v>
      </c>
      <c r="K873" s="172" t="s">
        <v>85</v>
      </c>
      <c r="L873" s="172" t="s">
        <v>85</v>
      </c>
      <c r="M873" s="179">
        <v>0</v>
      </c>
      <c r="N873" s="177"/>
      <c r="O873" s="177"/>
      <c r="P873" s="180">
        <v>-150</v>
      </c>
    </row>
    <row r="874" spans="1:16" ht="19.5" customHeight="1">
      <c r="A874" s="172" t="s">
        <v>568</v>
      </c>
      <c r="B874" s="176">
        <v>46039</v>
      </c>
      <c r="C874" s="172" t="s">
        <v>92</v>
      </c>
      <c r="D874" s="172" t="s">
        <v>96</v>
      </c>
      <c r="E874" s="172" t="s">
        <v>52</v>
      </c>
      <c r="F874" s="172" t="s">
        <v>90</v>
      </c>
      <c r="G874" s="172" t="s">
        <v>84</v>
      </c>
      <c r="H874" s="177">
        <v>1</v>
      </c>
      <c r="I874" s="178">
        <v>0</v>
      </c>
      <c r="J874" s="176">
        <v>46002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0</v>
      </c>
    </row>
    <row r="875" spans="1:16" ht="19.5" customHeight="1">
      <c r="A875" s="172" t="s">
        <v>568</v>
      </c>
      <c r="B875" s="176">
        <v>46039</v>
      </c>
      <c r="C875" s="172" t="s">
        <v>92</v>
      </c>
      <c r="D875" s="172" t="s">
        <v>97</v>
      </c>
      <c r="E875" s="172" t="s">
        <v>52</v>
      </c>
      <c r="F875" s="172" t="s">
        <v>90</v>
      </c>
      <c r="G875" s="172" t="s">
        <v>84</v>
      </c>
      <c r="H875" s="177">
        <v>1</v>
      </c>
      <c r="I875" s="178">
        <v>0</v>
      </c>
      <c r="J875" s="176">
        <v>46002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-56</v>
      </c>
    </row>
    <row r="876" spans="1:16" ht="19.5" customHeight="1">
      <c r="A876" s="172" t="s">
        <v>568</v>
      </c>
      <c r="B876" s="176">
        <v>46039</v>
      </c>
      <c r="C876" s="172" t="s">
        <v>81</v>
      </c>
      <c r="D876" s="172" t="s">
        <v>98</v>
      </c>
      <c r="E876" s="172" t="s">
        <v>52</v>
      </c>
      <c r="F876" s="172" t="s">
        <v>90</v>
      </c>
      <c r="G876" s="172" t="s">
        <v>84</v>
      </c>
      <c r="H876" s="177">
        <v>1</v>
      </c>
      <c r="I876" s="178">
        <v>0</v>
      </c>
      <c r="J876" s="176">
        <v>46002</v>
      </c>
      <c r="K876" s="172" t="s">
        <v>93</v>
      </c>
      <c r="L876" s="172" t="s">
        <v>94</v>
      </c>
      <c r="M876" s="179">
        <v>0</v>
      </c>
      <c r="N876" s="177"/>
      <c r="O876" s="177"/>
      <c r="P876" s="180">
        <v>-15</v>
      </c>
    </row>
    <row r="877" spans="1:16" ht="19.5" customHeight="1">
      <c r="A877" s="172" t="s">
        <v>568</v>
      </c>
      <c r="B877" s="176">
        <v>46039</v>
      </c>
      <c r="C877" s="172" t="s">
        <v>92</v>
      </c>
      <c r="D877" s="172" t="s">
        <v>24</v>
      </c>
      <c r="E877" s="172" t="s">
        <v>52</v>
      </c>
      <c r="F877" s="172" t="s">
        <v>90</v>
      </c>
      <c r="G877" s="172" t="s">
        <v>84</v>
      </c>
      <c r="H877" s="177">
        <v>1</v>
      </c>
      <c r="I877" s="178">
        <v>0</v>
      </c>
      <c r="J877" s="176">
        <v>46002</v>
      </c>
      <c r="K877" s="172" t="s">
        <v>93</v>
      </c>
      <c r="L877" s="172" t="s">
        <v>94</v>
      </c>
      <c r="M877" s="179">
        <v>0</v>
      </c>
      <c r="N877" s="177"/>
      <c r="O877" s="177">
        <v>44</v>
      </c>
      <c r="P877" s="180">
        <v>-56</v>
      </c>
    </row>
    <row r="878" spans="1:16" ht="19.5" customHeight="1">
      <c r="A878" s="172" t="s">
        <v>568</v>
      </c>
      <c r="B878" s="176">
        <v>46039</v>
      </c>
      <c r="C878" s="172" t="s">
        <v>81</v>
      </c>
      <c r="D878" s="172" t="s">
        <v>95</v>
      </c>
      <c r="E878" s="172" t="s">
        <v>52</v>
      </c>
      <c r="F878" s="172" t="s">
        <v>90</v>
      </c>
      <c r="G878" s="172" t="s">
        <v>84</v>
      </c>
      <c r="H878" s="177">
        <v>1</v>
      </c>
      <c r="I878" s="178">
        <v>0</v>
      </c>
      <c r="J878" s="176">
        <v>46002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-7.16</v>
      </c>
    </row>
    <row r="879" spans="1:16" ht="19.5" customHeight="1">
      <c r="A879" s="172" t="s">
        <v>569</v>
      </c>
      <c r="B879" s="176">
        <v>46039</v>
      </c>
      <c r="C879" s="172" t="s">
        <v>92</v>
      </c>
      <c r="D879" s="172" t="s">
        <v>272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46029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569</v>
      </c>
      <c r="B880" s="176">
        <v>46039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46029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-56.94</v>
      </c>
    </row>
    <row r="881" spans="1:16" ht="19.5" customHeight="1">
      <c r="A881" s="172" t="s">
        <v>569</v>
      </c>
      <c r="B881" s="176">
        <v>46039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46029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570</v>
      </c>
      <c r="B882" s="176">
        <v>46039</v>
      </c>
      <c r="C882" s="172" t="s">
        <v>92</v>
      </c>
      <c r="D882" s="172" t="s">
        <v>24</v>
      </c>
      <c r="E882" s="172" t="s">
        <v>42</v>
      </c>
      <c r="F882" s="172" t="s">
        <v>89</v>
      </c>
      <c r="G882" s="172" t="s">
        <v>84</v>
      </c>
      <c r="H882" s="177">
        <v>1</v>
      </c>
      <c r="I882" s="178">
        <v>0</v>
      </c>
      <c r="J882" s="176">
        <v>46032</v>
      </c>
      <c r="K882" s="172" t="s">
        <v>93</v>
      </c>
      <c r="L882" s="172" t="s">
        <v>94</v>
      </c>
      <c r="M882" s="179">
        <v>0</v>
      </c>
      <c r="N882" s="177"/>
      <c r="O882" s="177">
        <v>41</v>
      </c>
      <c r="P882" s="180">
        <v>-46.77</v>
      </c>
    </row>
    <row r="883" spans="1:16" ht="19.5" customHeight="1">
      <c r="A883" s="172" t="s">
        <v>570</v>
      </c>
      <c r="B883" s="176">
        <v>46039</v>
      </c>
      <c r="C883" s="172" t="s">
        <v>81</v>
      </c>
      <c r="D883" s="172" t="s">
        <v>95</v>
      </c>
      <c r="E883" s="172" t="s">
        <v>42</v>
      </c>
      <c r="F883" s="172" t="s">
        <v>89</v>
      </c>
      <c r="G883" s="172" t="s">
        <v>84</v>
      </c>
      <c r="H883" s="177">
        <v>1</v>
      </c>
      <c r="I883" s="178">
        <v>0</v>
      </c>
      <c r="J883" s="176">
        <v>46032</v>
      </c>
      <c r="K883" s="172" t="s">
        <v>93</v>
      </c>
      <c r="L883" s="172" t="s">
        <v>94</v>
      </c>
      <c r="M883" s="179">
        <v>0</v>
      </c>
      <c r="N883" s="177"/>
      <c r="O883" s="177"/>
      <c r="P883" s="180">
        <v>-10.33</v>
      </c>
    </row>
    <row r="884" spans="1:16" ht="19.5" customHeight="1">
      <c r="A884" s="172" t="s">
        <v>570</v>
      </c>
      <c r="B884" s="176">
        <v>46039</v>
      </c>
      <c r="C884" s="172" t="s">
        <v>92</v>
      </c>
      <c r="D884" s="172" t="s">
        <v>96</v>
      </c>
      <c r="E884" s="172" t="s">
        <v>42</v>
      </c>
      <c r="F884" s="172" t="s">
        <v>89</v>
      </c>
      <c r="G884" s="172" t="s">
        <v>84</v>
      </c>
      <c r="H884" s="177">
        <v>1</v>
      </c>
      <c r="I884" s="178">
        <v>0</v>
      </c>
      <c r="J884" s="176">
        <v>46032</v>
      </c>
      <c r="K884" s="172" t="s">
        <v>93</v>
      </c>
      <c r="L884" s="172" t="s">
        <v>94</v>
      </c>
      <c r="M884" s="179">
        <v>0</v>
      </c>
      <c r="N884" s="177"/>
      <c r="O884" s="177"/>
      <c r="P884" s="180">
        <v>0</v>
      </c>
    </row>
    <row r="885" spans="1:16" ht="19.5" customHeight="1">
      <c r="A885" s="172" t="s">
        <v>570</v>
      </c>
      <c r="B885" s="176">
        <v>46039</v>
      </c>
      <c r="C885" s="172" t="s">
        <v>92</v>
      </c>
      <c r="D885" s="172" t="s">
        <v>97</v>
      </c>
      <c r="E885" s="172" t="s">
        <v>42</v>
      </c>
      <c r="F885" s="172" t="s">
        <v>89</v>
      </c>
      <c r="G885" s="172" t="s">
        <v>84</v>
      </c>
      <c r="H885" s="177">
        <v>1</v>
      </c>
      <c r="I885" s="178">
        <v>0</v>
      </c>
      <c r="J885" s="176">
        <v>46032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-46.77</v>
      </c>
    </row>
    <row r="886" spans="1:16" ht="19.5" customHeight="1">
      <c r="A886" s="172" t="s">
        <v>570</v>
      </c>
      <c r="B886" s="176">
        <v>46039</v>
      </c>
      <c r="C886" s="172" t="s">
        <v>81</v>
      </c>
      <c r="D886" s="172" t="s">
        <v>98</v>
      </c>
      <c r="E886" s="172" t="s">
        <v>42</v>
      </c>
      <c r="F886" s="172" t="s">
        <v>89</v>
      </c>
      <c r="G886" s="172" t="s">
        <v>84</v>
      </c>
      <c r="H886" s="177">
        <v>1</v>
      </c>
      <c r="I886" s="178">
        <v>0</v>
      </c>
      <c r="J886" s="176">
        <v>46032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-15</v>
      </c>
    </row>
    <row r="887" spans="1:16" ht="19.5" customHeight="1">
      <c r="A887" s="172" t="s">
        <v>571</v>
      </c>
      <c r="B887" s="176">
        <v>46039</v>
      </c>
      <c r="C887" s="172" t="s">
        <v>81</v>
      </c>
      <c r="D887" s="172" t="s">
        <v>82</v>
      </c>
      <c r="E887" s="172" t="s">
        <v>52</v>
      </c>
      <c r="F887" s="172" t="s">
        <v>90</v>
      </c>
      <c r="G887" s="172" t="s">
        <v>84</v>
      </c>
      <c r="H887" s="177">
        <v>1</v>
      </c>
      <c r="I887" s="178">
        <v>0</v>
      </c>
      <c r="J887" s="176">
        <v>46039</v>
      </c>
      <c r="K887" s="172" t="s">
        <v>85</v>
      </c>
      <c r="L887" s="172" t="s">
        <v>85</v>
      </c>
      <c r="M887" s="179">
        <v>0</v>
      </c>
      <c r="N887" s="177"/>
      <c r="O887" s="177"/>
      <c r="P887" s="180">
        <v>-12.49</v>
      </c>
    </row>
    <row r="888" spans="1:16" ht="19.5" customHeight="1">
      <c r="A888" s="172" t="s">
        <v>572</v>
      </c>
      <c r="B888" s="176">
        <v>46039</v>
      </c>
      <c r="C888" s="172" t="s">
        <v>92</v>
      </c>
      <c r="D888" s="172" t="s">
        <v>24</v>
      </c>
      <c r="E888" s="172" t="s">
        <v>52</v>
      </c>
      <c r="F888" s="172" t="s">
        <v>90</v>
      </c>
      <c r="G888" s="172" t="s">
        <v>84</v>
      </c>
      <c r="H888" s="177">
        <v>1</v>
      </c>
      <c r="I888" s="178">
        <v>1621</v>
      </c>
      <c r="J888" s="176">
        <v>46034</v>
      </c>
      <c r="K888" s="172" t="s">
        <v>93</v>
      </c>
      <c r="L888" s="172" t="s">
        <v>94</v>
      </c>
      <c r="M888" s="179">
        <v>0.43</v>
      </c>
      <c r="N888" s="177"/>
      <c r="O888" s="177">
        <v>42</v>
      </c>
      <c r="P888" s="180">
        <v>-134.12</v>
      </c>
    </row>
    <row r="889" spans="1:16" ht="19.5" customHeight="1">
      <c r="A889" s="172" t="s">
        <v>572</v>
      </c>
      <c r="B889" s="176">
        <v>46039</v>
      </c>
      <c r="C889" s="172" t="s">
        <v>100</v>
      </c>
      <c r="D889" s="172" t="s">
        <v>101</v>
      </c>
      <c r="E889" s="172" t="s">
        <v>52</v>
      </c>
      <c r="F889" s="172" t="s">
        <v>90</v>
      </c>
      <c r="G889" s="172" t="s">
        <v>84</v>
      </c>
      <c r="H889" s="177">
        <v>1</v>
      </c>
      <c r="I889" s="178">
        <v>1621</v>
      </c>
      <c r="J889" s="176">
        <v>46034</v>
      </c>
      <c r="K889" s="172" t="s">
        <v>93</v>
      </c>
      <c r="L889" s="172" t="s">
        <v>94</v>
      </c>
      <c r="M889" s="179">
        <v>0</v>
      </c>
      <c r="N889" s="177"/>
      <c r="O889" s="177"/>
      <c r="P889" s="180">
        <v>556.08000000000004</v>
      </c>
    </row>
    <row r="890" spans="1:16" ht="19.5" customHeight="1">
      <c r="A890" s="172" t="s">
        <v>572</v>
      </c>
      <c r="B890" s="176">
        <v>46039</v>
      </c>
      <c r="C890" s="172" t="s">
        <v>100</v>
      </c>
      <c r="D890" s="172" t="s">
        <v>102</v>
      </c>
      <c r="E890" s="172" t="s">
        <v>52</v>
      </c>
      <c r="F890" s="172" t="s">
        <v>90</v>
      </c>
      <c r="G890" s="172" t="s">
        <v>84</v>
      </c>
      <c r="H890" s="177">
        <v>1</v>
      </c>
      <c r="I890" s="178">
        <v>1621</v>
      </c>
      <c r="J890" s="176">
        <v>46034</v>
      </c>
      <c r="K890" s="172" t="s">
        <v>93</v>
      </c>
      <c r="L890" s="172" t="s">
        <v>94</v>
      </c>
      <c r="M890" s="179">
        <v>0</v>
      </c>
      <c r="N890" s="177"/>
      <c r="O890" s="177"/>
      <c r="P890" s="180">
        <v>5.56</v>
      </c>
    </row>
    <row r="891" spans="1:16" ht="19.5" customHeight="1">
      <c r="A891" s="172" t="s">
        <v>572</v>
      </c>
      <c r="B891" s="176">
        <v>46039</v>
      </c>
      <c r="C891" s="172" t="s">
        <v>100</v>
      </c>
      <c r="D891" s="172" t="s">
        <v>103</v>
      </c>
      <c r="E891" s="172" t="s">
        <v>52</v>
      </c>
      <c r="F891" s="172" t="s">
        <v>90</v>
      </c>
      <c r="G891" s="172" t="s">
        <v>84</v>
      </c>
      <c r="H891" s="177">
        <v>1</v>
      </c>
      <c r="I891" s="178">
        <v>1621</v>
      </c>
      <c r="J891" s="176">
        <v>46034</v>
      </c>
      <c r="K891" s="172" t="s">
        <v>93</v>
      </c>
      <c r="L891" s="172" t="s">
        <v>94</v>
      </c>
      <c r="M891" s="179">
        <v>0</v>
      </c>
      <c r="N891" s="177"/>
      <c r="O891" s="177"/>
      <c r="P891" s="180">
        <v>1059.3599999999999</v>
      </c>
    </row>
    <row r="892" spans="1:16" ht="19.5" customHeight="1">
      <c r="A892" s="172" t="s">
        <v>572</v>
      </c>
      <c r="B892" s="176">
        <v>46039</v>
      </c>
      <c r="C892" s="172" t="s">
        <v>104</v>
      </c>
      <c r="D892" s="172" t="s">
        <v>105</v>
      </c>
      <c r="E892" s="172" t="s">
        <v>52</v>
      </c>
      <c r="F892" s="172" t="s">
        <v>90</v>
      </c>
      <c r="G892" s="172" t="s">
        <v>84</v>
      </c>
      <c r="H892" s="177">
        <v>1</v>
      </c>
      <c r="I892" s="178">
        <v>1621</v>
      </c>
      <c r="J892" s="176">
        <v>46034</v>
      </c>
      <c r="K892" s="172" t="s">
        <v>93</v>
      </c>
      <c r="L892" s="172" t="s">
        <v>94</v>
      </c>
      <c r="M892" s="179">
        <v>0.43</v>
      </c>
      <c r="N892" s="177"/>
      <c r="O892" s="177"/>
      <c r="P892" s="180">
        <v>-697.03</v>
      </c>
    </row>
    <row r="893" spans="1:16" ht="19.5" customHeight="1">
      <c r="A893" s="172" t="s">
        <v>572</v>
      </c>
      <c r="B893" s="176">
        <v>46039</v>
      </c>
      <c r="C893" s="172" t="s">
        <v>81</v>
      </c>
      <c r="D893" s="172" t="s">
        <v>95</v>
      </c>
      <c r="E893" s="172" t="s">
        <v>52</v>
      </c>
      <c r="F893" s="172" t="s">
        <v>90</v>
      </c>
      <c r="G893" s="172" t="s">
        <v>84</v>
      </c>
      <c r="H893" s="177">
        <v>1</v>
      </c>
      <c r="I893" s="178">
        <v>1621</v>
      </c>
      <c r="J893" s="176">
        <v>46034</v>
      </c>
      <c r="K893" s="172" t="s">
        <v>93</v>
      </c>
      <c r="L893" s="172" t="s">
        <v>94</v>
      </c>
      <c r="M893" s="179">
        <v>0.43</v>
      </c>
      <c r="N893" s="177"/>
      <c r="O893" s="177"/>
      <c r="P893" s="180">
        <v>-14.28</v>
      </c>
    </row>
    <row r="894" spans="1:16" ht="19.5" customHeight="1">
      <c r="A894" s="172" t="s">
        <v>573</v>
      </c>
      <c r="B894" s="176">
        <v>46039</v>
      </c>
      <c r="C894" s="172" t="s">
        <v>92</v>
      </c>
      <c r="D894" s="172" t="s">
        <v>24</v>
      </c>
      <c r="E894" s="172" t="s">
        <v>53</v>
      </c>
      <c r="F894" s="172" t="s">
        <v>120</v>
      </c>
      <c r="G894" s="172" t="s">
        <v>84</v>
      </c>
      <c r="H894" s="177">
        <v>1</v>
      </c>
      <c r="I894" s="178">
        <v>1845</v>
      </c>
      <c r="J894" s="176">
        <v>46031</v>
      </c>
      <c r="K894" s="172" t="s">
        <v>93</v>
      </c>
      <c r="L894" s="172" t="s">
        <v>94</v>
      </c>
      <c r="M894" s="179">
        <v>0.43</v>
      </c>
      <c r="N894" s="177"/>
      <c r="O894" s="177">
        <v>42</v>
      </c>
      <c r="P894" s="180">
        <v>-141.97999999999999</v>
      </c>
    </row>
    <row r="895" spans="1:16" ht="19.5" customHeight="1">
      <c r="A895" s="172" t="s">
        <v>573</v>
      </c>
      <c r="B895" s="176">
        <v>46039</v>
      </c>
      <c r="C895" s="172" t="s">
        <v>100</v>
      </c>
      <c r="D895" s="172" t="s">
        <v>101</v>
      </c>
      <c r="E895" s="172" t="s">
        <v>53</v>
      </c>
      <c r="F895" s="172" t="s">
        <v>120</v>
      </c>
      <c r="G895" s="172" t="s">
        <v>84</v>
      </c>
      <c r="H895" s="177">
        <v>1</v>
      </c>
      <c r="I895" s="178">
        <v>1845</v>
      </c>
      <c r="J895" s="176">
        <v>46031</v>
      </c>
      <c r="K895" s="172" t="s">
        <v>93</v>
      </c>
      <c r="L895" s="172" t="s">
        <v>94</v>
      </c>
      <c r="M895" s="179">
        <v>0</v>
      </c>
      <c r="N895" s="177"/>
      <c r="O895" s="177"/>
      <c r="P895" s="180">
        <v>715.24</v>
      </c>
    </row>
    <row r="896" spans="1:16" ht="19.5" customHeight="1">
      <c r="A896" s="172" t="s">
        <v>573</v>
      </c>
      <c r="B896" s="176">
        <v>46039</v>
      </c>
      <c r="C896" s="172" t="s">
        <v>100</v>
      </c>
      <c r="D896" s="172" t="s">
        <v>102</v>
      </c>
      <c r="E896" s="172" t="s">
        <v>53</v>
      </c>
      <c r="F896" s="172" t="s">
        <v>120</v>
      </c>
      <c r="G896" s="172" t="s">
        <v>84</v>
      </c>
      <c r="H896" s="177">
        <v>1</v>
      </c>
      <c r="I896" s="178">
        <v>1845</v>
      </c>
      <c r="J896" s="176">
        <v>46031</v>
      </c>
      <c r="K896" s="172" t="s">
        <v>93</v>
      </c>
      <c r="L896" s="172" t="s">
        <v>94</v>
      </c>
      <c r="M896" s="179">
        <v>0</v>
      </c>
      <c r="N896" s="177"/>
      <c r="O896" s="177"/>
      <c r="P896" s="180">
        <v>0</v>
      </c>
    </row>
    <row r="897" spans="1:16" ht="19.5" customHeight="1">
      <c r="A897" s="172" t="s">
        <v>573</v>
      </c>
      <c r="B897" s="176">
        <v>46039</v>
      </c>
      <c r="C897" s="172" t="s">
        <v>100</v>
      </c>
      <c r="D897" s="172" t="s">
        <v>103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46031</v>
      </c>
      <c r="K897" s="172" t="s">
        <v>93</v>
      </c>
      <c r="L897" s="172" t="s">
        <v>94</v>
      </c>
      <c r="M897" s="179">
        <v>0</v>
      </c>
      <c r="N897" s="177"/>
      <c r="O897" s="177"/>
      <c r="P897" s="180">
        <v>1129.76</v>
      </c>
    </row>
    <row r="898" spans="1:16" ht="19.5" customHeight="1">
      <c r="A898" s="172" t="s">
        <v>573</v>
      </c>
      <c r="B898" s="176">
        <v>46039</v>
      </c>
      <c r="C898" s="172" t="s">
        <v>104</v>
      </c>
      <c r="D898" s="172" t="s">
        <v>105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46031</v>
      </c>
      <c r="K898" s="172" t="s">
        <v>93</v>
      </c>
      <c r="L898" s="172" t="s">
        <v>94</v>
      </c>
      <c r="M898" s="179">
        <v>0.43</v>
      </c>
      <c r="N898" s="177"/>
      <c r="O898" s="177"/>
      <c r="P898" s="180">
        <v>-793.35</v>
      </c>
    </row>
    <row r="899" spans="1:16" ht="19.5" customHeight="1">
      <c r="A899" s="172" t="s">
        <v>574</v>
      </c>
      <c r="B899" s="176">
        <v>46039</v>
      </c>
      <c r="C899" s="172" t="s">
        <v>92</v>
      </c>
      <c r="D899" s="172" t="s">
        <v>24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0</v>
      </c>
      <c r="J899" s="176">
        <v>46033</v>
      </c>
      <c r="K899" s="172" t="s">
        <v>93</v>
      </c>
      <c r="L899" s="172" t="s">
        <v>94</v>
      </c>
      <c r="M899" s="179">
        <v>0</v>
      </c>
      <c r="N899" s="177"/>
      <c r="O899" s="177">
        <v>42</v>
      </c>
      <c r="P899" s="180">
        <v>-56.94</v>
      </c>
    </row>
    <row r="900" spans="1:16" ht="19.5" customHeight="1">
      <c r="A900" s="172" t="s">
        <v>574</v>
      </c>
      <c r="B900" s="176">
        <v>46039</v>
      </c>
      <c r="C900" s="172" t="s">
        <v>81</v>
      </c>
      <c r="D900" s="172" t="s">
        <v>95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0</v>
      </c>
      <c r="J900" s="176">
        <v>46033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-24.32</v>
      </c>
    </row>
    <row r="901" spans="1:16" ht="19.5" customHeight="1">
      <c r="A901" s="172" t="s">
        <v>575</v>
      </c>
      <c r="B901" s="176">
        <v>46039</v>
      </c>
      <c r="C901" s="172" t="s">
        <v>92</v>
      </c>
      <c r="D901" s="172" t="s">
        <v>24</v>
      </c>
      <c r="E901" s="172" t="s">
        <v>52</v>
      </c>
      <c r="F901" s="172" t="s">
        <v>90</v>
      </c>
      <c r="G901" s="172" t="s">
        <v>84</v>
      </c>
      <c r="H901" s="177">
        <v>1</v>
      </c>
      <c r="I901" s="178">
        <v>2027</v>
      </c>
      <c r="J901" s="176">
        <v>46036</v>
      </c>
      <c r="K901" s="172" t="s">
        <v>93</v>
      </c>
      <c r="L901" s="172" t="s">
        <v>94</v>
      </c>
      <c r="M901" s="179">
        <v>0.43</v>
      </c>
      <c r="N901" s="177"/>
      <c r="O901" s="177">
        <v>45</v>
      </c>
      <c r="P901" s="180">
        <v>-159.85</v>
      </c>
    </row>
    <row r="902" spans="1:16" ht="19.5" customHeight="1">
      <c r="A902" s="172" t="s">
        <v>575</v>
      </c>
      <c r="B902" s="176">
        <v>46039</v>
      </c>
      <c r="C902" s="172" t="s">
        <v>100</v>
      </c>
      <c r="D902" s="172" t="s">
        <v>101</v>
      </c>
      <c r="E902" s="172" t="s">
        <v>52</v>
      </c>
      <c r="F902" s="172" t="s">
        <v>90</v>
      </c>
      <c r="G902" s="172" t="s">
        <v>84</v>
      </c>
      <c r="H902" s="177">
        <v>1</v>
      </c>
      <c r="I902" s="178">
        <v>2027</v>
      </c>
      <c r="J902" s="176">
        <v>46036</v>
      </c>
      <c r="K902" s="172" t="s">
        <v>93</v>
      </c>
      <c r="L902" s="172" t="s">
        <v>94</v>
      </c>
      <c r="M902" s="179">
        <v>0</v>
      </c>
      <c r="N902" s="177"/>
      <c r="O902" s="177"/>
      <c r="P902" s="180">
        <v>706.67</v>
      </c>
    </row>
    <row r="903" spans="1:16" ht="19.5" customHeight="1">
      <c r="A903" s="172" t="s">
        <v>575</v>
      </c>
      <c r="B903" s="176">
        <v>46039</v>
      </c>
      <c r="C903" s="172" t="s">
        <v>100</v>
      </c>
      <c r="D903" s="172" t="s">
        <v>102</v>
      </c>
      <c r="E903" s="172" t="s">
        <v>52</v>
      </c>
      <c r="F903" s="172" t="s">
        <v>90</v>
      </c>
      <c r="G903" s="172" t="s">
        <v>84</v>
      </c>
      <c r="H903" s="177">
        <v>1</v>
      </c>
      <c r="I903" s="178">
        <v>2027</v>
      </c>
      <c r="J903" s="176">
        <v>46036</v>
      </c>
      <c r="K903" s="172" t="s">
        <v>93</v>
      </c>
      <c r="L903" s="172" t="s">
        <v>94</v>
      </c>
      <c r="M903" s="179">
        <v>0</v>
      </c>
      <c r="N903" s="177"/>
      <c r="O903" s="177"/>
      <c r="P903" s="180">
        <v>7.07</v>
      </c>
    </row>
    <row r="904" spans="1:16" ht="19.5" customHeight="1">
      <c r="A904" s="172" t="s">
        <v>575</v>
      </c>
      <c r="B904" s="176">
        <v>46039</v>
      </c>
      <c r="C904" s="172" t="s">
        <v>100</v>
      </c>
      <c r="D904" s="172" t="s">
        <v>103</v>
      </c>
      <c r="E904" s="172" t="s">
        <v>52</v>
      </c>
      <c r="F904" s="172" t="s">
        <v>90</v>
      </c>
      <c r="G904" s="172" t="s">
        <v>84</v>
      </c>
      <c r="H904" s="177">
        <v>1</v>
      </c>
      <c r="I904" s="178">
        <v>2027</v>
      </c>
      <c r="J904" s="176">
        <v>46036</v>
      </c>
      <c r="K904" s="172" t="s">
        <v>93</v>
      </c>
      <c r="L904" s="172" t="s">
        <v>94</v>
      </c>
      <c r="M904" s="179">
        <v>0</v>
      </c>
      <c r="N904" s="177"/>
      <c r="O904" s="177"/>
      <c r="P904" s="180">
        <v>1313.26</v>
      </c>
    </row>
    <row r="905" spans="1:16" ht="19.5" customHeight="1">
      <c r="A905" s="172" t="s">
        <v>575</v>
      </c>
      <c r="B905" s="176">
        <v>46039</v>
      </c>
      <c r="C905" s="172" t="s">
        <v>104</v>
      </c>
      <c r="D905" s="172" t="s">
        <v>105</v>
      </c>
      <c r="E905" s="172" t="s">
        <v>52</v>
      </c>
      <c r="F905" s="172" t="s">
        <v>90</v>
      </c>
      <c r="G905" s="172" t="s">
        <v>84</v>
      </c>
      <c r="H905" s="177">
        <v>1</v>
      </c>
      <c r="I905" s="178">
        <v>2027</v>
      </c>
      <c r="J905" s="176">
        <v>46036</v>
      </c>
      <c r="K905" s="172" t="s">
        <v>93</v>
      </c>
      <c r="L905" s="172" t="s">
        <v>94</v>
      </c>
      <c r="M905" s="179">
        <v>0.43</v>
      </c>
      <c r="N905" s="177"/>
      <c r="O905" s="177"/>
      <c r="P905" s="180">
        <v>-871.61</v>
      </c>
    </row>
    <row r="906" spans="1:16" ht="19.5" customHeight="1">
      <c r="A906" s="172" t="s">
        <v>574</v>
      </c>
      <c r="B906" s="176">
        <v>46039</v>
      </c>
      <c r="C906" s="172" t="s">
        <v>92</v>
      </c>
      <c r="D906" s="172" t="s">
        <v>96</v>
      </c>
      <c r="E906" s="172" t="s">
        <v>53</v>
      </c>
      <c r="F906" s="172" t="s">
        <v>120</v>
      </c>
      <c r="G906" s="172" t="s">
        <v>84</v>
      </c>
      <c r="H906" s="177">
        <v>1</v>
      </c>
      <c r="I906" s="178">
        <v>0</v>
      </c>
      <c r="J906" s="176">
        <v>46033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0</v>
      </c>
    </row>
    <row r="907" spans="1:16" ht="19.5" customHeight="1">
      <c r="A907" s="172" t="s">
        <v>574</v>
      </c>
      <c r="B907" s="176">
        <v>46039</v>
      </c>
      <c r="C907" s="172" t="s">
        <v>92</v>
      </c>
      <c r="D907" s="172" t="s">
        <v>97</v>
      </c>
      <c r="E907" s="172" t="s">
        <v>53</v>
      </c>
      <c r="F907" s="172" t="s">
        <v>120</v>
      </c>
      <c r="G907" s="172" t="s">
        <v>84</v>
      </c>
      <c r="H907" s="177">
        <v>1</v>
      </c>
      <c r="I907" s="178">
        <v>0</v>
      </c>
      <c r="J907" s="176">
        <v>46033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-56.94</v>
      </c>
    </row>
    <row r="908" spans="1:16" ht="19.5" customHeight="1">
      <c r="A908" s="172" t="s">
        <v>574</v>
      </c>
      <c r="B908" s="176">
        <v>46039</v>
      </c>
      <c r="C908" s="172" t="s">
        <v>81</v>
      </c>
      <c r="D908" s="172" t="s">
        <v>98</v>
      </c>
      <c r="E908" s="172" t="s">
        <v>53</v>
      </c>
      <c r="F908" s="172" t="s">
        <v>120</v>
      </c>
      <c r="G908" s="172" t="s">
        <v>84</v>
      </c>
      <c r="H908" s="177">
        <v>1</v>
      </c>
      <c r="I908" s="178">
        <v>0</v>
      </c>
      <c r="J908" s="176">
        <v>46033</v>
      </c>
      <c r="K908" s="172" t="s">
        <v>93</v>
      </c>
      <c r="L908" s="172" t="s">
        <v>94</v>
      </c>
      <c r="M908" s="179">
        <v>0</v>
      </c>
      <c r="N908" s="177"/>
      <c r="O908" s="177"/>
      <c r="P908" s="180">
        <v>-15</v>
      </c>
    </row>
    <row r="909" spans="1:16" ht="19.5" customHeight="1">
      <c r="A909" s="172" t="s">
        <v>576</v>
      </c>
      <c r="B909" s="176">
        <v>46039</v>
      </c>
      <c r="C909" s="172" t="s">
        <v>92</v>
      </c>
      <c r="D909" s="172" t="s">
        <v>24</v>
      </c>
      <c r="E909" s="172" t="s">
        <v>43</v>
      </c>
      <c r="F909" s="172" t="s">
        <v>125</v>
      </c>
      <c r="G909" s="172" t="s">
        <v>84</v>
      </c>
      <c r="H909" s="177">
        <v>1</v>
      </c>
      <c r="I909" s="178">
        <v>1750</v>
      </c>
      <c r="J909" s="176">
        <v>46037</v>
      </c>
      <c r="K909" s="172" t="s">
        <v>93</v>
      </c>
      <c r="L909" s="172" t="s">
        <v>94</v>
      </c>
      <c r="M909" s="179">
        <v>0.43</v>
      </c>
      <c r="N909" s="177"/>
      <c r="O909" s="177">
        <v>45</v>
      </c>
      <c r="P909" s="180">
        <v>-135.38999999999999</v>
      </c>
    </row>
    <row r="910" spans="1:16" ht="19.5" customHeight="1">
      <c r="A910" s="172" t="s">
        <v>576</v>
      </c>
      <c r="B910" s="176">
        <v>46039</v>
      </c>
      <c r="C910" s="172" t="s">
        <v>100</v>
      </c>
      <c r="D910" s="172" t="s">
        <v>101</v>
      </c>
      <c r="E910" s="172" t="s">
        <v>43</v>
      </c>
      <c r="F910" s="172" t="s">
        <v>125</v>
      </c>
      <c r="G910" s="172" t="s">
        <v>84</v>
      </c>
      <c r="H910" s="177">
        <v>1</v>
      </c>
      <c r="I910" s="178">
        <v>1750</v>
      </c>
      <c r="J910" s="176">
        <v>46037</v>
      </c>
      <c r="K910" s="172" t="s">
        <v>93</v>
      </c>
      <c r="L910" s="172" t="s">
        <v>94</v>
      </c>
      <c r="M910" s="179">
        <v>0</v>
      </c>
      <c r="N910" s="177"/>
      <c r="O910" s="177"/>
      <c r="P910" s="180">
        <v>650.19000000000005</v>
      </c>
    </row>
    <row r="911" spans="1:16" ht="19.5" customHeight="1">
      <c r="A911" s="172" t="s">
        <v>576</v>
      </c>
      <c r="B911" s="176">
        <v>46039</v>
      </c>
      <c r="C911" s="172" t="s">
        <v>100</v>
      </c>
      <c r="D911" s="172" t="s">
        <v>102</v>
      </c>
      <c r="E911" s="172" t="s">
        <v>43</v>
      </c>
      <c r="F911" s="172" t="s">
        <v>125</v>
      </c>
      <c r="G911" s="172" t="s">
        <v>84</v>
      </c>
      <c r="H911" s="177">
        <v>1</v>
      </c>
      <c r="I911" s="178">
        <v>1750</v>
      </c>
      <c r="J911" s="176">
        <v>46037</v>
      </c>
      <c r="K911" s="172" t="s">
        <v>93</v>
      </c>
      <c r="L911" s="172" t="s">
        <v>94</v>
      </c>
      <c r="M911" s="179">
        <v>0</v>
      </c>
      <c r="N911" s="177"/>
      <c r="O911" s="177"/>
      <c r="P911" s="180">
        <v>6.5</v>
      </c>
    </row>
    <row r="912" spans="1:16" ht="19.5" customHeight="1">
      <c r="A912" s="172" t="s">
        <v>576</v>
      </c>
      <c r="B912" s="176">
        <v>46039</v>
      </c>
      <c r="C912" s="172" t="s">
        <v>100</v>
      </c>
      <c r="D912" s="172" t="s">
        <v>103</v>
      </c>
      <c r="E912" s="172" t="s">
        <v>43</v>
      </c>
      <c r="F912" s="172" t="s">
        <v>125</v>
      </c>
      <c r="G912" s="172" t="s">
        <v>84</v>
      </c>
      <c r="H912" s="177">
        <v>1</v>
      </c>
      <c r="I912" s="178">
        <v>1750</v>
      </c>
      <c r="J912" s="176">
        <v>46037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1093.31</v>
      </c>
    </row>
    <row r="913" spans="1:16" ht="19.5" customHeight="1">
      <c r="A913" s="172" t="s">
        <v>576</v>
      </c>
      <c r="B913" s="176">
        <v>46039</v>
      </c>
      <c r="C913" s="172" t="s">
        <v>104</v>
      </c>
      <c r="D913" s="172" t="s">
        <v>105</v>
      </c>
      <c r="E913" s="172" t="s">
        <v>43</v>
      </c>
      <c r="F913" s="172" t="s">
        <v>125</v>
      </c>
      <c r="G913" s="172" t="s">
        <v>84</v>
      </c>
      <c r="H913" s="177">
        <v>1</v>
      </c>
      <c r="I913" s="178">
        <v>1750</v>
      </c>
      <c r="J913" s="176">
        <v>46037</v>
      </c>
      <c r="K913" s="172" t="s">
        <v>93</v>
      </c>
      <c r="L913" s="172" t="s">
        <v>94</v>
      </c>
      <c r="M913" s="179">
        <v>0.43</v>
      </c>
      <c r="N913" s="177"/>
      <c r="O913" s="177"/>
      <c r="P913" s="180">
        <v>-752.5</v>
      </c>
    </row>
    <row r="914" spans="1:16" ht="19.5" customHeight="1">
      <c r="A914" s="172" t="s">
        <v>576</v>
      </c>
      <c r="B914" s="176">
        <v>46039</v>
      </c>
      <c r="C914" s="172" t="s">
        <v>81</v>
      </c>
      <c r="D914" s="172" t="s">
        <v>95</v>
      </c>
      <c r="E914" s="172" t="s">
        <v>43</v>
      </c>
      <c r="F914" s="172" t="s">
        <v>125</v>
      </c>
      <c r="G914" s="172" t="s">
        <v>84</v>
      </c>
      <c r="H914" s="177">
        <v>1</v>
      </c>
      <c r="I914" s="178">
        <v>1750</v>
      </c>
      <c r="J914" s="176">
        <v>46037</v>
      </c>
      <c r="K914" s="172" t="s">
        <v>93</v>
      </c>
      <c r="L914" s="172" t="s">
        <v>94</v>
      </c>
      <c r="M914" s="179">
        <v>0.43</v>
      </c>
      <c r="N914" s="177"/>
      <c r="O914" s="177"/>
      <c r="P914" s="180">
        <v>-25</v>
      </c>
    </row>
    <row r="915" spans="1:16" ht="19.5" customHeight="1">
      <c r="A915" s="172" t="s">
        <v>577</v>
      </c>
      <c r="B915" s="176">
        <v>46039</v>
      </c>
      <c r="C915" s="172" t="s">
        <v>92</v>
      </c>
      <c r="D915" s="172" t="s">
        <v>24</v>
      </c>
      <c r="E915" s="172" t="s">
        <v>43</v>
      </c>
      <c r="F915" s="172" t="s">
        <v>125</v>
      </c>
      <c r="G915" s="172" t="s">
        <v>84</v>
      </c>
      <c r="H915" s="177">
        <v>1</v>
      </c>
      <c r="I915" s="178">
        <v>1750</v>
      </c>
      <c r="J915" s="176">
        <v>46034</v>
      </c>
      <c r="K915" s="172" t="s">
        <v>93</v>
      </c>
      <c r="L915" s="172" t="s">
        <v>94</v>
      </c>
      <c r="M915" s="179">
        <v>0.43</v>
      </c>
      <c r="N915" s="177"/>
      <c r="O915" s="177">
        <v>42</v>
      </c>
      <c r="P915" s="180">
        <v>-123.31</v>
      </c>
    </row>
    <row r="916" spans="1:16" ht="19.5" customHeight="1">
      <c r="A916" s="172" t="s">
        <v>577</v>
      </c>
      <c r="B916" s="176">
        <v>46039</v>
      </c>
      <c r="C916" s="172" t="s">
        <v>100</v>
      </c>
      <c r="D916" s="172" t="s">
        <v>101</v>
      </c>
      <c r="E916" s="172" t="s">
        <v>43</v>
      </c>
      <c r="F916" s="172" t="s">
        <v>125</v>
      </c>
      <c r="G916" s="172" t="s">
        <v>84</v>
      </c>
      <c r="H916" s="177">
        <v>1</v>
      </c>
      <c r="I916" s="178">
        <v>1750</v>
      </c>
      <c r="J916" s="176">
        <v>46034</v>
      </c>
      <c r="K916" s="172" t="s">
        <v>93</v>
      </c>
      <c r="L916" s="172" t="s">
        <v>94</v>
      </c>
      <c r="M916" s="179">
        <v>0</v>
      </c>
      <c r="N916" s="177"/>
      <c r="O916" s="177"/>
      <c r="P916" s="180">
        <v>666.67</v>
      </c>
    </row>
    <row r="917" spans="1:16" ht="19.5" customHeight="1">
      <c r="A917" s="172" t="s">
        <v>577</v>
      </c>
      <c r="B917" s="176">
        <v>46039</v>
      </c>
      <c r="C917" s="172" t="s">
        <v>100</v>
      </c>
      <c r="D917" s="172" t="s">
        <v>102</v>
      </c>
      <c r="E917" s="172" t="s">
        <v>43</v>
      </c>
      <c r="F917" s="172" t="s">
        <v>125</v>
      </c>
      <c r="G917" s="172" t="s">
        <v>84</v>
      </c>
      <c r="H917" s="177">
        <v>1</v>
      </c>
      <c r="I917" s="178">
        <v>1750</v>
      </c>
      <c r="J917" s="176">
        <v>46034</v>
      </c>
      <c r="K917" s="172" t="s">
        <v>93</v>
      </c>
      <c r="L917" s="172" t="s">
        <v>94</v>
      </c>
      <c r="M917" s="179">
        <v>0</v>
      </c>
      <c r="N917" s="177"/>
      <c r="O917" s="177"/>
      <c r="P917" s="180">
        <v>0</v>
      </c>
    </row>
    <row r="918" spans="1:16" ht="19.5" customHeight="1">
      <c r="A918" s="172" t="s">
        <v>577</v>
      </c>
      <c r="B918" s="176">
        <v>46039</v>
      </c>
      <c r="C918" s="172" t="s">
        <v>100</v>
      </c>
      <c r="D918" s="172" t="s">
        <v>103</v>
      </c>
      <c r="E918" s="172" t="s">
        <v>43</v>
      </c>
      <c r="F918" s="172" t="s">
        <v>125</v>
      </c>
      <c r="G918" s="172" t="s">
        <v>84</v>
      </c>
      <c r="H918" s="177">
        <v>1</v>
      </c>
      <c r="I918" s="178">
        <v>1750</v>
      </c>
      <c r="J918" s="176">
        <v>46034</v>
      </c>
      <c r="K918" s="172" t="s">
        <v>93</v>
      </c>
      <c r="L918" s="172" t="s">
        <v>94</v>
      </c>
      <c r="M918" s="179">
        <v>0</v>
      </c>
      <c r="N918" s="177"/>
      <c r="O918" s="177"/>
      <c r="P918" s="180">
        <v>1083.33</v>
      </c>
    </row>
    <row r="919" spans="1:16" ht="19.5" customHeight="1">
      <c r="A919" s="172" t="s">
        <v>577</v>
      </c>
      <c r="B919" s="176">
        <v>46039</v>
      </c>
      <c r="C919" s="172" t="s">
        <v>104</v>
      </c>
      <c r="D919" s="172" t="s">
        <v>105</v>
      </c>
      <c r="E919" s="172" t="s">
        <v>43</v>
      </c>
      <c r="F919" s="172" t="s">
        <v>125</v>
      </c>
      <c r="G919" s="172" t="s">
        <v>84</v>
      </c>
      <c r="H919" s="177">
        <v>1</v>
      </c>
      <c r="I919" s="178">
        <v>1750</v>
      </c>
      <c r="J919" s="176">
        <v>46034</v>
      </c>
      <c r="K919" s="172" t="s">
        <v>93</v>
      </c>
      <c r="L919" s="172" t="s">
        <v>94</v>
      </c>
      <c r="M919" s="179">
        <v>0.43</v>
      </c>
      <c r="N919" s="177"/>
      <c r="O919" s="177"/>
      <c r="P919" s="180">
        <v>-752.5</v>
      </c>
    </row>
    <row r="920" spans="1:16" ht="19.5" customHeight="1">
      <c r="A920" s="172" t="s">
        <v>577</v>
      </c>
      <c r="B920" s="176">
        <v>46039</v>
      </c>
      <c r="C920" s="172" t="s">
        <v>81</v>
      </c>
      <c r="D920" s="172" t="s">
        <v>95</v>
      </c>
      <c r="E920" s="172" t="s">
        <v>43</v>
      </c>
      <c r="F920" s="172" t="s">
        <v>125</v>
      </c>
      <c r="G920" s="172" t="s">
        <v>84</v>
      </c>
      <c r="H920" s="177">
        <v>1</v>
      </c>
      <c r="I920" s="178">
        <v>1750</v>
      </c>
      <c r="J920" s="176">
        <v>46034</v>
      </c>
      <c r="K920" s="172" t="s">
        <v>93</v>
      </c>
      <c r="L920" s="172" t="s">
        <v>94</v>
      </c>
      <c r="M920" s="179">
        <v>0.43</v>
      </c>
      <c r="N920" s="177"/>
      <c r="O920" s="177"/>
      <c r="P920" s="180">
        <v>-20.57</v>
      </c>
    </row>
    <row r="921" spans="1:16" ht="19.5" customHeight="1">
      <c r="A921" s="172" t="s">
        <v>578</v>
      </c>
      <c r="B921" s="176">
        <v>46039</v>
      </c>
      <c r="C921" s="172" t="s">
        <v>92</v>
      </c>
      <c r="D921" s="172" t="s">
        <v>24</v>
      </c>
      <c r="E921" s="172" t="s">
        <v>52</v>
      </c>
      <c r="F921" s="172" t="s">
        <v>90</v>
      </c>
      <c r="G921" s="172" t="s">
        <v>84</v>
      </c>
      <c r="H921" s="177">
        <v>1</v>
      </c>
      <c r="I921" s="178">
        <v>1621</v>
      </c>
      <c r="J921" s="176">
        <v>46031</v>
      </c>
      <c r="K921" s="172" t="s">
        <v>93</v>
      </c>
      <c r="L921" s="172" t="s">
        <v>94</v>
      </c>
      <c r="M921" s="179">
        <v>0.43</v>
      </c>
      <c r="N921" s="177"/>
      <c r="O921" s="177">
        <v>42</v>
      </c>
      <c r="P921" s="180">
        <v>-134.12</v>
      </c>
    </row>
    <row r="922" spans="1:16" ht="19.5" customHeight="1">
      <c r="A922" s="172" t="s">
        <v>578</v>
      </c>
      <c r="B922" s="176">
        <v>46039</v>
      </c>
      <c r="C922" s="172" t="s">
        <v>100</v>
      </c>
      <c r="D922" s="172" t="s">
        <v>101</v>
      </c>
      <c r="E922" s="172" t="s">
        <v>52</v>
      </c>
      <c r="F922" s="172" t="s">
        <v>90</v>
      </c>
      <c r="G922" s="172" t="s">
        <v>84</v>
      </c>
      <c r="H922" s="177">
        <v>1</v>
      </c>
      <c r="I922" s="178">
        <v>1621</v>
      </c>
      <c r="J922" s="176">
        <v>46031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557.14</v>
      </c>
    </row>
    <row r="923" spans="1:16" ht="19.5" customHeight="1">
      <c r="A923" s="172" t="s">
        <v>578</v>
      </c>
      <c r="B923" s="176">
        <v>46039</v>
      </c>
      <c r="C923" s="172" t="s">
        <v>100</v>
      </c>
      <c r="D923" s="172" t="s">
        <v>102</v>
      </c>
      <c r="E923" s="172" t="s">
        <v>52</v>
      </c>
      <c r="F923" s="172" t="s">
        <v>90</v>
      </c>
      <c r="G923" s="172" t="s">
        <v>84</v>
      </c>
      <c r="H923" s="177">
        <v>1</v>
      </c>
      <c r="I923" s="178">
        <v>1621</v>
      </c>
      <c r="J923" s="176">
        <v>46031</v>
      </c>
      <c r="K923" s="172" t="s">
        <v>93</v>
      </c>
      <c r="L923" s="172" t="s">
        <v>94</v>
      </c>
      <c r="M923" s="179">
        <v>0</v>
      </c>
      <c r="N923" s="177"/>
      <c r="O923" s="177"/>
      <c r="P923" s="180">
        <v>5.57</v>
      </c>
    </row>
    <row r="924" spans="1:16" ht="19.5" customHeight="1">
      <c r="A924" s="172" t="s">
        <v>578</v>
      </c>
      <c r="B924" s="176">
        <v>46039</v>
      </c>
      <c r="C924" s="172" t="s">
        <v>100</v>
      </c>
      <c r="D924" s="172" t="s">
        <v>103</v>
      </c>
      <c r="E924" s="172" t="s">
        <v>52</v>
      </c>
      <c r="F924" s="172" t="s">
        <v>90</v>
      </c>
      <c r="G924" s="172" t="s">
        <v>84</v>
      </c>
      <c r="H924" s="177">
        <v>1</v>
      </c>
      <c r="I924" s="178">
        <v>1621</v>
      </c>
      <c r="J924" s="176">
        <v>46031</v>
      </c>
      <c r="K924" s="172" t="s">
        <v>93</v>
      </c>
      <c r="L924" s="172" t="s">
        <v>94</v>
      </c>
      <c r="M924" s="179">
        <v>0</v>
      </c>
      <c r="N924" s="177"/>
      <c r="O924" s="177"/>
      <c r="P924" s="180">
        <v>1058.29</v>
      </c>
    </row>
    <row r="925" spans="1:16" ht="19.5" customHeight="1">
      <c r="A925" s="172" t="s">
        <v>578</v>
      </c>
      <c r="B925" s="176">
        <v>46039</v>
      </c>
      <c r="C925" s="172" t="s">
        <v>104</v>
      </c>
      <c r="D925" s="172" t="s">
        <v>105</v>
      </c>
      <c r="E925" s="172" t="s">
        <v>52</v>
      </c>
      <c r="F925" s="172" t="s">
        <v>90</v>
      </c>
      <c r="G925" s="172" t="s">
        <v>84</v>
      </c>
      <c r="H925" s="177">
        <v>1</v>
      </c>
      <c r="I925" s="178">
        <v>1621</v>
      </c>
      <c r="J925" s="176">
        <v>46031</v>
      </c>
      <c r="K925" s="172" t="s">
        <v>93</v>
      </c>
      <c r="L925" s="172" t="s">
        <v>94</v>
      </c>
      <c r="M925" s="179">
        <v>0.43</v>
      </c>
      <c r="N925" s="177"/>
      <c r="O925" s="177"/>
      <c r="P925" s="180">
        <v>-697.03</v>
      </c>
    </row>
    <row r="926" spans="1:16" ht="19.5" customHeight="1">
      <c r="A926" s="172" t="s">
        <v>578</v>
      </c>
      <c r="B926" s="176">
        <v>46039</v>
      </c>
      <c r="C926" s="172" t="s">
        <v>81</v>
      </c>
      <c r="D926" s="172" t="s">
        <v>95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46031</v>
      </c>
      <c r="K926" s="172" t="s">
        <v>93</v>
      </c>
      <c r="L926" s="172" t="s">
        <v>94</v>
      </c>
      <c r="M926" s="179">
        <v>0.43</v>
      </c>
      <c r="N926" s="177"/>
      <c r="O926" s="177"/>
      <c r="P926" s="180">
        <v>-17.149999999999999</v>
      </c>
    </row>
    <row r="927" spans="1:16" ht="19.5" customHeight="1">
      <c r="A927" s="172" t="s">
        <v>577</v>
      </c>
      <c r="B927" s="176">
        <v>46039</v>
      </c>
      <c r="C927" s="172" t="s">
        <v>81</v>
      </c>
      <c r="D927" s="172" t="s">
        <v>82</v>
      </c>
      <c r="E927" s="172" t="s">
        <v>43</v>
      </c>
      <c r="F927" s="172" t="s">
        <v>125</v>
      </c>
      <c r="G927" s="172" t="s">
        <v>84</v>
      </c>
      <c r="H927" s="177">
        <v>1</v>
      </c>
      <c r="I927" s="178">
        <v>0</v>
      </c>
      <c r="J927" s="176">
        <v>46034</v>
      </c>
      <c r="K927" s="172" t="s">
        <v>85</v>
      </c>
      <c r="L927" s="172" t="s">
        <v>85</v>
      </c>
      <c r="M927" s="179">
        <v>0</v>
      </c>
      <c r="N927" s="177"/>
      <c r="O927" s="177"/>
      <c r="P927" s="180">
        <v>-6.27</v>
      </c>
    </row>
    <row r="928" spans="1:16" ht="19.5" customHeight="1">
      <c r="A928" s="172" t="s">
        <v>579</v>
      </c>
      <c r="B928" s="176">
        <v>46039</v>
      </c>
      <c r="C928" s="172" t="s">
        <v>92</v>
      </c>
      <c r="D928" s="172" t="s">
        <v>24</v>
      </c>
      <c r="E928" s="172" t="s">
        <v>42</v>
      </c>
      <c r="F928" s="172" t="s">
        <v>89</v>
      </c>
      <c r="G928" s="172" t="s">
        <v>84</v>
      </c>
      <c r="H928" s="177">
        <v>1</v>
      </c>
      <c r="I928" s="178">
        <v>1750</v>
      </c>
      <c r="J928" s="176">
        <v>46035</v>
      </c>
      <c r="K928" s="172" t="s">
        <v>93</v>
      </c>
      <c r="L928" s="172" t="s">
        <v>94</v>
      </c>
      <c r="M928" s="179">
        <v>0.43</v>
      </c>
      <c r="N928" s="177"/>
      <c r="O928" s="177">
        <v>45</v>
      </c>
      <c r="P928" s="180">
        <v>-135.38999999999999</v>
      </c>
    </row>
    <row r="929" spans="1:16" ht="19.5" customHeight="1">
      <c r="A929" s="172" t="s">
        <v>579</v>
      </c>
      <c r="B929" s="176">
        <v>46039</v>
      </c>
      <c r="C929" s="172" t="s">
        <v>100</v>
      </c>
      <c r="D929" s="172" t="s">
        <v>101</v>
      </c>
      <c r="E929" s="172" t="s">
        <v>42</v>
      </c>
      <c r="F929" s="172" t="s">
        <v>89</v>
      </c>
      <c r="G929" s="172" t="s">
        <v>84</v>
      </c>
      <c r="H929" s="177">
        <v>1</v>
      </c>
      <c r="I929" s="178">
        <v>1750</v>
      </c>
      <c r="J929" s="176">
        <v>46035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609.52</v>
      </c>
    </row>
    <row r="930" spans="1:16" ht="19.5" customHeight="1">
      <c r="A930" s="172" t="s">
        <v>579</v>
      </c>
      <c r="B930" s="176">
        <v>46039</v>
      </c>
      <c r="C930" s="172" t="s">
        <v>100</v>
      </c>
      <c r="D930" s="172" t="s">
        <v>102</v>
      </c>
      <c r="E930" s="172" t="s">
        <v>42</v>
      </c>
      <c r="F930" s="172" t="s">
        <v>89</v>
      </c>
      <c r="G930" s="172" t="s">
        <v>84</v>
      </c>
      <c r="H930" s="177">
        <v>1</v>
      </c>
      <c r="I930" s="178">
        <v>1750</v>
      </c>
      <c r="J930" s="176">
        <v>46035</v>
      </c>
      <c r="K930" s="172" t="s">
        <v>93</v>
      </c>
      <c r="L930" s="172" t="s">
        <v>94</v>
      </c>
      <c r="M930" s="179">
        <v>0</v>
      </c>
      <c r="N930" s="177"/>
      <c r="O930" s="177"/>
      <c r="P930" s="180">
        <v>6.1</v>
      </c>
    </row>
    <row r="931" spans="1:16" ht="19.5" customHeight="1">
      <c r="A931" s="172" t="s">
        <v>579</v>
      </c>
      <c r="B931" s="176">
        <v>46039</v>
      </c>
      <c r="C931" s="172" t="s">
        <v>100</v>
      </c>
      <c r="D931" s="172" t="s">
        <v>103</v>
      </c>
      <c r="E931" s="172" t="s">
        <v>42</v>
      </c>
      <c r="F931" s="172" t="s">
        <v>89</v>
      </c>
      <c r="G931" s="172" t="s">
        <v>84</v>
      </c>
      <c r="H931" s="177">
        <v>1</v>
      </c>
      <c r="I931" s="178">
        <v>1750</v>
      </c>
      <c r="J931" s="176">
        <v>46035</v>
      </c>
      <c r="K931" s="172" t="s">
        <v>93</v>
      </c>
      <c r="L931" s="172" t="s">
        <v>94</v>
      </c>
      <c r="M931" s="179">
        <v>0</v>
      </c>
      <c r="N931" s="177"/>
      <c r="O931" s="177"/>
      <c r="P931" s="180">
        <v>1134.3800000000001</v>
      </c>
    </row>
    <row r="932" spans="1:16" ht="19.5" customHeight="1">
      <c r="A932" s="172" t="s">
        <v>579</v>
      </c>
      <c r="B932" s="176">
        <v>46039</v>
      </c>
      <c r="C932" s="172" t="s">
        <v>104</v>
      </c>
      <c r="D932" s="172" t="s">
        <v>105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1750</v>
      </c>
      <c r="J932" s="176">
        <v>46035</v>
      </c>
      <c r="K932" s="172" t="s">
        <v>93</v>
      </c>
      <c r="L932" s="172" t="s">
        <v>94</v>
      </c>
      <c r="M932" s="179">
        <v>0.43</v>
      </c>
      <c r="N932" s="177"/>
      <c r="O932" s="177"/>
      <c r="P932" s="180">
        <v>-752.5</v>
      </c>
    </row>
    <row r="933" spans="1:16" ht="19.5" customHeight="1">
      <c r="A933" s="172" t="s">
        <v>579</v>
      </c>
      <c r="B933" s="176">
        <v>46039</v>
      </c>
      <c r="C933" s="172" t="s">
        <v>81</v>
      </c>
      <c r="D933" s="172" t="s">
        <v>95</v>
      </c>
      <c r="E933" s="172" t="s">
        <v>42</v>
      </c>
      <c r="F933" s="172" t="s">
        <v>89</v>
      </c>
      <c r="G933" s="172" t="s">
        <v>84</v>
      </c>
      <c r="H933" s="177">
        <v>1</v>
      </c>
      <c r="I933" s="178">
        <v>1750</v>
      </c>
      <c r="J933" s="176">
        <v>46035</v>
      </c>
      <c r="K933" s="172" t="s">
        <v>93</v>
      </c>
      <c r="L933" s="172" t="s">
        <v>94</v>
      </c>
      <c r="M933" s="179">
        <v>0.43</v>
      </c>
      <c r="N933" s="177"/>
      <c r="O933" s="177"/>
      <c r="P933" s="180">
        <v>-12.82</v>
      </c>
    </row>
    <row r="934" spans="1:16" ht="19.5" customHeight="1">
      <c r="A934" s="172" t="s">
        <v>580</v>
      </c>
      <c r="B934" s="176">
        <v>46039</v>
      </c>
      <c r="C934" s="172" t="s">
        <v>92</v>
      </c>
      <c r="D934" s="172" t="s">
        <v>24</v>
      </c>
      <c r="E934" s="172" t="s">
        <v>52</v>
      </c>
      <c r="F934" s="172" t="s">
        <v>90</v>
      </c>
      <c r="G934" s="172" t="s">
        <v>84</v>
      </c>
      <c r="H934" s="177">
        <v>1</v>
      </c>
      <c r="I934" s="178">
        <v>1621</v>
      </c>
      <c r="J934" s="176">
        <v>46035</v>
      </c>
      <c r="K934" s="172" t="s">
        <v>93</v>
      </c>
      <c r="L934" s="172" t="s">
        <v>94</v>
      </c>
      <c r="M934" s="179">
        <v>0.43</v>
      </c>
      <c r="N934" s="177"/>
      <c r="O934" s="177">
        <v>45</v>
      </c>
      <c r="P934" s="180">
        <v>-146.44999999999999</v>
      </c>
    </row>
    <row r="935" spans="1:16" ht="19.5" customHeight="1">
      <c r="A935" s="172" t="s">
        <v>580</v>
      </c>
      <c r="B935" s="176">
        <v>46039</v>
      </c>
      <c r="C935" s="172" t="s">
        <v>100</v>
      </c>
      <c r="D935" s="172" t="s">
        <v>101</v>
      </c>
      <c r="E935" s="172" t="s">
        <v>52</v>
      </c>
      <c r="F935" s="172" t="s">
        <v>90</v>
      </c>
      <c r="G935" s="172" t="s">
        <v>84</v>
      </c>
      <c r="H935" s="177">
        <v>1</v>
      </c>
      <c r="I935" s="178">
        <v>1621</v>
      </c>
      <c r="J935" s="176">
        <v>46035</v>
      </c>
      <c r="K935" s="172" t="s">
        <v>93</v>
      </c>
      <c r="L935" s="172" t="s">
        <v>94</v>
      </c>
      <c r="M935" s="179">
        <v>0</v>
      </c>
      <c r="N935" s="177"/>
      <c r="O935" s="177"/>
      <c r="P935" s="180">
        <v>557.14</v>
      </c>
    </row>
    <row r="936" spans="1:16" ht="19.5" customHeight="1">
      <c r="A936" s="172" t="s">
        <v>580</v>
      </c>
      <c r="B936" s="176">
        <v>46039</v>
      </c>
      <c r="C936" s="172" t="s">
        <v>100</v>
      </c>
      <c r="D936" s="172" t="s">
        <v>102</v>
      </c>
      <c r="E936" s="172" t="s">
        <v>52</v>
      </c>
      <c r="F936" s="172" t="s">
        <v>90</v>
      </c>
      <c r="G936" s="172" t="s">
        <v>84</v>
      </c>
      <c r="H936" s="177">
        <v>1</v>
      </c>
      <c r="I936" s="178">
        <v>1621</v>
      </c>
      <c r="J936" s="176">
        <v>46035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5.57</v>
      </c>
    </row>
    <row r="937" spans="1:16" ht="19.5" customHeight="1">
      <c r="A937" s="172" t="s">
        <v>580</v>
      </c>
      <c r="B937" s="176">
        <v>46039</v>
      </c>
      <c r="C937" s="172" t="s">
        <v>100</v>
      </c>
      <c r="D937" s="172" t="s">
        <v>103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1621</v>
      </c>
      <c r="J937" s="176">
        <v>46035</v>
      </c>
      <c r="K937" s="172" t="s">
        <v>93</v>
      </c>
      <c r="L937" s="172" t="s">
        <v>94</v>
      </c>
      <c r="M937" s="179">
        <v>0</v>
      </c>
      <c r="N937" s="177"/>
      <c r="O937" s="177"/>
      <c r="P937" s="180">
        <v>1058.29</v>
      </c>
    </row>
    <row r="938" spans="1:16" ht="19.5" customHeight="1">
      <c r="A938" s="172" t="s">
        <v>580</v>
      </c>
      <c r="B938" s="176">
        <v>46039</v>
      </c>
      <c r="C938" s="172" t="s">
        <v>104</v>
      </c>
      <c r="D938" s="172" t="s">
        <v>105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1621</v>
      </c>
      <c r="J938" s="176">
        <v>46035</v>
      </c>
      <c r="K938" s="172" t="s">
        <v>93</v>
      </c>
      <c r="L938" s="172" t="s">
        <v>94</v>
      </c>
      <c r="M938" s="179">
        <v>0.43</v>
      </c>
      <c r="N938" s="177"/>
      <c r="O938" s="177"/>
      <c r="P938" s="180">
        <v>-697.03</v>
      </c>
    </row>
    <row r="939" spans="1:16" ht="19.5" customHeight="1">
      <c r="A939" s="172" t="s">
        <v>580</v>
      </c>
      <c r="B939" s="176">
        <v>46039</v>
      </c>
      <c r="C939" s="172" t="s">
        <v>81</v>
      </c>
      <c r="D939" s="172" t="s">
        <v>95</v>
      </c>
      <c r="E939" s="172" t="s">
        <v>52</v>
      </c>
      <c r="F939" s="172" t="s">
        <v>90</v>
      </c>
      <c r="G939" s="172" t="s">
        <v>84</v>
      </c>
      <c r="H939" s="177">
        <v>1</v>
      </c>
      <c r="I939" s="178">
        <v>1621</v>
      </c>
      <c r="J939" s="176">
        <v>46035</v>
      </c>
      <c r="K939" s="172" t="s">
        <v>93</v>
      </c>
      <c r="L939" s="172" t="s">
        <v>94</v>
      </c>
      <c r="M939" s="179">
        <v>0.43</v>
      </c>
      <c r="N939" s="177"/>
      <c r="O939" s="177"/>
      <c r="P939" s="180">
        <v>-14.62</v>
      </c>
    </row>
    <row r="940" spans="1:16" ht="19.5" customHeight="1">
      <c r="A940" s="172" t="s">
        <v>579</v>
      </c>
      <c r="B940" s="176">
        <v>46039</v>
      </c>
      <c r="C940" s="172" t="s">
        <v>81</v>
      </c>
      <c r="D940" s="172" t="s">
        <v>82</v>
      </c>
      <c r="E940" s="172" t="s">
        <v>42</v>
      </c>
      <c r="F940" s="172" t="s">
        <v>89</v>
      </c>
      <c r="G940" s="172" t="s">
        <v>84</v>
      </c>
      <c r="H940" s="177">
        <v>1</v>
      </c>
      <c r="I940" s="178">
        <v>0</v>
      </c>
      <c r="J940" s="176">
        <v>46035</v>
      </c>
      <c r="K940" s="172" t="s">
        <v>85</v>
      </c>
      <c r="L940" s="172" t="s">
        <v>85</v>
      </c>
      <c r="M940" s="179">
        <v>0</v>
      </c>
      <c r="N940" s="177"/>
      <c r="O940" s="177"/>
      <c r="P940" s="180">
        <v>-11.58</v>
      </c>
    </row>
    <row r="941" spans="1:16" ht="19.5" customHeight="1">
      <c r="A941" s="172" t="s">
        <v>581</v>
      </c>
      <c r="B941" s="176">
        <v>46039</v>
      </c>
      <c r="C941" s="172" t="s">
        <v>92</v>
      </c>
      <c r="D941" s="172" t="s">
        <v>24</v>
      </c>
      <c r="E941" s="172" t="s">
        <v>52</v>
      </c>
      <c r="F941" s="172" t="s">
        <v>90</v>
      </c>
      <c r="G941" s="172" t="s">
        <v>84</v>
      </c>
      <c r="H941" s="177">
        <v>1</v>
      </c>
      <c r="I941" s="178">
        <v>1621</v>
      </c>
      <c r="J941" s="176">
        <v>46035</v>
      </c>
      <c r="K941" s="172" t="s">
        <v>93</v>
      </c>
      <c r="L941" s="172" t="s">
        <v>94</v>
      </c>
      <c r="M941" s="179">
        <v>0.43</v>
      </c>
      <c r="N941" s="177"/>
      <c r="O941" s="177">
        <v>45</v>
      </c>
      <c r="P941" s="180">
        <v>-146.44999999999999</v>
      </c>
    </row>
    <row r="942" spans="1:16" ht="19.5" customHeight="1">
      <c r="A942" s="172" t="s">
        <v>581</v>
      </c>
      <c r="B942" s="176">
        <v>46039</v>
      </c>
      <c r="C942" s="172" t="s">
        <v>100</v>
      </c>
      <c r="D942" s="172" t="s">
        <v>101</v>
      </c>
      <c r="E942" s="172" t="s">
        <v>52</v>
      </c>
      <c r="F942" s="172" t="s">
        <v>90</v>
      </c>
      <c r="G942" s="172" t="s">
        <v>84</v>
      </c>
      <c r="H942" s="177">
        <v>1</v>
      </c>
      <c r="I942" s="178">
        <v>1621</v>
      </c>
      <c r="J942" s="176">
        <v>46035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556.61</v>
      </c>
    </row>
    <row r="943" spans="1:16" ht="19.5" customHeight="1">
      <c r="A943" s="172" t="s">
        <v>581</v>
      </c>
      <c r="B943" s="176">
        <v>46039</v>
      </c>
      <c r="C943" s="172" t="s">
        <v>100</v>
      </c>
      <c r="D943" s="172" t="s">
        <v>102</v>
      </c>
      <c r="E943" s="172" t="s">
        <v>52</v>
      </c>
      <c r="F943" s="172" t="s">
        <v>90</v>
      </c>
      <c r="G943" s="172" t="s">
        <v>84</v>
      </c>
      <c r="H943" s="177">
        <v>1</v>
      </c>
      <c r="I943" s="178">
        <v>1621</v>
      </c>
      <c r="J943" s="176">
        <v>46035</v>
      </c>
      <c r="K943" s="172" t="s">
        <v>93</v>
      </c>
      <c r="L943" s="172" t="s">
        <v>94</v>
      </c>
      <c r="M943" s="179">
        <v>0</v>
      </c>
      <c r="N943" s="177"/>
      <c r="O943" s="177"/>
      <c r="P943" s="180">
        <v>5.57</v>
      </c>
    </row>
    <row r="944" spans="1:16" ht="19.5" customHeight="1">
      <c r="A944" s="172" t="s">
        <v>581</v>
      </c>
      <c r="B944" s="176">
        <v>46039</v>
      </c>
      <c r="C944" s="172" t="s">
        <v>100</v>
      </c>
      <c r="D944" s="172" t="s">
        <v>103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46035</v>
      </c>
      <c r="K944" s="172" t="s">
        <v>93</v>
      </c>
      <c r="L944" s="172" t="s">
        <v>94</v>
      </c>
      <c r="M944" s="179">
        <v>0</v>
      </c>
      <c r="N944" s="177"/>
      <c r="O944" s="177"/>
      <c r="P944" s="180">
        <v>1058.82</v>
      </c>
    </row>
    <row r="945" spans="1:16" ht="19.5" customHeight="1">
      <c r="A945" s="172" t="s">
        <v>581</v>
      </c>
      <c r="B945" s="176">
        <v>46039</v>
      </c>
      <c r="C945" s="172" t="s">
        <v>104</v>
      </c>
      <c r="D945" s="172" t="s">
        <v>105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46035</v>
      </c>
      <c r="K945" s="172" t="s">
        <v>93</v>
      </c>
      <c r="L945" s="172" t="s">
        <v>94</v>
      </c>
      <c r="M945" s="179">
        <v>0.43</v>
      </c>
      <c r="N945" s="177"/>
      <c r="O945" s="177"/>
      <c r="P945" s="180">
        <v>-697.03</v>
      </c>
    </row>
    <row r="946" spans="1:16" ht="19.5" customHeight="1">
      <c r="A946" s="172" t="s">
        <v>581</v>
      </c>
      <c r="B946" s="176">
        <v>46039</v>
      </c>
      <c r="C946" s="172" t="s">
        <v>81</v>
      </c>
      <c r="D946" s="172" t="s">
        <v>95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46035</v>
      </c>
      <c r="K946" s="172" t="s">
        <v>93</v>
      </c>
      <c r="L946" s="172" t="s">
        <v>94</v>
      </c>
      <c r="M946" s="179">
        <v>0.43</v>
      </c>
      <c r="N946" s="177"/>
      <c r="O946" s="177"/>
      <c r="P946" s="180">
        <v>-7.9</v>
      </c>
    </row>
    <row r="947" spans="1:16" ht="19.5" customHeight="1">
      <c r="A947" s="172" t="s">
        <v>581</v>
      </c>
      <c r="B947" s="176">
        <v>46039</v>
      </c>
      <c r="C947" s="172" t="s">
        <v>81</v>
      </c>
      <c r="D947" s="172" t="s">
        <v>82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0</v>
      </c>
      <c r="J947" s="176">
        <v>46035</v>
      </c>
      <c r="K947" s="172" t="s">
        <v>85</v>
      </c>
      <c r="L947" s="172" t="s">
        <v>85</v>
      </c>
      <c r="M947" s="179">
        <v>0</v>
      </c>
      <c r="N947" s="177"/>
      <c r="O947" s="177"/>
      <c r="P947" s="180">
        <v>-10.58</v>
      </c>
    </row>
    <row r="948" spans="1:16" ht="19.5" customHeight="1">
      <c r="A948" s="172" t="s">
        <v>582</v>
      </c>
      <c r="B948" s="176">
        <v>46039</v>
      </c>
      <c r="C948" s="172" t="s">
        <v>92</v>
      </c>
      <c r="D948" s="172" t="s">
        <v>24</v>
      </c>
      <c r="E948" s="172" t="s">
        <v>41</v>
      </c>
      <c r="F948" s="172" t="s">
        <v>83</v>
      </c>
      <c r="G948" s="172" t="s">
        <v>84</v>
      </c>
      <c r="H948" s="177">
        <v>1</v>
      </c>
      <c r="I948" s="178">
        <v>0</v>
      </c>
      <c r="J948" s="176">
        <v>46027</v>
      </c>
      <c r="K948" s="172" t="s">
        <v>93</v>
      </c>
      <c r="L948" s="172" t="s">
        <v>94</v>
      </c>
      <c r="M948" s="179">
        <v>0</v>
      </c>
      <c r="N948" s="177"/>
      <c r="O948" s="177">
        <v>45</v>
      </c>
      <c r="P948" s="180">
        <v>-46.77</v>
      </c>
    </row>
    <row r="949" spans="1:16" ht="19.5" customHeight="1">
      <c r="A949" s="172" t="s">
        <v>582</v>
      </c>
      <c r="B949" s="176">
        <v>46039</v>
      </c>
      <c r="C949" s="172" t="s">
        <v>81</v>
      </c>
      <c r="D949" s="172" t="s">
        <v>95</v>
      </c>
      <c r="E949" s="172" t="s">
        <v>41</v>
      </c>
      <c r="F949" s="172" t="s">
        <v>83</v>
      </c>
      <c r="G949" s="172" t="s">
        <v>84</v>
      </c>
      <c r="H949" s="177">
        <v>1</v>
      </c>
      <c r="I949" s="178">
        <v>0</v>
      </c>
      <c r="J949" s="176">
        <v>46027</v>
      </c>
      <c r="K949" s="172" t="s">
        <v>93</v>
      </c>
      <c r="L949" s="172" t="s">
        <v>94</v>
      </c>
      <c r="M949" s="179">
        <v>0</v>
      </c>
      <c r="N949" s="177"/>
      <c r="O949" s="177"/>
      <c r="P949" s="180">
        <v>-11.69</v>
      </c>
    </row>
    <row r="950" spans="1:16" ht="19.5" customHeight="1">
      <c r="A950" s="172" t="s">
        <v>583</v>
      </c>
      <c r="B950" s="176">
        <v>46039</v>
      </c>
      <c r="C950" s="172" t="s">
        <v>92</v>
      </c>
      <c r="D950" s="172" t="s">
        <v>24</v>
      </c>
      <c r="E950" s="172" t="s">
        <v>38</v>
      </c>
      <c r="F950" s="172" t="s">
        <v>87</v>
      </c>
      <c r="G950" s="172" t="s">
        <v>84</v>
      </c>
      <c r="H950" s="177">
        <v>1</v>
      </c>
      <c r="I950" s="178">
        <v>0</v>
      </c>
      <c r="J950" s="176">
        <v>46027</v>
      </c>
      <c r="K950" s="172" t="s">
        <v>93</v>
      </c>
      <c r="L950" s="172" t="s">
        <v>94</v>
      </c>
      <c r="M950" s="179">
        <v>0</v>
      </c>
      <c r="N950" s="177"/>
      <c r="O950" s="177">
        <v>45</v>
      </c>
      <c r="P950" s="180">
        <v>-46.77</v>
      </c>
    </row>
    <row r="951" spans="1:16" ht="19.5" customHeight="1">
      <c r="A951" s="172" t="s">
        <v>583</v>
      </c>
      <c r="B951" s="176">
        <v>46039</v>
      </c>
      <c r="C951" s="172" t="s">
        <v>81</v>
      </c>
      <c r="D951" s="172" t="s">
        <v>95</v>
      </c>
      <c r="E951" s="172" t="s">
        <v>38</v>
      </c>
      <c r="F951" s="172" t="s">
        <v>87</v>
      </c>
      <c r="G951" s="172" t="s">
        <v>84</v>
      </c>
      <c r="H951" s="177">
        <v>1</v>
      </c>
      <c r="I951" s="178">
        <v>0</v>
      </c>
      <c r="J951" s="176">
        <v>46027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-12.06</v>
      </c>
    </row>
    <row r="952" spans="1:16" ht="19.5" customHeight="1">
      <c r="A952" s="172" t="s">
        <v>583</v>
      </c>
      <c r="B952" s="176">
        <v>46039</v>
      </c>
      <c r="C952" s="172" t="s">
        <v>92</v>
      </c>
      <c r="D952" s="172" t="s">
        <v>96</v>
      </c>
      <c r="E952" s="172" t="s">
        <v>38</v>
      </c>
      <c r="F952" s="172" t="s">
        <v>87</v>
      </c>
      <c r="G952" s="172" t="s">
        <v>84</v>
      </c>
      <c r="H952" s="177">
        <v>1</v>
      </c>
      <c r="I952" s="178">
        <v>0</v>
      </c>
      <c r="J952" s="176">
        <v>46027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0</v>
      </c>
    </row>
    <row r="953" spans="1:16" ht="19.5" customHeight="1">
      <c r="A953" s="172" t="s">
        <v>583</v>
      </c>
      <c r="B953" s="176">
        <v>46039</v>
      </c>
      <c r="C953" s="172" t="s">
        <v>92</v>
      </c>
      <c r="D953" s="172" t="s">
        <v>97</v>
      </c>
      <c r="E953" s="172" t="s">
        <v>38</v>
      </c>
      <c r="F953" s="172" t="s">
        <v>87</v>
      </c>
      <c r="G953" s="172" t="s">
        <v>84</v>
      </c>
      <c r="H953" s="177">
        <v>1</v>
      </c>
      <c r="I953" s="178">
        <v>0</v>
      </c>
      <c r="J953" s="176">
        <v>46027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-46.77</v>
      </c>
    </row>
    <row r="954" spans="1:16" ht="19.5" customHeight="1">
      <c r="A954" s="172" t="s">
        <v>583</v>
      </c>
      <c r="B954" s="176">
        <v>46039</v>
      </c>
      <c r="C954" s="172" t="s">
        <v>81</v>
      </c>
      <c r="D954" s="172" t="s">
        <v>98</v>
      </c>
      <c r="E954" s="172" t="s">
        <v>38</v>
      </c>
      <c r="F954" s="172" t="s">
        <v>87</v>
      </c>
      <c r="G954" s="172" t="s">
        <v>84</v>
      </c>
      <c r="H954" s="177">
        <v>1</v>
      </c>
      <c r="I954" s="178">
        <v>0</v>
      </c>
      <c r="J954" s="176">
        <v>46027</v>
      </c>
      <c r="K954" s="172" t="s">
        <v>93</v>
      </c>
      <c r="L954" s="172" t="s">
        <v>94</v>
      </c>
      <c r="M954" s="179">
        <v>0</v>
      </c>
      <c r="N954" s="177"/>
      <c r="O954" s="177"/>
      <c r="P954" s="180">
        <v>-15</v>
      </c>
    </row>
    <row r="955" spans="1:16" ht="19.5" customHeight="1">
      <c r="A955" s="172" t="s">
        <v>582</v>
      </c>
      <c r="B955" s="176">
        <v>46039</v>
      </c>
      <c r="C955" s="172" t="s">
        <v>92</v>
      </c>
      <c r="D955" s="172" t="s">
        <v>96</v>
      </c>
      <c r="E955" s="172" t="s">
        <v>41</v>
      </c>
      <c r="F955" s="172" t="s">
        <v>83</v>
      </c>
      <c r="G955" s="172" t="s">
        <v>84</v>
      </c>
      <c r="H955" s="177">
        <v>1</v>
      </c>
      <c r="I955" s="178">
        <v>0</v>
      </c>
      <c r="J955" s="176">
        <v>46027</v>
      </c>
      <c r="K955" s="172" t="s">
        <v>93</v>
      </c>
      <c r="L955" s="172" t="s">
        <v>94</v>
      </c>
      <c r="M955" s="179">
        <v>0</v>
      </c>
      <c r="N955" s="177"/>
      <c r="O955" s="177"/>
      <c r="P955" s="180">
        <v>0</v>
      </c>
    </row>
    <row r="956" spans="1:16" ht="19.5" customHeight="1">
      <c r="A956" s="172" t="s">
        <v>582</v>
      </c>
      <c r="B956" s="176">
        <v>46039</v>
      </c>
      <c r="C956" s="172" t="s">
        <v>92</v>
      </c>
      <c r="D956" s="172" t="s">
        <v>97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46027</v>
      </c>
      <c r="K956" s="172" t="s">
        <v>93</v>
      </c>
      <c r="L956" s="172" t="s">
        <v>94</v>
      </c>
      <c r="M956" s="179">
        <v>0</v>
      </c>
      <c r="N956" s="177"/>
      <c r="O956" s="177"/>
      <c r="P956" s="180">
        <v>-46.77</v>
      </c>
    </row>
    <row r="957" spans="1:16" ht="19.5" customHeight="1">
      <c r="A957" s="172" t="s">
        <v>582</v>
      </c>
      <c r="B957" s="176">
        <v>46039</v>
      </c>
      <c r="C957" s="172" t="s">
        <v>81</v>
      </c>
      <c r="D957" s="172" t="s">
        <v>98</v>
      </c>
      <c r="E957" s="172" t="s">
        <v>41</v>
      </c>
      <c r="F957" s="172" t="s">
        <v>83</v>
      </c>
      <c r="G957" s="172" t="s">
        <v>84</v>
      </c>
      <c r="H957" s="177">
        <v>1</v>
      </c>
      <c r="I957" s="178">
        <v>0</v>
      </c>
      <c r="J957" s="176">
        <v>46027</v>
      </c>
      <c r="K957" s="172" t="s">
        <v>93</v>
      </c>
      <c r="L957" s="172" t="s">
        <v>94</v>
      </c>
      <c r="M957" s="179">
        <v>0</v>
      </c>
      <c r="N957" s="177"/>
      <c r="O957" s="177"/>
      <c r="P957" s="180">
        <v>-15</v>
      </c>
    </row>
    <row r="958" spans="1:16" ht="19.5" customHeight="1">
      <c r="A958" s="172" t="s">
        <v>584</v>
      </c>
      <c r="B958" s="176">
        <v>46039</v>
      </c>
      <c r="C958" s="172" t="s">
        <v>92</v>
      </c>
      <c r="D958" s="172" t="s">
        <v>24</v>
      </c>
      <c r="E958" s="172" t="s">
        <v>41</v>
      </c>
      <c r="F958" s="172" t="s">
        <v>83</v>
      </c>
      <c r="G958" s="172" t="s">
        <v>84</v>
      </c>
      <c r="H958" s="177">
        <v>1</v>
      </c>
      <c r="I958" s="178">
        <v>1750</v>
      </c>
      <c r="J958" s="176">
        <v>46037</v>
      </c>
      <c r="K958" s="172" t="s">
        <v>93</v>
      </c>
      <c r="L958" s="172" t="s">
        <v>94</v>
      </c>
      <c r="M958" s="179">
        <v>0.43</v>
      </c>
      <c r="N958" s="177"/>
      <c r="O958" s="177">
        <v>45</v>
      </c>
      <c r="P958" s="180">
        <v>-135.38999999999999</v>
      </c>
    </row>
    <row r="959" spans="1:16" ht="19.5" customHeight="1">
      <c r="A959" s="172" t="s">
        <v>584</v>
      </c>
      <c r="B959" s="176">
        <v>46039</v>
      </c>
      <c r="C959" s="172" t="s">
        <v>100</v>
      </c>
      <c r="D959" s="172" t="s">
        <v>101</v>
      </c>
      <c r="E959" s="172" t="s">
        <v>41</v>
      </c>
      <c r="F959" s="172" t="s">
        <v>83</v>
      </c>
      <c r="G959" s="172" t="s">
        <v>84</v>
      </c>
      <c r="H959" s="177">
        <v>1</v>
      </c>
      <c r="I959" s="178">
        <v>1750</v>
      </c>
      <c r="J959" s="176">
        <v>46037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609.52</v>
      </c>
    </row>
    <row r="960" spans="1:16" ht="19.5" customHeight="1">
      <c r="A960" s="172" t="s">
        <v>584</v>
      </c>
      <c r="B960" s="176">
        <v>46039</v>
      </c>
      <c r="C960" s="172" t="s">
        <v>100</v>
      </c>
      <c r="D960" s="172" t="s">
        <v>102</v>
      </c>
      <c r="E960" s="172" t="s">
        <v>41</v>
      </c>
      <c r="F960" s="172" t="s">
        <v>83</v>
      </c>
      <c r="G960" s="172" t="s">
        <v>84</v>
      </c>
      <c r="H960" s="177">
        <v>1</v>
      </c>
      <c r="I960" s="178">
        <v>1750</v>
      </c>
      <c r="J960" s="176">
        <v>46037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6.1</v>
      </c>
    </row>
    <row r="961" spans="1:16" ht="19.5" customHeight="1">
      <c r="A961" s="172" t="s">
        <v>584</v>
      </c>
      <c r="B961" s="176">
        <v>46039</v>
      </c>
      <c r="C961" s="172" t="s">
        <v>100</v>
      </c>
      <c r="D961" s="172" t="s">
        <v>103</v>
      </c>
      <c r="E961" s="172" t="s">
        <v>41</v>
      </c>
      <c r="F961" s="172" t="s">
        <v>83</v>
      </c>
      <c r="G961" s="172" t="s">
        <v>84</v>
      </c>
      <c r="H961" s="177">
        <v>1</v>
      </c>
      <c r="I961" s="178">
        <v>1750</v>
      </c>
      <c r="J961" s="176">
        <v>46037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1134.3800000000001</v>
      </c>
    </row>
    <row r="962" spans="1:16" ht="19.5" customHeight="1">
      <c r="A962" s="172" t="s">
        <v>584</v>
      </c>
      <c r="B962" s="176">
        <v>46039</v>
      </c>
      <c r="C962" s="172" t="s">
        <v>104</v>
      </c>
      <c r="D962" s="172" t="s">
        <v>105</v>
      </c>
      <c r="E962" s="172" t="s">
        <v>41</v>
      </c>
      <c r="F962" s="172" t="s">
        <v>83</v>
      </c>
      <c r="G962" s="172" t="s">
        <v>84</v>
      </c>
      <c r="H962" s="177">
        <v>1</v>
      </c>
      <c r="I962" s="178">
        <v>1750</v>
      </c>
      <c r="J962" s="176">
        <v>46037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-752.5</v>
      </c>
    </row>
    <row r="963" spans="1:16" ht="19.5" customHeight="1">
      <c r="A963" s="172" t="s">
        <v>584</v>
      </c>
      <c r="B963" s="176">
        <v>46039</v>
      </c>
      <c r="C963" s="172" t="s">
        <v>81</v>
      </c>
      <c r="D963" s="172" t="s">
        <v>95</v>
      </c>
      <c r="E963" s="172" t="s">
        <v>41</v>
      </c>
      <c r="F963" s="172" t="s">
        <v>83</v>
      </c>
      <c r="G963" s="172" t="s">
        <v>84</v>
      </c>
      <c r="H963" s="177">
        <v>1</v>
      </c>
      <c r="I963" s="178">
        <v>1750</v>
      </c>
      <c r="J963" s="176">
        <v>46037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-16.66</v>
      </c>
    </row>
    <row r="964" spans="1:16" ht="19.5" customHeight="1">
      <c r="A964" s="172" t="s">
        <v>585</v>
      </c>
      <c r="B964" s="176">
        <v>46039</v>
      </c>
      <c r="C964" s="172" t="s">
        <v>92</v>
      </c>
      <c r="D964" s="172" t="s">
        <v>24</v>
      </c>
      <c r="E964" s="172" t="s">
        <v>38</v>
      </c>
      <c r="F964" s="172" t="s">
        <v>87</v>
      </c>
      <c r="G964" s="172" t="s">
        <v>84</v>
      </c>
      <c r="H964" s="177">
        <v>1</v>
      </c>
      <c r="I964" s="178">
        <v>1750</v>
      </c>
      <c r="J964" s="176">
        <v>46035</v>
      </c>
      <c r="K964" s="172" t="s">
        <v>93</v>
      </c>
      <c r="L964" s="172" t="s">
        <v>94</v>
      </c>
      <c r="M964" s="179">
        <v>0.43</v>
      </c>
      <c r="N964" s="177"/>
      <c r="O964" s="177">
        <v>45</v>
      </c>
      <c r="P964" s="180">
        <v>-135.38999999999999</v>
      </c>
    </row>
    <row r="965" spans="1:16" ht="19.5" customHeight="1">
      <c r="A965" s="172" t="s">
        <v>585</v>
      </c>
      <c r="B965" s="176">
        <v>46039</v>
      </c>
      <c r="C965" s="172" t="s">
        <v>100</v>
      </c>
      <c r="D965" s="172" t="s">
        <v>101</v>
      </c>
      <c r="E965" s="172" t="s">
        <v>38</v>
      </c>
      <c r="F965" s="172" t="s">
        <v>87</v>
      </c>
      <c r="G965" s="172" t="s">
        <v>84</v>
      </c>
      <c r="H965" s="177">
        <v>1</v>
      </c>
      <c r="I965" s="178">
        <v>1750</v>
      </c>
      <c r="J965" s="176">
        <v>46035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609.52</v>
      </c>
    </row>
    <row r="966" spans="1:16" ht="19.5" customHeight="1">
      <c r="A966" s="172" t="s">
        <v>585</v>
      </c>
      <c r="B966" s="176">
        <v>46039</v>
      </c>
      <c r="C966" s="172" t="s">
        <v>100</v>
      </c>
      <c r="D966" s="172" t="s">
        <v>102</v>
      </c>
      <c r="E966" s="172" t="s">
        <v>38</v>
      </c>
      <c r="F966" s="172" t="s">
        <v>87</v>
      </c>
      <c r="G966" s="172" t="s">
        <v>84</v>
      </c>
      <c r="H966" s="177">
        <v>1</v>
      </c>
      <c r="I966" s="178">
        <v>1750</v>
      </c>
      <c r="J966" s="176">
        <v>46035</v>
      </c>
      <c r="K966" s="172" t="s">
        <v>93</v>
      </c>
      <c r="L966" s="172" t="s">
        <v>94</v>
      </c>
      <c r="M966" s="179">
        <v>0</v>
      </c>
      <c r="N966" s="177"/>
      <c r="O966" s="177"/>
      <c r="P966" s="180">
        <v>6.1</v>
      </c>
    </row>
    <row r="967" spans="1:16" ht="19.5" customHeight="1">
      <c r="A967" s="172" t="s">
        <v>585</v>
      </c>
      <c r="B967" s="176">
        <v>46039</v>
      </c>
      <c r="C967" s="172" t="s">
        <v>100</v>
      </c>
      <c r="D967" s="172" t="s">
        <v>103</v>
      </c>
      <c r="E967" s="172" t="s">
        <v>38</v>
      </c>
      <c r="F967" s="172" t="s">
        <v>87</v>
      </c>
      <c r="G967" s="172" t="s">
        <v>84</v>
      </c>
      <c r="H967" s="177">
        <v>1</v>
      </c>
      <c r="I967" s="178">
        <v>1750</v>
      </c>
      <c r="J967" s="176">
        <v>46035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1134.3800000000001</v>
      </c>
    </row>
    <row r="968" spans="1:16" ht="19.5" customHeight="1">
      <c r="A968" s="172" t="s">
        <v>585</v>
      </c>
      <c r="B968" s="176">
        <v>46039</v>
      </c>
      <c r="C968" s="172" t="s">
        <v>104</v>
      </c>
      <c r="D968" s="172" t="s">
        <v>105</v>
      </c>
      <c r="E968" s="172" t="s">
        <v>38</v>
      </c>
      <c r="F968" s="172" t="s">
        <v>87</v>
      </c>
      <c r="G968" s="172" t="s">
        <v>84</v>
      </c>
      <c r="H968" s="177">
        <v>1</v>
      </c>
      <c r="I968" s="178">
        <v>1750</v>
      </c>
      <c r="J968" s="176">
        <v>46035</v>
      </c>
      <c r="K968" s="172" t="s">
        <v>93</v>
      </c>
      <c r="L968" s="172" t="s">
        <v>94</v>
      </c>
      <c r="M968" s="179">
        <v>0.43</v>
      </c>
      <c r="N968" s="177"/>
      <c r="O968" s="177"/>
      <c r="P968" s="180">
        <v>-752.5</v>
      </c>
    </row>
    <row r="969" spans="1:16" ht="19.5" customHeight="1">
      <c r="A969" s="172" t="s">
        <v>585</v>
      </c>
      <c r="B969" s="176">
        <v>46039</v>
      </c>
      <c r="C969" s="172" t="s">
        <v>81</v>
      </c>
      <c r="D969" s="172" t="s">
        <v>95</v>
      </c>
      <c r="E969" s="172" t="s">
        <v>38</v>
      </c>
      <c r="F969" s="172" t="s">
        <v>87</v>
      </c>
      <c r="G969" s="172" t="s">
        <v>84</v>
      </c>
      <c r="H969" s="177">
        <v>1</v>
      </c>
      <c r="I969" s="178">
        <v>1750</v>
      </c>
      <c r="J969" s="176">
        <v>46035</v>
      </c>
      <c r="K969" s="172" t="s">
        <v>93</v>
      </c>
      <c r="L969" s="172" t="s">
        <v>94</v>
      </c>
      <c r="M969" s="179">
        <v>0.43</v>
      </c>
      <c r="N969" s="177"/>
      <c r="O969" s="177"/>
      <c r="P969" s="180">
        <v>-22.46</v>
      </c>
    </row>
    <row r="970" spans="1:16" ht="19.5" customHeight="1">
      <c r="A970" s="172" t="s">
        <v>586</v>
      </c>
      <c r="B970" s="176">
        <v>46039</v>
      </c>
      <c r="C970" s="172" t="s">
        <v>92</v>
      </c>
      <c r="D970" s="172" t="s">
        <v>24</v>
      </c>
      <c r="E970" s="172" t="s">
        <v>52</v>
      </c>
      <c r="F970" s="172" t="s">
        <v>90</v>
      </c>
      <c r="G970" s="172" t="s">
        <v>84</v>
      </c>
      <c r="H970" s="177">
        <v>1</v>
      </c>
      <c r="I970" s="178">
        <v>2027</v>
      </c>
      <c r="J970" s="176">
        <v>46036</v>
      </c>
      <c r="K970" s="172" t="s">
        <v>93</v>
      </c>
      <c r="L970" s="172" t="s">
        <v>94</v>
      </c>
      <c r="M970" s="179">
        <v>0.43</v>
      </c>
      <c r="N970" s="177"/>
      <c r="O970" s="177">
        <v>45</v>
      </c>
      <c r="P970" s="180">
        <v>-159.85</v>
      </c>
    </row>
    <row r="971" spans="1:16" ht="19.5" customHeight="1">
      <c r="A971" s="172" t="s">
        <v>586</v>
      </c>
      <c r="B971" s="176">
        <v>46039</v>
      </c>
      <c r="C971" s="172" t="s">
        <v>100</v>
      </c>
      <c r="D971" s="172" t="s">
        <v>101</v>
      </c>
      <c r="E971" s="172" t="s">
        <v>52</v>
      </c>
      <c r="F971" s="172" t="s">
        <v>90</v>
      </c>
      <c r="G971" s="172" t="s">
        <v>84</v>
      </c>
      <c r="H971" s="177">
        <v>1</v>
      </c>
      <c r="I971" s="178">
        <v>2027</v>
      </c>
      <c r="J971" s="176">
        <v>46036</v>
      </c>
      <c r="K971" s="172" t="s">
        <v>93</v>
      </c>
      <c r="L971" s="172" t="s">
        <v>94</v>
      </c>
      <c r="M971" s="179">
        <v>0</v>
      </c>
      <c r="N971" s="177"/>
      <c r="O971" s="177"/>
      <c r="P971" s="180">
        <v>705.99</v>
      </c>
    </row>
    <row r="972" spans="1:16" ht="19.5" customHeight="1">
      <c r="A972" s="172" t="s">
        <v>586</v>
      </c>
      <c r="B972" s="176">
        <v>46039</v>
      </c>
      <c r="C972" s="172" t="s">
        <v>100</v>
      </c>
      <c r="D972" s="172" t="s">
        <v>102</v>
      </c>
      <c r="E972" s="172" t="s">
        <v>52</v>
      </c>
      <c r="F972" s="172" t="s">
        <v>90</v>
      </c>
      <c r="G972" s="172" t="s">
        <v>84</v>
      </c>
      <c r="H972" s="177">
        <v>1</v>
      </c>
      <c r="I972" s="178">
        <v>2027</v>
      </c>
      <c r="J972" s="176">
        <v>46036</v>
      </c>
      <c r="K972" s="172" t="s">
        <v>93</v>
      </c>
      <c r="L972" s="172" t="s">
        <v>94</v>
      </c>
      <c r="M972" s="179">
        <v>0</v>
      </c>
      <c r="N972" s="177"/>
      <c r="O972" s="177"/>
      <c r="P972" s="180">
        <v>7.06</v>
      </c>
    </row>
    <row r="973" spans="1:16" ht="19.5" customHeight="1">
      <c r="A973" s="172" t="s">
        <v>586</v>
      </c>
      <c r="B973" s="176">
        <v>46039</v>
      </c>
      <c r="C973" s="172" t="s">
        <v>100</v>
      </c>
      <c r="D973" s="172" t="s">
        <v>103</v>
      </c>
      <c r="E973" s="172" t="s">
        <v>52</v>
      </c>
      <c r="F973" s="172" t="s">
        <v>90</v>
      </c>
      <c r="G973" s="172" t="s">
        <v>84</v>
      </c>
      <c r="H973" s="177">
        <v>1</v>
      </c>
      <c r="I973" s="178">
        <v>2027</v>
      </c>
      <c r="J973" s="176">
        <v>46036</v>
      </c>
      <c r="K973" s="172" t="s">
        <v>93</v>
      </c>
      <c r="L973" s="172" t="s">
        <v>94</v>
      </c>
      <c r="M973" s="179">
        <v>0</v>
      </c>
      <c r="N973" s="177"/>
      <c r="O973" s="177"/>
      <c r="P973" s="180">
        <v>1313.95</v>
      </c>
    </row>
    <row r="974" spans="1:16" ht="19.5" customHeight="1">
      <c r="A974" s="172" t="s">
        <v>586</v>
      </c>
      <c r="B974" s="176">
        <v>46039</v>
      </c>
      <c r="C974" s="172" t="s">
        <v>104</v>
      </c>
      <c r="D974" s="172" t="s">
        <v>105</v>
      </c>
      <c r="E974" s="172" t="s">
        <v>52</v>
      </c>
      <c r="F974" s="172" t="s">
        <v>90</v>
      </c>
      <c r="G974" s="172" t="s">
        <v>84</v>
      </c>
      <c r="H974" s="177">
        <v>1</v>
      </c>
      <c r="I974" s="178">
        <v>2027</v>
      </c>
      <c r="J974" s="176">
        <v>46036</v>
      </c>
      <c r="K974" s="172" t="s">
        <v>93</v>
      </c>
      <c r="L974" s="172" t="s">
        <v>94</v>
      </c>
      <c r="M974" s="179">
        <v>0.43</v>
      </c>
      <c r="N974" s="177"/>
      <c r="O974" s="177"/>
      <c r="P974" s="180">
        <v>-871.61</v>
      </c>
    </row>
    <row r="975" spans="1:16" ht="19.5" customHeight="1">
      <c r="A975" s="172" t="s">
        <v>586</v>
      </c>
      <c r="B975" s="176">
        <v>46039</v>
      </c>
      <c r="C975" s="172" t="s">
        <v>81</v>
      </c>
      <c r="D975" s="172" t="s">
        <v>95</v>
      </c>
      <c r="E975" s="172" t="s">
        <v>52</v>
      </c>
      <c r="F975" s="172" t="s">
        <v>90</v>
      </c>
      <c r="G975" s="172" t="s">
        <v>84</v>
      </c>
      <c r="H975" s="177">
        <v>1</v>
      </c>
      <c r="I975" s="178">
        <v>2027</v>
      </c>
      <c r="J975" s="176">
        <v>46036</v>
      </c>
      <c r="K975" s="172" t="s">
        <v>93</v>
      </c>
      <c r="L975" s="172" t="s">
        <v>94</v>
      </c>
      <c r="M975" s="179">
        <v>0.43</v>
      </c>
      <c r="N975" s="177"/>
      <c r="O975" s="177"/>
      <c r="P975" s="180">
        <v>-13.2</v>
      </c>
    </row>
    <row r="976" spans="1:16" ht="19.5" customHeight="1">
      <c r="A976" s="172" t="s">
        <v>584</v>
      </c>
      <c r="B976" s="176">
        <v>46039</v>
      </c>
      <c r="C976" s="172" t="s">
        <v>81</v>
      </c>
      <c r="D976" s="172" t="s">
        <v>82</v>
      </c>
      <c r="E976" s="172" t="s">
        <v>41</v>
      </c>
      <c r="F976" s="172" t="s">
        <v>83</v>
      </c>
      <c r="G976" s="172" t="s">
        <v>84</v>
      </c>
      <c r="H976" s="177">
        <v>1</v>
      </c>
      <c r="I976" s="178">
        <v>0</v>
      </c>
      <c r="J976" s="176">
        <v>46037</v>
      </c>
      <c r="K976" s="172" t="s">
        <v>85</v>
      </c>
      <c r="L976" s="172" t="s">
        <v>85</v>
      </c>
      <c r="M976" s="179">
        <v>0</v>
      </c>
      <c r="N976" s="177"/>
      <c r="O976" s="177"/>
      <c r="P976" s="180">
        <v>-11.58</v>
      </c>
    </row>
    <row r="977" spans="1:16" ht="19.5" customHeight="1">
      <c r="A977" s="172" t="s">
        <v>587</v>
      </c>
      <c r="B977" s="176">
        <v>46039</v>
      </c>
      <c r="C977" s="172" t="s">
        <v>92</v>
      </c>
      <c r="D977" s="172" t="s">
        <v>24</v>
      </c>
      <c r="E977" s="172" t="s">
        <v>53</v>
      </c>
      <c r="F977" s="172" t="s">
        <v>120</v>
      </c>
      <c r="G977" s="172" t="s">
        <v>84</v>
      </c>
      <c r="H977" s="177">
        <v>1</v>
      </c>
      <c r="I977" s="178">
        <v>1845</v>
      </c>
      <c r="J977" s="176">
        <v>46030</v>
      </c>
      <c r="K977" s="172" t="s">
        <v>93</v>
      </c>
      <c r="L977" s="172" t="s">
        <v>94</v>
      </c>
      <c r="M977" s="179">
        <v>0.43</v>
      </c>
      <c r="N977" s="177"/>
      <c r="O977" s="177">
        <v>42</v>
      </c>
      <c r="P977" s="180">
        <v>-140.5</v>
      </c>
    </row>
    <row r="978" spans="1:16" ht="19.5" customHeight="1">
      <c r="A978" s="172" t="s">
        <v>587</v>
      </c>
      <c r="B978" s="176">
        <v>46039</v>
      </c>
      <c r="C978" s="172" t="s">
        <v>100</v>
      </c>
      <c r="D978" s="172" t="s">
        <v>101</v>
      </c>
      <c r="E978" s="172" t="s">
        <v>53</v>
      </c>
      <c r="F978" s="172" t="s">
        <v>120</v>
      </c>
      <c r="G978" s="172" t="s">
        <v>84</v>
      </c>
      <c r="H978" s="177">
        <v>1</v>
      </c>
      <c r="I978" s="178">
        <v>1845</v>
      </c>
      <c r="J978" s="176">
        <v>46030</v>
      </c>
      <c r="K978" s="172" t="s">
        <v>93</v>
      </c>
      <c r="L978" s="172" t="s">
        <v>94</v>
      </c>
      <c r="M978" s="179">
        <v>0</v>
      </c>
      <c r="N978" s="177"/>
      <c r="O978" s="177"/>
      <c r="P978" s="180">
        <v>642.86</v>
      </c>
    </row>
    <row r="979" spans="1:16" ht="19.5" customHeight="1">
      <c r="A979" s="172" t="s">
        <v>587</v>
      </c>
      <c r="B979" s="176">
        <v>46039</v>
      </c>
      <c r="C979" s="172" t="s">
        <v>100</v>
      </c>
      <c r="D979" s="172" t="s">
        <v>102</v>
      </c>
      <c r="E979" s="172" t="s">
        <v>53</v>
      </c>
      <c r="F979" s="172" t="s">
        <v>120</v>
      </c>
      <c r="G979" s="172" t="s">
        <v>84</v>
      </c>
      <c r="H979" s="177">
        <v>1</v>
      </c>
      <c r="I979" s="178">
        <v>1845</v>
      </c>
      <c r="J979" s="176">
        <v>46030</v>
      </c>
      <c r="K979" s="172" t="s">
        <v>93</v>
      </c>
      <c r="L979" s="172" t="s">
        <v>94</v>
      </c>
      <c r="M979" s="179">
        <v>0</v>
      </c>
      <c r="N979" s="177"/>
      <c r="O979" s="177"/>
      <c r="P979" s="180">
        <v>6.43</v>
      </c>
    </row>
    <row r="980" spans="1:16" ht="19.5" customHeight="1">
      <c r="A980" s="172" t="s">
        <v>587</v>
      </c>
      <c r="B980" s="176">
        <v>46039</v>
      </c>
      <c r="C980" s="172" t="s">
        <v>100</v>
      </c>
      <c r="D980" s="172" t="s">
        <v>103</v>
      </c>
      <c r="E980" s="172" t="s">
        <v>53</v>
      </c>
      <c r="F980" s="172" t="s">
        <v>120</v>
      </c>
      <c r="G980" s="172" t="s">
        <v>84</v>
      </c>
      <c r="H980" s="177">
        <v>1</v>
      </c>
      <c r="I980" s="178">
        <v>1845</v>
      </c>
      <c r="J980" s="176">
        <v>46030</v>
      </c>
      <c r="K980" s="172" t="s">
        <v>93</v>
      </c>
      <c r="L980" s="172" t="s">
        <v>94</v>
      </c>
      <c r="M980" s="179">
        <v>0</v>
      </c>
      <c r="N980" s="177"/>
      <c r="O980" s="177"/>
      <c r="P980" s="180">
        <v>1195.71</v>
      </c>
    </row>
    <row r="981" spans="1:16" ht="19.5" customHeight="1">
      <c r="A981" s="172" t="s">
        <v>587</v>
      </c>
      <c r="B981" s="176">
        <v>46039</v>
      </c>
      <c r="C981" s="172" t="s">
        <v>104</v>
      </c>
      <c r="D981" s="172" t="s">
        <v>105</v>
      </c>
      <c r="E981" s="172" t="s">
        <v>53</v>
      </c>
      <c r="F981" s="172" t="s">
        <v>120</v>
      </c>
      <c r="G981" s="172" t="s">
        <v>84</v>
      </c>
      <c r="H981" s="177">
        <v>1</v>
      </c>
      <c r="I981" s="178">
        <v>1845</v>
      </c>
      <c r="J981" s="176">
        <v>46030</v>
      </c>
      <c r="K981" s="172" t="s">
        <v>93</v>
      </c>
      <c r="L981" s="172" t="s">
        <v>94</v>
      </c>
      <c r="M981" s="179">
        <v>0.43</v>
      </c>
      <c r="N981" s="177"/>
      <c r="O981" s="177"/>
      <c r="P981" s="180">
        <v>-793.35</v>
      </c>
    </row>
    <row r="982" spans="1:16" ht="19.5" customHeight="1">
      <c r="A982" s="172" t="s">
        <v>587</v>
      </c>
      <c r="B982" s="176">
        <v>46039</v>
      </c>
      <c r="C982" s="172" t="s">
        <v>81</v>
      </c>
      <c r="D982" s="172" t="s">
        <v>95</v>
      </c>
      <c r="E982" s="172" t="s">
        <v>53</v>
      </c>
      <c r="F982" s="172" t="s">
        <v>120</v>
      </c>
      <c r="G982" s="172" t="s">
        <v>84</v>
      </c>
      <c r="H982" s="177">
        <v>1</v>
      </c>
      <c r="I982" s="178">
        <v>1845</v>
      </c>
      <c r="J982" s="176">
        <v>46030</v>
      </c>
      <c r="K982" s="172" t="s">
        <v>93</v>
      </c>
      <c r="L982" s="172" t="s">
        <v>94</v>
      </c>
      <c r="M982" s="179">
        <v>0.43</v>
      </c>
      <c r="N982" s="177"/>
      <c r="O982" s="177"/>
      <c r="P982" s="180">
        <v>-9.67</v>
      </c>
    </row>
    <row r="983" spans="1:16" ht="19.5" customHeight="1">
      <c r="A983" s="172" t="s">
        <v>588</v>
      </c>
      <c r="B983" s="176">
        <v>46039</v>
      </c>
      <c r="C983" s="172" t="s">
        <v>92</v>
      </c>
      <c r="D983" s="172" t="s">
        <v>24</v>
      </c>
      <c r="E983" s="172" t="s">
        <v>53</v>
      </c>
      <c r="F983" s="172" t="s">
        <v>120</v>
      </c>
      <c r="G983" s="172" t="s">
        <v>84</v>
      </c>
      <c r="H983" s="177">
        <v>1</v>
      </c>
      <c r="I983" s="178">
        <v>1845</v>
      </c>
      <c r="J983" s="176">
        <v>46036</v>
      </c>
      <c r="K983" s="172" t="s">
        <v>93</v>
      </c>
      <c r="L983" s="172" t="s">
        <v>94</v>
      </c>
      <c r="M983" s="179">
        <v>0.43</v>
      </c>
      <c r="N983" s="177"/>
      <c r="O983" s="177">
        <v>45</v>
      </c>
      <c r="P983" s="180">
        <v>-153.85</v>
      </c>
    </row>
    <row r="984" spans="1:16" ht="19.5" customHeight="1">
      <c r="A984" s="172" t="s">
        <v>588</v>
      </c>
      <c r="B984" s="176">
        <v>46039</v>
      </c>
      <c r="C984" s="172" t="s">
        <v>100</v>
      </c>
      <c r="D984" s="172" t="s">
        <v>101</v>
      </c>
      <c r="E984" s="172" t="s">
        <v>53</v>
      </c>
      <c r="F984" s="172" t="s">
        <v>120</v>
      </c>
      <c r="G984" s="172" t="s">
        <v>84</v>
      </c>
      <c r="H984" s="177">
        <v>1</v>
      </c>
      <c r="I984" s="178">
        <v>1845</v>
      </c>
      <c r="J984" s="176">
        <v>46036</v>
      </c>
      <c r="K984" s="172" t="s">
        <v>93</v>
      </c>
      <c r="L984" s="172" t="s">
        <v>94</v>
      </c>
      <c r="M984" s="179">
        <v>0</v>
      </c>
      <c r="N984" s="177"/>
      <c r="O984" s="177"/>
      <c r="P984" s="180">
        <v>642.86</v>
      </c>
    </row>
    <row r="985" spans="1:16" ht="19.5" customHeight="1">
      <c r="A985" s="172" t="s">
        <v>588</v>
      </c>
      <c r="B985" s="176">
        <v>46039</v>
      </c>
      <c r="C985" s="172" t="s">
        <v>100</v>
      </c>
      <c r="D985" s="172" t="s">
        <v>102</v>
      </c>
      <c r="E985" s="172" t="s">
        <v>53</v>
      </c>
      <c r="F985" s="172" t="s">
        <v>120</v>
      </c>
      <c r="G985" s="172" t="s">
        <v>84</v>
      </c>
      <c r="H985" s="177">
        <v>1</v>
      </c>
      <c r="I985" s="178">
        <v>1845</v>
      </c>
      <c r="J985" s="176">
        <v>46036</v>
      </c>
      <c r="K985" s="172" t="s">
        <v>93</v>
      </c>
      <c r="L985" s="172" t="s">
        <v>94</v>
      </c>
      <c r="M985" s="179">
        <v>0</v>
      </c>
      <c r="N985" s="177"/>
      <c r="O985" s="177"/>
      <c r="P985" s="180">
        <v>6.43</v>
      </c>
    </row>
    <row r="986" spans="1:16" ht="19.5" customHeight="1">
      <c r="A986" s="172" t="s">
        <v>588</v>
      </c>
      <c r="B986" s="176">
        <v>46039</v>
      </c>
      <c r="C986" s="172" t="s">
        <v>100</v>
      </c>
      <c r="D986" s="172" t="s">
        <v>103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46036</v>
      </c>
      <c r="K986" s="172" t="s">
        <v>93</v>
      </c>
      <c r="L986" s="172" t="s">
        <v>94</v>
      </c>
      <c r="M986" s="179">
        <v>0</v>
      </c>
      <c r="N986" s="177"/>
      <c r="O986" s="177"/>
      <c r="P986" s="180">
        <v>1195.71</v>
      </c>
    </row>
    <row r="987" spans="1:16" ht="19.5" customHeight="1">
      <c r="A987" s="172" t="s">
        <v>588</v>
      </c>
      <c r="B987" s="176">
        <v>46039</v>
      </c>
      <c r="C987" s="172" t="s">
        <v>104</v>
      </c>
      <c r="D987" s="172" t="s">
        <v>105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46036</v>
      </c>
      <c r="K987" s="172" t="s">
        <v>93</v>
      </c>
      <c r="L987" s="172" t="s">
        <v>94</v>
      </c>
      <c r="M987" s="179">
        <v>0.43</v>
      </c>
      <c r="N987" s="177"/>
      <c r="O987" s="177"/>
      <c r="P987" s="180">
        <v>-793.35</v>
      </c>
    </row>
    <row r="988" spans="1:16" ht="19.5" customHeight="1">
      <c r="A988" s="172" t="s">
        <v>588</v>
      </c>
      <c r="B988" s="176">
        <v>46039</v>
      </c>
      <c r="C988" s="172" t="s">
        <v>81</v>
      </c>
      <c r="D988" s="172" t="s">
        <v>95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46036</v>
      </c>
      <c r="K988" s="172" t="s">
        <v>93</v>
      </c>
      <c r="L988" s="172" t="s">
        <v>94</v>
      </c>
      <c r="M988" s="179">
        <v>0.43</v>
      </c>
      <c r="N988" s="177"/>
      <c r="O988" s="177"/>
      <c r="P988" s="180">
        <v>-9.84</v>
      </c>
    </row>
    <row r="989" spans="1:16" ht="19.5" customHeight="1">
      <c r="A989" s="172" t="s">
        <v>588</v>
      </c>
      <c r="B989" s="176">
        <v>46039</v>
      </c>
      <c r="C989" s="172" t="s">
        <v>81</v>
      </c>
      <c r="D989" s="172" t="s">
        <v>82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0</v>
      </c>
      <c r="J989" s="176">
        <v>46036</v>
      </c>
      <c r="K989" s="172" t="s">
        <v>85</v>
      </c>
      <c r="L989" s="172" t="s">
        <v>85</v>
      </c>
      <c r="M989" s="179">
        <v>0</v>
      </c>
      <c r="N989" s="177"/>
      <c r="O989" s="177"/>
      <c r="P989" s="180">
        <v>-12.21</v>
      </c>
    </row>
    <row r="990" spans="1:16" ht="19.5" customHeight="1">
      <c r="A990" s="172" t="s">
        <v>589</v>
      </c>
      <c r="B990" s="176">
        <v>46039</v>
      </c>
      <c r="C990" s="172" t="s">
        <v>92</v>
      </c>
      <c r="D990" s="172" t="s">
        <v>24</v>
      </c>
      <c r="E990" s="172" t="s">
        <v>41</v>
      </c>
      <c r="F990" s="172" t="s">
        <v>83</v>
      </c>
      <c r="G990" s="172" t="s">
        <v>84</v>
      </c>
      <c r="H990" s="177">
        <v>1</v>
      </c>
      <c r="I990" s="178">
        <v>1750</v>
      </c>
      <c r="J990" s="176">
        <v>46035</v>
      </c>
      <c r="K990" s="172" t="s">
        <v>93</v>
      </c>
      <c r="L990" s="172" t="s">
        <v>94</v>
      </c>
      <c r="M990" s="179">
        <v>0.43</v>
      </c>
      <c r="N990" s="177"/>
      <c r="O990" s="177">
        <v>45</v>
      </c>
      <c r="P990" s="180">
        <v>-135.38999999999999</v>
      </c>
    </row>
    <row r="991" spans="1:16" ht="19.5" customHeight="1">
      <c r="A991" s="172" t="s">
        <v>589</v>
      </c>
      <c r="B991" s="176">
        <v>46039</v>
      </c>
      <c r="C991" s="172" t="s">
        <v>100</v>
      </c>
      <c r="D991" s="172" t="s">
        <v>101</v>
      </c>
      <c r="E991" s="172" t="s">
        <v>41</v>
      </c>
      <c r="F991" s="172" t="s">
        <v>83</v>
      </c>
      <c r="G991" s="172" t="s">
        <v>84</v>
      </c>
      <c r="H991" s="177">
        <v>1</v>
      </c>
      <c r="I991" s="178">
        <v>1750</v>
      </c>
      <c r="J991" s="176">
        <v>46035</v>
      </c>
      <c r="K991" s="172" t="s">
        <v>93</v>
      </c>
      <c r="L991" s="172" t="s">
        <v>94</v>
      </c>
      <c r="M991" s="179">
        <v>0</v>
      </c>
      <c r="N991" s="177"/>
      <c r="O991" s="177"/>
      <c r="P991" s="180">
        <v>666.67</v>
      </c>
    </row>
    <row r="992" spans="1:16" ht="19.5" customHeight="1">
      <c r="A992" s="172" t="s">
        <v>589</v>
      </c>
      <c r="B992" s="176">
        <v>46039</v>
      </c>
      <c r="C992" s="172" t="s">
        <v>100</v>
      </c>
      <c r="D992" s="172" t="s">
        <v>102</v>
      </c>
      <c r="E992" s="172" t="s">
        <v>41</v>
      </c>
      <c r="F992" s="172" t="s">
        <v>83</v>
      </c>
      <c r="G992" s="172" t="s">
        <v>84</v>
      </c>
      <c r="H992" s="177">
        <v>1</v>
      </c>
      <c r="I992" s="178">
        <v>1750</v>
      </c>
      <c r="J992" s="176">
        <v>46035</v>
      </c>
      <c r="K992" s="172" t="s">
        <v>93</v>
      </c>
      <c r="L992" s="172" t="s">
        <v>94</v>
      </c>
      <c r="M992" s="179">
        <v>0</v>
      </c>
      <c r="N992" s="177"/>
      <c r="O992" s="177"/>
      <c r="P992" s="180">
        <v>0</v>
      </c>
    </row>
    <row r="993" spans="1:16" ht="19.5" customHeight="1">
      <c r="A993" s="172" t="s">
        <v>589</v>
      </c>
      <c r="B993" s="176">
        <v>46039</v>
      </c>
      <c r="C993" s="172" t="s">
        <v>100</v>
      </c>
      <c r="D993" s="172" t="s">
        <v>103</v>
      </c>
      <c r="E993" s="172" t="s">
        <v>41</v>
      </c>
      <c r="F993" s="172" t="s">
        <v>83</v>
      </c>
      <c r="G993" s="172" t="s">
        <v>84</v>
      </c>
      <c r="H993" s="177">
        <v>1</v>
      </c>
      <c r="I993" s="178">
        <v>1750</v>
      </c>
      <c r="J993" s="176">
        <v>46035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1083.33</v>
      </c>
    </row>
    <row r="994" spans="1:16" ht="19.5" customHeight="1">
      <c r="A994" s="172" t="s">
        <v>589</v>
      </c>
      <c r="B994" s="176">
        <v>46039</v>
      </c>
      <c r="C994" s="172" t="s">
        <v>104</v>
      </c>
      <c r="D994" s="172" t="s">
        <v>105</v>
      </c>
      <c r="E994" s="172" t="s">
        <v>41</v>
      </c>
      <c r="F994" s="172" t="s">
        <v>83</v>
      </c>
      <c r="G994" s="172" t="s">
        <v>84</v>
      </c>
      <c r="H994" s="177">
        <v>1</v>
      </c>
      <c r="I994" s="178">
        <v>1750</v>
      </c>
      <c r="J994" s="176">
        <v>46035</v>
      </c>
      <c r="K994" s="172" t="s">
        <v>93</v>
      </c>
      <c r="L994" s="172" t="s">
        <v>94</v>
      </c>
      <c r="M994" s="179">
        <v>0.43</v>
      </c>
      <c r="N994" s="177"/>
      <c r="O994" s="177"/>
      <c r="P994" s="180">
        <v>-752.5</v>
      </c>
    </row>
    <row r="995" spans="1:16" ht="19.5" customHeight="1">
      <c r="A995" s="172" t="s">
        <v>589</v>
      </c>
      <c r="B995" s="176">
        <v>46039</v>
      </c>
      <c r="C995" s="172" t="s">
        <v>81</v>
      </c>
      <c r="D995" s="172" t="s">
        <v>95</v>
      </c>
      <c r="E995" s="172" t="s">
        <v>41</v>
      </c>
      <c r="F995" s="172" t="s">
        <v>83</v>
      </c>
      <c r="G995" s="172" t="s">
        <v>84</v>
      </c>
      <c r="H995" s="177">
        <v>1</v>
      </c>
      <c r="I995" s="178">
        <v>1750</v>
      </c>
      <c r="J995" s="176">
        <v>46035</v>
      </c>
      <c r="K995" s="172" t="s">
        <v>93</v>
      </c>
      <c r="L995" s="172" t="s">
        <v>94</v>
      </c>
      <c r="M995" s="179">
        <v>0.43</v>
      </c>
      <c r="N995" s="177"/>
      <c r="O995" s="177"/>
      <c r="P995" s="180">
        <v>-9.93</v>
      </c>
    </row>
    <row r="996" spans="1:16" ht="19.5" customHeight="1">
      <c r="A996" s="172" t="s">
        <v>590</v>
      </c>
      <c r="B996" s="176">
        <v>46039</v>
      </c>
      <c r="C996" s="172" t="s">
        <v>92</v>
      </c>
      <c r="D996" s="172" t="s">
        <v>24</v>
      </c>
      <c r="E996" s="172" t="s">
        <v>53</v>
      </c>
      <c r="F996" s="172" t="s">
        <v>120</v>
      </c>
      <c r="G996" s="172" t="s">
        <v>84</v>
      </c>
      <c r="H996" s="177">
        <v>1</v>
      </c>
      <c r="I996" s="178">
        <v>1845</v>
      </c>
      <c r="J996" s="176">
        <v>46035</v>
      </c>
      <c r="K996" s="172" t="s">
        <v>93</v>
      </c>
      <c r="L996" s="172" t="s">
        <v>94</v>
      </c>
      <c r="M996" s="179">
        <v>0.43</v>
      </c>
      <c r="N996" s="177"/>
      <c r="O996" s="177">
        <v>45</v>
      </c>
      <c r="P996" s="180">
        <v>-153.85</v>
      </c>
    </row>
    <row r="997" spans="1:16" ht="19.5" customHeight="1">
      <c r="A997" s="172" t="s">
        <v>590</v>
      </c>
      <c r="B997" s="176">
        <v>46039</v>
      </c>
      <c r="C997" s="172" t="s">
        <v>100</v>
      </c>
      <c r="D997" s="172" t="s">
        <v>101</v>
      </c>
      <c r="E997" s="172" t="s">
        <v>53</v>
      </c>
      <c r="F997" s="172" t="s">
        <v>120</v>
      </c>
      <c r="G997" s="172" t="s">
        <v>84</v>
      </c>
      <c r="H997" s="177">
        <v>1</v>
      </c>
      <c r="I997" s="178">
        <v>1845</v>
      </c>
      <c r="J997" s="176">
        <v>46035</v>
      </c>
      <c r="K997" s="172" t="s">
        <v>93</v>
      </c>
      <c r="L997" s="172" t="s">
        <v>94</v>
      </c>
      <c r="M997" s="179">
        <v>0</v>
      </c>
      <c r="N997" s="177"/>
      <c r="O997" s="177"/>
      <c r="P997" s="180">
        <v>642.86</v>
      </c>
    </row>
    <row r="998" spans="1:16" ht="19.5" customHeight="1">
      <c r="A998" s="172" t="s">
        <v>590</v>
      </c>
      <c r="B998" s="176">
        <v>46039</v>
      </c>
      <c r="C998" s="172" t="s">
        <v>100</v>
      </c>
      <c r="D998" s="172" t="s">
        <v>102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46035</v>
      </c>
      <c r="K998" s="172" t="s">
        <v>93</v>
      </c>
      <c r="L998" s="172" t="s">
        <v>94</v>
      </c>
      <c r="M998" s="179">
        <v>0</v>
      </c>
      <c r="N998" s="177"/>
      <c r="O998" s="177"/>
      <c r="P998" s="180">
        <v>6.43</v>
      </c>
    </row>
    <row r="999" spans="1:16" ht="19.5" customHeight="1">
      <c r="A999" s="172" t="s">
        <v>590</v>
      </c>
      <c r="B999" s="176">
        <v>46039</v>
      </c>
      <c r="C999" s="172" t="s">
        <v>100</v>
      </c>
      <c r="D999" s="172" t="s">
        <v>103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46035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1195.71</v>
      </c>
    </row>
    <row r="1000" spans="1:16" ht="19.5" customHeight="1">
      <c r="A1000" s="172" t="s">
        <v>590</v>
      </c>
      <c r="B1000" s="176">
        <v>46039</v>
      </c>
      <c r="C1000" s="172" t="s">
        <v>104</v>
      </c>
      <c r="D1000" s="172" t="s">
        <v>105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46035</v>
      </c>
      <c r="K1000" s="172" t="s">
        <v>93</v>
      </c>
      <c r="L1000" s="172" t="s">
        <v>94</v>
      </c>
      <c r="M1000" s="179">
        <v>0.43</v>
      </c>
      <c r="N1000" s="177"/>
      <c r="O1000" s="177"/>
      <c r="P1000" s="180">
        <v>-793.35</v>
      </c>
    </row>
    <row r="1001" spans="1:16" ht="19.5" customHeight="1">
      <c r="A1001" s="172" t="s">
        <v>590</v>
      </c>
      <c r="B1001" s="176">
        <v>46039</v>
      </c>
      <c r="C1001" s="172" t="s">
        <v>81</v>
      </c>
      <c r="D1001" s="172" t="s">
        <v>95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46035</v>
      </c>
      <c r="K1001" s="172" t="s">
        <v>93</v>
      </c>
      <c r="L1001" s="172" t="s">
        <v>94</v>
      </c>
      <c r="M1001" s="179">
        <v>0.43</v>
      </c>
      <c r="N1001" s="177"/>
      <c r="O1001" s="177"/>
      <c r="P1001" s="180">
        <v>-9.56</v>
      </c>
    </row>
    <row r="1002" spans="1:16" ht="19.5" customHeight="1">
      <c r="A1002" s="172" t="s">
        <v>591</v>
      </c>
      <c r="B1002" s="176">
        <v>46039</v>
      </c>
      <c r="C1002" s="172" t="s">
        <v>92</v>
      </c>
      <c r="D1002" s="172" t="s">
        <v>24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46033</v>
      </c>
      <c r="K1002" s="172" t="s">
        <v>93</v>
      </c>
      <c r="L1002" s="172" t="s">
        <v>94</v>
      </c>
      <c r="M1002" s="179">
        <v>0.43</v>
      </c>
      <c r="N1002" s="177"/>
      <c r="O1002" s="177">
        <v>42</v>
      </c>
      <c r="P1002" s="180">
        <v>-140.5</v>
      </c>
    </row>
    <row r="1003" spans="1:16" ht="19.5" customHeight="1">
      <c r="A1003" s="172" t="s">
        <v>591</v>
      </c>
      <c r="B1003" s="176">
        <v>46039</v>
      </c>
      <c r="C1003" s="172" t="s">
        <v>100</v>
      </c>
      <c r="D1003" s="172" t="s">
        <v>101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46033</v>
      </c>
      <c r="K1003" s="172" t="s">
        <v>93</v>
      </c>
      <c r="L1003" s="172" t="s">
        <v>94</v>
      </c>
      <c r="M1003" s="179">
        <v>0</v>
      </c>
      <c r="N1003" s="177"/>
      <c r="O1003" s="177"/>
      <c r="P1003" s="180">
        <v>642.86</v>
      </c>
    </row>
    <row r="1004" spans="1:16" ht="19.5" customHeight="1">
      <c r="A1004" s="172" t="s">
        <v>591</v>
      </c>
      <c r="B1004" s="176">
        <v>46039</v>
      </c>
      <c r="C1004" s="172" t="s">
        <v>100</v>
      </c>
      <c r="D1004" s="172" t="s">
        <v>102</v>
      </c>
      <c r="E1004" s="172" t="s">
        <v>53</v>
      </c>
      <c r="F1004" s="172" t="s">
        <v>120</v>
      </c>
      <c r="G1004" s="172" t="s">
        <v>84</v>
      </c>
      <c r="H1004" s="177">
        <v>1</v>
      </c>
      <c r="I1004" s="178">
        <v>1845</v>
      </c>
      <c r="J1004" s="176">
        <v>46033</v>
      </c>
      <c r="K1004" s="172" t="s">
        <v>93</v>
      </c>
      <c r="L1004" s="172" t="s">
        <v>94</v>
      </c>
      <c r="M1004" s="179">
        <v>0</v>
      </c>
      <c r="N1004" s="177"/>
      <c r="O1004" s="177"/>
      <c r="P1004" s="180">
        <v>6.43</v>
      </c>
    </row>
    <row r="1005" spans="1:16" ht="19.5" customHeight="1">
      <c r="A1005" s="172" t="s">
        <v>591</v>
      </c>
      <c r="B1005" s="176">
        <v>46039</v>
      </c>
      <c r="C1005" s="172" t="s">
        <v>100</v>
      </c>
      <c r="D1005" s="172" t="s">
        <v>103</v>
      </c>
      <c r="E1005" s="172" t="s">
        <v>53</v>
      </c>
      <c r="F1005" s="172" t="s">
        <v>120</v>
      </c>
      <c r="G1005" s="172" t="s">
        <v>84</v>
      </c>
      <c r="H1005" s="177">
        <v>1</v>
      </c>
      <c r="I1005" s="178">
        <v>1845</v>
      </c>
      <c r="J1005" s="176">
        <v>46033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1195.71</v>
      </c>
    </row>
    <row r="1006" spans="1:16" ht="19.5" customHeight="1">
      <c r="A1006" s="172" t="s">
        <v>591</v>
      </c>
      <c r="B1006" s="176">
        <v>46039</v>
      </c>
      <c r="C1006" s="172" t="s">
        <v>104</v>
      </c>
      <c r="D1006" s="172" t="s">
        <v>105</v>
      </c>
      <c r="E1006" s="172" t="s">
        <v>53</v>
      </c>
      <c r="F1006" s="172" t="s">
        <v>120</v>
      </c>
      <c r="G1006" s="172" t="s">
        <v>84</v>
      </c>
      <c r="H1006" s="177">
        <v>1</v>
      </c>
      <c r="I1006" s="178">
        <v>1845</v>
      </c>
      <c r="J1006" s="176">
        <v>46033</v>
      </c>
      <c r="K1006" s="172" t="s">
        <v>93</v>
      </c>
      <c r="L1006" s="172" t="s">
        <v>94</v>
      </c>
      <c r="M1006" s="179">
        <v>0.43</v>
      </c>
      <c r="N1006" s="177"/>
      <c r="O1006" s="177"/>
      <c r="P1006" s="180">
        <v>-793.35</v>
      </c>
    </row>
    <row r="1007" spans="1:16" ht="19.5" customHeight="1">
      <c r="A1007" s="172" t="s">
        <v>591</v>
      </c>
      <c r="B1007" s="176">
        <v>46039</v>
      </c>
      <c r="C1007" s="172" t="s">
        <v>81</v>
      </c>
      <c r="D1007" s="172" t="s">
        <v>95</v>
      </c>
      <c r="E1007" s="172" t="s">
        <v>53</v>
      </c>
      <c r="F1007" s="172" t="s">
        <v>120</v>
      </c>
      <c r="G1007" s="172" t="s">
        <v>84</v>
      </c>
      <c r="H1007" s="177">
        <v>1</v>
      </c>
      <c r="I1007" s="178">
        <v>1845</v>
      </c>
      <c r="J1007" s="176">
        <v>46033</v>
      </c>
      <c r="K1007" s="172" t="s">
        <v>93</v>
      </c>
      <c r="L1007" s="172" t="s">
        <v>94</v>
      </c>
      <c r="M1007" s="179">
        <v>0.43</v>
      </c>
      <c r="N1007" s="177"/>
      <c r="O1007" s="177"/>
      <c r="P1007" s="180">
        <v>-20.93</v>
      </c>
    </row>
    <row r="1008" spans="1:16" ht="19.5" customHeight="1">
      <c r="A1008" s="172" t="s">
        <v>589</v>
      </c>
      <c r="B1008" s="176">
        <v>46039</v>
      </c>
      <c r="C1008" s="172" t="s">
        <v>81</v>
      </c>
      <c r="D1008" s="172" t="s">
        <v>82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0</v>
      </c>
      <c r="J1008" s="176">
        <v>46035</v>
      </c>
      <c r="K1008" s="172" t="s">
        <v>85</v>
      </c>
      <c r="L1008" s="172" t="s">
        <v>85</v>
      </c>
      <c r="M1008" s="179">
        <v>0</v>
      </c>
      <c r="N1008" s="177"/>
      <c r="O1008" s="177"/>
      <c r="P1008" s="180">
        <v>-6.27</v>
      </c>
    </row>
    <row r="1009" spans="1:16" ht="19.5" customHeight="1">
      <c r="A1009" s="172" t="s">
        <v>590</v>
      </c>
      <c r="B1009" s="176">
        <v>46039</v>
      </c>
      <c r="C1009" s="172" t="s">
        <v>81</v>
      </c>
      <c r="D1009" s="172" t="s">
        <v>82</v>
      </c>
      <c r="E1009" s="172" t="s">
        <v>53</v>
      </c>
      <c r="F1009" s="172" t="s">
        <v>120</v>
      </c>
      <c r="G1009" s="172" t="s">
        <v>84</v>
      </c>
      <c r="H1009" s="177">
        <v>1</v>
      </c>
      <c r="I1009" s="178">
        <v>0</v>
      </c>
      <c r="J1009" s="176">
        <v>46035</v>
      </c>
      <c r="K1009" s="172" t="s">
        <v>85</v>
      </c>
      <c r="L1009" s="172" t="s">
        <v>85</v>
      </c>
      <c r="M1009" s="179">
        <v>0</v>
      </c>
      <c r="N1009" s="177"/>
      <c r="O1009" s="177"/>
      <c r="P1009" s="180">
        <v>-12.21</v>
      </c>
    </row>
    <row r="1010" spans="1:16" ht="19.5" customHeight="1">
      <c r="A1010" s="172" t="s">
        <v>592</v>
      </c>
      <c r="B1010" s="176">
        <v>46039</v>
      </c>
      <c r="C1010" s="172" t="s">
        <v>92</v>
      </c>
      <c r="D1010" s="172" t="s">
        <v>24</v>
      </c>
      <c r="E1010" s="172" t="s">
        <v>42</v>
      </c>
      <c r="F1010" s="172" t="s">
        <v>89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-126.64</v>
      </c>
    </row>
    <row r="1011" spans="1:16" ht="19.5" customHeight="1">
      <c r="A1011" s="172" t="s">
        <v>592</v>
      </c>
      <c r="B1011" s="176">
        <v>46039</v>
      </c>
      <c r="C1011" s="172" t="s">
        <v>100</v>
      </c>
      <c r="D1011" s="172" t="s">
        <v>101</v>
      </c>
      <c r="E1011" s="172" t="s">
        <v>42</v>
      </c>
      <c r="F1011" s="172" t="s">
        <v>89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606.64</v>
      </c>
    </row>
    <row r="1012" spans="1:16" ht="19.5" customHeight="1">
      <c r="A1012" s="172" t="s">
        <v>592</v>
      </c>
      <c r="B1012" s="176">
        <v>46039</v>
      </c>
      <c r="C1012" s="172" t="s">
        <v>100</v>
      </c>
      <c r="D1012" s="172" t="s">
        <v>102</v>
      </c>
      <c r="E1012" s="172" t="s">
        <v>42</v>
      </c>
      <c r="F1012" s="172" t="s">
        <v>89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0</v>
      </c>
    </row>
    <row r="1013" spans="1:16" ht="19.5" customHeight="1">
      <c r="A1013" s="172" t="s">
        <v>592</v>
      </c>
      <c r="B1013" s="176">
        <v>46039</v>
      </c>
      <c r="C1013" s="172" t="s">
        <v>100</v>
      </c>
      <c r="D1013" s="172" t="s">
        <v>103</v>
      </c>
      <c r="E1013" s="172" t="s">
        <v>42</v>
      </c>
      <c r="F1013" s="172" t="s">
        <v>89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993.36</v>
      </c>
    </row>
    <row r="1014" spans="1:16" ht="19.5" customHeight="1">
      <c r="A1014" s="172" t="s">
        <v>592</v>
      </c>
      <c r="B1014" s="176">
        <v>46039</v>
      </c>
      <c r="C1014" s="172" t="s">
        <v>104</v>
      </c>
      <c r="D1014" s="172" t="s">
        <v>105</v>
      </c>
      <c r="E1014" s="172" t="s">
        <v>42</v>
      </c>
      <c r="F1014" s="172" t="s">
        <v>89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592</v>
      </c>
      <c r="B1015" s="176">
        <v>46039</v>
      </c>
      <c r="C1015" s="172" t="s">
        <v>81</v>
      </c>
      <c r="D1015" s="172" t="s">
        <v>95</v>
      </c>
      <c r="E1015" s="172" t="s">
        <v>42</v>
      </c>
      <c r="F1015" s="172" t="s">
        <v>89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-11.63</v>
      </c>
    </row>
    <row r="1016" spans="1:16" ht="19.5" customHeight="1">
      <c r="A1016" s="172" t="s">
        <v>593</v>
      </c>
      <c r="B1016" s="176">
        <v>46039</v>
      </c>
      <c r="C1016" s="172" t="s">
        <v>92</v>
      </c>
      <c r="D1016" s="172" t="s">
        <v>24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1845</v>
      </c>
      <c r="J1016" s="176">
        <v>46032</v>
      </c>
      <c r="K1016" s="172" t="s">
        <v>93</v>
      </c>
      <c r="L1016" s="172" t="s">
        <v>94</v>
      </c>
      <c r="M1016" s="179">
        <v>0.43</v>
      </c>
      <c r="N1016" s="177"/>
      <c r="O1016" s="177">
        <v>41</v>
      </c>
      <c r="P1016" s="180">
        <v>-136.06</v>
      </c>
    </row>
    <row r="1017" spans="1:16" ht="19.5" customHeight="1">
      <c r="A1017" s="172" t="s">
        <v>593</v>
      </c>
      <c r="B1017" s="176">
        <v>46039</v>
      </c>
      <c r="C1017" s="172" t="s">
        <v>100</v>
      </c>
      <c r="D1017" s="172" t="s">
        <v>101</v>
      </c>
      <c r="E1017" s="172" t="s">
        <v>53</v>
      </c>
      <c r="F1017" s="172" t="s">
        <v>120</v>
      </c>
      <c r="G1017" s="172" t="s">
        <v>84</v>
      </c>
      <c r="H1017" s="177">
        <v>1</v>
      </c>
      <c r="I1017" s="178">
        <v>1845</v>
      </c>
      <c r="J1017" s="176">
        <v>46032</v>
      </c>
      <c r="K1017" s="172" t="s">
        <v>93</v>
      </c>
      <c r="L1017" s="172" t="s">
        <v>94</v>
      </c>
      <c r="M1017" s="179">
        <v>0</v>
      </c>
      <c r="N1017" s="177"/>
      <c r="O1017" s="177"/>
      <c r="P1017" s="180">
        <v>642.25</v>
      </c>
    </row>
    <row r="1018" spans="1:16" ht="19.5" customHeight="1">
      <c r="A1018" s="172" t="s">
        <v>593</v>
      </c>
      <c r="B1018" s="176">
        <v>46039</v>
      </c>
      <c r="C1018" s="172" t="s">
        <v>100</v>
      </c>
      <c r="D1018" s="172" t="s">
        <v>102</v>
      </c>
      <c r="E1018" s="172" t="s">
        <v>53</v>
      </c>
      <c r="F1018" s="172" t="s">
        <v>120</v>
      </c>
      <c r="G1018" s="172" t="s">
        <v>84</v>
      </c>
      <c r="H1018" s="177">
        <v>1</v>
      </c>
      <c r="I1018" s="178">
        <v>1845</v>
      </c>
      <c r="J1018" s="176">
        <v>46032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6.42</v>
      </c>
    </row>
    <row r="1019" spans="1:16" ht="19.5" customHeight="1">
      <c r="A1019" s="172" t="s">
        <v>593</v>
      </c>
      <c r="B1019" s="176">
        <v>46039</v>
      </c>
      <c r="C1019" s="172" t="s">
        <v>100</v>
      </c>
      <c r="D1019" s="172" t="s">
        <v>103</v>
      </c>
      <c r="E1019" s="172" t="s">
        <v>53</v>
      </c>
      <c r="F1019" s="172" t="s">
        <v>120</v>
      </c>
      <c r="G1019" s="172" t="s">
        <v>84</v>
      </c>
      <c r="H1019" s="177">
        <v>1</v>
      </c>
      <c r="I1019" s="178">
        <v>1845</v>
      </c>
      <c r="J1019" s="176">
        <v>46032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1196.33</v>
      </c>
    </row>
    <row r="1020" spans="1:16" ht="19.5" customHeight="1">
      <c r="A1020" s="172" t="s">
        <v>593</v>
      </c>
      <c r="B1020" s="176">
        <v>46039</v>
      </c>
      <c r="C1020" s="172" t="s">
        <v>104</v>
      </c>
      <c r="D1020" s="172" t="s">
        <v>105</v>
      </c>
      <c r="E1020" s="172" t="s">
        <v>53</v>
      </c>
      <c r="F1020" s="172" t="s">
        <v>120</v>
      </c>
      <c r="G1020" s="172" t="s">
        <v>84</v>
      </c>
      <c r="H1020" s="177">
        <v>1</v>
      </c>
      <c r="I1020" s="178">
        <v>1845</v>
      </c>
      <c r="J1020" s="176">
        <v>46032</v>
      </c>
      <c r="K1020" s="172" t="s">
        <v>93</v>
      </c>
      <c r="L1020" s="172" t="s">
        <v>94</v>
      </c>
      <c r="M1020" s="179">
        <v>0.43</v>
      </c>
      <c r="N1020" s="177"/>
      <c r="O1020" s="177"/>
      <c r="P1020" s="180">
        <v>-793.35</v>
      </c>
    </row>
    <row r="1021" spans="1:16" ht="19.5" customHeight="1">
      <c r="A1021" s="172" t="s">
        <v>593</v>
      </c>
      <c r="B1021" s="176">
        <v>46039</v>
      </c>
      <c r="C1021" s="172" t="s">
        <v>81</v>
      </c>
      <c r="D1021" s="172" t="s">
        <v>95</v>
      </c>
      <c r="E1021" s="172" t="s">
        <v>53</v>
      </c>
      <c r="F1021" s="172" t="s">
        <v>120</v>
      </c>
      <c r="G1021" s="172" t="s">
        <v>84</v>
      </c>
      <c r="H1021" s="177">
        <v>1</v>
      </c>
      <c r="I1021" s="178">
        <v>1845</v>
      </c>
      <c r="J1021" s="176">
        <v>46032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-18.190000000000001</v>
      </c>
    </row>
    <row r="1022" spans="1:16" ht="19.5" customHeight="1">
      <c r="A1022" s="172" t="s">
        <v>594</v>
      </c>
      <c r="B1022" s="176">
        <v>46039</v>
      </c>
      <c r="C1022" s="172" t="s">
        <v>81</v>
      </c>
      <c r="D1022" s="172" t="s">
        <v>82</v>
      </c>
      <c r="E1022" s="172" t="s">
        <v>53</v>
      </c>
      <c r="F1022" s="172" t="s">
        <v>120</v>
      </c>
      <c r="G1022" s="172" t="s">
        <v>84</v>
      </c>
      <c r="H1022" s="177">
        <v>1</v>
      </c>
      <c r="I1022" s="178">
        <v>0</v>
      </c>
      <c r="J1022" s="176">
        <v>46032</v>
      </c>
      <c r="K1022" s="172" t="s">
        <v>85</v>
      </c>
      <c r="L1022" s="172" t="s">
        <v>85</v>
      </c>
      <c r="M1022" s="179">
        <v>0</v>
      </c>
      <c r="N1022" s="177"/>
      <c r="O1022" s="177"/>
      <c r="P1022" s="180">
        <v>12.21</v>
      </c>
    </row>
    <row r="1023" spans="1:16" ht="19.5" customHeight="1">
      <c r="A1023" s="172" t="s">
        <v>593</v>
      </c>
      <c r="B1023" s="176">
        <v>46039</v>
      </c>
      <c r="C1023" s="172" t="s">
        <v>81</v>
      </c>
      <c r="D1023" s="172" t="s">
        <v>82</v>
      </c>
      <c r="E1023" s="172" t="s">
        <v>53</v>
      </c>
      <c r="F1023" s="172" t="s">
        <v>120</v>
      </c>
      <c r="G1023" s="172" t="s">
        <v>84</v>
      </c>
      <c r="H1023" s="177">
        <v>1</v>
      </c>
      <c r="I1023" s="178">
        <v>0</v>
      </c>
      <c r="J1023" s="176">
        <v>46032</v>
      </c>
      <c r="K1023" s="172" t="s">
        <v>85</v>
      </c>
      <c r="L1023" s="172" t="s">
        <v>85</v>
      </c>
      <c r="M1023" s="179">
        <v>0</v>
      </c>
      <c r="N1023" s="177"/>
      <c r="O1023" s="177"/>
      <c r="P1023" s="180">
        <v>-12.2</v>
      </c>
    </row>
    <row r="1024" spans="1:16" ht="19.5" customHeight="1">
      <c r="A1024" s="172" t="s">
        <v>595</v>
      </c>
      <c r="B1024" s="176">
        <v>46039</v>
      </c>
      <c r="C1024" s="172" t="s">
        <v>81</v>
      </c>
      <c r="D1024" s="172" t="s">
        <v>82</v>
      </c>
      <c r="E1024" s="172" t="s">
        <v>52</v>
      </c>
      <c r="F1024" s="172" t="s">
        <v>90</v>
      </c>
      <c r="G1024" s="172" t="s">
        <v>84</v>
      </c>
      <c r="H1024" s="177">
        <v>1</v>
      </c>
      <c r="I1024" s="178">
        <v>0</v>
      </c>
      <c r="J1024" s="176">
        <v>46039</v>
      </c>
      <c r="K1024" s="172" t="s">
        <v>85</v>
      </c>
      <c r="L1024" s="172" t="s">
        <v>85</v>
      </c>
      <c r="M1024" s="179">
        <v>0</v>
      </c>
      <c r="N1024" s="177"/>
      <c r="O1024" s="177"/>
      <c r="P1024" s="180">
        <v>-16.809999999999999</v>
      </c>
    </row>
    <row r="1025" spans="1:16" ht="19.5" customHeight="1">
      <c r="A1025" s="172" t="s">
        <v>596</v>
      </c>
      <c r="B1025" s="176">
        <v>46039</v>
      </c>
      <c r="C1025" s="172" t="s">
        <v>92</v>
      </c>
      <c r="D1025" s="172" t="s">
        <v>24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1750</v>
      </c>
      <c r="J1025" s="176">
        <v>46036</v>
      </c>
      <c r="K1025" s="172" t="s">
        <v>93</v>
      </c>
      <c r="L1025" s="172" t="s">
        <v>94</v>
      </c>
      <c r="M1025" s="179">
        <v>0.43</v>
      </c>
      <c r="N1025" s="177"/>
      <c r="O1025" s="177">
        <v>45</v>
      </c>
      <c r="P1025" s="180">
        <v>-134.11000000000001</v>
      </c>
    </row>
    <row r="1026" spans="1:16" ht="19.5" customHeight="1">
      <c r="A1026" s="172" t="s">
        <v>596</v>
      </c>
      <c r="B1026" s="176">
        <v>46039</v>
      </c>
      <c r="C1026" s="172" t="s">
        <v>100</v>
      </c>
      <c r="D1026" s="172" t="s">
        <v>101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1750</v>
      </c>
      <c r="J1026" s="176">
        <v>46036</v>
      </c>
      <c r="K1026" s="172" t="s">
        <v>93</v>
      </c>
      <c r="L1026" s="172" t="s">
        <v>94</v>
      </c>
      <c r="M1026" s="179">
        <v>0</v>
      </c>
      <c r="N1026" s="177"/>
      <c r="O1026" s="177"/>
      <c r="P1026" s="180">
        <v>609.52</v>
      </c>
    </row>
    <row r="1027" spans="1:16" ht="19.5" customHeight="1">
      <c r="A1027" s="172" t="s">
        <v>596</v>
      </c>
      <c r="B1027" s="176">
        <v>46039</v>
      </c>
      <c r="C1027" s="172" t="s">
        <v>100</v>
      </c>
      <c r="D1027" s="172" t="s">
        <v>102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1750</v>
      </c>
      <c r="J1027" s="176">
        <v>46036</v>
      </c>
      <c r="K1027" s="172" t="s">
        <v>93</v>
      </c>
      <c r="L1027" s="172" t="s">
        <v>94</v>
      </c>
      <c r="M1027" s="179">
        <v>0</v>
      </c>
      <c r="N1027" s="177"/>
      <c r="O1027" s="177"/>
      <c r="P1027" s="180">
        <v>6.1</v>
      </c>
    </row>
    <row r="1028" spans="1:16" ht="19.5" customHeight="1">
      <c r="A1028" s="172" t="s">
        <v>596</v>
      </c>
      <c r="B1028" s="176">
        <v>46039</v>
      </c>
      <c r="C1028" s="172" t="s">
        <v>100</v>
      </c>
      <c r="D1028" s="172" t="s">
        <v>103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1750</v>
      </c>
      <c r="J1028" s="176">
        <v>46036</v>
      </c>
      <c r="K1028" s="172" t="s">
        <v>93</v>
      </c>
      <c r="L1028" s="172" t="s">
        <v>94</v>
      </c>
      <c r="M1028" s="179">
        <v>0</v>
      </c>
      <c r="N1028" s="177"/>
      <c r="O1028" s="177"/>
      <c r="P1028" s="180">
        <v>1134.3800000000001</v>
      </c>
    </row>
    <row r="1029" spans="1:16" ht="19.5" customHeight="1">
      <c r="A1029" s="172" t="s">
        <v>596</v>
      </c>
      <c r="B1029" s="176">
        <v>46039</v>
      </c>
      <c r="C1029" s="172" t="s">
        <v>104</v>
      </c>
      <c r="D1029" s="172" t="s">
        <v>105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1750</v>
      </c>
      <c r="J1029" s="176">
        <v>46036</v>
      </c>
      <c r="K1029" s="172" t="s">
        <v>93</v>
      </c>
      <c r="L1029" s="172" t="s">
        <v>94</v>
      </c>
      <c r="M1029" s="179">
        <v>0.43</v>
      </c>
      <c r="N1029" s="177"/>
      <c r="O1029" s="177"/>
      <c r="P1029" s="180">
        <v>-752.5</v>
      </c>
    </row>
    <row r="1030" spans="1:16" ht="19.5" customHeight="1">
      <c r="A1030" s="172" t="s">
        <v>596</v>
      </c>
      <c r="B1030" s="176">
        <v>46039</v>
      </c>
      <c r="C1030" s="172" t="s">
        <v>81</v>
      </c>
      <c r="D1030" s="172" t="s">
        <v>95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1750</v>
      </c>
      <c r="J1030" s="176">
        <v>46036</v>
      </c>
      <c r="K1030" s="172" t="s">
        <v>93</v>
      </c>
      <c r="L1030" s="172" t="s">
        <v>94</v>
      </c>
      <c r="M1030" s="179">
        <v>0.43</v>
      </c>
      <c r="N1030" s="177"/>
      <c r="O1030" s="177"/>
      <c r="P1030" s="180">
        <v>-13.72</v>
      </c>
    </row>
    <row r="1031" spans="1:16" ht="19.5" customHeight="1">
      <c r="A1031" s="172" t="s">
        <v>597</v>
      </c>
      <c r="B1031" s="176">
        <v>46039</v>
      </c>
      <c r="C1031" s="172" t="s">
        <v>92</v>
      </c>
      <c r="D1031" s="172" t="s">
        <v>24</v>
      </c>
      <c r="E1031" s="172" t="s">
        <v>53</v>
      </c>
      <c r="F1031" s="172" t="s">
        <v>120</v>
      </c>
      <c r="G1031" s="172" t="s">
        <v>84</v>
      </c>
      <c r="H1031" s="177">
        <v>1</v>
      </c>
      <c r="I1031" s="178">
        <v>1845</v>
      </c>
      <c r="J1031" s="176">
        <v>46038</v>
      </c>
      <c r="K1031" s="172" t="s">
        <v>93</v>
      </c>
      <c r="L1031" s="172" t="s">
        <v>94</v>
      </c>
      <c r="M1031" s="179">
        <v>0.43</v>
      </c>
      <c r="N1031" s="177"/>
      <c r="O1031" s="177">
        <v>46</v>
      </c>
      <c r="P1031" s="180">
        <v>-158.29</v>
      </c>
    </row>
    <row r="1032" spans="1:16" ht="19.5" customHeight="1">
      <c r="A1032" s="172" t="s">
        <v>597</v>
      </c>
      <c r="B1032" s="176">
        <v>46039</v>
      </c>
      <c r="C1032" s="172" t="s">
        <v>100</v>
      </c>
      <c r="D1032" s="172" t="s">
        <v>101</v>
      </c>
      <c r="E1032" s="172" t="s">
        <v>53</v>
      </c>
      <c r="F1032" s="172" t="s">
        <v>120</v>
      </c>
      <c r="G1032" s="172" t="s">
        <v>84</v>
      </c>
      <c r="H1032" s="177">
        <v>1</v>
      </c>
      <c r="I1032" s="178">
        <v>1845</v>
      </c>
      <c r="J1032" s="176">
        <v>46038</v>
      </c>
      <c r="K1032" s="172" t="s">
        <v>93</v>
      </c>
      <c r="L1032" s="172" t="s">
        <v>94</v>
      </c>
      <c r="M1032" s="179">
        <v>0</v>
      </c>
      <c r="N1032" s="177"/>
      <c r="O1032" s="177"/>
      <c r="P1032" s="180">
        <v>717.14</v>
      </c>
    </row>
    <row r="1033" spans="1:16" ht="19.5" customHeight="1">
      <c r="A1033" s="172" t="s">
        <v>597</v>
      </c>
      <c r="B1033" s="176">
        <v>46039</v>
      </c>
      <c r="C1033" s="172" t="s">
        <v>100</v>
      </c>
      <c r="D1033" s="172" t="s">
        <v>102</v>
      </c>
      <c r="E1033" s="172" t="s">
        <v>53</v>
      </c>
      <c r="F1033" s="172" t="s">
        <v>120</v>
      </c>
      <c r="G1033" s="172" t="s">
        <v>84</v>
      </c>
      <c r="H1033" s="177">
        <v>1</v>
      </c>
      <c r="I1033" s="178">
        <v>1845</v>
      </c>
      <c r="J1033" s="176">
        <v>46038</v>
      </c>
      <c r="K1033" s="172" t="s">
        <v>93</v>
      </c>
      <c r="L1033" s="172" t="s">
        <v>94</v>
      </c>
      <c r="M1033" s="179">
        <v>0</v>
      </c>
      <c r="N1033" s="177"/>
      <c r="O1033" s="177"/>
      <c r="P1033" s="180">
        <v>7.17</v>
      </c>
    </row>
    <row r="1034" spans="1:16" ht="19.5" customHeight="1">
      <c r="A1034" s="172" t="s">
        <v>597</v>
      </c>
      <c r="B1034" s="176">
        <v>46039</v>
      </c>
      <c r="C1034" s="172" t="s">
        <v>100</v>
      </c>
      <c r="D1034" s="172" t="s">
        <v>103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46038</v>
      </c>
      <c r="K1034" s="172" t="s">
        <v>93</v>
      </c>
      <c r="L1034" s="172" t="s">
        <v>94</v>
      </c>
      <c r="M1034" s="179">
        <v>0</v>
      </c>
      <c r="N1034" s="177"/>
      <c r="O1034" s="177"/>
      <c r="P1034" s="180">
        <v>1120.69</v>
      </c>
    </row>
    <row r="1035" spans="1:16" ht="19.5" customHeight="1">
      <c r="A1035" s="172" t="s">
        <v>597</v>
      </c>
      <c r="B1035" s="176">
        <v>46039</v>
      </c>
      <c r="C1035" s="172" t="s">
        <v>104</v>
      </c>
      <c r="D1035" s="172" t="s">
        <v>105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46038</v>
      </c>
      <c r="K1035" s="172" t="s">
        <v>93</v>
      </c>
      <c r="L1035" s="172" t="s">
        <v>94</v>
      </c>
      <c r="M1035" s="179">
        <v>0.43</v>
      </c>
      <c r="N1035" s="177"/>
      <c r="O1035" s="177"/>
      <c r="P1035" s="180">
        <v>-793.35</v>
      </c>
    </row>
    <row r="1036" spans="1:16" ht="19.5" customHeight="1">
      <c r="A1036" s="172" t="s">
        <v>597</v>
      </c>
      <c r="B1036" s="176">
        <v>46039</v>
      </c>
      <c r="C1036" s="172" t="s">
        <v>81</v>
      </c>
      <c r="D1036" s="172" t="s">
        <v>95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46038</v>
      </c>
      <c r="K1036" s="172" t="s">
        <v>93</v>
      </c>
      <c r="L1036" s="172" t="s">
        <v>94</v>
      </c>
      <c r="M1036" s="179">
        <v>0.43</v>
      </c>
      <c r="N1036" s="177"/>
      <c r="O1036" s="177"/>
      <c r="P1036" s="180">
        <v>-8.84</v>
      </c>
    </row>
    <row r="1037" spans="1:16" ht="19.5" customHeight="1">
      <c r="A1037" s="172" t="s">
        <v>598</v>
      </c>
      <c r="B1037" s="176">
        <v>46039</v>
      </c>
      <c r="C1037" s="172" t="s">
        <v>92</v>
      </c>
      <c r="D1037" s="172" t="s">
        <v>24</v>
      </c>
      <c r="E1037" s="172" t="s">
        <v>42</v>
      </c>
      <c r="F1037" s="172" t="s">
        <v>89</v>
      </c>
      <c r="G1037" s="172" t="s">
        <v>84</v>
      </c>
      <c r="H1037" s="177">
        <v>1</v>
      </c>
      <c r="I1037" s="178">
        <v>0</v>
      </c>
      <c r="J1037" s="176">
        <v>46032</v>
      </c>
      <c r="K1037" s="172" t="s">
        <v>93</v>
      </c>
      <c r="L1037" s="172" t="s">
        <v>94</v>
      </c>
      <c r="M1037" s="179">
        <v>0</v>
      </c>
      <c r="N1037" s="177"/>
      <c r="O1037" s="177">
        <v>41</v>
      </c>
      <c r="P1037" s="180">
        <v>-46.77</v>
      </c>
    </row>
    <row r="1038" spans="1:16" ht="19.5" customHeight="1">
      <c r="A1038" s="172" t="s">
        <v>598</v>
      </c>
      <c r="B1038" s="176">
        <v>46039</v>
      </c>
      <c r="C1038" s="172" t="s">
        <v>81</v>
      </c>
      <c r="D1038" s="172" t="s">
        <v>95</v>
      </c>
      <c r="E1038" s="172" t="s">
        <v>42</v>
      </c>
      <c r="F1038" s="172" t="s">
        <v>89</v>
      </c>
      <c r="G1038" s="172" t="s">
        <v>84</v>
      </c>
      <c r="H1038" s="177">
        <v>1</v>
      </c>
      <c r="I1038" s="178">
        <v>0</v>
      </c>
      <c r="J1038" s="176">
        <v>46032</v>
      </c>
      <c r="K1038" s="172" t="s">
        <v>93</v>
      </c>
      <c r="L1038" s="172" t="s">
        <v>94</v>
      </c>
      <c r="M1038" s="179">
        <v>0</v>
      </c>
      <c r="N1038" s="177"/>
      <c r="O1038" s="177"/>
      <c r="P1038" s="180">
        <v>-9.58</v>
      </c>
    </row>
    <row r="1039" spans="1:16" ht="19.5" customHeight="1">
      <c r="A1039" s="172" t="s">
        <v>599</v>
      </c>
      <c r="B1039" s="176">
        <v>46039</v>
      </c>
      <c r="C1039" s="172" t="s">
        <v>81</v>
      </c>
      <c r="D1039" s="172" t="s">
        <v>82</v>
      </c>
      <c r="E1039" s="172" t="s">
        <v>41</v>
      </c>
      <c r="F1039" s="172" t="s">
        <v>83</v>
      </c>
      <c r="G1039" s="172" t="s">
        <v>84</v>
      </c>
      <c r="H1039" s="177">
        <v>1</v>
      </c>
      <c r="I1039" s="178">
        <v>0</v>
      </c>
      <c r="J1039" s="176">
        <v>46039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-15.83</v>
      </c>
    </row>
    <row r="1040" spans="1:16" ht="19.5" customHeight="1">
      <c r="A1040" s="172" t="s">
        <v>596</v>
      </c>
      <c r="B1040" s="176">
        <v>46039</v>
      </c>
      <c r="C1040" s="172" t="s">
        <v>81</v>
      </c>
      <c r="D1040" s="172" t="s">
        <v>82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46036</v>
      </c>
      <c r="K1040" s="172" t="s">
        <v>85</v>
      </c>
      <c r="L1040" s="172" t="s">
        <v>85</v>
      </c>
      <c r="M1040" s="179">
        <v>0</v>
      </c>
      <c r="N1040" s="177"/>
      <c r="O1040" s="177"/>
      <c r="P1040" s="180">
        <v>-11.58</v>
      </c>
    </row>
    <row r="1041" spans="1:16" ht="19.5" customHeight="1">
      <c r="A1041" s="172" t="s">
        <v>598</v>
      </c>
      <c r="B1041" s="176">
        <v>46039</v>
      </c>
      <c r="C1041" s="172" t="s">
        <v>92</v>
      </c>
      <c r="D1041" s="172" t="s">
        <v>96</v>
      </c>
      <c r="E1041" s="172" t="s">
        <v>42</v>
      </c>
      <c r="F1041" s="172" t="s">
        <v>89</v>
      </c>
      <c r="G1041" s="172" t="s">
        <v>84</v>
      </c>
      <c r="H1041" s="177">
        <v>1</v>
      </c>
      <c r="I1041" s="178">
        <v>0</v>
      </c>
      <c r="J1041" s="176">
        <v>46032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0</v>
      </c>
    </row>
    <row r="1042" spans="1:16" ht="19.5" customHeight="1">
      <c r="A1042" s="172" t="s">
        <v>598</v>
      </c>
      <c r="B1042" s="176">
        <v>46039</v>
      </c>
      <c r="C1042" s="172" t="s">
        <v>92</v>
      </c>
      <c r="D1042" s="172" t="s">
        <v>97</v>
      </c>
      <c r="E1042" s="172" t="s">
        <v>42</v>
      </c>
      <c r="F1042" s="172" t="s">
        <v>89</v>
      </c>
      <c r="G1042" s="172" t="s">
        <v>84</v>
      </c>
      <c r="H1042" s="177">
        <v>1</v>
      </c>
      <c r="I1042" s="178">
        <v>0</v>
      </c>
      <c r="J1042" s="176">
        <v>46032</v>
      </c>
      <c r="K1042" s="172" t="s">
        <v>93</v>
      </c>
      <c r="L1042" s="172" t="s">
        <v>94</v>
      </c>
      <c r="M1042" s="179">
        <v>0</v>
      </c>
      <c r="N1042" s="177"/>
      <c r="O1042" s="177"/>
      <c r="P1042" s="180">
        <v>-46.77</v>
      </c>
    </row>
    <row r="1043" spans="1:16" ht="19.5" customHeight="1">
      <c r="A1043" s="172" t="s">
        <v>598</v>
      </c>
      <c r="B1043" s="176">
        <v>46039</v>
      </c>
      <c r="C1043" s="172" t="s">
        <v>81</v>
      </c>
      <c r="D1043" s="172" t="s">
        <v>98</v>
      </c>
      <c r="E1043" s="172" t="s">
        <v>42</v>
      </c>
      <c r="F1043" s="172" t="s">
        <v>89</v>
      </c>
      <c r="G1043" s="172" t="s">
        <v>84</v>
      </c>
      <c r="H1043" s="177">
        <v>1</v>
      </c>
      <c r="I1043" s="178">
        <v>0</v>
      </c>
      <c r="J1043" s="176">
        <v>46032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-15</v>
      </c>
    </row>
    <row r="1044" spans="1:16" ht="19.5" customHeight="1">
      <c r="A1044" s="172" t="s">
        <v>600</v>
      </c>
      <c r="B1044" s="176">
        <v>46039</v>
      </c>
      <c r="C1044" s="172" t="s">
        <v>92</v>
      </c>
      <c r="D1044" s="172" t="s">
        <v>24</v>
      </c>
      <c r="E1044" s="172" t="s">
        <v>53</v>
      </c>
      <c r="F1044" s="172" t="s">
        <v>120</v>
      </c>
      <c r="G1044" s="172" t="s">
        <v>84</v>
      </c>
      <c r="H1044" s="177">
        <v>1</v>
      </c>
      <c r="I1044" s="178">
        <v>1845</v>
      </c>
      <c r="J1044" s="176">
        <v>46037</v>
      </c>
      <c r="K1044" s="172" t="s">
        <v>93</v>
      </c>
      <c r="L1044" s="172" t="s">
        <v>94</v>
      </c>
      <c r="M1044" s="179">
        <v>0.43</v>
      </c>
      <c r="N1044" s="177"/>
      <c r="O1044" s="177">
        <v>45</v>
      </c>
      <c r="P1044" s="180">
        <v>-153.85</v>
      </c>
    </row>
    <row r="1045" spans="1:16" ht="19.5" customHeight="1">
      <c r="A1045" s="172" t="s">
        <v>600</v>
      </c>
      <c r="B1045" s="176">
        <v>46039</v>
      </c>
      <c r="C1045" s="172" t="s">
        <v>100</v>
      </c>
      <c r="D1045" s="172" t="s">
        <v>101</v>
      </c>
      <c r="E1045" s="172" t="s">
        <v>53</v>
      </c>
      <c r="F1045" s="172" t="s">
        <v>120</v>
      </c>
      <c r="G1045" s="172" t="s">
        <v>84</v>
      </c>
      <c r="H1045" s="177">
        <v>1</v>
      </c>
      <c r="I1045" s="178">
        <v>1845</v>
      </c>
      <c r="J1045" s="176">
        <v>46037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673.33</v>
      </c>
    </row>
    <row r="1046" spans="1:16" ht="19.5" customHeight="1">
      <c r="A1046" s="172" t="s">
        <v>600</v>
      </c>
      <c r="B1046" s="176">
        <v>46039</v>
      </c>
      <c r="C1046" s="172" t="s">
        <v>100</v>
      </c>
      <c r="D1046" s="172" t="s">
        <v>102</v>
      </c>
      <c r="E1046" s="172" t="s">
        <v>53</v>
      </c>
      <c r="F1046" s="172" t="s">
        <v>120</v>
      </c>
      <c r="G1046" s="172" t="s">
        <v>84</v>
      </c>
      <c r="H1046" s="177">
        <v>1</v>
      </c>
      <c r="I1046" s="178">
        <v>1845</v>
      </c>
      <c r="J1046" s="176">
        <v>46037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6.73</v>
      </c>
    </row>
    <row r="1047" spans="1:16" ht="19.5" customHeight="1">
      <c r="A1047" s="172" t="s">
        <v>600</v>
      </c>
      <c r="B1047" s="176">
        <v>46039</v>
      </c>
      <c r="C1047" s="172" t="s">
        <v>100</v>
      </c>
      <c r="D1047" s="172" t="s">
        <v>103</v>
      </c>
      <c r="E1047" s="172" t="s">
        <v>53</v>
      </c>
      <c r="F1047" s="172" t="s">
        <v>120</v>
      </c>
      <c r="G1047" s="172" t="s">
        <v>84</v>
      </c>
      <c r="H1047" s="177">
        <v>1</v>
      </c>
      <c r="I1047" s="178">
        <v>1845</v>
      </c>
      <c r="J1047" s="176">
        <v>46037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1164.94</v>
      </c>
    </row>
    <row r="1048" spans="1:16" ht="19.5" customHeight="1">
      <c r="A1048" s="172" t="s">
        <v>600</v>
      </c>
      <c r="B1048" s="176">
        <v>46039</v>
      </c>
      <c r="C1048" s="172" t="s">
        <v>104</v>
      </c>
      <c r="D1048" s="172" t="s">
        <v>105</v>
      </c>
      <c r="E1048" s="172" t="s">
        <v>53</v>
      </c>
      <c r="F1048" s="172" t="s">
        <v>120</v>
      </c>
      <c r="G1048" s="172" t="s">
        <v>84</v>
      </c>
      <c r="H1048" s="177">
        <v>1</v>
      </c>
      <c r="I1048" s="178">
        <v>1845</v>
      </c>
      <c r="J1048" s="176">
        <v>46037</v>
      </c>
      <c r="K1048" s="172" t="s">
        <v>93</v>
      </c>
      <c r="L1048" s="172" t="s">
        <v>94</v>
      </c>
      <c r="M1048" s="179">
        <v>0.43</v>
      </c>
      <c r="N1048" s="177"/>
      <c r="O1048" s="177"/>
      <c r="P1048" s="180">
        <v>-793.35</v>
      </c>
    </row>
    <row r="1049" spans="1:16" ht="19.5" customHeight="1">
      <c r="A1049" s="172" t="s">
        <v>600</v>
      </c>
      <c r="B1049" s="176">
        <v>46039</v>
      </c>
      <c r="C1049" s="172" t="s">
        <v>81</v>
      </c>
      <c r="D1049" s="172" t="s">
        <v>95</v>
      </c>
      <c r="E1049" s="172" t="s">
        <v>53</v>
      </c>
      <c r="F1049" s="172" t="s">
        <v>120</v>
      </c>
      <c r="G1049" s="172" t="s">
        <v>84</v>
      </c>
      <c r="H1049" s="177">
        <v>1</v>
      </c>
      <c r="I1049" s="178">
        <v>1845</v>
      </c>
      <c r="J1049" s="176">
        <v>46037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-10.54</v>
      </c>
    </row>
    <row r="1050" spans="1:16" ht="19.5" customHeight="1">
      <c r="A1050" s="172" t="s">
        <v>600</v>
      </c>
      <c r="B1050" s="176">
        <v>46039</v>
      </c>
      <c r="C1050" s="172" t="s">
        <v>81</v>
      </c>
      <c r="D1050" s="172" t="s">
        <v>82</v>
      </c>
      <c r="E1050" s="172" t="s">
        <v>53</v>
      </c>
      <c r="F1050" s="172" t="s">
        <v>120</v>
      </c>
      <c r="G1050" s="172" t="s">
        <v>84</v>
      </c>
      <c r="H1050" s="177">
        <v>1</v>
      </c>
      <c r="I1050" s="178">
        <v>0</v>
      </c>
      <c r="J1050" s="176">
        <v>46037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-12.79</v>
      </c>
    </row>
    <row r="1051" spans="1:16" ht="19.5" customHeight="1">
      <c r="A1051" s="172" t="s">
        <v>601</v>
      </c>
      <c r="B1051" s="176">
        <v>46039</v>
      </c>
      <c r="C1051" s="172" t="s">
        <v>92</v>
      </c>
      <c r="D1051" s="172" t="s">
        <v>24</v>
      </c>
      <c r="E1051" s="172" t="s">
        <v>41</v>
      </c>
      <c r="F1051" s="172" t="s">
        <v>83</v>
      </c>
      <c r="G1051" s="172" t="s">
        <v>84</v>
      </c>
      <c r="H1051" s="177">
        <v>1</v>
      </c>
      <c r="I1051" s="178">
        <v>1600</v>
      </c>
      <c r="J1051" s="176">
        <v>46024</v>
      </c>
      <c r="K1051" s="172" t="s">
        <v>93</v>
      </c>
      <c r="L1051" s="172" t="s">
        <v>94</v>
      </c>
      <c r="M1051" s="179">
        <v>0.43</v>
      </c>
      <c r="N1051" s="177"/>
      <c r="O1051" s="177">
        <v>42</v>
      </c>
      <c r="P1051" s="180">
        <v>-119.03</v>
      </c>
    </row>
    <row r="1052" spans="1:16" ht="19.5" customHeight="1">
      <c r="A1052" s="172" t="s">
        <v>601</v>
      </c>
      <c r="B1052" s="176">
        <v>46039</v>
      </c>
      <c r="C1052" s="172" t="s">
        <v>100</v>
      </c>
      <c r="D1052" s="172" t="s">
        <v>101</v>
      </c>
      <c r="E1052" s="172" t="s">
        <v>41</v>
      </c>
      <c r="F1052" s="172" t="s">
        <v>83</v>
      </c>
      <c r="G1052" s="172" t="s">
        <v>84</v>
      </c>
      <c r="H1052" s="177">
        <v>1</v>
      </c>
      <c r="I1052" s="178">
        <v>1600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549.52</v>
      </c>
    </row>
    <row r="1053" spans="1:16" ht="19.5" customHeight="1">
      <c r="A1053" s="172" t="s">
        <v>601</v>
      </c>
      <c r="B1053" s="176">
        <v>46039</v>
      </c>
      <c r="C1053" s="172" t="s">
        <v>100</v>
      </c>
      <c r="D1053" s="172" t="s">
        <v>102</v>
      </c>
      <c r="E1053" s="172" t="s">
        <v>41</v>
      </c>
      <c r="F1053" s="172" t="s">
        <v>83</v>
      </c>
      <c r="G1053" s="172" t="s">
        <v>84</v>
      </c>
      <c r="H1053" s="177">
        <v>1</v>
      </c>
      <c r="I1053" s="178">
        <v>1600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5.5</v>
      </c>
    </row>
    <row r="1054" spans="1:16" ht="19.5" customHeight="1">
      <c r="A1054" s="172" t="s">
        <v>601</v>
      </c>
      <c r="B1054" s="176">
        <v>46039</v>
      </c>
      <c r="C1054" s="172" t="s">
        <v>100</v>
      </c>
      <c r="D1054" s="172" t="s">
        <v>103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1600</v>
      </c>
      <c r="J1054" s="176">
        <v>46024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1044.98</v>
      </c>
    </row>
    <row r="1055" spans="1:16" ht="19.5" customHeight="1">
      <c r="A1055" s="172" t="s">
        <v>601</v>
      </c>
      <c r="B1055" s="176">
        <v>46039</v>
      </c>
      <c r="C1055" s="172" t="s">
        <v>104</v>
      </c>
      <c r="D1055" s="172" t="s">
        <v>105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1600</v>
      </c>
      <c r="J1055" s="176">
        <v>46024</v>
      </c>
      <c r="K1055" s="172" t="s">
        <v>93</v>
      </c>
      <c r="L1055" s="172" t="s">
        <v>94</v>
      </c>
      <c r="M1055" s="179">
        <v>0.43</v>
      </c>
      <c r="N1055" s="177"/>
      <c r="O1055" s="177"/>
      <c r="P1055" s="180">
        <v>-688</v>
      </c>
    </row>
    <row r="1056" spans="1:16" ht="19.5" customHeight="1">
      <c r="A1056" s="172" t="s">
        <v>601</v>
      </c>
      <c r="B1056" s="176">
        <v>46039</v>
      </c>
      <c r="C1056" s="172" t="s">
        <v>81</v>
      </c>
      <c r="D1056" s="172" t="s">
        <v>95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1600</v>
      </c>
      <c r="J1056" s="176">
        <v>46024</v>
      </c>
      <c r="K1056" s="172" t="s">
        <v>93</v>
      </c>
      <c r="L1056" s="172" t="s">
        <v>94</v>
      </c>
      <c r="M1056" s="179">
        <v>0.43</v>
      </c>
      <c r="N1056" s="177"/>
      <c r="O1056" s="177"/>
      <c r="P1056" s="180">
        <v>-9.3800000000000008</v>
      </c>
    </row>
    <row r="1057" spans="1:16" ht="19.5" customHeight="1">
      <c r="A1057" s="172" t="s">
        <v>602</v>
      </c>
      <c r="B1057" s="176">
        <v>46039</v>
      </c>
      <c r="C1057" s="172" t="s">
        <v>92</v>
      </c>
      <c r="D1057" s="172" t="s">
        <v>24</v>
      </c>
      <c r="E1057" s="172" t="s">
        <v>41</v>
      </c>
      <c r="F1057" s="172" t="s">
        <v>83</v>
      </c>
      <c r="G1057" s="172" t="s">
        <v>84</v>
      </c>
      <c r="H1057" s="177">
        <v>1</v>
      </c>
      <c r="I1057" s="178">
        <v>0</v>
      </c>
      <c r="J1057" s="176">
        <v>46028</v>
      </c>
      <c r="K1057" s="172" t="s">
        <v>93</v>
      </c>
      <c r="L1057" s="172" t="s">
        <v>94</v>
      </c>
      <c r="M1057" s="179">
        <v>0</v>
      </c>
      <c r="N1057" s="177"/>
      <c r="O1057" s="177">
        <v>44</v>
      </c>
      <c r="P1057" s="180">
        <v>-46</v>
      </c>
    </row>
    <row r="1058" spans="1:16" ht="19.5" customHeight="1">
      <c r="A1058" s="172" t="s">
        <v>602</v>
      </c>
      <c r="B1058" s="176">
        <v>46039</v>
      </c>
      <c r="C1058" s="172" t="s">
        <v>81</v>
      </c>
      <c r="D1058" s="172" t="s">
        <v>95</v>
      </c>
      <c r="E1058" s="172" t="s">
        <v>41</v>
      </c>
      <c r="F1058" s="172" t="s">
        <v>83</v>
      </c>
      <c r="G1058" s="172" t="s">
        <v>84</v>
      </c>
      <c r="H1058" s="177">
        <v>1</v>
      </c>
      <c r="I1058" s="178">
        <v>0</v>
      </c>
      <c r="J1058" s="176">
        <v>46028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-8.36</v>
      </c>
    </row>
    <row r="1059" spans="1:16" ht="19.5" customHeight="1">
      <c r="A1059" s="172" t="s">
        <v>602</v>
      </c>
      <c r="B1059" s="176">
        <v>46039</v>
      </c>
      <c r="C1059" s="172" t="s">
        <v>92</v>
      </c>
      <c r="D1059" s="172" t="s">
        <v>96</v>
      </c>
      <c r="E1059" s="172" t="s">
        <v>41</v>
      </c>
      <c r="F1059" s="172" t="s">
        <v>83</v>
      </c>
      <c r="G1059" s="172" t="s">
        <v>84</v>
      </c>
      <c r="H1059" s="177">
        <v>1</v>
      </c>
      <c r="I1059" s="178">
        <v>0</v>
      </c>
      <c r="J1059" s="176">
        <v>46028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0</v>
      </c>
    </row>
    <row r="1060" spans="1:16" ht="19.5" customHeight="1">
      <c r="A1060" s="172" t="s">
        <v>602</v>
      </c>
      <c r="B1060" s="176">
        <v>46039</v>
      </c>
      <c r="C1060" s="172" t="s">
        <v>92</v>
      </c>
      <c r="D1060" s="172" t="s">
        <v>97</v>
      </c>
      <c r="E1060" s="172" t="s">
        <v>41</v>
      </c>
      <c r="F1060" s="172" t="s">
        <v>83</v>
      </c>
      <c r="G1060" s="172" t="s">
        <v>84</v>
      </c>
      <c r="H1060" s="177">
        <v>1</v>
      </c>
      <c r="I1060" s="178">
        <v>0</v>
      </c>
      <c r="J1060" s="176">
        <v>46028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-46</v>
      </c>
    </row>
    <row r="1061" spans="1:16" ht="19.5" customHeight="1">
      <c r="A1061" s="172" t="s">
        <v>602</v>
      </c>
      <c r="B1061" s="176">
        <v>46039</v>
      </c>
      <c r="C1061" s="172" t="s">
        <v>81</v>
      </c>
      <c r="D1061" s="172" t="s">
        <v>98</v>
      </c>
      <c r="E1061" s="172" t="s">
        <v>41</v>
      </c>
      <c r="F1061" s="172" t="s">
        <v>83</v>
      </c>
      <c r="G1061" s="172" t="s">
        <v>84</v>
      </c>
      <c r="H1061" s="177">
        <v>1</v>
      </c>
      <c r="I1061" s="178">
        <v>0</v>
      </c>
      <c r="J1061" s="176">
        <v>46028</v>
      </c>
      <c r="K1061" s="172" t="s">
        <v>93</v>
      </c>
      <c r="L1061" s="172" t="s">
        <v>94</v>
      </c>
      <c r="M1061" s="179">
        <v>0</v>
      </c>
      <c r="N1061" s="177"/>
      <c r="O1061" s="177"/>
      <c r="P1061" s="180">
        <v>-15</v>
      </c>
    </row>
    <row r="1062" spans="1:16" ht="19.5" customHeight="1">
      <c r="A1062" s="172" t="s">
        <v>603</v>
      </c>
      <c r="B1062" s="176">
        <v>46039</v>
      </c>
      <c r="C1062" s="172" t="s">
        <v>92</v>
      </c>
      <c r="D1062" s="172" t="s">
        <v>24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0</v>
      </c>
      <c r="J1062" s="176">
        <v>46028</v>
      </c>
      <c r="K1062" s="172" t="s">
        <v>93</v>
      </c>
      <c r="L1062" s="172" t="s">
        <v>94</v>
      </c>
      <c r="M1062" s="179">
        <v>0</v>
      </c>
      <c r="N1062" s="177"/>
      <c r="O1062" s="177">
        <v>44</v>
      </c>
      <c r="P1062" s="180">
        <v>-56</v>
      </c>
    </row>
    <row r="1063" spans="1:16" ht="19.5" customHeight="1">
      <c r="A1063" s="172" t="s">
        <v>603</v>
      </c>
      <c r="B1063" s="176">
        <v>46039</v>
      </c>
      <c r="C1063" s="172" t="s">
        <v>81</v>
      </c>
      <c r="D1063" s="172" t="s">
        <v>95</v>
      </c>
      <c r="E1063" s="172" t="s">
        <v>52</v>
      </c>
      <c r="F1063" s="172" t="s">
        <v>90</v>
      </c>
      <c r="G1063" s="172" t="s">
        <v>84</v>
      </c>
      <c r="H1063" s="177">
        <v>1</v>
      </c>
      <c r="I1063" s="178">
        <v>0</v>
      </c>
      <c r="J1063" s="176">
        <v>46028</v>
      </c>
      <c r="K1063" s="172" t="s">
        <v>93</v>
      </c>
      <c r="L1063" s="172" t="s">
        <v>94</v>
      </c>
      <c r="M1063" s="179">
        <v>0</v>
      </c>
      <c r="N1063" s="177"/>
      <c r="O1063" s="177"/>
      <c r="P1063" s="180">
        <v>-8.4700000000000006</v>
      </c>
    </row>
    <row r="1064" spans="1:16" ht="19.5" customHeight="1">
      <c r="A1064" s="172" t="s">
        <v>603</v>
      </c>
      <c r="B1064" s="176">
        <v>46039</v>
      </c>
      <c r="C1064" s="172" t="s">
        <v>92</v>
      </c>
      <c r="D1064" s="172" t="s">
        <v>96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46028</v>
      </c>
      <c r="K1064" s="172" t="s">
        <v>93</v>
      </c>
      <c r="L1064" s="172" t="s">
        <v>94</v>
      </c>
      <c r="M1064" s="179">
        <v>0</v>
      </c>
      <c r="N1064" s="177"/>
      <c r="O1064" s="177"/>
      <c r="P1064" s="180">
        <v>0</v>
      </c>
    </row>
    <row r="1065" spans="1:16" ht="19.5" customHeight="1">
      <c r="A1065" s="172" t="s">
        <v>603</v>
      </c>
      <c r="B1065" s="176">
        <v>46039</v>
      </c>
      <c r="C1065" s="172" t="s">
        <v>92</v>
      </c>
      <c r="D1065" s="172" t="s">
        <v>97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46028</v>
      </c>
      <c r="K1065" s="172" t="s">
        <v>93</v>
      </c>
      <c r="L1065" s="172" t="s">
        <v>94</v>
      </c>
      <c r="M1065" s="179">
        <v>0</v>
      </c>
      <c r="N1065" s="177"/>
      <c r="O1065" s="177"/>
      <c r="P1065" s="180">
        <v>-56</v>
      </c>
    </row>
    <row r="1066" spans="1:16" ht="19.5" customHeight="1">
      <c r="A1066" s="172" t="s">
        <v>603</v>
      </c>
      <c r="B1066" s="176">
        <v>46039</v>
      </c>
      <c r="C1066" s="172" t="s">
        <v>81</v>
      </c>
      <c r="D1066" s="172" t="s">
        <v>98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46028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-15</v>
      </c>
    </row>
    <row r="1067" spans="1:16" ht="19.5" customHeight="1">
      <c r="A1067" s="172" t="s">
        <v>604</v>
      </c>
      <c r="B1067" s="176">
        <v>46039</v>
      </c>
      <c r="C1067" s="172" t="s">
        <v>92</v>
      </c>
      <c r="D1067" s="172" t="s">
        <v>24</v>
      </c>
      <c r="E1067" s="172" t="s">
        <v>53</v>
      </c>
      <c r="F1067" s="172" t="s">
        <v>120</v>
      </c>
      <c r="G1067" s="172" t="s">
        <v>84</v>
      </c>
      <c r="H1067" s="177">
        <v>1</v>
      </c>
      <c r="I1067" s="178">
        <v>1845</v>
      </c>
      <c r="J1067" s="176">
        <v>46038</v>
      </c>
      <c r="K1067" s="172" t="s">
        <v>93</v>
      </c>
      <c r="L1067" s="172" t="s">
        <v>94</v>
      </c>
      <c r="M1067" s="179">
        <v>0.43</v>
      </c>
      <c r="N1067" s="177"/>
      <c r="O1067" s="177">
        <v>46</v>
      </c>
      <c r="P1067" s="180">
        <v>-158.29</v>
      </c>
    </row>
    <row r="1068" spans="1:16" ht="19.5" customHeight="1">
      <c r="A1068" s="172" t="s">
        <v>604</v>
      </c>
      <c r="B1068" s="176">
        <v>46039</v>
      </c>
      <c r="C1068" s="172" t="s">
        <v>100</v>
      </c>
      <c r="D1068" s="172" t="s">
        <v>101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46038</v>
      </c>
      <c r="K1068" s="172" t="s">
        <v>93</v>
      </c>
      <c r="L1068" s="172" t="s">
        <v>94</v>
      </c>
      <c r="M1068" s="179">
        <v>0</v>
      </c>
      <c r="N1068" s="177"/>
      <c r="O1068" s="177"/>
      <c r="P1068" s="180">
        <v>639.80999999999995</v>
      </c>
    </row>
    <row r="1069" spans="1:16" ht="19.5" customHeight="1">
      <c r="A1069" s="172" t="s">
        <v>604</v>
      </c>
      <c r="B1069" s="176">
        <v>46039</v>
      </c>
      <c r="C1069" s="172" t="s">
        <v>100</v>
      </c>
      <c r="D1069" s="172" t="s">
        <v>102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46038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6.4</v>
      </c>
    </row>
    <row r="1070" spans="1:16" ht="19.5" customHeight="1">
      <c r="A1070" s="172" t="s">
        <v>604</v>
      </c>
      <c r="B1070" s="176">
        <v>46039</v>
      </c>
      <c r="C1070" s="172" t="s">
        <v>100</v>
      </c>
      <c r="D1070" s="172" t="s">
        <v>103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46038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1198.79</v>
      </c>
    </row>
    <row r="1071" spans="1:16" ht="19.5" customHeight="1">
      <c r="A1071" s="172" t="s">
        <v>604</v>
      </c>
      <c r="B1071" s="176">
        <v>46039</v>
      </c>
      <c r="C1071" s="172" t="s">
        <v>104</v>
      </c>
      <c r="D1071" s="172" t="s">
        <v>105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46038</v>
      </c>
      <c r="K1071" s="172" t="s">
        <v>93</v>
      </c>
      <c r="L1071" s="172" t="s">
        <v>94</v>
      </c>
      <c r="M1071" s="179">
        <v>0.43</v>
      </c>
      <c r="N1071" s="177"/>
      <c r="O1071" s="177"/>
      <c r="P1071" s="180">
        <v>-793.35</v>
      </c>
    </row>
    <row r="1072" spans="1:16" ht="19.5" customHeight="1">
      <c r="A1072" s="172" t="s">
        <v>604</v>
      </c>
      <c r="B1072" s="176">
        <v>46039</v>
      </c>
      <c r="C1072" s="172" t="s">
        <v>81</v>
      </c>
      <c r="D1072" s="172" t="s">
        <v>95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46038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-8.98</v>
      </c>
    </row>
    <row r="1073" spans="1:16" ht="19.5" customHeight="1">
      <c r="A1073" s="172" t="s">
        <v>144</v>
      </c>
      <c r="B1073" s="176">
        <v>46039</v>
      </c>
      <c r="C1073" s="172" t="s">
        <v>109</v>
      </c>
      <c r="D1073" s="172" t="s">
        <v>139</v>
      </c>
      <c r="E1073" s="172" t="s">
        <v>85</v>
      </c>
      <c r="F1073" s="172" t="s">
        <v>85</v>
      </c>
      <c r="G1073" s="172" t="s">
        <v>85</v>
      </c>
      <c r="H1073" s="177">
        <v>0</v>
      </c>
      <c r="I1073" s="178">
        <v>0</v>
      </c>
      <c r="J1073" s="176">
        <v>46039</v>
      </c>
      <c r="K1073" s="172" t="s">
        <v>85</v>
      </c>
      <c r="L1073" s="172" t="s">
        <v>85</v>
      </c>
      <c r="M1073" s="179">
        <v>0</v>
      </c>
      <c r="N1073" s="177"/>
      <c r="O1073" s="177"/>
      <c r="P1073" s="180">
        <v>-2326.0500000000002</v>
      </c>
    </row>
    <row r="1074" spans="1:16" ht="19.5" customHeight="1">
      <c r="A1074" s="172" t="s">
        <v>138</v>
      </c>
      <c r="B1074" s="176">
        <v>46039</v>
      </c>
      <c r="C1074" s="172" t="s">
        <v>109</v>
      </c>
      <c r="D1074" s="172" t="s">
        <v>139</v>
      </c>
      <c r="E1074" s="172" t="s">
        <v>85</v>
      </c>
      <c r="F1074" s="172" t="s">
        <v>85</v>
      </c>
      <c r="G1074" s="172" t="s">
        <v>85</v>
      </c>
      <c r="H1074" s="177">
        <v>0</v>
      </c>
      <c r="I1074" s="178">
        <v>0</v>
      </c>
      <c r="J1074" s="176">
        <v>46039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-1699.8</v>
      </c>
    </row>
    <row r="1075" spans="1:16" ht="19.5" customHeight="1">
      <c r="A1075" s="172" t="s">
        <v>146</v>
      </c>
      <c r="B1075" s="176">
        <v>46039</v>
      </c>
      <c r="C1075" s="172" t="s">
        <v>109</v>
      </c>
      <c r="D1075" s="172" t="s">
        <v>139</v>
      </c>
      <c r="E1075" s="172" t="s">
        <v>85</v>
      </c>
      <c r="F1075" s="172" t="s">
        <v>85</v>
      </c>
      <c r="G1075" s="172" t="s">
        <v>85</v>
      </c>
      <c r="H1075" s="177">
        <v>0</v>
      </c>
      <c r="I1075" s="178">
        <v>0</v>
      </c>
      <c r="J1075" s="176">
        <v>46039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-288.85000000000002</v>
      </c>
    </row>
    <row r="1076" spans="1:16" ht="19.5" customHeight="1">
      <c r="A1076" s="172" t="s">
        <v>142</v>
      </c>
      <c r="B1076" s="176">
        <v>46039</v>
      </c>
      <c r="C1076" s="172" t="s">
        <v>109</v>
      </c>
      <c r="D1076" s="172" t="s">
        <v>143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46039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-2291.8000000000002</v>
      </c>
    </row>
    <row r="1077" spans="1:16" ht="19.5" customHeight="1">
      <c r="A1077" s="172" t="s">
        <v>145</v>
      </c>
      <c r="B1077" s="176">
        <v>46039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46039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-286.2</v>
      </c>
    </row>
    <row r="1078" spans="1:16" ht="19.5" customHeight="1">
      <c r="A1078" s="172" t="s">
        <v>140</v>
      </c>
      <c r="B1078" s="176">
        <v>46039</v>
      </c>
      <c r="C1078" s="172" t="s">
        <v>109</v>
      </c>
      <c r="D1078" s="172" t="s">
        <v>139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46039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-288.57</v>
      </c>
    </row>
    <row r="1079" spans="1:16" ht="19.5" customHeight="1">
      <c r="A1079" s="172" t="s">
        <v>605</v>
      </c>
      <c r="B1079" s="176">
        <v>46040</v>
      </c>
      <c r="C1079" s="172" t="s">
        <v>81</v>
      </c>
      <c r="D1079" s="172" t="s">
        <v>82</v>
      </c>
      <c r="E1079" s="172" t="s">
        <v>52</v>
      </c>
      <c r="F1079" s="172" t="s">
        <v>90</v>
      </c>
      <c r="G1079" s="172" t="s">
        <v>84</v>
      </c>
      <c r="H1079" s="177">
        <v>1</v>
      </c>
      <c r="I1079" s="178">
        <v>0</v>
      </c>
      <c r="J1079" s="176">
        <v>46040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-17.59</v>
      </c>
    </row>
    <row r="1080" spans="1:16" ht="19.5" customHeight="1">
      <c r="A1080" s="172" t="s">
        <v>606</v>
      </c>
      <c r="B1080" s="176">
        <v>46040</v>
      </c>
      <c r="C1080" s="172" t="s">
        <v>92</v>
      </c>
      <c r="D1080" s="172" t="s">
        <v>96</v>
      </c>
      <c r="E1080" s="172" t="s">
        <v>52</v>
      </c>
      <c r="F1080" s="172" t="s">
        <v>90</v>
      </c>
      <c r="G1080" s="172" t="s">
        <v>84</v>
      </c>
      <c r="H1080" s="177">
        <v>1</v>
      </c>
      <c r="I1080" s="178">
        <v>0</v>
      </c>
      <c r="J1080" s="176">
        <v>46019</v>
      </c>
      <c r="K1080" s="172" t="s">
        <v>93</v>
      </c>
      <c r="L1080" s="172" t="s">
        <v>94</v>
      </c>
      <c r="M1080" s="179">
        <v>0</v>
      </c>
      <c r="N1080" s="177"/>
      <c r="O1080" s="177"/>
      <c r="P1080" s="180">
        <v>0</v>
      </c>
    </row>
    <row r="1081" spans="1:16" ht="19.5" customHeight="1">
      <c r="A1081" s="172" t="s">
        <v>606</v>
      </c>
      <c r="B1081" s="176">
        <v>46040</v>
      </c>
      <c r="C1081" s="172" t="s">
        <v>92</v>
      </c>
      <c r="D1081" s="172" t="s">
        <v>97</v>
      </c>
      <c r="E1081" s="172" t="s">
        <v>52</v>
      </c>
      <c r="F1081" s="172" t="s">
        <v>90</v>
      </c>
      <c r="G1081" s="172" t="s">
        <v>84</v>
      </c>
      <c r="H1081" s="177">
        <v>1</v>
      </c>
      <c r="I1081" s="178">
        <v>0</v>
      </c>
      <c r="J1081" s="176">
        <v>46019</v>
      </c>
      <c r="K1081" s="172" t="s">
        <v>93</v>
      </c>
      <c r="L1081" s="172" t="s">
        <v>94</v>
      </c>
      <c r="M1081" s="179">
        <v>0</v>
      </c>
      <c r="N1081" s="177"/>
      <c r="O1081" s="177"/>
      <c r="P1081" s="180">
        <v>-56</v>
      </c>
    </row>
    <row r="1082" spans="1:16" ht="19.5" customHeight="1">
      <c r="A1082" s="172" t="s">
        <v>607</v>
      </c>
      <c r="B1082" s="176">
        <v>46040</v>
      </c>
      <c r="C1082" s="172" t="s">
        <v>92</v>
      </c>
      <c r="D1082" s="172" t="s">
        <v>24</v>
      </c>
      <c r="E1082" s="172" t="s">
        <v>38</v>
      </c>
      <c r="F1082" s="172" t="s">
        <v>87</v>
      </c>
      <c r="G1082" s="172" t="s">
        <v>84</v>
      </c>
      <c r="H1082" s="177">
        <v>1</v>
      </c>
      <c r="I1082" s="178">
        <v>1650</v>
      </c>
      <c r="J1082" s="176">
        <v>46032</v>
      </c>
      <c r="K1082" s="172" t="s">
        <v>93</v>
      </c>
      <c r="L1082" s="172" t="s">
        <v>94</v>
      </c>
      <c r="M1082" s="179">
        <v>0.43</v>
      </c>
      <c r="N1082" s="177"/>
      <c r="O1082" s="177">
        <v>41</v>
      </c>
      <c r="P1082" s="180">
        <v>-116.58</v>
      </c>
    </row>
    <row r="1083" spans="1:16" ht="19.5" customHeight="1">
      <c r="A1083" s="172" t="s">
        <v>607</v>
      </c>
      <c r="B1083" s="176">
        <v>46040</v>
      </c>
      <c r="C1083" s="172" t="s">
        <v>100</v>
      </c>
      <c r="D1083" s="172" t="s">
        <v>101</v>
      </c>
      <c r="E1083" s="172" t="s">
        <v>38</v>
      </c>
      <c r="F1083" s="172" t="s">
        <v>87</v>
      </c>
      <c r="G1083" s="172" t="s">
        <v>84</v>
      </c>
      <c r="H1083" s="177">
        <v>1</v>
      </c>
      <c r="I1083" s="178">
        <v>1650</v>
      </c>
      <c r="J1083" s="176">
        <v>46032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637.49</v>
      </c>
    </row>
    <row r="1084" spans="1:16" ht="19.5" customHeight="1">
      <c r="A1084" s="172" t="s">
        <v>607</v>
      </c>
      <c r="B1084" s="176">
        <v>46040</v>
      </c>
      <c r="C1084" s="172" t="s">
        <v>100</v>
      </c>
      <c r="D1084" s="172" t="s">
        <v>102</v>
      </c>
      <c r="E1084" s="172" t="s">
        <v>38</v>
      </c>
      <c r="F1084" s="172" t="s">
        <v>87</v>
      </c>
      <c r="G1084" s="172" t="s">
        <v>84</v>
      </c>
      <c r="H1084" s="177">
        <v>1</v>
      </c>
      <c r="I1084" s="178">
        <v>1650</v>
      </c>
      <c r="J1084" s="176">
        <v>46032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0</v>
      </c>
    </row>
    <row r="1085" spans="1:16" ht="19.5" customHeight="1">
      <c r="A1085" s="172" t="s">
        <v>607</v>
      </c>
      <c r="B1085" s="176">
        <v>46040</v>
      </c>
      <c r="C1085" s="172" t="s">
        <v>100</v>
      </c>
      <c r="D1085" s="172" t="s">
        <v>103</v>
      </c>
      <c r="E1085" s="172" t="s">
        <v>38</v>
      </c>
      <c r="F1085" s="172" t="s">
        <v>87</v>
      </c>
      <c r="G1085" s="172" t="s">
        <v>84</v>
      </c>
      <c r="H1085" s="177">
        <v>1</v>
      </c>
      <c r="I1085" s="178">
        <v>1650</v>
      </c>
      <c r="J1085" s="176">
        <v>46032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1012.51</v>
      </c>
    </row>
    <row r="1086" spans="1:16" ht="19.5" customHeight="1">
      <c r="A1086" s="172" t="s">
        <v>607</v>
      </c>
      <c r="B1086" s="176">
        <v>46040</v>
      </c>
      <c r="C1086" s="172" t="s">
        <v>104</v>
      </c>
      <c r="D1086" s="172" t="s">
        <v>105</v>
      </c>
      <c r="E1086" s="172" t="s">
        <v>38</v>
      </c>
      <c r="F1086" s="172" t="s">
        <v>87</v>
      </c>
      <c r="G1086" s="172" t="s">
        <v>84</v>
      </c>
      <c r="H1086" s="177">
        <v>1</v>
      </c>
      <c r="I1086" s="178">
        <v>1650</v>
      </c>
      <c r="J1086" s="176">
        <v>46032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-709.5</v>
      </c>
    </row>
    <row r="1087" spans="1:16" ht="19.5" customHeight="1">
      <c r="A1087" s="172" t="s">
        <v>607</v>
      </c>
      <c r="B1087" s="176">
        <v>46040</v>
      </c>
      <c r="C1087" s="172" t="s">
        <v>81</v>
      </c>
      <c r="D1087" s="172" t="s">
        <v>95</v>
      </c>
      <c r="E1087" s="172" t="s">
        <v>38</v>
      </c>
      <c r="F1087" s="172" t="s">
        <v>87</v>
      </c>
      <c r="G1087" s="172" t="s">
        <v>84</v>
      </c>
      <c r="H1087" s="177">
        <v>1</v>
      </c>
      <c r="I1087" s="178">
        <v>1650</v>
      </c>
      <c r="J1087" s="176">
        <v>46032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-9.32</v>
      </c>
    </row>
    <row r="1088" spans="1:16" ht="19.5" customHeight="1">
      <c r="A1088" s="172" t="s">
        <v>606</v>
      </c>
      <c r="B1088" s="176">
        <v>46040</v>
      </c>
      <c r="C1088" s="172" t="s">
        <v>92</v>
      </c>
      <c r="D1088" s="172" t="s">
        <v>24</v>
      </c>
      <c r="E1088" s="172" t="s">
        <v>52</v>
      </c>
      <c r="F1088" s="172" t="s">
        <v>90</v>
      </c>
      <c r="G1088" s="172" t="s">
        <v>84</v>
      </c>
      <c r="H1088" s="177">
        <v>1</v>
      </c>
      <c r="I1088" s="178">
        <v>0</v>
      </c>
      <c r="J1088" s="176">
        <v>46019</v>
      </c>
      <c r="K1088" s="172" t="s">
        <v>93</v>
      </c>
      <c r="L1088" s="172" t="s">
        <v>94</v>
      </c>
      <c r="M1088" s="179">
        <v>0</v>
      </c>
      <c r="N1088" s="177"/>
      <c r="O1088" s="177">
        <v>41</v>
      </c>
      <c r="P1088" s="180">
        <v>-56</v>
      </c>
    </row>
    <row r="1089" spans="1:16" ht="19.5" customHeight="1">
      <c r="A1089" s="172" t="s">
        <v>606</v>
      </c>
      <c r="B1089" s="176">
        <v>46040</v>
      </c>
      <c r="C1089" s="172" t="s">
        <v>81</v>
      </c>
      <c r="D1089" s="172" t="s">
        <v>95</v>
      </c>
      <c r="E1089" s="172" t="s">
        <v>52</v>
      </c>
      <c r="F1089" s="172" t="s">
        <v>90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/>
      <c r="P1089" s="180">
        <v>-9.7899999999999991</v>
      </c>
    </row>
    <row r="1090" spans="1:16" ht="19.5" customHeight="1">
      <c r="A1090" s="172" t="s">
        <v>608</v>
      </c>
      <c r="B1090" s="176">
        <v>46040</v>
      </c>
      <c r="C1090" s="172" t="s">
        <v>92</v>
      </c>
      <c r="D1090" s="172" t="s">
        <v>24</v>
      </c>
      <c r="E1090" s="172" t="s">
        <v>52</v>
      </c>
      <c r="F1090" s="172" t="s">
        <v>90</v>
      </c>
      <c r="G1090" s="172" t="s">
        <v>84</v>
      </c>
      <c r="H1090" s="177">
        <v>1</v>
      </c>
      <c r="I1090" s="178">
        <v>1621</v>
      </c>
      <c r="J1090" s="176">
        <v>46029</v>
      </c>
      <c r="K1090" s="172" t="s">
        <v>93</v>
      </c>
      <c r="L1090" s="172" t="s">
        <v>94</v>
      </c>
      <c r="M1090" s="179">
        <v>0.43</v>
      </c>
      <c r="N1090" s="177"/>
      <c r="O1090" s="177">
        <v>43</v>
      </c>
      <c r="P1090" s="180">
        <v>-138.22999999999999</v>
      </c>
    </row>
    <row r="1091" spans="1:16" ht="19.5" customHeight="1">
      <c r="A1091" s="172" t="s">
        <v>608</v>
      </c>
      <c r="B1091" s="176">
        <v>46040</v>
      </c>
      <c r="C1091" s="172" t="s">
        <v>100</v>
      </c>
      <c r="D1091" s="172" t="s">
        <v>101</v>
      </c>
      <c r="E1091" s="172" t="s">
        <v>52</v>
      </c>
      <c r="F1091" s="172" t="s">
        <v>90</v>
      </c>
      <c r="G1091" s="172" t="s">
        <v>84</v>
      </c>
      <c r="H1091" s="177">
        <v>1</v>
      </c>
      <c r="I1091" s="178">
        <v>1621</v>
      </c>
      <c r="J1091" s="176">
        <v>46029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570.48</v>
      </c>
    </row>
    <row r="1092" spans="1:16" ht="19.5" customHeight="1">
      <c r="A1092" s="172" t="s">
        <v>608</v>
      </c>
      <c r="B1092" s="176">
        <v>46040</v>
      </c>
      <c r="C1092" s="172" t="s">
        <v>100</v>
      </c>
      <c r="D1092" s="172" t="s">
        <v>102</v>
      </c>
      <c r="E1092" s="172" t="s">
        <v>52</v>
      </c>
      <c r="F1092" s="172" t="s">
        <v>90</v>
      </c>
      <c r="G1092" s="172" t="s">
        <v>84</v>
      </c>
      <c r="H1092" s="177">
        <v>1</v>
      </c>
      <c r="I1092" s="178">
        <v>1621</v>
      </c>
      <c r="J1092" s="176">
        <v>46029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5.7</v>
      </c>
    </row>
    <row r="1093" spans="1:16" ht="19.5" customHeight="1">
      <c r="A1093" s="172" t="s">
        <v>608</v>
      </c>
      <c r="B1093" s="176">
        <v>46040</v>
      </c>
      <c r="C1093" s="172" t="s">
        <v>100</v>
      </c>
      <c r="D1093" s="172" t="s">
        <v>103</v>
      </c>
      <c r="E1093" s="172" t="s">
        <v>52</v>
      </c>
      <c r="F1093" s="172" t="s">
        <v>90</v>
      </c>
      <c r="G1093" s="172" t="s">
        <v>84</v>
      </c>
      <c r="H1093" s="177">
        <v>1</v>
      </c>
      <c r="I1093" s="178">
        <v>1621</v>
      </c>
      <c r="J1093" s="176">
        <v>46029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1044.82</v>
      </c>
    </row>
    <row r="1094" spans="1:16" ht="19.5" customHeight="1">
      <c r="A1094" s="172" t="s">
        <v>608</v>
      </c>
      <c r="B1094" s="176">
        <v>46040</v>
      </c>
      <c r="C1094" s="172" t="s">
        <v>104</v>
      </c>
      <c r="D1094" s="172" t="s">
        <v>105</v>
      </c>
      <c r="E1094" s="172" t="s">
        <v>52</v>
      </c>
      <c r="F1094" s="172" t="s">
        <v>90</v>
      </c>
      <c r="G1094" s="172" t="s">
        <v>84</v>
      </c>
      <c r="H1094" s="177">
        <v>1</v>
      </c>
      <c r="I1094" s="178">
        <v>1621</v>
      </c>
      <c r="J1094" s="176">
        <v>46029</v>
      </c>
      <c r="K1094" s="172" t="s">
        <v>93</v>
      </c>
      <c r="L1094" s="172" t="s">
        <v>94</v>
      </c>
      <c r="M1094" s="179">
        <v>0.43</v>
      </c>
      <c r="N1094" s="177"/>
      <c r="O1094" s="177"/>
      <c r="P1094" s="180">
        <v>-697.03</v>
      </c>
    </row>
    <row r="1095" spans="1:16" ht="19.5" customHeight="1">
      <c r="A1095" s="172" t="s">
        <v>608</v>
      </c>
      <c r="B1095" s="176">
        <v>46040</v>
      </c>
      <c r="C1095" s="172" t="s">
        <v>81</v>
      </c>
      <c r="D1095" s="172" t="s">
        <v>95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1621</v>
      </c>
      <c r="J1095" s="176">
        <v>46029</v>
      </c>
      <c r="K1095" s="172" t="s">
        <v>93</v>
      </c>
      <c r="L1095" s="172" t="s">
        <v>94</v>
      </c>
      <c r="M1095" s="179">
        <v>0.43</v>
      </c>
      <c r="N1095" s="177"/>
      <c r="O1095" s="177"/>
      <c r="P1095" s="180">
        <v>-25</v>
      </c>
    </row>
    <row r="1096" spans="1:16" ht="19.5" customHeight="1">
      <c r="A1096" s="172" t="s">
        <v>609</v>
      </c>
      <c r="B1096" s="176">
        <v>46040</v>
      </c>
      <c r="C1096" s="172" t="s">
        <v>92</v>
      </c>
      <c r="D1096" s="172" t="s">
        <v>24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1621</v>
      </c>
      <c r="J1096" s="176">
        <v>46032</v>
      </c>
      <c r="K1096" s="172" t="s">
        <v>93</v>
      </c>
      <c r="L1096" s="172" t="s">
        <v>94</v>
      </c>
      <c r="M1096" s="179">
        <v>0.43</v>
      </c>
      <c r="N1096" s="177"/>
      <c r="O1096" s="177">
        <v>41</v>
      </c>
      <c r="P1096" s="180">
        <v>-130.01</v>
      </c>
    </row>
    <row r="1097" spans="1:16" ht="19.5" customHeight="1">
      <c r="A1097" s="172" t="s">
        <v>609</v>
      </c>
      <c r="B1097" s="176">
        <v>46040</v>
      </c>
      <c r="C1097" s="172" t="s">
        <v>100</v>
      </c>
      <c r="D1097" s="172" t="s">
        <v>101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1621</v>
      </c>
      <c r="J1097" s="176">
        <v>46032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570.48</v>
      </c>
    </row>
    <row r="1098" spans="1:16" ht="19.5" customHeight="1">
      <c r="A1098" s="172" t="s">
        <v>609</v>
      </c>
      <c r="B1098" s="176">
        <v>46040</v>
      </c>
      <c r="C1098" s="172" t="s">
        <v>100</v>
      </c>
      <c r="D1098" s="172" t="s">
        <v>102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1621</v>
      </c>
      <c r="J1098" s="176">
        <v>46032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5.7</v>
      </c>
    </row>
    <row r="1099" spans="1:16" ht="19.5" customHeight="1">
      <c r="A1099" s="172" t="s">
        <v>609</v>
      </c>
      <c r="B1099" s="176">
        <v>46040</v>
      </c>
      <c r="C1099" s="172" t="s">
        <v>100</v>
      </c>
      <c r="D1099" s="172" t="s">
        <v>103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1621</v>
      </c>
      <c r="J1099" s="176">
        <v>46032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1044.82</v>
      </c>
    </row>
    <row r="1100" spans="1:16" ht="19.5" customHeight="1">
      <c r="A1100" s="172" t="s">
        <v>609</v>
      </c>
      <c r="B1100" s="176">
        <v>46040</v>
      </c>
      <c r="C1100" s="172" t="s">
        <v>104</v>
      </c>
      <c r="D1100" s="172" t="s">
        <v>105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46032</v>
      </c>
      <c r="K1100" s="172" t="s">
        <v>93</v>
      </c>
      <c r="L1100" s="172" t="s">
        <v>94</v>
      </c>
      <c r="M1100" s="179">
        <v>0.43</v>
      </c>
      <c r="N1100" s="177"/>
      <c r="O1100" s="177"/>
      <c r="P1100" s="180">
        <v>-697.03</v>
      </c>
    </row>
    <row r="1101" spans="1:16" ht="19.5" customHeight="1">
      <c r="A1101" s="172" t="s">
        <v>609</v>
      </c>
      <c r="B1101" s="176">
        <v>46040</v>
      </c>
      <c r="C1101" s="172" t="s">
        <v>81</v>
      </c>
      <c r="D1101" s="172" t="s">
        <v>95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46032</v>
      </c>
      <c r="K1101" s="172" t="s">
        <v>93</v>
      </c>
      <c r="L1101" s="172" t="s">
        <v>94</v>
      </c>
      <c r="M1101" s="179">
        <v>0.43</v>
      </c>
      <c r="N1101" s="177"/>
      <c r="O1101" s="177"/>
      <c r="P1101" s="180">
        <v>-7.76</v>
      </c>
    </row>
    <row r="1102" spans="1:16" ht="19.5" customHeight="1">
      <c r="A1102" s="172" t="s">
        <v>609</v>
      </c>
      <c r="B1102" s="176">
        <v>46040</v>
      </c>
      <c r="C1102" s="172" t="s">
        <v>81</v>
      </c>
      <c r="D1102" s="172" t="s">
        <v>82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0</v>
      </c>
      <c r="J1102" s="176">
        <v>46032</v>
      </c>
      <c r="K1102" s="172" t="s">
        <v>85</v>
      </c>
      <c r="L1102" s="172" t="s">
        <v>85</v>
      </c>
      <c r="M1102" s="179">
        <v>0</v>
      </c>
      <c r="N1102" s="177"/>
      <c r="O1102" s="177"/>
      <c r="P1102" s="180">
        <v>-10.84</v>
      </c>
    </row>
    <row r="1103" spans="1:16" ht="19.5" customHeight="1">
      <c r="A1103" s="172" t="s">
        <v>610</v>
      </c>
      <c r="B1103" s="176">
        <v>46040</v>
      </c>
      <c r="C1103" s="172" t="s">
        <v>92</v>
      </c>
      <c r="D1103" s="172" t="s">
        <v>24</v>
      </c>
      <c r="E1103" s="172" t="s">
        <v>53</v>
      </c>
      <c r="F1103" s="172" t="s">
        <v>120</v>
      </c>
      <c r="G1103" s="172" t="s">
        <v>84</v>
      </c>
      <c r="H1103" s="177">
        <v>1</v>
      </c>
      <c r="I1103" s="178">
        <v>1845</v>
      </c>
      <c r="J1103" s="176">
        <v>46034</v>
      </c>
      <c r="K1103" s="172" t="s">
        <v>93</v>
      </c>
      <c r="L1103" s="172" t="s">
        <v>94</v>
      </c>
      <c r="M1103" s="179">
        <v>0.43</v>
      </c>
      <c r="N1103" s="177"/>
      <c r="O1103" s="177">
        <v>42</v>
      </c>
      <c r="P1103" s="180">
        <v>-140.5</v>
      </c>
    </row>
    <row r="1104" spans="1:16" ht="19.5" customHeight="1">
      <c r="A1104" s="172" t="s">
        <v>610</v>
      </c>
      <c r="B1104" s="176">
        <v>46040</v>
      </c>
      <c r="C1104" s="172" t="s">
        <v>100</v>
      </c>
      <c r="D1104" s="172" t="s">
        <v>101</v>
      </c>
      <c r="E1104" s="172" t="s">
        <v>53</v>
      </c>
      <c r="F1104" s="172" t="s">
        <v>120</v>
      </c>
      <c r="G1104" s="172" t="s">
        <v>84</v>
      </c>
      <c r="H1104" s="177">
        <v>1</v>
      </c>
      <c r="I1104" s="178">
        <v>1845</v>
      </c>
      <c r="J1104" s="176">
        <v>46034</v>
      </c>
      <c r="K1104" s="172" t="s">
        <v>93</v>
      </c>
      <c r="L1104" s="172" t="s">
        <v>94</v>
      </c>
      <c r="M1104" s="179">
        <v>0</v>
      </c>
      <c r="N1104" s="177"/>
      <c r="O1104" s="177"/>
      <c r="P1104" s="180">
        <v>675.22</v>
      </c>
    </row>
    <row r="1105" spans="1:16" ht="19.5" customHeight="1">
      <c r="A1105" s="172" t="s">
        <v>610</v>
      </c>
      <c r="B1105" s="176">
        <v>46040</v>
      </c>
      <c r="C1105" s="172" t="s">
        <v>100</v>
      </c>
      <c r="D1105" s="172" t="s">
        <v>102</v>
      </c>
      <c r="E1105" s="172" t="s">
        <v>53</v>
      </c>
      <c r="F1105" s="172" t="s">
        <v>120</v>
      </c>
      <c r="G1105" s="172" t="s">
        <v>84</v>
      </c>
      <c r="H1105" s="177">
        <v>1</v>
      </c>
      <c r="I1105" s="178">
        <v>1845</v>
      </c>
      <c r="J1105" s="176">
        <v>46034</v>
      </c>
      <c r="K1105" s="172" t="s">
        <v>93</v>
      </c>
      <c r="L1105" s="172" t="s">
        <v>94</v>
      </c>
      <c r="M1105" s="179">
        <v>0</v>
      </c>
      <c r="N1105" s="177"/>
      <c r="O1105" s="177"/>
      <c r="P1105" s="180">
        <v>0</v>
      </c>
    </row>
    <row r="1106" spans="1:16" ht="19.5" customHeight="1">
      <c r="A1106" s="172" t="s">
        <v>610</v>
      </c>
      <c r="B1106" s="176">
        <v>46040</v>
      </c>
      <c r="C1106" s="172" t="s">
        <v>100</v>
      </c>
      <c r="D1106" s="172" t="s">
        <v>103</v>
      </c>
      <c r="E1106" s="172" t="s">
        <v>53</v>
      </c>
      <c r="F1106" s="172" t="s">
        <v>120</v>
      </c>
      <c r="G1106" s="172" t="s">
        <v>84</v>
      </c>
      <c r="H1106" s="177">
        <v>1</v>
      </c>
      <c r="I1106" s="178">
        <v>1845</v>
      </c>
      <c r="J1106" s="176">
        <v>46034</v>
      </c>
      <c r="K1106" s="172" t="s">
        <v>93</v>
      </c>
      <c r="L1106" s="172" t="s">
        <v>94</v>
      </c>
      <c r="M1106" s="179">
        <v>0</v>
      </c>
      <c r="N1106" s="177"/>
      <c r="O1106" s="177"/>
      <c r="P1106" s="180">
        <v>1169.78</v>
      </c>
    </row>
    <row r="1107" spans="1:16" ht="19.5" customHeight="1">
      <c r="A1107" s="172" t="s">
        <v>610</v>
      </c>
      <c r="B1107" s="176">
        <v>46040</v>
      </c>
      <c r="C1107" s="172" t="s">
        <v>104</v>
      </c>
      <c r="D1107" s="172" t="s">
        <v>105</v>
      </c>
      <c r="E1107" s="172" t="s">
        <v>53</v>
      </c>
      <c r="F1107" s="172" t="s">
        <v>120</v>
      </c>
      <c r="G1107" s="172" t="s">
        <v>84</v>
      </c>
      <c r="H1107" s="177">
        <v>1</v>
      </c>
      <c r="I1107" s="178">
        <v>1845</v>
      </c>
      <c r="J1107" s="176">
        <v>46034</v>
      </c>
      <c r="K1107" s="172" t="s">
        <v>93</v>
      </c>
      <c r="L1107" s="172" t="s">
        <v>94</v>
      </c>
      <c r="M1107" s="179">
        <v>0.43</v>
      </c>
      <c r="N1107" s="177"/>
      <c r="O1107" s="177"/>
      <c r="P1107" s="180">
        <v>-793.35</v>
      </c>
    </row>
    <row r="1108" spans="1:16" ht="19.5" customHeight="1">
      <c r="A1108" s="172" t="s">
        <v>85</v>
      </c>
      <c r="B1108" s="176">
        <v>46040</v>
      </c>
      <c r="C1108" s="172" t="s">
        <v>109</v>
      </c>
      <c r="D1108" s="172" t="s">
        <v>110</v>
      </c>
      <c r="E1108" s="172" t="s">
        <v>85</v>
      </c>
      <c r="F1108" s="172" t="s">
        <v>85</v>
      </c>
      <c r="G1108" s="172" t="s">
        <v>611</v>
      </c>
      <c r="H1108" s="177">
        <v>0</v>
      </c>
      <c r="I1108" s="178">
        <v>0</v>
      </c>
      <c r="J1108" s="176">
        <v>46040</v>
      </c>
      <c r="K1108" s="172" t="s">
        <v>85</v>
      </c>
      <c r="L1108" s="172" t="s">
        <v>85</v>
      </c>
      <c r="M1108" s="179">
        <v>0</v>
      </c>
      <c r="N1108" s="177"/>
      <c r="O1108" s="177"/>
      <c r="P1108" s="180">
        <v>-150</v>
      </c>
    </row>
    <row r="1109" spans="1:16" ht="19.5" customHeight="1">
      <c r="A1109" s="172" t="s">
        <v>612</v>
      </c>
      <c r="B1109" s="176">
        <v>46040</v>
      </c>
      <c r="C1109" s="172" t="s">
        <v>81</v>
      </c>
      <c r="D1109" s="172" t="s">
        <v>82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0</v>
      </c>
      <c r="J1109" s="176">
        <v>46040</v>
      </c>
      <c r="K1109" s="172" t="s">
        <v>85</v>
      </c>
      <c r="L1109" s="172" t="s">
        <v>85</v>
      </c>
      <c r="M1109" s="179">
        <v>0</v>
      </c>
      <c r="N1109" s="177"/>
      <c r="O1109" s="177"/>
      <c r="P1109" s="180">
        <v>-16.809999999999999</v>
      </c>
    </row>
    <row r="1110" spans="1:16" ht="19.5" customHeight="1">
      <c r="A1110" s="172" t="s">
        <v>613</v>
      </c>
      <c r="B1110" s="176">
        <v>46040</v>
      </c>
      <c r="C1110" s="172" t="s">
        <v>92</v>
      </c>
      <c r="D1110" s="172" t="s">
        <v>24</v>
      </c>
      <c r="E1110" s="172" t="s">
        <v>40</v>
      </c>
      <c r="F1110" s="172" t="s">
        <v>197</v>
      </c>
      <c r="G1110" s="172" t="s">
        <v>84</v>
      </c>
      <c r="H1110" s="177">
        <v>1</v>
      </c>
      <c r="I1110" s="178">
        <v>1750</v>
      </c>
      <c r="J1110" s="176">
        <v>46039</v>
      </c>
      <c r="K1110" s="172" t="s">
        <v>93</v>
      </c>
      <c r="L1110" s="172" t="s">
        <v>94</v>
      </c>
      <c r="M1110" s="179">
        <v>0.43</v>
      </c>
      <c r="N1110" s="177"/>
      <c r="O1110" s="177">
        <v>47</v>
      </c>
      <c r="P1110" s="180">
        <v>-142.11000000000001</v>
      </c>
    </row>
    <row r="1111" spans="1:16" ht="19.5" customHeight="1">
      <c r="A1111" s="172" t="s">
        <v>613</v>
      </c>
      <c r="B1111" s="176">
        <v>46040</v>
      </c>
      <c r="C1111" s="172" t="s">
        <v>100</v>
      </c>
      <c r="D1111" s="172" t="s">
        <v>101</v>
      </c>
      <c r="E1111" s="172" t="s">
        <v>40</v>
      </c>
      <c r="F1111" s="172" t="s">
        <v>197</v>
      </c>
      <c r="G1111" s="172" t="s">
        <v>84</v>
      </c>
      <c r="H1111" s="177">
        <v>1</v>
      </c>
      <c r="I1111" s="178">
        <v>1750</v>
      </c>
      <c r="J1111" s="176">
        <v>46039</v>
      </c>
      <c r="K1111" s="172" t="s">
        <v>93</v>
      </c>
      <c r="L1111" s="172" t="s">
        <v>94</v>
      </c>
      <c r="M1111" s="179">
        <v>0</v>
      </c>
      <c r="N1111" s="177"/>
      <c r="O1111" s="177"/>
      <c r="P1111" s="180">
        <v>673.33</v>
      </c>
    </row>
    <row r="1112" spans="1:16" ht="19.5" customHeight="1">
      <c r="A1112" s="172" t="s">
        <v>613</v>
      </c>
      <c r="B1112" s="176">
        <v>46040</v>
      </c>
      <c r="C1112" s="172" t="s">
        <v>100</v>
      </c>
      <c r="D1112" s="172" t="s">
        <v>102</v>
      </c>
      <c r="E1112" s="172" t="s">
        <v>40</v>
      </c>
      <c r="F1112" s="172" t="s">
        <v>197</v>
      </c>
      <c r="G1112" s="172" t="s">
        <v>84</v>
      </c>
      <c r="H1112" s="177">
        <v>1</v>
      </c>
      <c r="I1112" s="178">
        <v>1750</v>
      </c>
      <c r="J1112" s="176">
        <v>46039</v>
      </c>
      <c r="K1112" s="172" t="s">
        <v>93</v>
      </c>
      <c r="L1112" s="172" t="s">
        <v>94</v>
      </c>
      <c r="M1112" s="179">
        <v>0</v>
      </c>
      <c r="N1112" s="177"/>
      <c r="O1112" s="177"/>
      <c r="P1112" s="180">
        <v>0</v>
      </c>
    </row>
    <row r="1113" spans="1:16" ht="19.5" customHeight="1">
      <c r="A1113" s="172" t="s">
        <v>613</v>
      </c>
      <c r="B1113" s="176">
        <v>46040</v>
      </c>
      <c r="C1113" s="172" t="s">
        <v>100</v>
      </c>
      <c r="D1113" s="172" t="s">
        <v>103</v>
      </c>
      <c r="E1113" s="172" t="s">
        <v>40</v>
      </c>
      <c r="F1113" s="172" t="s">
        <v>197</v>
      </c>
      <c r="G1113" s="172" t="s">
        <v>84</v>
      </c>
      <c r="H1113" s="177">
        <v>1</v>
      </c>
      <c r="I1113" s="178">
        <v>1750</v>
      </c>
      <c r="J1113" s="176">
        <v>46039</v>
      </c>
      <c r="K1113" s="172" t="s">
        <v>93</v>
      </c>
      <c r="L1113" s="172" t="s">
        <v>94</v>
      </c>
      <c r="M1113" s="179">
        <v>0</v>
      </c>
      <c r="N1113" s="177"/>
      <c r="O1113" s="177"/>
      <c r="P1113" s="180">
        <v>1076.67</v>
      </c>
    </row>
    <row r="1114" spans="1:16" ht="19.5" customHeight="1">
      <c r="A1114" s="172" t="s">
        <v>613</v>
      </c>
      <c r="B1114" s="176">
        <v>46040</v>
      </c>
      <c r="C1114" s="172" t="s">
        <v>104</v>
      </c>
      <c r="D1114" s="172" t="s">
        <v>105</v>
      </c>
      <c r="E1114" s="172" t="s">
        <v>40</v>
      </c>
      <c r="F1114" s="172" t="s">
        <v>197</v>
      </c>
      <c r="G1114" s="172" t="s">
        <v>84</v>
      </c>
      <c r="H1114" s="177">
        <v>1</v>
      </c>
      <c r="I1114" s="178">
        <v>1750</v>
      </c>
      <c r="J1114" s="176">
        <v>46039</v>
      </c>
      <c r="K1114" s="172" t="s">
        <v>93</v>
      </c>
      <c r="L1114" s="172" t="s">
        <v>94</v>
      </c>
      <c r="M1114" s="179">
        <v>0.43</v>
      </c>
      <c r="N1114" s="177"/>
      <c r="O1114" s="177"/>
      <c r="P1114" s="180">
        <v>-752.5</v>
      </c>
    </row>
    <row r="1115" spans="1:16" ht="19.5" customHeight="1">
      <c r="A1115" s="172" t="s">
        <v>613</v>
      </c>
      <c r="B1115" s="176">
        <v>46040</v>
      </c>
      <c r="C1115" s="172" t="s">
        <v>81</v>
      </c>
      <c r="D1115" s="172" t="s">
        <v>95</v>
      </c>
      <c r="E1115" s="172" t="s">
        <v>40</v>
      </c>
      <c r="F1115" s="172" t="s">
        <v>197</v>
      </c>
      <c r="G1115" s="172" t="s">
        <v>84</v>
      </c>
      <c r="H1115" s="177">
        <v>1</v>
      </c>
      <c r="I1115" s="178">
        <v>1750</v>
      </c>
      <c r="J1115" s="176">
        <v>46039</v>
      </c>
      <c r="K1115" s="172" t="s">
        <v>93</v>
      </c>
      <c r="L1115" s="172" t="s">
        <v>94</v>
      </c>
      <c r="M1115" s="179">
        <v>0.43</v>
      </c>
      <c r="N1115" s="177"/>
      <c r="O1115" s="177"/>
      <c r="P1115" s="180">
        <v>-7.4</v>
      </c>
    </row>
    <row r="1116" spans="1:16" ht="19.5" customHeight="1">
      <c r="A1116" s="172" t="s">
        <v>614</v>
      </c>
      <c r="B1116" s="176">
        <v>46040</v>
      </c>
      <c r="C1116" s="172" t="s">
        <v>92</v>
      </c>
      <c r="D1116" s="172" t="s">
        <v>24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0</v>
      </c>
      <c r="J1116" s="176">
        <v>46014</v>
      </c>
      <c r="K1116" s="172" t="s">
        <v>93</v>
      </c>
      <c r="L1116" s="172" t="s">
        <v>94</v>
      </c>
      <c r="M1116" s="179">
        <v>0</v>
      </c>
      <c r="N1116" s="177"/>
      <c r="O1116" s="177">
        <v>43</v>
      </c>
      <c r="P1116" s="180">
        <v>-56</v>
      </c>
    </row>
    <row r="1117" spans="1:16" ht="19.5" customHeight="1">
      <c r="A1117" s="172" t="s">
        <v>614</v>
      </c>
      <c r="B1117" s="176">
        <v>46040</v>
      </c>
      <c r="C1117" s="172" t="s">
        <v>81</v>
      </c>
      <c r="D1117" s="172" t="s">
        <v>95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0</v>
      </c>
      <c r="J1117" s="176">
        <v>46014</v>
      </c>
      <c r="K1117" s="172" t="s">
        <v>93</v>
      </c>
      <c r="L1117" s="172" t="s">
        <v>94</v>
      </c>
      <c r="M1117" s="179">
        <v>0</v>
      </c>
      <c r="N1117" s="177"/>
      <c r="O1117" s="177"/>
      <c r="P1117" s="180">
        <v>-25</v>
      </c>
    </row>
    <row r="1118" spans="1:16" ht="19.5" customHeight="1">
      <c r="A1118" s="172" t="s">
        <v>614</v>
      </c>
      <c r="B1118" s="176">
        <v>46040</v>
      </c>
      <c r="C1118" s="172" t="s">
        <v>92</v>
      </c>
      <c r="D1118" s="172" t="s">
        <v>96</v>
      </c>
      <c r="E1118" s="172" t="s">
        <v>53</v>
      </c>
      <c r="F1118" s="172" t="s">
        <v>120</v>
      </c>
      <c r="G1118" s="172" t="s">
        <v>84</v>
      </c>
      <c r="H1118" s="177">
        <v>1</v>
      </c>
      <c r="I1118" s="178">
        <v>0</v>
      </c>
      <c r="J1118" s="176">
        <v>46014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0</v>
      </c>
    </row>
    <row r="1119" spans="1:16" ht="19.5" customHeight="1">
      <c r="A1119" s="172" t="s">
        <v>614</v>
      </c>
      <c r="B1119" s="176">
        <v>46040</v>
      </c>
      <c r="C1119" s="172" t="s">
        <v>92</v>
      </c>
      <c r="D1119" s="172" t="s">
        <v>97</v>
      </c>
      <c r="E1119" s="172" t="s">
        <v>53</v>
      </c>
      <c r="F1119" s="172" t="s">
        <v>120</v>
      </c>
      <c r="G1119" s="172" t="s">
        <v>84</v>
      </c>
      <c r="H1119" s="177">
        <v>1</v>
      </c>
      <c r="I1119" s="178">
        <v>0</v>
      </c>
      <c r="J1119" s="176">
        <v>46014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-56</v>
      </c>
    </row>
    <row r="1120" spans="1:16" ht="19.5" customHeight="1">
      <c r="A1120" s="172" t="s">
        <v>614</v>
      </c>
      <c r="B1120" s="176">
        <v>46040</v>
      </c>
      <c r="C1120" s="172" t="s">
        <v>81</v>
      </c>
      <c r="D1120" s="172" t="s">
        <v>98</v>
      </c>
      <c r="E1120" s="172" t="s">
        <v>53</v>
      </c>
      <c r="F1120" s="172" t="s">
        <v>120</v>
      </c>
      <c r="G1120" s="172" t="s">
        <v>84</v>
      </c>
      <c r="H1120" s="177">
        <v>1</v>
      </c>
      <c r="I1120" s="178">
        <v>0</v>
      </c>
      <c r="J1120" s="176">
        <v>46014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-15</v>
      </c>
    </row>
    <row r="1121" spans="1:16" ht="19.5" customHeight="1">
      <c r="A1121" s="172" t="s">
        <v>615</v>
      </c>
      <c r="B1121" s="176">
        <v>46040</v>
      </c>
      <c r="C1121" s="172" t="s">
        <v>92</v>
      </c>
      <c r="D1121" s="172" t="s">
        <v>24</v>
      </c>
      <c r="E1121" s="172" t="s">
        <v>41</v>
      </c>
      <c r="F1121" s="172" t="s">
        <v>83</v>
      </c>
      <c r="G1121" s="172" t="s">
        <v>84</v>
      </c>
      <c r="H1121" s="177">
        <v>1</v>
      </c>
      <c r="I1121" s="178">
        <v>0</v>
      </c>
      <c r="J1121" s="176">
        <v>46035</v>
      </c>
      <c r="K1121" s="172" t="s">
        <v>93</v>
      </c>
      <c r="L1121" s="172" t="s">
        <v>94</v>
      </c>
      <c r="M1121" s="179">
        <v>0</v>
      </c>
      <c r="N1121" s="177"/>
      <c r="O1121" s="177">
        <v>45</v>
      </c>
      <c r="P1121" s="180">
        <v>-46</v>
      </c>
    </row>
    <row r="1122" spans="1:16" ht="19.5" customHeight="1">
      <c r="A1122" s="172" t="s">
        <v>615</v>
      </c>
      <c r="B1122" s="176">
        <v>46040</v>
      </c>
      <c r="C1122" s="172" t="s">
        <v>81</v>
      </c>
      <c r="D1122" s="172" t="s">
        <v>95</v>
      </c>
      <c r="E1122" s="172" t="s">
        <v>41</v>
      </c>
      <c r="F1122" s="172" t="s">
        <v>83</v>
      </c>
      <c r="G1122" s="172" t="s">
        <v>84</v>
      </c>
      <c r="H1122" s="177">
        <v>1</v>
      </c>
      <c r="I1122" s="178">
        <v>0</v>
      </c>
      <c r="J1122" s="176">
        <v>46035</v>
      </c>
      <c r="K1122" s="172" t="s">
        <v>93</v>
      </c>
      <c r="L1122" s="172" t="s">
        <v>94</v>
      </c>
      <c r="M1122" s="179">
        <v>0</v>
      </c>
      <c r="N1122" s="177"/>
      <c r="O1122" s="177"/>
      <c r="P1122" s="180">
        <v>-7.71</v>
      </c>
    </row>
    <row r="1123" spans="1:16" ht="19.5" customHeight="1">
      <c r="A1123" s="172" t="s">
        <v>616</v>
      </c>
      <c r="B1123" s="176">
        <v>46040</v>
      </c>
      <c r="C1123" s="172" t="s">
        <v>81</v>
      </c>
      <c r="D1123" s="172" t="s">
        <v>82</v>
      </c>
      <c r="E1123" s="172" t="s">
        <v>38</v>
      </c>
      <c r="F1123" s="172" t="s">
        <v>87</v>
      </c>
      <c r="G1123" s="172" t="s">
        <v>84</v>
      </c>
      <c r="H1123" s="177">
        <v>1</v>
      </c>
      <c r="I1123" s="178">
        <v>0</v>
      </c>
      <c r="J1123" s="176">
        <v>46040</v>
      </c>
      <c r="K1123" s="172" t="s">
        <v>85</v>
      </c>
      <c r="L1123" s="172" t="s">
        <v>85</v>
      </c>
      <c r="M1123" s="179">
        <v>0</v>
      </c>
      <c r="N1123" s="177"/>
      <c r="O1123" s="177"/>
      <c r="P1123" s="180">
        <v>-12.65</v>
      </c>
    </row>
    <row r="1124" spans="1:16" ht="19.5" customHeight="1">
      <c r="A1124" s="172" t="s">
        <v>615</v>
      </c>
      <c r="B1124" s="176">
        <v>46040</v>
      </c>
      <c r="C1124" s="172" t="s">
        <v>92</v>
      </c>
      <c r="D1124" s="172" t="s">
        <v>96</v>
      </c>
      <c r="E1124" s="172" t="s">
        <v>41</v>
      </c>
      <c r="F1124" s="172" t="s">
        <v>83</v>
      </c>
      <c r="G1124" s="172" t="s">
        <v>84</v>
      </c>
      <c r="H1124" s="177">
        <v>1</v>
      </c>
      <c r="I1124" s="178">
        <v>0</v>
      </c>
      <c r="J1124" s="176">
        <v>46035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0</v>
      </c>
    </row>
    <row r="1125" spans="1:16" ht="19.5" customHeight="1">
      <c r="A1125" s="172" t="s">
        <v>615</v>
      </c>
      <c r="B1125" s="176">
        <v>46040</v>
      </c>
      <c r="C1125" s="172" t="s">
        <v>92</v>
      </c>
      <c r="D1125" s="172" t="s">
        <v>97</v>
      </c>
      <c r="E1125" s="172" t="s">
        <v>41</v>
      </c>
      <c r="F1125" s="172" t="s">
        <v>83</v>
      </c>
      <c r="G1125" s="172" t="s">
        <v>84</v>
      </c>
      <c r="H1125" s="177">
        <v>1</v>
      </c>
      <c r="I1125" s="178">
        <v>0</v>
      </c>
      <c r="J1125" s="176">
        <v>46035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-46</v>
      </c>
    </row>
    <row r="1126" spans="1:16" ht="19.5" customHeight="1">
      <c r="A1126" s="172" t="s">
        <v>615</v>
      </c>
      <c r="B1126" s="176">
        <v>46040</v>
      </c>
      <c r="C1126" s="172" t="s">
        <v>81</v>
      </c>
      <c r="D1126" s="172" t="s">
        <v>98</v>
      </c>
      <c r="E1126" s="172" t="s">
        <v>41</v>
      </c>
      <c r="F1126" s="172" t="s">
        <v>83</v>
      </c>
      <c r="G1126" s="172" t="s">
        <v>84</v>
      </c>
      <c r="H1126" s="177">
        <v>1</v>
      </c>
      <c r="I1126" s="178">
        <v>0</v>
      </c>
      <c r="J1126" s="176">
        <v>46035</v>
      </c>
      <c r="K1126" s="172" t="s">
        <v>93</v>
      </c>
      <c r="L1126" s="172" t="s">
        <v>94</v>
      </c>
      <c r="M1126" s="179">
        <v>0</v>
      </c>
      <c r="N1126" s="177"/>
      <c r="O1126" s="177"/>
      <c r="P1126" s="180">
        <v>-15</v>
      </c>
    </row>
    <row r="1127" spans="1:16" ht="19.5" customHeight="1">
      <c r="A1127" s="172" t="s">
        <v>617</v>
      </c>
      <c r="B1127" s="176">
        <v>46040</v>
      </c>
      <c r="C1127" s="172" t="s">
        <v>92</v>
      </c>
      <c r="D1127" s="172" t="s">
        <v>24</v>
      </c>
      <c r="E1127" s="172" t="s">
        <v>40</v>
      </c>
      <c r="F1127" s="172" t="s">
        <v>197</v>
      </c>
      <c r="G1127" s="172" t="s">
        <v>84</v>
      </c>
      <c r="H1127" s="177">
        <v>1</v>
      </c>
      <c r="I1127" s="178">
        <v>1750</v>
      </c>
      <c r="J1127" s="176">
        <v>46036</v>
      </c>
      <c r="K1127" s="172" t="s">
        <v>93</v>
      </c>
      <c r="L1127" s="172" t="s">
        <v>94</v>
      </c>
      <c r="M1127" s="179">
        <v>0.43</v>
      </c>
      <c r="N1127" s="177"/>
      <c r="O1127" s="177">
        <v>45</v>
      </c>
      <c r="P1127" s="180">
        <v>-135.38999999999999</v>
      </c>
    </row>
    <row r="1128" spans="1:16" ht="19.5" customHeight="1">
      <c r="A1128" s="172" t="s">
        <v>617</v>
      </c>
      <c r="B1128" s="176">
        <v>46040</v>
      </c>
      <c r="C1128" s="172" t="s">
        <v>100</v>
      </c>
      <c r="D1128" s="172" t="s">
        <v>101</v>
      </c>
      <c r="E1128" s="172" t="s">
        <v>40</v>
      </c>
      <c r="F1128" s="172" t="s">
        <v>197</v>
      </c>
      <c r="G1128" s="172" t="s">
        <v>84</v>
      </c>
      <c r="H1128" s="177">
        <v>1</v>
      </c>
      <c r="I1128" s="178">
        <v>1750</v>
      </c>
      <c r="J1128" s="176">
        <v>46036</v>
      </c>
      <c r="K1128" s="172" t="s">
        <v>93</v>
      </c>
      <c r="L1128" s="172" t="s">
        <v>94</v>
      </c>
      <c r="M1128" s="179">
        <v>0</v>
      </c>
      <c r="N1128" s="177"/>
      <c r="O1128" s="177"/>
      <c r="P1128" s="180">
        <v>609.52</v>
      </c>
    </row>
    <row r="1129" spans="1:16" ht="19.5" customHeight="1">
      <c r="A1129" s="172" t="s">
        <v>617</v>
      </c>
      <c r="B1129" s="176">
        <v>46040</v>
      </c>
      <c r="C1129" s="172" t="s">
        <v>100</v>
      </c>
      <c r="D1129" s="172" t="s">
        <v>102</v>
      </c>
      <c r="E1129" s="172" t="s">
        <v>40</v>
      </c>
      <c r="F1129" s="172" t="s">
        <v>197</v>
      </c>
      <c r="G1129" s="172" t="s">
        <v>84</v>
      </c>
      <c r="H1129" s="177">
        <v>1</v>
      </c>
      <c r="I1129" s="178">
        <v>1750</v>
      </c>
      <c r="J1129" s="176">
        <v>46036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6.1</v>
      </c>
    </row>
    <row r="1130" spans="1:16" ht="19.5" customHeight="1">
      <c r="A1130" s="172" t="s">
        <v>617</v>
      </c>
      <c r="B1130" s="176">
        <v>46040</v>
      </c>
      <c r="C1130" s="172" t="s">
        <v>100</v>
      </c>
      <c r="D1130" s="172" t="s">
        <v>103</v>
      </c>
      <c r="E1130" s="172" t="s">
        <v>40</v>
      </c>
      <c r="F1130" s="172" t="s">
        <v>197</v>
      </c>
      <c r="G1130" s="172" t="s">
        <v>84</v>
      </c>
      <c r="H1130" s="177">
        <v>1</v>
      </c>
      <c r="I1130" s="178">
        <v>1750</v>
      </c>
      <c r="J1130" s="176">
        <v>46036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1134.3800000000001</v>
      </c>
    </row>
    <row r="1131" spans="1:16" ht="19.5" customHeight="1">
      <c r="A1131" s="172" t="s">
        <v>617</v>
      </c>
      <c r="B1131" s="176">
        <v>46040</v>
      </c>
      <c r="C1131" s="172" t="s">
        <v>104</v>
      </c>
      <c r="D1131" s="172" t="s">
        <v>105</v>
      </c>
      <c r="E1131" s="172" t="s">
        <v>40</v>
      </c>
      <c r="F1131" s="172" t="s">
        <v>197</v>
      </c>
      <c r="G1131" s="172" t="s">
        <v>84</v>
      </c>
      <c r="H1131" s="177">
        <v>1</v>
      </c>
      <c r="I1131" s="178">
        <v>1750</v>
      </c>
      <c r="J1131" s="176">
        <v>46036</v>
      </c>
      <c r="K1131" s="172" t="s">
        <v>93</v>
      </c>
      <c r="L1131" s="172" t="s">
        <v>94</v>
      </c>
      <c r="M1131" s="179">
        <v>0.43</v>
      </c>
      <c r="N1131" s="177"/>
      <c r="O1131" s="177"/>
      <c r="P1131" s="180">
        <v>-752.5</v>
      </c>
    </row>
    <row r="1132" spans="1:16" ht="19.5" customHeight="1">
      <c r="A1132" s="172" t="s">
        <v>617</v>
      </c>
      <c r="B1132" s="176">
        <v>46040</v>
      </c>
      <c r="C1132" s="172" t="s">
        <v>81</v>
      </c>
      <c r="D1132" s="172" t="s">
        <v>95</v>
      </c>
      <c r="E1132" s="172" t="s">
        <v>40</v>
      </c>
      <c r="F1132" s="172" t="s">
        <v>197</v>
      </c>
      <c r="G1132" s="172" t="s">
        <v>84</v>
      </c>
      <c r="H1132" s="177">
        <v>1</v>
      </c>
      <c r="I1132" s="178">
        <v>1750</v>
      </c>
      <c r="J1132" s="176">
        <v>46036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-10.18</v>
      </c>
    </row>
    <row r="1133" spans="1:16" ht="19.5" customHeight="1">
      <c r="A1133" s="172" t="s">
        <v>618</v>
      </c>
      <c r="B1133" s="176">
        <v>46040</v>
      </c>
      <c r="C1133" s="172" t="s">
        <v>92</v>
      </c>
      <c r="D1133" s="172" t="s">
        <v>24</v>
      </c>
      <c r="E1133" s="172" t="s">
        <v>53</v>
      </c>
      <c r="F1133" s="172" t="s">
        <v>120</v>
      </c>
      <c r="G1133" s="172" t="s">
        <v>84</v>
      </c>
      <c r="H1133" s="177">
        <v>1</v>
      </c>
      <c r="I1133" s="178">
        <v>1845</v>
      </c>
      <c r="J1133" s="176">
        <v>46031</v>
      </c>
      <c r="K1133" s="172" t="s">
        <v>93</v>
      </c>
      <c r="L1133" s="172" t="s">
        <v>94</v>
      </c>
      <c r="M1133" s="179">
        <v>0.43</v>
      </c>
      <c r="N1133" s="177"/>
      <c r="O1133" s="177">
        <v>42</v>
      </c>
      <c r="P1133" s="180">
        <v>-141.97999999999999</v>
      </c>
    </row>
    <row r="1134" spans="1:16" ht="19.5" customHeight="1">
      <c r="A1134" s="172" t="s">
        <v>618</v>
      </c>
      <c r="B1134" s="176">
        <v>46040</v>
      </c>
      <c r="C1134" s="172" t="s">
        <v>100</v>
      </c>
      <c r="D1134" s="172" t="s">
        <v>101</v>
      </c>
      <c r="E1134" s="172" t="s">
        <v>53</v>
      </c>
      <c r="F1134" s="172" t="s">
        <v>120</v>
      </c>
      <c r="G1134" s="172" t="s">
        <v>84</v>
      </c>
      <c r="H1134" s="177">
        <v>1</v>
      </c>
      <c r="I1134" s="178">
        <v>1845</v>
      </c>
      <c r="J1134" s="176">
        <v>46031</v>
      </c>
      <c r="K1134" s="172" t="s">
        <v>93</v>
      </c>
      <c r="L1134" s="172" t="s">
        <v>94</v>
      </c>
      <c r="M1134" s="179">
        <v>0</v>
      </c>
      <c r="N1134" s="177"/>
      <c r="O1134" s="177"/>
      <c r="P1134" s="180">
        <v>702.86</v>
      </c>
    </row>
    <row r="1135" spans="1:16" ht="19.5" customHeight="1">
      <c r="A1135" s="172" t="s">
        <v>618</v>
      </c>
      <c r="B1135" s="176">
        <v>46040</v>
      </c>
      <c r="C1135" s="172" t="s">
        <v>100</v>
      </c>
      <c r="D1135" s="172" t="s">
        <v>102</v>
      </c>
      <c r="E1135" s="172" t="s">
        <v>53</v>
      </c>
      <c r="F1135" s="172" t="s">
        <v>120</v>
      </c>
      <c r="G1135" s="172" t="s">
        <v>84</v>
      </c>
      <c r="H1135" s="177">
        <v>1</v>
      </c>
      <c r="I1135" s="178">
        <v>1845</v>
      </c>
      <c r="J1135" s="176">
        <v>46031</v>
      </c>
      <c r="K1135" s="172" t="s">
        <v>93</v>
      </c>
      <c r="L1135" s="172" t="s">
        <v>94</v>
      </c>
      <c r="M1135" s="179">
        <v>0</v>
      </c>
      <c r="N1135" s="177"/>
      <c r="O1135" s="177"/>
      <c r="P1135" s="180">
        <v>0</v>
      </c>
    </row>
    <row r="1136" spans="1:16" ht="19.5" customHeight="1">
      <c r="A1136" s="172" t="s">
        <v>618</v>
      </c>
      <c r="B1136" s="176">
        <v>46040</v>
      </c>
      <c r="C1136" s="172" t="s">
        <v>100</v>
      </c>
      <c r="D1136" s="172" t="s">
        <v>103</v>
      </c>
      <c r="E1136" s="172" t="s">
        <v>53</v>
      </c>
      <c r="F1136" s="172" t="s">
        <v>120</v>
      </c>
      <c r="G1136" s="172" t="s">
        <v>84</v>
      </c>
      <c r="H1136" s="177">
        <v>1</v>
      </c>
      <c r="I1136" s="178">
        <v>1845</v>
      </c>
      <c r="J1136" s="176">
        <v>46031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1142.1400000000001</v>
      </c>
    </row>
    <row r="1137" spans="1:16" ht="19.5" customHeight="1">
      <c r="A1137" s="172" t="s">
        <v>618</v>
      </c>
      <c r="B1137" s="176">
        <v>46040</v>
      </c>
      <c r="C1137" s="172" t="s">
        <v>104</v>
      </c>
      <c r="D1137" s="172" t="s">
        <v>105</v>
      </c>
      <c r="E1137" s="172" t="s">
        <v>53</v>
      </c>
      <c r="F1137" s="172" t="s">
        <v>120</v>
      </c>
      <c r="G1137" s="172" t="s">
        <v>84</v>
      </c>
      <c r="H1137" s="177">
        <v>1</v>
      </c>
      <c r="I1137" s="178">
        <v>1845</v>
      </c>
      <c r="J1137" s="176">
        <v>46031</v>
      </c>
      <c r="K1137" s="172" t="s">
        <v>93</v>
      </c>
      <c r="L1137" s="172" t="s">
        <v>94</v>
      </c>
      <c r="M1137" s="179">
        <v>0.43</v>
      </c>
      <c r="N1137" s="177"/>
      <c r="O1137" s="177"/>
      <c r="P1137" s="180">
        <v>-793.35</v>
      </c>
    </row>
    <row r="1138" spans="1:16" ht="19.5" customHeight="1">
      <c r="A1138" s="172" t="s">
        <v>618</v>
      </c>
      <c r="B1138" s="176">
        <v>46040</v>
      </c>
      <c r="C1138" s="172" t="s">
        <v>81</v>
      </c>
      <c r="D1138" s="172" t="s">
        <v>95</v>
      </c>
      <c r="E1138" s="172" t="s">
        <v>53</v>
      </c>
      <c r="F1138" s="172" t="s">
        <v>120</v>
      </c>
      <c r="G1138" s="172" t="s">
        <v>84</v>
      </c>
      <c r="H1138" s="177">
        <v>1</v>
      </c>
      <c r="I1138" s="178">
        <v>1845</v>
      </c>
      <c r="J1138" s="176">
        <v>46031</v>
      </c>
      <c r="K1138" s="172" t="s">
        <v>93</v>
      </c>
      <c r="L1138" s="172" t="s">
        <v>94</v>
      </c>
      <c r="M1138" s="179">
        <v>0.43</v>
      </c>
      <c r="N1138" s="177"/>
      <c r="O1138" s="177"/>
      <c r="P1138" s="180">
        <v>-11.34</v>
      </c>
    </row>
    <row r="1139" spans="1:16" ht="19.5" customHeight="1">
      <c r="A1139" s="172" t="s">
        <v>617</v>
      </c>
      <c r="B1139" s="176">
        <v>46040</v>
      </c>
      <c r="C1139" s="172" t="s">
        <v>81</v>
      </c>
      <c r="D1139" s="172" t="s">
        <v>82</v>
      </c>
      <c r="E1139" s="172" t="s">
        <v>40</v>
      </c>
      <c r="F1139" s="172" t="s">
        <v>197</v>
      </c>
      <c r="G1139" s="172" t="s">
        <v>84</v>
      </c>
      <c r="H1139" s="177">
        <v>1</v>
      </c>
      <c r="I1139" s="178">
        <v>0</v>
      </c>
      <c r="J1139" s="176">
        <v>46036</v>
      </c>
      <c r="K1139" s="172" t="s">
        <v>85</v>
      </c>
      <c r="L1139" s="172" t="s">
        <v>85</v>
      </c>
      <c r="M1139" s="179">
        <v>0</v>
      </c>
      <c r="N1139" s="177"/>
      <c r="O1139" s="177"/>
      <c r="P1139" s="180">
        <v>-11.58</v>
      </c>
    </row>
    <row r="1140" spans="1:16" ht="19.5" customHeight="1">
      <c r="A1140" s="172" t="s">
        <v>618</v>
      </c>
      <c r="B1140" s="176">
        <v>46040</v>
      </c>
      <c r="C1140" s="172" t="s">
        <v>81</v>
      </c>
      <c r="D1140" s="172" t="s">
        <v>82</v>
      </c>
      <c r="E1140" s="172" t="s">
        <v>53</v>
      </c>
      <c r="F1140" s="172" t="s">
        <v>120</v>
      </c>
      <c r="G1140" s="172" t="s">
        <v>84</v>
      </c>
      <c r="H1140" s="177">
        <v>1</v>
      </c>
      <c r="I1140" s="178">
        <v>0</v>
      </c>
      <c r="J1140" s="176">
        <v>46031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-4.08</v>
      </c>
    </row>
    <row r="1141" spans="1:16" ht="19.5" customHeight="1">
      <c r="A1141" s="172" t="s">
        <v>619</v>
      </c>
      <c r="B1141" s="176">
        <v>46040</v>
      </c>
      <c r="C1141" s="172" t="s">
        <v>92</v>
      </c>
      <c r="D1141" s="172" t="s">
        <v>24</v>
      </c>
      <c r="E1141" s="172" t="s">
        <v>42</v>
      </c>
      <c r="F1141" s="172" t="s">
        <v>89</v>
      </c>
      <c r="G1141" s="172" t="s">
        <v>84</v>
      </c>
      <c r="H1141" s="177">
        <v>1</v>
      </c>
      <c r="I1141" s="178">
        <v>1750</v>
      </c>
      <c r="J1141" s="176">
        <v>46037</v>
      </c>
      <c r="K1141" s="172" t="s">
        <v>93</v>
      </c>
      <c r="L1141" s="172" t="s">
        <v>94</v>
      </c>
      <c r="M1141" s="179">
        <v>0.43</v>
      </c>
      <c r="N1141" s="177"/>
      <c r="O1141" s="177">
        <v>45</v>
      </c>
      <c r="P1141" s="180">
        <v>-135.38999999999999</v>
      </c>
    </row>
    <row r="1142" spans="1:16" ht="19.5" customHeight="1">
      <c r="A1142" s="172" t="s">
        <v>619</v>
      </c>
      <c r="B1142" s="176">
        <v>46040</v>
      </c>
      <c r="C1142" s="172" t="s">
        <v>100</v>
      </c>
      <c r="D1142" s="172" t="s">
        <v>101</v>
      </c>
      <c r="E1142" s="172" t="s">
        <v>42</v>
      </c>
      <c r="F1142" s="172" t="s">
        <v>89</v>
      </c>
      <c r="G1142" s="172" t="s">
        <v>84</v>
      </c>
      <c r="H1142" s="177">
        <v>1</v>
      </c>
      <c r="I1142" s="178">
        <v>1750</v>
      </c>
      <c r="J1142" s="176">
        <v>46037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609.52</v>
      </c>
    </row>
    <row r="1143" spans="1:16" ht="19.5" customHeight="1">
      <c r="A1143" s="172" t="s">
        <v>619</v>
      </c>
      <c r="B1143" s="176">
        <v>46040</v>
      </c>
      <c r="C1143" s="172" t="s">
        <v>100</v>
      </c>
      <c r="D1143" s="172" t="s">
        <v>102</v>
      </c>
      <c r="E1143" s="172" t="s">
        <v>42</v>
      </c>
      <c r="F1143" s="172" t="s">
        <v>89</v>
      </c>
      <c r="G1143" s="172" t="s">
        <v>84</v>
      </c>
      <c r="H1143" s="177">
        <v>1</v>
      </c>
      <c r="I1143" s="178">
        <v>1750</v>
      </c>
      <c r="J1143" s="176">
        <v>46037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6.1</v>
      </c>
    </row>
    <row r="1144" spans="1:16" ht="19.5" customHeight="1">
      <c r="A1144" s="172" t="s">
        <v>619</v>
      </c>
      <c r="B1144" s="176">
        <v>46040</v>
      </c>
      <c r="C1144" s="172" t="s">
        <v>100</v>
      </c>
      <c r="D1144" s="172" t="s">
        <v>103</v>
      </c>
      <c r="E1144" s="172" t="s">
        <v>42</v>
      </c>
      <c r="F1144" s="172" t="s">
        <v>89</v>
      </c>
      <c r="G1144" s="172" t="s">
        <v>84</v>
      </c>
      <c r="H1144" s="177">
        <v>1</v>
      </c>
      <c r="I1144" s="178">
        <v>1750</v>
      </c>
      <c r="J1144" s="176">
        <v>46037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1134.3800000000001</v>
      </c>
    </row>
    <row r="1145" spans="1:16" ht="19.5" customHeight="1">
      <c r="A1145" s="172" t="s">
        <v>619</v>
      </c>
      <c r="B1145" s="176">
        <v>46040</v>
      </c>
      <c r="C1145" s="172" t="s">
        <v>104</v>
      </c>
      <c r="D1145" s="172" t="s">
        <v>105</v>
      </c>
      <c r="E1145" s="172" t="s">
        <v>42</v>
      </c>
      <c r="F1145" s="172" t="s">
        <v>89</v>
      </c>
      <c r="G1145" s="172" t="s">
        <v>84</v>
      </c>
      <c r="H1145" s="177">
        <v>1</v>
      </c>
      <c r="I1145" s="178">
        <v>1750</v>
      </c>
      <c r="J1145" s="176">
        <v>46037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-752.5</v>
      </c>
    </row>
    <row r="1146" spans="1:16" ht="19.5" customHeight="1">
      <c r="A1146" s="172" t="s">
        <v>619</v>
      </c>
      <c r="B1146" s="176">
        <v>46040</v>
      </c>
      <c r="C1146" s="172" t="s">
        <v>81</v>
      </c>
      <c r="D1146" s="172" t="s">
        <v>95</v>
      </c>
      <c r="E1146" s="172" t="s">
        <v>42</v>
      </c>
      <c r="F1146" s="172" t="s">
        <v>89</v>
      </c>
      <c r="G1146" s="172" t="s">
        <v>84</v>
      </c>
      <c r="H1146" s="177">
        <v>1</v>
      </c>
      <c r="I1146" s="178">
        <v>1750</v>
      </c>
      <c r="J1146" s="176">
        <v>46037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-7.65</v>
      </c>
    </row>
    <row r="1147" spans="1:16" ht="19.5" customHeight="1">
      <c r="A1147" s="172" t="s">
        <v>619</v>
      </c>
      <c r="B1147" s="176">
        <v>46040</v>
      </c>
      <c r="C1147" s="172" t="s">
        <v>81</v>
      </c>
      <c r="D1147" s="172" t="s">
        <v>82</v>
      </c>
      <c r="E1147" s="172" t="s">
        <v>42</v>
      </c>
      <c r="F1147" s="172" t="s">
        <v>89</v>
      </c>
      <c r="G1147" s="172" t="s">
        <v>84</v>
      </c>
      <c r="H1147" s="177">
        <v>1</v>
      </c>
      <c r="I1147" s="178">
        <v>0</v>
      </c>
      <c r="J1147" s="176">
        <v>46037</v>
      </c>
      <c r="K1147" s="172" t="s">
        <v>85</v>
      </c>
      <c r="L1147" s="172" t="s">
        <v>85</v>
      </c>
      <c r="M1147" s="179">
        <v>0</v>
      </c>
      <c r="N1147" s="177"/>
      <c r="O1147" s="177"/>
      <c r="P1147" s="180">
        <v>-11.58</v>
      </c>
    </row>
    <row r="1148" spans="1:16" ht="19.5" customHeight="1">
      <c r="A1148" s="172" t="s">
        <v>620</v>
      </c>
      <c r="B1148" s="176">
        <v>46040</v>
      </c>
      <c r="C1148" s="172" t="s">
        <v>92</v>
      </c>
      <c r="D1148" s="172" t="s">
        <v>24</v>
      </c>
      <c r="E1148" s="172" t="s">
        <v>41</v>
      </c>
      <c r="F1148" s="172" t="s">
        <v>83</v>
      </c>
      <c r="G1148" s="172" t="s">
        <v>84</v>
      </c>
      <c r="H1148" s="177">
        <v>1</v>
      </c>
      <c r="I1148" s="178">
        <v>1750</v>
      </c>
      <c r="J1148" s="176">
        <v>46038</v>
      </c>
      <c r="K1148" s="172" t="s">
        <v>93</v>
      </c>
      <c r="L1148" s="172" t="s">
        <v>94</v>
      </c>
      <c r="M1148" s="179">
        <v>0.43</v>
      </c>
      <c r="N1148" s="177"/>
      <c r="O1148" s="177">
        <v>46</v>
      </c>
      <c r="P1148" s="180">
        <v>-139.41999999999999</v>
      </c>
    </row>
    <row r="1149" spans="1:16" ht="19.5" customHeight="1">
      <c r="A1149" s="172" t="s">
        <v>620</v>
      </c>
      <c r="B1149" s="176">
        <v>46040</v>
      </c>
      <c r="C1149" s="172" t="s">
        <v>100</v>
      </c>
      <c r="D1149" s="172" t="s">
        <v>101</v>
      </c>
      <c r="E1149" s="172" t="s">
        <v>41</v>
      </c>
      <c r="F1149" s="172" t="s">
        <v>83</v>
      </c>
      <c r="G1149" s="172" t="s">
        <v>84</v>
      </c>
      <c r="H1149" s="177">
        <v>1</v>
      </c>
      <c r="I1149" s="178">
        <v>1750</v>
      </c>
      <c r="J1149" s="176">
        <v>46038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616.19000000000005</v>
      </c>
    </row>
    <row r="1150" spans="1:16" ht="19.5" customHeight="1">
      <c r="A1150" s="172" t="s">
        <v>620</v>
      </c>
      <c r="B1150" s="176">
        <v>46040</v>
      </c>
      <c r="C1150" s="172" t="s">
        <v>100</v>
      </c>
      <c r="D1150" s="172" t="s">
        <v>102</v>
      </c>
      <c r="E1150" s="172" t="s">
        <v>41</v>
      </c>
      <c r="F1150" s="172" t="s">
        <v>83</v>
      </c>
      <c r="G1150" s="172" t="s">
        <v>84</v>
      </c>
      <c r="H1150" s="177">
        <v>1</v>
      </c>
      <c r="I1150" s="178">
        <v>1750</v>
      </c>
      <c r="J1150" s="176">
        <v>46038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6.16</v>
      </c>
    </row>
    <row r="1151" spans="1:16" ht="19.5" customHeight="1">
      <c r="A1151" s="172" t="s">
        <v>620</v>
      </c>
      <c r="B1151" s="176">
        <v>46040</v>
      </c>
      <c r="C1151" s="172" t="s">
        <v>100</v>
      </c>
      <c r="D1151" s="172" t="s">
        <v>103</v>
      </c>
      <c r="E1151" s="172" t="s">
        <v>41</v>
      </c>
      <c r="F1151" s="172" t="s">
        <v>83</v>
      </c>
      <c r="G1151" s="172" t="s">
        <v>84</v>
      </c>
      <c r="H1151" s="177">
        <v>1</v>
      </c>
      <c r="I1151" s="178">
        <v>1750</v>
      </c>
      <c r="J1151" s="176">
        <v>46038</v>
      </c>
      <c r="K1151" s="172" t="s">
        <v>93</v>
      </c>
      <c r="L1151" s="172" t="s">
        <v>94</v>
      </c>
      <c r="M1151" s="179">
        <v>0</v>
      </c>
      <c r="N1151" s="177"/>
      <c r="O1151" s="177"/>
      <c r="P1151" s="180">
        <v>1127.6500000000001</v>
      </c>
    </row>
    <row r="1152" spans="1:16" ht="19.5" customHeight="1">
      <c r="A1152" s="172" t="s">
        <v>620</v>
      </c>
      <c r="B1152" s="176">
        <v>46040</v>
      </c>
      <c r="C1152" s="172" t="s">
        <v>104</v>
      </c>
      <c r="D1152" s="172" t="s">
        <v>105</v>
      </c>
      <c r="E1152" s="172" t="s">
        <v>41</v>
      </c>
      <c r="F1152" s="172" t="s">
        <v>83</v>
      </c>
      <c r="G1152" s="172" t="s">
        <v>84</v>
      </c>
      <c r="H1152" s="177">
        <v>1</v>
      </c>
      <c r="I1152" s="178">
        <v>1750</v>
      </c>
      <c r="J1152" s="176">
        <v>46038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-752.5</v>
      </c>
    </row>
    <row r="1153" spans="1:16" ht="19.5" customHeight="1">
      <c r="A1153" s="172" t="s">
        <v>620</v>
      </c>
      <c r="B1153" s="176">
        <v>46040</v>
      </c>
      <c r="C1153" s="172" t="s">
        <v>81</v>
      </c>
      <c r="D1153" s="172" t="s">
        <v>95</v>
      </c>
      <c r="E1153" s="172" t="s">
        <v>41</v>
      </c>
      <c r="F1153" s="172" t="s">
        <v>83</v>
      </c>
      <c r="G1153" s="172" t="s">
        <v>84</v>
      </c>
      <c r="H1153" s="177">
        <v>1</v>
      </c>
      <c r="I1153" s="178">
        <v>1750</v>
      </c>
      <c r="J1153" s="176">
        <v>46038</v>
      </c>
      <c r="K1153" s="172" t="s">
        <v>93</v>
      </c>
      <c r="L1153" s="172" t="s">
        <v>94</v>
      </c>
      <c r="M1153" s="179">
        <v>0.43</v>
      </c>
      <c r="N1153" s="177"/>
      <c r="O1153" s="177"/>
      <c r="P1153" s="180">
        <v>-8.84</v>
      </c>
    </row>
    <row r="1154" spans="1:16" ht="19.5" customHeight="1">
      <c r="A1154" s="172" t="s">
        <v>621</v>
      </c>
      <c r="B1154" s="176">
        <v>46040</v>
      </c>
      <c r="C1154" s="172" t="s">
        <v>81</v>
      </c>
      <c r="D1154" s="172" t="s">
        <v>82</v>
      </c>
      <c r="E1154" s="172" t="s">
        <v>41</v>
      </c>
      <c r="F1154" s="172" t="s">
        <v>83</v>
      </c>
      <c r="G1154" s="172" t="s">
        <v>84</v>
      </c>
      <c r="H1154" s="177">
        <v>1</v>
      </c>
      <c r="I1154" s="178">
        <v>0</v>
      </c>
      <c r="J1154" s="176">
        <v>46040</v>
      </c>
      <c r="K1154" s="172" t="s">
        <v>85</v>
      </c>
      <c r="L1154" s="172" t="s">
        <v>85</v>
      </c>
      <c r="M1154" s="179">
        <v>0</v>
      </c>
      <c r="N1154" s="177"/>
      <c r="O1154" s="177"/>
      <c r="P1154" s="180">
        <v>-14.08</v>
      </c>
    </row>
    <row r="1155" spans="1:16" ht="19.5" customHeight="1">
      <c r="A1155" s="172" t="s">
        <v>622</v>
      </c>
      <c r="B1155" s="176">
        <v>46040</v>
      </c>
      <c r="C1155" s="172" t="s">
        <v>92</v>
      </c>
      <c r="D1155" s="172" t="s">
        <v>24</v>
      </c>
      <c r="E1155" s="172" t="s">
        <v>53</v>
      </c>
      <c r="F1155" s="172" t="s">
        <v>120</v>
      </c>
      <c r="G1155" s="172" t="s">
        <v>84</v>
      </c>
      <c r="H1155" s="177">
        <v>1</v>
      </c>
      <c r="I1155" s="178">
        <v>0</v>
      </c>
      <c r="J1155" s="176">
        <v>46024</v>
      </c>
      <c r="K1155" s="172" t="s">
        <v>93</v>
      </c>
      <c r="L1155" s="172" t="s">
        <v>94</v>
      </c>
      <c r="M1155" s="179">
        <v>0</v>
      </c>
      <c r="N1155" s="177"/>
      <c r="O1155" s="177">
        <v>42</v>
      </c>
      <c r="P1155" s="180">
        <v>-56</v>
      </c>
    </row>
    <row r="1156" spans="1:16" ht="19.5" customHeight="1">
      <c r="A1156" s="172" t="s">
        <v>623</v>
      </c>
      <c r="B1156" s="176">
        <v>46040</v>
      </c>
      <c r="C1156" s="172" t="s">
        <v>92</v>
      </c>
      <c r="D1156" s="172" t="s">
        <v>24</v>
      </c>
      <c r="E1156" s="172" t="s">
        <v>41</v>
      </c>
      <c r="F1156" s="172" t="s">
        <v>83</v>
      </c>
      <c r="G1156" s="172" t="s">
        <v>84</v>
      </c>
      <c r="H1156" s="177">
        <v>1</v>
      </c>
      <c r="I1156" s="178">
        <v>0</v>
      </c>
      <c r="J1156" s="176">
        <v>46024</v>
      </c>
      <c r="K1156" s="172" t="s">
        <v>93</v>
      </c>
      <c r="L1156" s="172" t="s">
        <v>94</v>
      </c>
      <c r="M1156" s="179">
        <v>0</v>
      </c>
      <c r="N1156" s="177"/>
      <c r="O1156" s="177">
        <v>42</v>
      </c>
      <c r="P1156" s="180">
        <v>-46</v>
      </c>
    </row>
    <row r="1157" spans="1:16" ht="19.5" customHeight="1">
      <c r="A1157" s="172" t="s">
        <v>622</v>
      </c>
      <c r="B1157" s="176">
        <v>46040</v>
      </c>
      <c r="C1157" s="172" t="s">
        <v>92</v>
      </c>
      <c r="D1157" s="172" t="s">
        <v>96</v>
      </c>
      <c r="E1157" s="172" t="s">
        <v>53</v>
      </c>
      <c r="F1157" s="172" t="s">
        <v>120</v>
      </c>
      <c r="G1157" s="172" t="s">
        <v>84</v>
      </c>
      <c r="H1157" s="177">
        <v>1</v>
      </c>
      <c r="I1157" s="178">
        <v>0</v>
      </c>
      <c r="J1157" s="176">
        <v>46024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0</v>
      </c>
    </row>
    <row r="1158" spans="1:16" ht="19.5" customHeight="1">
      <c r="A1158" s="172" t="s">
        <v>622</v>
      </c>
      <c r="B1158" s="176">
        <v>46040</v>
      </c>
      <c r="C1158" s="172" t="s">
        <v>92</v>
      </c>
      <c r="D1158" s="172" t="s">
        <v>97</v>
      </c>
      <c r="E1158" s="172" t="s">
        <v>53</v>
      </c>
      <c r="F1158" s="172" t="s">
        <v>120</v>
      </c>
      <c r="G1158" s="172" t="s">
        <v>84</v>
      </c>
      <c r="H1158" s="177">
        <v>1</v>
      </c>
      <c r="I1158" s="178">
        <v>0</v>
      </c>
      <c r="J1158" s="176">
        <v>46024</v>
      </c>
      <c r="K1158" s="172" t="s">
        <v>93</v>
      </c>
      <c r="L1158" s="172" t="s">
        <v>94</v>
      </c>
      <c r="M1158" s="179">
        <v>0</v>
      </c>
      <c r="N1158" s="177"/>
      <c r="O1158" s="177"/>
      <c r="P1158" s="180">
        <v>-56</v>
      </c>
    </row>
    <row r="1159" spans="1:16" ht="19.5" customHeight="1">
      <c r="A1159" s="172" t="s">
        <v>622</v>
      </c>
      <c r="B1159" s="176">
        <v>46040</v>
      </c>
      <c r="C1159" s="172" t="s">
        <v>81</v>
      </c>
      <c r="D1159" s="172" t="s">
        <v>98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46024</v>
      </c>
      <c r="K1159" s="172" t="s">
        <v>93</v>
      </c>
      <c r="L1159" s="172" t="s">
        <v>94</v>
      </c>
      <c r="M1159" s="179">
        <v>0</v>
      </c>
      <c r="N1159" s="177"/>
      <c r="O1159" s="177"/>
      <c r="P1159" s="180">
        <v>-15</v>
      </c>
    </row>
    <row r="1160" spans="1:16" ht="19.5" customHeight="1">
      <c r="A1160" s="172" t="s">
        <v>623</v>
      </c>
      <c r="B1160" s="176">
        <v>46040</v>
      </c>
      <c r="C1160" s="172" t="s">
        <v>92</v>
      </c>
      <c r="D1160" s="172" t="s">
        <v>96</v>
      </c>
      <c r="E1160" s="172" t="s">
        <v>41</v>
      </c>
      <c r="F1160" s="172" t="s">
        <v>83</v>
      </c>
      <c r="G1160" s="172" t="s">
        <v>84</v>
      </c>
      <c r="H1160" s="177">
        <v>1</v>
      </c>
      <c r="I1160" s="178">
        <v>0</v>
      </c>
      <c r="J1160" s="176">
        <v>46024</v>
      </c>
      <c r="K1160" s="172" t="s">
        <v>93</v>
      </c>
      <c r="L1160" s="172" t="s">
        <v>94</v>
      </c>
      <c r="M1160" s="179">
        <v>0</v>
      </c>
      <c r="N1160" s="177"/>
      <c r="O1160" s="177"/>
      <c r="P1160" s="180">
        <v>0</v>
      </c>
    </row>
    <row r="1161" spans="1:16" ht="19.5" customHeight="1">
      <c r="A1161" s="172" t="s">
        <v>623</v>
      </c>
      <c r="B1161" s="176">
        <v>46040</v>
      </c>
      <c r="C1161" s="172" t="s">
        <v>92</v>
      </c>
      <c r="D1161" s="172" t="s">
        <v>97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0</v>
      </c>
      <c r="J1161" s="176">
        <v>46024</v>
      </c>
      <c r="K1161" s="172" t="s">
        <v>93</v>
      </c>
      <c r="L1161" s="172" t="s">
        <v>94</v>
      </c>
      <c r="M1161" s="179">
        <v>0</v>
      </c>
      <c r="N1161" s="177"/>
      <c r="O1161" s="177"/>
      <c r="P1161" s="180">
        <v>-46</v>
      </c>
    </row>
    <row r="1162" spans="1:16" ht="19.5" customHeight="1">
      <c r="A1162" s="172" t="s">
        <v>623</v>
      </c>
      <c r="B1162" s="176">
        <v>46040</v>
      </c>
      <c r="C1162" s="172" t="s">
        <v>81</v>
      </c>
      <c r="D1162" s="172" t="s">
        <v>98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0</v>
      </c>
      <c r="J1162" s="176">
        <v>46024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-15</v>
      </c>
    </row>
    <row r="1163" spans="1:16" ht="19.5" customHeight="1">
      <c r="A1163" s="172" t="s">
        <v>624</v>
      </c>
      <c r="B1163" s="176">
        <v>46040</v>
      </c>
      <c r="C1163" s="172" t="s">
        <v>92</v>
      </c>
      <c r="D1163" s="172" t="s">
        <v>24</v>
      </c>
      <c r="E1163" s="172" t="s">
        <v>52</v>
      </c>
      <c r="F1163" s="172" t="s">
        <v>90</v>
      </c>
      <c r="G1163" s="172" t="s">
        <v>84</v>
      </c>
      <c r="H1163" s="177">
        <v>1</v>
      </c>
      <c r="I1163" s="178">
        <v>1885</v>
      </c>
      <c r="J1163" s="176">
        <v>46038</v>
      </c>
      <c r="K1163" s="172" t="s">
        <v>93</v>
      </c>
      <c r="L1163" s="172" t="s">
        <v>94</v>
      </c>
      <c r="M1163" s="179">
        <v>0.43</v>
      </c>
      <c r="N1163" s="177"/>
      <c r="O1163" s="177">
        <v>46</v>
      </c>
      <c r="P1163" s="180">
        <v>-159.66999999999999</v>
      </c>
    </row>
    <row r="1164" spans="1:16" ht="19.5" customHeight="1">
      <c r="A1164" s="172" t="s">
        <v>624</v>
      </c>
      <c r="B1164" s="176">
        <v>46040</v>
      </c>
      <c r="C1164" s="172" t="s">
        <v>100</v>
      </c>
      <c r="D1164" s="172" t="s">
        <v>101</v>
      </c>
      <c r="E1164" s="172" t="s">
        <v>52</v>
      </c>
      <c r="F1164" s="172" t="s">
        <v>90</v>
      </c>
      <c r="G1164" s="172" t="s">
        <v>84</v>
      </c>
      <c r="H1164" s="177">
        <v>1</v>
      </c>
      <c r="I1164" s="178">
        <v>1885</v>
      </c>
      <c r="J1164" s="176">
        <v>46038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656.52</v>
      </c>
    </row>
    <row r="1165" spans="1:16" ht="19.5" customHeight="1">
      <c r="A1165" s="172" t="s">
        <v>624</v>
      </c>
      <c r="B1165" s="176">
        <v>46040</v>
      </c>
      <c r="C1165" s="172" t="s">
        <v>100</v>
      </c>
      <c r="D1165" s="172" t="s">
        <v>102</v>
      </c>
      <c r="E1165" s="172" t="s">
        <v>52</v>
      </c>
      <c r="F1165" s="172" t="s">
        <v>90</v>
      </c>
      <c r="G1165" s="172" t="s">
        <v>84</v>
      </c>
      <c r="H1165" s="177">
        <v>1</v>
      </c>
      <c r="I1165" s="178">
        <v>1885</v>
      </c>
      <c r="J1165" s="176">
        <v>46038</v>
      </c>
      <c r="K1165" s="172" t="s">
        <v>93</v>
      </c>
      <c r="L1165" s="172" t="s">
        <v>94</v>
      </c>
      <c r="M1165" s="179">
        <v>0</v>
      </c>
      <c r="N1165" s="177"/>
      <c r="O1165" s="177"/>
      <c r="P1165" s="180">
        <v>6.57</v>
      </c>
    </row>
    <row r="1166" spans="1:16" ht="19.5" customHeight="1">
      <c r="A1166" s="172" t="s">
        <v>624</v>
      </c>
      <c r="B1166" s="176">
        <v>46040</v>
      </c>
      <c r="C1166" s="172" t="s">
        <v>100</v>
      </c>
      <c r="D1166" s="172" t="s">
        <v>103</v>
      </c>
      <c r="E1166" s="172" t="s">
        <v>52</v>
      </c>
      <c r="F1166" s="172" t="s">
        <v>90</v>
      </c>
      <c r="G1166" s="172" t="s">
        <v>84</v>
      </c>
      <c r="H1166" s="177">
        <v>1</v>
      </c>
      <c r="I1166" s="178">
        <v>1885</v>
      </c>
      <c r="J1166" s="176">
        <v>46038</v>
      </c>
      <c r="K1166" s="172" t="s">
        <v>93</v>
      </c>
      <c r="L1166" s="172" t="s">
        <v>94</v>
      </c>
      <c r="M1166" s="179">
        <v>0</v>
      </c>
      <c r="N1166" s="177"/>
      <c r="O1166" s="177"/>
      <c r="P1166" s="180">
        <v>1221.9100000000001</v>
      </c>
    </row>
    <row r="1167" spans="1:16" ht="19.5" customHeight="1">
      <c r="A1167" s="172" t="s">
        <v>624</v>
      </c>
      <c r="B1167" s="176">
        <v>46040</v>
      </c>
      <c r="C1167" s="172" t="s">
        <v>104</v>
      </c>
      <c r="D1167" s="172" t="s">
        <v>105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1885</v>
      </c>
      <c r="J1167" s="176">
        <v>46038</v>
      </c>
      <c r="K1167" s="172" t="s">
        <v>93</v>
      </c>
      <c r="L1167" s="172" t="s">
        <v>94</v>
      </c>
      <c r="M1167" s="179">
        <v>0.43</v>
      </c>
      <c r="N1167" s="177"/>
      <c r="O1167" s="177"/>
      <c r="P1167" s="180">
        <v>-810.55</v>
      </c>
    </row>
    <row r="1168" spans="1:16" ht="19.5" customHeight="1">
      <c r="A1168" s="172" t="s">
        <v>624</v>
      </c>
      <c r="B1168" s="176">
        <v>46040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1885</v>
      </c>
      <c r="J1168" s="176">
        <v>46038</v>
      </c>
      <c r="K1168" s="172" t="s">
        <v>93</v>
      </c>
      <c r="L1168" s="172" t="s">
        <v>94</v>
      </c>
      <c r="M1168" s="179">
        <v>0.43</v>
      </c>
      <c r="N1168" s="177"/>
      <c r="O1168" s="177"/>
      <c r="P1168" s="180">
        <v>-7.53</v>
      </c>
    </row>
    <row r="1169" spans="1:16" ht="19.5" customHeight="1">
      <c r="A1169" s="172" t="s">
        <v>625</v>
      </c>
      <c r="B1169" s="176">
        <v>46040</v>
      </c>
      <c r="C1169" s="172" t="s">
        <v>92</v>
      </c>
      <c r="D1169" s="172" t="s">
        <v>24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2027</v>
      </c>
      <c r="J1169" s="176">
        <v>46037</v>
      </c>
      <c r="K1169" s="172" t="s">
        <v>93</v>
      </c>
      <c r="L1169" s="172" t="s">
        <v>94</v>
      </c>
      <c r="M1169" s="179">
        <v>0.43</v>
      </c>
      <c r="N1169" s="177"/>
      <c r="O1169" s="177">
        <v>45</v>
      </c>
      <c r="P1169" s="180">
        <v>-159.85</v>
      </c>
    </row>
    <row r="1170" spans="1:16" ht="19.5" customHeight="1">
      <c r="A1170" s="172" t="s">
        <v>625</v>
      </c>
      <c r="B1170" s="176">
        <v>46040</v>
      </c>
      <c r="C1170" s="172" t="s">
        <v>100</v>
      </c>
      <c r="D1170" s="172" t="s">
        <v>101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2027</v>
      </c>
      <c r="J1170" s="176">
        <v>46037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702.65</v>
      </c>
    </row>
    <row r="1171" spans="1:16" ht="19.5" customHeight="1">
      <c r="A1171" s="172" t="s">
        <v>625</v>
      </c>
      <c r="B1171" s="176">
        <v>46040</v>
      </c>
      <c r="C1171" s="172" t="s">
        <v>100</v>
      </c>
      <c r="D1171" s="172" t="s">
        <v>102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2027</v>
      </c>
      <c r="J1171" s="176">
        <v>46037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7.03</v>
      </c>
    </row>
    <row r="1172" spans="1:16" ht="19.5" customHeight="1">
      <c r="A1172" s="172" t="s">
        <v>625</v>
      </c>
      <c r="B1172" s="176">
        <v>46040</v>
      </c>
      <c r="C1172" s="172" t="s">
        <v>100</v>
      </c>
      <c r="D1172" s="172" t="s">
        <v>103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2027</v>
      </c>
      <c r="J1172" s="176">
        <v>46037</v>
      </c>
      <c r="K1172" s="172" t="s">
        <v>93</v>
      </c>
      <c r="L1172" s="172" t="s">
        <v>94</v>
      </c>
      <c r="M1172" s="179">
        <v>0</v>
      </c>
      <c r="N1172" s="177"/>
      <c r="O1172" s="177"/>
      <c r="P1172" s="180">
        <v>1317.32</v>
      </c>
    </row>
    <row r="1173" spans="1:16" ht="19.5" customHeight="1">
      <c r="A1173" s="172" t="s">
        <v>625</v>
      </c>
      <c r="B1173" s="176">
        <v>46040</v>
      </c>
      <c r="C1173" s="172" t="s">
        <v>104</v>
      </c>
      <c r="D1173" s="172" t="s">
        <v>105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2027</v>
      </c>
      <c r="J1173" s="176">
        <v>46037</v>
      </c>
      <c r="K1173" s="172" t="s">
        <v>93</v>
      </c>
      <c r="L1173" s="172" t="s">
        <v>94</v>
      </c>
      <c r="M1173" s="179">
        <v>0.43</v>
      </c>
      <c r="N1173" s="177"/>
      <c r="O1173" s="177"/>
      <c r="P1173" s="180">
        <v>-871.61</v>
      </c>
    </row>
    <row r="1174" spans="1:16" ht="19.5" customHeight="1">
      <c r="A1174" s="172" t="s">
        <v>625</v>
      </c>
      <c r="B1174" s="176">
        <v>46040</v>
      </c>
      <c r="C1174" s="172" t="s">
        <v>81</v>
      </c>
      <c r="D1174" s="172" t="s">
        <v>95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2027</v>
      </c>
      <c r="J1174" s="176">
        <v>46037</v>
      </c>
      <c r="K1174" s="172" t="s">
        <v>93</v>
      </c>
      <c r="L1174" s="172" t="s">
        <v>94</v>
      </c>
      <c r="M1174" s="179">
        <v>0.43</v>
      </c>
      <c r="N1174" s="177"/>
      <c r="O1174" s="177"/>
      <c r="P1174" s="180">
        <v>-11.36</v>
      </c>
    </row>
    <row r="1175" spans="1:16" ht="19.5" customHeight="1">
      <c r="A1175" s="172" t="s">
        <v>165</v>
      </c>
      <c r="B1175" s="176">
        <v>46040</v>
      </c>
      <c r="C1175" s="172" t="s">
        <v>92</v>
      </c>
      <c r="D1175" s="172" t="s">
        <v>24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2027</v>
      </c>
      <c r="J1175" s="176">
        <v>46036</v>
      </c>
      <c r="K1175" s="172" t="s">
        <v>93</v>
      </c>
      <c r="L1175" s="172" t="s">
        <v>94</v>
      </c>
      <c r="M1175" s="179">
        <v>0.43</v>
      </c>
      <c r="N1175" s="177"/>
      <c r="O1175" s="177">
        <v>45</v>
      </c>
      <c r="P1175" s="180">
        <v>-161.41</v>
      </c>
    </row>
    <row r="1176" spans="1:16" ht="19.5" customHeight="1">
      <c r="A1176" s="172" t="s">
        <v>165</v>
      </c>
      <c r="B1176" s="176">
        <v>46040</v>
      </c>
      <c r="C1176" s="172" t="s">
        <v>100</v>
      </c>
      <c r="D1176" s="172" t="s">
        <v>101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2027</v>
      </c>
      <c r="J1176" s="176">
        <v>46036</v>
      </c>
      <c r="K1176" s="172" t="s">
        <v>93</v>
      </c>
      <c r="L1176" s="172" t="s">
        <v>94</v>
      </c>
      <c r="M1176" s="179">
        <v>0</v>
      </c>
      <c r="N1176" s="177"/>
      <c r="O1176" s="177"/>
      <c r="P1176" s="180">
        <v>705.99</v>
      </c>
    </row>
    <row r="1177" spans="1:16" ht="19.5" customHeight="1">
      <c r="A1177" s="172" t="s">
        <v>165</v>
      </c>
      <c r="B1177" s="176">
        <v>46040</v>
      </c>
      <c r="C1177" s="172" t="s">
        <v>100</v>
      </c>
      <c r="D1177" s="172" t="s">
        <v>102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2027</v>
      </c>
      <c r="J1177" s="176">
        <v>46036</v>
      </c>
      <c r="K1177" s="172" t="s">
        <v>93</v>
      </c>
      <c r="L1177" s="172" t="s">
        <v>94</v>
      </c>
      <c r="M1177" s="179">
        <v>0</v>
      </c>
      <c r="N1177" s="177"/>
      <c r="O1177" s="177"/>
      <c r="P1177" s="180">
        <v>7.06</v>
      </c>
    </row>
    <row r="1178" spans="1:16" ht="19.5" customHeight="1">
      <c r="A1178" s="172" t="s">
        <v>165</v>
      </c>
      <c r="B1178" s="176">
        <v>46040</v>
      </c>
      <c r="C1178" s="172" t="s">
        <v>100</v>
      </c>
      <c r="D1178" s="172" t="s">
        <v>103</v>
      </c>
      <c r="E1178" s="172" t="s">
        <v>52</v>
      </c>
      <c r="F1178" s="172" t="s">
        <v>90</v>
      </c>
      <c r="G1178" s="172" t="s">
        <v>84</v>
      </c>
      <c r="H1178" s="177">
        <v>1</v>
      </c>
      <c r="I1178" s="178">
        <v>2027</v>
      </c>
      <c r="J1178" s="176">
        <v>46036</v>
      </c>
      <c r="K1178" s="172" t="s">
        <v>93</v>
      </c>
      <c r="L1178" s="172" t="s">
        <v>94</v>
      </c>
      <c r="M1178" s="179">
        <v>0</v>
      </c>
      <c r="N1178" s="177"/>
      <c r="O1178" s="177"/>
      <c r="P1178" s="180">
        <v>1313.95</v>
      </c>
    </row>
    <row r="1179" spans="1:16" ht="19.5" customHeight="1">
      <c r="A1179" s="172" t="s">
        <v>165</v>
      </c>
      <c r="B1179" s="176">
        <v>46040</v>
      </c>
      <c r="C1179" s="172" t="s">
        <v>104</v>
      </c>
      <c r="D1179" s="172" t="s">
        <v>105</v>
      </c>
      <c r="E1179" s="172" t="s">
        <v>52</v>
      </c>
      <c r="F1179" s="172" t="s">
        <v>90</v>
      </c>
      <c r="G1179" s="172" t="s">
        <v>84</v>
      </c>
      <c r="H1179" s="177">
        <v>1</v>
      </c>
      <c r="I1179" s="178">
        <v>2027</v>
      </c>
      <c r="J1179" s="176">
        <v>46036</v>
      </c>
      <c r="K1179" s="172" t="s">
        <v>93</v>
      </c>
      <c r="L1179" s="172" t="s">
        <v>94</v>
      </c>
      <c r="M1179" s="179">
        <v>0.43</v>
      </c>
      <c r="N1179" s="177"/>
      <c r="O1179" s="177"/>
      <c r="P1179" s="180">
        <v>-871.61</v>
      </c>
    </row>
    <row r="1180" spans="1:16" ht="19.5" customHeight="1">
      <c r="A1180" s="172" t="s">
        <v>165</v>
      </c>
      <c r="B1180" s="176">
        <v>46040</v>
      </c>
      <c r="C1180" s="172" t="s">
        <v>81</v>
      </c>
      <c r="D1180" s="172" t="s">
        <v>95</v>
      </c>
      <c r="E1180" s="172" t="s">
        <v>52</v>
      </c>
      <c r="F1180" s="172" t="s">
        <v>90</v>
      </c>
      <c r="G1180" s="172" t="s">
        <v>84</v>
      </c>
      <c r="H1180" s="177">
        <v>1</v>
      </c>
      <c r="I1180" s="178">
        <v>2027</v>
      </c>
      <c r="J1180" s="176">
        <v>46036</v>
      </c>
      <c r="K1180" s="172" t="s">
        <v>93</v>
      </c>
      <c r="L1180" s="172" t="s">
        <v>94</v>
      </c>
      <c r="M1180" s="179">
        <v>0.43</v>
      </c>
      <c r="N1180" s="177"/>
      <c r="O1180" s="177"/>
      <c r="P1180" s="180">
        <v>-14.09</v>
      </c>
    </row>
    <row r="1181" spans="1:16" ht="19.5" customHeight="1">
      <c r="A1181" s="172" t="s">
        <v>165</v>
      </c>
      <c r="B1181" s="176">
        <v>46040</v>
      </c>
      <c r="C1181" s="172" t="s">
        <v>81</v>
      </c>
      <c r="D1181" s="172" t="s">
        <v>82</v>
      </c>
      <c r="E1181" s="172" t="s">
        <v>52</v>
      </c>
      <c r="F1181" s="172" t="s">
        <v>90</v>
      </c>
      <c r="G1181" s="172" t="s">
        <v>84</v>
      </c>
      <c r="H1181" s="177">
        <v>1</v>
      </c>
      <c r="I1181" s="178">
        <v>0</v>
      </c>
      <c r="J1181" s="176">
        <v>46036</v>
      </c>
      <c r="K1181" s="172" t="s">
        <v>85</v>
      </c>
      <c r="L1181" s="172" t="s">
        <v>85</v>
      </c>
      <c r="M1181" s="179">
        <v>0</v>
      </c>
      <c r="N1181" s="177"/>
      <c r="O1181" s="177"/>
      <c r="P1181" s="180">
        <v>-13.41</v>
      </c>
    </row>
    <row r="1182" spans="1:16" ht="19.5" customHeight="1">
      <c r="A1182" s="172" t="s">
        <v>626</v>
      </c>
      <c r="B1182" s="176">
        <v>46040</v>
      </c>
      <c r="C1182" s="172" t="s">
        <v>81</v>
      </c>
      <c r="D1182" s="172" t="s">
        <v>82</v>
      </c>
      <c r="E1182" s="172" t="s">
        <v>39</v>
      </c>
      <c r="F1182" s="172" t="s">
        <v>117</v>
      </c>
      <c r="G1182" s="172" t="s">
        <v>84</v>
      </c>
      <c r="H1182" s="177">
        <v>1</v>
      </c>
      <c r="I1182" s="178">
        <v>0</v>
      </c>
      <c r="J1182" s="176">
        <v>46040</v>
      </c>
      <c r="K1182" s="172" t="s">
        <v>85</v>
      </c>
      <c r="L1182" s="172" t="s">
        <v>85</v>
      </c>
      <c r="M1182" s="179">
        <v>0</v>
      </c>
      <c r="N1182" s="177"/>
      <c r="O1182" s="177"/>
      <c r="P1182" s="180">
        <v>-13.35</v>
      </c>
    </row>
    <row r="1183" spans="1:16" ht="19.5" customHeight="1">
      <c r="A1183" s="172" t="s">
        <v>627</v>
      </c>
      <c r="B1183" s="176">
        <v>46040</v>
      </c>
      <c r="C1183" s="172" t="s">
        <v>92</v>
      </c>
      <c r="D1183" s="172" t="s">
        <v>24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1885</v>
      </c>
      <c r="J1183" s="176">
        <v>46039</v>
      </c>
      <c r="K1183" s="172" t="s">
        <v>93</v>
      </c>
      <c r="L1183" s="172" t="s">
        <v>94</v>
      </c>
      <c r="M1183" s="179">
        <v>0.43</v>
      </c>
      <c r="N1183" s="177"/>
      <c r="O1183" s="177">
        <v>47</v>
      </c>
      <c r="P1183" s="180">
        <v>-162.68</v>
      </c>
    </row>
    <row r="1184" spans="1:16" ht="19.5" customHeight="1">
      <c r="A1184" s="172" t="s">
        <v>627</v>
      </c>
      <c r="B1184" s="176">
        <v>46040</v>
      </c>
      <c r="C1184" s="172" t="s">
        <v>100</v>
      </c>
      <c r="D1184" s="172" t="s">
        <v>101</v>
      </c>
      <c r="E1184" s="172" t="s">
        <v>52</v>
      </c>
      <c r="F1184" s="172" t="s">
        <v>90</v>
      </c>
      <c r="G1184" s="172" t="s">
        <v>84</v>
      </c>
      <c r="H1184" s="177">
        <v>1</v>
      </c>
      <c r="I1184" s="178">
        <v>1885</v>
      </c>
      <c r="J1184" s="176">
        <v>46039</v>
      </c>
      <c r="K1184" s="172" t="s">
        <v>93</v>
      </c>
      <c r="L1184" s="172" t="s">
        <v>94</v>
      </c>
      <c r="M1184" s="179">
        <v>0</v>
      </c>
      <c r="N1184" s="177"/>
      <c r="O1184" s="177"/>
      <c r="P1184" s="180">
        <v>884.76</v>
      </c>
    </row>
    <row r="1185" spans="1:16" ht="19.5" customHeight="1">
      <c r="A1185" s="172" t="s">
        <v>627</v>
      </c>
      <c r="B1185" s="176">
        <v>46040</v>
      </c>
      <c r="C1185" s="172" t="s">
        <v>100</v>
      </c>
      <c r="D1185" s="172" t="s">
        <v>102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1885</v>
      </c>
      <c r="J1185" s="176">
        <v>46039</v>
      </c>
      <c r="K1185" s="172" t="s">
        <v>93</v>
      </c>
      <c r="L1185" s="172" t="s">
        <v>94</v>
      </c>
      <c r="M1185" s="179">
        <v>0</v>
      </c>
      <c r="N1185" s="177"/>
      <c r="O1185" s="177"/>
      <c r="P1185" s="180">
        <v>8.85</v>
      </c>
    </row>
    <row r="1186" spans="1:16" ht="19.5" customHeight="1">
      <c r="A1186" s="172" t="s">
        <v>627</v>
      </c>
      <c r="B1186" s="176">
        <v>46040</v>
      </c>
      <c r="C1186" s="172" t="s">
        <v>100</v>
      </c>
      <c r="D1186" s="172" t="s">
        <v>103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1885</v>
      </c>
      <c r="J1186" s="176">
        <v>46039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991.39</v>
      </c>
    </row>
    <row r="1187" spans="1:16" ht="19.5" customHeight="1">
      <c r="A1187" s="172" t="s">
        <v>627</v>
      </c>
      <c r="B1187" s="176">
        <v>46040</v>
      </c>
      <c r="C1187" s="172" t="s">
        <v>104</v>
      </c>
      <c r="D1187" s="172" t="s">
        <v>105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1885</v>
      </c>
      <c r="J1187" s="176">
        <v>46039</v>
      </c>
      <c r="K1187" s="172" t="s">
        <v>93</v>
      </c>
      <c r="L1187" s="172" t="s">
        <v>94</v>
      </c>
      <c r="M1187" s="179">
        <v>0.43</v>
      </c>
      <c r="N1187" s="177"/>
      <c r="O1187" s="177"/>
      <c r="P1187" s="180">
        <v>-810.55</v>
      </c>
    </row>
    <row r="1188" spans="1:16" ht="19.5" customHeight="1">
      <c r="A1188" s="172" t="s">
        <v>627</v>
      </c>
      <c r="B1188" s="176">
        <v>46040</v>
      </c>
      <c r="C1188" s="172" t="s">
        <v>81</v>
      </c>
      <c r="D1188" s="172" t="s">
        <v>95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1885</v>
      </c>
      <c r="J1188" s="176">
        <v>46039</v>
      </c>
      <c r="K1188" s="172" t="s">
        <v>93</v>
      </c>
      <c r="L1188" s="172" t="s">
        <v>94</v>
      </c>
      <c r="M1188" s="179">
        <v>0.43</v>
      </c>
      <c r="N1188" s="177"/>
      <c r="O1188" s="177"/>
      <c r="P1188" s="180">
        <v>-10.64</v>
      </c>
    </row>
    <row r="1189" spans="1:16" ht="19.5" customHeight="1">
      <c r="A1189" s="172" t="s">
        <v>628</v>
      </c>
      <c r="B1189" s="176">
        <v>46040</v>
      </c>
      <c r="C1189" s="172" t="s">
        <v>92</v>
      </c>
      <c r="D1189" s="172" t="s">
        <v>24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46036</v>
      </c>
      <c r="K1189" s="172" t="s">
        <v>93</v>
      </c>
      <c r="L1189" s="172" t="s">
        <v>94</v>
      </c>
      <c r="M1189" s="179">
        <v>0.43</v>
      </c>
      <c r="N1189" s="177"/>
      <c r="O1189" s="177">
        <v>45</v>
      </c>
      <c r="P1189" s="180">
        <v>-146.44999999999999</v>
      </c>
    </row>
    <row r="1190" spans="1:16" ht="19.5" customHeight="1">
      <c r="A1190" s="172" t="s">
        <v>628</v>
      </c>
      <c r="B1190" s="176">
        <v>46040</v>
      </c>
      <c r="C1190" s="172" t="s">
        <v>100</v>
      </c>
      <c r="D1190" s="172" t="s">
        <v>101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46036</v>
      </c>
      <c r="K1190" s="172" t="s">
        <v>93</v>
      </c>
      <c r="L1190" s="172" t="s">
        <v>94</v>
      </c>
      <c r="M1190" s="179">
        <v>0</v>
      </c>
      <c r="N1190" s="177"/>
      <c r="O1190" s="177"/>
      <c r="P1190" s="180">
        <v>554.5</v>
      </c>
    </row>
    <row r="1191" spans="1:16" ht="19.5" customHeight="1">
      <c r="A1191" s="172" t="s">
        <v>628</v>
      </c>
      <c r="B1191" s="176">
        <v>46040</v>
      </c>
      <c r="C1191" s="172" t="s">
        <v>100</v>
      </c>
      <c r="D1191" s="172" t="s">
        <v>102</v>
      </c>
      <c r="E1191" s="172" t="s">
        <v>52</v>
      </c>
      <c r="F1191" s="172" t="s">
        <v>90</v>
      </c>
      <c r="G1191" s="172" t="s">
        <v>84</v>
      </c>
      <c r="H1191" s="177">
        <v>1</v>
      </c>
      <c r="I1191" s="178">
        <v>1621</v>
      </c>
      <c r="J1191" s="176">
        <v>46036</v>
      </c>
      <c r="K1191" s="172" t="s">
        <v>93</v>
      </c>
      <c r="L1191" s="172" t="s">
        <v>94</v>
      </c>
      <c r="M1191" s="179">
        <v>0</v>
      </c>
      <c r="N1191" s="177"/>
      <c r="O1191" s="177"/>
      <c r="P1191" s="180">
        <v>5.55</v>
      </c>
    </row>
    <row r="1192" spans="1:16" ht="19.5" customHeight="1">
      <c r="A1192" s="172" t="s">
        <v>628</v>
      </c>
      <c r="B1192" s="176">
        <v>46040</v>
      </c>
      <c r="C1192" s="172" t="s">
        <v>100</v>
      </c>
      <c r="D1192" s="172" t="s">
        <v>103</v>
      </c>
      <c r="E1192" s="172" t="s">
        <v>52</v>
      </c>
      <c r="F1192" s="172" t="s">
        <v>90</v>
      </c>
      <c r="G1192" s="172" t="s">
        <v>84</v>
      </c>
      <c r="H1192" s="177">
        <v>1</v>
      </c>
      <c r="I1192" s="178">
        <v>1621</v>
      </c>
      <c r="J1192" s="176">
        <v>46036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1060.95</v>
      </c>
    </row>
    <row r="1193" spans="1:16" ht="19.5" customHeight="1">
      <c r="A1193" s="172" t="s">
        <v>628</v>
      </c>
      <c r="B1193" s="176">
        <v>46040</v>
      </c>
      <c r="C1193" s="172" t="s">
        <v>104</v>
      </c>
      <c r="D1193" s="172" t="s">
        <v>105</v>
      </c>
      <c r="E1193" s="172" t="s">
        <v>52</v>
      </c>
      <c r="F1193" s="172" t="s">
        <v>90</v>
      </c>
      <c r="G1193" s="172" t="s">
        <v>84</v>
      </c>
      <c r="H1193" s="177">
        <v>1</v>
      </c>
      <c r="I1193" s="178">
        <v>1621</v>
      </c>
      <c r="J1193" s="176">
        <v>46036</v>
      </c>
      <c r="K1193" s="172" t="s">
        <v>93</v>
      </c>
      <c r="L1193" s="172" t="s">
        <v>94</v>
      </c>
      <c r="M1193" s="179">
        <v>0.43</v>
      </c>
      <c r="N1193" s="177"/>
      <c r="O1193" s="177"/>
      <c r="P1193" s="180">
        <v>-697.03</v>
      </c>
    </row>
    <row r="1194" spans="1:16" ht="19.5" customHeight="1">
      <c r="A1194" s="172" t="s">
        <v>628</v>
      </c>
      <c r="B1194" s="176">
        <v>46040</v>
      </c>
      <c r="C1194" s="172" t="s">
        <v>81</v>
      </c>
      <c r="D1194" s="172" t="s">
        <v>95</v>
      </c>
      <c r="E1194" s="172" t="s">
        <v>52</v>
      </c>
      <c r="F1194" s="172" t="s">
        <v>90</v>
      </c>
      <c r="G1194" s="172" t="s">
        <v>84</v>
      </c>
      <c r="H1194" s="177">
        <v>1</v>
      </c>
      <c r="I1194" s="178">
        <v>1621</v>
      </c>
      <c r="J1194" s="176">
        <v>46036</v>
      </c>
      <c r="K1194" s="172" t="s">
        <v>93</v>
      </c>
      <c r="L1194" s="172" t="s">
        <v>94</v>
      </c>
      <c r="M1194" s="179">
        <v>0.43</v>
      </c>
      <c r="N1194" s="177"/>
      <c r="O1194" s="177"/>
      <c r="P1194" s="180">
        <v>-8.31</v>
      </c>
    </row>
    <row r="1195" spans="1:16" ht="19.5" customHeight="1">
      <c r="A1195" s="172" t="s">
        <v>628</v>
      </c>
      <c r="B1195" s="176">
        <v>46040</v>
      </c>
      <c r="C1195" s="172" t="s">
        <v>81</v>
      </c>
      <c r="D1195" s="172" t="s">
        <v>82</v>
      </c>
      <c r="E1195" s="172" t="s">
        <v>52</v>
      </c>
      <c r="F1195" s="172" t="s">
        <v>90</v>
      </c>
      <c r="G1195" s="172" t="s">
        <v>84</v>
      </c>
      <c r="H1195" s="177">
        <v>1</v>
      </c>
      <c r="I1195" s="178">
        <v>0</v>
      </c>
      <c r="J1195" s="176">
        <v>46036</v>
      </c>
      <c r="K1195" s="172" t="s">
        <v>85</v>
      </c>
      <c r="L1195" s="172" t="s">
        <v>85</v>
      </c>
      <c r="M1195" s="179">
        <v>0</v>
      </c>
      <c r="N1195" s="177"/>
      <c r="O1195" s="177"/>
      <c r="P1195" s="180">
        <v>-10.54</v>
      </c>
    </row>
    <row r="1196" spans="1:16" ht="19.5" customHeight="1">
      <c r="A1196" s="172" t="s">
        <v>629</v>
      </c>
      <c r="B1196" s="176">
        <v>46040</v>
      </c>
      <c r="C1196" s="172" t="s">
        <v>81</v>
      </c>
      <c r="D1196" s="172" t="s">
        <v>82</v>
      </c>
      <c r="E1196" s="172" t="s">
        <v>39</v>
      </c>
      <c r="F1196" s="172" t="s">
        <v>117</v>
      </c>
      <c r="G1196" s="172" t="s">
        <v>84</v>
      </c>
      <c r="H1196" s="177">
        <v>1</v>
      </c>
      <c r="I1196" s="178">
        <v>0</v>
      </c>
      <c r="J1196" s="176">
        <v>46040</v>
      </c>
      <c r="K1196" s="172" t="s">
        <v>85</v>
      </c>
      <c r="L1196" s="172" t="s">
        <v>85</v>
      </c>
      <c r="M1196" s="179">
        <v>0</v>
      </c>
      <c r="N1196" s="177"/>
      <c r="O1196" s="177"/>
      <c r="P1196" s="180">
        <v>-14.08</v>
      </c>
    </row>
    <row r="1197" spans="1:16" ht="19.5" customHeight="1">
      <c r="A1197" s="172" t="s">
        <v>630</v>
      </c>
      <c r="B1197" s="176">
        <v>46040</v>
      </c>
      <c r="C1197" s="172" t="s">
        <v>92</v>
      </c>
      <c r="D1197" s="172" t="s">
        <v>24</v>
      </c>
      <c r="E1197" s="172" t="s">
        <v>41</v>
      </c>
      <c r="F1197" s="172" t="s">
        <v>83</v>
      </c>
      <c r="G1197" s="172" t="s">
        <v>84</v>
      </c>
      <c r="H1197" s="177">
        <v>1</v>
      </c>
      <c r="I1197" s="178">
        <v>1750</v>
      </c>
      <c r="J1197" s="176">
        <v>46036</v>
      </c>
      <c r="K1197" s="172" t="s">
        <v>93</v>
      </c>
      <c r="L1197" s="172" t="s">
        <v>94</v>
      </c>
      <c r="M1197" s="179">
        <v>0.43</v>
      </c>
      <c r="N1197" s="177"/>
      <c r="O1197" s="177">
        <v>45</v>
      </c>
      <c r="P1197" s="180">
        <v>-135.38999999999999</v>
      </c>
    </row>
    <row r="1198" spans="1:16" ht="19.5" customHeight="1">
      <c r="A1198" s="172" t="s">
        <v>630</v>
      </c>
      <c r="B1198" s="176">
        <v>46040</v>
      </c>
      <c r="C1198" s="172" t="s">
        <v>100</v>
      </c>
      <c r="D1198" s="172" t="s">
        <v>101</v>
      </c>
      <c r="E1198" s="172" t="s">
        <v>41</v>
      </c>
      <c r="F1198" s="172" t="s">
        <v>83</v>
      </c>
      <c r="G1198" s="172" t="s">
        <v>84</v>
      </c>
      <c r="H1198" s="177">
        <v>1</v>
      </c>
      <c r="I1198" s="178">
        <v>1750</v>
      </c>
      <c r="J1198" s="176">
        <v>46036</v>
      </c>
      <c r="K1198" s="172" t="s">
        <v>93</v>
      </c>
      <c r="L1198" s="172" t="s">
        <v>94</v>
      </c>
      <c r="M1198" s="179">
        <v>0</v>
      </c>
      <c r="N1198" s="177"/>
      <c r="O1198" s="177"/>
      <c r="P1198" s="180">
        <v>608.94000000000005</v>
      </c>
    </row>
    <row r="1199" spans="1:16" ht="19.5" customHeight="1">
      <c r="A1199" s="172" t="s">
        <v>630</v>
      </c>
      <c r="B1199" s="176">
        <v>46040</v>
      </c>
      <c r="C1199" s="172" t="s">
        <v>100</v>
      </c>
      <c r="D1199" s="172" t="s">
        <v>102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1750</v>
      </c>
      <c r="J1199" s="176">
        <v>46036</v>
      </c>
      <c r="K1199" s="172" t="s">
        <v>93</v>
      </c>
      <c r="L1199" s="172" t="s">
        <v>94</v>
      </c>
      <c r="M1199" s="179">
        <v>0</v>
      </c>
      <c r="N1199" s="177"/>
      <c r="O1199" s="177"/>
      <c r="P1199" s="180">
        <v>6.09</v>
      </c>
    </row>
    <row r="1200" spans="1:16" ht="19.5" customHeight="1">
      <c r="A1200" s="172" t="s">
        <v>630</v>
      </c>
      <c r="B1200" s="176">
        <v>46040</v>
      </c>
      <c r="C1200" s="172" t="s">
        <v>100</v>
      </c>
      <c r="D1200" s="172" t="s">
        <v>103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1750</v>
      </c>
      <c r="J1200" s="176">
        <v>46036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1134.97</v>
      </c>
    </row>
    <row r="1201" spans="1:16" ht="19.5" customHeight="1">
      <c r="A1201" s="172" t="s">
        <v>630</v>
      </c>
      <c r="B1201" s="176">
        <v>46040</v>
      </c>
      <c r="C1201" s="172" t="s">
        <v>104</v>
      </c>
      <c r="D1201" s="172" t="s">
        <v>105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1750</v>
      </c>
      <c r="J1201" s="176">
        <v>46036</v>
      </c>
      <c r="K1201" s="172" t="s">
        <v>93</v>
      </c>
      <c r="L1201" s="172" t="s">
        <v>94</v>
      </c>
      <c r="M1201" s="179">
        <v>0.43</v>
      </c>
      <c r="N1201" s="177"/>
      <c r="O1201" s="177"/>
      <c r="P1201" s="180">
        <v>-752.5</v>
      </c>
    </row>
    <row r="1202" spans="1:16" ht="19.5" customHeight="1">
      <c r="A1202" s="172" t="s">
        <v>630</v>
      </c>
      <c r="B1202" s="176">
        <v>46040</v>
      </c>
      <c r="C1202" s="172" t="s">
        <v>81</v>
      </c>
      <c r="D1202" s="172" t="s">
        <v>95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1750</v>
      </c>
      <c r="J1202" s="176">
        <v>46036</v>
      </c>
      <c r="K1202" s="172" t="s">
        <v>93</v>
      </c>
      <c r="L1202" s="172" t="s">
        <v>94</v>
      </c>
      <c r="M1202" s="179">
        <v>0.43</v>
      </c>
      <c r="N1202" s="177"/>
      <c r="O1202" s="177"/>
      <c r="P1202" s="180">
        <v>-11.45</v>
      </c>
    </row>
    <row r="1203" spans="1:16" ht="19.5" customHeight="1">
      <c r="A1203" s="172" t="s">
        <v>631</v>
      </c>
      <c r="B1203" s="176">
        <v>46040</v>
      </c>
      <c r="C1203" s="172" t="s">
        <v>92</v>
      </c>
      <c r="D1203" s="172" t="s">
        <v>24</v>
      </c>
      <c r="E1203" s="172" t="s">
        <v>52</v>
      </c>
      <c r="F1203" s="172" t="s">
        <v>90</v>
      </c>
      <c r="G1203" s="172" t="s">
        <v>84</v>
      </c>
      <c r="H1203" s="177">
        <v>1</v>
      </c>
      <c r="I1203" s="178">
        <v>1621</v>
      </c>
      <c r="J1203" s="176">
        <v>46035</v>
      </c>
      <c r="K1203" s="172" t="s">
        <v>93</v>
      </c>
      <c r="L1203" s="172" t="s">
        <v>94</v>
      </c>
      <c r="M1203" s="179">
        <v>0.43</v>
      </c>
      <c r="N1203" s="177"/>
      <c r="O1203" s="177">
        <v>45</v>
      </c>
      <c r="P1203" s="180">
        <v>-146.44999999999999</v>
      </c>
    </row>
    <row r="1204" spans="1:16" ht="19.5" customHeight="1">
      <c r="A1204" s="172" t="s">
        <v>631</v>
      </c>
      <c r="B1204" s="176">
        <v>46040</v>
      </c>
      <c r="C1204" s="172" t="s">
        <v>100</v>
      </c>
      <c r="D1204" s="172" t="s">
        <v>101</v>
      </c>
      <c r="E1204" s="172" t="s">
        <v>52</v>
      </c>
      <c r="F1204" s="172" t="s">
        <v>90</v>
      </c>
      <c r="G1204" s="172" t="s">
        <v>84</v>
      </c>
      <c r="H1204" s="177">
        <v>1</v>
      </c>
      <c r="I1204" s="178">
        <v>1621</v>
      </c>
      <c r="J1204" s="176">
        <v>46035</v>
      </c>
      <c r="K1204" s="172" t="s">
        <v>93</v>
      </c>
      <c r="L1204" s="172" t="s">
        <v>94</v>
      </c>
      <c r="M1204" s="179">
        <v>0</v>
      </c>
      <c r="N1204" s="177"/>
      <c r="O1204" s="177"/>
      <c r="P1204" s="180">
        <v>617.14</v>
      </c>
    </row>
    <row r="1205" spans="1:16" ht="19.5" customHeight="1">
      <c r="A1205" s="172" t="s">
        <v>631</v>
      </c>
      <c r="B1205" s="176">
        <v>46040</v>
      </c>
      <c r="C1205" s="172" t="s">
        <v>100</v>
      </c>
      <c r="D1205" s="172" t="s">
        <v>102</v>
      </c>
      <c r="E1205" s="172" t="s">
        <v>52</v>
      </c>
      <c r="F1205" s="172" t="s">
        <v>90</v>
      </c>
      <c r="G1205" s="172" t="s">
        <v>84</v>
      </c>
      <c r="H1205" s="177">
        <v>1</v>
      </c>
      <c r="I1205" s="178">
        <v>1621</v>
      </c>
      <c r="J1205" s="176">
        <v>46035</v>
      </c>
      <c r="K1205" s="172" t="s">
        <v>93</v>
      </c>
      <c r="L1205" s="172" t="s">
        <v>94</v>
      </c>
      <c r="M1205" s="179">
        <v>0</v>
      </c>
      <c r="N1205" s="177"/>
      <c r="O1205" s="177"/>
      <c r="P1205" s="180">
        <v>0</v>
      </c>
    </row>
    <row r="1206" spans="1:16" ht="19.5" customHeight="1">
      <c r="A1206" s="172" t="s">
        <v>631</v>
      </c>
      <c r="B1206" s="176">
        <v>46040</v>
      </c>
      <c r="C1206" s="172" t="s">
        <v>100</v>
      </c>
      <c r="D1206" s="172" t="s">
        <v>103</v>
      </c>
      <c r="E1206" s="172" t="s">
        <v>52</v>
      </c>
      <c r="F1206" s="172" t="s">
        <v>90</v>
      </c>
      <c r="G1206" s="172" t="s">
        <v>84</v>
      </c>
      <c r="H1206" s="177">
        <v>1</v>
      </c>
      <c r="I1206" s="178">
        <v>1621</v>
      </c>
      <c r="J1206" s="176">
        <v>46035</v>
      </c>
      <c r="K1206" s="172" t="s">
        <v>93</v>
      </c>
      <c r="L1206" s="172" t="s">
        <v>94</v>
      </c>
      <c r="M1206" s="179">
        <v>0</v>
      </c>
      <c r="N1206" s="177"/>
      <c r="O1206" s="177"/>
      <c r="P1206" s="180">
        <v>1003.86</v>
      </c>
    </row>
    <row r="1207" spans="1:16" ht="19.5" customHeight="1">
      <c r="A1207" s="172" t="s">
        <v>631</v>
      </c>
      <c r="B1207" s="176">
        <v>46040</v>
      </c>
      <c r="C1207" s="172" t="s">
        <v>104</v>
      </c>
      <c r="D1207" s="172" t="s">
        <v>105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46035</v>
      </c>
      <c r="K1207" s="172" t="s">
        <v>93</v>
      </c>
      <c r="L1207" s="172" t="s">
        <v>94</v>
      </c>
      <c r="M1207" s="179">
        <v>0.43</v>
      </c>
      <c r="N1207" s="177"/>
      <c r="O1207" s="177"/>
      <c r="P1207" s="180">
        <v>-697.03</v>
      </c>
    </row>
    <row r="1208" spans="1:16" ht="19.5" customHeight="1">
      <c r="A1208" s="172" t="s">
        <v>631</v>
      </c>
      <c r="B1208" s="176">
        <v>46040</v>
      </c>
      <c r="C1208" s="172" t="s">
        <v>81</v>
      </c>
      <c r="D1208" s="172" t="s">
        <v>95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46035</v>
      </c>
      <c r="K1208" s="172" t="s">
        <v>93</v>
      </c>
      <c r="L1208" s="172" t="s">
        <v>94</v>
      </c>
      <c r="M1208" s="179">
        <v>0.43</v>
      </c>
      <c r="N1208" s="177"/>
      <c r="O1208" s="177"/>
      <c r="P1208" s="180">
        <v>-8.41</v>
      </c>
    </row>
    <row r="1209" spans="1:16" ht="19.5" customHeight="1">
      <c r="A1209" s="172" t="s">
        <v>630</v>
      </c>
      <c r="B1209" s="176">
        <v>46040</v>
      </c>
      <c r="C1209" s="172" t="s">
        <v>81</v>
      </c>
      <c r="D1209" s="172" t="s">
        <v>82</v>
      </c>
      <c r="E1209" s="172" t="s">
        <v>41</v>
      </c>
      <c r="F1209" s="172" t="s">
        <v>83</v>
      </c>
      <c r="G1209" s="172" t="s">
        <v>84</v>
      </c>
      <c r="H1209" s="177">
        <v>1</v>
      </c>
      <c r="I1209" s="178">
        <v>0</v>
      </c>
      <c r="J1209" s="176">
        <v>46036</v>
      </c>
      <c r="K1209" s="172" t="s">
        <v>85</v>
      </c>
      <c r="L1209" s="172" t="s">
        <v>85</v>
      </c>
      <c r="M1209" s="179">
        <v>0</v>
      </c>
      <c r="N1209" s="177"/>
      <c r="O1209" s="177"/>
      <c r="P1209" s="180">
        <v>-11.57</v>
      </c>
    </row>
    <row r="1210" spans="1:16" ht="19.5" customHeight="1">
      <c r="A1210" s="172" t="s">
        <v>632</v>
      </c>
      <c r="B1210" s="176">
        <v>46040</v>
      </c>
      <c r="C1210" s="172" t="s">
        <v>92</v>
      </c>
      <c r="D1210" s="172" t="s">
        <v>24</v>
      </c>
      <c r="E1210" s="172" t="s">
        <v>53</v>
      </c>
      <c r="F1210" s="172" t="s">
        <v>120</v>
      </c>
      <c r="G1210" s="172" t="s">
        <v>84</v>
      </c>
      <c r="H1210" s="177">
        <v>1</v>
      </c>
      <c r="I1210" s="178">
        <v>0</v>
      </c>
      <c r="J1210" s="176">
        <v>46033</v>
      </c>
      <c r="K1210" s="172" t="s">
        <v>93</v>
      </c>
      <c r="L1210" s="172" t="s">
        <v>94</v>
      </c>
      <c r="M1210" s="179">
        <v>0</v>
      </c>
      <c r="N1210" s="177"/>
      <c r="O1210" s="177">
        <v>42</v>
      </c>
      <c r="P1210" s="180">
        <v>-56</v>
      </c>
    </row>
    <row r="1211" spans="1:16" ht="19.5" customHeight="1">
      <c r="A1211" s="172" t="s">
        <v>632</v>
      </c>
      <c r="B1211" s="176">
        <v>46040</v>
      </c>
      <c r="C1211" s="172" t="s">
        <v>81</v>
      </c>
      <c r="D1211" s="172" t="s">
        <v>95</v>
      </c>
      <c r="E1211" s="172" t="s">
        <v>53</v>
      </c>
      <c r="F1211" s="172" t="s">
        <v>120</v>
      </c>
      <c r="G1211" s="172" t="s">
        <v>84</v>
      </c>
      <c r="H1211" s="177">
        <v>1</v>
      </c>
      <c r="I1211" s="178">
        <v>0</v>
      </c>
      <c r="J1211" s="176">
        <v>46033</v>
      </c>
      <c r="K1211" s="172" t="s">
        <v>93</v>
      </c>
      <c r="L1211" s="172" t="s">
        <v>94</v>
      </c>
      <c r="M1211" s="179">
        <v>0</v>
      </c>
      <c r="N1211" s="177"/>
      <c r="O1211" s="177"/>
      <c r="P1211" s="180">
        <v>-8.84</v>
      </c>
    </row>
    <row r="1212" spans="1:16" ht="19.5" customHeight="1">
      <c r="A1212" s="172" t="s">
        <v>632</v>
      </c>
      <c r="B1212" s="176">
        <v>46040</v>
      </c>
      <c r="C1212" s="172" t="s">
        <v>92</v>
      </c>
      <c r="D1212" s="172" t="s">
        <v>96</v>
      </c>
      <c r="E1212" s="172" t="s">
        <v>53</v>
      </c>
      <c r="F1212" s="172" t="s">
        <v>120</v>
      </c>
      <c r="G1212" s="172" t="s">
        <v>84</v>
      </c>
      <c r="H1212" s="177">
        <v>1</v>
      </c>
      <c r="I1212" s="178">
        <v>0</v>
      </c>
      <c r="J1212" s="176">
        <v>46033</v>
      </c>
      <c r="K1212" s="172" t="s">
        <v>93</v>
      </c>
      <c r="L1212" s="172" t="s">
        <v>94</v>
      </c>
      <c r="M1212" s="179">
        <v>0</v>
      </c>
      <c r="N1212" s="177"/>
      <c r="O1212" s="177"/>
      <c r="P1212" s="180">
        <v>0</v>
      </c>
    </row>
    <row r="1213" spans="1:16" ht="19.5" customHeight="1">
      <c r="A1213" s="172" t="s">
        <v>632</v>
      </c>
      <c r="B1213" s="176">
        <v>46040</v>
      </c>
      <c r="C1213" s="172" t="s">
        <v>92</v>
      </c>
      <c r="D1213" s="172" t="s">
        <v>97</v>
      </c>
      <c r="E1213" s="172" t="s">
        <v>53</v>
      </c>
      <c r="F1213" s="172" t="s">
        <v>120</v>
      </c>
      <c r="G1213" s="172" t="s">
        <v>84</v>
      </c>
      <c r="H1213" s="177">
        <v>1</v>
      </c>
      <c r="I1213" s="178">
        <v>0</v>
      </c>
      <c r="J1213" s="176">
        <v>46033</v>
      </c>
      <c r="K1213" s="172" t="s">
        <v>93</v>
      </c>
      <c r="L1213" s="172" t="s">
        <v>94</v>
      </c>
      <c r="M1213" s="179">
        <v>0</v>
      </c>
      <c r="N1213" s="177"/>
      <c r="O1213" s="177"/>
      <c r="P1213" s="180">
        <v>-56</v>
      </c>
    </row>
    <row r="1214" spans="1:16" ht="19.5" customHeight="1">
      <c r="A1214" s="172" t="s">
        <v>632</v>
      </c>
      <c r="B1214" s="176">
        <v>46040</v>
      </c>
      <c r="C1214" s="172" t="s">
        <v>81</v>
      </c>
      <c r="D1214" s="172" t="s">
        <v>98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0</v>
      </c>
      <c r="J1214" s="176">
        <v>46033</v>
      </c>
      <c r="K1214" s="172" t="s">
        <v>93</v>
      </c>
      <c r="L1214" s="172" t="s">
        <v>94</v>
      </c>
      <c r="M1214" s="179">
        <v>0</v>
      </c>
      <c r="N1214" s="177"/>
      <c r="O1214" s="177"/>
      <c r="P1214" s="180">
        <v>-15</v>
      </c>
    </row>
    <row r="1215" spans="1:16" ht="19.5" customHeight="1">
      <c r="A1215" s="172" t="s">
        <v>631</v>
      </c>
      <c r="B1215" s="176">
        <v>46040</v>
      </c>
      <c r="C1215" s="172" t="s">
        <v>81</v>
      </c>
      <c r="D1215" s="172" t="s">
        <v>82</v>
      </c>
      <c r="E1215" s="172" t="s">
        <v>52</v>
      </c>
      <c r="F1215" s="172" t="s">
        <v>90</v>
      </c>
      <c r="G1215" s="172" t="s">
        <v>84</v>
      </c>
      <c r="H1215" s="177">
        <v>1</v>
      </c>
      <c r="I1215" s="178">
        <v>0</v>
      </c>
      <c r="J1215" s="176">
        <v>46035</v>
      </c>
      <c r="K1215" s="172" t="s">
        <v>85</v>
      </c>
      <c r="L1215" s="172" t="s">
        <v>85</v>
      </c>
      <c r="M1215" s="179">
        <v>0</v>
      </c>
      <c r="N1215" s="177"/>
      <c r="O1215" s="177"/>
      <c r="P1215" s="180">
        <v>-3.27</v>
      </c>
    </row>
    <row r="1216" spans="1:16" ht="19.5" customHeight="1">
      <c r="A1216" s="172" t="s">
        <v>146</v>
      </c>
      <c r="B1216" s="176">
        <v>46040</v>
      </c>
      <c r="C1216" s="172" t="s">
        <v>109</v>
      </c>
      <c r="D1216" s="172" t="s">
        <v>139</v>
      </c>
      <c r="E1216" s="172" t="s">
        <v>85</v>
      </c>
      <c r="F1216" s="172" t="s">
        <v>85</v>
      </c>
      <c r="G1216" s="172" t="s">
        <v>85</v>
      </c>
      <c r="H1216" s="177">
        <v>0</v>
      </c>
      <c r="I1216" s="178">
        <v>0</v>
      </c>
      <c r="J1216" s="176">
        <v>46040</v>
      </c>
      <c r="K1216" s="172" t="s">
        <v>85</v>
      </c>
      <c r="L1216" s="172" t="s">
        <v>85</v>
      </c>
      <c r="M1216" s="179">
        <v>0</v>
      </c>
      <c r="N1216" s="177"/>
      <c r="O1216" s="177"/>
      <c r="P1216" s="180">
        <v>-287.97000000000003</v>
      </c>
    </row>
    <row r="1217" spans="1:16" ht="19.5" customHeight="1">
      <c r="A1217" s="172" t="s">
        <v>145</v>
      </c>
      <c r="B1217" s="176">
        <v>46040</v>
      </c>
      <c r="C1217" s="172" t="s">
        <v>109</v>
      </c>
      <c r="D1217" s="172" t="s">
        <v>139</v>
      </c>
      <c r="E1217" s="172" t="s">
        <v>85</v>
      </c>
      <c r="F1217" s="172" t="s">
        <v>85</v>
      </c>
      <c r="G1217" s="172" t="s">
        <v>85</v>
      </c>
      <c r="H1217" s="177">
        <v>0</v>
      </c>
      <c r="I1217" s="178">
        <v>0</v>
      </c>
      <c r="J1217" s="176">
        <v>46040</v>
      </c>
      <c r="K1217" s="172" t="s">
        <v>85</v>
      </c>
      <c r="L1217" s="172" t="s">
        <v>85</v>
      </c>
      <c r="M1217" s="179">
        <v>0</v>
      </c>
      <c r="N1217" s="177"/>
      <c r="O1217" s="177"/>
      <c r="P1217" s="180">
        <v>-286.27999999999997</v>
      </c>
    </row>
    <row r="1218" spans="1:16" ht="19.5" customHeight="1">
      <c r="A1218" s="172" t="s">
        <v>140</v>
      </c>
      <c r="B1218" s="176">
        <v>46040</v>
      </c>
      <c r="C1218" s="172" t="s">
        <v>109</v>
      </c>
      <c r="D1218" s="172" t="s">
        <v>139</v>
      </c>
      <c r="E1218" s="172" t="s">
        <v>85</v>
      </c>
      <c r="F1218" s="172" t="s">
        <v>85</v>
      </c>
      <c r="G1218" s="172" t="s">
        <v>85</v>
      </c>
      <c r="H1218" s="177">
        <v>0</v>
      </c>
      <c r="I1218" s="178">
        <v>0</v>
      </c>
      <c r="J1218" s="176">
        <v>46040</v>
      </c>
      <c r="K1218" s="172" t="s">
        <v>85</v>
      </c>
      <c r="L1218" s="172" t="s">
        <v>85</v>
      </c>
      <c r="M1218" s="179">
        <v>0</v>
      </c>
      <c r="N1218" s="177"/>
      <c r="O1218" s="177"/>
      <c r="P1218" s="180">
        <v>-284.64999999999998</v>
      </c>
    </row>
    <row r="1219" spans="1:16" ht="19.5" customHeight="1">
      <c r="A1219" s="172" t="s">
        <v>138</v>
      </c>
      <c r="B1219" s="176">
        <v>46040</v>
      </c>
      <c r="C1219" s="172" t="s">
        <v>109</v>
      </c>
      <c r="D1219" s="172" t="s">
        <v>139</v>
      </c>
      <c r="E1219" s="172" t="s">
        <v>85</v>
      </c>
      <c r="F1219" s="172" t="s">
        <v>85</v>
      </c>
      <c r="G1219" s="172" t="s">
        <v>85</v>
      </c>
      <c r="H1219" s="177">
        <v>0</v>
      </c>
      <c r="I1219" s="178">
        <v>0</v>
      </c>
      <c r="J1219" s="176">
        <v>46040</v>
      </c>
      <c r="K1219" s="172" t="s">
        <v>85</v>
      </c>
      <c r="L1219" s="172" t="s">
        <v>85</v>
      </c>
      <c r="M1219" s="179">
        <v>0</v>
      </c>
      <c r="N1219" s="177"/>
      <c r="O1219" s="177"/>
      <c r="P1219" s="180">
        <v>-1714.03</v>
      </c>
    </row>
    <row r="1220" spans="1:16" ht="19.5" customHeight="1">
      <c r="A1220" s="172" t="s">
        <v>144</v>
      </c>
      <c r="B1220" s="176">
        <v>46040</v>
      </c>
      <c r="C1220" s="172" t="s">
        <v>109</v>
      </c>
      <c r="D1220" s="172" t="s">
        <v>139</v>
      </c>
      <c r="E1220" s="172" t="s">
        <v>85</v>
      </c>
      <c r="F1220" s="172" t="s">
        <v>85</v>
      </c>
      <c r="G1220" s="172" t="s">
        <v>85</v>
      </c>
      <c r="H1220" s="177">
        <v>0</v>
      </c>
      <c r="I1220" s="178">
        <v>0</v>
      </c>
      <c r="J1220" s="176">
        <v>46040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-2313.9699999999998</v>
      </c>
    </row>
    <row r="1221" spans="1:16" ht="19.5" customHeight="1">
      <c r="A1221" s="172" t="s">
        <v>142</v>
      </c>
      <c r="B1221" s="176">
        <v>46040</v>
      </c>
      <c r="C1221" s="172" t="s">
        <v>109</v>
      </c>
      <c r="D1221" s="172" t="s">
        <v>143</v>
      </c>
      <c r="E1221" s="172" t="s">
        <v>85</v>
      </c>
      <c r="F1221" s="172" t="s">
        <v>85</v>
      </c>
      <c r="G1221" s="172" t="s">
        <v>85</v>
      </c>
      <c r="H1221" s="177">
        <v>0</v>
      </c>
      <c r="I1221" s="178">
        <v>0</v>
      </c>
      <c r="J1221" s="176">
        <v>46040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-1766.5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0D685-7AE7-440C-ADDE-C5AA266DFB2C}">
  <dimension ref="A1:P1461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770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771</v>
      </c>
      <c r="B3" s="176">
        <v>46027</v>
      </c>
      <c r="C3" s="172" t="s">
        <v>81</v>
      </c>
      <c r="D3" s="172" t="s">
        <v>82</v>
      </c>
      <c r="E3" s="172" t="s">
        <v>52</v>
      </c>
      <c r="F3" s="172" t="s">
        <v>90</v>
      </c>
      <c r="G3" s="172" t="s">
        <v>84</v>
      </c>
      <c r="H3" s="177">
        <v>1</v>
      </c>
      <c r="I3" s="178">
        <v>0</v>
      </c>
      <c r="J3" s="176">
        <v>46027</v>
      </c>
      <c r="K3" s="172" t="s">
        <v>85</v>
      </c>
      <c r="L3" s="172" t="s">
        <v>85</v>
      </c>
      <c r="M3" s="179">
        <v>0</v>
      </c>
      <c r="N3" s="177"/>
      <c r="O3" s="177"/>
      <c r="P3" s="180">
        <v>-10.59</v>
      </c>
    </row>
    <row r="4" spans="1:16" ht="19.5" customHeight="1">
      <c r="A4" s="172" t="s">
        <v>772</v>
      </c>
      <c r="B4" s="176">
        <v>46027</v>
      </c>
      <c r="C4" s="172" t="s">
        <v>92</v>
      </c>
      <c r="D4" s="172" t="s">
        <v>96</v>
      </c>
      <c r="E4" s="172" t="s">
        <v>52</v>
      </c>
      <c r="F4" s="172" t="s">
        <v>90</v>
      </c>
      <c r="G4" s="172" t="s">
        <v>84</v>
      </c>
      <c r="H4" s="177">
        <v>1</v>
      </c>
      <c r="I4" s="178">
        <v>0</v>
      </c>
      <c r="J4" s="176">
        <v>46018</v>
      </c>
      <c r="K4" s="172" t="s">
        <v>93</v>
      </c>
      <c r="L4" s="172" t="s">
        <v>94</v>
      </c>
      <c r="M4" s="179">
        <v>0</v>
      </c>
      <c r="N4" s="177"/>
      <c r="O4" s="177"/>
      <c r="P4" s="180">
        <v>0</v>
      </c>
    </row>
    <row r="5" spans="1:16" ht="19.5" customHeight="1">
      <c r="A5" s="172" t="s">
        <v>772</v>
      </c>
      <c r="B5" s="176">
        <v>46027</v>
      </c>
      <c r="C5" s="172" t="s">
        <v>92</v>
      </c>
      <c r="D5" s="172" t="s">
        <v>97</v>
      </c>
      <c r="E5" s="172" t="s">
        <v>52</v>
      </c>
      <c r="F5" s="172" t="s">
        <v>90</v>
      </c>
      <c r="G5" s="172" t="s">
        <v>84</v>
      </c>
      <c r="H5" s="177">
        <v>1</v>
      </c>
      <c r="I5" s="178">
        <v>0</v>
      </c>
      <c r="J5" s="176">
        <v>46018</v>
      </c>
      <c r="K5" s="172" t="s">
        <v>93</v>
      </c>
      <c r="L5" s="172" t="s">
        <v>94</v>
      </c>
      <c r="M5" s="179">
        <v>0</v>
      </c>
      <c r="N5" s="177"/>
      <c r="O5" s="177"/>
      <c r="P5" s="180">
        <v>-56</v>
      </c>
    </row>
    <row r="6" spans="1:16" ht="19.5" customHeight="1">
      <c r="A6" s="172" t="s">
        <v>772</v>
      </c>
      <c r="B6" s="176">
        <v>46027</v>
      </c>
      <c r="C6" s="172" t="s">
        <v>81</v>
      </c>
      <c r="D6" s="172" t="s">
        <v>98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46018</v>
      </c>
      <c r="K6" s="172" t="s">
        <v>93</v>
      </c>
      <c r="L6" s="172" t="s">
        <v>94</v>
      </c>
      <c r="M6" s="179">
        <v>0</v>
      </c>
      <c r="N6" s="177"/>
      <c r="O6" s="177"/>
      <c r="P6" s="180">
        <v>-15</v>
      </c>
    </row>
    <row r="7" spans="1:16" ht="19.5" customHeight="1">
      <c r="A7" s="172" t="s">
        <v>772</v>
      </c>
      <c r="B7" s="176">
        <v>46027</v>
      </c>
      <c r="C7" s="172" t="s">
        <v>92</v>
      </c>
      <c r="D7" s="172" t="s">
        <v>24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46018</v>
      </c>
      <c r="K7" s="172" t="s">
        <v>93</v>
      </c>
      <c r="L7" s="172" t="s">
        <v>94</v>
      </c>
      <c r="M7" s="179">
        <v>0</v>
      </c>
      <c r="N7" s="177"/>
      <c r="O7" s="177">
        <v>42</v>
      </c>
      <c r="P7" s="180">
        <v>-56</v>
      </c>
    </row>
    <row r="8" spans="1:16" ht="19.5" customHeight="1">
      <c r="A8" s="172" t="s">
        <v>772</v>
      </c>
      <c r="B8" s="176">
        <v>46027</v>
      </c>
      <c r="C8" s="172" t="s">
        <v>81</v>
      </c>
      <c r="D8" s="172" t="s">
        <v>95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46018</v>
      </c>
      <c r="K8" s="172" t="s">
        <v>93</v>
      </c>
      <c r="L8" s="172" t="s">
        <v>94</v>
      </c>
      <c r="M8" s="179">
        <v>0</v>
      </c>
      <c r="N8" s="177"/>
      <c r="O8" s="177"/>
      <c r="P8" s="180">
        <v>-9.7100000000000009</v>
      </c>
    </row>
    <row r="9" spans="1:16" ht="19.5" customHeight="1">
      <c r="A9" s="172" t="s">
        <v>773</v>
      </c>
      <c r="B9" s="176">
        <v>46027</v>
      </c>
      <c r="C9" s="172" t="s">
        <v>92</v>
      </c>
      <c r="D9" s="172" t="s">
        <v>24</v>
      </c>
      <c r="E9" s="172" t="s">
        <v>41</v>
      </c>
      <c r="F9" s="172" t="s">
        <v>83</v>
      </c>
      <c r="G9" s="172" t="s">
        <v>84</v>
      </c>
      <c r="H9" s="177">
        <v>1</v>
      </c>
      <c r="I9" s="178">
        <v>1600</v>
      </c>
      <c r="J9" s="176">
        <v>46002</v>
      </c>
      <c r="K9" s="172" t="s">
        <v>93</v>
      </c>
      <c r="L9" s="172" t="s">
        <v>94</v>
      </c>
      <c r="M9" s="179">
        <v>0.43</v>
      </c>
      <c r="N9" s="177"/>
      <c r="O9" s="177">
        <v>44</v>
      </c>
      <c r="P9" s="180">
        <v>-126.64</v>
      </c>
    </row>
    <row r="10" spans="1:16" ht="19.5" customHeight="1">
      <c r="A10" s="172" t="s">
        <v>773</v>
      </c>
      <c r="B10" s="176">
        <v>46027</v>
      </c>
      <c r="C10" s="172" t="s">
        <v>100</v>
      </c>
      <c r="D10" s="172" t="s">
        <v>101</v>
      </c>
      <c r="E10" s="172" t="s">
        <v>41</v>
      </c>
      <c r="F10" s="172" t="s">
        <v>83</v>
      </c>
      <c r="G10" s="172" t="s">
        <v>84</v>
      </c>
      <c r="H10" s="177">
        <v>1</v>
      </c>
      <c r="I10" s="178">
        <v>1600</v>
      </c>
      <c r="J10" s="176">
        <v>46002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560</v>
      </c>
    </row>
    <row r="11" spans="1:16" ht="19.5" customHeight="1">
      <c r="A11" s="172" t="s">
        <v>773</v>
      </c>
      <c r="B11" s="176">
        <v>46027</v>
      </c>
      <c r="C11" s="172" t="s">
        <v>100</v>
      </c>
      <c r="D11" s="172" t="s">
        <v>102</v>
      </c>
      <c r="E11" s="172" t="s">
        <v>41</v>
      </c>
      <c r="F11" s="172" t="s">
        <v>83</v>
      </c>
      <c r="G11" s="172" t="s">
        <v>84</v>
      </c>
      <c r="H11" s="177">
        <v>1</v>
      </c>
      <c r="I11" s="178">
        <v>1600</v>
      </c>
      <c r="J11" s="176">
        <v>46002</v>
      </c>
      <c r="K11" s="172" t="s">
        <v>93</v>
      </c>
      <c r="L11" s="172" t="s">
        <v>94</v>
      </c>
      <c r="M11" s="179">
        <v>0</v>
      </c>
      <c r="N11" s="177"/>
      <c r="O11" s="177"/>
      <c r="P11" s="180">
        <v>5.6</v>
      </c>
    </row>
    <row r="12" spans="1:16" ht="19.5" customHeight="1">
      <c r="A12" s="172" t="s">
        <v>773</v>
      </c>
      <c r="B12" s="176">
        <v>46027</v>
      </c>
      <c r="C12" s="172" t="s">
        <v>100</v>
      </c>
      <c r="D12" s="172" t="s">
        <v>103</v>
      </c>
      <c r="E12" s="172" t="s">
        <v>41</v>
      </c>
      <c r="F12" s="172" t="s">
        <v>83</v>
      </c>
      <c r="G12" s="172" t="s">
        <v>84</v>
      </c>
      <c r="H12" s="177">
        <v>1</v>
      </c>
      <c r="I12" s="178">
        <v>1600</v>
      </c>
      <c r="J12" s="176">
        <v>46002</v>
      </c>
      <c r="K12" s="172" t="s">
        <v>93</v>
      </c>
      <c r="L12" s="172" t="s">
        <v>94</v>
      </c>
      <c r="M12" s="179">
        <v>0</v>
      </c>
      <c r="N12" s="177"/>
      <c r="O12" s="177"/>
      <c r="P12" s="180">
        <v>1034.4000000000001</v>
      </c>
    </row>
    <row r="13" spans="1:16" ht="19.5" customHeight="1">
      <c r="A13" s="172" t="s">
        <v>773</v>
      </c>
      <c r="B13" s="176">
        <v>46027</v>
      </c>
      <c r="C13" s="172" t="s">
        <v>104</v>
      </c>
      <c r="D13" s="172" t="s">
        <v>105</v>
      </c>
      <c r="E13" s="172" t="s">
        <v>41</v>
      </c>
      <c r="F13" s="172" t="s">
        <v>83</v>
      </c>
      <c r="G13" s="172" t="s">
        <v>84</v>
      </c>
      <c r="H13" s="177">
        <v>1</v>
      </c>
      <c r="I13" s="178">
        <v>1600</v>
      </c>
      <c r="J13" s="176">
        <v>46002</v>
      </c>
      <c r="K13" s="172" t="s">
        <v>93</v>
      </c>
      <c r="L13" s="172" t="s">
        <v>94</v>
      </c>
      <c r="M13" s="179">
        <v>0.43</v>
      </c>
      <c r="N13" s="177"/>
      <c r="O13" s="177"/>
      <c r="P13" s="180">
        <v>-688</v>
      </c>
    </row>
    <row r="14" spans="1:16" ht="19.5" customHeight="1">
      <c r="A14" s="172" t="s">
        <v>774</v>
      </c>
      <c r="B14" s="176">
        <v>46027</v>
      </c>
      <c r="C14" s="172" t="s">
        <v>92</v>
      </c>
      <c r="D14" s="172" t="s">
        <v>24</v>
      </c>
      <c r="E14" s="172" t="s">
        <v>53</v>
      </c>
      <c r="F14" s="172" t="s">
        <v>120</v>
      </c>
      <c r="G14" s="172" t="s">
        <v>84</v>
      </c>
      <c r="H14" s="177">
        <v>1</v>
      </c>
      <c r="I14" s="178">
        <v>1845</v>
      </c>
      <c r="J14" s="176">
        <v>46025</v>
      </c>
      <c r="K14" s="172" t="s">
        <v>93</v>
      </c>
      <c r="L14" s="172" t="s">
        <v>94</v>
      </c>
      <c r="M14" s="179">
        <v>0.43</v>
      </c>
      <c r="N14" s="177"/>
      <c r="O14" s="177">
        <v>44</v>
      </c>
      <c r="P14" s="180">
        <v>-149.4</v>
      </c>
    </row>
    <row r="15" spans="1:16" ht="19.5" customHeight="1">
      <c r="A15" s="172" t="s">
        <v>774</v>
      </c>
      <c r="B15" s="176">
        <v>46027</v>
      </c>
      <c r="C15" s="172" t="s">
        <v>100</v>
      </c>
      <c r="D15" s="172" t="s">
        <v>101</v>
      </c>
      <c r="E15" s="172" t="s">
        <v>53</v>
      </c>
      <c r="F15" s="172" t="s">
        <v>120</v>
      </c>
      <c r="G15" s="172" t="s">
        <v>84</v>
      </c>
      <c r="H15" s="177">
        <v>1</v>
      </c>
      <c r="I15" s="178">
        <v>1845</v>
      </c>
      <c r="J15" s="176">
        <v>46025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642.86</v>
      </c>
    </row>
    <row r="16" spans="1:16" ht="19.5" customHeight="1">
      <c r="A16" s="172" t="s">
        <v>774</v>
      </c>
      <c r="B16" s="176">
        <v>46027</v>
      </c>
      <c r="C16" s="172" t="s">
        <v>100</v>
      </c>
      <c r="D16" s="172" t="s">
        <v>102</v>
      </c>
      <c r="E16" s="172" t="s">
        <v>53</v>
      </c>
      <c r="F16" s="172" t="s">
        <v>120</v>
      </c>
      <c r="G16" s="172" t="s">
        <v>84</v>
      </c>
      <c r="H16" s="177">
        <v>1</v>
      </c>
      <c r="I16" s="178">
        <v>1845</v>
      </c>
      <c r="J16" s="176">
        <v>46025</v>
      </c>
      <c r="K16" s="172" t="s">
        <v>93</v>
      </c>
      <c r="L16" s="172" t="s">
        <v>94</v>
      </c>
      <c r="M16" s="179">
        <v>0</v>
      </c>
      <c r="N16" s="177"/>
      <c r="O16" s="177"/>
      <c r="P16" s="180">
        <v>6.43</v>
      </c>
    </row>
    <row r="17" spans="1:16" ht="19.5" customHeight="1">
      <c r="A17" s="172" t="s">
        <v>774</v>
      </c>
      <c r="B17" s="176">
        <v>46027</v>
      </c>
      <c r="C17" s="172" t="s">
        <v>100</v>
      </c>
      <c r="D17" s="172" t="s">
        <v>103</v>
      </c>
      <c r="E17" s="172" t="s">
        <v>53</v>
      </c>
      <c r="F17" s="172" t="s">
        <v>120</v>
      </c>
      <c r="G17" s="172" t="s">
        <v>84</v>
      </c>
      <c r="H17" s="177">
        <v>1</v>
      </c>
      <c r="I17" s="178">
        <v>1845</v>
      </c>
      <c r="J17" s="176">
        <v>46025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1195.71</v>
      </c>
    </row>
    <row r="18" spans="1:16" ht="19.5" customHeight="1">
      <c r="A18" s="172" t="s">
        <v>774</v>
      </c>
      <c r="B18" s="176">
        <v>46027</v>
      </c>
      <c r="C18" s="172" t="s">
        <v>104</v>
      </c>
      <c r="D18" s="172" t="s">
        <v>105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1845</v>
      </c>
      <c r="J18" s="176">
        <v>46025</v>
      </c>
      <c r="K18" s="172" t="s">
        <v>93</v>
      </c>
      <c r="L18" s="172" t="s">
        <v>94</v>
      </c>
      <c r="M18" s="179">
        <v>0.43</v>
      </c>
      <c r="N18" s="177"/>
      <c r="O18" s="177"/>
      <c r="P18" s="180">
        <v>-793.35</v>
      </c>
    </row>
    <row r="19" spans="1:16" ht="19.5" customHeight="1">
      <c r="A19" s="172" t="s">
        <v>774</v>
      </c>
      <c r="B19" s="176">
        <v>46027</v>
      </c>
      <c r="C19" s="172" t="s">
        <v>81</v>
      </c>
      <c r="D19" s="172" t="s">
        <v>95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1845</v>
      </c>
      <c r="J19" s="176">
        <v>46025</v>
      </c>
      <c r="K19" s="172" t="s">
        <v>93</v>
      </c>
      <c r="L19" s="172" t="s">
        <v>94</v>
      </c>
      <c r="M19" s="179">
        <v>0.43</v>
      </c>
      <c r="N19" s="177"/>
      <c r="O19" s="177"/>
      <c r="P19" s="180">
        <v>-8.51</v>
      </c>
    </row>
    <row r="20" spans="1:16" ht="19.5" customHeight="1">
      <c r="A20" s="172" t="s">
        <v>85</v>
      </c>
      <c r="B20" s="176">
        <v>46027</v>
      </c>
      <c r="C20" s="172" t="s">
        <v>109</v>
      </c>
      <c r="D20" s="172" t="s">
        <v>110</v>
      </c>
      <c r="E20" s="172" t="s">
        <v>85</v>
      </c>
      <c r="F20" s="172" t="s">
        <v>85</v>
      </c>
      <c r="G20" s="172" t="s">
        <v>775</v>
      </c>
      <c r="H20" s="177">
        <v>0</v>
      </c>
      <c r="I20" s="178">
        <v>0</v>
      </c>
      <c r="J20" s="176">
        <v>46027</v>
      </c>
      <c r="K20" s="172" t="s">
        <v>85</v>
      </c>
      <c r="L20" s="172" t="s">
        <v>85</v>
      </c>
      <c r="M20" s="179">
        <v>0</v>
      </c>
      <c r="N20" s="177"/>
      <c r="O20" s="177"/>
      <c r="P20" s="180">
        <v>-150</v>
      </c>
    </row>
    <row r="21" spans="1:16" ht="19.5" customHeight="1">
      <c r="A21" s="172" t="s">
        <v>776</v>
      </c>
      <c r="B21" s="176">
        <v>46027</v>
      </c>
      <c r="C21" s="172" t="s">
        <v>92</v>
      </c>
      <c r="D21" s="172" t="s">
        <v>24</v>
      </c>
      <c r="E21" s="172" t="s">
        <v>53</v>
      </c>
      <c r="F21" s="172" t="s">
        <v>120</v>
      </c>
      <c r="G21" s="172" t="s">
        <v>84</v>
      </c>
      <c r="H21" s="177">
        <v>1</v>
      </c>
      <c r="I21" s="178">
        <v>1621</v>
      </c>
      <c r="J21" s="176">
        <v>46005</v>
      </c>
      <c r="K21" s="172" t="s">
        <v>93</v>
      </c>
      <c r="L21" s="172" t="s">
        <v>94</v>
      </c>
      <c r="M21" s="179">
        <v>0.43</v>
      </c>
      <c r="N21" s="177"/>
      <c r="O21" s="177">
        <v>45</v>
      </c>
      <c r="P21" s="180">
        <v>-146.44999999999999</v>
      </c>
    </row>
    <row r="22" spans="1:16" ht="19.5" customHeight="1">
      <c r="A22" s="172" t="s">
        <v>776</v>
      </c>
      <c r="B22" s="176">
        <v>46027</v>
      </c>
      <c r="C22" s="172" t="s">
        <v>100</v>
      </c>
      <c r="D22" s="172" t="s">
        <v>101</v>
      </c>
      <c r="E22" s="172" t="s">
        <v>53</v>
      </c>
      <c r="F22" s="172" t="s">
        <v>120</v>
      </c>
      <c r="G22" s="172" t="s">
        <v>84</v>
      </c>
      <c r="H22" s="177">
        <v>1</v>
      </c>
      <c r="I22" s="178">
        <v>1621</v>
      </c>
      <c r="J22" s="176">
        <v>46005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563.27</v>
      </c>
    </row>
    <row r="23" spans="1:16" ht="19.5" customHeight="1">
      <c r="A23" s="172" t="s">
        <v>776</v>
      </c>
      <c r="B23" s="176">
        <v>46027</v>
      </c>
      <c r="C23" s="172" t="s">
        <v>100</v>
      </c>
      <c r="D23" s="172" t="s">
        <v>102</v>
      </c>
      <c r="E23" s="172" t="s">
        <v>53</v>
      </c>
      <c r="F23" s="172" t="s">
        <v>120</v>
      </c>
      <c r="G23" s="172" t="s">
        <v>84</v>
      </c>
      <c r="H23" s="177">
        <v>1</v>
      </c>
      <c r="I23" s="178">
        <v>1621</v>
      </c>
      <c r="J23" s="176">
        <v>46005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5.63</v>
      </c>
    </row>
    <row r="24" spans="1:16" ht="19.5" customHeight="1">
      <c r="A24" s="172" t="s">
        <v>776</v>
      </c>
      <c r="B24" s="176">
        <v>46027</v>
      </c>
      <c r="C24" s="172" t="s">
        <v>100</v>
      </c>
      <c r="D24" s="172" t="s">
        <v>103</v>
      </c>
      <c r="E24" s="172" t="s">
        <v>53</v>
      </c>
      <c r="F24" s="172" t="s">
        <v>120</v>
      </c>
      <c r="G24" s="172" t="s">
        <v>84</v>
      </c>
      <c r="H24" s="177">
        <v>1</v>
      </c>
      <c r="I24" s="178">
        <v>1621</v>
      </c>
      <c r="J24" s="176">
        <v>46005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1052.0999999999999</v>
      </c>
    </row>
    <row r="25" spans="1:16" ht="19.5" customHeight="1">
      <c r="A25" s="172" t="s">
        <v>776</v>
      </c>
      <c r="B25" s="176">
        <v>46027</v>
      </c>
      <c r="C25" s="172" t="s">
        <v>104</v>
      </c>
      <c r="D25" s="172" t="s">
        <v>105</v>
      </c>
      <c r="E25" s="172" t="s">
        <v>53</v>
      </c>
      <c r="F25" s="172" t="s">
        <v>120</v>
      </c>
      <c r="G25" s="172" t="s">
        <v>84</v>
      </c>
      <c r="H25" s="177">
        <v>1</v>
      </c>
      <c r="I25" s="178">
        <v>1621</v>
      </c>
      <c r="J25" s="176">
        <v>46005</v>
      </c>
      <c r="K25" s="172" t="s">
        <v>93</v>
      </c>
      <c r="L25" s="172" t="s">
        <v>94</v>
      </c>
      <c r="M25" s="179">
        <v>0.43</v>
      </c>
      <c r="N25" s="177"/>
      <c r="O25" s="177"/>
      <c r="P25" s="180">
        <v>-697.03</v>
      </c>
    </row>
    <row r="26" spans="1:16" ht="19.5" customHeight="1">
      <c r="A26" s="172" t="s">
        <v>776</v>
      </c>
      <c r="B26" s="176">
        <v>46027</v>
      </c>
      <c r="C26" s="172" t="s">
        <v>81</v>
      </c>
      <c r="D26" s="172" t="s">
        <v>95</v>
      </c>
      <c r="E26" s="172" t="s">
        <v>53</v>
      </c>
      <c r="F26" s="172" t="s">
        <v>120</v>
      </c>
      <c r="G26" s="172" t="s">
        <v>84</v>
      </c>
      <c r="H26" s="177">
        <v>1</v>
      </c>
      <c r="I26" s="178">
        <v>1621</v>
      </c>
      <c r="J26" s="176">
        <v>46005</v>
      </c>
      <c r="K26" s="172" t="s">
        <v>93</v>
      </c>
      <c r="L26" s="172" t="s">
        <v>94</v>
      </c>
      <c r="M26" s="179">
        <v>0.43</v>
      </c>
      <c r="N26" s="177"/>
      <c r="O26" s="177"/>
      <c r="P26" s="180">
        <v>-8.91</v>
      </c>
    </row>
    <row r="27" spans="1:16" ht="19.5" customHeight="1">
      <c r="A27" s="172" t="s">
        <v>776</v>
      </c>
      <c r="B27" s="176">
        <v>46027</v>
      </c>
      <c r="C27" s="172" t="s">
        <v>81</v>
      </c>
      <c r="D27" s="172" t="s">
        <v>82</v>
      </c>
      <c r="E27" s="172" t="s">
        <v>53</v>
      </c>
      <c r="F27" s="172" t="s">
        <v>120</v>
      </c>
      <c r="G27" s="172" t="s">
        <v>84</v>
      </c>
      <c r="H27" s="177">
        <v>1</v>
      </c>
      <c r="I27" s="178">
        <v>0</v>
      </c>
      <c r="J27" s="176">
        <v>46005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-10.7</v>
      </c>
    </row>
    <row r="28" spans="1:16" ht="19.5" customHeight="1">
      <c r="A28" s="172" t="s">
        <v>777</v>
      </c>
      <c r="B28" s="176">
        <v>46027</v>
      </c>
      <c r="C28" s="172" t="s">
        <v>92</v>
      </c>
      <c r="D28" s="172" t="s">
        <v>24</v>
      </c>
      <c r="E28" s="172" t="s">
        <v>40</v>
      </c>
      <c r="F28" s="172" t="s">
        <v>197</v>
      </c>
      <c r="G28" s="172" t="s">
        <v>84</v>
      </c>
      <c r="H28" s="177">
        <v>1</v>
      </c>
      <c r="I28" s="178">
        <v>1650</v>
      </c>
      <c r="J28" s="176">
        <v>46024</v>
      </c>
      <c r="K28" s="172" t="s">
        <v>93</v>
      </c>
      <c r="L28" s="172" t="s">
        <v>94</v>
      </c>
      <c r="M28" s="179">
        <v>0.43</v>
      </c>
      <c r="N28" s="177"/>
      <c r="O28" s="177">
        <v>42</v>
      </c>
      <c r="P28" s="180">
        <v>-120.46</v>
      </c>
    </row>
    <row r="29" spans="1:16" ht="19.5" customHeight="1">
      <c r="A29" s="172" t="s">
        <v>777</v>
      </c>
      <c r="B29" s="176">
        <v>46027</v>
      </c>
      <c r="C29" s="172" t="s">
        <v>100</v>
      </c>
      <c r="D29" s="172" t="s">
        <v>101</v>
      </c>
      <c r="E29" s="172" t="s">
        <v>40</v>
      </c>
      <c r="F29" s="172" t="s">
        <v>197</v>
      </c>
      <c r="G29" s="172" t="s">
        <v>84</v>
      </c>
      <c r="H29" s="177">
        <v>1</v>
      </c>
      <c r="I29" s="178">
        <v>1650</v>
      </c>
      <c r="J29" s="176">
        <v>46024</v>
      </c>
      <c r="K29" s="172" t="s">
        <v>93</v>
      </c>
      <c r="L29" s="172" t="s">
        <v>94</v>
      </c>
      <c r="M29" s="179">
        <v>0</v>
      </c>
      <c r="N29" s="177"/>
      <c r="O29" s="177"/>
      <c r="P29" s="180">
        <v>845.71</v>
      </c>
    </row>
    <row r="30" spans="1:16" ht="19.5" customHeight="1">
      <c r="A30" s="172" t="s">
        <v>777</v>
      </c>
      <c r="B30" s="176">
        <v>46027</v>
      </c>
      <c r="C30" s="172" t="s">
        <v>100</v>
      </c>
      <c r="D30" s="172" t="s">
        <v>102</v>
      </c>
      <c r="E30" s="172" t="s">
        <v>40</v>
      </c>
      <c r="F30" s="172" t="s">
        <v>197</v>
      </c>
      <c r="G30" s="172" t="s">
        <v>84</v>
      </c>
      <c r="H30" s="177">
        <v>1</v>
      </c>
      <c r="I30" s="178">
        <v>1650</v>
      </c>
      <c r="J30" s="176">
        <v>46024</v>
      </c>
      <c r="K30" s="172" t="s">
        <v>93</v>
      </c>
      <c r="L30" s="172" t="s">
        <v>94</v>
      </c>
      <c r="M30" s="179">
        <v>0</v>
      </c>
      <c r="N30" s="177"/>
      <c r="O30" s="177"/>
      <c r="P30" s="180">
        <v>8.4600000000000009</v>
      </c>
    </row>
    <row r="31" spans="1:16" ht="19.5" customHeight="1">
      <c r="A31" s="172" t="s">
        <v>777</v>
      </c>
      <c r="B31" s="176">
        <v>46027</v>
      </c>
      <c r="C31" s="172" t="s">
        <v>100</v>
      </c>
      <c r="D31" s="172" t="s">
        <v>103</v>
      </c>
      <c r="E31" s="172" t="s">
        <v>40</v>
      </c>
      <c r="F31" s="172" t="s">
        <v>197</v>
      </c>
      <c r="G31" s="172" t="s">
        <v>84</v>
      </c>
      <c r="H31" s="177">
        <v>1</v>
      </c>
      <c r="I31" s="178">
        <v>1650</v>
      </c>
      <c r="J31" s="176">
        <v>46024</v>
      </c>
      <c r="K31" s="172" t="s">
        <v>93</v>
      </c>
      <c r="L31" s="172" t="s">
        <v>94</v>
      </c>
      <c r="M31" s="179">
        <v>0</v>
      </c>
      <c r="N31" s="177"/>
      <c r="O31" s="177"/>
      <c r="P31" s="180">
        <v>795.83</v>
      </c>
    </row>
    <row r="32" spans="1:16" ht="19.5" customHeight="1">
      <c r="A32" s="172" t="s">
        <v>777</v>
      </c>
      <c r="B32" s="176">
        <v>46027</v>
      </c>
      <c r="C32" s="172" t="s">
        <v>104</v>
      </c>
      <c r="D32" s="172" t="s">
        <v>105</v>
      </c>
      <c r="E32" s="172" t="s">
        <v>40</v>
      </c>
      <c r="F32" s="172" t="s">
        <v>197</v>
      </c>
      <c r="G32" s="172" t="s">
        <v>84</v>
      </c>
      <c r="H32" s="177">
        <v>1</v>
      </c>
      <c r="I32" s="178">
        <v>1650</v>
      </c>
      <c r="J32" s="176">
        <v>46024</v>
      </c>
      <c r="K32" s="172" t="s">
        <v>93</v>
      </c>
      <c r="L32" s="172" t="s">
        <v>94</v>
      </c>
      <c r="M32" s="179">
        <v>0.43</v>
      </c>
      <c r="N32" s="177"/>
      <c r="O32" s="177"/>
      <c r="P32" s="180">
        <v>-709.5</v>
      </c>
    </row>
    <row r="33" spans="1:16" ht="19.5" customHeight="1">
      <c r="A33" s="172" t="s">
        <v>777</v>
      </c>
      <c r="B33" s="176">
        <v>46027</v>
      </c>
      <c r="C33" s="172" t="s">
        <v>81</v>
      </c>
      <c r="D33" s="172" t="s">
        <v>95</v>
      </c>
      <c r="E33" s="172" t="s">
        <v>40</v>
      </c>
      <c r="F33" s="172" t="s">
        <v>197</v>
      </c>
      <c r="G33" s="172" t="s">
        <v>84</v>
      </c>
      <c r="H33" s="177">
        <v>1</v>
      </c>
      <c r="I33" s="178">
        <v>1650</v>
      </c>
      <c r="J33" s="176">
        <v>46024</v>
      </c>
      <c r="K33" s="172" t="s">
        <v>93</v>
      </c>
      <c r="L33" s="172" t="s">
        <v>94</v>
      </c>
      <c r="M33" s="179">
        <v>0.43</v>
      </c>
      <c r="N33" s="177"/>
      <c r="O33" s="177"/>
      <c r="P33" s="180">
        <v>-12.48</v>
      </c>
    </row>
    <row r="34" spans="1:16" ht="19.5" customHeight="1">
      <c r="A34" s="172" t="s">
        <v>778</v>
      </c>
      <c r="B34" s="176">
        <v>46027</v>
      </c>
      <c r="C34" s="172" t="s">
        <v>92</v>
      </c>
      <c r="D34" s="172" t="s">
        <v>24</v>
      </c>
      <c r="E34" s="172" t="s">
        <v>52</v>
      </c>
      <c r="F34" s="172" t="s">
        <v>90</v>
      </c>
      <c r="G34" s="172" t="s">
        <v>84</v>
      </c>
      <c r="H34" s="177">
        <v>1</v>
      </c>
      <c r="I34" s="178">
        <v>1621</v>
      </c>
      <c r="J34" s="176">
        <v>46023</v>
      </c>
      <c r="K34" s="172" t="s">
        <v>93</v>
      </c>
      <c r="L34" s="172" t="s">
        <v>94</v>
      </c>
      <c r="M34" s="179">
        <v>0.43</v>
      </c>
      <c r="N34" s="177"/>
      <c r="O34" s="177">
        <v>43</v>
      </c>
      <c r="P34" s="180">
        <v>-138.22999999999999</v>
      </c>
    </row>
    <row r="35" spans="1:16" ht="19.5" customHeight="1">
      <c r="A35" s="172" t="s">
        <v>778</v>
      </c>
      <c r="B35" s="176">
        <v>46027</v>
      </c>
      <c r="C35" s="172" t="s">
        <v>100</v>
      </c>
      <c r="D35" s="172" t="s">
        <v>101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1621</v>
      </c>
      <c r="J35" s="176">
        <v>46023</v>
      </c>
      <c r="K35" s="172" t="s">
        <v>93</v>
      </c>
      <c r="L35" s="172" t="s">
        <v>94</v>
      </c>
      <c r="M35" s="179">
        <v>0</v>
      </c>
      <c r="N35" s="177"/>
      <c r="O35" s="177"/>
      <c r="P35" s="180">
        <v>557.14</v>
      </c>
    </row>
    <row r="36" spans="1:16" ht="19.5" customHeight="1">
      <c r="A36" s="172" t="s">
        <v>778</v>
      </c>
      <c r="B36" s="176">
        <v>46027</v>
      </c>
      <c r="C36" s="172" t="s">
        <v>100</v>
      </c>
      <c r="D36" s="172" t="s">
        <v>102</v>
      </c>
      <c r="E36" s="172" t="s">
        <v>52</v>
      </c>
      <c r="F36" s="172" t="s">
        <v>90</v>
      </c>
      <c r="G36" s="172" t="s">
        <v>84</v>
      </c>
      <c r="H36" s="177">
        <v>1</v>
      </c>
      <c r="I36" s="178">
        <v>1621</v>
      </c>
      <c r="J36" s="176">
        <v>46023</v>
      </c>
      <c r="K36" s="172" t="s">
        <v>93</v>
      </c>
      <c r="L36" s="172" t="s">
        <v>94</v>
      </c>
      <c r="M36" s="179">
        <v>0</v>
      </c>
      <c r="N36" s="177"/>
      <c r="O36" s="177"/>
      <c r="P36" s="180">
        <v>5.57</v>
      </c>
    </row>
    <row r="37" spans="1:16" ht="19.5" customHeight="1">
      <c r="A37" s="172" t="s">
        <v>778</v>
      </c>
      <c r="B37" s="176">
        <v>46027</v>
      </c>
      <c r="C37" s="172" t="s">
        <v>100</v>
      </c>
      <c r="D37" s="172" t="s">
        <v>103</v>
      </c>
      <c r="E37" s="172" t="s">
        <v>52</v>
      </c>
      <c r="F37" s="172" t="s">
        <v>90</v>
      </c>
      <c r="G37" s="172" t="s">
        <v>84</v>
      </c>
      <c r="H37" s="177">
        <v>1</v>
      </c>
      <c r="I37" s="178">
        <v>1621</v>
      </c>
      <c r="J37" s="176">
        <v>46023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1058.29</v>
      </c>
    </row>
    <row r="38" spans="1:16" ht="19.5" customHeight="1">
      <c r="A38" s="172" t="s">
        <v>778</v>
      </c>
      <c r="B38" s="176">
        <v>46027</v>
      </c>
      <c r="C38" s="172" t="s">
        <v>104</v>
      </c>
      <c r="D38" s="172" t="s">
        <v>105</v>
      </c>
      <c r="E38" s="172" t="s">
        <v>52</v>
      </c>
      <c r="F38" s="172" t="s">
        <v>90</v>
      </c>
      <c r="G38" s="172" t="s">
        <v>84</v>
      </c>
      <c r="H38" s="177">
        <v>1</v>
      </c>
      <c r="I38" s="178">
        <v>1621</v>
      </c>
      <c r="J38" s="176">
        <v>46023</v>
      </c>
      <c r="K38" s="172" t="s">
        <v>93</v>
      </c>
      <c r="L38" s="172" t="s">
        <v>94</v>
      </c>
      <c r="M38" s="179">
        <v>0.43</v>
      </c>
      <c r="N38" s="177"/>
      <c r="O38" s="177"/>
      <c r="P38" s="180">
        <v>-697.03</v>
      </c>
    </row>
    <row r="39" spans="1:16" ht="19.5" customHeight="1">
      <c r="A39" s="172" t="s">
        <v>778</v>
      </c>
      <c r="B39" s="176">
        <v>46027</v>
      </c>
      <c r="C39" s="172" t="s">
        <v>81</v>
      </c>
      <c r="D39" s="172" t="s">
        <v>95</v>
      </c>
      <c r="E39" s="172" t="s">
        <v>52</v>
      </c>
      <c r="F39" s="172" t="s">
        <v>90</v>
      </c>
      <c r="G39" s="172" t="s">
        <v>84</v>
      </c>
      <c r="H39" s="177">
        <v>1</v>
      </c>
      <c r="I39" s="178">
        <v>1621</v>
      </c>
      <c r="J39" s="176">
        <v>46023</v>
      </c>
      <c r="K39" s="172" t="s">
        <v>93</v>
      </c>
      <c r="L39" s="172" t="s">
        <v>94</v>
      </c>
      <c r="M39" s="179">
        <v>0.43</v>
      </c>
      <c r="N39" s="177"/>
      <c r="O39" s="177"/>
      <c r="P39" s="180">
        <v>-7.53</v>
      </c>
    </row>
    <row r="40" spans="1:16" ht="19.5" customHeight="1">
      <c r="A40" s="172" t="s">
        <v>777</v>
      </c>
      <c r="B40" s="176">
        <v>46027</v>
      </c>
      <c r="C40" s="172" t="s">
        <v>81</v>
      </c>
      <c r="D40" s="172" t="s">
        <v>82</v>
      </c>
      <c r="E40" s="172" t="s">
        <v>40</v>
      </c>
      <c r="F40" s="172" t="s">
        <v>197</v>
      </c>
      <c r="G40" s="172" t="s">
        <v>84</v>
      </c>
      <c r="H40" s="177">
        <v>1</v>
      </c>
      <c r="I40" s="178">
        <v>0</v>
      </c>
      <c r="J40" s="176">
        <v>46024</v>
      </c>
      <c r="K40" s="172" t="s">
        <v>85</v>
      </c>
      <c r="L40" s="172" t="s">
        <v>85</v>
      </c>
      <c r="M40" s="179">
        <v>0</v>
      </c>
      <c r="N40" s="177"/>
      <c r="O40" s="177"/>
      <c r="P40" s="180">
        <v>-16.07</v>
      </c>
    </row>
    <row r="41" spans="1:16" ht="19.5" customHeight="1">
      <c r="A41" s="172" t="s">
        <v>779</v>
      </c>
      <c r="B41" s="176">
        <v>46027</v>
      </c>
      <c r="C41" s="172" t="s">
        <v>92</v>
      </c>
      <c r="D41" s="172" t="s">
        <v>24</v>
      </c>
      <c r="E41" s="172" t="s">
        <v>41</v>
      </c>
      <c r="F41" s="172" t="s">
        <v>83</v>
      </c>
      <c r="G41" s="172" t="s">
        <v>84</v>
      </c>
      <c r="H41" s="177">
        <v>1</v>
      </c>
      <c r="I41" s="178">
        <v>1600</v>
      </c>
      <c r="J41" s="176">
        <v>46020</v>
      </c>
      <c r="K41" s="172" t="s">
        <v>93</v>
      </c>
      <c r="L41" s="172" t="s">
        <v>94</v>
      </c>
      <c r="M41" s="179">
        <v>0.43</v>
      </c>
      <c r="N41" s="177"/>
      <c r="O41" s="177">
        <v>41</v>
      </c>
      <c r="P41" s="180">
        <v>-115.23</v>
      </c>
    </row>
    <row r="42" spans="1:16" ht="19.5" customHeight="1">
      <c r="A42" s="172" t="s">
        <v>779</v>
      </c>
      <c r="B42" s="176">
        <v>46027</v>
      </c>
      <c r="C42" s="172" t="s">
        <v>100</v>
      </c>
      <c r="D42" s="172" t="s">
        <v>101</v>
      </c>
      <c r="E42" s="172" t="s">
        <v>41</v>
      </c>
      <c r="F42" s="172" t="s">
        <v>83</v>
      </c>
      <c r="G42" s="172" t="s">
        <v>84</v>
      </c>
      <c r="H42" s="177">
        <v>1</v>
      </c>
      <c r="I42" s="178">
        <v>1600</v>
      </c>
      <c r="J42" s="176">
        <v>46020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549</v>
      </c>
    </row>
    <row r="43" spans="1:16" ht="19.5" customHeight="1">
      <c r="A43" s="172" t="s">
        <v>779</v>
      </c>
      <c r="B43" s="176">
        <v>46027</v>
      </c>
      <c r="C43" s="172" t="s">
        <v>100</v>
      </c>
      <c r="D43" s="172" t="s">
        <v>102</v>
      </c>
      <c r="E43" s="172" t="s">
        <v>41</v>
      </c>
      <c r="F43" s="172" t="s">
        <v>83</v>
      </c>
      <c r="G43" s="172" t="s">
        <v>84</v>
      </c>
      <c r="H43" s="177">
        <v>1</v>
      </c>
      <c r="I43" s="178">
        <v>1600</v>
      </c>
      <c r="J43" s="176">
        <v>46020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5.49</v>
      </c>
    </row>
    <row r="44" spans="1:16" ht="19.5" customHeight="1">
      <c r="A44" s="172" t="s">
        <v>779</v>
      </c>
      <c r="B44" s="176">
        <v>46027</v>
      </c>
      <c r="C44" s="172" t="s">
        <v>100</v>
      </c>
      <c r="D44" s="172" t="s">
        <v>103</v>
      </c>
      <c r="E44" s="172" t="s">
        <v>41</v>
      </c>
      <c r="F44" s="172" t="s">
        <v>83</v>
      </c>
      <c r="G44" s="172" t="s">
        <v>84</v>
      </c>
      <c r="H44" s="177">
        <v>1</v>
      </c>
      <c r="I44" s="178">
        <v>1600</v>
      </c>
      <c r="J44" s="176">
        <v>46020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1045.51</v>
      </c>
    </row>
    <row r="45" spans="1:16" ht="19.5" customHeight="1">
      <c r="A45" s="172" t="s">
        <v>779</v>
      </c>
      <c r="B45" s="176">
        <v>46027</v>
      </c>
      <c r="C45" s="172" t="s">
        <v>104</v>
      </c>
      <c r="D45" s="172" t="s">
        <v>105</v>
      </c>
      <c r="E45" s="172" t="s">
        <v>41</v>
      </c>
      <c r="F45" s="172" t="s">
        <v>83</v>
      </c>
      <c r="G45" s="172" t="s">
        <v>84</v>
      </c>
      <c r="H45" s="177">
        <v>1</v>
      </c>
      <c r="I45" s="178">
        <v>1600</v>
      </c>
      <c r="J45" s="176">
        <v>46020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-688</v>
      </c>
    </row>
    <row r="46" spans="1:16" ht="19.5" customHeight="1">
      <c r="A46" s="172" t="s">
        <v>779</v>
      </c>
      <c r="B46" s="176">
        <v>46027</v>
      </c>
      <c r="C46" s="172" t="s">
        <v>81</v>
      </c>
      <c r="D46" s="172" t="s">
        <v>95</v>
      </c>
      <c r="E46" s="172" t="s">
        <v>41</v>
      </c>
      <c r="F46" s="172" t="s">
        <v>83</v>
      </c>
      <c r="G46" s="172" t="s">
        <v>84</v>
      </c>
      <c r="H46" s="177">
        <v>1</v>
      </c>
      <c r="I46" s="178">
        <v>1600</v>
      </c>
      <c r="J46" s="176">
        <v>46020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-10.83</v>
      </c>
    </row>
    <row r="47" spans="1:16" ht="19.5" customHeight="1">
      <c r="A47" s="172" t="s">
        <v>779</v>
      </c>
      <c r="B47" s="176">
        <v>46027</v>
      </c>
      <c r="C47" s="172" t="s">
        <v>81</v>
      </c>
      <c r="D47" s="172" t="s">
        <v>82</v>
      </c>
      <c r="E47" s="172" t="s">
        <v>41</v>
      </c>
      <c r="F47" s="172" t="s">
        <v>83</v>
      </c>
      <c r="G47" s="172" t="s">
        <v>84</v>
      </c>
      <c r="H47" s="177">
        <v>1</v>
      </c>
      <c r="I47" s="178">
        <v>0</v>
      </c>
      <c r="J47" s="176">
        <v>46020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-10.43</v>
      </c>
    </row>
    <row r="48" spans="1:16" ht="19.5" customHeight="1">
      <c r="A48" s="172" t="s">
        <v>780</v>
      </c>
      <c r="B48" s="176">
        <v>46027</v>
      </c>
      <c r="C48" s="172" t="s">
        <v>81</v>
      </c>
      <c r="D48" s="172" t="s">
        <v>82</v>
      </c>
      <c r="E48" s="172" t="s">
        <v>41</v>
      </c>
      <c r="F48" s="172" t="s">
        <v>83</v>
      </c>
      <c r="G48" s="172" t="s">
        <v>84</v>
      </c>
      <c r="H48" s="177">
        <v>1</v>
      </c>
      <c r="I48" s="178">
        <v>0</v>
      </c>
      <c r="J48" s="176">
        <v>46027</v>
      </c>
      <c r="K48" s="172" t="s">
        <v>85</v>
      </c>
      <c r="L48" s="172" t="s">
        <v>85</v>
      </c>
      <c r="M48" s="179">
        <v>0</v>
      </c>
      <c r="N48" s="177"/>
      <c r="O48" s="177"/>
      <c r="P48" s="180">
        <v>-10.39</v>
      </c>
    </row>
    <row r="49" spans="1:16" ht="19.5" customHeight="1">
      <c r="A49" s="172" t="s">
        <v>781</v>
      </c>
      <c r="B49" s="176">
        <v>46027</v>
      </c>
      <c r="C49" s="172" t="s">
        <v>81</v>
      </c>
      <c r="D49" s="172" t="s">
        <v>82</v>
      </c>
      <c r="E49" s="172" t="s">
        <v>52</v>
      </c>
      <c r="F49" s="172" t="s">
        <v>90</v>
      </c>
      <c r="G49" s="172" t="s">
        <v>84</v>
      </c>
      <c r="H49" s="177">
        <v>1</v>
      </c>
      <c r="I49" s="178">
        <v>0</v>
      </c>
      <c r="J49" s="176">
        <v>46027</v>
      </c>
      <c r="K49" s="172" t="s">
        <v>85</v>
      </c>
      <c r="L49" s="172" t="s">
        <v>85</v>
      </c>
      <c r="M49" s="179">
        <v>0</v>
      </c>
      <c r="N49" s="177"/>
      <c r="O49" s="177"/>
      <c r="P49" s="180">
        <v>-10.59</v>
      </c>
    </row>
    <row r="50" spans="1:16" ht="19.5" customHeight="1">
      <c r="A50" s="172" t="s">
        <v>782</v>
      </c>
      <c r="B50" s="176">
        <v>46027</v>
      </c>
      <c r="C50" s="172" t="s">
        <v>92</v>
      </c>
      <c r="D50" s="172" t="s">
        <v>24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0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>
        <v>43</v>
      </c>
      <c r="P50" s="180">
        <v>-56</v>
      </c>
    </row>
    <row r="51" spans="1:16" ht="19.5" customHeight="1">
      <c r="A51" s="172" t="s">
        <v>782</v>
      </c>
      <c r="B51" s="176">
        <v>46027</v>
      </c>
      <c r="C51" s="172" t="s">
        <v>81</v>
      </c>
      <c r="D51" s="172" t="s">
        <v>95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0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-10.55</v>
      </c>
    </row>
    <row r="52" spans="1:16" ht="19.5" customHeight="1">
      <c r="A52" s="172" t="s">
        <v>782</v>
      </c>
      <c r="B52" s="176">
        <v>46027</v>
      </c>
      <c r="C52" s="172" t="s">
        <v>92</v>
      </c>
      <c r="D52" s="172" t="s">
        <v>96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0</v>
      </c>
      <c r="J52" s="176">
        <v>46014</v>
      </c>
      <c r="K52" s="172" t="s">
        <v>93</v>
      </c>
      <c r="L52" s="172" t="s">
        <v>94</v>
      </c>
      <c r="M52" s="179">
        <v>0</v>
      </c>
      <c r="N52" s="177"/>
      <c r="O52" s="177"/>
      <c r="P52" s="180">
        <v>0</v>
      </c>
    </row>
    <row r="53" spans="1:16" ht="19.5" customHeight="1">
      <c r="A53" s="172" t="s">
        <v>782</v>
      </c>
      <c r="B53" s="176">
        <v>46027</v>
      </c>
      <c r="C53" s="172" t="s">
        <v>92</v>
      </c>
      <c r="D53" s="172" t="s">
        <v>97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0</v>
      </c>
      <c r="J53" s="176">
        <v>46014</v>
      </c>
      <c r="K53" s="172" t="s">
        <v>93</v>
      </c>
      <c r="L53" s="172" t="s">
        <v>94</v>
      </c>
      <c r="M53" s="179">
        <v>0</v>
      </c>
      <c r="N53" s="177"/>
      <c r="O53" s="177"/>
      <c r="P53" s="180">
        <v>-56</v>
      </c>
    </row>
    <row r="54" spans="1:16" ht="19.5" customHeight="1">
      <c r="A54" s="172" t="s">
        <v>782</v>
      </c>
      <c r="B54" s="176">
        <v>46027</v>
      </c>
      <c r="C54" s="172" t="s">
        <v>81</v>
      </c>
      <c r="D54" s="172" t="s">
        <v>98</v>
      </c>
      <c r="E54" s="172" t="s">
        <v>53</v>
      </c>
      <c r="F54" s="172" t="s">
        <v>120</v>
      </c>
      <c r="G54" s="172" t="s">
        <v>84</v>
      </c>
      <c r="H54" s="177">
        <v>1</v>
      </c>
      <c r="I54" s="178">
        <v>0</v>
      </c>
      <c r="J54" s="176">
        <v>46014</v>
      </c>
      <c r="K54" s="172" t="s">
        <v>93</v>
      </c>
      <c r="L54" s="172" t="s">
        <v>94</v>
      </c>
      <c r="M54" s="179">
        <v>0</v>
      </c>
      <c r="N54" s="177"/>
      <c r="O54" s="177"/>
      <c r="P54" s="180">
        <v>-15</v>
      </c>
    </row>
    <row r="55" spans="1:16" ht="19.5" customHeight="1">
      <c r="A55" s="172" t="s">
        <v>783</v>
      </c>
      <c r="B55" s="176">
        <v>46027</v>
      </c>
      <c r="C55" s="172" t="s">
        <v>81</v>
      </c>
      <c r="D55" s="172" t="s">
        <v>82</v>
      </c>
      <c r="E55" s="172" t="s">
        <v>52</v>
      </c>
      <c r="F55" s="172" t="s">
        <v>90</v>
      </c>
      <c r="G55" s="172" t="s">
        <v>84</v>
      </c>
      <c r="H55" s="177">
        <v>1</v>
      </c>
      <c r="I55" s="178">
        <v>0</v>
      </c>
      <c r="J55" s="176">
        <v>46027</v>
      </c>
      <c r="K55" s="172" t="s">
        <v>85</v>
      </c>
      <c r="L55" s="172" t="s">
        <v>85</v>
      </c>
      <c r="M55" s="179">
        <v>0</v>
      </c>
      <c r="N55" s="177"/>
      <c r="O55" s="177"/>
      <c r="P55" s="180">
        <v>-10.59</v>
      </c>
    </row>
    <row r="56" spans="1:16" ht="19.5" customHeight="1">
      <c r="A56" s="172" t="s">
        <v>784</v>
      </c>
      <c r="B56" s="176">
        <v>46027</v>
      </c>
      <c r="C56" s="172" t="s">
        <v>81</v>
      </c>
      <c r="D56" s="172" t="s">
        <v>82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0</v>
      </c>
      <c r="J56" s="176">
        <v>46027</v>
      </c>
      <c r="K56" s="172" t="s">
        <v>85</v>
      </c>
      <c r="L56" s="172" t="s">
        <v>85</v>
      </c>
      <c r="M56" s="179">
        <v>0</v>
      </c>
      <c r="N56" s="177"/>
      <c r="O56" s="177"/>
      <c r="P56" s="180">
        <v>-10.44</v>
      </c>
    </row>
    <row r="57" spans="1:16" ht="19.5" customHeight="1">
      <c r="A57" s="172" t="s">
        <v>785</v>
      </c>
      <c r="B57" s="176">
        <v>46027</v>
      </c>
      <c r="C57" s="172" t="s">
        <v>92</v>
      </c>
      <c r="D57" s="172" t="s">
        <v>24</v>
      </c>
      <c r="E57" s="172" t="s">
        <v>38</v>
      </c>
      <c r="F57" s="172" t="s">
        <v>87</v>
      </c>
      <c r="G57" s="172" t="s">
        <v>84</v>
      </c>
      <c r="H57" s="177">
        <v>1</v>
      </c>
      <c r="I57" s="178">
        <v>1650</v>
      </c>
      <c r="J57" s="176">
        <v>46025</v>
      </c>
      <c r="K57" s="172" t="s">
        <v>93</v>
      </c>
      <c r="L57" s="172" t="s">
        <v>94</v>
      </c>
      <c r="M57" s="179">
        <v>0.43</v>
      </c>
      <c r="N57" s="177"/>
      <c r="O57" s="177">
        <v>44</v>
      </c>
      <c r="P57" s="180">
        <v>-128.22</v>
      </c>
    </row>
    <row r="58" spans="1:16" ht="19.5" customHeight="1">
      <c r="A58" s="172" t="s">
        <v>785</v>
      </c>
      <c r="B58" s="176">
        <v>46027</v>
      </c>
      <c r="C58" s="172" t="s">
        <v>100</v>
      </c>
      <c r="D58" s="172" t="s">
        <v>101</v>
      </c>
      <c r="E58" s="172" t="s">
        <v>38</v>
      </c>
      <c r="F58" s="172" t="s">
        <v>87</v>
      </c>
      <c r="G58" s="172" t="s">
        <v>84</v>
      </c>
      <c r="H58" s="177">
        <v>1</v>
      </c>
      <c r="I58" s="178">
        <v>1650</v>
      </c>
      <c r="J58" s="176">
        <v>46025</v>
      </c>
      <c r="K58" s="172" t="s">
        <v>93</v>
      </c>
      <c r="L58" s="172" t="s">
        <v>94</v>
      </c>
      <c r="M58" s="179">
        <v>0</v>
      </c>
      <c r="N58" s="177"/>
      <c r="O58" s="177"/>
      <c r="P58" s="180">
        <v>566.66999999999996</v>
      </c>
    </row>
    <row r="59" spans="1:16" ht="19.5" customHeight="1">
      <c r="A59" s="172" t="s">
        <v>785</v>
      </c>
      <c r="B59" s="176">
        <v>46027</v>
      </c>
      <c r="C59" s="172" t="s">
        <v>100</v>
      </c>
      <c r="D59" s="172" t="s">
        <v>102</v>
      </c>
      <c r="E59" s="172" t="s">
        <v>38</v>
      </c>
      <c r="F59" s="172" t="s">
        <v>87</v>
      </c>
      <c r="G59" s="172" t="s">
        <v>84</v>
      </c>
      <c r="H59" s="177">
        <v>1</v>
      </c>
      <c r="I59" s="178">
        <v>1650</v>
      </c>
      <c r="J59" s="176">
        <v>46025</v>
      </c>
      <c r="K59" s="172" t="s">
        <v>93</v>
      </c>
      <c r="L59" s="172" t="s">
        <v>94</v>
      </c>
      <c r="M59" s="179">
        <v>0</v>
      </c>
      <c r="N59" s="177"/>
      <c r="O59" s="177"/>
      <c r="P59" s="180">
        <v>5.67</v>
      </c>
    </row>
    <row r="60" spans="1:16" ht="19.5" customHeight="1">
      <c r="A60" s="172" t="s">
        <v>785</v>
      </c>
      <c r="B60" s="176">
        <v>46027</v>
      </c>
      <c r="C60" s="172" t="s">
        <v>100</v>
      </c>
      <c r="D60" s="172" t="s">
        <v>103</v>
      </c>
      <c r="E60" s="172" t="s">
        <v>38</v>
      </c>
      <c r="F60" s="172" t="s">
        <v>87</v>
      </c>
      <c r="G60" s="172" t="s">
        <v>84</v>
      </c>
      <c r="H60" s="177">
        <v>1</v>
      </c>
      <c r="I60" s="178">
        <v>1650</v>
      </c>
      <c r="J60" s="176">
        <v>46025</v>
      </c>
      <c r="K60" s="172" t="s">
        <v>93</v>
      </c>
      <c r="L60" s="172" t="s">
        <v>94</v>
      </c>
      <c r="M60" s="179">
        <v>0</v>
      </c>
      <c r="N60" s="177"/>
      <c r="O60" s="177"/>
      <c r="P60" s="180">
        <v>1077.6600000000001</v>
      </c>
    </row>
    <row r="61" spans="1:16" ht="19.5" customHeight="1">
      <c r="A61" s="172" t="s">
        <v>785</v>
      </c>
      <c r="B61" s="176">
        <v>46027</v>
      </c>
      <c r="C61" s="172" t="s">
        <v>104</v>
      </c>
      <c r="D61" s="172" t="s">
        <v>105</v>
      </c>
      <c r="E61" s="172" t="s">
        <v>38</v>
      </c>
      <c r="F61" s="172" t="s">
        <v>87</v>
      </c>
      <c r="G61" s="172" t="s">
        <v>84</v>
      </c>
      <c r="H61" s="177">
        <v>1</v>
      </c>
      <c r="I61" s="178">
        <v>1650</v>
      </c>
      <c r="J61" s="176">
        <v>46025</v>
      </c>
      <c r="K61" s="172" t="s">
        <v>93</v>
      </c>
      <c r="L61" s="172" t="s">
        <v>94</v>
      </c>
      <c r="M61" s="179">
        <v>0.43</v>
      </c>
      <c r="N61" s="177"/>
      <c r="O61" s="177"/>
      <c r="P61" s="180">
        <v>-709.5</v>
      </c>
    </row>
    <row r="62" spans="1:16" ht="19.5" customHeight="1">
      <c r="A62" s="172" t="s">
        <v>785</v>
      </c>
      <c r="B62" s="176">
        <v>46027</v>
      </c>
      <c r="C62" s="172" t="s">
        <v>81</v>
      </c>
      <c r="D62" s="172" t="s">
        <v>95</v>
      </c>
      <c r="E62" s="172" t="s">
        <v>38</v>
      </c>
      <c r="F62" s="172" t="s">
        <v>87</v>
      </c>
      <c r="G62" s="172" t="s">
        <v>84</v>
      </c>
      <c r="H62" s="177">
        <v>1</v>
      </c>
      <c r="I62" s="178">
        <v>1650</v>
      </c>
      <c r="J62" s="176">
        <v>46025</v>
      </c>
      <c r="K62" s="172" t="s">
        <v>93</v>
      </c>
      <c r="L62" s="172" t="s">
        <v>94</v>
      </c>
      <c r="M62" s="179">
        <v>0.43</v>
      </c>
      <c r="N62" s="177"/>
      <c r="O62" s="177"/>
      <c r="P62" s="180">
        <v>-10.58</v>
      </c>
    </row>
    <row r="63" spans="1:16" ht="19.5" customHeight="1">
      <c r="A63" s="172" t="s">
        <v>786</v>
      </c>
      <c r="B63" s="176">
        <v>46027</v>
      </c>
      <c r="C63" s="172" t="s">
        <v>92</v>
      </c>
      <c r="D63" s="172" t="s">
        <v>24</v>
      </c>
      <c r="E63" s="172" t="s">
        <v>41</v>
      </c>
      <c r="F63" s="172" t="s">
        <v>83</v>
      </c>
      <c r="G63" s="172" t="s">
        <v>84</v>
      </c>
      <c r="H63" s="177">
        <v>1</v>
      </c>
      <c r="I63" s="178">
        <v>0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>
        <v>43</v>
      </c>
      <c r="P63" s="180">
        <v>-46.77</v>
      </c>
    </row>
    <row r="64" spans="1:16" ht="19.5" customHeight="1">
      <c r="A64" s="172" t="s">
        <v>786</v>
      </c>
      <c r="B64" s="176">
        <v>46027</v>
      </c>
      <c r="C64" s="172" t="s">
        <v>81</v>
      </c>
      <c r="D64" s="172" t="s">
        <v>95</v>
      </c>
      <c r="E64" s="172" t="s">
        <v>41</v>
      </c>
      <c r="F64" s="172" t="s">
        <v>83</v>
      </c>
      <c r="G64" s="172" t="s">
        <v>84</v>
      </c>
      <c r="H64" s="177">
        <v>1</v>
      </c>
      <c r="I64" s="178">
        <v>0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-10.23</v>
      </c>
    </row>
    <row r="65" spans="1:16" ht="19.5" customHeight="1">
      <c r="A65" s="172" t="s">
        <v>785</v>
      </c>
      <c r="B65" s="176">
        <v>46027</v>
      </c>
      <c r="C65" s="172" t="s">
        <v>81</v>
      </c>
      <c r="D65" s="172" t="s">
        <v>82</v>
      </c>
      <c r="E65" s="172" t="s">
        <v>38</v>
      </c>
      <c r="F65" s="172" t="s">
        <v>87</v>
      </c>
      <c r="G65" s="172" t="s">
        <v>84</v>
      </c>
      <c r="H65" s="177">
        <v>1</v>
      </c>
      <c r="I65" s="178">
        <v>0</v>
      </c>
      <c r="J65" s="176">
        <v>46025</v>
      </c>
      <c r="K65" s="172" t="s">
        <v>85</v>
      </c>
      <c r="L65" s="172" t="s">
        <v>85</v>
      </c>
      <c r="M65" s="179">
        <v>0</v>
      </c>
      <c r="N65" s="177"/>
      <c r="O65" s="177"/>
      <c r="P65" s="180">
        <v>-10.77</v>
      </c>
    </row>
    <row r="66" spans="1:16" ht="19.5" customHeight="1">
      <c r="A66" s="172" t="s">
        <v>786</v>
      </c>
      <c r="B66" s="176">
        <v>46027</v>
      </c>
      <c r="C66" s="172" t="s">
        <v>92</v>
      </c>
      <c r="D66" s="172" t="s">
        <v>96</v>
      </c>
      <c r="E66" s="172" t="s">
        <v>41</v>
      </c>
      <c r="F66" s="172" t="s">
        <v>83</v>
      </c>
      <c r="G66" s="172" t="s">
        <v>84</v>
      </c>
      <c r="H66" s="177">
        <v>1</v>
      </c>
      <c r="I66" s="178">
        <v>0</v>
      </c>
      <c r="J66" s="176">
        <v>46012</v>
      </c>
      <c r="K66" s="172" t="s">
        <v>93</v>
      </c>
      <c r="L66" s="172" t="s">
        <v>94</v>
      </c>
      <c r="M66" s="179">
        <v>0</v>
      </c>
      <c r="N66" s="177"/>
      <c r="O66" s="177"/>
      <c r="P66" s="180">
        <v>0</v>
      </c>
    </row>
    <row r="67" spans="1:16" ht="19.5" customHeight="1">
      <c r="A67" s="172" t="s">
        <v>786</v>
      </c>
      <c r="B67" s="176">
        <v>46027</v>
      </c>
      <c r="C67" s="172" t="s">
        <v>92</v>
      </c>
      <c r="D67" s="172" t="s">
        <v>97</v>
      </c>
      <c r="E67" s="172" t="s">
        <v>41</v>
      </c>
      <c r="F67" s="172" t="s">
        <v>83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93</v>
      </c>
      <c r="L67" s="172" t="s">
        <v>94</v>
      </c>
      <c r="M67" s="179">
        <v>0</v>
      </c>
      <c r="N67" s="177"/>
      <c r="O67" s="177"/>
      <c r="P67" s="180">
        <v>-46.77</v>
      </c>
    </row>
    <row r="68" spans="1:16" ht="19.5" customHeight="1">
      <c r="A68" s="172" t="s">
        <v>786</v>
      </c>
      <c r="B68" s="176">
        <v>46027</v>
      </c>
      <c r="C68" s="172" t="s">
        <v>81</v>
      </c>
      <c r="D68" s="172" t="s">
        <v>98</v>
      </c>
      <c r="E68" s="172" t="s">
        <v>41</v>
      </c>
      <c r="F68" s="172" t="s">
        <v>83</v>
      </c>
      <c r="G68" s="172" t="s">
        <v>84</v>
      </c>
      <c r="H68" s="177">
        <v>1</v>
      </c>
      <c r="I68" s="178">
        <v>0</v>
      </c>
      <c r="J68" s="176">
        <v>46012</v>
      </c>
      <c r="K68" s="172" t="s">
        <v>93</v>
      </c>
      <c r="L68" s="172" t="s">
        <v>94</v>
      </c>
      <c r="M68" s="179">
        <v>0</v>
      </c>
      <c r="N68" s="177"/>
      <c r="O68" s="177"/>
      <c r="P68" s="180">
        <v>-15</v>
      </c>
    </row>
    <row r="69" spans="1:16" ht="19.5" customHeight="1">
      <c r="A69" s="172" t="s">
        <v>787</v>
      </c>
      <c r="B69" s="176">
        <v>46027</v>
      </c>
      <c r="C69" s="172" t="s">
        <v>92</v>
      </c>
      <c r="D69" s="172" t="s">
        <v>24</v>
      </c>
      <c r="E69" s="172" t="s">
        <v>39</v>
      </c>
      <c r="F69" s="172" t="s">
        <v>117</v>
      </c>
      <c r="G69" s="172" t="s">
        <v>84</v>
      </c>
      <c r="H69" s="177">
        <v>1</v>
      </c>
      <c r="I69" s="178">
        <v>1650</v>
      </c>
      <c r="J69" s="176">
        <v>46024</v>
      </c>
      <c r="K69" s="172" t="s">
        <v>93</v>
      </c>
      <c r="L69" s="172" t="s">
        <v>94</v>
      </c>
      <c r="M69" s="179">
        <v>0.43</v>
      </c>
      <c r="N69" s="177"/>
      <c r="O69" s="177">
        <v>42</v>
      </c>
      <c r="P69" s="180">
        <v>-120.46</v>
      </c>
    </row>
    <row r="70" spans="1:16" ht="19.5" customHeight="1">
      <c r="A70" s="172" t="s">
        <v>787</v>
      </c>
      <c r="B70" s="176">
        <v>46027</v>
      </c>
      <c r="C70" s="172" t="s">
        <v>100</v>
      </c>
      <c r="D70" s="172" t="s">
        <v>101</v>
      </c>
      <c r="E70" s="172" t="s">
        <v>39</v>
      </c>
      <c r="F70" s="172" t="s">
        <v>117</v>
      </c>
      <c r="G70" s="172" t="s">
        <v>84</v>
      </c>
      <c r="H70" s="177">
        <v>1</v>
      </c>
      <c r="I70" s="178">
        <v>1650</v>
      </c>
      <c r="J70" s="176">
        <v>46024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831.43</v>
      </c>
    </row>
    <row r="71" spans="1:16" ht="19.5" customHeight="1">
      <c r="A71" s="172" t="s">
        <v>787</v>
      </c>
      <c r="B71" s="176">
        <v>46027</v>
      </c>
      <c r="C71" s="172" t="s">
        <v>100</v>
      </c>
      <c r="D71" s="172" t="s">
        <v>102</v>
      </c>
      <c r="E71" s="172" t="s">
        <v>39</v>
      </c>
      <c r="F71" s="172" t="s">
        <v>117</v>
      </c>
      <c r="G71" s="172" t="s">
        <v>84</v>
      </c>
      <c r="H71" s="177">
        <v>1</v>
      </c>
      <c r="I71" s="178">
        <v>1650</v>
      </c>
      <c r="J71" s="176">
        <v>46024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8.31</v>
      </c>
    </row>
    <row r="72" spans="1:16" ht="19.5" customHeight="1">
      <c r="A72" s="172" t="s">
        <v>787</v>
      </c>
      <c r="B72" s="176">
        <v>46027</v>
      </c>
      <c r="C72" s="172" t="s">
        <v>100</v>
      </c>
      <c r="D72" s="172" t="s">
        <v>103</v>
      </c>
      <c r="E72" s="172" t="s">
        <v>39</v>
      </c>
      <c r="F72" s="172" t="s">
        <v>117</v>
      </c>
      <c r="G72" s="172" t="s">
        <v>84</v>
      </c>
      <c r="H72" s="177">
        <v>1</v>
      </c>
      <c r="I72" s="178">
        <v>1650</v>
      </c>
      <c r="J72" s="176">
        <v>46024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810.26</v>
      </c>
    </row>
    <row r="73" spans="1:16" ht="19.5" customHeight="1">
      <c r="A73" s="172" t="s">
        <v>787</v>
      </c>
      <c r="B73" s="176">
        <v>46027</v>
      </c>
      <c r="C73" s="172" t="s">
        <v>104</v>
      </c>
      <c r="D73" s="172" t="s">
        <v>105</v>
      </c>
      <c r="E73" s="172" t="s">
        <v>39</v>
      </c>
      <c r="F73" s="172" t="s">
        <v>117</v>
      </c>
      <c r="G73" s="172" t="s">
        <v>84</v>
      </c>
      <c r="H73" s="177">
        <v>1</v>
      </c>
      <c r="I73" s="178">
        <v>1650</v>
      </c>
      <c r="J73" s="176">
        <v>46024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-709.5</v>
      </c>
    </row>
    <row r="74" spans="1:16" ht="19.5" customHeight="1">
      <c r="A74" s="172" t="s">
        <v>787</v>
      </c>
      <c r="B74" s="176">
        <v>46027</v>
      </c>
      <c r="C74" s="172" t="s">
        <v>81</v>
      </c>
      <c r="D74" s="172" t="s">
        <v>95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1650</v>
      </c>
      <c r="J74" s="176">
        <v>46024</v>
      </c>
      <c r="K74" s="172" t="s">
        <v>93</v>
      </c>
      <c r="L74" s="172" t="s">
        <v>94</v>
      </c>
      <c r="M74" s="179">
        <v>0.43</v>
      </c>
      <c r="N74" s="177"/>
      <c r="O74" s="177"/>
      <c r="P74" s="180">
        <v>-7.76</v>
      </c>
    </row>
    <row r="75" spans="1:16" ht="19.5" customHeight="1">
      <c r="A75" s="172" t="s">
        <v>788</v>
      </c>
      <c r="B75" s="176">
        <v>46027</v>
      </c>
      <c r="C75" s="172" t="s">
        <v>92</v>
      </c>
      <c r="D75" s="172" t="s">
        <v>24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1845</v>
      </c>
      <c r="J75" s="176">
        <v>46020</v>
      </c>
      <c r="K75" s="172" t="s">
        <v>93</v>
      </c>
      <c r="L75" s="172" t="s">
        <v>94</v>
      </c>
      <c r="M75" s="179">
        <v>0.43</v>
      </c>
      <c r="N75" s="177"/>
      <c r="O75" s="177">
        <v>41</v>
      </c>
      <c r="P75" s="180">
        <v>-136.06</v>
      </c>
    </row>
    <row r="76" spans="1:16" ht="19.5" customHeight="1">
      <c r="A76" s="172" t="s">
        <v>788</v>
      </c>
      <c r="B76" s="176">
        <v>46027</v>
      </c>
      <c r="C76" s="172" t="s">
        <v>100</v>
      </c>
      <c r="D76" s="172" t="s">
        <v>101</v>
      </c>
      <c r="E76" s="172" t="s">
        <v>53</v>
      </c>
      <c r="F76" s="172" t="s">
        <v>120</v>
      </c>
      <c r="G76" s="172" t="s">
        <v>84</v>
      </c>
      <c r="H76" s="177">
        <v>1</v>
      </c>
      <c r="I76" s="178">
        <v>1845</v>
      </c>
      <c r="J76" s="176">
        <v>46020</v>
      </c>
      <c r="K76" s="172" t="s">
        <v>93</v>
      </c>
      <c r="L76" s="172" t="s">
        <v>94</v>
      </c>
      <c r="M76" s="179">
        <v>0</v>
      </c>
      <c r="N76" s="177"/>
      <c r="O76" s="177"/>
      <c r="P76" s="180">
        <v>642.86</v>
      </c>
    </row>
    <row r="77" spans="1:16" ht="19.5" customHeight="1">
      <c r="A77" s="172" t="s">
        <v>788</v>
      </c>
      <c r="B77" s="176">
        <v>46027</v>
      </c>
      <c r="C77" s="172" t="s">
        <v>100</v>
      </c>
      <c r="D77" s="172" t="s">
        <v>102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1845</v>
      </c>
      <c r="J77" s="176">
        <v>46020</v>
      </c>
      <c r="K77" s="172" t="s">
        <v>93</v>
      </c>
      <c r="L77" s="172" t="s">
        <v>94</v>
      </c>
      <c r="M77" s="179">
        <v>0</v>
      </c>
      <c r="N77" s="177"/>
      <c r="O77" s="177"/>
      <c r="P77" s="180">
        <v>6.43</v>
      </c>
    </row>
    <row r="78" spans="1:16" ht="19.5" customHeight="1">
      <c r="A78" s="172" t="s">
        <v>788</v>
      </c>
      <c r="B78" s="176">
        <v>46027</v>
      </c>
      <c r="C78" s="172" t="s">
        <v>100</v>
      </c>
      <c r="D78" s="172" t="s">
        <v>103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1845</v>
      </c>
      <c r="J78" s="176">
        <v>46020</v>
      </c>
      <c r="K78" s="172" t="s">
        <v>93</v>
      </c>
      <c r="L78" s="172" t="s">
        <v>94</v>
      </c>
      <c r="M78" s="179">
        <v>0</v>
      </c>
      <c r="N78" s="177"/>
      <c r="O78" s="177"/>
      <c r="P78" s="180">
        <v>1195.71</v>
      </c>
    </row>
    <row r="79" spans="1:16" ht="19.5" customHeight="1">
      <c r="A79" s="172" t="s">
        <v>788</v>
      </c>
      <c r="B79" s="176">
        <v>46027</v>
      </c>
      <c r="C79" s="172" t="s">
        <v>104</v>
      </c>
      <c r="D79" s="172" t="s">
        <v>105</v>
      </c>
      <c r="E79" s="172" t="s">
        <v>53</v>
      </c>
      <c r="F79" s="172" t="s">
        <v>120</v>
      </c>
      <c r="G79" s="172" t="s">
        <v>84</v>
      </c>
      <c r="H79" s="177">
        <v>1</v>
      </c>
      <c r="I79" s="178">
        <v>1845</v>
      </c>
      <c r="J79" s="176">
        <v>46020</v>
      </c>
      <c r="K79" s="172" t="s">
        <v>93</v>
      </c>
      <c r="L79" s="172" t="s">
        <v>94</v>
      </c>
      <c r="M79" s="179">
        <v>0.43</v>
      </c>
      <c r="N79" s="177"/>
      <c r="O79" s="177"/>
      <c r="P79" s="180">
        <v>-793.35</v>
      </c>
    </row>
    <row r="80" spans="1:16" ht="19.5" customHeight="1">
      <c r="A80" s="172" t="s">
        <v>788</v>
      </c>
      <c r="B80" s="176">
        <v>46027</v>
      </c>
      <c r="C80" s="172" t="s">
        <v>81</v>
      </c>
      <c r="D80" s="172" t="s">
        <v>95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1845</v>
      </c>
      <c r="J80" s="176">
        <v>46020</v>
      </c>
      <c r="K80" s="172" t="s">
        <v>93</v>
      </c>
      <c r="L80" s="172" t="s">
        <v>94</v>
      </c>
      <c r="M80" s="179">
        <v>0.43</v>
      </c>
      <c r="N80" s="177"/>
      <c r="O80" s="177"/>
      <c r="P80" s="180">
        <v>-14.85</v>
      </c>
    </row>
    <row r="81" spans="1:16" ht="19.5" customHeight="1">
      <c r="A81" s="172" t="s">
        <v>788</v>
      </c>
      <c r="B81" s="176">
        <v>46027</v>
      </c>
      <c r="C81" s="172" t="s">
        <v>81</v>
      </c>
      <c r="D81" s="172" t="s">
        <v>82</v>
      </c>
      <c r="E81" s="172" t="s">
        <v>53</v>
      </c>
      <c r="F81" s="172" t="s">
        <v>120</v>
      </c>
      <c r="G81" s="172" t="s">
        <v>84</v>
      </c>
      <c r="H81" s="177">
        <v>1</v>
      </c>
      <c r="I81" s="178">
        <v>0</v>
      </c>
      <c r="J81" s="176">
        <v>46020</v>
      </c>
      <c r="K81" s="172" t="s">
        <v>85</v>
      </c>
      <c r="L81" s="172" t="s">
        <v>85</v>
      </c>
      <c r="M81" s="179">
        <v>0</v>
      </c>
      <c r="N81" s="177"/>
      <c r="O81" s="177"/>
      <c r="P81" s="180">
        <v>-12.21</v>
      </c>
    </row>
    <row r="82" spans="1:16" ht="19.5" customHeight="1">
      <c r="A82" s="172" t="s">
        <v>789</v>
      </c>
      <c r="B82" s="176">
        <v>46027</v>
      </c>
      <c r="C82" s="172" t="s">
        <v>92</v>
      </c>
      <c r="D82" s="172" t="s">
        <v>24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1621</v>
      </c>
      <c r="J82" s="176">
        <v>46025</v>
      </c>
      <c r="K82" s="172" t="s">
        <v>93</v>
      </c>
      <c r="L82" s="172" t="s">
        <v>94</v>
      </c>
      <c r="M82" s="179">
        <v>0.43</v>
      </c>
      <c r="N82" s="177"/>
      <c r="O82" s="177">
        <v>44</v>
      </c>
      <c r="P82" s="180">
        <v>-142.34</v>
      </c>
    </row>
    <row r="83" spans="1:16" ht="19.5" customHeight="1">
      <c r="A83" s="172" t="s">
        <v>789</v>
      </c>
      <c r="B83" s="176">
        <v>46027</v>
      </c>
      <c r="C83" s="172" t="s">
        <v>100</v>
      </c>
      <c r="D83" s="172" t="s">
        <v>101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1621</v>
      </c>
      <c r="J83" s="176">
        <v>46025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616.55999999999995</v>
      </c>
    </row>
    <row r="84" spans="1:16" ht="19.5" customHeight="1">
      <c r="A84" s="172" t="s">
        <v>789</v>
      </c>
      <c r="B84" s="176">
        <v>46027</v>
      </c>
      <c r="C84" s="172" t="s">
        <v>100</v>
      </c>
      <c r="D84" s="172" t="s">
        <v>102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1621</v>
      </c>
      <c r="J84" s="176">
        <v>46025</v>
      </c>
      <c r="K84" s="172" t="s">
        <v>93</v>
      </c>
      <c r="L84" s="172" t="s">
        <v>94</v>
      </c>
      <c r="M84" s="179">
        <v>0</v>
      </c>
      <c r="N84" s="177"/>
      <c r="O84" s="177"/>
      <c r="P84" s="180">
        <v>0</v>
      </c>
    </row>
    <row r="85" spans="1:16" ht="19.5" customHeight="1">
      <c r="A85" s="172" t="s">
        <v>789</v>
      </c>
      <c r="B85" s="176">
        <v>46027</v>
      </c>
      <c r="C85" s="172" t="s">
        <v>100</v>
      </c>
      <c r="D85" s="172" t="s">
        <v>103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1621</v>
      </c>
      <c r="J85" s="176">
        <v>46025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1004.44</v>
      </c>
    </row>
    <row r="86" spans="1:16" ht="19.5" customHeight="1">
      <c r="A86" s="172" t="s">
        <v>789</v>
      </c>
      <c r="B86" s="176">
        <v>46027</v>
      </c>
      <c r="C86" s="172" t="s">
        <v>104</v>
      </c>
      <c r="D86" s="172" t="s">
        <v>105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1621</v>
      </c>
      <c r="J86" s="176">
        <v>46025</v>
      </c>
      <c r="K86" s="172" t="s">
        <v>93</v>
      </c>
      <c r="L86" s="172" t="s">
        <v>94</v>
      </c>
      <c r="M86" s="179">
        <v>0.43</v>
      </c>
      <c r="N86" s="177"/>
      <c r="O86" s="177"/>
      <c r="P86" s="180">
        <v>-697.03</v>
      </c>
    </row>
    <row r="87" spans="1:16" ht="19.5" customHeight="1">
      <c r="A87" s="172" t="s">
        <v>789</v>
      </c>
      <c r="B87" s="176">
        <v>46027</v>
      </c>
      <c r="C87" s="172" t="s">
        <v>81</v>
      </c>
      <c r="D87" s="172" t="s">
        <v>95</v>
      </c>
      <c r="E87" s="172" t="s">
        <v>52</v>
      </c>
      <c r="F87" s="172" t="s">
        <v>90</v>
      </c>
      <c r="G87" s="172" t="s">
        <v>84</v>
      </c>
      <c r="H87" s="177">
        <v>1</v>
      </c>
      <c r="I87" s="178">
        <v>1621</v>
      </c>
      <c r="J87" s="176">
        <v>46025</v>
      </c>
      <c r="K87" s="172" t="s">
        <v>93</v>
      </c>
      <c r="L87" s="172" t="s">
        <v>94</v>
      </c>
      <c r="M87" s="179">
        <v>0.43</v>
      </c>
      <c r="N87" s="177"/>
      <c r="O87" s="177"/>
      <c r="P87" s="180">
        <v>-17.260000000000002</v>
      </c>
    </row>
    <row r="88" spans="1:16" ht="19.5" customHeight="1">
      <c r="A88" s="172" t="s">
        <v>790</v>
      </c>
      <c r="B88" s="176">
        <v>46027</v>
      </c>
      <c r="C88" s="172" t="s">
        <v>92</v>
      </c>
      <c r="D88" s="172" t="s">
        <v>24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1845</v>
      </c>
      <c r="J88" s="176">
        <v>46024</v>
      </c>
      <c r="K88" s="172" t="s">
        <v>93</v>
      </c>
      <c r="L88" s="172" t="s">
        <v>94</v>
      </c>
      <c r="M88" s="179">
        <v>0.43</v>
      </c>
      <c r="N88" s="177"/>
      <c r="O88" s="177">
        <v>42</v>
      </c>
      <c r="P88" s="180">
        <v>-140.5</v>
      </c>
    </row>
    <row r="89" spans="1:16" ht="19.5" customHeight="1">
      <c r="A89" s="172" t="s">
        <v>790</v>
      </c>
      <c r="B89" s="176">
        <v>46027</v>
      </c>
      <c r="C89" s="172" t="s">
        <v>100</v>
      </c>
      <c r="D89" s="172" t="s">
        <v>101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1845</v>
      </c>
      <c r="J89" s="176">
        <v>46024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642.86</v>
      </c>
    </row>
    <row r="90" spans="1:16" ht="19.5" customHeight="1">
      <c r="A90" s="172" t="s">
        <v>790</v>
      </c>
      <c r="B90" s="176">
        <v>46027</v>
      </c>
      <c r="C90" s="172" t="s">
        <v>100</v>
      </c>
      <c r="D90" s="172" t="s">
        <v>102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1845</v>
      </c>
      <c r="J90" s="176">
        <v>46024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6.43</v>
      </c>
    </row>
    <row r="91" spans="1:16" ht="19.5" customHeight="1">
      <c r="A91" s="172" t="s">
        <v>790</v>
      </c>
      <c r="B91" s="176">
        <v>46027</v>
      </c>
      <c r="C91" s="172" t="s">
        <v>100</v>
      </c>
      <c r="D91" s="172" t="s">
        <v>103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1845</v>
      </c>
      <c r="J91" s="176">
        <v>46024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1195.71</v>
      </c>
    </row>
    <row r="92" spans="1:16" ht="19.5" customHeight="1">
      <c r="A92" s="172" t="s">
        <v>790</v>
      </c>
      <c r="B92" s="176">
        <v>46027</v>
      </c>
      <c r="C92" s="172" t="s">
        <v>104</v>
      </c>
      <c r="D92" s="172" t="s">
        <v>105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1845</v>
      </c>
      <c r="J92" s="176">
        <v>46024</v>
      </c>
      <c r="K92" s="172" t="s">
        <v>93</v>
      </c>
      <c r="L92" s="172" t="s">
        <v>94</v>
      </c>
      <c r="M92" s="179">
        <v>0.43</v>
      </c>
      <c r="N92" s="177"/>
      <c r="O92" s="177"/>
      <c r="P92" s="180">
        <v>-793.35</v>
      </c>
    </row>
    <row r="93" spans="1:16" ht="19.5" customHeight="1">
      <c r="A93" s="172" t="s">
        <v>753</v>
      </c>
      <c r="B93" s="176">
        <v>46027</v>
      </c>
      <c r="C93" s="172" t="s">
        <v>166</v>
      </c>
      <c r="D93" s="172" t="s">
        <v>167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-1845</v>
      </c>
      <c r="J93" s="176">
        <v>46023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-642.86</v>
      </c>
    </row>
    <row r="94" spans="1:16" ht="19.5" customHeight="1">
      <c r="A94" s="172" t="s">
        <v>753</v>
      </c>
      <c r="B94" s="176">
        <v>46027</v>
      </c>
      <c r="C94" s="172" t="s">
        <v>166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-1845</v>
      </c>
      <c r="J94" s="176">
        <v>46023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-6.43</v>
      </c>
    </row>
    <row r="95" spans="1:16" ht="19.5" customHeight="1">
      <c r="A95" s="172" t="s">
        <v>753</v>
      </c>
      <c r="B95" s="176">
        <v>46027</v>
      </c>
      <c r="C95" s="172" t="s">
        <v>166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-1845</v>
      </c>
      <c r="J95" s="176">
        <v>46023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-1195.71</v>
      </c>
    </row>
    <row r="96" spans="1:16" ht="19.5" customHeight="1">
      <c r="A96" s="172" t="s">
        <v>753</v>
      </c>
      <c r="B96" s="176">
        <v>46027</v>
      </c>
      <c r="C96" s="172" t="s">
        <v>104</v>
      </c>
      <c r="D96" s="172" t="s">
        <v>168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-1845</v>
      </c>
      <c r="J96" s="176">
        <v>46023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793.35</v>
      </c>
    </row>
    <row r="97" spans="1:16" ht="19.5" customHeight="1">
      <c r="A97" s="172" t="s">
        <v>753</v>
      </c>
      <c r="B97" s="176">
        <v>46027</v>
      </c>
      <c r="C97" s="172" t="s">
        <v>81</v>
      </c>
      <c r="D97" s="172" t="s">
        <v>82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0</v>
      </c>
      <c r="J97" s="176">
        <v>46023</v>
      </c>
      <c r="K97" s="172" t="s">
        <v>85</v>
      </c>
      <c r="L97" s="172" t="s">
        <v>85</v>
      </c>
      <c r="M97" s="179">
        <v>0</v>
      </c>
      <c r="N97" s="177"/>
      <c r="O97" s="177"/>
      <c r="P97" s="180">
        <v>12.21</v>
      </c>
    </row>
    <row r="98" spans="1:16" ht="19.5" customHeight="1">
      <c r="A98" s="172" t="s">
        <v>791</v>
      </c>
      <c r="B98" s="176">
        <v>46027</v>
      </c>
      <c r="C98" s="172" t="s">
        <v>92</v>
      </c>
      <c r="D98" s="172" t="s">
        <v>24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46020</v>
      </c>
      <c r="K98" s="172" t="s">
        <v>93</v>
      </c>
      <c r="L98" s="172" t="s">
        <v>94</v>
      </c>
      <c r="M98" s="179">
        <v>0</v>
      </c>
      <c r="N98" s="177"/>
      <c r="O98" s="177">
        <v>41</v>
      </c>
      <c r="P98" s="180">
        <v>-56</v>
      </c>
    </row>
    <row r="99" spans="1:16" ht="19.5" customHeight="1">
      <c r="A99" s="172" t="s">
        <v>791</v>
      </c>
      <c r="B99" s="176">
        <v>46027</v>
      </c>
      <c r="C99" s="172" t="s">
        <v>81</v>
      </c>
      <c r="D99" s="172" t="s">
        <v>95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0</v>
      </c>
      <c r="J99" s="176">
        <v>46020</v>
      </c>
      <c r="K99" s="172" t="s">
        <v>93</v>
      </c>
      <c r="L99" s="172" t="s">
        <v>94</v>
      </c>
      <c r="M99" s="179">
        <v>0</v>
      </c>
      <c r="N99" s="177"/>
      <c r="O99" s="177"/>
      <c r="P99" s="180">
        <v>-12.37</v>
      </c>
    </row>
    <row r="100" spans="1:16" ht="19.5" customHeight="1">
      <c r="A100" s="172" t="s">
        <v>791</v>
      </c>
      <c r="B100" s="176">
        <v>46027</v>
      </c>
      <c r="C100" s="172" t="s">
        <v>92</v>
      </c>
      <c r="D100" s="172" t="s">
        <v>96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0</v>
      </c>
      <c r="J100" s="176">
        <v>46020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0</v>
      </c>
    </row>
    <row r="101" spans="1:16" ht="19.5" customHeight="1">
      <c r="A101" s="172" t="s">
        <v>791</v>
      </c>
      <c r="B101" s="176">
        <v>46027</v>
      </c>
      <c r="C101" s="172" t="s">
        <v>92</v>
      </c>
      <c r="D101" s="172" t="s">
        <v>97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0</v>
      </c>
      <c r="J101" s="176">
        <v>46020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-56</v>
      </c>
    </row>
    <row r="102" spans="1:16" ht="19.5" customHeight="1">
      <c r="A102" s="172" t="s">
        <v>791</v>
      </c>
      <c r="B102" s="176">
        <v>46027</v>
      </c>
      <c r="C102" s="172" t="s">
        <v>81</v>
      </c>
      <c r="D102" s="172" t="s">
        <v>98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0</v>
      </c>
      <c r="J102" s="176">
        <v>46020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-15</v>
      </c>
    </row>
    <row r="103" spans="1:16" ht="19.5" customHeight="1">
      <c r="A103" s="172" t="s">
        <v>792</v>
      </c>
      <c r="B103" s="176">
        <v>46027</v>
      </c>
      <c r="C103" s="172" t="s">
        <v>81</v>
      </c>
      <c r="D103" s="172" t="s">
        <v>82</v>
      </c>
      <c r="E103" s="172" t="s">
        <v>52</v>
      </c>
      <c r="F103" s="172" t="s">
        <v>90</v>
      </c>
      <c r="G103" s="172" t="s">
        <v>84</v>
      </c>
      <c r="H103" s="177">
        <v>1</v>
      </c>
      <c r="I103" s="178">
        <v>0</v>
      </c>
      <c r="J103" s="176">
        <v>46027</v>
      </c>
      <c r="K103" s="172" t="s">
        <v>85</v>
      </c>
      <c r="L103" s="172" t="s">
        <v>85</v>
      </c>
      <c r="M103" s="179">
        <v>0</v>
      </c>
      <c r="N103" s="177"/>
      <c r="O103" s="177"/>
      <c r="P103" s="180">
        <v>-10.59</v>
      </c>
    </row>
    <row r="104" spans="1:16" ht="19.5" customHeight="1">
      <c r="A104" s="172" t="s">
        <v>793</v>
      </c>
      <c r="B104" s="176">
        <v>46027</v>
      </c>
      <c r="C104" s="172" t="s">
        <v>92</v>
      </c>
      <c r="D104" s="172" t="s">
        <v>24</v>
      </c>
      <c r="E104" s="172" t="s">
        <v>52</v>
      </c>
      <c r="F104" s="172" t="s">
        <v>90</v>
      </c>
      <c r="G104" s="172" t="s">
        <v>84</v>
      </c>
      <c r="H104" s="177">
        <v>1</v>
      </c>
      <c r="I104" s="178">
        <v>1621</v>
      </c>
      <c r="J104" s="176">
        <v>46025</v>
      </c>
      <c r="K104" s="172" t="s">
        <v>93</v>
      </c>
      <c r="L104" s="172" t="s">
        <v>94</v>
      </c>
      <c r="M104" s="179">
        <v>0.43</v>
      </c>
      <c r="N104" s="177"/>
      <c r="O104" s="177">
        <v>44</v>
      </c>
      <c r="P104" s="180">
        <v>-142.34</v>
      </c>
    </row>
    <row r="105" spans="1:16" ht="19.5" customHeight="1">
      <c r="A105" s="172" t="s">
        <v>793</v>
      </c>
      <c r="B105" s="176">
        <v>46027</v>
      </c>
      <c r="C105" s="172" t="s">
        <v>100</v>
      </c>
      <c r="D105" s="172" t="s">
        <v>101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46025</v>
      </c>
      <c r="K105" s="172" t="s">
        <v>93</v>
      </c>
      <c r="L105" s="172" t="s">
        <v>94</v>
      </c>
      <c r="M105" s="179">
        <v>0</v>
      </c>
      <c r="N105" s="177"/>
      <c r="O105" s="177"/>
      <c r="P105" s="180">
        <v>557.14</v>
      </c>
    </row>
    <row r="106" spans="1:16" ht="19.5" customHeight="1">
      <c r="A106" s="172" t="s">
        <v>793</v>
      </c>
      <c r="B106" s="176">
        <v>46027</v>
      </c>
      <c r="C106" s="172" t="s">
        <v>100</v>
      </c>
      <c r="D106" s="172" t="s">
        <v>102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46025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5.57</v>
      </c>
    </row>
    <row r="107" spans="1:16" ht="19.5" customHeight="1">
      <c r="A107" s="172" t="s">
        <v>793</v>
      </c>
      <c r="B107" s="176">
        <v>46027</v>
      </c>
      <c r="C107" s="172" t="s">
        <v>100</v>
      </c>
      <c r="D107" s="172" t="s">
        <v>103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46025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1058.29</v>
      </c>
    </row>
    <row r="108" spans="1:16" ht="19.5" customHeight="1">
      <c r="A108" s="172" t="s">
        <v>793</v>
      </c>
      <c r="B108" s="176">
        <v>46027</v>
      </c>
      <c r="C108" s="172" t="s">
        <v>104</v>
      </c>
      <c r="D108" s="172" t="s">
        <v>105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46025</v>
      </c>
      <c r="K108" s="172" t="s">
        <v>93</v>
      </c>
      <c r="L108" s="172" t="s">
        <v>94</v>
      </c>
      <c r="M108" s="179">
        <v>0.43</v>
      </c>
      <c r="N108" s="177"/>
      <c r="O108" s="177"/>
      <c r="P108" s="180">
        <v>-697.03</v>
      </c>
    </row>
    <row r="109" spans="1:16" ht="19.5" customHeight="1">
      <c r="A109" s="172" t="s">
        <v>793</v>
      </c>
      <c r="B109" s="176">
        <v>46027</v>
      </c>
      <c r="C109" s="172" t="s">
        <v>81</v>
      </c>
      <c r="D109" s="172" t="s">
        <v>95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46025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-8.7799999999999994</v>
      </c>
    </row>
    <row r="110" spans="1:16" ht="19.5" customHeight="1">
      <c r="A110" s="172" t="s">
        <v>793</v>
      </c>
      <c r="B110" s="176">
        <v>46027</v>
      </c>
      <c r="C110" s="172" t="s">
        <v>81</v>
      </c>
      <c r="D110" s="172" t="s">
        <v>82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0</v>
      </c>
      <c r="J110" s="176">
        <v>46025</v>
      </c>
      <c r="K110" s="172" t="s">
        <v>85</v>
      </c>
      <c r="L110" s="172" t="s">
        <v>85</v>
      </c>
      <c r="M110" s="179">
        <v>0</v>
      </c>
      <c r="N110" s="177"/>
      <c r="O110" s="177"/>
      <c r="P110" s="180">
        <v>-10.59</v>
      </c>
    </row>
    <row r="111" spans="1:16" ht="19.5" customHeight="1">
      <c r="A111" s="172" t="s">
        <v>794</v>
      </c>
      <c r="B111" s="176">
        <v>46027</v>
      </c>
      <c r="C111" s="172" t="s">
        <v>92</v>
      </c>
      <c r="D111" s="172" t="s">
        <v>24</v>
      </c>
      <c r="E111" s="172" t="s">
        <v>53</v>
      </c>
      <c r="F111" s="172" t="s">
        <v>120</v>
      </c>
      <c r="G111" s="172" t="s">
        <v>84</v>
      </c>
      <c r="H111" s="177">
        <v>1</v>
      </c>
      <c r="I111" s="178">
        <v>1845</v>
      </c>
      <c r="J111" s="176">
        <v>46024</v>
      </c>
      <c r="K111" s="172" t="s">
        <v>93</v>
      </c>
      <c r="L111" s="172" t="s">
        <v>94</v>
      </c>
      <c r="M111" s="179">
        <v>0.43</v>
      </c>
      <c r="N111" s="177"/>
      <c r="O111" s="177">
        <v>42</v>
      </c>
      <c r="P111" s="180">
        <v>-140.5</v>
      </c>
    </row>
    <row r="112" spans="1:16" ht="19.5" customHeight="1">
      <c r="A112" s="172" t="s">
        <v>794</v>
      </c>
      <c r="B112" s="176">
        <v>46027</v>
      </c>
      <c r="C112" s="172" t="s">
        <v>100</v>
      </c>
      <c r="D112" s="172" t="s">
        <v>101</v>
      </c>
      <c r="E112" s="172" t="s">
        <v>53</v>
      </c>
      <c r="F112" s="172" t="s">
        <v>120</v>
      </c>
      <c r="G112" s="172" t="s">
        <v>84</v>
      </c>
      <c r="H112" s="177">
        <v>1</v>
      </c>
      <c r="I112" s="178">
        <v>1845</v>
      </c>
      <c r="J112" s="176">
        <v>46024</v>
      </c>
      <c r="K112" s="172" t="s">
        <v>93</v>
      </c>
      <c r="L112" s="172" t="s">
        <v>94</v>
      </c>
      <c r="M112" s="179">
        <v>0</v>
      </c>
      <c r="N112" s="177"/>
      <c r="O112" s="177"/>
      <c r="P112" s="180">
        <v>642.86</v>
      </c>
    </row>
    <row r="113" spans="1:16" ht="19.5" customHeight="1">
      <c r="A113" s="172" t="s">
        <v>794</v>
      </c>
      <c r="B113" s="176">
        <v>46027</v>
      </c>
      <c r="C113" s="172" t="s">
        <v>100</v>
      </c>
      <c r="D113" s="172" t="s">
        <v>102</v>
      </c>
      <c r="E113" s="172" t="s">
        <v>53</v>
      </c>
      <c r="F113" s="172" t="s">
        <v>120</v>
      </c>
      <c r="G113" s="172" t="s">
        <v>84</v>
      </c>
      <c r="H113" s="177">
        <v>1</v>
      </c>
      <c r="I113" s="178">
        <v>1845</v>
      </c>
      <c r="J113" s="176">
        <v>46024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6.43</v>
      </c>
    </row>
    <row r="114" spans="1:16" ht="19.5" customHeight="1">
      <c r="A114" s="172" t="s">
        <v>794</v>
      </c>
      <c r="B114" s="176">
        <v>46027</v>
      </c>
      <c r="C114" s="172" t="s">
        <v>100</v>
      </c>
      <c r="D114" s="172" t="s">
        <v>103</v>
      </c>
      <c r="E114" s="172" t="s">
        <v>53</v>
      </c>
      <c r="F114" s="172" t="s">
        <v>120</v>
      </c>
      <c r="G114" s="172" t="s">
        <v>84</v>
      </c>
      <c r="H114" s="177">
        <v>1</v>
      </c>
      <c r="I114" s="178">
        <v>1845</v>
      </c>
      <c r="J114" s="176">
        <v>46024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1195.71</v>
      </c>
    </row>
    <row r="115" spans="1:16" ht="19.5" customHeight="1">
      <c r="A115" s="172" t="s">
        <v>794</v>
      </c>
      <c r="B115" s="176">
        <v>46027</v>
      </c>
      <c r="C115" s="172" t="s">
        <v>104</v>
      </c>
      <c r="D115" s="172" t="s">
        <v>105</v>
      </c>
      <c r="E115" s="172" t="s">
        <v>53</v>
      </c>
      <c r="F115" s="172" t="s">
        <v>120</v>
      </c>
      <c r="G115" s="172" t="s">
        <v>84</v>
      </c>
      <c r="H115" s="177">
        <v>1</v>
      </c>
      <c r="I115" s="178">
        <v>1845</v>
      </c>
      <c r="J115" s="176">
        <v>46024</v>
      </c>
      <c r="K115" s="172" t="s">
        <v>93</v>
      </c>
      <c r="L115" s="172" t="s">
        <v>94</v>
      </c>
      <c r="M115" s="179">
        <v>0.43</v>
      </c>
      <c r="N115" s="177"/>
      <c r="O115" s="177"/>
      <c r="P115" s="180">
        <v>-793.35</v>
      </c>
    </row>
    <row r="116" spans="1:16" ht="19.5" customHeight="1">
      <c r="A116" s="172" t="s">
        <v>794</v>
      </c>
      <c r="B116" s="176">
        <v>46027</v>
      </c>
      <c r="C116" s="172" t="s">
        <v>81</v>
      </c>
      <c r="D116" s="172" t="s">
        <v>95</v>
      </c>
      <c r="E116" s="172" t="s">
        <v>53</v>
      </c>
      <c r="F116" s="172" t="s">
        <v>120</v>
      </c>
      <c r="G116" s="172" t="s">
        <v>84</v>
      </c>
      <c r="H116" s="177">
        <v>1</v>
      </c>
      <c r="I116" s="178">
        <v>1845</v>
      </c>
      <c r="J116" s="176">
        <v>46024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-13.62</v>
      </c>
    </row>
    <row r="117" spans="1:16" ht="19.5" customHeight="1">
      <c r="A117" s="172" t="s">
        <v>795</v>
      </c>
      <c r="B117" s="176">
        <v>46027</v>
      </c>
      <c r="C117" s="172" t="s">
        <v>81</v>
      </c>
      <c r="D117" s="172" t="s">
        <v>82</v>
      </c>
      <c r="E117" s="172" t="s">
        <v>52</v>
      </c>
      <c r="F117" s="172" t="s">
        <v>90</v>
      </c>
      <c r="G117" s="172" t="s">
        <v>84</v>
      </c>
      <c r="H117" s="177">
        <v>1</v>
      </c>
      <c r="I117" s="178">
        <v>0</v>
      </c>
      <c r="J117" s="176">
        <v>46027</v>
      </c>
      <c r="K117" s="172" t="s">
        <v>85</v>
      </c>
      <c r="L117" s="172" t="s">
        <v>85</v>
      </c>
      <c r="M117" s="179">
        <v>0</v>
      </c>
      <c r="N117" s="177"/>
      <c r="O117" s="177"/>
      <c r="P117" s="180">
        <v>-4.12</v>
      </c>
    </row>
    <row r="118" spans="1:16" ht="19.5" customHeight="1">
      <c r="A118" s="172" t="s">
        <v>796</v>
      </c>
      <c r="B118" s="176">
        <v>46027</v>
      </c>
      <c r="C118" s="172" t="s">
        <v>81</v>
      </c>
      <c r="D118" s="172" t="s">
        <v>82</v>
      </c>
      <c r="E118" s="172" t="s">
        <v>52</v>
      </c>
      <c r="F118" s="172" t="s">
        <v>90</v>
      </c>
      <c r="G118" s="172" t="s">
        <v>84</v>
      </c>
      <c r="H118" s="177">
        <v>1</v>
      </c>
      <c r="I118" s="178">
        <v>0</v>
      </c>
      <c r="J118" s="176">
        <v>46027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-4.33</v>
      </c>
    </row>
    <row r="119" spans="1:16" ht="19.5" customHeight="1">
      <c r="A119" s="172" t="s">
        <v>797</v>
      </c>
      <c r="B119" s="176">
        <v>46027</v>
      </c>
      <c r="C119" s="172" t="s">
        <v>92</v>
      </c>
      <c r="D119" s="172" t="s">
        <v>24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1621</v>
      </c>
      <c r="J119" s="176">
        <v>46026</v>
      </c>
      <c r="K119" s="172" t="s">
        <v>93</v>
      </c>
      <c r="L119" s="172" t="s">
        <v>94</v>
      </c>
      <c r="M119" s="179">
        <v>0.43</v>
      </c>
      <c r="N119" s="177"/>
      <c r="O119" s="177">
        <v>46</v>
      </c>
      <c r="P119" s="180">
        <v>-150.56</v>
      </c>
    </row>
    <row r="120" spans="1:16" ht="19.5" customHeight="1">
      <c r="A120" s="172" t="s">
        <v>797</v>
      </c>
      <c r="B120" s="176">
        <v>46027</v>
      </c>
      <c r="C120" s="172" t="s">
        <v>100</v>
      </c>
      <c r="D120" s="172" t="s">
        <v>101</v>
      </c>
      <c r="E120" s="172" t="s">
        <v>52</v>
      </c>
      <c r="F120" s="172" t="s">
        <v>90</v>
      </c>
      <c r="G120" s="172" t="s">
        <v>84</v>
      </c>
      <c r="H120" s="177">
        <v>1</v>
      </c>
      <c r="I120" s="178">
        <v>1621</v>
      </c>
      <c r="J120" s="176">
        <v>46026</v>
      </c>
      <c r="K120" s="172" t="s">
        <v>93</v>
      </c>
      <c r="L120" s="172" t="s">
        <v>94</v>
      </c>
      <c r="M120" s="179">
        <v>0</v>
      </c>
      <c r="N120" s="177"/>
      <c r="O120" s="177"/>
      <c r="P120" s="180">
        <v>557.14</v>
      </c>
    </row>
    <row r="121" spans="1:16" ht="19.5" customHeight="1">
      <c r="A121" s="172" t="s">
        <v>797</v>
      </c>
      <c r="B121" s="176">
        <v>46027</v>
      </c>
      <c r="C121" s="172" t="s">
        <v>100</v>
      </c>
      <c r="D121" s="172" t="s">
        <v>102</v>
      </c>
      <c r="E121" s="172" t="s">
        <v>52</v>
      </c>
      <c r="F121" s="172" t="s">
        <v>90</v>
      </c>
      <c r="G121" s="172" t="s">
        <v>84</v>
      </c>
      <c r="H121" s="177">
        <v>1</v>
      </c>
      <c r="I121" s="178">
        <v>1621</v>
      </c>
      <c r="J121" s="176">
        <v>46026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5.57</v>
      </c>
    </row>
    <row r="122" spans="1:16" ht="19.5" customHeight="1">
      <c r="A122" s="172" t="s">
        <v>797</v>
      </c>
      <c r="B122" s="176">
        <v>46027</v>
      </c>
      <c r="C122" s="172" t="s">
        <v>100</v>
      </c>
      <c r="D122" s="172" t="s">
        <v>103</v>
      </c>
      <c r="E122" s="172" t="s">
        <v>52</v>
      </c>
      <c r="F122" s="172" t="s">
        <v>90</v>
      </c>
      <c r="G122" s="172" t="s">
        <v>84</v>
      </c>
      <c r="H122" s="177">
        <v>1</v>
      </c>
      <c r="I122" s="178">
        <v>1621</v>
      </c>
      <c r="J122" s="176">
        <v>46026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1058.29</v>
      </c>
    </row>
    <row r="123" spans="1:16" ht="19.5" customHeight="1">
      <c r="A123" s="172" t="s">
        <v>797</v>
      </c>
      <c r="B123" s="176">
        <v>46027</v>
      </c>
      <c r="C123" s="172" t="s">
        <v>104</v>
      </c>
      <c r="D123" s="172" t="s">
        <v>105</v>
      </c>
      <c r="E123" s="172" t="s">
        <v>52</v>
      </c>
      <c r="F123" s="172" t="s">
        <v>90</v>
      </c>
      <c r="G123" s="172" t="s">
        <v>84</v>
      </c>
      <c r="H123" s="177">
        <v>1</v>
      </c>
      <c r="I123" s="178">
        <v>1621</v>
      </c>
      <c r="J123" s="176">
        <v>46026</v>
      </c>
      <c r="K123" s="172" t="s">
        <v>93</v>
      </c>
      <c r="L123" s="172" t="s">
        <v>94</v>
      </c>
      <c r="M123" s="179">
        <v>0.43</v>
      </c>
      <c r="N123" s="177"/>
      <c r="O123" s="177"/>
      <c r="P123" s="180">
        <v>-697.03</v>
      </c>
    </row>
    <row r="124" spans="1:16" ht="19.5" customHeight="1">
      <c r="A124" s="172" t="s">
        <v>797</v>
      </c>
      <c r="B124" s="176">
        <v>46027</v>
      </c>
      <c r="C124" s="172" t="s">
        <v>81</v>
      </c>
      <c r="D124" s="172" t="s">
        <v>95</v>
      </c>
      <c r="E124" s="172" t="s">
        <v>52</v>
      </c>
      <c r="F124" s="172" t="s">
        <v>90</v>
      </c>
      <c r="G124" s="172" t="s">
        <v>84</v>
      </c>
      <c r="H124" s="177">
        <v>1</v>
      </c>
      <c r="I124" s="178">
        <v>1621</v>
      </c>
      <c r="J124" s="176">
        <v>46026</v>
      </c>
      <c r="K124" s="172" t="s">
        <v>93</v>
      </c>
      <c r="L124" s="172" t="s">
        <v>94</v>
      </c>
      <c r="M124" s="179">
        <v>0.43</v>
      </c>
      <c r="N124" s="177"/>
      <c r="O124" s="177"/>
      <c r="P124" s="180">
        <v>-13.26</v>
      </c>
    </row>
    <row r="125" spans="1:16" ht="19.5" customHeight="1">
      <c r="A125" s="172" t="s">
        <v>798</v>
      </c>
      <c r="B125" s="176">
        <v>46027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1845</v>
      </c>
      <c r="J125" s="176">
        <v>46019</v>
      </c>
      <c r="K125" s="172" t="s">
        <v>93</v>
      </c>
      <c r="L125" s="172" t="s">
        <v>94</v>
      </c>
      <c r="M125" s="179">
        <v>0.43</v>
      </c>
      <c r="N125" s="177"/>
      <c r="O125" s="177">
        <v>41</v>
      </c>
      <c r="P125" s="180">
        <v>-136.06</v>
      </c>
    </row>
    <row r="126" spans="1:16" ht="19.5" customHeight="1">
      <c r="A126" s="172" t="s">
        <v>798</v>
      </c>
      <c r="B126" s="176">
        <v>46027</v>
      </c>
      <c r="C126" s="172" t="s">
        <v>100</v>
      </c>
      <c r="D126" s="172" t="s">
        <v>101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1845</v>
      </c>
      <c r="J126" s="176">
        <v>46019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642.86</v>
      </c>
    </row>
    <row r="127" spans="1:16" ht="19.5" customHeight="1">
      <c r="A127" s="172" t="s">
        <v>798</v>
      </c>
      <c r="B127" s="176">
        <v>46027</v>
      </c>
      <c r="C127" s="172" t="s">
        <v>100</v>
      </c>
      <c r="D127" s="172" t="s">
        <v>102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1845</v>
      </c>
      <c r="J127" s="176">
        <v>46019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6.43</v>
      </c>
    </row>
    <row r="128" spans="1:16" ht="19.5" customHeight="1">
      <c r="A128" s="172" t="s">
        <v>798</v>
      </c>
      <c r="B128" s="176">
        <v>46027</v>
      </c>
      <c r="C128" s="172" t="s">
        <v>100</v>
      </c>
      <c r="D128" s="172" t="s">
        <v>103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1845</v>
      </c>
      <c r="J128" s="176">
        <v>46019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1195.71</v>
      </c>
    </row>
    <row r="129" spans="1:16" ht="19.5" customHeight="1">
      <c r="A129" s="172" t="s">
        <v>798</v>
      </c>
      <c r="B129" s="176">
        <v>46027</v>
      </c>
      <c r="C129" s="172" t="s">
        <v>104</v>
      </c>
      <c r="D129" s="172" t="s">
        <v>105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1845</v>
      </c>
      <c r="J129" s="176">
        <v>46019</v>
      </c>
      <c r="K129" s="172" t="s">
        <v>93</v>
      </c>
      <c r="L129" s="172" t="s">
        <v>94</v>
      </c>
      <c r="M129" s="179">
        <v>0.43</v>
      </c>
      <c r="N129" s="177"/>
      <c r="O129" s="177"/>
      <c r="P129" s="180">
        <v>-793.35</v>
      </c>
    </row>
    <row r="130" spans="1:16" ht="19.5" customHeight="1">
      <c r="A130" s="172" t="s">
        <v>798</v>
      </c>
      <c r="B130" s="176">
        <v>46027</v>
      </c>
      <c r="C130" s="172" t="s">
        <v>81</v>
      </c>
      <c r="D130" s="172" t="s">
        <v>95</v>
      </c>
      <c r="E130" s="172" t="s">
        <v>53</v>
      </c>
      <c r="F130" s="172" t="s">
        <v>120</v>
      </c>
      <c r="G130" s="172" t="s">
        <v>84</v>
      </c>
      <c r="H130" s="177">
        <v>1</v>
      </c>
      <c r="I130" s="178">
        <v>1845</v>
      </c>
      <c r="J130" s="176">
        <v>46019</v>
      </c>
      <c r="K130" s="172" t="s">
        <v>93</v>
      </c>
      <c r="L130" s="172" t="s">
        <v>94</v>
      </c>
      <c r="M130" s="179">
        <v>0.43</v>
      </c>
      <c r="N130" s="177"/>
      <c r="O130" s="177"/>
      <c r="P130" s="180">
        <v>-8.9600000000000009</v>
      </c>
    </row>
    <row r="131" spans="1:16" ht="19.5" customHeight="1">
      <c r="A131" s="172" t="s">
        <v>764</v>
      </c>
      <c r="B131" s="176">
        <v>46027</v>
      </c>
      <c r="C131" s="172" t="s">
        <v>166</v>
      </c>
      <c r="D131" s="172" t="s">
        <v>167</v>
      </c>
      <c r="E131" s="172" t="s">
        <v>41</v>
      </c>
      <c r="F131" s="172" t="s">
        <v>83</v>
      </c>
      <c r="G131" s="172" t="s">
        <v>84</v>
      </c>
      <c r="H131" s="177">
        <v>1</v>
      </c>
      <c r="I131" s="178">
        <v>-1600</v>
      </c>
      <c r="J131" s="176">
        <v>46020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-546.91999999999996</v>
      </c>
    </row>
    <row r="132" spans="1:16" ht="19.5" customHeight="1">
      <c r="A132" s="172" t="s">
        <v>764</v>
      </c>
      <c r="B132" s="176">
        <v>46027</v>
      </c>
      <c r="C132" s="172" t="s">
        <v>166</v>
      </c>
      <c r="D132" s="172" t="s">
        <v>102</v>
      </c>
      <c r="E132" s="172" t="s">
        <v>41</v>
      </c>
      <c r="F132" s="172" t="s">
        <v>83</v>
      </c>
      <c r="G132" s="172" t="s">
        <v>84</v>
      </c>
      <c r="H132" s="177">
        <v>1</v>
      </c>
      <c r="I132" s="178">
        <v>-1600</v>
      </c>
      <c r="J132" s="176">
        <v>46020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-5.47</v>
      </c>
    </row>
    <row r="133" spans="1:16" ht="19.5" customHeight="1">
      <c r="A133" s="172" t="s">
        <v>764</v>
      </c>
      <c r="B133" s="176">
        <v>46027</v>
      </c>
      <c r="C133" s="172" t="s">
        <v>166</v>
      </c>
      <c r="D133" s="172" t="s">
        <v>103</v>
      </c>
      <c r="E133" s="172" t="s">
        <v>41</v>
      </c>
      <c r="F133" s="172" t="s">
        <v>83</v>
      </c>
      <c r="G133" s="172" t="s">
        <v>84</v>
      </c>
      <c r="H133" s="177">
        <v>1</v>
      </c>
      <c r="I133" s="178">
        <v>-1600</v>
      </c>
      <c r="J133" s="176">
        <v>46020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-1047.6099999999999</v>
      </c>
    </row>
    <row r="134" spans="1:16" ht="19.5" customHeight="1">
      <c r="A134" s="172" t="s">
        <v>764</v>
      </c>
      <c r="B134" s="176">
        <v>46027</v>
      </c>
      <c r="C134" s="172" t="s">
        <v>104</v>
      </c>
      <c r="D134" s="172" t="s">
        <v>168</v>
      </c>
      <c r="E134" s="172" t="s">
        <v>41</v>
      </c>
      <c r="F134" s="172" t="s">
        <v>83</v>
      </c>
      <c r="G134" s="172" t="s">
        <v>84</v>
      </c>
      <c r="H134" s="177">
        <v>1</v>
      </c>
      <c r="I134" s="178">
        <v>-1600</v>
      </c>
      <c r="J134" s="176">
        <v>46020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688</v>
      </c>
    </row>
    <row r="135" spans="1:16" ht="19.5" customHeight="1">
      <c r="A135" s="172" t="s">
        <v>799</v>
      </c>
      <c r="B135" s="176">
        <v>46027</v>
      </c>
      <c r="C135" s="172" t="s">
        <v>81</v>
      </c>
      <c r="D135" s="172" t="s">
        <v>82</v>
      </c>
      <c r="E135" s="172" t="s">
        <v>41</v>
      </c>
      <c r="F135" s="172" t="s">
        <v>83</v>
      </c>
      <c r="G135" s="172" t="s">
        <v>84</v>
      </c>
      <c r="H135" s="177">
        <v>1</v>
      </c>
      <c r="I135" s="178">
        <v>0</v>
      </c>
      <c r="J135" s="176">
        <v>46027</v>
      </c>
      <c r="K135" s="172" t="s">
        <v>85</v>
      </c>
      <c r="L135" s="172" t="s">
        <v>85</v>
      </c>
      <c r="M135" s="179">
        <v>0</v>
      </c>
      <c r="N135" s="177"/>
      <c r="O135" s="177"/>
      <c r="P135" s="180">
        <v>-10.44</v>
      </c>
    </row>
    <row r="136" spans="1:16" ht="19.5" customHeight="1">
      <c r="A136" s="172" t="s">
        <v>797</v>
      </c>
      <c r="B136" s="176">
        <v>46027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46026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-10.59</v>
      </c>
    </row>
    <row r="137" spans="1:16" ht="19.5" customHeight="1">
      <c r="A137" s="172" t="s">
        <v>764</v>
      </c>
      <c r="B137" s="176">
        <v>46027</v>
      </c>
      <c r="C137" s="172" t="s">
        <v>81</v>
      </c>
      <c r="D137" s="172" t="s">
        <v>82</v>
      </c>
      <c r="E137" s="172" t="s">
        <v>41</v>
      </c>
      <c r="F137" s="172" t="s">
        <v>83</v>
      </c>
      <c r="G137" s="172" t="s">
        <v>84</v>
      </c>
      <c r="H137" s="177">
        <v>1</v>
      </c>
      <c r="I137" s="178">
        <v>0</v>
      </c>
      <c r="J137" s="176">
        <v>46020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10.39</v>
      </c>
    </row>
    <row r="138" spans="1:16" ht="19.5" customHeight="1">
      <c r="A138" s="172" t="s">
        <v>800</v>
      </c>
      <c r="B138" s="176">
        <v>46027</v>
      </c>
      <c r="C138" s="172" t="s">
        <v>92</v>
      </c>
      <c r="D138" s="172" t="s">
        <v>24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1621</v>
      </c>
      <c r="J138" s="176">
        <v>46024</v>
      </c>
      <c r="K138" s="172" t="s">
        <v>93</v>
      </c>
      <c r="L138" s="172" t="s">
        <v>94</v>
      </c>
      <c r="M138" s="179">
        <v>0.43</v>
      </c>
      <c r="N138" s="177"/>
      <c r="O138" s="177">
        <v>42</v>
      </c>
      <c r="P138" s="180">
        <v>-134.12</v>
      </c>
    </row>
    <row r="139" spans="1:16" ht="19.5" customHeight="1">
      <c r="A139" s="172" t="s">
        <v>800</v>
      </c>
      <c r="B139" s="176">
        <v>46027</v>
      </c>
      <c r="C139" s="172" t="s">
        <v>100</v>
      </c>
      <c r="D139" s="172" t="s">
        <v>101</v>
      </c>
      <c r="E139" s="172" t="s">
        <v>52</v>
      </c>
      <c r="F139" s="172" t="s">
        <v>90</v>
      </c>
      <c r="G139" s="172" t="s">
        <v>84</v>
      </c>
      <c r="H139" s="177">
        <v>1</v>
      </c>
      <c r="I139" s="178">
        <v>1621</v>
      </c>
      <c r="J139" s="176">
        <v>46024</v>
      </c>
      <c r="K139" s="172" t="s">
        <v>93</v>
      </c>
      <c r="L139" s="172" t="s">
        <v>94</v>
      </c>
      <c r="M139" s="179">
        <v>0</v>
      </c>
      <c r="N139" s="177"/>
      <c r="O139" s="177"/>
      <c r="P139" s="180">
        <v>557.14</v>
      </c>
    </row>
    <row r="140" spans="1:16" ht="19.5" customHeight="1">
      <c r="A140" s="172" t="s">
        <v>800</v>
      </c>
      <c r="B140" s="176">
        <v>46027</v>
      </c>
      <c r="C140" s="172" t="s">
        <v>100</v>
      </c>
      <c r="D140" s="172" t="s">
        <v>102</v>
      </c>
      <c r="E140" s="172" t="s">
        <v>52</v>
      </c>
      <c r="F140" s="172" t="s">
        <v>90</v>
      </c>
      <c r="G140" s="172" t="s">
        <v>84</v>
      </c>
      <c r="H140" s="177">
        <v>1</v>
      </c>
      <c r="I140" s="178">
        <v>1621</v>
      </c>
      <c r="J140" s="176">
        <v>46024</v>
      </c>
      <c r="K140" s="172" t="s">
        <v>93</v>
      </c>
      <c r="L140" s="172" t="s">
        <v>94</v>
      </c>
      <c r="M140" s="179">
        <v>0</v>
      </c>
      <c r="N140" s="177"/>
      <c r="O140" s="177"/>
      <c r="P140" s="180">
        <v>5.57</v>
      </c>
    </row>
    <row r="141" spans="1:16" ht="19.5" customHeight="1">
      <c r="A141" s="172" t="s">
        <v>800</v>
      </c>
      <c r="B141" s="176">
        <v>46027</v>
      </c>
      <c r="C141" s="172" t="s">
        <v>100</v>
      </c>
      <c r="D141" s="172" t="s">
        <v>103</v>
      </c>
      <c r="E141" s="172" t="s">
        <v>52</v>
      </c>
      <c r="F141" s="172" t="s">
        <v>90</v>
      </c>
      <c r="G141" s="172" t="s">
        <v>84</v>
      </c>
      <c r="H141" s="177">
        <v>1</v>
      </c>
      <c r="I141" s="178">
        <v>1621</v>
      </c>
      <c r="J141" s="176">
        <v>46024</v>
      </c>
      <c r="K141" s="172" t="s">
        <v>93</v>
      </c>
      <c r="L141" s="172" t="s">
        <v>94</v>
      </c>
      <c r="M141" s="179">
        <v>0</v>
      </c>
      <c r="N141" s="177"/>
      <c r="O141" s="177"/>
      <c r="P141" s="180">
        <v>1058.29</v>
      </c>
    </row>
    <row r="142" spans="1:16" ht="19.5" customHeight="1">
      <c r="A142" s="172" t="s">
        <v>800</v>
      </c>
      <c r="B142" s="176">
        <v>46027</v>
      </c>
      <c r="C142" s="172" t="s">
        <v>104</v>
      </c>
      <c r="D142" s="172" t="s">
        <v>105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1621</v>
      </c>
      <c r="J142" s="176">
        <v>46024</v>
      </c>
      <c r="K142" s="172" t="s">
        <v>93</v>
      </c>
      <c r="L142" s="172" t="s">
        <v>94</v>
      </c>
      <c r="M142" s="179">
        <v>0.43</v>
      </c>
      <c r="N142" s="177"/>
      <c r="O142" s="177"/>
      <c r="P142" s="180">
        <v>-697.03</v>
      </c>
    </row>
    <row r="143" spans="1:16" ht="19.5" customHeight="1">
      <c r="A143" s="172" t="s">
        <v>800</v>
      </c>
      <c r="B143" s="176">
        <v>46027</v>
      </c>
      <c r="C143" s="172" t="s">
        <v>81</v>
      </c>
      <c r="D143" s="172" t="s">
        <v>95</v>
      </c>
      <c r="E143" s="172" t="s">
        <v>52</v>
      </c>
      <c r="F143" s="172" t="s">
        <v>90</v>
      </c>
      <c r="G143" s="172" t="s">
        <v>84</v>
      </c>
      <c r="H143" s="177">
        <v>1</v>
      </c>
      <c r="I143" s="178">
        <v>1621</v>
      </c>
      <c r="J143" s="176">
        <v>46024</v>
      </c>
      <c r="K143" s="172" t="s">
        <v>93</v>
      </c>
      <c r="L143" s="172" t="s">
        <v>94</v>
      </c>
      <c r="M143" s="179">
        <v>0.43</v>
      </c>
      <c r="N143" s="177"/>
      <c r="O143" s="177"/>
      <c r="P143" s="180">
        <v>-9.44</v>
      </c>
    </row>
    <row r="144" spans="1:16" ht="19.5" customHeight="1">
      <c r="A144" s="172" t="s">
        <v>801</v>
      </c>
      <c r="B144" s="176">
        <v>46027</v>
      </c>
      <c r="C144" s="172" t="s">
        <v>81</v>
      </c>
      <c r="D144" s="172" t="s">
        <v>82</v>
      </c>
      <c r="E144" s="172" t="s">
        <v>41</v>
      </c>
      <c r="F144" s="172" t="s">
        <v>83</v>
      </c>
      <c r="G144" s="172" t="s">
        <v>84</v>
      </c>
      <c r="H144" s="177">
        <v>1</v>
      </c>
      <c r="I144" s="178">
        <v>0</v>
      </c>
      <c r="J144" s="176">
        <v>46027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-10.44</v>
      </c>
    </row>
    <row r="145" spans="1:16" ht="19.5" customHeight="1">
      <c r="A145" s="172" t="s">
        <v>802</v>
      </c>
      <c r="B145" s="176">
        <v>46027</v>
      </c>
      <c r="C145" s="172" t="s">
        <v>81</v>
      </c>
      <c r="D145" s="172" t="s">
        <v>82</v>
      </c>
      <c r="E145" s="172" t="s">
        <v>41</v>
      </c>
      <c r="F145" s="172" t="s">
        <v>83</v>
      </c>
      <c r="G145" s="172" t="s">
        <v>84</v>
      </c>
      <c r="H145" s="177">
        <v>2</v>
      </c>
      <c r="I145" s="178">
        <v>0</v>
      </c>
      <c r="J145" s="176">
        <v>46027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-20.78</v>
      </c>
    </row>
    <row r="146" spans="1:16" ht="19.5" customHeight="1">
      <c r="A146" s="172" t="s">
        <v>803</v>
      </c>
      <c r="B146" s="176">
        <v>46027</v>
      </c>
      <c r="C146" s="172" t="s">
        <v>81</v>
      </c>
      <c r="D146" s="172" t="s">
        <v>82</v>
      </c>
      <c r="E146" s="172" t="s">
        <v>53</v>
      </c>
      <c r="F146" s="172" t="s">
        <v>120</v>
      </c>
      <c r="G146" s="172" t="s">
        <v>84</v>
      </c>
      <c r="H146" s="177">
        <v>1</v>
      </c>
      <c r="I146" s="178">
        <v>0</v>
      </c>
      <c r="J146" s="176">
        <v>46027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-12.16</v>
      </c>
    </row>
    <row r="147" spans="1:16" ht="19.5" customHeight="1">
      <c r="A147" s="172" t="s">
        <v>804</v>
      </c>
      <c r="B147" s="176">
        <v>46027</v>
      </c>
      <c r="C147" s="172" t="s">
        <v>92</v>
      </c>
      <c r="D147" s="172" t="s">
        <v>96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46014</v>
      </c>
      <c r="K147" s="172" t="s">
        <v>93</v>
      </c>
      <c r="L147" s="172" t="s">
        <v>94</v>
      </c>
      <c r="M147" s="179">
        <v>0</v>
      </c>
      <c r="N147" s="177"/>
      <c r="O147" s="177"/>
      <c r="P147" s="180">
        <v>0</v>
      </c>
    </row>
    <row r="148" spans="1:16" ht="19.5" customHeight="1">
      <c r="A148" s="172" t="s">
        <v>804</v>
      </c>
      <c r="B148" s="176">
        <v>46027</v>
      </c>
      <c r="C148" s="172" t="s">
        <v>92</v>
      </c>
      <c r="D148" s="172" t="s">
        <v>97</v>
      </c>
      <c r="E148" s="172" t="s">
        <v>53</v>
      </c>
      <c r="F148" s="172" t="s">
        <v>120</v>
      </c>
      <c r="G148" s="172" t="s">
        <v>84</v>
      </c>
      <c r="H148" s="177">
        <v>1</v>
      </c>
      <c r="I148" s="178">
        <v>0</v>
      </c>
      <c r="J148" s="176">
        <v>46014</v>
      </c>
      <c r="K148" s="172" t="s">
        <v>93</v>
      </c>
      <c r="L148" s="172" t="s">
        <v>94</v>
      </c>
      <c r="M148" s="179">
        <v>0</v>
      </c>
      <c r="N148" s="177"/>
      <c r="O148" s="177"/>
      <c r="P148" s="180">
        <v>-56</v>
      </c>
    </row>
    <row r="149" spans="1:16" ht="19.5" customHeight="1">
      <c r="A149" s="172" t="s">
        <v>804</v>
      </c>
      <c r="B149" s="176">
        <v>46027</v>
      </c>
      <c r="C149" s="172" t="s">
        <v>81</v>
      </c>
      <c r="D149" s="172" t="s">
        <v>98</v>
      </c>
      <c r="E149" s="172" t="s">
        <v>53</v>
      </c>
      <c r="F149" s="172" t="s">
        <v>120</v>
      </c>
      <c r="G149" s="172" t="s">
        <v>84</v>
      </c>
      <c r="H149" s="177">
        <v>1</v>
      </c>
      <c r="I149" s="178">
        <v>0</v>
      </c>
      <c r="J149" s="176">
        <v>46014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-15</v>
      </c>
    </row>
    <row r="150" spans="1:16" ht="19.5" customHeight="1">
      <c r="A150" s="172" t="s">
        <v>804</v>
      </c>
      <c r="B150" s="176">
        <v>46027</v>
      </c>
      <c r="C150" s="172" t="s">
        <v>92</v>
      </c>
      <c r="D150" s="172" t="s">
        <v>24</v>
      </c>
      <c r="E150" s="172" t="s">
        <v>53</v>
      </c>
      <c r="F150" s="172" t="s">
        <v>120</v>
      </c>
      <c r="G150" s="172" t="s">
        <v>84</v>
      </c>
      <c r="H150" s="177">
        <v>1</v>
      </c>
      <c r="I150" s="178">
        <v>0</v>
      </c>
      <c r="J150" s="176">
        <v>46014</v>
      </c>
      <c r="K150" s="172" t="s">
        <v>93</v>
      </c>
      <c r="L150" s="172" t="s">
        <v>94</v>
      </c>
      <c r="M150" s="179">
        <v>0</v>
      </c>
      <c r="N150" s="177"/>
      <c r="O150" s="177">
        <v>43</v>
      </c>
      <c r="P150" s="180">
        <v>-56</v>
      </c>
    </row>
    <row r="151" spans="1:16" ht="19.5" customHeight="1">
      <c r="A151" s="172" t="s">
        <v>804</v>
      </c>
      <c r="B151" s="176">
        <v>46027</v>
      </c>
      <c r="C151" s="172" t="s">
        <v>81</v>
      </c>
      <c r="D151" s="172" t="s">
        <v>95</v>
      </c>
      <c r="E151" s="172" t="s">
        <v>53</v>
      </c>
      <c r="F151" s="172" t="s">
        <v>120</v>
      </c>
      <c r="G151" s="172" t="s">
        <v>84</v>
      </c>
      <c r="H151" s="177">
        <v>1</v>
      </c>
      <c r="I151" s="178">
        <v>0</v>
      </c>
      <c r="J151" s="176">
        <v>46014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-7.98</v>
      </c>
    </row>
    <row r="152" spans="1:16" ht="19.5" customHeight="1">
      <c r="A152" s="172" t="s">
        <v>762</v>
      </c>
      <c r="B152" s="176">
        <v>46027</v>
      </c>
      <c r="C152" s="172" t="s">
        <v>81</v>
      </c>
      <c r="D152" s="172" t="s">
        <v>82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0</v>
      </c>
      <c r="J152" s="176">
        <v>46026</v>
      </c>
      <c r="K152" s="172" t="s">
        <v>85</v>
      </c>
      <c r="L152" s="172" t="s">
        <v>85</v>
      </c>
      <c r="M152" s="179">
        <v>0</v>
      </c>
      <c r="N152" s="177"/>
      <c r="O152" s="177"/>
      <c r="P152" s="180">
        <v>10.39</v>
      </c>
    </row>
    <row r="153" spans="1:16" ht="19.5" customHeight="1">
      <c r="A153" s="172" t="s">
        <v>805</v>
      </c>
      <c r="B153" s="176">
        <v>46027</v>
      </c>
      <c r="C153" s="172" t="s">
        <v>81</v>
      </c>
      <c r="D153" s="172" t="s">
        <v>82</v>
      </c>
      <c r="E153" s="172" t="s">
        <v>52</v>
      </c>
      <c r="F153" s="172" t="s">
        <v>90</v>
      </c>
      <c r="G153" s="172" t="s">
        <v>84</v>
      </c>
      <c r="H153" s="177">
        <v>1</v>
      </c>
      <c r="I153" s="178">
        <v>0</v>
      </c>
      <c r="J153" s="176">
        <v>46027</v>
      </c>
      <c r="K153" s="172" t="s">
        <v>85</v>
      </c>
      <c r="L153" s="172" t="s">
        <v>85</v>
      </c>
      <c r="M153" s="179">
        <v>0</v>
      </c>
      <c r="N153" s="177"/>
      <c r="O153" s="177"/>
      <c r="P153" s="180">
        <v>-10.59</v>
      </c>
    </row>
    <row r="154" spans="1:16" ht="19.5" customHeight="1">
      <c r="A154" s="172" t="s">
        <v>806</v>
      </c>
      <c r="B154" s="176">
        <v>46027</v>
      </c>
      <c r="C154" s="172" t="s">
        <v>92</v>
      </c>
      <c r="D154" s="172" t="s">
        <v>24</v>
      </c>
      <c r="E154" s="172" t="s">
        <v>38</v>
      </c>
      <c r="F154" s="172" t="s">
        <v>87</v>
      </c>
      <c r="G154" s="172" t="s">
        <v>84</v>
      </c>
      <c r="H154" s="177">
        <v>1</v>
      </c>
      <c r="I154" s="178">
        <v>0</v>
      </c>
      <c r="J154" s="176">
        <v>46014</v>
      </c>
      <c r="K154" s="172" t="s">
        <v>93</v>
      </c>
      <c r="L154" s="172" t="s">
        <v>94</v>
      </c>
      <c r="M154" s="179">
        <v>0</v>
      </c>
      <c r="N154" s="177"/>
      <c r="O154" s="177">
        <v>43</v>
      </c>
      <c r="P154" s="180">
        <v>-46.77</v>
      </c>
    </row>
    <row r="155" spans="1:16" ht="19.5" customHeight="1">
      <c r="A155" s="172" t="s">
        <v>806</v>
      </c>
      <c r="B155" s="176">
        <v>46027</v>
      </c>
      <c r="C155" s="172" t="s">
        <v>81</v>
      </c>
      <c r="D155" s="172" t="s">
        <v>95</v>
      </c>
      <c r="E155" s="172" t="s">
        <v>38</v>
      </c>
      <c r="F155" s="172" t="s">
        <v>87</v>
      </c>
      <c r="G155" s="172" t="s">
        <v>84</v>
      </c>
      <c r="H155" s="177">
        <v>1</v>
      </c>
      <c r="I155" s="178">
        <v>0</v>
      </c>
      <c r="J155" s="176">
        <v>46014</v>
      </c>
      <c r="K155" s="172" t="s">
        <v>93</v>
      </c>
      <c r="L155" s="172" t="s">
        <v>94</v>
      </c>
      <c r="M155" s="179">
        <v>0</v>
      </c>
      <c r="N155" s="177"/>
      <c r="O155" s="177"/>
      <c r="P155" s="180">
        <v>-4.5599999999999996</v>
      </c>
    </row>
    <row r="156" spans="1:16" ht="19.5" customHeight="1">
      <c r="A156" s="172" t="s">
        <v>807</v>
      </c>
      <c r="B156" s="176">
        <v>46027</v>
      </c>
      <c r="C156" s="172" t="s">
        <v>81</v>
      </c>
      <c r="D156" s="172" t="s">
        <v>82</v>
      </c>
      <c r="E156" s="172" t="s">
        <v>52</v>
      </c>
      <c r="F156" s="172" t="s">
        <v>90</v>
      </c>
      <c r="G156" s="172" t="s">
        <v>84</v>
      </c>
      <c r="H156" s="177">
        <v>1</v>
      </c>
      <c r="I156" s="178">
        <v>0</v>
      </c>
      <c r="J156" s="176">
        <v>46027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-4.1399999999999997</v>
      </c>
    </row>
    <row r="157" spans="1:16" ht="19.5" customHeight="1">
      <c r="A157" s="172" t="s">
        <v>806</v>
      </c>
      <c r="B157" s="176">
        <v>46027</v>
      </c>
      <c r="C157" s="172" t="s">
        <v>92</v>
      </c>
      <c r="D157" s="172" t="s">
        <v>96</v>
      </c>
      <c r="E157" s="172" t="s">
        <v>38</v>
      </c>
      <c r="F157" s="172" t="s">
        <v>87</v>
      </c>
      <c r="G157" s="172" t="s">
        <v>84</v>
      </c>
      <c r="H157" s="177">
        <v>1</v>
      </c>
      <c r="I157" s="178">
        <v>0</v>
      </c>
      <c r="J157" s="176">
        <v>46014</v>
      </c>
      <c r="K157" s="172" t="s">
        <v>93</v>
      </c>
      <c r="L157" s="172" t="s">
        <v>94</v>
      </c>
      <c r="M157" s="179">
        <v>0</v>
      </c>
      <c r="N157" s="177"/>
      <c r="O157" s="177"/>
      <c r="P157" s="180">
        <v>0</v>
      </c>
    </row>
    <row r="158" spans="1:16" ht="19.5" customHeight="1">
      <c r="A158" s="172" t="s">
        <v>806</v>
      </c>
      <c r="B158" s="176">
        <v>46027</v>
      </c>
      <c r="C158" s="172" t="s">
        <v>92</v>
      </c>
      <c r="D158" s="172" t="s">
        <v>97</v>
      </c>
      <c r="E158" s="172" t="s">
        <v>38</v>
      </c>
      <c r="F158" s="172" t="s">
        <v>87</v>
      </c>
      <c r="G158" s="172" t="s">
        <v>84</v>
      </c>
      <c r="H158" s="177">
        <v>1</v>
      </c>
      <c r="I158" s="178">
        <v>0</v>
      </c>
      <c r="J158" s="176">
        <v>46014</v>
      </c>
      <c r="K158" s="172" t="s">
        <v>93</v>
      </c>
      <c r="L158" s="172" t="s">
        <v>94</v>
      </c>
      <c r="M158" s="179">
        <v>0</v>
      </c>
      <c r="N158" s="177"/>
      <c r="O158" s="177"/>
      <c r="P158" s="180">
        <v>-46.77</v>
      </c>
    </row>
    <row r="159" spans="1:16" ht="19.5" customHeight="1">
      <c r="A159" s="172" t="s">
        <v>806</v>
      </c>
      <c r="B159" s="176">
        <v>46027</v>
      </c>
      <c r="C159" s="172" t="s">
        <v>81</v>
      </c>
      <c r="D159" s="172" t="s">
        <v>98</v>
      </c>
      <c r="E159" s="172" t="s">
        <v>38</v>
      </c>
      <c r="F159" s="172" t="s">
        <v>87</v>
      </c>
      <c r="G159" s="172" t="s">
        <v>84</v>
      </c>
      <c r="H159" s="177">
        <v>1</v>
      </c>
      <c r="I159" s="178">
        <v>0</v>
      </c>
      <c r="J159" s="176">
        <v>46014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-15</v>
      </c>
    </row>
    <row r="160" spans="1:16" ht="19.5" customHeight="1">
      <c r="A160" s="172" t="s">
        <v>808</v>
      </c>
      <c r="B160" s="176">
        <v>46027</v>
      </c>
      <c r="C160" s="172" t="s">
        <v>92</v>
      </c>
      <c r="D160" s="172" t="s">
        <v>24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0</v>
      </c>
      <c r="J160" s="176">
        <v>46019</v>
      </c>
      <c r="K160" s="172" t="s">
        <v>93</v>
      </c>
      <c r="L160" s="172" t="s">
        <v>94</v>
      </c>
      <c r="M160" s="179">
        <v>0</v>
      </c>
      <c r="N160" s="177"/>
      <c r="O160" s="177">
        <v>41</v>
      </c>
      <c r="P160" s="180">
        <v>-56</v>
      </c>
    </row>
    <row r="161" spans="1:16" ht="19.5" customHeight="1">
      <c r="A161" s="172" t="s">
        <v>808</v>
      </c>
      <c r="B161" s="176">
        <v>46027</v>
      </c>
      <c r="C161" s="172" t="s">
        <v>81</v>
      </c>
      <c r="D161" s="172" t="s">
        <v>95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0</v>
      </c>
      <c r="J161" s="176">
        <v>46019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-11.43</v>
      </c>
    </row>
    <row r="162" spans="1:16" ht="19.5" customHeight="1">
      <c r="A162" s="172" t="s">
        <v>808</v>
      </c>
      <c r="B162" s="176">
        <v>46027</v>
      </c>
      <c r="C162" s="172" t="s">
        <v>92</v>
      </c>
      <c r="D162" s="172" t="s">
        <v>96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0</v>
      </c>
      <c r="J162" s="176">
        <v>46019</v>
      </c>
      <c r="K162" s="172" t="s">
        <v>93</v>
      </c>
      <c r="L162" s="172" t="s">
        <v>94</v>
      </c>
      <c r="M162" s="179">
        <v>0</v>
      </c>
      <c r="N162" s="177"/>
      <c r="O162" s="177"/>
      <c r="P162" s="180">
        <v>0</v>
      </c>
    </row>
    <row r="163" spans="1:16" ht="19.5" customHeight="1">
      <c r="A163" s="172" t="s">
        <v>808</v>
      </c>
      <c r="B163" s="176">
        <v>46027</v>
      </c>
      <c r="C163" s="172" t="s">
        <v>92</v>
      </c>
      <c r="D163" s="172" t="s">
        <v>97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0</v>
      </c>
      <c r="J163" s="176">
        <v>46019</v>
      </c>
      <c r="K163" s="172" t="s">
        <v>93</v>
      </c>
      <c r="L163" s="172" t="s">
        <v>94</v>
      </c>
      <c r="M163" s="179">
        <v>0</v>
      </c>
      <c r="N163" s="177"/>
      <c r="O163" s="177"/>
      <c r="P163" s="180">
        <v>-56</v>
      </c>
    </row>
    <row r="164" spans="1:16" ht="19.5" customHeight="1">
      <c r="A164" s="172" t="s">
        <v>808</v>
      </c>
      <c r="B164" s="176">
        <v>46027</v>
      </c>
      <c r="C164" s="172" t="s">
        <v>81</v>
      </c>
      <c r="D164" s="172" t="s">
        <v>98</v>
      </c>
      <c r="E164" s="172" t="s">
        <v>52</v>
      </c>
      <c r="F164" s="172" t="s">
        <v>90</v>
      </c>
      <c r="G164" s="172" t="s">
        <v>84</v>
      </c>
      <c r="H164" s="177">
        <v>1</v>
      </c>
      <c r="I164" s="178">
        <v>0</v>
      </c>
      <c r="J164" s="176">
        <v>46019</v>
      </c>
      <c r="K164" s="172" t="s">
        <v>93</v>
      </c>
      <c r="L164" s="172" t="s">
        <v>94</v>
      </c>
      <c r="M164" s="179">
        <v>0</v>
      </c>
      <c r="N164" s="177"/>
      <c r="O164" s="177"/>
      <c r="P164" s="180">
        <v>-15</v>
      </c>
    </row>
    <row r="165" spans="1:16" ht="19.5" customHeight="1">
      <c r="A165" s="172" t="s">
        <v>142</v>
      </c>
      <c r="B165" s="176">
        <v>46027</v>
      </c>
      <c r="C165" s="172" t="s">
        <v>109</v>
      </c>
      <c r="D165" s="172" t="s">
        <v>143</v>
      </c>
      <c r="E165" s="172" t="s">
        <v>85</v>
      </c>
      <c r="F165" s="172" t="s">
        <v>85</v>
      </c>
      <c r="G165" s="172" t="s">
        <v>85</v>
      </c>
      <c r="H165" s="177">
        <v>0</v>
      </c>
      <c r="I165" s="178">
        <v>0</v>
      </c>
      <c r="J165" s="176">
        <v>46027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-3112.9</v>
      </c>
    </row>
    <row r="166" spans="1:16" ht="19.5" customHeight="1">
      <c r="A166" s="172" t="s">
        <v>144</v>
      </c>
      <c r="B166" s="176">
        <v>46027</v>
      </c>
      <c r="C166" s="172" t="s">
        <v>109</v>
      </c>
      <c r="D166" s="172" t="s">
        <v>139</v>
      </c>
      <c r="E166" s="172" t="s">
        <v>85</v>
      </c>
      <c r="F166" s="172" t="s">
        <v>85</v>
      </c>
      <c r="G166" s="172" t="s">
        <v>85</v>
      </c>
      <c r="H166" s="177">
        <v>0</v>
      </c>
      <c r="I166" s="178">
        <v>0</v>
      </c>
      <c r="J166" s="176">
        <v>46027</v>
      </c>
      <c r="K166" s="172" t="s">
        <v>85</v>
      </c>
      <c r="L166" s="172" t="s">
        <v>85</v>
      </c>
      <c r="M166" s="179">
        <v>0</v>
      </c>
      <c r="N166" s="177"/>
      <c r="O166" s="177"/>
      <c r="P166" s="180">
        <v>-2232.8200000000002</v>
      </c>
    </row>
    <row r="167" spans="1:16" ht="19.5" customHeight="1">
      <c r="A167" s="172" t="s">
        <v>410</v>
      </c>
      <c r="B167" s="176">
        <v>46027</v>
      </c>
      <c r="C167" s="172" t="s">
        <v>109</v>
      </c>
      <c r="D167" s="172" t="s">
        <v>139</v>
      </c>
      <c r="E167" s="172" t="s">
        <v>85</v>
      </c>
      <c r="F167" s="172" t="s">
        <v>85</v>
      </c>
      <c r="G167" s="172" t="s">
        <v>85</v>
      </c>
      <c r="H167" s="177">
        <v>0</v>
      </c>
      <c r="I167" s="178">
        <v>0</v>
      </c>
      <c r="J167" s="176">
        <v>46027</v>
      </c>
      <c r="K167" s="172" t="s">
        <v>85</v>
      </c>
      <c r="L167" s="172" t="s">
        <v>85</v>
      </c>
      <c r="M167" s="179">
        <v>0</v>
      </c>
      <c r="N167" s="177"/>
      <c r="O167" s="177"/>
      <c r="P167" s="180">
        <v>-1172.3800000000001</v>
      </c>
    </row>
    <row r="168" spans="1:16" ht="19.5" customHeight="1">
      <c r="A168" s="172" t="s">
        <v>138</v>
      </c>
      <c r="B168" s="176">
        <v>46027</v>
      </c>
      <c r="C168" s="172" t="s">
        <v>109</v>
      </c>
      <c r="D168" s="172" t="s">
        <v>139</v>
      </c>
      <c r="E168" s="172" t="s">
        <v>85</v>
      </c>
      <c r="F168" s="172" t="s">
        <v>85</v>
      </c>
      <c r="G168" s="172" t="s">
        <v>85</v>
      </c>
      <c r="H168" s="177">
        <v>0</v>
      </c>
      <c r="I168" s="178">
        <v>0</v>
      </c>
      <c r="J168" s="176">
        <v>46027</v>
      </c>
      <c r="K168" s="172" t="s">
        <v>85</v>
      </c>
      <c r="L168" s="172" t="s">
        <v>85</v>
      </c>
      <c r="M168" s="179">
        <v>0</v>
      </c>
      <c r="N168" s="177"/>
      <c r="O168" s="177"/>
      <c r="P168" s="180">
        <v>-2256.0500000000002</v>
      </c>
    </row>
    <row r="169" spans="1:16" ht="19.5" customHeight="1">
      <c r="A169" s="172" t="s">
        <v>809</v>
      </c>
      <c r="B169" s="176">
        <v>46028</v>
      </c>
      <c r="C169" s="172" t="s">
        <v>81</v>
      </c>
      <c r="D169" s="172" t="s">
        <v>82</v>
      </c>
      <c r="E169" s="172" t="s">
        <v>52</v>
      </c>
      <c r="F169" s="172" t="s">
        <v>90</v>
      </c>
      <c r="G169" s="172" t="s">
        <v>84</v>
      </c>
      <c r="H169" s="177">
        <v>1</v>
      </c>
      <c r="I169" s="178">
        <v>0</v>
      </c>
      <c r="J169" s="176">
        <v>46027</v>
      </c>
      <c r="K169" s="172" t="s">
        <v>85</v>
      </c>
      <c r="L169" s="172" t="s">
        <v>85</v>
      </c>
      <c r="M169" s="179">
        <v>0</v>
      </c>
      <c r="N169" s="177"/>
      <c r="O169" s="177"/>
      <c r="P169" s="180">
        <v>-10.59</v>
      </c>
    </row>
    <row r="170" spans="1:16" ht="19.5" customHeight="1">
      <c r="A170" s="172" t="s">
        <v>810</v>
      </c>
      <c r="B170" s="176">
        <v>46028</v>
      </c>
      <c r="C170" s="172" t="s">
        <v>354</v>
      </c>
      <c r="D170" s="172" t="s">
        <v>467</v>
      </c>
      <c r="E170" s="172" t="s">
        <v>85</v>
      </c>
      <c r="F170" s="172" t="s">
        <v>85</v>
      </c>
      <c r="G170" s="172" t="s">
        <v>85</v>
      </c>
      <c r="H170" s="177">
        <v>0</v>
      </c>
      <c r="I170" s="178">
        <v>0</v>
      </c>
      <c r="J170" s="176">
        <v>46028</v>
      </c>
      <c r="K170" s="172" t="s">
        <v>85</v>
      </c>
      <c r="L170" s="172" t="s">
        <v>85</v>
      </c>
      <c r="M170" s="179">
        <v>0</v>
      </c>
      <c r="N170" s="177"/>
      <c r="O170" s="177"/>
      <c r="P170" s="180">
        <v>-940</v>
      </c>
    </row>
    <row r="171" spans="1:16" ht="19.5" customHeight="1">
      <c r="A171" s="172" t="s">
        <v>811</v>
      </c>
      <c r="B171" s="176">
        <v>46028</v>
      </c>
      <c r="C171" s="172" t="s">
        <v>81</v>
      </c>
      <c r="D171" s="172" t="s">
        <v>82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0</v>
      </c>
      <c r="J171" s="176">
        <v>46011</v>
      </c>
      <c r="K171" s="172" t="s">
        <v>85</v>
      </c>
      <c r="L171" s="172" t="s">
        <v>85</v>
      </c>
      <c r="M171" s="179">
        <v>0</v>
      </c>
      <c r="N171" s="177"/>
      <c r="O171" s="177"/>
      <c r="P171" s="180">
        <v>2.65</v>
      </c>
    </row>
    <row r="172" spans="1:16" ht="19.5" customHeight="1">
      <c r="A172" s="172" t="s">
        <v>812</v>
      </c>
      <c r="B172" s="176">
        <v>46028</v>
      </c>
      <c r="C172" s="172" t="s">
        <v>92</v>
      </c>
      <c r="D172" s="172" t="s">
        <v>24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0</v>
      </c>
      <c r="J172" s="176">
        <v>46013</v>
      </c>
      <c r="K172" s="172" t="s">
        <v>93</v>
      </c>
      <c r="L172" s="172" t="s">
        <v>94</v>
      </c>
      <c r="M172" s="179">
        <v>0</v>
      </c>
      <c r="N172" s="177"/>
      <c r="O172" s="177">
        <v>43</v>
      </c>
      <c r="P172" s="180">
        <v>-56</v>
      </c>
    </row>
    <row r="173" spans="1:16" ht="19.5" customHeight="1">
      <c r="A173" s="172" t="s">
        <v>812</v>
      </c>
      <c r="B173" s="176">
        <v>46028</v>
      </c>
      <c r="C173" s="172" t="s">
        <v>81</v>
      </c>
      <c r="D173" s="172" t="s">
        <v>95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0</v>
      </c>
      <c r="J173" s="176">
        <v>46013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-8.9499999999999993</v>
      </c>
    </row>
    <row r="174" spans="1:16" ht="19.5" customHeight="1">
      <c r="A174" s="172" t="s">
        <v>812</v>
      </c>
      <c r="B174" s="176">
        <v>46028</v>
      </c>
      <c r="C174" s="172" t="s">
        <v>92</v>
      </c>
      <c r="D174" s="172" t="s">
        <v>96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0</v>
      </c>
      <c r="J174" s="176">
        <v>46013</v>
      </c>
      <c r="K174" s="172" t="s">
        <v>93</v>
      </c>
      <c r="L174" s="172" t="s">
        <v>94</v>
      </c>
      <c r="M174" s="179">
        <v>0</v>
      </c>
      <c r="N174" s="177"/>
      <c r="O174" s="177"/>
      <c r="P174" s="180">
        <v>0</v>
      </c>
    </row>
    <row r="175" spans="1:16" ht="19.5" customHeight="1">
      <c r="A175" s="172" t="s">
        <v>812</v>
      </c>
      <c r="B175" s="176">
        <v>46028</v>
      </c>
      <c r="C175" s="172" t="s">
        <v>92</v>
      </c>
      <c r="D175" s="172" t="s">
        <v>97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0</v>
      </c>
      <c r="J175" s="176">
        <v>46013</v>
      </c>
      <c r="K175" s="172" t="s">
        <v>93</v>
      </c>
      <c r="L175" s="172" t="s">
        <v>94</v>
      </c>
      <c r="M175" s="179">
        <v>0</v>
      </c>
      <c r="N175" s="177"/>
      <c r="O175" s="177"/>
      <c r="P175" s="180">
        <v>-56</v>
      </c>
    </row>
    <row r="176" spans="1:16" ht="19.5" customHeight="1">
      <c r="A176" s="172" t="s">
        <v>812</v>
      </c>
      <c r="B176" s="176">
        <v>46028</v>
      </c>
      <c r="C176" s="172" t="s">
        <v>81</v>
      </c>
      <c r="D176" s="172" t="s">
        <v>98</v>
      </c>
      <c r="E176" s="172" t="s">
        <v>53</v>
      </c>
      <c r="F176" s="172" t="s">
        <v>120</v>
      </c>
      <c r="G176" s="172" t="s">
        <v>84</v>
      </c>
      <c r="H176" s="177">
        <v>1</v>
      </c>
      <c r="I176" s="178">
        <v>0</v>
      </c>
      <c r="J176" s="176">
        <v>46013</v>
      </c>
      <c r="K176" s="172" t="s">
        <v>93</v>
      </c>
      <c r="L176" s="172" t="s">
        <v>94</v>
      </c>
      <c r="M176" s="179">
        <v>0</v>
      </c>
      <c r="N176" s="177"/>
      <c r="O176" s="177"/>
      <c r="P176" s="180">
        <v>-15</v>
      </c>
    </row>
    <row r="177" spans="1:16" ht="19.5" customHeight="1">
      <c r="A177" s="172" t="s">
        <v>813</v>
      </c>
      <c r="B177" s="176">
        <v>46028</v>
      </c>
      <c r="C177" s="172" t="s">
        <v>92</v>
      </c>
      <c r="D177" s="172" t="s">
        <v>96</v>
      </c>
      <c r="E177" s="172" t="s">
        <v>41</v>
      </c>
      <c r="F177" s="172" t="s">
        <v>83</v>
      </c>
      <c r="G177" s="172" t="s">
        <v>84</v>
      </c>
      <c r="H177" s="177">
        <v>1</v>
      </c>
      <c r="I177" s="178">
        <v>0</v>
      </c>
      <c r="J177" s="176">
        <v>46019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813</v>
      </c>
      <c r="B178" s="176">
        <v>46028</v>
      </c>
      <c r="C178" s="172" t="s">
        <v>92</v>
      </c>
      <c r="D178" s="172" t="s">
        <v>97</v>
      </c>
      <c r="E178" s="172" t="s">
        <v>41</v>
      </c>
      <c r="F178" s="172" t="s">
        <v>83</v>
      </c>
      <c r="G178" s="172" t="s">
        <v>84</v>
      </c>
      <c r="H178" s="177">
        <v>1</v>
      </c>
      <c r="I178" s="178">
        <v>0</v>
      </c>
      <c r="J178" s="176">
        <v>46019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-46.77</v>
      </c>
    </row>
    <row r="179" spans="1:16" ht="19.5" customHeight="1">
      <c r="A179" s="172" t="s">
        <v>813</v>
      </c>
      <c r="B179" s="176">
        <v>46028</v>
      </c>
      <c r="C179" s="172" t="s">
        <v>81</v>
      </c>
      <c r="D179" s="172" t="s">
        <v>98</v>
      </c>
      <c r="E179" s="172" t="s">
        <v>41</v>
      </c>
      <c r="F179" s="172" t="s">
        <v>83</v>
      </c>
      <c r="G179" s="172" t="s">
        <v>84</v>
      </c>
      <c r="H179" s="177">
        <v>1</v>
      </c>
      <c r="I179" s="178">
        <v>0</v>
      </c>
      <c r="J179" s="176">
        <v>46019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813</v>
      </c>
      <c r="B180" s="176">
        <v>46028</v>
      </c>
      <c r="C180" s="172" t="s">
        <v>92</v>
      </c>
      <c r="D180" s="172" t="s">
        <v>24</v>
      </c>
      <c r="E180" s="172" t="s">
        <v>41</v>
      </c>
      <c r="F180" s="172" t="s">
        <v>83</v>
      </c>
      <c r="G180" s="172" t="s">
        <v>84</v>
      </c>
      <c r="H180" s="177">
        <v>1</v>
      </c>
      <c r="I180" s="178">
        <v>0</v>
      </c>
      <c r="J180" s="176">
        <v>46019</v>
      </c>
      <c r="K180" s="172" t="s">
        <v>93</v>
      </c>
      <c r="L180" s="172" t="s">
        <v>94</v>
      </c>
      <c r="M180" s="179">
        <v>0</v>
      </c>
      <c r="N180" s="177"/>
      <c r="O180" s="177">
        <v>41</v>
      </c>
      <c r="P180" s="180">
        <v>-46.77</v>
      </c>
    </row>
    <row r="181" spans="1:16" ht="19.5" customHeight="1">
      <c r="A181" s="172" t="s">
        <v>813</v>
      </c>
      <c r="B181" s="176">
        <v>46028</v>
      </c>
      <c r="C181" s="172" t="s">
        <v>81</v>
      </c>
      <c r="D181" s="172" t="s">
        <v>95</v>
      </c>
      <c r="E181" s="172" t="s">
        <v>41</v>
      </c>
      <c r="F181" s="172" t="s">
        <v>83</v>
      </c>
      <c r="G181" s="172" t="s">
        <v>84</v>
      </c>
      <c r="H181" s="177">
        <v>1</v>
      </c>
      <c r="I181" s="178">
        <v>0</v>
      </c>
      <c r="J181" s="176">
        <v>46019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-7.24</v>
      </c>
    </row>
    <row r="182" spans="1:16" ht="19.5" customHeight="1">
      <c r="A182" s="172" t="s">
        <v>814</v>
      </c>
      <c r="B182" s="176">
        <v>46028</v>
      </c>
      <c r="C182" s="172" t="s">
        <v>81</v>
      </c>
      <c r="D182" s="172" t="s">
        <v>82</v>
      </c>
      <c r="E182" s="172" t="s">
        <v>42</v>
      </c>
      <c r="F182" s="172" t="s">
        <v>89</v>
      </c>
      <c r="G182" s="172" t="s">
        <v>84</v>
      </c>
      <c r="H182" s="177">
        <v>1</v>
      </c>
      <c r="I182" s="178">
        <v>0</v>
      </c>
      <c r="J182" s="176">
        <v>46028</v>
      </c>
      <c r="K182" s="172" t="s">
        <v>85</v>
      </c>
      <c r="L182" s="172" t="s">
        <v>85</v>
      </c>
      <c r="M182" s="179">
        <v>0</v>
      </c>
      <c r="N182" s="177"/>
      <c r="O182" s="177"/>
      <c r="P182" s="180">
        <v>-15.8</v>
      </c>
    </row>
    <row r="183" spans="1:16" ht="19.5" customHeight="1">
      <c r="A183" s="172" t="s">
        <v>815</v>
      </c>
      <c r="B183" s="176">
        <v>46028</v>
      </c>
      <c r="C183" s="172" t="s">
        <v>92</v>
      </c>
      <c r="D183" s="172" t="s">
        <v>24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1845</v>
      </c>
      <c r="J183" s="176">
        <v>46019</v>
      </c>
      <c r="K183" s="172" t="s">
        <v>93</v>
      </c>
      <c r="L183" s="172" t="s">
        <v>94</v>
      </c>
      <c r="M183" s="179">
        <v>0.43</v>
      </c>
      <c r="N183" s="177"/>
      <c r="O183" s="177">
        <v>41</v>
      </c>
      <c r="P183" s="180">
        <v>-136.06</v>
      </c>
    </row>
    <row r="184" spans="1:16" ht="19.5" customHeight="1">
      <c r="A184" s="172" t="s">
        <v>815</v>
      </c>
      <c r="B184" s="176">
        <v>46028</v>
      </c>
      <c r="C184" s="172" t="s">
        <v>100</v>
      </c>
      <c r="D184" s="172" t="s">
        <v>101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1845</v>
      </c>
      <c r="J184" s="176">
        <v>46019</v>
      </c>
      <c r="K184" s="172" t="s">
        <v>93</v>
      </c>
      <c r="L184" s="172" t="s">
        <v>94</v>
      </c>
      <c r="M184" s="179">
        <v>0</v>
      </c>
      <c r="N184" s="177"/>
      <c r="O184" s="177"/>
      <c r="P184" s="180">
        <v>719.05</v>
      </c>
    </row>
    <row r="185" spans="1:16" ht="19.5" customHeight="1">
      <c r="A185" s="172" t="s">
        <v>815</v>
      </c>
      <c r="B185" s="176">
        <v>46028</v>
      </c>
      <c r="C185" s="172" t="s">
        <v>100</v>
      </c>
      <c r="D185" s="172" t="s">
        <v>102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1845</v>
      </c>
      <c r="J185" s="176">
        <v>46019</v>
      </c>
      <c r="K185" s="172" t="s">
        <v>93</v>
      </c>
      <c r="L185" s="172" t="s">
        <v>94</v>
      </c>
      <c r="M185" s="179">
        <v>0</v>
      </c>
      <c r="N185" s="177"/>
      <c r="O185" s="177"/>
      <c r="P185" s="180">
        <v>0</v>
      </c>
    </row>
    <row r="186" spans="1:16" ht="19.5" customHeight="1">
      <c r="A186" s="172" t="s">
        <v>815</v>
      </c>
      <c r="B186" s="176">
        <v>46028</v>
      </c>
      <c r="C186" s="172" t="s">
        <v>100</v>
      </c>
      <c r="D186" s="172" t="s">
        <v>103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</v>
      </c>
      <c r="N186" s="177"/>
      <c r="O186" s="177"/>
      <c r="P186" s="180">
        <v>1125.95</v>
      </c>
    </row>
    <row r="187" spans="1:16" ht="19.5" customHeight="1">
      <c r="A187" s="172" t="s">
        <v>815</v>
      </c>
      <c r="B187" s="176">
        <v>46028</v>
      </c>
      <c r="C187" s="172" t="s">
        <v>104</v>
      </c>
      <c r="D187" s="172" t="s">
        <v>105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0.43</v>
      </c>
      <c r="N187" s="177"/>
      <c r="O187" s="177"/>
      <c r="P187" s="180">
        <v>-793.35</v>
      </c>
    </row>
    <row r="188" spans="1:16" ht="19.5" customHeight="1">
      <c r="A188" s="172" t="s">
        <v>815</v>
      </c>
      <c r="B188" s="176">
        <v>46028</v>
      </c>
      <c r="C188" s="172" t="s">
        <v>81</v>
      </c>
      <c r="D188" s="172" t="s">
        <v>95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0.43</v>
      </c>
      <c r="N188" s="177"/>
      <c r="O188" s="177"/>
      <c r="P188" s="180">
        <v>-11.92</v>
      </c>
    </row>
    <row r="189" spans="1:16" ht="19.5" customHeight="1">
      <c r="A189" s="172" t="s">
        <v>816</v>
      </c>
      <c r="B189" s="176">
        <v>46028</v>
      </c>
      <c r="C189" s="172" t="s">
        <v>92</v>
      </c>
      <c r="D189" s="172" t="s">
        <v>24</v>
      </c>
      <c r="E189" s="172" t="s">
        <v>42</v>
      </c>
      <c r="F189" s="172" t="s">
        <v>89</v>
      </c>
      <c r="G189" s="172" t="s">
        <v>84</v>
      </c>
      <c r="H189" s="177">
        <v>1</v>
      </c>
      <c r="I189" s="178">
        <v>1600</v>
      </c>
      <c r="J189" s="176">
        <v>46009</v>
      </c>
      <c r="K189" s="172" t="s">
        <v>93</v>
      </c>
      <c r="L189" s="172" t="s">
        <v>94</v>
      </c>
      <c r="M189" s="179">
        <v>0.43</v>
      </c>
      <c r="N189" s="177"/>
      <c r="O189" s="177">
        <v>43</v>
      </c>
      <c r="P189" s="180">
        <v>-122.83</v>
      </c>
    </row>
    <row r="190" spans="1:16" ht="19.5" customHeight="1">
      <c r="A190" s="172" t="s">
        <v>816</v>
      </c>
      <c r="B190" s="176">
        <v>46028</v>
      </c>
      <c r="C190" s="172" t="s">
        <v>100</v>
      </c>
      <c r="D190" s="172" t="s">
        <v>101</v>
      </c>
      <c r="E190" s="172" t="s">
        <v>42</v>
      </c>
      <c r="F190" s="172" t="s">
        <v>89</v>
      </c>
      <c r="G190" s="172" t="s">
        <v>84</v>
      </c>
      <c r="H190" s="177">
        <v>1</v>
      </c>
      <c r="I190" s="178">
        <v>1600</v>
      </c>
      <c r="J190" s="176">
        <v>46009</v>
      </c>
      <c r="K190" s="172" t="s">
        <v>93</v>
      </c>
      <c r="L190" s="172" t="s">
        <v>94</v>
      </c>
      <c r="M190" s="179">
        <v>0</v>
      </c>
      <c r="N190" s="177"/>
      <c r="O190" s="177"/>
      <c r="P190" s="180">
        <v>558.1</v>
      </c>
    </row>
    <row r="191" spans="1:16" ht="19.5" customHeight="1">
      <c r="A191" s="172" t="s">
        <v>816</v>
      </c>
      <c r="B191" s="176">
        <v>46028</v>
      </c>
      <c r="C191" s="172" t="s">
        <v>100</v>
      </c>
      <c r="D191" s="172" t="s">
        <v>102</v>
      </c>
      <c r="E191" s="172" t="s">
        <v>42</v>
      </c>
      <c r="F191" s="172" t="s">
        <v>89</v>
      </c>
      <c r="G191" s="172" t="s">
        <v>84</v>
      </c>
      <c r="H191" s="177">
        <v>1</v>
      </c>
      <c r="I191" s="178">
        <v>1600</v>
      </c>
      <c r="J191" s="176">
        <v>46009</v>
      </c>
      <c r="K191" s="172" t="s">
        <v>93</v>
      </c>
      <c r="L191" s="172" t="s">
        <v>94</v>
      </c>
      <c r="M191" s="179">
        <v>0</v>
      </c>
      <c r="N191" s="177"/>
      <c r="O191" s="177"/>
      <c r="P191" s="180">
        <v>5.58</v>
      </c>
    </row>
    <row r="192" spans="1:16" ht="19.5" customHeight="1">
      <c r="A192" s="172" t="s">
        <v>816</v>
      </c>
      <c r="B192" s="176">
        <v>46028</v>
      </c>
      <c r="C192" s="172" t="s">
        <v>100</v>
      </c>
      <c r="D192" s="172" t="s">
        <v>103</v>
      </c>
      <c r="E192" s="172" t="s">
        <v>42</v>
      </c>
      <c r="F192" s="172" t="s">
        <v>89</v>
      </c>
      <c r="G192" s="172" t="s">
        <v>84</v>
      </c>
      <c r="H192" s="177">
        <v>1</v>
      </c>
      <c r="I192" s="178">
        <v>1600</v>
      </c>
      <c r="J192" s="176">
        <v>46009</v>
      </c>
      <c r="K192" s="172" t="s">
        <v>93</v>
      </c>
      <c r="L192" s="172" t="s">
        <v>94</v>
      </c>
      <c r="M192" s="179">
        <v>0</v>
      </c>
      <c r="N192" s="177"/>
      <c r="O192" s="177"/>
      <c r="P192" s="180">
        <v>1036.32</v>
      </c>
    </row>
    <row r="193" spans="1:16" ht="19.5" customHeight="1">
      <c r="A193" s="172" t="s">
        <v>816</v>
      </c>
      <c r="B193" s="176">
        <v>46028</v>
      </c>
      <c r="C193" s="172" t="s">
        <v>104</v>
      </c>
      <c r="D193" s="172" t="s">
        <v>105</v>
      </c>
      <c r="E193" s="172" t="s">
        <v>42</v>
      </c>
      <c r="F193" s="172" t="s">
        <v>89</v>
      </c>
      <c r="G193" s="172" t="s">
        <v>84</v>
      </c>
      <c r="H193" s="177">
        <v>1</v>
      </c>
      <c r="I193" s="178">
        <v>1600</v>
      </c>
      <c r="J193" s="176">
        <v>46009</v>
      </c>
      <c r="K193" s="172" t="s">
        <v>93</v>
      </c>
      <c r="L193" s="172" t="s">
        <v>94</v>
      </c>
      <c r="M193" s="179">
        <v>0.43</v>
      </c>
      <c r="N193" s="177"/>
      <c r="O193" s="177"/>
      <c r="P193" s="180">
        <v>-688</v>
      </c>
    </row>
    <row r="194" spans="1:16" ht="19.5" customHeight="1">
      <c r="A194" s="172" t="s">
        <v>816</v>
      </c>
      <c r="B194" s="176">
        <v>46028</v>
      </c>
      <c r="C194" s="172" t="s">
        <v>81</v>
      </c>
      <c r="D194" s="172" t="s">
        <v>95</v>
      </c>
      <c r="E194" s="172" t="s">
        <v>42</v>
      </c>
      <c r="F194" s="172" t="s">
        <v>89</v>
      </c>
      <c r="G194" s="172" t="s">
        <v>84</v>
      </c>
      <c r="H194" s="177">
        <v>1</v>
      </c>
      <c r="I194" s="178">
        <v>1600</v>
      </c>
      <c r="J194" s="176">
        <v>46009</v>
      </c>
      <c r="K194" s="172" t="s">
        <v>93</v>
      </c>
      <c r="L194" s="172" t="s">
        <v>94</v>
      </c>
      <c r="M194" s="179">
        <v>0.43</v>
      </c>
      <c r="N194" s="177"/>
      <c r="O194" s="177"/>
      <c r="P194" s="180">
        <v>-25</v>
      </c>
    </row>
    <row r="195" spans="1:16" ht="19.5" customHeight="1">
      <c r="A195" s="172" t="s">
        <v>817</v>
      </c>
      <c r="B195" s="176">
        <v>46028</v>
      </c>
      <c r="C195" s="172" t="s">
        <v>92</v>
      </c>
      <c r="D195" s="172" t="s">
        <v>24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46010</v>
      </c>
      <c r="K195" s="172" t="s">
        <v>93</v>
      </c>
      <c r="L195" s="172" t="s">
        <v>94</v>
      </c>
      <c r="M195" s="179">
        <v>0.43</v>
      </c>
      <c r="N195" s="177"/>
      <c r="O195" s="177">
        <v>43</v>
      </c>
      <c r="P195" s="180">
        <v>-138.22999999999999</v>
      </c>
    </row>
    <row r="196" spans="1:16" ht="19.5" customHeight="1">
      <c r="A196" s="172" t="s">
        <v>817</v>
      </c>
      <c r="B196" s="176">
        <v>46028</v>
      </c>
      <c r="C196" s="172" t="s">
        <v>100</v>
      </c>
      <c r="D196" s="172" t="s">
        <v>101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46010</v>
      </c>
      <c r="K196" s="172" t="s">
        <v>93</v>
      </c>
      <c r="L196" s="172" t="s">
        <v>94</v>
      </c>
      <c r="M196" s="179">
        <v>0</v>
      </c>
      <c r="N196" s="177"/>
      <c r="O196" s="177"/>
      <c r="P196" s="180">
        <v>557.14</v>
      </c>
    </row>
    <row r="197" spans="1:16" ht="19.5" customHeight="1">
      <c r="A197" s="172" t="s">
        <v>817</v>
      </c>
      <c r="B197" s="176">
        <v>46028</v>
      </c>
      <c r="C197" s="172" t="s">
        <v>100</v>
      </c>
      <c r="D197" s="172" t="s">
        <v>102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46010</v>
      </c>
      <c r="K197" s="172" t="s">
        <v>93</v>
      </c>
      <c r="L197" s="172" t="s">
        <v>94</v>
      </c>
      <c r="M197" s="179">
        <v>0</v>
      </c>
      <c r="N197" s="177"/>
      <c r="O197" s="177"/>
      <c r="P197" s="180">
        <v>5.57</v>
      </c>
    </row>
    <row r="198" spans="1:16" ht="19.5" customHeight="1">
      <c r="A198" s="172" t="s">
        <v>817</v>
      </c>
      <c r="B198" s="176">
        <v>46028</v>
      </c>
      <c r="C198" s="172" t="s">
        <v>100</v>
      </c>
      <c r="D198" s="172" t="s">
        <v>103</v>
      </c>
      <c r="E198" s="172" t="s">
        <v>52</v>
      </c>
      <c r="F198" s="172" t="s">
        <v>90</v>
      </c>
      <c r="G198" s="172" t="s">
        <v>84</v>
      </c>
      <c r="H198" s="177">
        <v>1</v>
      </c>
      <c r="I198" s="178">
        <v>1621</v>
      </c>
      <c r="J198" s="176">
        <v>46010</v>
      </c>
      <c r="K198" s="172" t="s">
        <v>93</v>
      </c>
      <c r="L198" s="172" t="s">
        <v>94</v>
      </c>
      <c r="M198" s="179">
        <v>0</v>
      </c>
      <c r="N198" s="177"/>
      <c r="O198" s="177"/>
      <c r="P198" s="180">
        <v>1058.29</v>
      </c>
    </row>
    <row r="199" spans="1:16" ht="19.5" customHeight="1">
      <c r="A199" s="172" t="s">
        <v>817</v>
      </c>
      <c r="B199" s="176">
        <v>46028</v>
      </c>
      <c r="C199" s="172" t="s">
        <v>104</v>
      </c>
      <c r="D199" s="172" t="s">
        <v>105</v>
      </c>
      <c r="E199" s="172" t="s">
        <v>52</v>
      </c>
      <c r="F199" s="172" t="s">
        <v>90</v>
      </c>
      <c r="G199" s="172" t="s">
        <v>84</v>
      </c>
      <c r="H199" s="177">
        <v>1</v>
      </c>
      <c r="I199" s="178">
        <v>1621</v>
      </c>
      <c r="J199" s="176">
        <v>46010</v>
      </c>
      <c r="K199" s="172" t="s">
        <v>93</v>
      </c>
      <c r="L199" s="172" t="s">
        <v>94</v>
      </c>
      <c r="M199" s="179">
        <v>0.43</v>
      </c>
      <c r="N199" s="177"/>
      <c r="O199" s="177"/>
      <c r="P199" s="180">
        <v>-697.03</v>
      </c>
    </row>
    <row r="200" spans="1:16" ht="19.5" customHeight="1">
      <c r="A200" s="172" t="s">
        <v>816</v>
      </c>
      <c r="B200" s="176">
        <v>46028</v>
      </c>
      <c r="C200" s="172" t="s">
        <v>81</v>
      </c>
      <c r="D200" s="172" t="s">
        <v>82</v>
      </c>
      <c r="E200" s="172" t="s">
        <v>42</v>
      </c>
      <c r="F200" s="172" t="s">
        <v>89</v>
      </c>
      <c r="G200" s="172" t="s">
        <v>84</v>
      </c>
      <c r="H200" s="177">
        <v>1</v>
      </c>
      <c r="I200" s="178">
        <v>0</v>
      </c>
      <c r="J200" s="176">
        <v>46009</v>
      </c>
      <c r="K200" s="172" t="s">
        <v>85</v>
      </c>
      <c r="L200" s="172" t="s">
        <v>85</v>
      </c>
      <c r="M200" s="179">
        <v>0</v>
      </c>
      <c r="N200" s="177"/>
      <c r="O200" s="177"/>
      <c r="P200" s="180">
        <v>-10.6</v>
      </c>
    </row>
    <row r="201" spans="1:16" ht="19.5" customHeight="1">
      <c r="A201" s="172" t="s">
        <v>85</v>
      </c>
      <c r="B201" s="176">
        <v>46028</v>
      </c>
      <c r="C201" s="172" t="s">
        <v>109</v>
      </c>
      <c r="D201" s="172" t="s">
        <v>110</v>
      </c>
      <c r="E201" s="172" t="s">
        <v>85</v>
      </c>
      <c r="F201" s="172" t="s">
        <v>85</v>
      </c>
      <c r="G201" s="172" t="s">
        <v>818</v>
      </c>
      <c r="H201" s="177">
        <v>0</v>
      </c>
      <c r="I201" s="178">
        <v>0</v>
      </c>
      <c r="J201" s="176">
        <v>46028</v>
      </c>
      <c r="K201" s="172" t="s">
        <v>85</v>
      </c>
      <c r="L201" s="172" t="s">
        <v>85</v>
      </c>
      <c r="M201" s="179">
        <v>0</v>
      </c>
      <c r="N201" s="177"/>
      <c r="O201" s="177"/>
      <c r="P201" s="180">
        <v>-150</v>
      </c>
    </row>
    <row r="202" spans="1:16" ht="19.5" customHeight="1">
      <c r="A202" s="172" t="s">
        <v>819</v>
      </c>
      <c r="B202" s="176">
        <v>46028</v>
      </c>
      <c r="C202" s="172" t="s">
        <v>92</v>
      </c>
      <c r="D202" s="172" t="s">
        <v>24</v>
      </c>
      <c r="E202" s="172" t="s">
        <v>53</v>
      </c>
      <c r="F202" s="172" t="s">
        <v>120</v>
      </c>
      <c r="G202" s="172" t="s">
        <v>84</v>
      </c>
      <c r="H202" s="177">
        <v>1</v>
      </c>
      <c r="I202" s="178">
        <v>1845</v>
      </c>
      <c r="J202" s="176">
        <v>46026</v>
      </c>
      <c r="K202" s="172" t="s">
        <v>93</v>
      </c>
      <c r="L202" s="172" t="s">
        <v>94</v>
      </c>
      <c r="M202" s="179">
        <v>0.43</v>
      </c>
      <c r="N202" s="177"/>
      <c r="O202" s="177">
        <v>46</v>
      </c>
      <c r="P202" s="180">
        <v>-158.29</v>
      </c>
    </row>
    <row r="203" spans="1:16" ht="19.5" customHeight="1">
      <c r="A203" s="172" t="s">
        <v>819</v>
      </c>
      <c r="B203" s="176">
        <v>46028</v>
      </c>
      <c r="C203" s="172" t="s">
        <v>100</v>
      </c>
      <c r="D203" s="172" t="s">
        <v>101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46026</v>
      </c>
      <c r="K203" s="172" t="s">
        <v>93</v>
      </c>
      <c r="L203" s="172" t="s">
        <v>94</v>
      </c>
      <c r="M203" s="179">
        <v>0</v>
      </c>
      <c r="N203" s="177"/>
      <c r="O203" s="177"/>
      <c r="P203" s="180">
        <v>702.86</v>
      </c>
    </row>
    <row r="204" spans="1:16" ht="19.5" customHeight="1">
      <c r="A204" s="172" t="s">
        <v>819</v>
      </c>
      <c r="B204" s="176">
        <v>46028</v>
      </c>
      <c r="C204" s="172" t="s">
        <v>100</v>
      </c>
      <c r="D204" s="172" t="s">
        <v>102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46026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0</v>
      </c>
    </row>
    <row r="205" spans="1:16" ht="19.5" customHeight="1">
      <c r="A205" s="172" t="s">
        <v>819</v>
      </c>
      <c r="B205" s="176">
        <v>46028</v>
      </c>
      <c r="C205" s="172" t="s">
        <v>100</v>
      </c>
      <c r="D205" s="172" t="s">
        <v>103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46026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1142.1400000000001</v>
      </c>
    </row>
    <row r="206" spans="1:16" ht="19.5" customHeight="1">
      <c r="A206" s="172" t="s">
        <v>819</v>
      </c>
      <c r="B206" s="176">
        <v>46028</v>
      </c>
      <c r="C206" s="172" t="s">
        <v>104</v>
      </c>
      <c r="D206" s="172" t="s">
        <v>105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46026</v>
      </c>
      <c r="K206" s="172" t="s">
        <v>93</v>
      </c>
      <c r="L206" s="172" t="s">
        <v>94</v>
      </c>
      <c r="M206" s="179">
        <v>0.43</v>
      </c>
      <c r="N206" s="177"/>
      <c r="O206" s="177"/>
      <c r="P206" s="180">
        <v>-793.35</v>
      </c>
    </row>
    <row r="207" spans="1:16" ht="19.5" customHeight="1">
      <c r="A207" s="172" t="s">
        <v>819</v>
      </c>
      <c r="B207" s="176">
        <v>46028</v>
      </c>
      <c r="C207" s="172" t="s">
        <v>81</v>
      </c>
      <c r="D207" s="172" t="s">
        <v>95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46026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-9.6300000000000008</v>
      </c>
    </row>
    <row r="208" spans="1:16" ht="19.5" customHeight="1">
      <c r="A208" s="172" t="s">
        <v>820</v>
      </c>
      <c r="B208" s="176">
        <v>46028</v>
      </c>
      <c r="C208" s="172" t="s">
        <v>81</v>
      </c>
      <c r="D208" s="172" t="s">
        <v>82</v>
      </c>
      <c r="E208" s="172" t="s">
        <v>41</v>
      </c>
      <c r="F208" s="172" t="s">
        <v>83</v>
      </c>
      <c r="G208" s="172" t="s">
        <v>84</v>
      </c>
      <c r="H208" s="177">
        <v>1</v>
      </c>
      <c r="I208" s="178">
        <v>0</v>
      </c>
      <c r="J208" s="176">
        <v>46028</v>
      </c>
      <c r="K208" s="172" t="s">
        <v>85</v>
      </c>
      <c r="L208" s="172" t="s">
        <v>85</v>
      </c>
      <c r="M208" s="179">
        <v>0</v>
      </c>
      <c r="N208" s="177"/>
      <c r="O208" s="177"/>
      <c r="P208" s="180">
        <v>-10.44</v>
      </c>
    </row>
    <row r="209" spans="1:16" ht="19.5" customHeight="1">
      <c r="A209" s="172" t="s">
        <v>821</v>
      </c>
      <c r="B209" s="176">
        <v>46028</v>
      </c>
      <c r="C209" s="172" t="s">
        <v>92</v>
      </c>
      <c r="D209" s="172" t="s">
        <v>24</v>
      </c>
      <c r="E209" s="172" t="s">
        <v>53</v>
      </c>
      <c r="F209" s="172" t="s">
        <v>120</v>
      </c>
      <c r="G209" s="172" t="s">
        <v>84</v>
      </c>
      <c r="H209" s="177">
        <v>1</v>
      </c>
      <c r="I209" s="178">
        <v>1845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-136.06</v>
      </c>
    </row>
    <row r="210" spans="1:16" ht="19.5" customHeight="1">
      <c r="A210" s="172" t="s">
        <v>821</v>
      </c>
      <c r="B210" s="176">
        <v>46028</v>
      </c>
      <c r="C210" s="172" t="s">
        <v>100</v>
      </c>
      <c r="D210" s="172" t="s">
        <v>101</v>
      </c>
      <c r="E210" s="172" t="s">
        <v>53</v>
      </c>
      <c r="F210" s="172" t="s">
        <v>120</v>
      </c>
      <c r="G210" s="172" t="s">
        <v>84</v>
      </c>
      <c r="H210" s="177">
        <v>1</v>
      </c>
      <c r="I210" s="178">
        <v>1845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642.86</v>
      </c>
    </row>
    <row r="211" spans="1:16" ht="19.5" customHeight="1">
      <c r="A211" s="172" t="s">
        <v>821</v>
      </c>
      <c r="B211" s="176">
        <v>46028</v>
      </c>
      <c r="C211" s="172" t="s">
        <v>100</v>
      </c>
      <c r="D211" s="172" t="s">
        <v>102</v>
      </c>
      <c r="E211" s="172" t="s">
        <v>53</v>
      </c>
      <c r="F211" s="172" t="s">
        <v>120</v>
      </c>
      <c r="G211" s="172" t="s">
        <v>84</v>
      </c>
      <c r="H211" s="177">
        <v>1</v>
      </c>
      <c r="I211" s="178">
        <v>1845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6.43</v>
      </c>
    </row>
    <row r="212" spans="1:16" ht="19.5" customHeight="1">
      <c r="A212" s="172" t="s">
        <v>821</v>
      </c>
      <c r="B212" s="176">
        <v>46028</v>
      </c>
      <c r="C212" s="172" t="s">
        <v>100</v>
      </c>
      <c r="D212" s="172" t="s">
        <v>103</v>
      </c>
      <c r="E212" s="172" t="s">
        <v>53</v>
      </c>
      <c r="F212" s="172" t="s">
        <v>120</v>
      </c>
      <c r="G212" s="172" t="s">
        <v>84</v>
      </c>
      <c r="H212" s="177">
        <v>1</v>
      </c>
      <c r="I212" s="178">
        <v>1845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1195.71</v>
      </c>
    </row>
    <row r="213" spans="1:16" ht="19.5" customHeight="1">
      <c r="A213" s="172" t="s">
        <v>821</v>
      </c>
      <c r="B213" s="176">
        <v>46028</v>
      </c>
      <c r="C213" s="172" t="s">
        <v>104</v>
      </c>
      <c r="D213" s="172" t="s">
        <v>105</v>
      </c>
      <c r="E213" s="172" t="s">
        <v>53</v>
      </c>
      <c r="F213" s="172" t="s">
        <v>120</v>
      </c>
      <c r="G213" s="172" t="s">
        <v>84</v>
      </c>
      <c r="H213" s="177">
        <v>1</v>
      </c>
      <c r="I213" s="178">
        <v>1845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-793.35</v>
      </c>
    </row>
    <row r="214" spans="1:16" ht="19.5" customHeight="1">
      <c r="A214" s="172" t="s">
        <v>821</v>
      </c>
      <c r="B214" s="176">
        <v>46028</v>
      </c>
      <c r="C214" s="172" t="s">
        <v>81</v>
      </c>
      <c r="D214" s="172" t="s">
        <v>95</v>
      </c>
      <c r="E214" s="172" t="s">
        <v>53</v>
      </c>
      <c r="F214" s="172" t="s">
        <v>120</v>
      </c>
      <c r="G214" s="172" t="s">
        <v>84</v>
      </c>
      <c r="H214" s="177">
        <v>1</v>
      </c>
      <c r="I214" s="178">
        <v>1845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-9.24</v>
      </c>
    </row>
    <row r="215" spans="1:16" ht="19.5" customHeight="1">
      <c r="A215" s="172" t="s">
        <v>821</v>
      </c>
      <c r="B215" s="176">
        <v>46028</v>
      </c>
      <c r="C215" s="172" t="s">
        <v>81</v>
      </c>
      <c r="D215" s="172" t="s">
        <v>82</v>
      </c>
      <c r="E215" s="172" t="s">
        <v>53</v>
      </c>
      <c r="F215" s="172" t="s">
        <v>120</v>
      </c>
      <c r="G215" s="172" t="s">
        <v>84</v>
      </c>
      <c r="H215" s="177">
        <v>1</v>
      </c>
      <c r="I215" s="178">
        <v>0</v>
      </c>
      <c r="J215" s="176">
        <v>46022</v>
      </c>
      <c r="K215" s="172" t="s">
        <v>85</v>
      </c>
      <c r="L215" s="172" t="s">
        <v>85</v>
      </c>
      <c r="M215" s="179">
        <v>0</v>
      </c>
      <c r="N215" s="177"/>
      <c r="O215" s="177"/>
      <c r="P215" s="180">
        <v>-12.21</v>
      </c>
    </row>
    <row r="216" spans="1:16" ht="19.5" customHeight="1">
      <c r="A216" s="172" t="s">
        <v>822</v>
      </c>
      <c r="B216" s="176">
        <v>46028</v>
      </c>
      <c r="C216" s="172" t="s">
        <v>81</v>
      </c>
      <c r="D216" s="172" t="s">
        <v>82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0</v>
      </c>
      <c r="J216" s="176">
        <v>46028</v>
      </c>
      <c r="K216" s="172" t="s">
        <v>85</v>
      </c>
      <c r="L216" s="172" t="s">
        <v>85</v>
      </c>
      <c r="M216" s="179">
        <v>0</v>
      </c>
      <c r="N216" s="177"/>
      <c r="O216" s="177"/>
      <c r="P216" s="180">
        <v>-10.59</v>
      </c>
    </row>
    <row r="217" spans="1:16" ht="19.5" customHeight="1">
      <c r="A217" s="172" t="s">
        <v>823</v>
      </c>
      <c r="B217" s="176">
        <v>46028</v>
      </c>
      <c r="C217" s="172" t="s">
        <v>92</v>
      </c>
      <c r="D217" s="172" t="s">
        <v>24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0.43</v>
      </c>
      <c r="N217" s="177"/>
      <c r="O217" s="177">
        <v>42</v>
      </c>
      <c r="P217" s="180">
        <v>-134.12</v>
      </c>
    </row>
    <row r="218" spans="1:16" ht="19.5" customHeight="1">
      <c r="A218" s="172" t="s">
        <v>823</v>
      </c>
      <c r="B218" s="176">
        <v>46028</v>
      </c>
      <c r="C218" s="172" t="s">
        <v>100</v>
      </c>
      <c r="D218" s="172" t="s">
        <v>101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557.14</v>
      </c>
    </row>
    <row r="219" spans="1:16" ht="19.5" customHeight="1">
      <c r="A219" s="172" t="s">
        <v>823</v>
      </c>
      <c r="B219" s="176">
        <v>46028</v>
      </c>
      <c r="C219" s="172" t="s">
        <v>100</v>
      </c>
      <c r="D219" s="172" t="s">
        <v>102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</v>
      </c>
      <c r="N219" s="177"/>
      <c r="O219" s="177"/>
      <c r="P219" s="180">
        <v>5.57</v>
      </c>
    </row>
    <row r="220" spans="1:16" ht="19.5" customHeight="1">
      <c r="A220" s="172" t="s">
        <v>823</v>
      </c>
      <c r="B220" s="176">
        <v>46028</v>
      </c>
      <c r="C220" s="172" t="s">
        <v>100</v>
      </c>
      <c r="D220" s="172" t="s">
        <v>103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</v>
      </c>
      <c r="N220" s="177"/>
      <c r="O220" s="177"/>
      <c r="P220" s="180">
        <v>1058.29</v>
      </c>
    </row>
    <row r="221" spans="1:16" ht="19.5" customHeight="1">
      <c r="A221" s="172" t="s">
        <v>823</v>
      </c>
      <c r="B221" s="176">
        <v>46028</v>
      </c>
      <c r="C221" s="172" t="s">
        <v>104</v>
      </c>
      <c r="D221" s="172" t="s">
        <v>105</v>
      </c>
      <c r="E221" s="172" t="s">
        <v>52</v>
      </c>
      <c r="F221" s="172" t="s">
        <v>90</v>
      </c>
      <c r="G221" s="172" t="s">
        <v>84</v>
      </c>
      <c r="H221" s="177">
        <v>1</v>
      </c>
      <c r="I221" s="178">
        <v>1621</v>
      </c>
      <c r="J221" s="176">
        <v>46024</v>
      </c>
      <c r="K221" s="172" t="s">
        <v>93</v>
      </c>
      <c r="L221" s="172" t="s">
        <v>94</v>
      </c>
      <c r="M221" s="179">
        <v>0.43</v>
      </c>
      <c r="N221" s="177"/>
      <c r="O221" s="177"/>
      <c r="P221" s="180">
        <v>-697.03</v>
      </c>
    </row>
    <row r="222" spans="1:16" ht="19.5" customHeight="1">
      <c r="A222" s="172" t="s">
        <v>823</v>
      </c>
      <c r="B222" s="176">
        <v>46028</v>
      </c>
      <c r="C222" s="172" t="s">
        <v>81</v>
      </c>
      <c r="D222" s="172" t="s">
        <v>95</v>
      </c>
      <c r="E222" s="172" t="s">
        <v>52</v>
      </c>
      <c r="F222" s="172" t="s">
        <v>90</v>
      </c>
      <c r="G222" s="172" t="s">
        <v>84</v>
      </c>
      <c r="H222" s="177">
        <v>1</v>
      </c>
      <c r="I222" s="178">
        <v>1621</v>
      </c>
      <c r="J222" s="176">
        <v>46024</v>
      </c>
      <c r="K222" s="172" t="s">
        <v>93</v>
      </c>
      <c r="L222" s="172" t="s">
        <v>94</v>
      </c>
      <c r="M222" s="179">
        <v>0.43</v>
      </c>
      <c r="N222" s="177"/>
      <c r="O222" s="177"/>
      <c r="P222" s="180">
        <v>-9.09</v>
      </c>
    </row>
    <row r="223" spans="1:16" ht="19.5" customHeight="1">
      <c r="A223" s="172" t="s">
        <v>824</v>
      </c>
      <c r="B223" s="176">
        <v>46028</v>
      </c>
      <c r="C223" s="172" t="s">
        <v>92</v>
      </c>
      <c r="D223" s="172" t="s">
        <v>24</v>
      </c>
      <c r="E223" s="172" t="s">
        <v>42</v>
      </c>
      <c r="F223" s="172" t="s">
        <v>89</v>
      </c>
      <c r="G223" s="172" t="s">
        <v>84</v>
      </c>
      <c r="H223" s="177">
        <v>1</v>
      </c>
      <c r="I223" s="178">
        <v>0</v>
      </c>
      <c r="J223" s="176">
        <v>46021</v>
      </c>
      <c r="K223" s="172" t="s">
        <v>93</v>
      </c>
      <c r="L223" s="172" t="s">
        <v>94</v>
      </c>
      <c r="M223" s="179">
        <v>0</v>
      </c>
      <c r="N223" s="177"/>
      <c r="O223" s="177">
        <v>40</v>
      </c>
      <c r="P223" s="180">
        <v>-46.77</v>
      </c>
    </row>
    <row r="224" spans="1:16" ht="19.5" customHeight="1">
      <c r="A224" s="172" t="s">
        <v>824</v>
      </c>
      <c r="B224" s="176">
        <v>46028</v>
      </c>
      <c r="C224" s="172" t="s">
        <v>81</v>
      </c>
      <c r="D224" s="172" t="s">
        <v>95</v>
      </c>
      <c r="E224" s="172" t="s">
        <v>42</v>
      </c>
      <c r="F224" s="172" t="s">
        <v>89</v>
      </c>
      <c r="G224" s="172" t="s">
        <v>84</v>
      </c>
      <c r="H224" s="177">
        <v>1</v>
      </c>
      <c r="I224" s="178">
        <v>0</v>
      </c>
      <c r="J224" s="176">
        <v>46021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-8.43</v>
      </c>
    </row>
    <row r="225" spans="1:16" ht="19.5" customHeight="1">
      <c r="A225" s="172" t="s">
        <v>825</v>
      </c>
      <c r="B225" s="176">
        <v>46028</v>
      </c>
      <c r="C225" s="172" t="s">
        <v>81</v>
      </c>
      <c r="D225" s="172" t="s">
        <v>82</v>
      </c>
      <c r="E225" s="172" t="s">
        <v>41</v>
      </c>
      <c r="F225" s="172" t="s">
        <v>83</v>
      </c>
      <c r="G225" s="172" t="s">
        <v>84</v>
      </c>
      <c r="H225" s="177">
        <v>1</v>
      </c>
      <c r="I225" s="178">
        <v>0</v>
      </c>
      <c r="J225" s="176">
        <v>46028</v>
      </c>
      <c r="K225" s="172" t="s">
        <v>85</v>
      </c>
      <c r="L225" s="172" t="s">
        <v>85</v>
      </c>
      <c r="M225" s="179">
        <v>0</v>
      </c>
      <c r="N225" s="177"/>
      <c r="O225" s="177"/>
      <c r="P225" s="180">
        <v>-10.44</v>
      </c>
    </row>
    <row r="226" spans="1:16" ht="19.5" customHeight="1">
      <c r="A226" s="172" t="s">
        <v>824</v>
      </c>
      <c r="B226" s="176">
        <v>46028</v>
      </c>
      <c r="C226" s="172" t="s">
        <v>92</v>
      </c>
      <c r="D226" s="172" t="s">
        <v>96</v>
      </c>
      <c r="E226" s="172" t="s">
        <v>42</v>
      </c>
      <c r="F226" s="172" t="s">
        <v>89</v>
      </c>
      <c r="G226" s="172" t="s">
        <v>84</v>
      </c>
      <c r="H226" s="177">
        <v>1</v>
      </c>
      <c r="I226" s="178">
        <v>0</v>
      </c>
      <c r="J226" s="176">
        <v>46021</v>
      </c>
      <c r="K226" s="172" t="s">
        <v>93</v>
      </c>
      <c r="L226" s="172" t="s">
        <v>94</v>
      </c>
      <c r="M226" s="179">
        <v>0</v>
      </c>
      <c r="N226" s="177"/>
      <c r="O226" s="177"/>
      <c r="P226" s="180">
        <v>0</v>
      </c>
    </row>
    <row r="227" spans="1:16" ht="19.5" customHeight="1">
      <c r="A227" s="172" t="s">
        <v>824</v>
      </c>
      <c r="B227" s="176">
        <v>46028</v>
      </c>
      <c r="C227" s="172" t="s">
        <v>92</v>
      </c>
      <c r="D227" s="172" t="s">
        <v>97</v>
      </c>
      <c r="E227" s="172" t="s">
        <v>42</v>
      </c>
      <c r="F227" s="172" t="s">
        <v>89</v>
      </c>
      <c r="G227" s="172" t="s">
        <v>84</v>
      </c>
      <c r="H227" s="177">
        <v>1</v>
      </c>
      <c r="I227" s="178">
        <v>0</v>
      </c>
      <c r="J227" s="176">
        <v>46021</v>
      </c>
      <c r="K227" s="172" t="s">
        <v>93</v>
      </c>
      <c r="L227" s="172" t="s">
        <v>94</v>
      </c>
      <c r="M227" s="179">
        <v>0</v>
      </c>
      <c r="N227" s="177"/>
      <c r="O227" s="177"/>
      <c r="P227" s="180">
        <v>-46.77</v>
      </c>
    </row>
    <row r="228" spans="1:16" ht="19.5" customHeight="1">
      <c r="A228" s="172" t="s">
        <v>824</v>
      </c>
      <c r="B228" s="176">
        <v>46028</v>
      </c>
      <c r="C228" s="172" t="s">
        <v>81</v>
      </c>
      <c r="D228" s="172" t="s">
        <v>98</v>
      </c>
      <c r="E228" s="172" t="s">
        <v>42</v>
      </c>
      <c r="F228" s="172" t="s">
        <v>89</v>
      </c>
      <c r="G228" s="172" t="s">
        <v>84</v>
      </c>
      <c r="H228" s="177">
        <v>1</v>
      </c>
      <c r="I228" s="178">
        <v>0</v>
      </c>
      <c r="J228" s="176">
        <v>46021</v>
      </c>
      <c r="K228" s="172" t="s">
        <v>93</v>
      </c>
      <c r="L228" s="172" t="s">
        <v>94</v>
      </c>
      <c r="M228" s="179">
        <v>0</v>
      </c>
      <c r="N228" s="177"/>
      <c r="O228" s="177"/>
      <c r="P228" s="180">
        <v>-15</v>
      </c>
    </row>
    <row r="229" spans="1:16" ht="19.5" customHeight="1">
      <c r="A229" s="172" t="s">
        <v>826</v>
      </c>
      <c r="B229" s="176">
        <v>46028</v>
      </c>
      <c r="C229" s="172" t="s">
        <v>92</v>
      </c>
      <c r="D229" s="172" t="s">
        <v>24</v>
      </c>
      <c r="E229" s="172" t="s">
        <v>52</v>
      </c>
      <c r="F229" s="172" t="s">
        <v>90</v>
      </c>
      <c r="G229" s="172" t="s">
        <v>84</v>
      </c>
      <c r="H229" s="177">
        <v>1</v>
      </c>
      <c r="I229" s="178">
        <v>1621</v>
      </c>
      <c r="J229" s="176">
        <v>46026</v>
      </c>
      <c r="K229" s="172" t="s">
        <v>93</v>
      </c>
      <c r="L229" s="172" t="s">
        <v>94</v>
      </c>
      <c r="M229" s="179">
        <v>0.43</v>
      </c>
      <c r="N229" s="177"/>
      <c r="O229" s="177">
        <v>46</v>
      </c>
      <c r="P229" s="180">
        <v>-150.56</v>
      </c>
    </row>
    <row r="230" spans="1:16" ht="19.5" customHeight="1">
      <c r="A230" s="172" t="s">
        <v>826</v>
      </c>
      <c r="B230" s="176">
        <v>46028</v>
      </c>
      <c r="C230" s="172" t="s">
        <v>100</v>
      </c>
      <c r="D230" s="172" t="s">
        <v>101</v>
      </c>
      <c r="E230" s="172" t="s">
        <v>52</v>
      </c>
      <c r="F230" s="172" t="s">
        <v>90</v>
      </c>
      <c r="G230" s="172" t="s">
        <v>84</v>
      </c>
      <c r="H230" s="177">
        <v>1</v>
      </c>
      <c r="I230" s="178">
        <v>1621</v>
      </c>
      <c r="J230" s="176">
        <v>46026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557.14</v>
      </c>
    </row>
    <row r="231" spans="1:16" ht="19.5" customHeight="1">
      <c r="A231" s="172" t="s">
        <v>826</v>
      </c>
      <c r="B231" s="176">
        <v>46028</v>
      </c>
      <c r="C231" s="172" t="s">
        <v>100</v>
      </c>
      <c r="D231" s="172" t="s">
        <v>102</v>
      </c>
      <c r="E231" s="172" t="s">
        <v>52</v>
      </c>
      <c r="F231" s="172" t="s">
        <v>90</v>
      </c>
      <c r="G231" s="172" t="s">
        <v>84</v>
      </c>
      <c r="H231" s="177">
        <v>1</v>
      </c>
      <c r="I231" s="178">
        <v>1621</v>
      </c>
      <c r="J231" s="176">
        <v>46026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5.57</v>
      </c>
    </row>
    <row r="232" spans="1:16" ht="19.5" customHeight="1">
      <c r="A232" s="172" t="s">
        <v>826</v>
      </c>
      <c r="B232" s="176">
        <v>46028</v>
      </c>
      <c r="C232" s="172" t="s">
        <v>100</v>
      </c>
      <c r="D232" s="172" t="s">
        <v>103</v>
      </c>
      <c r="E232" s="172" t="s">
        <v>52</v>
      </c>
      <c r="F232" s="172" t="s">
        <v>90</v>
      </c>
      <c r="G232" s="172" t="s">
        <v>84</v>
      </c>
      <c r="H232" s="177">
        <v>1</v>
      </c>
      <c r="I232" s="178">
        <v>1621</v>
      </c>
      <c r="J232" s="176">
        <v>46026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1058.29</v>
      </c>
    </row>
    <row r="233" spans="1:16" ht="19.5" customHeight="1">
      <c r="A233" s="172" t="s">
        <v>826</v>
      </c>
      <c r="B233" s="176">
        <v>46028</v>
      </c>
      <c r="C233" s="172" t="s">
        <v>104</v>
      </c>
      <c r="D233" s="172" t="s">
        <v>105</v>
      </c>
      <c r="E233" s="172" t="s">
        <v>52</v>
      </c>
      <c r="F233" s="172" t="s">
        <v>90</v>
      </c>
      <c r="G233" s="172" t="s">
        <v>84</v>
      </c>
      <c r="H233" s="177">
        <v>1</v>
      </c>
      <c r="I233" s="178">
        <v>1621</v>
      </c>
      <c r="J233" s="176">
        <v>46026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-697.03</v>
      </c>
    </row>
    <row r="234" spans="1:16" ht="19.5" customHeight="1">
      <c r="A234" s="172" t="s">
        <v>826</v>
      </c>
      <c r="B234" s="176">
        <v>46028</v>
      </c>
      <c r="C234" s="172" t="s">
        <v>81</v>
      </c>
      <c r="D234" s="172" t="s">
        <v>95</v>
      </c>
      <c r="E234" s="172" t="s">
        <v>52</v>
      </c>
      <c r="F234" s="172" t="s">
        <v>90</v>
      </c>
      <c r="G234" s="172" t="s">
        <v>84</v>
      </c>
      <c r="H234" s="177">
        <v>1</v>
      </c>
      <c r="I234" s="178">
        <v>1621</v>
      </c>
      <c r="J234" s="176">
        <v>46026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-8.4700000000000006</v>
      </c>
    </row>
    <row r="235" spans="1:16" ht="19.5" customHeight="1">
      <c r="A235" s="172" t="s">
        <v>826</v>
      </c>
      <c r="B235" s="176">
        <v>46028</v>
      </c>
      <c r="C235" s="172" t="s">
        <v>81</v>
      </c>
      <c r="D235" s="172" t="s">
        <v>82</v>
      </c>
      <c r="E235" s="172" t="s">
        <v>52</v>
      </c>
      <c r="F235" s="172" t="s">
        <v>90</v>
      </c>
      <c r="G235" s="172" t="s">
        <v>84</v>
      </c>
      <c r="H235" s="177">
        <v>1</v>
      </c>
      <c r="I235" s="178">
        <v>0</v>
      </c>
      <c r="J235" s="176">
        <v>46026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-10.59</v>
      </c>
    </row>
    <row r="236" spans="1:16" ht="19.5" customHeight="1">
      <c r="A236" s="172" t="s">
        <v>827</v>
      </c>
      <c r="B236" s="176">
        <v>46028</v>
      </c>
      <c r="C236" s="172" t="s">
        <v>92</v>
      </c>
      <c r="D236" s="172" t="s">
        <v>24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1621</v>
      </c>
      <c r="J236" s="176">
        <v>46026</v>
      </c>
      <c r="K236" s="172" t="s">
        <v>93</v>
      </c>
      <c r="L236" s="172" t="s">
        <v>94</v>
      </c>
      <c r="M236" s="179">
        <v>0.43</v>
      </c>
      <c r="N236" s="177"/>
      <c r="O236" s="177">
        <v>46</v>
      </c>
      <c r="P236" s="180">
        <v>-152.15</v>
      </c>
    </row>
    <row r="237" spans="1:16" ht="19.5" customHeight="1">
      <c r="A237" s="172" t="s">
        <v>827</v>
      </c>
      <c r="B237" s="176">
        <v>46028</v>
      </c>
      <c r="C237" s="172" t="s">
        <v>100</v>
      </c>
      <c r="D237" s="172" t="s">
        <v>101</v>
      </c>
      <c r="E237" s="172" t="s">
        <v>52</v>
      </c>
      <c r="F237" s="172" t="s">
        <v>90</v>
      </c>
      <c r="G237" s="172" t="s">
        <v>84</v>
      </c>
      <c r="H237" s="177">
        <v>1</v>
      </c>
      <c r="I237" s="178">
        <v>1621</v>
      </c>
      <c r="J237" s="176">
        <v>46026</v>
      </c>
      <c r="K237" s="172" t="s">
        <v>93</v>
      </c>
      <c r="L237" s="172" t="s">
        <v>94</v>
      </c>
      <c r="M237" s="179">
        <v>0</v>
      </c>
      <c r="N237" s="177"/>
      <c r="O237" s="177"/>
      <c r="P237" s="180">
        <v>557.14</v>
      </c>
    </row>
    <row r="238" spans="1:16" ht="19.5" customHeight="1">
      <c r="A238" s="172" t="s">
        <v>827</v>
      </c>
      <c r="B238" s="176">
        <v>46028</v>
      </c>
      <c r="C238" s="172" t="s">
        <v>100</v>
      </c>
      <c r="D238" s="172" t="s">
        <v>102</v>
      </c>
      <c r="E238" s="172" t="s">
        <v>52</v>
      </c>
      <c r="F238" s="172" t="s">
        <v>90</v>
      </c>
      <c r="G238" s="172" t="s">
        <v>84</v>
      </c>
      <c r="H238" s="177">
        <v>1</v>
      </c>
      <c r="I238" s="178">
        <v>1621</v>
      </c>
      <c r="J238" s="176">
        <v>46026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5.57</v>
      </c>
    </row>
    <row r="239" spans="1:16" ht="19.5" customHeight="1">
      <c r="A239" s="172" t="s">
        <v>827</v>
      </c>
      <c r="B239" s="176">
        <v>46028</v>
      </c>
      <c r="C239" s="172" t="s">
        <v>100</v>
      </c>
      <c r="D239" s="172" t="s">
        <v>103</v>
      </c>
      <c r="E239" s="172" t="s">
        <v>52</v>
      </c>
      <c r="F239" s="172" t="s">
        <v>90</v>
      </c>
      <c r="G239" s="172" t="s">
        <v>84</v>
      </c>
      <c r="H239" s="177">
        <v>1</v>
      </c>
      <c r="I239" s="178">
        <v>1621</v>
      </c>
      <c r="J239" s="176">
        <v>46026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1058.29</v>
      </c>
    </row>
    <row r="240" spans="1:16" ht="19.5" customHeight="1">
      <c r="A240" s="172" t="s">
        <v>827</v>
      </c>
      <c r="B240" s="176">
        <v>46028</v>
      </c>
      <c r="C240" s="172" t="s">
        <v>104</v>
      </c>
      <c r="D240" s="172" t="s">
        <v>105</v>
      </c>
      <c r="E240" s="172" t="s">
        <v>52</v>
      </c>
      <c r="F240" s="172" t="s">
        <v>90</v>
      </c>
      <c r="G240" s="172" t="s">
        <v>84</v>
      </c>
      <c r="H240" s="177">
        <v>1</v>
      </c>
      <c r="I240" s="178">
        <v>1621</v>
      </c>
      <c r="J240" s="176">
        <v>46026</v>
      </c>
      <c r="K240" s="172" t="s">
        <v>93</v>
      </c>
      <c r="L240" s="172" t="s">
        <v>94</v>
      </c>
      <c r="M240" s="179">
        <v>0.43</v>
      </c>
      <c r="N240" s="177"/>
      <c r="O240" s="177"/>
      <c r="P240" s="180">
        <v>-697.03</v>
      </c>
    </row>
    <row r="241" spans="1:16" ht="19.5" customHeight="1">
      <c r="A241" s="172" t="s">
        <v>827</v>
      </c>
      <c r="B241" s="176">
        <v>46028</v>
      </c>
      <c r="C241" s="172" t="s">
        <v>81</v>
      </c>
      <c r="D241" s="172" t="s">
        <v>95</v>
      </c>
      <c r="E241" s="172" t="s">
        <v>52</v>
      </c>
      <c r="F241" s="172" t="s">
        <v>90</v>
      </c>
      <c r="G241" s="172" t="s">
        <v>84</v>
      </c>
      <c r="H241" s="177">
        <v>1</v>
      </c>
      <c r="I241" s="178">
        <v>1621</v>
      </c>
      <c r="J241" s="176">
        <v>46026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-8.92</v>
      </c>
    </row>
    <row r="242" spans="1:16" ht="19.5" customHeight="1">
      <c r="A242" s="172" t="s">
        <v>828</v>
      </c>
      <c r="B242" s="176">
        <v>46028</v>
      </c>
      <c r="C242" s="172" t="s">
        <v>81</v>
      </c>
      <c r="D242" s="172" t="s">
        <v>82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0</v>
      </c>
      <c r="J242" s="176">
        <v>46028</v>
      </c>
      <c r="K242" s="172" t="s">
        <v>85</v>
      </c>
      <c r="L242" s="172" t="s">
        <v>85</v>
      </c>
      <c r="M242" s="179">
        <v>0</v>
      </c>
      <c r="N242" s="177"/>
      <c r="O242" s="177"/>
      <c r="P242" s="180">
        <v>-3.77</v>
      </c>
    </row>
    <row r="243" spans="1:16" ht="19.5" customHeight="1">
      <c r="A243" s="172" t="s">
        <v>829</v>
      </c>
      <c r="B243" s="176">
        <v>46028</v>
      </c>
      <c r="C243" s="172" t="s">
        <v>92</v>
      </c>
      <c r="D243" s="172" t="s">
        <v>24</v>
      </c>
      <c r="E243" s="172" t="s">
        <v>52</v>
      </c>
      <c r="F243" s="172" t="s">
        <v>90</v>
      </c>
      <c r="G243" s="172" t="s">
        <v>84</v>
      </c>
      <c r="H243" s="177">
        <v>1</v>
      </c>
      <c r="I243" s="178">
        <v>0</v>
      </c>
      <c r="J243" s="176">
        <v>46018</v>
      </c>
      <c r="K243" s="172" t="s">
        <v>93</v>
      </c>
      <c r="L243" s="172" t="s">
        <v>94</v>
      </c>
      <c r="M243" s="179">
        <v>0</v>
      </c>
      <c r="N243" s="177"/>
      <c r="O243" s="177">
        <v>42</v>
      </c>
      <c r="P243" s="180">
        <v>-56</v>
      </c>
    </row>
    <row r="244" spans="1:16" ht="19.5" customHeight="1">
      <c r="A244" s="172" t="s">
        <v>829</v>
      </c>
      <c r="B244" s="176">
        <v>46028</v>
      </c>
      <c r="C244" s="172" t="s">
        <v>92</v>
      </c>
      <c r="D244" s="172" t="s">
        <v>96</v>
      </c>
      <c r="E244" s="172" t="s">
        <v>52</v>
      </c>
      <c r="F244" s="172" t="s">
        <v>90</v>
      </c>
      <c r="G244" s="172" t="s">
        <v>84</v>
      </c>
      <c r="H244" s="177">
        <v>1</v>
      </c>
      <c r="I244" s="178">
        <v>0</v>
      </c>
      <c r="J244" s="176">
        <v>46018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0</v>
      </c>
    </row>
    <row r="245" spans="1:16" ht="19.5" customHeight="1">
      <c r="A245" s="172" t="s">
        <v>829</v>
      </c>
      <c r="B245" s="176">
        <v>46028</v>
      </c>
      <c r="C245" s="172" t="s">
        <v>92</v>
      </c>
      <c r="D245" s="172" t="s">
        <v>97</v>
      </c>
      <c r="E245" s="172" t="s">
        <v>52</v>
      </c>
      <c r="F245" s="172" t="s">
        <v>90</v>
      </c>
      <c r="G245" s="172" t="s">
        <v>84</v>
      </c>
      <c r="H245" s="177">
        <v>1</v>
      </c>
      <c r="I245" s="178">
        <v>0</v>
      </c>
      <c r="J245" s="176">
        <v>46018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-56</v>
      </c>
    </row>
    <row r="246" spans="1:16" ht="19.5" customHeight="1">
      <c r="A246" s="172" t="s">
        <v>829</v>
      </c>
      <c r="B246" s="176">
        <v>46028</v>
      </c>
      <c r="C246" s="172" t="s">
        <v>81</v>
      </c>
      <c r="D246" s="172" t="s">
        <v>98</v>
      </c>
      <c r="E246" s="172" t="s">
        <v>52</v>
      </c>
      <c r="F246" s="172" t="s">
        <v>90</v>
      </c>
      <c r="G246" s="172" t="s">
        <v>84</v>
      </c>
      <c r="H246" s="177">
        <v>1</v>
      </c>
      <c r="I246" s="178">
        <v>0</v>
      </c>
      <c r="J246" s="176">
        <v>46018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-15</v>
      </c>
    </row>
    <row r="247" spans="1:16" ht="19.5" customHeight="1">
      <c r="A247" s="172" t="s">
        <v>830</v>
      </c>
      <c r="B247" s="176">
        <v>46028</v>
      </c>
      <c r="C247" s="172" t="s">
        <v>81</v>
      </c>
      <c r="D247" s="172" t="s">
        <v>82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0</v>
      </c>
      <c r="J247" s="176">
        <v>46028</v>
      </c>
      <c r="K247" s="172" t="s">
        <v>85</v>
      </c>
      <c r="L247" s="172" t="s">
        <v>85</v>
      </c>
      <c r="M247" s="179">
        <v>0</v>
      </c>
      <c r="N247" s="177"/>
      <c r="O247" s="177"/>
      <c r="P247" s="180">
        <v>-12.5</v>
      </c>
    </row>
    <row r="248" spans="1:16" ht="19.5" customHeight="1">
      <c r="A248" s="172" t="s">
        <v>831</v>
      </c>
      <c r="B248" s="176">
        <v>46028</v>
      </c>
      <c r="C248" s="172" t="s">
        <v>81</v>
      </c>
      <c r="D248" s="172" t="s">
        <v>82</v>
      </c>
      <c r="E248" s="172" t="s">
        <v>52</v>
      </c>
      <c r="F248" s="172" t="s">
        <v>90</v>
      </c>
      <c r="G248" s="172" t="s">
        <v>84</v>
      </c>
      <c r="H248" s="177">
        <v>1</v>
      </c>
      <c r="I248" s="178">
        <v>0</v>
      </c>
      <c r="J248" s="176">
        <v>46028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-6.32</v>
      </c>
    </row>
    <row r="249" spans="1:16" ht="19.5" customHeight="1">
      <c r="A249" s="172" t="s">
        <v>832</v>
      </c>
      <c r="B249" s="176">
        <v>46028</v>
      </c>
      <c r="C249" s="172" t="s">
        <v>92</v>
      </c>
      <c r="D249" s="172" t="s">
        <v>24</v>
      </c>
      <c r="E249" s="172" t="s">
        <v>43</v>
      </c>
      <c r="F249" s="172" t="s">
        <v>125</v>
      </c>
      <c r="G249" s="172" t="s">
        <v>84</v>
      </c>
      <c r="H249" s="177">
        <v>1</v>
      </c>
      <c r="I249" s="178">
        <v>1202</v>
      </c>
      <c r="J249" s="176">
        <v>46026</v>
      </c>
      <c r="K249" s="172" t="s">
        <v>93</v>
      </c>
      <c r="L249" s="172" t="s">
        <v>94</v>
      </c>
      <c r="M249" s="179">
        <v>0.43</v>
      </c>
      <c r="N249" s="177"/>
      <c r="O249" s="177">
        <v>46</v>
      </c>
      <c r="P249" s="180">
        <v>-120.51</v>
      </c>
    </row>
    <row r="250" spans="1:16" ht="19.5" customHeight="1">
      <c r="A250" s="172" t="s">
        <v>832</v>
      </c>
      <c r="B250" s="176">
        <v>46028</v>
      </c>
      <c r="C250" s="172" t="s">
        <v>100</v>
      </c>
      <c r="D250" s="172" t="s">
        <v>101</v>
      </c>
      <c r="E250" s="172" t="s">
        <v>43</v>
      </c>
      <c r="F250" s="172" t="s">
        <v>125</v>
      </c>
      <c r="G250" s="172" t="s">
        <v>84</v>
      </c>
      <c r="H250" s="177">
        <v>1</v>
      </c>
      <c r="I250" s="178">
        <v>1202</v>
      </c>
      <c r="J250" s="176">
        <v>46026</v>
      </c>
      <c r="K250" s="172" t="s">
        <v>93</v>
      </c>
      <c r="L250" s="172" t="s">
        <v>94</v>
      </c>
      <c r="M250" s="179">
        <v>0</v>
      </c>
      <c r="N250" s="177"/>
      <c r="O250" s="177"/>
      <c r="P250" s="180">
        <v>457.22</v>
      </c>
    </row>
    <row r="251" spans="1:16" ht="19.5" customHeight="1">
      <c r="A251" s="172" t="s">
        <v>832</v>
      </c>
      <c r="B251" s="176">
        <v>46028</v>
      </c>
      <c r="C251" s="172" t="s">
        <v>100</v>
      </c>
      <c r="D251" s="172" t="s">
        <v>102</v>
      </c>
      <c r="E251" s="172" t="s">
        <v>43</v>
      </c>
      <c r="F251" s="172" t="s">
        <v>125</v>
      </c>
      <c r="G251" s="172" t="s">
        <v>84</v>
      </c>
      <c r="H251" s="177">
        <v>1</v>
      </c>
      <c r="I251" s="178">
        <v>1202</v>
      </c>
      <c r="J251" s="176">
        <v>46026</v>
      </c>
      <c r="K251" s="172" t="s">
        <v>93</v>
      </c>
      <c r="L251" s="172" t="s">
        <v>94</v>
      </c>
      <c r="M251" s="179">
        <v>0</v>
      </c>
      <c r="N251" s="177"/>
      <c r="O251" s="177"/>
      <c r="P251" s="180">
        <v>4.57</v>
      </c>
    </row>
    <row r="252" spans="1:16" ht="19.5" customHeight="1">
      <c r="A252" s="172" t="s">
        <v>832</v>
      </c>
      <c r="B252" s="176">
        <v>46028</v>
      </c>
      <c r="C252" s="172" t="s">
        <v>100</v>
      </c>
      <c r="D252" s="172" t="s">
        <v>103</v>
      </c>
      <c r="E252" s="172" t="s">
        <v>43</v>
      </c>
      <c r="F252" s="172" t="s">
        <v>125</v>
      </c>
      <c r="G252" s="172" t="s">
        <v>84</v>
      </c>
      <c r="H252" s="177">
        <v>1</v>
      </c>
      <c r="I252" s="178">
        <v>1202</v>
      </c>
      <c r="J252" s="176">
        <v>46026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740.21</v>
      </c>
    </row>
    <row r="253" spans="1:16" ht="19.5" customHeight="1">
      <c r="A253" s="172" t="s">
        <v>832</v>
      </c>
      <c r="B253" s="176">
        <v>46028</v>
      </c>
      <c r="C253" s="172" t="s">
        <v>104</v>
      </c>
      <c r="D253" s="172" t="s">
        <v>105</v>
      </c>
      <c r="E253" s="172" t="s">
        <v>43</v>
      </c>
      <c r="F253" s="172" t="s">
        <v>125</v>
      </c>
      <c r="G253" s="172" t="s">
        <v>84</v>
      </c>
      <c r="H253" s="177">
        <v>1</v>
      </c>
      <c r="I253" s="178">
        <v>1202</v>
      </c>
      <c r="J253" s="176">
        <v>46026</v>
      </c>
      <c r="K253" s="172" t="s">
        <v>93</v>
      </c>
      <c r="L253" s="172" t="s">
        <v>94</v>
      </c>
      <c r="M253" s="179">
        <v>0.43</v>
      </c>
      <c r="N253" s="177"/>
      <c r="O253" s="177"/>
      <c r="P253" s="180">
        <v>-516.86</v>
      </c>
    </row>
    <row r="254" spans="1:16" ht="19.5" customHeight="1">
      <c r="A254" s="172" t="s">
        <v>832</v>
      </c>
      <c r="B254" s="176">
        <v>46028</v>
      </c>
      <c r="C254" s="172" t="s">
        <v>81</v>
      </c>
      <c r="D254" s="172" t="s">
        <v>95</v>
      </c>
      <c r="E254" s="172" t="s">
        <v>43</v>
      </c>
      <c r="F254" s="172" t="s">
        <v>125</v>
      </c>
      <c r="G254" s="172" t="s">
        <v>84</v>
      </c>
      <c r="H254" s="177">
        <v>1</v>
      </c>
      <c r="I254" s="178">
        <v>1202</v>
      </c>
      <c r="J254" s="176">
        <v>46026</v>
      </c>
      <c r="K254" s="172" t="s">
        <v>93</v>
      </c>
      <c r="L254" s="172" t="s">
        <v>94</v>
      </c>
      <c r="M254" s="179">
        <v>0.43</v>
      </c>
      <c r="N254" s="177"/>
      <c r="O254" s="177"/>
      <c r="P254" s="180">
        <v>-10.87</v>
      </c>
    </row>
    <row r="255" spans="1:16" ht="19.5" customHeight="1">
      <c r="A255" s="172" t="s">
        <v>833</v>
      </c>
      <c r="B255" s="176">
        <v>46028</v>
      </c>
      <c r="C255" s="172" t="s">
        <v>92</v>
      </c>
      <c r="D255" s="172" t="s">
        <v>24</v>
      </c>
      <c r="E255" s="172" t="s">
        <v>41</v>
      </c>
      <c r="F255" s="172" t="s">
        <v>83</v>
      </c>
      <c r="G255" s="172" t="s">
        <v>84</v>
      </c>
      <c r="H255" s="177">
        <v>1</v>
      </c>
      <c r="I255" s="178">
        <v>1600</v>
      </c>
      <c r="J255" s="176">
        <v>46020</v>
      </c>
      <c r="K255" s="172" t="s">
        <v>93</v>
      </c>
      <c r="L255" s="172" t="s">
        <v>94</v>
      </c>
      <c r="M255" s="179">
        <v>0.43</v>
      </c>
      <c r="N255" s="177"/>
      <c r="O255" s="177">
        <v>41</v>
      </c>
      <c r="P255" s="180">
        <v>-115.23</v>
      </c>
    </row>
    <row r="256" spans="1:16" ht="19.5" customHeight="1">
      <c r="A256" s="172" t="s">
        <v>833</v>
      </c>
      <c r="B256" s="176">
        <v>46028</v>
      </c>
      <c r="C256" s="172" t="s">
        <v>100</v>
      </c>
      <c r="D256" s="172" t="s">
        <v>101</v>
      </c>
      <c r="E256" s="172" t="s">
        <v>41</v>
      </c>
      <c r="F256" s="172" t="s">
        <v>83</v>
      </c>
      <c r="G256" s="172" t="s">
        <v>84</v>
      </c>
      <c r="H256" s="177">
        <v>1</v>
      </c>
      <c r="I256" s="178">
        <v>1600</v>
      </c>
      <c r="J256" s="176">
        <v>46020</v>
      </c>
      <c r="K256" s="172" t="s">
        <v>93</v>
      </c>
      <c r="L256" s="172" t="s">
        <v>94</v>
      </c>
      <c r="M256" s="179">
        <v>0</v>
      </c>
      <c r="N256" s="177"/>
      <c r="O256" s="177"/>
      <c r="P256" s="180">
        <v>608.94000000000005</v>
      </c>
    </row>
    <row r="257" spans="1:16" ht="19.5" customHeight="1">
      <c r="A257" s="172" t="s">
        <v>833</v>
      </c>
      <c r="B257" s="176">
        <v>46028</v>
      </c>
      <c r="C257" s="172" t="s">
        <v>100</v>
      </c>
      <c r="D257" s="172" t="s">
        <v>102</v>
      </c>
      <c r="E257" s="172" t="s">
        <v>41</v>
      </c>
      <c r="F257" s="172" t="s">
        <v>83</v>
      </c>
      <c r="G257" s="172" t="s">
        <v>84</v>
      </c>
      <c r="H257" s="177">
        <v>1</v>
      </c>
      <c r="I257" s="178">
        <v>1600</v>
      </c>
      <c r="J257" s="176">
        <v>46020</v>
      </c>
      <c r="K257" s="172" t="s">
        <v>93</v>
      </c>
      <c r="L257" s="172" t="s">
        <v>94</v>
      </c>
      <c r="M257" s="179">
        <v>0</v>
      </c>
      <c r="N257" s="177"/>
      <c r="O257" s="177"/>
      <c r="P257" s="180">
        <v>0</v>
      </c>
    </row>
    <row r="258" spans="1:16" ht="19.5" customHeight="1">
      <c r="A258" s="172" t="s">
        <v>833</v>
      </c>
      <c r="B258" s="176">
        <v>46028</v>
      </c>
      <c r="C258" s="172" t="s">
        <v>100</v>
      </c>
      <c r="D258" s="172" t="s">
        <v>103</v>
      </c>
      <c r="E258" s="172" t="s">
        <v>41</v>
      </c>
      <c r="F258" s="172" t="s">
        <v>83</v>
      </c>
      <c r="G258" s="172" t="s">
        <v>84</v>
      </c>
      <c r="H258" s="177">
        <v>1</v>
      </c>
      <c r="I258" s="178">
        <v>1600</v>
      </c>
      <c r="J258" s="176">
        <v>46020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991.06</v>
      </c>
    </row>
    <row r="259" spans="1:16" ht="19.5" customHeight="1">
      <c r="A259" s="172" t="s">
        <v>833</v>
      </c>
      <c r="B259" s="176">
        <v>46028</v>
      </c>
      <c r="C259" s="172" t="s">
        <v>104</v>
      </c>
      <c r="D259" s="172" t="s">
        <v>105</v>
      </c>
      <c r="E259" s="172" t="s">
        <v>41</v>
      </c>
      <c r="F259" s="172" t="s">
        <v>83</v>
      </c>
      <c r="G259" s="172" t="s">
        <v>84</v>
      </c>
      <c r="H259" s="177">
        <v>1</v>
      </c>
      <c r="I259" s="178">
        <v>1600</v>
      </c>
      <c r="J259" s="176">
        <v>46020</v>
      </c>
      <c r="K259" s="172" t="s">
        <v>93</v>
      </c>
      <c r="L259" s="172" t="s">
        <v>94</v>
      </c>
      <c r="M259" s="179">
        <v>0.43</v>
      </c>
      <c r="N259" s="177"/>
      <c r="O259" s="177"/>
      <c r="P259" s="180">
        <v>-688</v>
      </c>
    </row>
    <row r="260" spans="1:16" ht="19.5" customHeight="1">
      <c r="A260" s="172" t="s">
        <v>834</v>
      </c>
      <c r="B260" s="176">
        <v>46028</v>
      </c>
      <c r="C260" s="172" t="s">
        <v>92</v>
      </c>
      <c r="D260" s="172" t="s">
        <v>24</v>
      </c>
      <c r="E260" s="172" t="s">
        <v>41</v>
      </c>
      <c r="F260" s="172" t="s">
        <v>83</v>
      </c>
      <c r="G260" s="172" t="s">
        <v>84</v>
      </c>
      <c r="H260" s="177">
        <v>1</v>
      </c>
      <c r="I260" s="178">
        <v>1600</v>
      </c>
      <c r="J260" s="176">
        <v>46025</v>
      </c>
      <c r="K260" s="172" t="s">
        <v>93</v>
      </c>
      <c r="L260" s="172" t="s">
        <v>94</v>
      </c>
      <c r="M260" s="179">
        <v>0.43</v>
      </c>
      <c r="N260" s="177"/>
      <c r="O260" s="177">
        <v>44</v>
      </c>
      <c r="P260" s="180">
        <v>-125.38</v>
      </c>
    </row>
    <row r="261" spans="1:16" ht="19.5" customHeight="1">
      <c r="A261" s="172" t="s">
        <v>834</v>
      </c>
      <c r="B261" s="176">
        <v>46028</v>
      </c>
      <c r="C261" s="172" t="s">
        <v>100</v>
      </c>
      <c r="D261" s="172" t="s">
        <v>101</v>
      </c>
      <c r="E261" s="172" t="s">
        <v>41</v>
      </c>
      <c r="F261" s="172" t="s">
        <v>83</v>
      </c>
      <c r="G261" s="172" t="s">
        <v>84</v>
      </c>
      <c r="H261" s="177">
        <v>1</v>
      </c>
      <c r="I261" s="178">
        <v>1600</v>
      </c>
      <c r="J261" s="176">
        <v>46025</v>
      </c>
      <c r="K261" s="172" t="s">
        <v>93</v>
      </c>
      <c r="L261" s="172" t="s">
        <v>94</v>
      </c>
      <c r="M261" s="179">
        <v>0</v>
      </c>
      <c r="N261" s="177"/>
      <c r="O261" s="177"/>
      <c r="P261" s="180">
        <v>549.52</v>
      </c>
    </row>
    <row r="262" spans="1:16" ht="19.5" customHeight="1">
      <c r="A262" s="172" t="s">
        <v>834</v>
      </c>
      <c r="B262" s="176">
        <v>46028</v>
      </c>
      <c r="C262" s="172" t="s">
        <v>100</v>
      </c>
      <c r="D262" s="172" t="s">
        <v>102</v>
      </c>
      <c r="E262" s="172" t="s">
        <v>41</v>
      </c>
      <c r="F262" s="172" t="s">
        <v>83</v>
      </c>
      <c r="G262" s="172" t="s">
        <v>84</v>
      </c>
      <c r="H262" s="177">
        <v>1</v>
      </c>
      <c r="I262" s="178">
        <v>1600</v>
      </c>
      <c r="J262" s="176">
        <v>46025</v>
      </c>
      <c r="K262" s="172" t="s">
        <v>93</v>
      </c>
      <c r="L262" s="172" t="s">
        <v>94</v>
      </c>
      <c r="M262" s="179">
        <v>0</v>
      </c>
      <c r="N262" s="177"/>
      <c r="O262" s="177"/>
      <c r="P262" s="180">
        <v>5.5</v>
      </c>
    </row>
    <row r="263" spans="1:16" ht="19.5" customHeight="1">
      <c r="A263" s="172" t="s">
        <v>834</v>
      </c>
      <c r="B263" s="176">
        <v>46028</v>
      </c>
      <c r="C263" s="172" t="s">
        <v>100</v>
      </c>
      <c r="D263" s="172" t="s">
        <v>103</v>
      </c>
      <c r="E263" s="172" t="s">
        <v>41</v>
      </c>
      <c r="F263" s="172" t="s">
        <v>83</v>
      </c>
      <c r="G263" s="172" t="s">
        <v>84</v>
      </c>
      <c r="H263" s="177">
        <v>1</v>
      </c>
      <c r="I263" s="178">
        <v>1600</v>
      </c>
      <c r="J263" s="176">
        <v>46025</v>
      </c>
      <c r="K263" s="172" t="s">
        <v>93</v>
      </c>
      <c r="L263" s="172" t="s">
        <v>94</v>
      </c>
      <c r="M263" s="179">
        <v>0</v>
      </c>
      <c r="N263" s="177"/>
      <c r="O263" s="177"/>
      <c r="P263" s="180">
        <v>1044.98</v>
      </c>
    </row>
    <row r="264" spans="1:16" ht="19.5" customHeight="1">
      <c r="A264" s="172" t="s">
        <v>834</v>
      </c>
      <c r="B264" s="176">
        <v>46028</v>
      </c>
      <c r="C264" s="172" t="s">
        <v>104</v>
      </c>
      <c r="D264" s="172" t="s">
        <v>105</v>
      </c>
      <c r="E264" s="172" t="s">
        <v>41</v>
      </c>
      <c r="F264" s="172" t="s">
        <v>83</v>
      </c>
      <c r="G264" s="172" t="s">
        <v>84</v>
      </c>
      <c r="H264" s="177">
        <v>1</v>
      </c>
      <c r="I264" s="178">
        <v>1600</v>
      </c>
      <c r="J264" s="176">
        <v>46025</v>
      </c>
      <c r="K264" s="172" t="s">
        <v>93</v>
      </c>
      <c r="L264" s="172" t="s">
        <v>94</v>
      </c>
      <c r="M264" s="179">
        <v>0.43</v>
      </c>
      <c r="N264" s="177"/>
      <c r="O264" s="177"/>
      <c r="P264" s="180">
        <v>-688</v>
      </c>
    </row>
    <row r="265" spans="1:16" ht="19.5" customHeight="1">
      <c r="A265" s="172" t="s">
        <v>834</v>
      </c>
      <c r="B265" s="176">
        <v>46028</v>
      </c>
      <c r="C265" s="172" t="s">
        <v>81</v>
      </c>
      <c r="D265" s="172" t="s">
        <v>95</v>
      </c>
      <c r="E265" s="172" t="s">
        <v>41</v>
      </c>
      <c r="F265" s="172" t="s">
        <v>83</v>
      </c>
      <c r="G265" s="172" t="s">
        <v>84</v>
      </c>
      <c r="H265" s="177">
        <v>1</v>
      </c>
      <c r="I265" s="178">
        <v>1600</v>
      </c>
      <c r="J265" s="176">
        <v>46025</v>
      </c>
      <c r="K265" s="172" t="s">
        <v>93</v>
      </c>
      <c r="L265" s="172" t="s">
        <v>94</v>
      </c>
      <c r="M265" s="179">
        <v>0.43</v>
      </c>
      <c r="N265" s="177"/>
      <c r="O265" s="177"/>
      <c r="P265" s="180">
        <v>-8.8000000000000007</v>
      </c>
    </row>
    <row r="266" spans="1:16" ht="19.5" customHeight="1">
      <c r="A266" s="172" t="s">
        <v>835</v>
      </c>
      <c r="B266" s="176">
        <v>46028</v>
      </c>
      <c r="C266" s="172" t="s">
        <v>92</v>
      </c>
      <c r="D266" s="172" t="s">
        <v>24</v>
      </c>
      <c r="E266" s="172" t="s">
        <v>42</v>
      </c>
      <c r="F266" s="172" t="s">
        <v>89</v>
      </c>
      <c r="G266" s="172" t="s">
        <v>84</v>
      </c>
      <c r="H266" s="177">
        <v>1</v>
      </c>
      <c r="I266" s="178">
        <v>1600</v>
      </c>
      <c r="J266" s="176">
        <v>46026</v>
      </c>
      <c r="K266" s="172" t="s">
        <v>93</v>
      </c>
      <c r="L266" s="172" t="s">
        <v>94</v>
      </c>
      <c r="M266" s="179">
        <v>0.43</v>
      </c>
      <c r="N266" s="177"/>
      <c r="O266" s="177">
        <v>46</v>
      </c>
      <c r="P266" s="180">
        <v>-134.24</v>
      </c>
    </row>
    <row r="267" spans="1:16" ht="19.5" customHeight="1">
      <c r="A267" s="172" t="s">
        <v>835</v>
      </c>
      <c r="B267" s="176">
        <v>46028</v>
      </c>
      <c r="C267" s="172" t="s">
        <v>100</v>
      </c>
      <c r="D267" s="172" t="s">
        <v>101</v>
      </c>
      <c r="E267" s="172" t="s">
        <v>42</v>
      </c>
      <c r="F267" s="172" t="s">
        <v>89</v>
      </c>
      <c r="G267" s="172" t="s">
        <v>84</v>
      </c>
      <c r="H267" s="177">
        <v>1</v>
      </c>
      <c r="I267" s="178">
        <v>1600</v>
      </c>
      <c r="J267" s="176">
        <v>46026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832.38</v>
      </c>
    </row>
    <row r="268" spans="1:16" ht="19.5" customHeight="1">
      <c r="A268" s="172" t="s">
        <v>835</v>
      </c>
      <c r="B268" s="176">
        <v>46028</v>
      </c>
      <c r="C268" s="172" t="s">
        <v>100</v>
      </c>
      <c r="D268" s="172" t="s">
        <v>102</v>
      </c>
      <c r="E268" s="172" t="s">
        <v>42</v>
      </c>
      <c r="F268" s="172" t="s">
        <v>89</v>
      </c>
      <c r="G268" s="172" t="s">
        <v>84</v>
      </c>
      <c r="H268" s="177">
        <v>1</v>
      </c>
      <c r="I268" s="178">
        <v>1600</v>
      </c>
      <c r="J268" s="176">
        <v>46026</v>
      </c>
      <c r="K268" s="172" t="s">
        <v>93</v>
      </c>
      <c r="L268" s="172" t="s">
        <v>94</v>
      </c>
      <c r="M268" s="179">
        <v>0</v>
      </c>
      <c r="N268" s="177"/>
      <c r="O268" s="177"/>
      <c r="P268" s="180">
        <v>8.32</v>
      </c>
    </row>
    <row r="269" spans="1:16" ht="19.5" customHeight="1">
      <c r="A269" s="172" t="s">
        <v>835</v>
      </c>
      <c r="B269" s="176">
        <v>46028</v>
      </c>
      <c r="C269" s="172" t="s">
        <v>100</v>
      </c>
      <c r="D269" s="172" t="s">
        <v>103</v>
      </c>
      <c r="E269" s="172" t="s">
        <v>42</v>
      </c>
      <c r="F269" s="172" t="s">
        <v>89</v>
      </c>
      <c r="G269" s="172" t="s">
        <v>84</v>
      </c>
      <c r="H269" s="177">
        <v>1</v>
      </c>
      <c r="I269" s="178">
        <v>1600</v>
      </c>
      <c r="J269" s="176">
        <v>46026</v>
      </c>
      <c r="K269" s="172" t="s">
        <v>93</v>
      </c>
      <c r="L269" s="172" t="s">
        <v>94</v>
      </c>
      <c r="M269" s="179">
        <v>0</v>
      </c>
      <c r="N269" s="177"/>
      <c r="O269" s="177"/>
      <c r="P269" s="180">
        <v>759.3</v>
      </c>
    </row>
    <row r="270" spans="1:16" ht="19.5" customHeight="1">
      <c r="A270" s="172" t="s">
        <v>835</v>
      </c>
      <c r="B270" s="176">
        <v>46028</v>
      </c>
      <c r="C270" s="172" t="s">
        <v>104</v>
      </c>
      <c r="D270" s="172" t="s">
        <v>105</v>
      </c>
      <c r="E270" s="172" t="s">
        <v>42</v>
      </c>
      <c r="F270" s="172" t="s">
        <v>89</v>
      </c>
      <c r="G270" s="172" t="s">
        <v>84</v>
      </c>
      <c r="H270" s="177">
        <v>1</v>
      </c>
      <c r="I270" s="178">
        <v>1600</v>
      </c>
      <c r="J270" s="176">
        <v>46026</v>
      </c>
      <c r="K270" s="172" t="s">
        <v>93</v>
      </c>
      <c r="L270" s="172" t="s">
        <v>94</v>
      </c>
      <c r="M270" s="179">
        <v>0.43</v>
      </c>
      <c r="N270" s="177"/>
      <c r="O270" s="177"/>
      <c r="P270" s="180">
        <v>-688</v>
      </c>
    </row>
    <row r="271" spans="1:16" ht="19.5" customHeight="1">
      <c r="A271" s="172" t="s">
        <v>835</v>
      </c>
      <c r="B271" s="176">
        <v>46028</v>
      </c>
      <c r="C271" s="172" t="s">
        <v>81</v>
      </c>
      <c r="D271" s="172" t="s">
        <v>95</v>
      </c>
      <c r="E271" s="172" t="s">
        <v>42</v>
      </c>
      <c r="F271" s="172" t="s">
        <v>89</v>
      </c>
      <c r="G271" s="172" t="s">
        <v>84</v>
      </c>
      <c r="H271" s="177">
        <v>1</v>
      </c>
      <c r="I271" s="178">
        <v>1600</v>
      </c>
      <c r="J271" s="176">
        <v>46026</v>
      </c>
      <c r="K271" s="172" t="s">
        <v>93</v>
      </c>
      <c r="L271" s="172" t="s">
        <v>94</v>
      </c>
      <c r="M271" s="179">
        <v>0.43</v>
      </c>
      <c r="N271" s="177"/>
      <c r="O271" s="177"/>
      <c r="P271" s="180">
        <v>-8.14</v>
      </c>
    </row>
    <row r="272" spans="1:16" ht="19.5" customHeight="1">
      <c r="A272" s="172" t="s">
        <v>836</v>
      </c>
      <c r="B272" s="176">
        <v>46028</v>
      </c>
      <c r="C272" s="172" t="s">
        <v>92</v>
      </c>
      <c r="D272" s="172" t="s">
        <v>24</v>
      </c>
      <c r="E272" s="172" t="s">
        <v>41</v>
      </c>
      <c r="F272" s="172" t="s">
        <v>83</v>
      </c>
      <c r="G272" s="172" t="s">
        <v>84</v>
      </c>
      <c r="H272" s="177">
        <v>1</v>
      </c>
      <c r="I272" s="178">
        <v>1600</v>
      </c>
      <c r="J272" s="176">
        <v>46027</v>
      </c>
      <c r="K272" s="172" t="s">
        <v>93</v>
      </c>
      <c r="L272" s="172" t="s">
        <v>94</v>
      </c>
      <c r="M272" s="179">
        <v>0.43</v>
      </c>
      <c r="N272" s="177"/>
      <c r="O272" s="177">
        <v>45</v>
      </c>
      <c r="P272" s="180">
        <v>-130.44</v>
      </c>
    </row>
    <row r="273" spans="1:16" ht="19.5" customHeight="1">
      <c r="A273" s="172" t="s">
        <v>836</v>
      </c>
      <c r="B273" s="176">
        <v>46028</v>
      </c>
      <c r="C273" s="172" t="s">
        <v>100</v>
      </c>
      <c r="D273" s="172" t="s">
        <v>101</v>
      </c>
      <c r="E273" s="172" t="s">
        <v>41</v>
      </c>
      <c r="F273" s="172" t="s">
        <v>83</v>
      </c>
      <c r="G273" s="172" t="s">
        <v>84</v>
      </c>
      <c r="H273" s="177">
        <v>1</v>
      </c>
      <c r="I273" s="178">
        <v>1600</v>
      </c>
      <c r="J273" s="176">
        <v>46027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549.52</v>
      </c>
    </row>
    <row r="274" spans="1:16" ht="19.5" customHeight="1">
      <c r="A274" s="172" t="s">
        <v>836</v>
      </c>
      <c r="B274" s="176">
        <v>46028</v>
      </c>
      <c r="C274" s="172" t="s">
        <v>100</v>
      </c>
      <c r="D274" s="172" t="s">
        <v>102</v>
      </c>
      <c r="E274" s="172" t="s">
        <v>41</v>
      </c>
      <c r="F274" s="172" t="s">
        <v>83</v>
      </c>
      <c r="G274" s="172" t="s">
        <v>84</v>
      </c>
      <c r="H274" s="177">
        <v>1</v>
      </c>
      <c r="I274" s="178">
        <v>1600</v>
      </c>
      <c r="J274" s="176">
        <v>46027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5.5</v>
      </c>
    </row>
    <row r="275" spans="1:16" ht="19.5" customHeight="1">
      <c r="A275" s="172" t="s">
        <v>836</v>
      </c>
      <c r="B275" s="176">
        <v>46028</v>
      </c>
      <c r="C275" s="172" t="s">
        <v>100</v>
      </c>
      <c r="D275" s="172" t="s">
        <v>103</v>
      </c>
      <c r="E275" s="172" t="s">
        <v>41</v>
      </c>
      <c r="F275" s="172" t="s">
        <v>83</v>
      </c>
      <c r="G275" s="172" t="s">
        <v>84</v>
      </c>
      <c r="H275" s="177">
        <v>1</v>
      </c>
      <c r="I275" s="178">
        <v>1600</v>
      </c>
      <c r="J275" s="176">
        <v>46027</v>
      </c>
      <c r="K275" s="172" t="s">
        <v>93</v>
      </c>
      <c r="L275" s="172" t="s">
        <v>94</v>
      </c>
      <c r="M275" s="179">
        <v>0</v>
      </c>
      <c r="N275" s="177"/>
      <c r="O275" s="177"/>
      <c r="P275" s="180">
        <v>1044.98</v>
      </c>
    </row>
    <row r="276" spans="1:16" ht="19.5" customHeight="1">
      <c r="A276" s="172" t="s">
        <v>836</v>
      </c>
      <c r="B276" s="176">
        <v>46028</v>
      </c>
      <c r="C276" s="172" t="s">
        <v>104</v>
      </c>
      <c r="D276" s="172" t="s">
        <v>105</v>
      </c>
      <c r="E276" s="172" t="s">
        <v>41</v>
      </c>
      <c r="F276" s="172" t="s">
        <v>83</v>
      </c>
      <c r="G276" s="172" t="s">
        <v>84</v>
      </c>
      <c r="H276" s="177">
        <v>1</v>
      </c>
      <c r="I276" s="178">
        <v>1600</v>
      </c>
      <c r="J276" s="176">
        <v>46027</v>
      </c>
      <c r="K276" s="172" t="s">
        <v>93</v>
      </c>
      <c r="L276" s="172" t="s">
        <v>94</v>
      </c>
      <c r="M276" s="179">
        <v>0.43</v>
      </c>
      <c r="N276" s="177"/>
      <c r="O276" s="177"/>
      <c r="P276" s="180">
        <v>-688</v>
      </c>
    </row>
    <row r="277" spans="1:16" ht="19.5" customHeight="1">
      <c r="A277" s="172" t="s">
        <v>836</v>
      </c>
      <c r="B277" s="176">
        <v>46028</v>
      </c>
      <c r="C277" s="172" t="s">
        <v>81</v>
      </c>
      <c r="D277" s="172" t="s">
        <v>95</v>
      </c>
      <c r="E277" s="172" t="s">
        <v>41</v>
      </c>
      <c r="F277" s="172" t="s">
        <v>83</v>
      </c>
      <c r="G277" s="172" t="s">
        <v>84</v>
      </c>
      <c r="H277" s="177">
        <v>1</v>
      </c>
      <c r="I277" s="178">
        <v>1600</v>
      </c>
      <c r="J277" s="176">
        <v>46027</v>
      </c>
      <c r="K277" s="172" t="s">
        <v>93</v>
      </c>
      <c r="L277" s="172" t="s">
        <v>94</v>
      </c>
      <c r="M277" s="179">
        <v>0.43</v>
      </c>
      <c r="N277" s="177"/>
      <c r="O277" s="177"/>
      <c r="P277" s="180">
        <v>-14.4</v>
      </c>
    </row>
    <row r="278" spans="1:16" ht="19.5" customHeight="1">
      <c r="A278" s="172" t="s">
        <v>837</v>
      </c>
      <c r="B278" s="176">
        <v>46028</v>
      </c>
      <c r="C278" s="172" t="s">
        <v>81</v>
      </c>
      <c r="D278" s="172" t="s">
        <v>82</v>
      </c>
      <c r="E278" s="172" t="s">
        <v>42</v>
      </c>
      <c r="F278" s="172" t="s">
        <v>89</v>
      </c>
      <c r="G278" s="172" t="s">
        <v>84</v>
      </c>
      <c r="H278" s="177">
        <v>1</v>
      </c>
      <c r="I278" s="178">
        <v>0</v>
      </c>
      <c r="J278" s="176">
        <v>46028</v>
      </c>
      <c r="K278" s="172" t="s">
        <v>85</v>
      </c>
      <c r="L278" s="172" t="s">
        <v>85</v>
      </c>
      <c r="M278" s="179">
        <v>0</v>
      </c>
      <c r="N278" s="177"/>
      <c r="O278" s="177"/>
      <c r="P278" s="180">
        <v>-4.07</v>
      </c>
    </row>
    <row r="279" spans="1:16" ht="19.5" customHeight="1">
      <c r="A279" s="172" t="s">
        <v>836</v>
      </c>
      <c r="B279" s="176">
        <v>46028</v>
      </c>
      <c r="C279" s="172" t="s">
        <v>81</v>
      </c>
      <c r="D279" s="172" t="s">
        <v>82</v>
      </c>
      <c r="E279" s="172" t="s">
        <v>41</v>
      </c>
      <c r="F279" s="172" t="s">
        <v>83</v>
      </c>
      <c r="G279" s="172" t="s">
        <v>84</v>
      </c>
      <c r="H279" s="177">
        <v>1</v>
      </c>
      <c r="I279" s="178">
        <v>0</v>
      </c>
      <c r="J279" s="176">
        <v>46027</v>
      </c>
      <c r="K279" s="172" t="s">
        <v>85</v>
      </c>
      <c r="L279" s="172" t="s">
        <v>85</v>
      </c>
      <c r="M279" s="179">
        <v>0</v>
      </c>
      <c r="N279" s="177"/>
      <c r="O279" s="177"/>
      <c r="P279" s="180">
        <v>-10.44</v>
      </c>
    </row>
    <row r="280" spans="1:16" ht="19.5" customHeight="1">
      <c r="A280" s="172" t="s">
        <v>838</v>
      </c>
      <c r="B280" s="176">
        <v>46028</v>
      </c>
      <c r="C280" s="172" t="s">
        <v>92</v>
      </c>
      <c r="D280" s="172" t="s">
        <v>24</v>
      </c>
      <c r="E280" s="172" t="s">
        <v>41</v>
      </c>
      <c r="F280" s="172" t="s">
        <v>83</v>
      </c>
      <c r="G280" s="172" t="s">
        <v>84</v>
      </c>
      <c r="H280" s="177">
        <v>1</v>
      </c>
      <c r="I280" s="178">
        <v>1600</v>
      </c>
      <c r="J280" s="176">
        <v>46022</v>
      </c>
      <c r="K280" s="172" t="s">
        <v>93</v>
      </c>
      <c r="L280" s="172" t="s">
        <v>94</v>
      </c>
      <c r="M280" s="179">
        <v>0.43</v>
      </c>
      <c r="N280" s="177"/>
      <c r="O280" s="177">
        <v>41</v>
      </c>
      <c r="P280" s="180">
        <v>-115.23</v>
      </c>
    </row>
    <row r="281" spans="1:16" ht="19.5" customHeight="1">
      <c r="A281" s="172" t="s">
        <v>838</v>
      </c>
      <c r="B281" s="176">
        <v>46028</v>
      </c>
      <c r="C281" s="172" t="s">
        <v>100</v>
      </c>
      <c r="D281" s="172" t="s">
        <v>101</v>
      </c>
      <c r="E281" s="172" t="s">
        <v>41</v>
      </c>
      <c r="F281" s="172" t="s">
        <v>83</v>
      </c>
      <c r="G281" s="172" t="s">
        <v>84</v>
      </c>
      <c r="H281" s="177">
        <v>1</v>
      </c>
      <c r="I281" s="178">
        <v>1600</v>
      </c>
      <c r="J281" s="176">
        <v>46022</v>
      </c>
      <c r="K281" s="172" t="s">
        <v>93</v>
      </c>
      <c r="L281" s="172" t="s">
        <v>94</v>
      </c>
      <c r="M281" s="179">
        <v>0</v>
      </c>
      <c r="N281" s="177"/>
      <c r="O281" s="177"/>
      <c r="P281" s="180">
        <v>609.52</v>
      </c>
    </row>
    <row r="282" spans="1:16" ht="19.5" customHeight="1">
      <c r="A282" s="172" t="s">
        <v>838</v>
      </c>
      <c r="B282" s="176">
        <v>46028</v>
      </c>
      <c r="C282" s="172" t="s">
        <v>100</v>
      </c>
      <c r="D282" s="172" t="s">
        <v>102</v>
      </c>
      <c r="E282" s="172" t="s">
        <v>41</v>
      </c>
      <c r="F282" s="172" t="s">
        <v>83</v>
      </c>
      <c r="G282" s="172" t="s">
        <v>84</v>
      </c>
      <c r="H282" s="177">
        <v>1</v>
      </c>
      <c r="I282" s="178">
        <v>1600</v>
      </c>
      <c r="J282" s="176">
        <v>46022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0</v>
      </c>
    </row>
    <row r="283" spans="1:16" ht="19.5" customHeight="1">
      <c r="A283" s="172" t="s">
        <v>838</v>
      </c>
      <c r="B283" s="176">
        <v>46028</v>
      </c>
      <c r="C283" s="172" t="s">
        <v>100</v>
      </c>
      <c r="D283" s="172" t="s">
        <v>103</v>
      </c>
      <c r="E283" s="172" t="s">
        <v>41</v>
      </c>
      <c r="F283" s="172" t="s">
        <v>83</v>
      </c>
      <c r="G283" s="172" t="s">
        <v>84</v>
      </c>
      <c r="H283" s="177">
        <v>1</v>
      </c>
      <c r="I283" s="178">
        <v>1600</v>
      </c>
      <c r="J283" s="176">
        <v>46022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990.48</v>
      </c>
    </row>
    <row r="284" spans="1:16" ht="19.5" customHeight="1">
      <c r="A284" s="172" t="s">
        <v>838</v>
      </c>
      <c r="B284" s="176">
        <v>46028</v>
      </c>
      <c r="C284" s="172" t="s">
        <v>104</v>
      </c>
      <c r="D284" s="172" t="s">
        <v>105</v>
      </c>
      <c r="E284" s="172" t="s">
        <v>41</v>
      </c>
      <c r="F284" s="172" t="s">
        <v>83</v>
      </c>
      <c r="G284" s="172" t="s">
        <v>84</v>
      </c>
      <c r="H284" s="177">
        <v>1</v>
      </c>
      <c r="I284" s="178">
        <v>1600</v>
      </c>
      <c r="J284" s="176">
        <v>46022</v>
      </c>
      <c r="K284" s="172" t="s">
        <v>93</v>
      </c>
      <c r="L284" s="172" t="s">
        <v>94</v>
      </c>
      <c r="M284" s="179">
        <v>0.43</v>
      </c>
      <c r="N284" s="177"/>
      <c r="O284" s="177"/>
      <c r="P284" s="180">
        <v>-688</v>
      </c>
    </row>
    <row r="285" spans="1:16" ht="19.5" customHeight="1">
      <c r="A285" s="172" t="s">
        <v>838</v>
      </c>
      <c r="B285" s="176">
        <v>46028</v>
      </c>
      <c r="C285" s="172" t="s">
        <v>81</v>
      </c>
      <c r="D285" s="172" t="s">
        <v>95</v>
      </c>
      <c r="E285" s="172" t="s">
        <v>41</v>
      </c>
      <c r="F285" s="172" t="s">
        <v>83</v>
      </c>
      <c r="G285" s="172" t="s">
        <v>84</v>
      </c>
      <c r="H285" s="177">
        <v>1</v>
      </c>
      <c r="I285" s="178">
        <v>1600</v>
      </c>
      <c r="J285" s="176">
        <v>46022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-17.27</v>
      </c>
    </row>
    <row r="286" spans="1:16" ht="19.5" customHeight="1">
      <c r="A286" s="172" t="s">
        <v>839</v>
      </c>
      <c r="B286" s="176">
        <v>46028</v>
      </c>
      <c r="C286" s="172" t="s">
        <v>92</v>
      </c>
      <c r="D286" s="172" t="s">
        <v>24</v>
      </c>
      <c r="E286" s="172" t="s">
        <v>41</v>
      </c>
      <c r="F286" s="172" t="s">
        <v>83</v>
      </c>
      <c r="G286" s="172" t="s">
        <v>84</v>
      </c>
      <c r="H286" s="177">
        <v>1</v>
      </c>
      <c r="I286" s="178">
        <v>1600</v>
      </c>
      <c r="J286" s="176">
        <v>46024</v>
      </c>
      <c r="K286" s="172" t="s">
        <v>93</v>
      </c>
      <c r="L286" s="172" t="s">
        <v>94</v>
      </c>
      <c r="M286" s="179">
        <v>0.43</v>
      </c>
      <c r="N286" s="177"/>
      <c r="O286" s="177">
        <v>42</v>
      </c>
      <c r="P286" s="180">
        <v>-119.03</v>
      </c>
    </row>
    <row r="287" spans="1:16" ht="19.5" customHeight="1">
      <c r="A287" s="172" t="s">
        <v>839</v>
      </c>
      <c r="B287" s="176">
        <v>46028</v>
      </c>
      <c r="C287" s="172" t="s">
        <v>100</v>
      </c>
      <c r="D287" s="172" t="s">
        <v>101</v>
      </c>
      <c r="E287" s="172" t="s">
        <v>41</v>
      </c>
      <c r="F287" s="172" t="s">
        <v>83</v>
      </c>
      <c r="G287" s="172" t="s">
        <v>84</v>
      </c>
      <c r="H287" s="177">
        <v>1</v>
      </c>
      <c r="I287" s="178">
        <v>1600</v>
      </c>
      <c r="J287" s="176">
        <v>46024</v>
      </c>
      <c r="K287" s="172" t="s">
        <v>93</v>
      </c>
      <c r="L287" s="172" t="s">
        <v>94</v>
      </c>
      <c r="M287" s="179">
        <v>0</v>
      </c>
      <c r="N287" s="177"/>
      <c r="O287" s="177"/>
      <c r="P287" s="180">
        <v>549.52</v>
      </c>
    </row>
    <row r="288" spans="1:16" ht="19.5" customHeight="1">
      <c r="A288" s="172" t="s">
        <v>839</v>
      </c>
      <c r="B288" s="176">
        <v>46028</v>
      </c>
      <c r="C288" s="172" t="s">
        <v>100</v>
      </c>
      <c r="D288" s="172" t="s">
        <v>102</v>
      </c>
      <c r="E288" s="172" t="s">
        <v>41</v>
      </c>
      <c r="F288" s="172" t="s">
        <v>83</v>
      </c>
      <c r="G288" s="172" t="s">
        <v>84</v>
      </c>
      <c r="H288" s="177">
        <v>1</v>
      </c>
      <c r="I288" s="178">
        <v>1600</v>
      </c>
      <c r="J288" s="176">
        <v>46024</v>
      </c>
      <c r="K288" s="172" t="s">
        <v>93</v>
      </c>
      <c r="L288" s="172" t="s">
        <v>94</v>
      </c>
      <c r="M288" s="179">
        <v>0</v>
      </c>
      <c r="N288" s="177"/>
      <c r="O288" s="177"/>
      <c r="P288" s="180">
        <v>5.5</v>
      </c>
    </row>
    <row r="289" spans="1:16" ht="19.5" customHeight="1">
      <c r="A289" s="172" t="s">
        <v>839</v>
      </c>
      <c r="B289" s="176">
        <v>46028</v>
      </c>
      <c r="C289" s="172" t="s">
        <v>100</v>
      </c>
      <c r="D289" s="172" t="s">
        <v>103</v>
      </c>
      <c r="E289" s="172" t="s">
        <v>41</v>
      </c>
      <c r="F289" s="172" t="s">
        <v>83</v>
      </c>
      <c r="G289" s="172" t="s">
        <v>84</v>
      </c>
      <c r="H289" s="177">
        <v>1</v>
      </c>
      <c r="I289" s="178">
        <v>1600</v>
      </c>
      <c r="J289" s="176">
        <v>46024</v>
      </c>
      <c r="K289" s="172" t="s">
        <v>93</v>
      </c>
      <c r="L289" s="172" t="s">
        <v>94</v>
      </c>
      <c r="M289" s="179">
        <v>0</v>
      </c>
      <c r="N289" s="177"/>
      <c r="O289" s="177"/>
      <c r="P289" s="180">
        <v>1044.98</v>
      </c>
    </row>
    <row r="290" spans="1:16" ht="19.5" customHeight="1">
      <c r="A290" s="172" t="s">
        <v>839</v>
      </c>
      <c r="B290" s="176">
        <v>46028</v>
      </c>
      <c r="C290" s="172" t="s">
        <v>104</v>
      </c>
      <c r="D290" s="172" t="s">
        <v>105</v>
      </c>
      <c r="E290" s="172" t="s">
        <v>41</v>
      </c>
      <c r="F290" s="172" t="s">
        <v>83</v>
      </c>
      <c r="G290" s="172" t="s">
        <v>84</v>
      </c>
      <c r="H290" s="177">
        <v>1</v>
      </c>
      <c r="I290" s="178">
        <v>1600</v>
      </c>
      <c r="J290" s="176">
        <v>46024</v>
      </c>
      <c r="K290" s="172" t="s">
        <v>93</v>
      </c>
      <c r="L290" s="172" t="s">
        <v>94</v>
      </c>
      <c r="M290" s="179">
        <v>0.43</v>
      </c>
      <c r="N290" s="177"/>
      <c r="O290" s="177"/>
      <c r="P290" s="180">
        <v>-688</v>
      </c>
    </row>
    <row r="291" spans="1:16" ht="19.5" customHeight="1">
      <c r="A291" s="172" t="s">
        <v>839</v>
      </c>
      <c r="B291" s="176">
        <v>46028</v>
      </c>
      <c r="C291" s="172" t="s">
        <v>81</v>
      </c>
      <c r="D291" s="172" t="s">
        <v>95</v>
      </c>
      <c r="E291" s="172" t="s">
        <v>41</v>
      </c>
      <c r="F291" s="172" t="s">
        <v>83</v>
      </c>
      <c r="G291" s="172" t="s">
        <v>84</v>
      </c>
      <c r="H291" s="177">
        <v>1</v>
      </c>
      <c r="I291" s="178">
        <v>1600</v>
      </c>
      <c r="J291" s="176">
        <v>46024</v>
      </c>
      <c r="K291" s="172" t="s">
        <v>93</v>
      </c>
      <c r="L291" s="172" t="s">
        <v>94</v>
      </c>
      <c r="M291" s="179">
        <v>0.43</v>
      </c>
      <c r="N291" s="177"/>
      <c r="O291" s="177"/>
      <c r="P291" s="180">
        <v>-8.3000000000000007</v>
      </c>
    </row>
    <row r="292" spans="1:16" ht="19.5" customHeight="1">
      <c r="A292" s="172" t="s">
        <v>840</v>
      </c>
      <c r="B292" s="176">
        <v>46028</v>
      </c>
      <c r="C292" s="172" t="s">
        <v>92</v>
      </c>
      <c r="D292" s="172" t="s">
        <v>24</v>
      </c>
      <c r="E292" s="172" t="s">
        <v>52</v>
      </c>
      <c r="F292" s="172" t="s">
        <v>90</v>
      </c>
      <c r="G292" s="172" t="s">
        <v>84</v>
      </c>
      <c r="H292" s="177">
        <v>1</v>
      </c>
      <c r="I292" s="178">
        <v>1621</v>
      </c>
      <c r="J292" s="176">
        <v>46025</v>
      </c>
      <c r="K292" s="172" t="s">
        <v>93</v>
      </c>
      <c r="L292" s="172" t="s">
        <v>94</v>
      </c>
      <c r="M292" s="179">
        <v>0.43</v>
      </c>
      <c r="N292" s="177"/>
      <c r="O292" s="177">
        <v>44</v>
      </c>
      <c r="P292" s="180">
        <v>-142.34</v>
      </c>
    </row>
    <row r="293" spans="1:16" ht="19.5" customHeight="1">
      <c r="A293" s="172" t="s">
        <v>840</v>
      </c>
      <c r="B293" s="176">
        <v>46028</v>
      </c>
      <c r="C293" s="172" t="s">
        <v>100</v>
      </c>
      <c r="D293" s="172" t="s">
        <v>101</v>
      </c>
      <c r="E293" s="172" t="s">
        <v>52</v>
      </c>
      <c r="F293" s="172" t="s">
        <v>90</v>
      </c>
      <c r="G293" s="172" t="s">
        <v>84</v>
      </c>
      <c r="H293" s="177">
        <v>1</v>
      </c>
      <c r="I293" s="178">
        <v>1621</v>
      </c>
      <c r="J293" s="176">
        <v>46025</v>
      </c>
      <c r="K293" s="172" t="s">
        <v>93</v>
      </c>
      <c r="L293" s="172" t="s">
        <v>94</v>
      </c>
      <c r="M293" s="179">
        <v>0</v>
      </c>
      <c r="N293" s="177"/>
      <c r="O293" s="177"/>
      <c r="P293" s="180">
        <v>557.14</v>
      </c>
    </row>
    <row r="294" spans="1:16" ht="19.5" customHeight="1">
      <c r="A294" s="172" t="s">
        <v>840</v>
      </c>
      <c r="B294" s="176">
        <v>46028</v>
      </c>
      <c r="C294" s="172" t="s">
        <v>100</v>
      </c>
      <c r="D294" s="172" t="s">
        <v>102</v>
      </c>
      <c r="E294" s="172" t="s">
        <v>52</v>
      </c>
      <c r="F294" s="172" t="s">
        <v>90</v>
      </c>
      <c r="G294" s="172" t="s">
        <v>84</v>
      </c>
      <c r="H294" s="177">
        <v>1</v>
      </c>
      <c r="I294" s="178">
        <v>1621</v>
      </c>
      <c r="J294" s="176">
        <v>46025</v>
      </c>
      <c r="K294" s="172" t="s">
        <v>93</v>
      </c>
      <c r="L294" s="172" t="s">
        <v>94</v>
      </c>
      <c r="M294" s="179">
        <v>0</v>
      </c>
      <c r="N294" s="177"/>
      <c r="O294" s="177"/>
      <c r="P294" s="180">
        <v>5.57</v>
      </c>
    </row>
    <row r="295" spans="1:16" ht="19.5" customHeight="1">
      <c r="A295" s="172" t="s">
        <v>840</v>
      </c>
      <c r="B295" s="176">
        <v>46028</v>
      </c>
      <c r="C295" s="172" t="s">
        <v>100</v>
      </c>
      <c r="D295" s="172" t="s">
        <v>103</v>
      </c>
      <c r="E295" s="172" t="s">
        <v>52</v>
      </c>
      <c r="F295" s="172" t="s">
        <v>90</v>
      </c>
      <c r="G295" s="172" t="s">
        <v>84</v>
      </c>
      <c r="H295" s="177">
        <v>1</v>
      </c>
      <c r="I295" s="178">
        <v>1621</v>
      </c>
      <c r="J295" s="176">
        <v>46025</v>
      </c>
      <c r="K295" s="172" t="s">
        <v>93</v>
      </c>
      <c r="L295" s="172" t="s">
        <v>94</v>
      </c>
      <c r="M295" s="179">
        <v>0</v>
      </c>
      <c r="N295" s="177"/>
      <c r="O295" s="177"/>
      <c r="P295" s="180">
        <v>1058.29</v>
      </c>
    </row>
    <row r="296" spans="1:16" ht="19.5" customHeight="1">
      <c r="A296" s="172" t="s">
        <v>840</v>
      </c>
      <c r="B296" s="176">
        <v>46028</v>
      </c>
      <c r="C296" s="172" t="s">
        <v>104</v>
      </c>
      <c r="D296" s="172" t="s">
        <v>105</v>
      </c>
      <c r="E296" s="172" t="s">
        <v>52</v>
      </c>
      <c r="F296" s="172" t="s">
        <v>90</v>
      </c>
      <c r="G296" s="172" t="s">
        <v>84</v>
      </c>
      <c r="H296" s="177">
        <v>1</v>
      </c>
      <c r="I296" s="178">
        <v>1621</v>
      </c>
      <c r="J296" s="176">
        <v>46025</v>
      </c>
      <c r="K296" s="172" t="s">
        <v>93</v>
      </c>
      <c r="L296" s="172" t="s">
        <v>94</v>
      </c>
      <c r="M296" s="179">
        <v>0.43</v>
      </c>
      <c r="N296" s="177"/>
      <c r="O296" s="177"/>
      <c r="P296" s="180">
        <v>-697.03</v>
      </c>
    </row>
    <row r="297" spans="1:16" ht="19.5" customHeight="1">
      <c r="A297" s="172" t="s">
        <v>840</v>
      </c>
      <c r="B297" s="176">
        <v>46028</v>
      </c>
      <c r="C297" s="172" t="s">
        <v>81</v>
      </c>
      <c r="D297" s="172" t="s">
        <v>95</v>
      </c>
      <c r="E297" s="172" t="s">
        <v>52</v>
      </c>
      <c r="F297" s="172" t="s">
        <v>90</v>
      </c>
      <c r="G297" s="172" t="s">
        <v>84</v>
      </c>
      <c r="H297" s="177">
        <v>1</v>
      </c>
      <c r="I297" s="178">
        <v>1621</v>
      </c>
      <c r="J297" s="176">
        <v>46025</v>
      </c>
      <c r="K297" s="172" t="s">
        <v>93</v>
      </c>
      <c r="L297" s="172" t="s">
        <v>94</v>
      </c>
      <c r="M297" s="179">
        <v>0.43</v>
      </c>
      <c r="N297" s="177"/>
      <c r="O297" s="177"/>
      <c r="P297" s="180">
        <v>-8.3800000000000008</v>
      </c>
    </row>
    <row r="298" spans="1:16" ht="19.5" customHeight="1">
      <c r="A298" s="172" t="s">
        <v>841</v>
      </c>
      <c r="B298" s="176">
        <v>46028</v>
      </c>
      <c r="C298" s="172" t="s">
        <v>92</v>
      </c>
      <c r="D298" s="172" t="s">
        <v>24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1845</v>
      </c>
      <c r="J298" s="176">
        <v>46027</v>
      </c>
      <c r="K298" s="172" t="s">
        <v>93</v>
      </c>
      <c r="L298" s="172" t="s">
        <v>94</v>
      </c>
      <c r="M298" s="179">
        <v>0.43</v>
      </c>
      <c r="N298" s="177"/>
      <c r="O298" s="177">
        <v>45</v>
      </c>
      <c r="P298" s="180">
        <v>-153.85</v>
      </c>
    </row>
    <row r="299" spans="1:16" ht="19.5" customHeight="1">
      <c r="A299" s="172" t="s">
        <v>841</v>
      </c>
      <c r="B299" s="176">
        <v>46028</v>
      </c>
      <c r="C299" s="172" t="s">
        <v>100</v>
      </c>
      <c r="D299" s="172" t="s">
        <v>101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1845</v>
      </c>
      <c r="J299" s="176">
        <v>46027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642.86</v>
      </c>
    </row>
    <row r="300" spans="1:16" ht="19.5" customHeight="1">
      <c r="A300" s="172" t="s">
        <v>841</v>
      </c>
      <c r="B300" s="176">
        <v>46028</v>
      </c>
      <c r="C300" s="172" t="s">
        <v>100</v>
      </c>
      <c r="D300" s="172" t="s">
        <v>102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1845</v>
      </c>
      <c r="J300" s="176">
        <v>46027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6.43</v>
      </c>
    </row>
    <row r="301" spans="1:16" ht="19.5" customHeight="1">
      <c r="A301" s="172" t="s">
        <v>841</v>
      </c>
      <c r="B301" s="176">
        <v>46028</v>
      </c>
      <c r="C301" s="172" t="s">
        <v>100</v>
      </c>
      <c r="D301" s="172" t="s">
        <v>103</v>
      </c>
      <c r="E301" s="172" t="s">
        <v>53</v>
      </c>
      <c r="F301" s="172" t="s">
        <v>120</v>
      </c>
      <c r="G301" s="172" t="s">
        <v>84</v>
      </c>
      <c r="H301" s="177">
        <v>1</v>
      </c>
      <c r="I301" s="178">
        <v>1845</v>
      </c>
      <c r="J301" s="176">
        <v>46027</v>
      </c>
      <c r="K301" s="172" t="s">
        <v>93</v>
      </c>
      <c r="L301" s="172" t="s">
        <v>94</v>
      </c>
      <c r="M301" s="179">
        <v>0</v>
      </c>
      <c r="N301" s="177"/>
      <c r="O301" s="177"/>
      <c r="P301" s="180">
        <v>1195.71</v>
      </c>
    </row>
    <row r="302" spans="1:16" ht="19.5" customHeight="1">
      <c r="A302" s="172" t="s">
        <v>841</v>
      </c>
      <c r="B302" s="176">
        <v>46028</v>
      </c>
      <c r="C302" s="172" t="s">
        <v>104</v>
      </c>
      <c r="D302" s="172" t="s">
        <v>105</v>
      </c>
      <c r="E302" s="172" t="s">
        <v>53</v>
      </c>
      <c r="F302" s="172" t="s">
        <v>120</v>
      </c>
      <c r="G302" s="172" t="s">
        <v>84</v>
      </c>
      <c r="H302" s="177">
        <v>1</v>
      </c>
      <c r="I302" s="178">
        <v>1845</v>
      </c>
      <c r="J302" s="176">
        <v>46027</v>
      </c>
      <c r="K302" s="172" t="s">
        <v>93</v>
      </c>
      <c r="L302" s="172" t="s">
        <v>94</v>
      </c>
      <c r="M302" s="179">
        <v>0.43</v>
      </c>
      <c r="N302" s="177"/>
      <c r="O302" s="177"/>
      <c r="P302" s="180">
        <v>-793.35</v>
      </c>
    </row>
    <row r="303" spans="1:16" ht="19.5" customHeight="1">
      <c r="A303" s="172" t="s">
        <v>841</v>
      </c>
      <c r="B303" s="176">
        <v>46028</v>
      </c>
      <c r="C303" s="172" t="s">
        <v>81</v>
      </c>
      <c r="D303" s="172" t="s">
        <v>95</v>
      </c>
      <c r="E303" s="172" t="s">
        <v>53</v>
      </c>
      <c r="F303" s="172" t="s">
        <v>120</v>
      </c>
      <c r="G303" s="172" t="s">
        <v>84</v>
      </c>
      <c r="H303" s="177">
        <v>1</v>
      </c>
      <c r="I303" s="178">
        <v>1845</v>
      </c>
      <c r="J303" s="176">
        <v>46027</v>
      </c>
      <c r="K303" s="172" t="s">
        <v>93</v>
      </c>
      <c r="L303" s="172" t="s">
        <v>94</v>
      </c>
      <c r="M303" s="179">
        <v>0.43</v>
      </c>
      <c r="N303" s="177"/>
      <c r="O303" s="177"/>
      <c r="P303" s="180">
        <v>-10.74</v>
      </c>
    </row>
    <row r="304" spans="1:16" ht="19.5" customHeight="1">
      <c r="A304" s="172" t="s">
        <v>840</v>
      </c>
      <c r="B304" s="176">
        <v>46028</v>
      </c>
      <c r="C304" s="172" t="s">
        <v>81</v>
      </c>
      <c r="D304" s="172" t="s">
        <v>82</v>
      </c>
      <c r="E304" s="172" t="s">
        <v>52</v>
      </c>
      <c r="F304" s="172" t="s">
        <v>90</v>
      </c>
      <c r="G304" s="172" t="s">
        <v>84</v>
      </c>
      <c r="H304" s="177">
        <v>1</v>
      </c>
      <c r="I304" s="178">
        <v>0</v>
      </c>
      <c r="J304" s="176">
        <v>46025</v>
      </c>
      <c r="K304" s="172" t="s">
        <v>85</v>
      </c>
      <c r="L304" s="172" t="s">
        <v>85</v>
      </c>
      <c r="M304" s="179">
        <v>0</v>
      </c>
      <c r="N304" s="177"/>
      <c r="O304" s="177"/>
      <c r="P304" s="180">
        <v>-10.59</v>
      </c>
    </row>
    <row r="305" spans="1:16" ht="19.5" customHeight="1">
      <c r="A305" s="172" t="s">
        <v>841</v>
      </c>
      <c r="B305" s="176">
        <v>46028</v>
      </c>
      <c r="C305" s="172" t="s">
        <v>81</v>
      </c>
      <c r="D305" s="172" t="s">
        <v>82</v>
      </c>
      <c r="E305" s="172" t="s">
        <v>53</v>
      </c>
      <c r="F305" s="172" t="s">
        <v>120</v>
      </c>
      <c r="G305" s="172" t="s">
        <v>84</v>
      </c>
      <c r="H305" s="177">
        <v>1</v>
      </c>
      <c r="I305" s="178">
        <v>0</v>
      </c>
      <c r="J305" s="176">
        <v>46027</v>
      </c>
      <c r="K305" s="172" t="s">
        <v>85</v>
      </c>
      <c r="L305" s="172" t="s">
        <v>85</v>
      </c>
      <c r="M305" s="179">
        <v>0</v>
      </c>
      <c r="N305" s="177"/>
      <c r="O305" s="177"/>
      <c r="P305" s="180">
        <v>-12.21</v>
      </c>
    </row>
    <row r="306" spans="1:16" ht="19.5" customHeight="1">
      <c r="A306" s="172" t="s">
        <v>842</v>
      </c>
      <c r="B306" s="176">
        <v>46028</v>
      </c>
      <c r="C306" s="172" t="s">
        <v>92</v>
      </c>
      <c r="D306" s="172" t="s">
        <v>24</v>
      </c>
      <c r="E306" s="172" t="s">
        <v>43</v>
      </c>
      <c r="F306" s="172" t="s">
        <v>125</v>
      </c>
      <c r="G306" s="172" t="s">
        <v>84</v>
      </c>
      <c r="H306" s="177">
        <v>1</v>
      </c>
      <c r="I306" s="178">
        <v>1202</v>
      </c>
      <c r="J306" s="176">
        <v>46024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-107.69</v>
      </c>
    </row>
    <row r="307" spans="1:16" ht="19.5" customHeight="1">
      <c r="A307" s="172" t="s">
        <v>842</v>
      </c>
      <c r="B307" s="176">
        <v>46028</v>
      </c>
      <c r="C307" s="172" t="s">
        <v>100</v>
      </c>
      <c r="D307" s="172" t="s">
        <v>101</v>
      </c>
      <c r="E307" s="172" t="s">
        <v>43</v>
      </c>
      <c r="F307" s="172" t="s">
        <v>125</v>
      </c>
      <c r="G307" s="172" t="s">
        <v>84</v>
      </c>
      <c r="H307" s="177">
        <v>1</v>
      </c>
      <c r="I307" s="178">
        <v>1202</v>
      </c>
      <c r="J307" s="176">
        <v>46024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628.57000000000005</v>
      </c>
    </row>
    <row r="308" spans="1:16" ht="19.5" customHeight="1">
      <c r="A308" s="172" t="s">
        <v>842</v>
      </c>
      <c r="B308" s="176">
        <v>46028</v>
      </c>
      <c r="C308" s="172" t="s">
        <v>100</v>
      </c>
      <c r="D308" s="172" t="s">
        <v>102</v>
      </c>
      <c r="E308" s="172" t="s">
        <v>43</v>
      </c>
      <c r="F308" s="172" t="s">
        <v>125</v>
      </c>
      <c r="G308" s="172" t="s">
        <v>84</v>
      </c>
      <c r="H308" s="177">
        <v>1</v>
      </c>
      <c r="I308" s="178">
        <v>1202</v>
      </c>
      <c r="J308" s="176">
        <v>46024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0</v>
      </c>
    </row>
    <row r="309" spans="1:16" ht="19.5" customHeight="1">
      <c r="A309" s="172" t="s">
        <v>842</v>
      </c>
      <c r="B309" s="176">
        <v>46028</v>
      </c>
      <c r="C309" s="172" t="s">
        <v>100</v>
      </c>
      <c r="D309" s="172" t="s">
        <v>103</v>
      </c>
      <c r="E309" s="172" t="s">
        <v>43</v>
      </c>
      <c r="F309" s="172" t="s">
        <v>125</v>
      </c>
      <c r="G309" s="172" t="s">
        <v>84</v>
      </c>
      <c r="H309" s="177">
        <v>1</v>
      </c>
      <c r="I309" s="178">
        <v>1202</v>
      </c>
      <c r="J309" s="176">
        <v>46024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573.42999999999995</v>
      </c>
    </row>
    <row r="310" spans="1:16" ht="19.5" customHeight="1">
      <c r="A310" s="172" t="s">
        <v>842</v>
      </c>
      <c r="B310" s="176">
        <v>46028</v>
      </c>
      <c r="C310" s="172" t="s">
        <v>104</v>
      </c>
      <c r="D310" s="172" t="s">
        <v>105</v>
      </c>
      <c r="E310" s="172" t="s">
        <v>43</v>
      </c>
      <c r="F310" s="172" t="s">
        <v>125</v>
      </c>
      <c r="G310" s="172" t="s">
        <v>84</v>
      </c>
      <c r="H310" s="177">
        <v>1</v>
      </c>
      <c r="I310" s="178">
        <v>1202</v>
      </c>
      <c r="J310" s="176">
        <v>46024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-516.86</v>
      </c>
    </row>
    <row r="311" spans="1:16" ht="19.5" customHeight="1">
      <c r="A311" s="172" t="s">
        <v>842</v>
      </c>
      <c r="B311" s="176">
        <v>46028</v>
      </c>
      <c r="C311" s="172" t="s">
        <v>81</v>
      </c>
      <c r="D311" s="172" t="s">
        <v>95</v>
      </c>
      <c r="E311" s="172" t="s">
        <v>43</v>
      </c>
      <c r="F311" s="172" t="s">
        <v>125</v>
      </c>
      <c r="G311" s="172" t="s">
        <v>84</v>
      </c>
      <c r="H311" s="177">
        <v>1</v>
      </c>
      <c r="I311" s="178">
        <v>1202</v>
      </c>
      <c r="J311" s="176">
        <v>46024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-25</v>
      </c>
    </row>
    <row r="312" spans="1:16" ht="19.5" customHeight="1">
      <c r="A312" s="172" t="s">
        <v>843</v>
      </c>
      <c r="B312" s="176">
        <v>46028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1845</v>
      </c>
      <c r="J312" s="176">
        <v>46027</v>
      </c>
      <c r="K312" s="172" t="s">
        <v>93</v>
      </c>
      <c r="L312" s="172" t="s">
        <v>94</v>
      </c>
      <c r="M312" s="179">
        <v>0.43</v>
      </c>
      <c r="N312" s="177"/>
      <c r="O312" s="177">
        <v>45</v>
      </c>
      <c r="P312" s="180">
        <v>-153.85</v>
      </c>
    </row>
    <row r="313" spans="1:16" ht="19.5" customHeight="1">
      <c r="A313" s="172" t="s">
        <v>843</v>
      </c>
      <c r="B313" s="176">
        <v>46028</v>
      </c>
      <c r="C313" s="172" t="s">
        <v>100</v>
      </c>
      <c r="D313" s="172" t="s">
        <v>101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1845</v>
      </c>
      <c r="J313" s="176">
        <v>46027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642.86</v>
      </c>
    </row>
    <row r="314" spans="1:16" ht="19.5" customHeight="1">
      <c r="A314" s="172" t="s">
        <v>843</v>
      </c>
      <c r="B314" s="176">
        <v>46028</v>
      </c>
      <c r="C314" s="172" t="s">
        <v>100</v>
      </c>
      <c r="D314" s="172" t="s">
        <v>102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1845</v>
      </c>
      <c r="J314" s="176">
        <v>46027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6.43</v>
      </c>
    </row>
    <row r="315" spans="1:16" ht="19.5" customHeight="1">
      <c r="A315" s="172" t="s">
        <v>843</v>
      </c>
      <c r="B315" s="176">
        <v>46028</v>
      </c>
      <c r="C315" s="172" t="s">
        <v>100</v>
      </c>
      <c r="D315" s="172" t="s">
        <v>103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1845</v>
      </c>
      <c r="J315" s="176">
        <v>46027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1195.71</v>
      </c>
    </row>
    <row r="316" spans="1:16" ht="19.5" customHeight="1">
      <c r="A316" s="172" t="s">
        <v>843</v>
      </c>
      <c r="B316" s="176">
        <v>46028</v>
      </c>
      <c r="C316" s="172" t="s">
        <v>104</v>
      </c>
      <c r="D316" s="172" t="s">
        <v>105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1845</v>
      </c>
      <c r="J316" s="176">
        <v>46027</v>
      </c>
      <c r="K316" s="172" t="s">
        <v>93</v>
      </c>
      <c r="L316" s="172" t="s">
        <v>94</v>
      </c>
      <c r="M316" s="179">
        <v>0.43</v>
      </c>
      <c r="N316" s="177"/>
      <c r="O316" s="177"/>
      <c r="P316" s="180">
        <v>-793.35</v>
      </c>
    </row>
    <row r="317" spans="1:16" ht="19.5" customHeight="1">
      <c r="A317" s="172" t="s">
        <v>843</v>
      </c>
      <c r="B317" s="176">
        <v>46028</v>
      </c>
      <c r="C317" s="172" t="s">
        <v>81</v>
      </c>
      <c r="D317" s="172" t="s">
        <v>95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1845</v>
      </c>
      <c r="J317" s="176">
        <v>46027</v>
      </c>
      <c r="K317" s="172" t="s">
        <v>93</v>
      </c>
      <c r="L317" s="172" t="s">
        <v>94</v>
      </c>
      <c r="M317" s="179">
        <v>0.43</v>
      </c>
      <c r="N317" s="177"/>
      <c r="O317" s="177"/>
      <c r="P317" s="180">
        <v>-9.4700000000000006</v>
      </c>
    </row>
    <row r="318" spans="1:16" ht="19.5" customHeight="1">
      <c r="A318" s="172" t="s">
        <v>844</v>
      </c>
      <c r="B318" s="176">
        <v>46028</v>
      </c>
      <c r="C318" s="172" t="s">
        <v>81</v>
      </c>
      <c r="D318" s="172" t="s">
        <v>82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46028</v>
      </c>
      <c r="K318" s="172" t="s">
        <v>85</v>
      </c>
      <c r="L318" s="172" t="s">
        <v>85</v>
      </c>
      <c r="M318" s="179">
        <v>0</v>
      </c>
      <c r="N318" s="177"/>
      <c r="O318" s="177"/>
      <c r="P318" s="180">
        <v>-12.21</v>
      </c>
    </row>
    <row r="319" spans="1:16" ht="19.5" customHeight="1">
      <c r="A319" s="172" t="s">
        <v>843</v>
      </c>
      <c r="B319" s="176">
        <v>46028</v>
      </c>
      <c r="C319" s="172" t="s">
        <v>81</v>
      </c>
      <c r="D319" s="172" t="s">
        <v>82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46027</v>
      </c>
      <c r="K319" s="172" t="s">
        <v>85</v>
      </c>
      <c r="L319" s="172" t="s">
        <v>85</v>
      </c>
      <c r="M319" s="179">
        <v>0</v>
      </c>
      <c r="N319" s="177"/>
      <c r="O319" s="177"/>
      <c r="P319" s="180">
        <v>-12.21</v>
      </c>
    </row>
    <row r="320" spans="1:16" ht="19.5" customHeight="1">
      <c r="A320" s="172" t="s">
        <v>845</v>
      </c>
      <c r="B320" s="176">
        <v>46028</v>
      </c>
      <c r="C320" s="172" t="s">
        <v>92</v>
      </c>
      <c r="D320" s="172" t="s">
        <v>24</v>
      </c>
      <c r="E320" s="172" t="s">
        <v>52</v>
      </c>
      <c r="F320" s="172" t="s">
        <v>90</v>
      </c>
      <c r="G320" s="172" t="s">
        <v>84</v>
      </c>
      <c r="H320" s="177">
        <v>1</v>
      </c>
      <c r="I320" s="178">
        <v>1621</v>
      </c>
      <c r="J320" s="176">
        <v>46024</v>
      </c>
      <c r="K320" s="172" t="s">
        <v>93</v>
      </c>
      <c r="L320" s="172" t="s">
        <v>94</v>
      </c>
      <c r="M320" s="179">
        <v>0.43</v>
      </c>
      <c r="N320" s="177"/>
      <c r="O320" s="177">
        <v>42</v>
      </c>
      <c r="P320" s="180">
        <v>-134.12</v>
      </c>
    </row>
    <row r="321" spans="1:16" ht="19.5" customHeight="1">
      <c r="A321" s="172" t="s">
        <v>845</v>
      </c>
      <c r="B321" s="176">
        <v>46028</v>
      </c>
      <c r="C321" s="172" t="s">
        <v>100</v>
      </c>
      <c r="D321" s="172" t="s">
        <v>101</v>
      </c>
      <c r="E321" s="172" t="s">
        <v>52</v>
      </c>
      <c r="F321" s="172" t="s">
        <v>90</v>
      </c>
      <c r="G321" s="172" t="s">
        <v>84</v>
      </c>
      <c r="H321" s="177">
        <v>1</v>
      </c>
      <c r="I321" s="178">
        <v>1621</v>
      </c>
      <c r="J321" s="176">
        <v>46024</v>
      </c>
      <c r="K321" s="172" t="s">
        <v>93</v>
      </c>
      <c r="L321" s="172" t="s">
        <v>94</v>
      </c>
      <c r="M321" s="179">
        <v>0</v>
      </c>
      <c r="N321" s="177"/>
      <c r="O321" s="177"/>
      <c r="P321" s="180">
        <v>557.14</v>
      </c>
    </row>
    <row r="322" spans="1:16" ht="19.5" customHeight="1">
      <c r="A322" s="172" t="s">
        <v>845</v>
      </c>
      <c r="B322" s="176">
        <v>46028</v>
      </c>
      <c r="C322" s="172" t="s">
        <v>100</v>
      </c>
      <c r="D322" s="172" t="s">
        <v>102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1621</v>
      </c>
      <c r="J322" s="176">
        <v>46024</v>
      </c>
      <c r="K322" s="172" t="s">
        <v>93</v>
      </c>
      <c r="L322" s="172" t="s">
        <v>94</v>
      </c>
      <c r="M322" s="179">
        <v>0</v>
      </c>
      <c r="N322" s="177"/>
      <c r="O322" s="177"/>
      <c r="P322" s="180">
        <v>5.57</v>
      </c>
    </row>
    <row r="323" spans="1:16" ht="19.5" customHeight="1">
      <c r="A323" s="172" t="s">
        <v>845</v>
      </c>
      <c r="B323" s="176">
        <v>46028</v>
      </c>
      <c r="C323" s="172" t="s">
        <v>100</v>
      </c>
      <c r="D323" s="172" t="s">
        <v>103</v>
      </c>
      <c r="E323" s="172" t="s">
        <v>52</v>
      </c>
      <c r="F323" s="172" t="s">
        <v>90</v>
      </c>
      <c r="G323" s="172" t="s">
        <v>84</v>
      </c>
      <c r="H323" s="177">
        <v>1</v>
      </c>
      <c r="I323" s="178">
        <v>1621</v>
      </c>
      <c r="J323" s="176">
        <v>46024</v>
      </c>
      <c r="K323" s="172" t="s">
        <v>93</v>
      </c>
      <c r="L323" s="172" t="s">
        <v>94</v>
      </c>
      <c r="M323" s="179">
        <v>0</v>
      </c>
      <c r="N323" s="177"/>
      <c r="O323" s="177"/>
      <c r="P323" s="180">
        <v>1058.29</v>
      </c>
    </row>
    <row r="324" spans="1:16" ht="19.5" customHeight="1">
      <c r="A324" s="172" t="s">
        <v>845</v>
      </c>
      <c r="B324" s="176">
        <v>46028</v>
      </c>
      <c r="C324" s="172" t="s">
        <v>104</v>
      </c>
      <c r="D324" s="172" t="s">
        <v>105</v>
      </c>
      <c r="E324" s="172" t="s">
        <v>52</v>
      </c>
      <c r="F324" s="172" t="s">
        <v>90</v>
      </c>
      <c r="G324" s="172" t="s">
        <v>84</v>
      </c>
      <c r="H324" s="177">
        <v>1</v>
      </c>
      <c r="I324" s="178">
        <v>1621</v>
      </c>
      <c r="J324" s="176">
        <v>46024</v>
      </c>
      <c r="K324" s="172" t="s">
        <v>93</v>
      </c>
      <c r="L324" s="172" t="s">
        <v>94</v>
      </c>
      <c r="M324" s="179">
        <v>0.43</v>
      </c>
      <c r="N324" s="177"/>
      <c r="O324" s="177"/>
      <c r="P324" s="180">
        <v>-697.03</v>
      </c>
    </row>
    <row r="325" spans="1:16" ht="19.5" customHeight="1">
      <c r="A325" s="172" t="s">
        <v>845</v>
      </c>
      <c r="B325" s="176">
        <v>46028</v>
      </c>
      <c r="C325" s="172" t="s">
        <v>81</v>
      </c>
      <c r="D325" s="172" t="s">
        <v>95</v>
      </c>
      <c r="E325" s="172" t="s">
        <v>52</v>
      </c>
      <c r="F325" s="172" t="s">
        <v>90</v>
      </c>
      <c r="G325" s="172" t="s">
        <v>84</v>
      </c>
      <c r="H325" s="177">
        <v>1</v>
      </c>
      <c r="I325" s="178">
        <v>1621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/>
      <c r="P325" s="180">
        <v>-12.18</v>
      </c>
    </row>
    <row r="326" spans="1:16" ht="19.5" customHeight="1">
      <c r="A326" s="172" t="s">
        <v>846</v>
      </c>
      <c r="B326" s="176">
        <v>46028</v>
      </c>
      <c r="C326" s="172" t="s">
        <v>92</v>
      </c>
      <c r="D326" s="172" t="s">
        <v>96</v>
      </c>
      <c r="E326" s="172" t="s">
        <v>41</v>
      </c>
      <c r="F326" s="172" t="s">
        <v>83</v>
      </c>
      <c r="G326" s="172" t="s">
        <v>84</v>
      </c>
      <c r="H326" s="177">
        <v>1</v>
      </c>
      <c r="I326" s="178">
        <v>0</v>
      </c>
      <c r="J326" s="176">
        <v>46018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0</v>
      </c>
    </row>
    <row r="327" spans="1:16" ht="19.5" customHeight="1">
      <c r="A327" s="172" t="s">
        <v>846</v>
      </c>
      <c r="B327" s="176">
        <v>46028</v>
      </c>
      <c r="C327" s="172" t="s">
        <v>92</v>
      </c>
      <c r="D327" s="172" t="s">
        <v>97</v>
      </c>
      <c r="E327" s="172" t="s">
        <v>41</v>
      </c>
      <c r="F327" s="172" t="s">
        <v>83</v>
      </c>
      <c r="G327" s="172" t="s">
        <v>84</v>
      </c>
      <c r="H327" s="177">
        <v>1</v>
      </c>
      <c r="I327" s="178">
        <v>0</v>
      </c>
      <c r="J327" s="176">
        <v>46018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-46.77</v>
      </c>
    </row>
    <row r="328" spans="1:16" ht="19.5" customHeight="1">
      <c r="A328" s="172" t="s">
        <v>846</v>
      </c>
      <c r="B328" s="176">
        <v>46028</v>
      </c>
      <c r="C328" s="172" t="s">
        <v>81</v>
      </c>
      <c r="D328" s="172" t="s">
        <v>98</v>
      </c>
      <c r="E328" s="172" t="s">
        <v>41</v>
      </c>
      <c r="F328" s="172" t="s">
        <v>83</v>
      </c>
      <c r="G328" s="172" t="s">
        <v>84</v>
      </c>
      <c r="H328" s="177">
        <v>1</v>
      </c>
      <c r="I328" s="178">
        <v>0</v>
      </c>
      <c r="J328" s="176">
        <v>46018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-15</v>
      </c>
    </row>
    <row r="329" spans="1:16" ht="19.5" customHeight="1">
      <c r="A329" s="172" t="s">
        <v>846</v>
      </c>
      <c r="B329" s="176">
        <v>46028</v>
      </c>
      <c r="C329" s="172" t="s">
        <v>92</v>
      </c>
      <c r="D329" s="172" t="s">
        <v>24</v>
      </c>
      <c r="E329" s="172" t="s">
        <v>41</v>
      </c>
      <c r="F329" s="172" t="s">
        <v>83</v>
      </c>
      <c r="G329" s="172" t="s">
        <v>84</v>
      </c>
      <c r="H329" s="177">
        <v>1</v>
      </c>
      <c r="I329" s="178">
        <v>0</v>
      </c>
      <c r="J329" s="176">
        <v>46018</v>
      </c>
      <c r="K329" s="172" t="s">
        <v>93</v>
      </c>
      <c r="L329" s="172" t="s">
        <v>94</v>
      </c>
      <c r="M329" s="179">
        <v>0</v>
      </c>
      <c r="N329" s="177"/>
      <c r="O329" s="177">
        <v>42</v>
      </c>
      <c r="P329" s="180">
        <v>-46.77</v>
      </c>
    </row>
    <row r="330" spans="1:16" ht="19.5" customHeight="1">
      <c r="A330" s="172" t="s">
        <v>846</v>
      </c>
      <c r="B330" s="176">
        <v>46028</v>
      </c>
      <c r="C330" s="172" t="s">
        <v>81</v>
      </c>
      <c r="D330" s="172" t="s">
        <v>95</v>
      </c>
      <c r="E330" s="172" t="s">
        <v>41</v>
      </c>
      <c r="F330" s="172" t="s">
        <v>83</v>
      </c>
      <c r="G330" s="172" t="s">
        <v>84</v>
      </c>
      <c r="H330" s="177">
        <v>1</v>
      </c>
      <c r="I330" s="178">
        <v>0</v>
      </c>
      <c r="J330" s="176">
        <v>46018</v>
      </c>
      <c r="K330" s="172" t="s">
        <v>93</v>
      </c>
      <c r="L330" s="172" t="s">
        <v>94</v>
      </c>
      <c r="M330" s="179">
        <v>0</v>
      </c>
      <c r="N330" s="177"/>
      <c r="O330" s="177"/>
      <c r="P330" s="180">
        <v>-8.34</v>
      </c>
    </row>
    <row r="331" spans="1:16" ht="19.5" customHeight="1">
      <c r="A331" s="172" t="s">
        <v>847</v>
      </c>
      <c r="B331" s="176">
        <v>46028</v>
      </c>
      <c r="C331" s="172" t="s">
        <v>92</v>
      </c>
      <c r="D331" s="172" t="s">
        <v>24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1621</v>
      </c>
      <c r="J331" s="176">
        <v>46025</v>
      </c>
      <c r="K331" s="172" t="s">
        <v>93</v>
      </c>
      <c r="L331" s="172" t="s">
        <v>94</v>
      </c>
      <c r="M331" s="179">
        <v>0.43</v>
      </c>
      <c r="N331" s="177"/>
      <c r="O331" s="177">
        <v>44</v>
      </c>
      <c r="P331" s="180">
        <v>-142.34</v>
      </c>
    </row>
    <row r="332" spans="1:16" ht="19.5" customHeight="1">
      <c r="A332" s="172" t="s">
        <v>847</v>
      </c>
      <c r="B332" s="176">
        <v>46028</v>
      </c>
      <c r="C332" s="172" t="s">
        <v>100</v>
      </c>
      <c r="D332" s="172" t="s">
        <v>101</v>
      </c>
      <c r="E332" s="172" t="s">
        <v>52</v>
      </c>
      <c r="F332" s="172" t="s">
        <v>90</v>
      </c>
      <c r="G332" s="172" t="s">
        <v>84</v>
      </c>
      <c r="H332" s="177">
        <v>1</v>
      </c>
      <c r="I332" s="178">
        <v>1621</v>
      </c>
      <c r="J332" s="176">
        <v>46025</v>
      </c>
      <c r="K332" s="172" t="s">
        <v>93</v>
      </c>
      <c r="L332" s="172" t="s">
        <v>94</v>
      </c>
      <c r="M332" s="179">
        <v>0</v>
      </c>
      <c r="N332" s="177"/>
      <c r="O332" s="177"/>
      <c r="P332" s="180">
        <v>556.08000000000004</v>
      </c>
    </row>
    <row r="333" spans="1:16" ht="19.5" customHeight="1">
      <c r="A333" s="172" t="s">
        <v>847</v>
      </c>
      <c r="B333" s="176">
        <v>46028</v>
      </c>
      <c r="C333" s="172" t="s">
        <v>100</v>
      </c>
      <c r="D333" s="172" t="s">
        <v>102</v>
      </c>
      <c r="E333" s="172" t="s">
        <v>52</v>
      </c>
      <c r="F333" s="172" t="s">
        <v>90</v>
      </c>
      <c r="G333" s="172" t="s">
        <v>84</v>
      </c>
      <c r="H333" s="177">
        <v>1</v>
      </c>
      <c r="I333" s="178">
        <v>1621</v>
      </c>
      <c r="J333" s="176">
        <v>46025</v>
      </c>
      <c r="K333" s="172" t="s">
        <v>93</v>
      </c>
      <c r="L333" s="172" t="s">
        <v>94</v>
      </c>
      <c r="M333" s="179">
        <v>0</v>
      </c>
      <c r="N333" s="177"/>
      <c r="O333" s="177"/>
      <c r="P333" s="180">
        <v>5.56</v>
      </c>
    </row>
    <row r="334" spans="1:16" ht="19.5" customHeight="1">
      <c r="A334" s="172" t="s">
        <v>847</v>
      </c>
      <c r="B334" s="176">
        <v>46028</v>
      </c>
      <c r="C334" s="172" t="s">
        <v>100</v>
      </c>
      <c r="D334" s="172" t="s">
        <v>103</v>
      </c>
      <c r="E334" s="172" t="s">
        <v>52</v>
      </c>
      <c r="F334" s="172" t="s">
        <v>90</v>
      </c>
      <c r="G334" s="172" t="s">
        <v>84</v>
      </c>
      <c r="H334" s="177">
        <v>1</v>
      </c>
      <c r="I334" s="178">
        <v>1621</v>
      </c>
      <c r="J334" s="176">
        <v>46025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1059.3599999999999</v>
      </c>
    </row>
    <row r="335" spans="1:16" ht="19.5" customHeight="1">
      <c r="A335" s="172" t="s">
        <v>847</v>
      </c>
      <c r="B335" s="176">
        <v>46028</v>
      </c>
      <c r="C335" s="172" t="s">
        <v>104</v>
      </c>
      <c r="D335" s="172" t="s">
        <v>105</v>
      </c>
      <c r="E335" s="172" t="s">
        <v>52</v>
      </c>
      <c r="F335" s="172" t="s">
        <v>90</v>
      </c>
      <c r="G335" s="172" t="s">
        <v>84</v>
      </c>
      <c r="H335" s="177">
        <v>1</v>
      </c>
      <c r="I335" s="178">
        <v>1621</v>
      </c>
      <c r="J335" s="176">
        <v>46025</v>
      </c>
      <c r="K335" s="172" t="s">
        <v>93</v>
      </c>
      <c r="L335" s="172" t="s">
        <v>94</v>
      </c>
      <c r="M335" s="179">
        <v>0.43</v>
      </c>
      <c r="N335" s="177"/>
      <c r="O335" s="177"/>
      <c r="P335" s="180">
        <v>-697.03</v>
      </c>
    </row>
    <row r="336" spans="1:16" ht="19.5" customHeight="1">
      <c r="A336" s="172" t="s">
        <v>847</v>
      </c>
      <c r="B336" s="176">
        <v>46028</v>
      </c>
      <c r="C336" s="172" t="s">
        <v>81</v>
      </c>
      <c r="D336" s="172" t="s">
        <v>95</v>
      </c>
      <c r="E336" s="172" t="s">
        <v>52</v>
      </c>
      <c r="F336" s="172" t="s">
        <v>90</v>
      </c>
      <c r="G336" s="172" t="s">
        <v>84</v>
      </c>
      <c r="H336" s="177">
        <v>1</v>
      </c>
      <c r="I336" s="178">
        <v>1621</v>
      </c>
      <c r="J336" s="176">
        <v>46025</v>
      </c>
      <c r="K336" s="172" t="s">
        <v>93</v>
      </c>
      <c r="L336" s="172" t="s">
        <v>94</v>
      </c>
      <c r="M336" s="179">
        <v>0.43</v>
      </c>
      <c r="N336" s="177"/>
      <c r="O336" s="177"/>
      <c r="P336" s="180">
        <v>-24.71</v>
      </c>
    </row>
    <row r="337" spans="1:16" ht="19.5" customHeight="1">
      <c r="A337" s="172" t="s">
        <v>848</v>
      </c>
      <c r="B337" s="176">
        <v>46028</v>
      </c>
      <c r="C337" s="172" t="s">
        <v>92</v>
      </c>
      <c r="D337" s="172" t="s">
        <v>24</v>
      </c>
      <c r="E337" s="172" t="s">
        <v>53</v>
      </c>
      <c r="F337" s="172" t="s">
        <v>120</v>
      </c>
      <c r="G337" s="172" t="s">
        <v>84</v>
      </c>
      <c r="H337" s="177">
        <v>1</v>
      </c>
      <c r="I337" s="178">
        <v>1845</v>
      </c>
      <c r="J337" s="176">
        <v>46025</v>
      </c>
      <c r="K337" s="172" t="s">
        <v>93</v>
      </c>
      <c r="L337" s="172" t="s">
        <v>94</v>
      </c>
      <c r="M337" s="179">
        <v>0.43</v>
      </c>
      <c r="N337" s="177"/>
      <c r="O337" s="177">
        <v>44</v>
      </c>
      <c r="P337" s="180">
        <v>-149.4</v>
      </c>
    </row>
    <row r="338" spans="1:16" ht="19.5" customHeight="1">
      <c r="A338" s="172" t="s">
        <v>848</v>
      </c>
      <c r="B338" s="176">
        <v>46028</v>
      </c>
      <c r="C338" s="172" t="s">
        <v>100</v>
      </c>
      <c r="D338" s="172" t="s">
        <v>101</v>
      </c>
      <c r="E338" s="172" t="s">
        <v>53</v>
      </c>
      <c r="F338" s="172" t="s">
        <v>120</v>
      </c>
      <c r="G338" s="172" t="s">
        <v>84</v>
      </c>
      <c r="H338" s="177">
        <v>1</v>
      </c>
      <c r="I338" s="178">
        <v>1845</v>
      </c>
      <c r="J338" s="176">
        <v>46025</v>
      </c>
      <c r="K338" s="172" t="s">
        <v>93</v>
      </c>
      <c r="L338" s="172" t="s">
        <v>94</v>
      </c>
      <c r="M338" s="179">
        <v>0</v>
      </c>
      <c r="N338" s="177"/>
      <c r="O338" s="177"/>
      <c r="P338" s="180">
        <v>702.86</v>
      </c>
    </row>
    <row r="339" spans="1:16" ht="19.5" customHeight="1">
      <c r="A339" s="172" t="s">
        <v>848</v>
      </c>
      <c r="B339" s="176">
        <v>46028</v>
      </c>
      <c r="C339" s="172" t="s">
        <v>100</v>
      </c>
      <c r="D339" s="172" t="s">
        <v>102</v>
      </c>
      <c r="E339" s="172" t="s">
        <v>53</v>
      </c>
      <c r="F339" s="172" t="s">
        <v>120</v>
      </c>
      <c r="G339" s="172" t="s">
        <v>84</v>
      </c>
      <c r="H339" s="177">
        <v>1</v>
      </c>
      <c r="I339" s="178">
        <v>1845</v>
      </c>
      <c r="J339" s="176">
        <v>46025</v>
      </c>
      <c r="K339" s="172" t="s">
        <v>93</v>
      </c>
      <c r="L339" s="172" t="s">
        <v>94</v>
      </c>
      <c r="M339" s="179">
        <v>0</v>
      </c>
      <c r="N339" s="177"/>
      <c r="O339" s="177"/>
      <c r="P339" s="180">
        <v>0</v>
      </c>
    </row>
    <row r="340" spans="1:16" ht="19.5" customHeight="1">
      <c r="A340" s="172" t="s">
        <v>848</v>
      </c>
      <c r="B340" s="176">
        <v>46028</v>
      </c>
      <c r="C340" s="172" t="s">
        <v>100</v>
      </c>
      <c r="D340" s="172" t="s">
        <v>103</v>
      </c>
      <c r="E340" s="172" t="s">
        <v>53</v>
      </c>
      <c r="F340" s="172" t="s">
        <v>120</v>
      </c>
      <c r="G340" s="172" t="s">
        <v>84</v>
      </c>
      <c r="H340" s="177">
        <v>1</v>
      </c>
      <c r="I340" s="178">
        <v>1845</v>
      </c>
      <c r="J340" s="176">
        <v>46025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1142.1400000000001</v>
      </c>
    </row>
    <row r="341" spans="1:16" ht="19.5" customHeight="1">
      <c r="A341" s="172" t="s">
        <v>848</v>
      </c>
      <c r="B341" s="176">
        <v>46028</v>
      </c>
      <c r="C341" s="172" t="s">
        <v>104</v>
      </c>
      <c r="D341" s="172" t="s">
        <v>105</v>
      </c>
      <c r="E341" s="172" t="s">
        <v>53</v>
      </c>
      <c r="F341" s="172" t="s">
        <v>120</v>
      </c>
      <c r="G341" s="172" t="s">
        <v>84</v>
      </c>
      <c r="H341" s="177">
        <v>1</v>
      </c>
      <c r="I341" s="178">
        <v>1845</v>
      </c>
      <c r="J341" s="176">
        <v>46025</v>
      </c>
      <c r="K341" s="172" t="s">
        <v>93</v>
      </c>
      <c r="L341" s="172" t="s">
        <v>94</v>
      </c>
      <c r="M341" s="179">
        <v>0.43</v>
      </c>
      <c r="N341" s="177"/>
      <c r="O341" s="177"/>
      <c r="P341" s="180">
        <v>-793.35</v>
      </c>
    </row>
    <row r="342" spans="1:16" ht="19.5" customHeight="1">
      <c r="A342" s="172" t="s">
        <v>849</v>
      </c>
      <c r="B342" s="176">
        <v>46028</v>
      </c>
      <c r="C342" s="172" t="s">
        <v>92</v>
      </c>
      <c r="D342" s="172" t="s">
        <v>24</v>
      </c>
      <c r="E342" s="172" t="s">
        <v>53</v>
      </c>
      <c r="F342" s="172" t="s">
        <v>120</v>
      </c>
      <c r="G342" s="172" t="s">
        <v>84</v>
      </c>
      <c r="H342" s="177">
        <v>1</v>
      </c>
      <c r="I342" s="178">
        <v>1845</v>
      </c>
      <c r="J342" s="176">
        <v>46024</v>
      </c>
      <c r="K342" s="172" t="s">
        <v>93</v>
      </c>
      <c r="L342" s="172" t="s">
        <v>94</v>
      </c>
      <c r="M342" s="179">
        <v>0.43</v>
      </c>
      <c r="N342" s="177"/>
      <c r="O342" s="177">
        <v>42</v>
      </c>
      <c r="P342" s="180">
        <v>-140.5</v>
      </c>
    </row>
    <row r="343" spans="1:16" ht="19.5" customHeight="1">
      <c r="A343" s="172" t="s">
        <v>849</v>
      </c>
      <c r="B343" s="176">
        <v>46028</v>
      </c>
      <c r="C343" s="172" t="s">
        <v>100</v>
      </c>
      <c r="D343" s="172" t="s">
        <v>101</v>
      </c>
      <c r="E343" s="172" t="s">
        <v>53</v>
      </c>
      <c r="F343" s="172" t="s">
        <v>120</v>
      </c>
      <c r="G343" s="172" t="s">
        <v>84</v>
      </c>
      <c r="H343" s="177">
        <v>1</v>
      </c>
      <c r="I343" s="178">
        <v>1845</v>
      </c>
      <c r="J343" s="176">
        <v>46024</v>
      </c>
      <c r="K343" s="172" t="s">
        <v>93</v>
      </c>
      <c r="L343" s="172" t="s">
        <v>94</v>
      </c>
      <c r="M343" s="179">
        <v>0</v>
      </c>
      <c r="N343" s="177"/>
      <c r="O343" s="177"/>
      <c r="P343" s="180">
        <v>702.86</v>
      </c>
    </row>
    <row r="344" spans="1:16" ht="19.5" customHeight="1">
      <c r="A344" s="172" t="s">
        <v>849</v>
      </c>
      <c r="B344" s="176">
        <v>46028</v>
      </c>
      <c r="C344" s="172" t="s">
        <v>100</v>
      </c>
      <c r="D344" s="172" t="s">
        <v>102</v>
      </c>
      <c r="E344" s="172" t="s">
        <v>53</v>
      </c>
      <c r="F344" s="172" t="s">
        <v>120</v>
      </c>
      <c r="G344" s="172" t="s">
        <v>84</v>
      </c>
      <c r="H344" s="177">
        <v>1</v>
      </c>
      <c r="I344" s="178">
        <v>1845</v>
      </c>
      <c r="J344" s="176">
        <v>46024</v>
      </c>
      <c r="K344" s="172" t="s">
        <v>93</v>
      </c>
      <c r="L344" s="172" t="s">
        <v>94</v>
      </c>
      <c r="M344" s="179">
        <v>0</v>
      </c>
      <c r="N344" s="177"/>
      <c r="O344" s="177"/>
      <c r="P344" s="180">
        <v>0</v>
      </c>
    </row>
    <row r="345" spans="1:16" ht="19.5" customHeight="1">
      <c r="A345" s="172" t="s">
        <v>849</v>
      </c>
      <c r="B345" s="176">
        <v>46028</v>
      </c>
      <c r="C345" s="172" t="s">
        <v>100</v>
      </c>
      <c r="D345" s="172" t="s">
        <v>103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46024</v>
      </c>
      <c r="K345" s="172" t="s">
        <v>93</v>
      </c>
      <c r="L345" s="172" t="s">
        <v>94</v>
      </c>
      <c r="M345" s="179">
        <v>0</v>
      </c>
      <c r="N345" s="177"/>
      <c r="O345" s="177"/>
      <c r="P345" s="180">
        <v>1142.1400000000001</v>
      </c>
    </row>
    <row r="346" spans="1:16" ht="19.5" customHeight="1">
      <c r="A346" s="172" t="s">
        <v>849</v>
      </c>
      <c r="B346" s="176">
        <v>46028</v>
      </c>
      <c r="C346" s="172" t="s">
        <v>104</v>
      </c>
      <c r="D346" s="172" t="s">
        <v>105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46024</v>
      </c>
      <c r="K346" s="172" t="s">
        <v>93</v>
      </c>
      <c r="L346" s="172" t="s">
        <v>94</v>
      </c>
      <c r="M346" s="179">
        <v>0.43</v>
      </c>
      <c r="N346" s="177"/>
      <c r="O346" s="177"/>
      <c r="P346" s="180">
        <v>-793.35</v>
      </c>
    </row>
    <row r="347" spans="1:16" ht="19.5" customHeight="1">
      <c r="A347" s="172" t="s">
        <v>849</v>
      </c>
      <c r="B347" s="176">
        <v>46028</v>
      </c>
      <c r="C347" s="172" t="s">
        <v>81</v>
      </c>
      <c r="D347" s="172" t="s">
        <v>95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46024</v>
      </c>
      <c r="K347" s="172" t="s">
        <v>93</v>
      </c>
      <c r="L347" s="172" t="s">
        <v>94</v>
      </c>
      <c r="M347" s="179">
        <v>0.43</v>
      </c>
      <c r="N347" s="177"/>
      <c r="O347" s="177"/>
      <c r="P347" s="180">
        <v>-25</v>
      </c>
    </row>
    <row r="348" spans="1:16" ht="19.5" customHeight="1">
      <c r="A348" s="172" t="s">
        <v>850</v>
      </c>
      <c r="B348" s="176">
        <v>46028</v>
      </c>
      <c r="C348" s="172" t="s">
        <v>92</v>
      </c>
      <c r="D348" s="172" t="s">
        <v>24</v>
      </c>
      <c r="E348" s="172" t="s">
        <v>52</v>
      </c>
      <c r="F348" s="172" t="s">
        <v>90</v>
      </c>
      <c r="G348" s="172" t="s">
        <v>84</v>
      </c>
      <c r="H348" s="177">
        <v>1</v>
      </c>
      <c r="I348" s="178">
        <v>1621</v>
      </c>
      <c r="J348" s="176">
        <v>46027</v>
      </c>
      <c r="K348" s="172" t="s">
        <v>93</v>
      </c>
      <c r="L348" s="172" t="s">
        <v>94</v>
      </c>
      <c r="M348" s="179">
        <v>0.43</v>
      </c>
      <c r="N348" s="177"/>
      <c r="O348" s="177">
        <v>45</v>
      </c>
      <c r="P348" s="180">
        <v>-146.44999999999999</v>
      </c>
    </row>
    <row r="349" spans="1:16" ht="19.5" customHeight="1">
      <c r="A349" s="172" t="s">
        <v>850</v>
      </c>
      <c r="B349" s="176">
        <v>46028</v>
      </c>
      <c r="C349" s="172" t="s">
        <v>100</v>
      </c>
      <c r="D349" s="172" t="s">
        <v>101</v>
      </c>
      <c r="E349" s="172" t="s">
        <v>52</v>
      </c>
      <c r="F349" s="172" t="s">
        <v>90</v>
      </c>
      <c r="G349" s="172" t="s">
        <v>84</v>
      </c>
      <c r="H349" s="177">
        <v>1</v>
      </c>
      <c r="I349" s="178">
        <v>1621</v>
      </c>
      <c r="J349" s="176">
        <v>46027</v>
      </c>
      <c r="K349" s="172" t="s">
        <v>93</v>
      </c>
      <c r="L349" s="172" t="s">
        <v>94</v>
      </c>
      <c r="M349" s="179">
        <v>0</v>
      </c>
      <c r="N349" s="177"/>
      <c r="O349" s="177"/>
      <c r="P349" s="180">
        <v>557.14</v>
      </c>
    </row>
    <row r="350" spans="1:16" ht="19.5" customHeight="1">
      <c r="A350" s="172" t="s">
        <v>850</v>
      </c>
      <c r="B350" s="176">
        <v>46028</v>
      </c>
      <c r="C350" s="172" t="s">
        <v>100</v>
      </c>
      <c r="D350" s="172" t="s">
        <v>102</v>
      </c>
      <c r="E350" s="172" t="s">
        <v>52</v>
      </c>
      <c r="F350" s="172" t="s">
        <v>90</v>
      </c>
      <c r="G350" s="172" t="s">
        <v>84</v>
      </c>
      <c r="H350" s="177">
        <v>1</v>
      </c>
      <c r="I350" s="178">
        <v>1621</v>
      </c>
      <c r="J350" s="176">
        <v>46027</v>
      </c>
      <c r="K350" s="172" t="s">
        <v>93</v>
      </c>
      <c r="L350" s="172" t="s">
        <v>94</v>
      </c>
      <c r="M350" s="179">
        <v>0</v>
      </c>
      <c r="N350" s="177"/>
      <c r="O350" s="177"/>
      <c r="P350" s="180">
        <v>5.57</v>
      </c>
    </row>
    <row r="351" spans="1:16" ht="19.5" customHeight="1">
      <c r="A351" s="172" t="s">
        <v>850</v>
      </c>
      <c r="B351" s="176">
        <v>46028</v>
      </c>
      <c r="C351" s="172" t="s">
        <v>100</v>
      </c>
      <c r="D351" s="172" t="s">
        <v>103</v>
      </c>
      <c r="E351" s="172" t="s">
        <v>52</v>
      </c>
      <c r="F351" s="172" t="s">
        <v>90</v>
      </c>
      <c r="G351" s="172" t="s">
        <v>84</v>
      </c>
      <c r="H351" s="177">
        <v>1</v>
      </c>
      <c r="I351" s="178">
        <v>1621</v>
      </c>
      <c r="J351" s="176">
        <v>46027</v>
      </c>
      <c r="K351" s="172" t="s">
        <v>93</v>
      </c>
      <c r="L351" s="172" t="s">
        <v>94</v>
      </c>
      <c r="M351" s="179">
        <v>0</v>
      </c>
      <c r="N351" s="177"/>
      <c r="O351" s="177"/>
      <c r="P351" s="180">
        <v>1058.29</v>
      </c>
    </row>
    <row r="352" spans="1:16" ht="19.5" customHeight="1">
      <c r="A352" s="172" t="s">
        <v>850</v>
      </c>
      <c r="B352" s="176">
        <v>46028</v>
      </c>
      <c r="C352" s="172" t="s">
        <v>104</v>
      </c>
      <c r="D352" s="172" t="s">
        <v>105</v>
      </c>
      <c r="E352" s="172" t="s">
        <v>52</v>
      </c>
      <c r="F352" s="172" t="s">
        <v>90</v>
      </c>
      <c r="G352" s="172" t="s">
        <v>84</v>
      </c>
      <c r="H352" s="177">
        <v>1</v>
      </c>
      <c r="I352" s="178">
        <v>1621</v>
      </c>
      <c r="J352" s="176">
        <v>46027</v>
      </c>
      <c r="K352" s="172" t="s">
        <v>93</v>
      </c>
      <c r="L352" s="172" t="s">
        <v>94</v>
      </c>
      <c r="M352" s="179">
        <v>0.43</v>
      </c>
      <c r="N352" s="177"/>
      <c r="O352" s="177"/>
      <c r="P352" s="180">
        <v>-697.03</v>
      </c>
    </row>
    <row r="353" spans="1:16" ht="19.5" customHeight="1">
      <c r="A353" s="172" t="s">
        <v>850</v>
      </c>
      <c r="B353" s="176">
        <v>46028</v>
      </c>
      <c r="C353" s="172" t="s">
        <v>81</v>
      </c>
      <c r="D353" s="172" t="s">
        <v>95</v>
      </c>
      <c r="E353" s="172" t="s">
        <v>52</v>
      </c>
      <c r="F353" s="172" t="s">
        <v>90</v>
      </c>
      <c r="G353" s="172" t="s">
        <v>84</v>
      </c>
      <c r="H353" s="177">
        <v>1</v>
      </c>
      <c r="I353" s="178">
        <v>1621</v>
      </c>
      <c r="J353" s="176">
        <v>46027</v>
      </c>
      <c r="K353" s="172" t="s">
        <v>93</v>
      </c>
      <c r="L353" s="172" t="s">
        <v>94</v>
      </c>
      <c r="M353" s="179">
        <v>0.43</v>
      </c>
      <c r="N353" s="177"/>
      <c r="O353" s="177"/>
      <c r="P353" s="180">
        <v>-11.45</v>
      </c>
    </row>
    <row r="354" spans="1:16" ht="19.5" customHeight="1">
      <c r="A354" s="172" t="s">
        <v>847</v>
      </c>
      <c r="B354" s="176">
        <v>46028</v>
      </c>
      <c r="C354" s="172" t="s">
        <v>81</v>
      </c>
      <c r="D354" s="172" t="s">
        <v>82</v>
      </c>
      <c r="E354" s="172" t="s">
        <v>52</v>
      </c>
      <c r="F354" s="172" t="s">
        <v>90</v>
      </c>
      <c r="G354" s="172" t="s">
        <v>84</v>
      </c>
      <c r="H354" s="177">
        <v>1</v>
      </c>
      <c r="I354" s="178">
        <v>0</v>
      </c>
      <c r="J354" s="176">
        <v>46025</v>
      </c>
      <c r="K354" s="172" t="s">
        <v>85</v>
      </c>
      <c r="L354" s="172" t="s">
        <v>85</v>
      </c>
      <c r="M354" s="179">
        <v>0</v>
      </c>
      <c r="N354" s="177"/>
      <c r="O354" s="177"/>
      <c r="P354" s="180">
        <v>-10.57</v>
      </c>
    </row>
    <row r="355" spans="1:16" ht="19.5" customHeight="1">
      <c r="A355" s="172" t="s">
        <v>851</v>
      </c>
      <c r="B355" s="176">
        <v>46028</v>
      </c>
      <c r="C355" s="172" t="s">
        <v>92</v>
      </c>
      <c r="D355" s="172" t="s">
        <v>24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46023</v>
      </c>
      <c r="K355" s="172" t="s">
        <v>93</v>
      </c>
      <c r="L355" s="172" t="s">
        <v>94</v>
      </c>
      <c r="M355" s="179">
        <v>0.43</v>
      </c>
      <c r="N355" s="177"/>
      <c r="O355" s="177">
        <v>43</v>
      </c>
      <c r="P355" s="180">
        <v>-144.94999999999999</v>
      </c>
    </row>
    <row r="356" spans="1:16" ht="19.5" customHeight="1">
      <c r="A356" s="172" t="s">
        <v>851</v>
      </c>
      <c r="B356" s="176">
        <v>46028</v>
      </c>
      <c r="C356" s="172" t="s">
        <v>100</v>
      </c>
      <c r="D356" s="172" t="s">
        <v>101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46023</v>
      </c>
      <c r="K356" s="172" t="s">
        <v>93</v>
      </c>
      <c r="L356" s="172" t="s">
        <v>94</v>
      </c>
      <c r="M356" s="179">
        <v>0</v>
      </c>
      <c r="N356" s="177"/>
      <c r="O356" s="177"/>
      <c r="P356" s="180">
        <v>642.86</v>
      </c>
    </row>
    <row r="357" spans="1:16" ht="19.5" customHeight="1">
      <c r="A357" s="172" t="s">
        <v>851</v>
      </c>
      <c r="B357" s="176">
        <v>46028</v>
      </c>
      <c r="C357" s="172" t="s">
        <v>100</v>
      </c>
      <c r="D357" s="172" t="s">
        <v>102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1845</v>
      </c>
      <c r="J357" s="176">
        <v>46023</v>
      </c>
      <c r="K357" s="172" t="s">
        <v>93</v>
      </c>
      <c r="L357" s="172" t="s">
        <v>94</v>
      </c>
      <c r="M357" s="179">
        <v>0</v>
      </c>
      <c r="N357" s="177"/>
      <c r="O357" s="177"/>
      <c r="P357" s="180">
        <v>6.43</v>
      </c>
    </row>
    <row r="358" spans="1:16" ht="19.5" customHeight="1">
      <c r="A358" s="172" t="s">
        <v>851</v>
      </c>
      <c r="B358" s="176">
        <v>46028</v>
      </c>
      <c r="C358" s="172" t="s">
        <v>100</v>
      </c>
      <c r="D358" s="172" t="s">
        <v>103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1845</v>
      </c>
      <c r="J358" s="176">
        <v>46023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1195.71</v>
      </c>
    </row>
    <row r="359" spans="1:16" ht="19.5" customHeight="1">
      <c r="A359" s="172" t="s">
        <v>851</v>
      </c>
      <c r="B359" s="176">
        <v>46028</v>
      </c>
      <c r="C359" s="172" t="s">
        <v>104</v>
      </c>
      <c r="D359" s="172" t="s">
        <v>105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1845</v>
      </c>
      <c r="J359" s="176">
        <v>46023</v>
      </c>
      <c r="K359" s="172" t="s">
        <v>93</v>
      </c>
      <c r="L359" s="172" t="s">
        <v>94</v>
      </c>
      <c r="M359" s="179">
        <v>0.43</v>
      </c>
      <c r="N359" s="177"/>
      <c r="O359" s="177"/>
      <c r="P359" s="180">
        <v>-793.35</v>
      </c>
    </row>
    <row r="360" spans="1:16" ht="19.5" customHeight="1">
      <c r="A360" s="172" t="s">
        <v>851</v>
      </c>
      <c r="B360" s="176">
        <v>46028</v>
      </c>
      <c r="C360" s="172" t="s">
        <v>81</v>
      </c>
      <c r="D360" s="172" t="s">
        <v>95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1845</v>
      </c>
      <c r="J360" s="176">
        <v>46023</v>
      </c>
      <c r="K360" s="172" t="s">
        <v>93</v>
      </c>
      <c r="L360" s="172" t="s">
        <v>94</v>
      </c>
      <c r="M360" s="179">
        <v>0.43</v>
      </c>
      <c r="N360" s="177"/>
      <c r="O360" s="177"/>
      <c r="P360" s="180">
        <v>-20.97</v>
      </c>
    </row>
    <row r="361" spans="1:16" ht="19.5" customHeight="1">
      <c r="A361" s="172" t="s">
        <v>851</v>
      </c>
      <c r="B361" s="176">
        <v>46028</v>
      </c>
      <c r="C361" s="172" t="s">
        <v>81</v>
      </c>
      <c r="D361" s="172" t="s">
        <v>82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0</v>
      </c>
      <c r="J361" s="176">
        <v>46023</v>
      </c>
      <c r="K361" s="172" t="s">
        <v>85</v>
      </c>
      <c r="L361" s="172" t="s">
        <v>85</v>
      </c>
      <c r="M361" s="179">
        <v>0</v>
      </c>
      <c r="N361" s="177"/>
      <c r="O361" s="177"/>
      <c r="P361" s="180">
        <v>-12.21</v>
      </c>
    </row>
    <row r="362" spans="1:16" ht="19.5" customHeight="1">
      <c r="A362" s="172" t="s">
        <v>852</v>
      </c>
      <c r="B362" s="176">
        <v>46028</v>
      </c>
      <c r="C362" s="172" t="s">
        <v>92</v>
      </c>
      <c r="D362" s="172" t="s">
        <v>24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93</v>
      </c>
      <c r="L362" s="172" t="s">
        <v>94</v>
      </c>
      <c r="M362" s="179">
        <v>0</v>
      </c>
      <c r="N362" s="177"/>
      <c r="O362" s="177">
        <v>46</v>
      </c>
      <c r="P362" s="180">
        <v>-150.56</v>
      </c>
    </row>
    <row r="363" spans="1:16" ht="19.5" customHeight="1">
      <c r="A363" s="172" t="s">
        <v>853</v>
      </c>
      <c r="B363" s="176">
        <v>46028</v>
      </c>
      <c r="C363" s="172" t="s">
        <v>81</v>
      </c>
      <c r="D363" s="172" t="s">
        <v>82</v>
      </c>
      <c r="E363" s="172" t="s">
        <v>52</v>
      </c>
      <c r="F363" s="172" t="s">
        <v>90</v>
      </c>
      <c r="G363" s="172" t="s">
        <v>84</v>
      </c>
      <c r="H363" s="177">
        <v>1</v>
      </c>
      <c r="I363" s="178">
        <v>0</v>
      </c>
      <c r="J363" s="176">
        <v>46028</v>
      </c>
      <c r="K363" s="172" t="s">
        <v>85</v>
      </c>
      <c r="L363" s="172" t="s">
        <v>85</v>
      </c>
      <c r="M363" s="179">
        <v>0</v>
      </c>
      <c r="N363" s="177"/>
      <c r="O363" s="177"/>
      <c r="P363" s="180">
        <v>-10.57</v>
      </c>
    </row>
    <row r="364" spans="1:16" ht="19.5" customHeight="1">
      <c r="A364" s="172" t="s">
        <v>749</v>
      </c>
      <c r="B364" s="176">
        <v>46028</v>
      </c>
      <c r="C364" s="172" t="s">
        <v>81</v>
      </c>
      <c r="D364" s="172" t="s">
        <v>82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0</v>
      </c>
      <c r="J364" s="176">
        <v>46026</v>
      </c>
      <c r="K364" s="172" t="s">
        <v>85</v>
      </c>
      <c r="L364" s="172" t="s">
        <v>85</v>
      </c>
      <c r="M364" s="179">
        <v>0</v>
      </c>
      <c r="N364" s="177"/>
      <c r="O364" s="177"/>
      <c r="P364" s="180">
        <v>5.69</v>
      </c>
    </row>
    <row r="365" spans="1:16" ht="19.5" customHeight="1">
      <c r="A365" s="172" t="s">
        <v>854</v>
      </c>
      <c r="B365" s="176">
        <v>46028</v>
      </c>
      <c r="C365" s="172" t="s">
        <v>81</v>
      </c>
      <c r="D365" s="172" t="s">
        <v>82</v>
      </c>
      <c r="E365" s="172" t="s">
        <v>41</v>
      </c>
      <c r="F365" s="172" t="s">
        <v>83</v>
      </c>
      <c r="G365" s="172" t="s">
        <v>84</v>
      </c>
      <c r="H365" s="177">
        <v>1</v>
      </c>
      <c r="I365" s="178">
        <v>0</v>
      </c>
      <c r="J365" s="176">
        <v>46028</v>
      </c>
      <c r="K365" s="172" t="s">
        <v>85</v>
      </c>
      <c r="L365" s="172" t="s">
        <v>85</v>
      </c>
      <c r="M365" s="179">
        <v>0</v>
      </c>
      <c r="N365" s="177"/>
      <c r="O365" s="177"/>
      <c r="P365" s="180">
        <v>-10.44</v>
      </c>
    </row>
    <row r="366" spans="1:16" ht="19.5" customHeight="1">
      <c r="A366" s="172" t="s">
        <v>855</v>
      </c>
      <c r="B366" s="176">
        <v>46028</v>
      </c>
      <c r="C366" s="172" t="s">
        <v>92</v>
      </c>
      <c r="D366" s="172" t="s">
        <v>96</v>
      </c>
      <c r="E366" s="172" t="s">
        <v>53</v>
      </c>
      <c r="F366" s="172" t="s">
        <v>120</v>
      </c>
      <c r="G366" s="172" t="s">
        <v>84</v>
      </c>
      <c r="H366" s="177">
        <v>1</v>
      </c>
      <c r="I366" s="178">
        <v>0</v>
      </c>
      <c r="J366" s="176">
        <v>46020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0</v>
      </c>
    </row>
    <row r="367" spans="1:16" ht="19.5" customHeight="1">
      <c r="A367" s="172" t="s">
        <v>855</v>
      </c>
      <c r="B367" s="176">
        <v>46028</v>
      </c>
      <c r="C367" s="172" t="s">
        <v>92</v>
      </c>
      <c r="D367" s="172" t="s">
        <v>97</v>
      </c>
      <c r="E367" s="172" t="s">
        <v>53</v>
      </c>
      <c r="F367" s="172" t="s">
        <v>120</v>
      </c>
      <c r="G367" s="172" t="s">
        <v>84</v>
      </c>
      <c r="H367" s="177">
        <v>1</v>
      </c>
      <c r="I367" s="178">
        <v>0</v>
      </c>
      <c r="J367" s="176">
        <v>46020</v>
      </c>
      <c r="K367" s="172" t="s">
        <v>93</v>
      </c>
      <c r="L367" s="172" t="s">
        <v>94</v>
      </c>
      <c r="M367" s="179">
        <v>0</v>
      </c>
      <c r="N367" s="177"/>
      <c r="O367" s="177"/>
      <c r="P367" s="180">
        <v>-56</v>
      </c>
    </row>
    <row r="368" spans="1:16" ht="19.5" customHeight="1">
      <c r="A368" s="172" t="s">
        <v>855</v>
      </c>
      <c r="B368" s="176">
        <v>46028</v>
      </c>
      <c r="C368" s="172" t="s">
        <v>81</v>
      </c>
      <c r="D368" s="172" t="s">
        <v>98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0</v>
      </c>
      <c r="J368" s="176">
        <v>46020</v>
      </c>
      <c r="K368" s="172" t="s">
        <v>93</v>
      </c>
      <c r="L368" s="172" t="s">
        <v>94</v>
      </c>
      <c r="M368" s="179">
        <v>0</v>
      </c>
      <c r="N368" s="177"/>
      <c r="O368" s="177"/>
      <c r="P368" s="180">
        <v>-15</v>
      </c>
    </row>
    <row r="369" spans="1:16" ht="19.5" customHeight="1">
      <c r="A369" s="172" t="s">
        <v>855</v>
      </c>
      <c r="B369" s="176">
        <v>46028</v>
      </c>
      <c r="C369" s="172" t="s">
        <v>92</v>
      </c>
      <c r="D369" s="172" t="s">
        <v>24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0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>
        <v>41</v>
      </c>
      <c r="P369" s="180">
        <v>-56</v>
      </c>
    </row>
    <row r="370" spans="1:16" ht="19.5" customHeight="1">
      <c r="A370" s="172" t="s">
        <v>855</v>
      </c>
      <c r="B370" s="176">
        <v>46028</v>
      </c>
      <c r="C370" s="172" t="s">
        <v>81</v>
      </c>
      <c r="D370" s="172" t="s">
        <v>95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0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-8.6199999999999992</v>
      </c>
    </row>
    <row r="371" spans="1:16" ht="19.5" customHeight="1">
      <c r="A371" s="172" t="s">
        <v>856</v>
      </c>
      <c r="B371" s="176">
        <v>46028</v>
      </c>
      <c r="C371" s="172" t="s">
        <v>92</v>
      </c>
      <c r="D371" s="172" t="s">
        <v>24</v>
      </c>
      <c r="E371" s="172" t="s">
        <v>52</v>
      </c>
      <c r="F371" s="172" t="s">
        <v>90</v>
      </c>
      <c r="G371" s="172" t="s">
        <v>84</v>
      </c>
      <c r="H371" s="177">
        <v>1</v>
      </c>
      <c r="I371" s="178">
        <v>1621</v>
      </c>
      <c r="J371" s="176">
        <v>46027</v>
      </c>
      <c r="K371" s="172" t="s">
        <v>93</v>
      </c>
      <c r="L371" s="172" t="s">
        <v>94</v>
      </c>
      <c r="M371" s="179">
        <v>0.43</v>
      </c>
      <c r="N371" s="177"/>
      <c r="O371" s="177">
        <v>45</v>
      </c>
      <c r="P371" s="180">
        <v>-146.44999999999999</v>
      </c>
    </row>
    <row r="372" spans="1:16" ht="19.5" customHeight="1">
      <c r="A372" s="172" t="s">
        <v>856</v>
      </c>
      <c r="B372" s="176">
        <v>46028</v>
      </c>
      <c r="C372" s="172" t="s">
        <v>100</v>
      </c>
      <c r="D372" s="172" t="s">
        <v>101</v>
      </c>
      <c r="E372" s="172" t="s">
        <v>52</v>
      </c>
      <c r="F372" s="172" t="s">
        <v>90</v>
      </c>
      <c r="G372" s="172" t="s">
        <v>84</v>
      </c>
      <c r="H372" s="177">
        <v>1</v>
      </c>
      <c r="I372" s="178">
        <v>1621</v>
      </c>
      <c r="J372" s="176">
        <v>46027</v>
      </c>
      <c r="K372" s="172" t="s">
        <v>93</v>
      </c>
      <c r="L372" s="172" t="s">
        <v>94</v>
      </c>
      <c r="M372" s="179">
        <v>0</v>
      </c>
      <c r="N372" s="177"/>
      <c r="O372" s="177"/>
      <c r="P372" s="180">
        <v>646.04</v>
      </c>
    </row>
    <row r="373" spans="1:16" ht="19.5" customHeight="1">
      <c r="A373" s="172" t="s">
        <v>856</v>
      </c>
      <c r="B373" s="176">
        <v>46028</v>
      </c>
      <c r="C373" s="172" t="s">
        <v>100</v>
      </c>
      <c r="D373" s="172" t="s">
        <v>102</v>
      </c>
      <c r="E373" s="172" t="s">
        <v>52</v>
      </c>
      <c r="F373" s="172" t="s">
        <v>90</v>
      </c>
      <c r="G373" s="172" t="s">
        <v>84</v>
      </c>
      <c r="H373" s="177">
        <v>1</v>
      </c>
      <c r="I373" s="178">
        <v>1621</v>
      </c>
      <c r="J373" s="176">
        <v>46027</v>
      </c>
      <c r="K373" s="172" t="s">
        <v>93</v>
      </c>
      <c r="L373" s="172" t="s">
        <v>94</v>
      </c>
      <c r="M373" s="179">
        <v>0</v>
      </c>
      <c r="N373" s="177"/>
      <c r="O373" s="177"/>
      <c r="P373" s="180">
        <v>0</v>
      </c>
    </row>
    <row r="374" spans="1:16" ht="19.5" customHeight="1">
      <c r="A374" s="172" t="s">
        <v>856</v>
      </c>
      <c r="B374" s="176">
        <v>46028</v>
      </c>
      <c r="C374" s="172" t="s">
        <v>100</v>
      </c>
      <c r="D374" s="172" t="s">
        <v>103</v>
      </c>
      <c r="E374" s="172" t="s">
        <v>52</v>
      </c>
      <c r="F374" s="172" t="s">
        <v>90</v>
      </c>
      <c r="G374" s="172" t="s">
        <v>84</v>
      </c>
      <c r="H374" s="177">
        <v>1</v>
      </c>
      <c r="I374" s="178">
        <v>1621</v>
      </c>
      <c r="J374" s="176">
        <v>46027</v>
      </c>
      <c r="K374" s="172" t="s">
        <v>93</v>
      </c>
      <c r="L374" s="172" t="s">
        <v>94</v>
      </c>
      <c r="M374" s="179">
        <v>0</v>
      </c>
      <c r="N374" s="177"/>
      <c r="O374" s="177"/>
      <c r="P374" s="180">
        <v>974.96</v>
      </c>
    </row>
    <row r="375" spans="1:16" ht="19.5" customHeight="1">
      <c r="A375" s="172" t="s">
        <v>856</v>
      </c>
      <c r="B375" s="176">
        <v>46028</v>
      </c>
      <c r="C375" s="172" t="s">
        <v>104</v>
      </c>
      <c r="D375" s="172" t="s">
        <v>105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1621</v>
      </c>
      <c r="J375" s="176">
        <v>46027</v>
      </c>
      <c r="K375" s="172" t="s">
        <v>93</v>
      </c>
      <c r="L375" s="172" t="s">
        <v>94</v>
      </c>
      <c r="M375" s="179">
        <v>0.43</v>
      </c>
      <c r="N375" s="177"/>
      <c r="O375" s="177"/>
      <c r="P375" s="180">
        <v>-697.03</v>
      </c>
    </row>
    <row r="376" spans="1:16" ht="19.5" customHeight="1">
      <c r="A376" s="172" t="s">
        <v>857</v>
      </c>
      <c r="B376" s="176">
        <v>46028</v>
      </c>
      <c r="C376" s="172" t="s">
        <v>92</v>
      </c>
      <c r="D376" s="172" t="s">
        <v>24</v>
      </c>
      <c r="E376" s="172" t="s">
        <v>52</v>
      </c>
      <c r="F376" s="172" t="s">
        <v>90</v>
      </c>
      <c r="G376" s="172" t="s">
        <v>84</v>
      </c>
      <c r="H376" s="177">
        <v>1</v>
      </c>
      <c r="I376" s="178">
        <v>1621</v>
      </c>
      <c r="J376" s="176">
        <v>46026</v>
      </c>
      <c r="K376" s="172" t="s">
        <v>93</v>
      </c>
      <c r="L376" s="172" t="s">
        <v>94</v>
      </c>
      <c r="M376" s="179">
        <v>0.43</v>
      </c>
      <c r="N376" s="177"/>
      <c r="O376" s="177">
        <v>46</v>
      </c>
      <c r="P376" s="180">
        <v>-150.56</v>
      </c>
    </row>
    <row r="377" spans="1:16" ht="19.5" customHeight="1">
      <c r="A377" s="172" t="s">
        <v>857</v>
      </c>
      <c r="B377" s="176">
        <v>46028</v>
      </c>
      <c r="C377" s="172" t="s">
        <v>100</v>
      </c>
      <c r="D377" s="172" t="s">
        <v>101</v>
      </c>
      <c r="E377" s="172" t="s">
        <v>52</v>
      </c>
      <c r="F377" s="172" t="s">
        <v>90</v>
      </c>
      <c r="G377" s="172" t="s">
        <v>84</v>
      </c>
      <c r="H377" s="177">
        <v>1</v>
      </c>
      <c r="I377" s="178">
        <v>1621</v>
      </c>
      <c r="J377" s="176">
        <v>46026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468</v>
      </c>
    </row>
    <row r="378" spans="1:16" ht="19.5" customHeight="1">
      <c r="A378" s="172" t="s">
        <v>857</v>
      </c>
      <c r="B378" s="176">
        <v>46028</v>
      </c>
      <c r="C378" s="172" t="s">
        <v>100</v>
      </c>
      <c r="D378" s="172" t="s">
        <v>102</v>
      </c>
      <c r="E378" s="172" t="s">
        <v>52</v>
      </c>
      <c r="F378" s="172" t="s">
        <v>90</v>
      </c>
      <c r="G378" s="172" t="s">
        <v>84</v>
      </c>
      <c r="H378" s="177">
        <v>1</v>
      </c>
      <c r="I378" s="178">
        <v>1621</v>
      </c>
      <c r="J378" s="176">
        <v>46026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4.68</v>
      </c>
    </row>
    <row r="379" spans="1:16" ht="19.5" customHeight="1">
      <c r="A379" s="172" t="s">
        <v>857</v>
      </c>
      <c r="B379" s="176">
        <v>46028</v>
      </c>
      <c r="C379" s="172" t="s">
        <v>100</v>
      </c>
      <c r="D379" s="172" t="s">
        <v>103</v>
      </c>
      <c r="E379" s="172" t="s">
        <v>52</v>
      </c>
      <c r="F379" s="172" t="s">
        <v>90</v>
      </c>
      <c r="G379" s="172" t="s">
        <v>84</v>
      </c>
      <c r="H379" s="177">
        <v>1</v>
      </c>
      <c r="I379" s="178">
        <v>1621</v>
      </c>
      <c r="J379" s="176">
        <v>46026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1148.32</v>
      </c>
    </row>
    <row r="380" spans="1:16" ht="19.5" customHeight="1">
      <c r="A380" s="172" t="s">
        <v>857</v>
      </c>
      <c r="B380" s="176">
        <v>46028</v>
      </c>
      <c r="C380" s="172" t="s">
        <v>104</v>
      </c>
      <c r="D380" s="172" t="s">
        <v>105</v>
      </c>
      <c r="E380" s="172" t="s">
        <v>52</v>
      </c>
      <c r="F380" s="172" t="s">
        <v>90</v>
      </c>
      <c r="G380" s="172" t="s">
        <v>84</v>
      </c>
      <c r="H380" s="177">
        <v>1</v>
      </c>
      <c r="I380" s="178">
        <v>1621</v>
      </c>
      <c r="J380" s="176">
        <v>46026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-697.03</v>
      </c>
    </row>
    <row r="381" spans="1:16" ht="19.5" customHeight="1">
      <c r="A381" s="172" t="s">
        <v>858</v>
      </c>
      <c r="B381" s="176">
        <v>46028</v>
      </c>
      <c r="C381" s="172" t="s">
        <v>92</v>
      </c>
      <c r="D381" s="172" t="s">
        <v>24</v>
      </c>
      <c r="E381" s="172" t="s">
        <v>53</v>
      </c>
      <c r="F381" s="172" t="s">
        <v>120</v>
      </c>
      <c r="G381" s="172" t="s">
        <v>84</v>
      </c>
      <c r="H381" s="177">
        <v>1</v>
      </c>
      <c r="I381" s="178">
        <v>1845</v>
      </c>
      <c r="J381" s="176">
        <v>46021</v>
      </c>
      <c r="K381" s="172" t="s">
        <v>93</v>
      </c>
      <c r="L381" s="172" t="s">
        <v>94</v>
      </c>
      <c r="M381" s="179">
        <v>0.43</v>
      </c>
      <c r="N381" s="177"/>
      <c r="O381" s="177">
        <v>40</v>
      </c>
      <c r="P381" s="180">
        <v>-131.61000000000001</v>
      </c>
    </row>
    <row r="382" spans="1:16" ht="19.5" customHeight="1">
      <c r="A382" s="172" t="s">
        <v>858</v>
      </c>
      <c r="B382" s="176">
        <v>46028</v>
      </c>
      <c r="C382" s="172" t="s">
        <v>100</v>
      </c>
      <c r="D382" s="172" t="s">
        <v>101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1845</v>
      </c>
      <c r="J382" s="176">
        <v>46021</v>
      </c>
      <c r="K382" s="172" t="s">
        <v>93</v>
      </c>
      <c r="L382" s="172" t="s">
        <v>94</v>
      </c>
      <c r="M382" s="179">
        <v>0</v>
      </c>
      <c r="N382" s="177"/>
      <c r="O382" s="177"/>
      <c r="P382" s="180">
        <v>642.86</v>
      </c>
    </row>
    <row r="383" spans="1:16" ht="19.5" customHeight="1">
      <c r="A383" s="172" t="s">
        <v>858</v>
      </c>
      <c r="B383" s="176">
        <v>46028</v>
      </c>
      <c r="C383" s="172" t="s">
        <v>100</v>
      </c>
      <c r="D383" s="172" t="s">
        <v>102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46021</v>
      </c>
      <c r="K383" s="172" t="s">
        <v>93</v>
      </c>
      <c r="L383" s="172" t="s">
        <v>94</v>
      </c>
      <c r="M383" s="179">
        <v>0</v>
      </c>
      <c r="N383" s="177"/>
      <c r="O383" s="177"/>
      <c r="P383" s="180">
        <v>6.43</v>
      </c>
    </row>
    <row r="384" spans="1:16" ht="19.5" customHeight="1">
      <c r="A384" s="172" t="s">
        <v>858</v>
      </c>
      <c r="B384" s="176">
        <v>46028</v>
      </c>
      <c r="C384" s="172" t="s">
        <v>100</v>
      </c>
      <c r="D384" s="172" t="s">
        <v>103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46021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1195.71</v>
      </c>
    </row>
    <row r="385" spans="1:16" ht="19.5" customHeight="1">
      <c r="A385" s="172" t="s">
        <v>858</v>
      </c>
      <c r="B385" s="176">
        <v>46028</v>
      </c>
      <c r="C385" s="172" t="s">
        <v>104</v>
      </c>
      <c r="D385" s="172" t="s">
        <v>105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46021</v>
      </c>
      <c r="K385" s="172" t="s">
        <v>93</v>
      </c>
      <c r="L385" s="172" t="s">
        <v>94</v>
      </c>
      <c r="M385" s="179">
        <v>0.43</v>
      </c>
      <c r="N385" s="177"/>
      <c r="O385" s="177"/>
      <c r="P385" s="180">
        <v>-793.35</v>
      </c>
    </row>
    <row r="386" spans="1:16" ht="19.5" customHeight="1">
      <c r="A386" s="172" t="s">
        <v>858</v>
      </c>
      <c r="B386" s="176">
        <v>46028</v>
      </c>
      <c r="C386" s="172" t="s">
        <v>81</v>
      </c>
      <c r="D386" s="172" t="s">
        <v>95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46021</v>
      </c>
      <c r="K386" s="172" t="s">
        <v>93</v>
      </c>
      <c r="L386" s="172" t="s">
        <v>94</v>
      </c>
      <c r="M386" s="179">
        <v>0.43</v>
      </c>
      <c r="N386" s="177"/>
      <c r="O386" s="177"/>
      <c r="P386" s="180">
        <v>-11.3</v>
      </c>
    </row>
    <row r="387" spans="1:16" ht="19.5" customHeight="1">
      <c r="A387" s="172" t="s">
        <v>858</v>
      </c>
      <c r="B387" s="176">
        <v>46028</v>
      </c>
      <c r="C387" s="172" t="s">
        <v>81</v>
      </c>
      <c r="D387" s="172" t="s">
        <v>82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0</v>
      </c>
      <c r="J387" s="176">
        <v>46021</v>
      </c>
      <c r="K387" s="172" t="s">
        <v>85</v>
      </c>
      <c r="L387" s="172" t="s">
        <v>85</v>
      </c>
      <c r="M387" s="179">
        <v>0</v>
      </c>
      <c r="N387" s="177"/>
      <c r="O387" s="177"/>
      <c r="P387" s="180">
        <v>-12.21</v>
      </c>
    </row>
    <row r="388" spans="1:16" ht="19.5" customHeight="1">
      <c r="A388" s="172" t="s">
        <v>859</v>
      </c>
      <c r="B388" s="176">
        <v>46028</v>
      </c>
      <c r="C388" s="172" t="s">
        <v>92</v>
      </c>
      <c r="D388" s="172" t="s">
        <v>24</v>
      </c>
      <c r="E388" s="172" t="s">
        <v>43</v>
      </c>
      <c r="F388" s="172" t="s">
        <v>125</v>
      </c>
      <c r="G388" s="172" t="s">
        <v>84</v>
      </c>
      <c r="H388" s="177">
        <v>1</v>
      </c>
      <c r="I388" s="178">
        <v>1202</v>
      </c>
      <c r="J388" s="176">
        <v>46025</v>
      </c>
      <c r="K388" s="172" t="s">
        <v>93</v>
      </c>
      <c r="L388" s="172" t="s">
        <v>94</v>
      </c>
      <c r="M388" s="179">
        <v>0.43</v>
      </c>
      <c r="N388" s="177"/>
      <c r="O388" s="177">
        <v>44</v>
      </c>
      <c r="P388" s="180">
        <v>-114.1</v>
      </c>
    </row>
    <row r="389" spans="1:16" ht="19.5" customHeight="1">
      <c r="A389" s="172" t="s">
        <v>859</v>
      </c>
      <c r="B389" s="176">
        <v>46028</v>
      </c>
      <c r="C389" s="172" t="s">
        <v>100</v>
      </c>
      <c r="D389" s="172" t="s">
        <v>101</v>
      </c>
      <c r="E389" s="172" t="s">
        <v>43</v>
      </c>
      <c r="F389" s="172" t="s">
        <v>125</v>
      </c>
      <c r="G389" s="172" t="s">
        <v>84</v>
      </c>
      <c r="H389" s="177">
        <v>1</v>
      </c>
      <c r="I389" s="178">
        <v>1202</v>
      </c>
      <c r="J389" s="176">
        <v>46025</v>
      </c>
      <c r="K389" s="172" t="s">
        <v>93</v>
      </c>
      <c r="L389" s="172" t="s">
        <v>94</v>
      </c>
      <c r="M389" s="179">
        <v>0</v>
      </c>
      <c r="N389" s="177"/>
      <c r="O389" s="177"/>
      <c r="P389" s="180">
        <v>424.9</v>
      </c>
    </row>
    <row r="390" spans="1:16" ht="19.5" customHeight="1">
      <c r="A390" s="172" t="s">
        <v>859</v>
      </c>
      <c r="B390" s="176">
        <v>46028</v>
      </c>
      <c r="C390" s="172" t="s">
        <v>100</v>
      </c>
      <c r="D390" s="172" t="s">
        <v>102</v>
      </c>
      <c r="E390" s="172" t="s">
        <v>43</v>
      </c>
      <c r="F390" s="172" t="s">
        <v>125</v>
      </c>
      <c r="G390" s="172" t="s">
        <v>84</v>
      </c>
      <c r="H390" s="177">
        <v>1</v>
      </c>
      <c r="I390" s="178">
        <v>1202</v>
      </c>
      <c r="J390" s="176">
        <v>46025</v>
      </c>
      <c r="K390" s="172" t="s">
        <v>93</v>
      </c>
      <c r="L390" s="172" t="s">
        <v>94</v>
      </c>
      <c r="M390" s="179">
        <v>0</v>
      </c>
      <c r="N390" s="177"/>
      <c r="O390" s="177"/>
      <c r="P390" s="180">
        <v>4.25</v>
      </c>
    </row>
    <row r="391" spans="1:16" ht="19.5" customHeight="1">
      <c r="A391" s="172" t="s">
        <v>859</v>
      </c>
      <c r="B391" s="176">
        <v>46028</v>
      </c>
      <c r="C391" s="172" t="s">
        <v>100</v>
      </c>
      <c r="D391" s="172" t="s">
        <v>103</v>
      </c>
      <c r="E391" s="172" t="s">
        <v>43</v>
      </c>
      <c r="F391" s="172" t="s">
        <v>125</v>
      </c>
      <c r="G391" s="172" t="s">
        <v>84</v>
      </c>
      <c r="H391" s="177">
        <v>1</v>
      </c>
      <c r="I391" s="178">
        <v>1202</v>
      </c>
      <c r="J391" s="176">
        <v>46025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772.85</v>
      </c>
    </row>
    <row r="392" spans="1:16" ht="19.5" customHeight="1">
      <c r="A392" s="172" t="s">
        <v>859</v>
      </c>
      <c r="B392" s="176">
        <v>46028</v>
      </c>
      <c r="C392" s="172" t="s">
        <v>104</v>
      </c>
      <c r="D392" s="172" t="s">
        <v>105</v>
      </c>
      <c r="E392" s="172" t="s">
        <v>43</v>
      </c>
      <c r="F392" s="172" t="s">
        <v>125</v>
      </c>
      <c r="G392" s="172" t="s">
        <v>84</v>
      </c>
      <c r="H392" s="177">
        <v>1</v>
      </c>
      <c r="I392" s="178">
        <v>1202</v>
      </c>
      <c r="J392" s="176">
        <v>46025</v>
      </c>
      <c r="K392" s="172" t="s">
        <v>93</v>
      </c>
      <c r="L392" s="172" t="s">
        <v>94</v>
      </c>
      <c r="M392" s="179">
        <v>0.43</v>
      </c>
      <c r="N392" s="177"/>
      <c r="O392" s="177"/>
      <c r="P392" s="180">
        <v>-516.86</v>
      </c>
    </row>
    <row r="393" spans="1:16" ht="19.5" customHeight="1">
      <c r="A393" s="172" t="s">
        <v>859</v>
      </c>
      <c r="B393" s="176">
        <v>46028</v>
      </c>
      <c r="C393" s="172" t="s">
        <v>81</v>
      </c>
      <c r="D393" s="172" t="s">
        <v>95</v>
      </c>
      <c r="E393" s="172" t="s">
        <v>43</v>
      </c>
      <c r="F393" s="172" t="s">
        <v>125</v>
      </c>
      <c r="G393" s="172" t="s">
        <v>84</v>
      </c>
      <c r="H393" s="177">
        <v>1</v>
      </c>
      <c r="I393" s="178">
        <v>1202</v>
      </c>
      <c r="J393" s="176">
        <v>46025</v>
      </c>
      <c r="K393" s="172" t="s">
        <v>93</v>
      </c>
      <c r="L393" s="172" t="s">
        <v>94</v>
      </c>
      <c r="M393" s="179">
        <v>0.43</v>
      </c>
      <c r="N393" s="177"/>
      <c r="O393" s="177"/>
      <c r="P393" s="180">
        <v>-12.81</v>
      </c>
    </row>
    <row r="394" spans="1:16" ht="19.5" customHeight="1">
      <c r="A394" s="172" t="s">
        <v>859</v>
      </c>
      <c r="B394" s="176">
        <v>46028</v>
      </c>
      <c r="C394" s="172" t="s">
        <v>81</v>
      </c>
      <c r="D394" s="172" t="s">
        <v>82</v>
      </c>
      <c r="E394" s="172" t="s">
        <v>43</v>
      </c>
      <c r="F394" s="172" t="s">
        <v>125</v>
      </c>
      <c r="G394" s="172" t="s">
        <v>84</v>
      </c>
      <c r="H394" s="177">
        <v>1</v>
      </c>
      <c r="I394" s="178">
        <v>0</v>
      </c>
      <c r="J394" s="176">
        <v>46025</v>
      </c>
      <c r="K394" s="172" t="s">
        <v>85</v>
      </c>
      <c r="L394" s="172" t="s">
        <v>85</v>
      </c>
      <c r="M394" s="179">
        <v>0</v>
      </c>
      <c r="N394" s="177"/>
      <c r="O394" s="177"/>
      <c r="P394" s="180">
        <v>-8.07</v>
      </c>
    </row>
    <row r="395" spans="1:16" ht="19.5" customHeight="1">
      <c r="A395" s="172" t="s">
        <v>860</v>
      </c>
      <c r="B395" s="176">
        <v>46028</v>
      </c>
      <c r="C395" s="172" t="s">
        <v>92</v>
      </c>
      <c r="D395" s="172" t="s">
        <v>24</v>
      </c>
      <c r="E395" s="172" t="s">
        <v>53</v>
      </c>
      <c r="F395" s="172" t="s">
        <v>120</v>
      </c>
      <c r="G395" s="172" t="s">
        <v>84</v>
      </c>
      <c r="H395" s="177">
        <v>1</v>
      </c>
      <c r="I395" s="178">
        <v>1845</v>
      </c>
      <c r="J395" s="176">
        <v>46026</v>
      </c>
      <c r="K395" s="172" t="s">
        <v>93</v>
      </c>
      <c r="L395" s="172" t="s">
        <v>94</v>
      </c>
      <c r="M395" s="179">
        <v>0.43</v>
      </c>
      <c r="N395" s="177"/>
      <c r="O395" s="177">
        <v>46</v>
      </c>
      <c r="P395" s="180">
        <v>-158.29</v>
      </c>
    </row>
    <row r="396" spans="1:16" ht="19.5" customHeight="1">
      <c r="A396" s="172" t="s">
        <v>860</v>
      </c>
      <c r="B396" s="176">
        <v>46028</v>
      </c>
      <c r="C396" s="172" t="s">
        <v>100</v>
      </c>
      <c r="D396" s="172" t="s">
        <v>101</v>
      </c>
      <c r="E396" s="172" t="s">
        <v>53</v>
      </c>
      <c r="F396" s="172" t="s">
        <v>120</v>
      </c>
      <c r="G396" s="172" t="s">
        <v>84</v>
      </c>
      <c r="H396" s="177">
        <v>1</v>
      </c>
      <c r="I396" s="178">
        <v>1845</v>
      </c>
      <c r="J396" s="176">
        <v>46026</v>
      </c>
      <c r="K396" s="172" t="s">
        <v>93</v>
      </c>
      <c r="L396" s="172" t="s">
        <v>94</v>
      </c>
      <c r="M396" s="179">
        <v>0</v>
      </c>
      <c r="N396" s="177"/>
      <c r="O396" s="177"/>
      <c r="P396" s="180">
        <v>642.86</v>
      </c>
    </row>
    <row r="397" spans="1:16" ht="19.5" customHeight="1">
      <c r="A397" s="172" t="s">
        <v>860</v>
      </c>
      <c r="B397" s="176">
        <v>46028</v>
      </c>
      <c r="C397" s="172" t="s">
        <v>100</v>
      </c>
      <c r="D397" s="172" t="s">
        <v>102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1845</v>
      </c>
      <c r="J397" s="176">
        <v>46026</v>
      </c>
      <c r="K397" s="172" t="s">
        <v>93</v>
      </c>
      <c r="L397" s="172" t="s">
        <v>94</v>
      </c>
      <c r="M397" s="179">
        <v>0</v>
      </c>
      <c r="N397" s="177"/>
      <c r="O397" s="177"/>
      <c r="P397" s="180">
        <v>6.43</v>
      </c>
    </row>
    <row r="398" spans="1:16" ht="19.5" customHeight="1">
      <c r="A398" s="172" t="s">
        <v>860</v>
      </c>
      <c r="B398" s="176">
        <v>46028</v>
      </c>
      <c r="C398" s="172" t="s">
        <v>100</v>
      </c>
      <c r="D398" s="172" t="s">
        <v>103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46026</v>
      </c>
      <c r="K398" s="172" t="s">
        <v>93</v>
      </c>
      <c r="L398" s="172" t="s">
        <v>94</v>
      </c>
      <c r="M398" s="179">
        <v>0</v>
      </c>
      <c r="N398" s="177"/>
      <c r="O398" s="177"/>
      <c r="P398" s="180">
        <v>1195.71</v>
      </c>
    </row>
    <row r="399" spans="1:16" ht="19.5" customHeight="1">
      <c r="A399" s="172" t="s">
        <v>860</v>
      </c>
      <c r="B399" s="176">
        <v>46028</v>
      </c>
      <c r="C399" s="172" t="s">
        <v>104</v>
      </c>
      <c r="D399" s="172" t="s">
        <v>105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46026</v>
      </c>
      <c r="K399" s="172" t="s">
        <v>93</v>
      </c>
      <c r="L399" s="172" t="s">
        <v>94</v>
      </c>
      <c r="M399" s="179">
        <v>0.43</v>
      </c>
      <c r="N399" s="177"/>
      <c r="O399" s="177"/>
      <c r="P399" s="180">
        <v>-793.35</v>
      </c>
    </row>
    <row r="400" spans="1:16" ht="19.5" customHeight="1">
      <c r="A400" s="172" t="s">
        <v>860</v>
      </c>
      <c r="B400" s="176">
        <v>46028</v>
      </c>
      <c r="C400" s="172" t="s">
        <v>81</v>
      </c>
      <c r="D400" s="172" t="s">
        <v>95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46026</v>
      </c>
      <c r="K400" s="172" t="s">
        <v>93</v>
      </c>
      <c r="L400" s="172" t="s">
        <v>94</v>
      </c>
      <c r="M400" s="179">
        <v>0.43</v>
      </c>
      <c r="N400" s="177"/>
      <c r="O400" s="177"/>
      <c r="P400" s="180">
        <v>-7.75</v>
      </c>
    </row>
    <row r="401" spans="1:16" ht="19.5" customHeight="1">
      <c r="A401" s="172" t="s">
        <v>861</v>
      </c>
      <c r="B401" s="176">
        <v>46028</v>
      </c>
      <c r="C401" s="172" t="s">
        <v>81</v>
      </c>
      <c r="D401" s="172" t="s">
        <v>82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0</v>
      </c>
      <c r="J401" s="176">
        <v>46019</v>
      </c>
      <c r="K401" s="172" t="s">
        <v>85</v>
      </c>
      <c r="L401" s="172" t="s">
        <v>85</v>
      </c>
      <c r="M401" s="179">
        <v>0</v>
      </c>
      <c r="N401" s="177"/>
      <c r="O401" s="177"/>
      <c r="P401" s="180">
        <v>12.14</v>
      </c>
    </row>
    <row r="402" spans="1:16" ht="19.5" customHeight="1">
      <c r="A402" s="172" t="s">
        <v>862</v>
      </c>
      <c r="B402" s="176">
        <v>46028</v>
      </c>
      <c r="C402" s="172" t="s">
        <v>92</v>
      </c>
      <c r="D402" s="172" t="s">
        <v>96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0</v>
      </c>
      <c r="J402" s="176">
        <v>46001</v>
      </c>
      <c r="K402" s="172" t="s">
        <v>93</v>
      </c>
      <c r="L402" s="172" t="s">
        <v>94</v>
      </c>
      <c r="M402" s="179">
        <v>0</v>
      </c>
      <c r="N402" s="177"/>
      <c r="O402" s="177"/>
      <c r="P402" s="180">
        <v>0</v>
      </c>
    </row>
    <row r="403" spans="1:16" ht="19.5" customHeight="1">
      <c r="A403" s="172" t="s">
        <v>862</v>
      </c>
      <c r="B403" s="176">
        <v>46028</v>
      </c>
      <c r="C403" s="172" t="s">
        <v>92</v>
      </c>
      <c r="D403" s="172" t="s">
        <v>97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0</v>
      </c>
      <c r="J403" s="176">
        <v>46001</v>
      </c>
      <c r="K403" s="172" t="s">
        <v>93</v>
      </c>
      <c r="L403" s="172" t="s">
        <v>94</v>
      </c>
      <c r="M403" s="179">
        <v>0</v>
      </c>
      <c r="N403" s="177"/>
      <c r="O403" s="177"/>
      <c r="P403" s="180">
        <v>-56</v>
      </c>
    </row>
    <row r="404" spans="1:16" ht="19.5" customHeight="1">
      <c r="A404" s="172" t="s">
        <v>862</v>
      </c>
      <c r="B404" s="176">
        <v>46028</v>
      </c>
      <c r="C404" s="172" t="s">
        <v>92</v>
      </c>
      <c r="D404" s="172" t="s">
        <v>24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0</v>
      </c>
      <c r="J404" s="176">
        <v>46001</v>
      </c>
      <c r="K404" s="172" t="s">
        <v>93</v>
      </c>
      <c r="L404" s="172" t="s">
        <v>94</v>
      </c>
      <c r="M404" s="179">
        <v>0</v>
      </c>
      <c r="N404" s="177"/>
      <c r="O404" s="177">
        <v>39</v>
      </c>
      <c r="P404" s="180">
        <v>-56</v>
      </c>
    </row>
    <row r="405" spans="1:16" ht="19.5" customHeight="1">
      <c r="A405" s="172" t="s">
        <v>862</v>
      </c>
      <c r="B405" s="176">
        <v>46028</v>
      </c>
      <c r="C405" s="172" t="s">
        <v>81</v>
      </c>
      <c r="D405" s="172" t="s">
        <v>95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0</v>
      </c>
      <c r="J405" s="176">
        <v>46001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-7.86</v>
      </c>
    </row>
    <row r="406" spans="1:16" ht="19.5" customHeight="1">
      <c r="A406" s="172" t="s">
        <v>863</v>
      </c>
      <c r="B406" s="176">
        <v>46028</v>
      </c>
      <c r="C406" s="172" t="s">
        <v>92</v>
      </c>
      <c r="D406" s="172" t="s">
        <v>24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46024</v>
      </c>
      <c r="K406" s="172" t="s">
        <v>93</v>
      </c>
      <c r="L406" s="172" t="s">
        <v>94</v>
      </c>
      <c r="M406" s="179">
        <v>0.43</v>
      </c>
      <c r="N406" s="177"/>
      <c r="O406" s="177">
        <v>42</v>
      </c>
      <c r="P406" s="180">
        <v>-140.5</v>
      </c>
    </row>
    <row r="407" spans="1:16" ht="19.5" customHeight="1">
      <c r="A407" s="172" t="s">
        <v>863</v>
      </c>
      <c r="B407" s="176">
        <v>46028</v>
      </c>
      <c r="C407" s="172" t="s">
        <v>100</v>
      </c>
      <c r="D407" s="172" t="s">
        <v>101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46024</v>
      </c>
      <c r="K407" s="172" t="s">
        <v>93</v>
      </c>
      <c r="L407" s="172" t="s">
        <v>94</v>
      </c>
      <c r="M407" s="179">
        <v>0</v>
      </c>
      <c r="N407" s="177"/>
      <c r="O407" s="177"/>
      <c r="P407" s="180">
        <v>702.19</v>
      </c>
    </row>
    <row r="408" spans="1:16" ht="19.5" customHeight="1">
      <c r="A408" s="172" t="s">
        <v>863</v>
      </c>
      <c r="B408" s="176">
        <v>46028</v>
      </c>
      <c r="C408" s="172" t="s">
        <v>100</v>
      </c>
      <c r="D408" s="172" t="s">
        <v>102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46024</v>
      </c>
      <c r="K408" s="172" t="s">
        <v>93</v>
      </c>
      <c r="L408" s="172" t="s">
        <v>94</v>
      </c>
      <c r="M408" s="179">
        <v>0</v>
      </c>
      <c r="N408" s="177"/>
      <c r="O408" s="177"/>
      <c r="P408" s="180">
        <v>0</v>
      </c>
    </row>
    <row r="409" spans="1:16" ht="19.5" customHeight="1">
      <c r="A409" s="172" t="s">
        <v>863</v>
      </c>
      <c r="B409" s="176">
        <v>46028</v>
      </c>
      <c r="C409" s="172" t="s">
        <v>100</v>
      </c>
      <c r="D409" s="172" t="s">
        <v>103</v>
      </c>
      <c r="E409" s="172" t="s">
        <v>53</v>
      </c>
      <c r="F409" s="172" t="s">
        <v>120</v>
      </c>
      <c r="G409" s="172" t="s">
        <v>84</v>
      </c>
      <c r="H409" s="177">
        <v>1</v>
      </c>
      <c r="I409" s="178">
        <v>1845</v>
      </c>
      <c r="J409" s="176">
        <v>46024</v>
      </c>
      <c r="K409" s="172" t="s">
        <v>93</v>
      </c>
      <c r="L409" s="172" t="s">
        <v>94</v>
      </c>
      <c r="M409" s="179">
        <v>0</v>
      </c>
      <c r="N409" s="177"/>
      <c r="O409" s="177"/>
      <c r="P409" s="180">
        <v>1142.81</v>
      </c>
    </row>
    <row r="410" spans="1:16" ht="19.5" customHeight="1">
      <c r="A410" s="172" t="s">
        <v>863</v>
      </c>
      <c r="B410" s="176">
        <v>46028</v>
      </c>
      <c r="C410" s="172" t="s">
        <v>104</v>
      </c>
      <c r="D410" s="172" t="s">
        <v>105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46024</v>
      </c>
      <c r="K410" s="172" t="s">
        <v>93</v>
      </c>
      <c r="L410" s="172" t="s">
        <v>94</v>
      </c>
      <c r="M410" s="179">
        <v>0.43</v>
      </c>
      <c r="N410" s="177"/>
      <c r="O410" s="177"/>
      <c r="P410" s="180">
        <v>-793.35</v>
      </c>
    </row>
    <row r="411" spans="1:16" ht="19.5" customHeight="1">
      <c r="A411" s="172" t="s">
        <v>863</v>
      </c>
      <c r="B411" s="176">
        <v>46028</v>
      </c>
      <c r="C411" s="172" t="s">
        <v>81</v>
      </c>
      <c r="D411" s="172" t="s">
        <v>95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46024</v>
      </c>
      <c r="K411" s="172" t="s">
        <v>93</v>
      </c>
      <c r="L411" s="172" t="s">
        <v>94</v>
      </c>
      <c r="M411" s="179">
        <v>0.43</v>
      </c>
      <c r="N411" s="177"/>
      <c r="O411" s="177"/>
      <c r="P411" s="180">
        <v>-9.92</v>
      </c>
    </row>
    <row r="412" spans="1:16" ht="19.5" customHeight="1">
      <c r="A412" s="172" t="s">
        <v>864</v>
      </c>
      <c r="B412" s="176">
        <v>46028</v>
      </c>
      <c r="C412" s="172" t="s">
        <v>92</v>
      </c>
      <c r="D412" s="172" t="s">
        <v>24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0</v>
      </c>
      <c r="J412" s="176">
        <v>46022</v>
      </c>
      <c r="K412" s="172" t="s">
        <v>93</v>
      </c>
      <c r="L412" s="172" t="s">
        <v>94</v>
      </c>
      <c r="M412" s="179">
        <v>0</v>
      </c>
      <c r="N412" s="177"/>
      <c r="O412" s="177">
        <v>41</v>
      </c>
      <c r="P412" s="180">
        <v>-136.06</v>
      </c>
    </row>
    <row r="413" spans="1:16" ht="19.5" customHeight="1">
      <c r="A413" s="172" t="s">
        <v>865</v>
      </c>
      <c r="B413" s="176">
        <v>46028</v>
      </c>
      <c r="C413" s="172" t="s">
        <v>92</v>
      </c>
      <c r="D413" s="172" t="s">
        <v>24</v>
      </c>
      <c r="E413" s="172" t="s">
        <v>41</v>
      </c>
      <c r="F413" s="172" t="s">
        <v>83</v>
      </c>
      <c r="G413" s="172" t="s">
        <v>84</v>
      </c>
      <c r="H413" s="177">
        <v>1</v>
      </c>
      <c r="I413" s="178">
        <v>0</v>
      </c>
      <c r="J413" s="176">
        <v>46001</v>
      </c>
      <c r="K413" s="172" t="s">
        <v>93</v>
      </c>
      <c r="L413" s="172" t="s">
        <v>94</v>
      </c>
      <c r="M413" s="179">
        <v>0</v>
      </c>
      <c r="N413" s="177"/>
      <c r="O413" s="177">
        <v>39</v>
      </c>
      <c r="P413" s="180">
        <v>-46.77</v>
      </c>
    </row>
    <row r="414" spans="1:16" ht="19.5" customHeight="1">
      <c r="A414" s="172" t="s">
        <v>865</v>
      </c>
      <c r="B414" s="176">
        <v>46028</v>
      </c>
      <c r="C414" s="172" t="s">
        <v>81</v>
      </c>
      <c r="D414" s="172" t="s">
        <v>95</v>
      </c>
      <c r="E414" s="172" t="s">
        <v>41</v>
      </c>
      <c r="F414" s="172" t="s">
        <v>83</v>
      </c>
      <c r="G414" s="172" t="s">
        <v>84</v>
      </c>
      <c r="H414" s="177">
        <v>1</v>
      </c>
      <c r="I414" s="178">
        <v>0</v>
      </c>
      <c r="J414" s="176">
        <v>46001</v>
      </c>
      <c r="K414" s="172" t="s">
        <v>93</v>
      </c>
      <c r="L414" s="172" t="s">
        <v>94</v>
      </c>
      <c r="M414" s="179">
        <v>0</v>
      </c>
      <c r="N414" s="177"/>
      <c r="O414" s="177"/>
      <c r="P414" s="180">
        <v>-8.01</v>
      </c>
    </row>
    <row r="415" spans="1:16" ht="19.5" customHeight="1">
      <c r="A415" s="172" t="s">
        <v>865</v>
      </c>
      <c r="B415" s="176">
        <v>46028</v>
      </c>
      <c r="C415" s="172" t="s">
        <v>92</v>
      </c>
      <c r="D415" s="172" t="s">
        <v>96</v>
      </c>
      <c r="E415" s="172" t="s">
        <v>41</v>
      </c>
      <c r="F415" s="172" t="s">
        <v>83</v>
      </c>
      <c r="G415" s="172" t="s">
        <v>84</v>
      </c>
      <c r="H415" s="177">
        <v>1</v>
      </c>
      <c r="I415" s="178">
        <v>0</v>
      </c>
      <c r="J415" s="176">
        <v>46001</v>
      </c>
      <c r="K415" s="172" t="s">
        <v>93</v>
      </c>
      <c r="L415" s="172" t="s">
        <v>94</v>
      </c>
      <c r="M415" s="179">
        <v>0</v>
      </c>
      <c r="N415" s="177"/>
      <c r="O415" s="177"/>
      <c r="P415" s="180">
        <v>0</v>
      </c>
    </row>
    <row r="416" spans="1:16" ht="19.5" customHeight="1">
      <c r="A416" s="172" t="s">
        <v>865</v>
      </c>
      <c r="B416" s="176">
        <v>46028</v>
      </c>
      <c r="C416" s="172" t="s">
        <v>92</v>
      </c>
      <c r="D416" s="172" t="s">
        <v>97</v>
      </c>
      <c r="E416" s="172" t="s">
        <v>41</v>
      </c>
      <c r="F416" s="172" t="s">
        <v>83</v>
      </c>
      <c r="G416" s="172" t="s">
        <v>84</v>
      </c>
      <c r="H416" s="177">
        <v>1</v>
      </c>
      <c r="I416" s="178">
        <v>0</v>
      </c>
      <c r="J416" s="176">
        <v>46001</v>
      </c>
      <c r="K416" s="172" t="s">
        <v>93</v>
      </c>
      <c r="L416" s="172" t="s">
        <v>94</v>
      </c>
      <c r="M416" s="179">
        <v>0</v>
      </c>
      <c r="N416" s="177"/>
      <c r="O416" s="177"/>
      <c r="P416" s="180">
        <v>-46.77</v>
      </c>
    </row>
    <row r="417" spans="1:16" ht="19.5" customHeight="1">
      <c r="A417" s="172" t="s">
        <v>866</v>
      </c>
      <c r="B417" s="176">
        <v>46028</v>
      </c>
      <c r="C417" s="172" t="s">
        <v>81</v>
      </c>
      <c r="D417" s="172" t="s">
        <v>82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0</v>
      </c>
      <c r="J417" s="176">
        <v>46028</v>
      </c>
      <c r="K417" s="172" t="s">
        <v>85</v>
      </c>
      <c r="L417" s="172" t="s">
        <v>85</v>
      </c>
      <c r="M417" s="179">
        <v>0</v>
      </c>
      <c r="N417" s="177"/>
      <c r="O417" s="177"/>
      <c r="P417" s="180">
        <v>-4.68</v>
      </c>
    </row>
    <row r="418" spans="1:16" ht="19.5" customHeight="1">
      <c r="A418" s="172" t="s">
        <v>867</v>
      </c>
      <c r="B418" s="176">
        <v>46028</v>
      </c>
      <c r="C418" s="172" t="s">
        <v>92</v>
      </c>
      <c r="D418" s="172" t="s">
        <v>24</v>
      </c>
      <c r="E418" s="172" t="s">
        <v>43</v>
      </c>
      <c r="F418" s="172" t="s">
        <v>125</v>
      </c>
      <c r="G418" s="172" t="s">
        <v>84</v>
      </c>
      <c r="H418" s="177">
        <v>1</v>
      </c>
      <c r="I418" s="178">
        <v>1202</v>
      </c>
      <c r="J418" s="176">
        <v>46020</v>
      </c>
      <c r="K418" s="172" t="s">
        <v>93</v>
      </c>
      <c r="L418" s="172" t="s">
        <v>94</v>
      </c>
      <c r="M418" s="179">
        <v>0.43</v>
      </c>
      <c r="N418" s="177"/>
      <c r="O418" s="177">
        <v>41</v>
      </c>
      <c r="P418" s="180">
        <v>-104.48</v>
      </c>
    </row>
    <row r="419" spans="1:16" ht="19.5" customHeight="1">
      <c r="A419" s="172" t="s">
        <v>867</v>
      </c>
      <c r="B419" s="176">
        <v>46028</v>
      </c>
      <c r="C419" s="172" t="s">
        <v>100</v>
      </c>
      <c r="D419" s="172" t="s">
        <v>101</v>
      </c>
      <c r="E419" s="172" t="s">
        <v>43</v>
      </c>
      <c r="F419" s="172" t="s">
        <v>125</v>
      </c>
      <c r="G419" s="172" t="s">
        <v>84</v>
      </c>
      <c r="H419" s="177">
        <v>1</v>
      </c>
      <c r="I419" s="178">
        <v>1202</v>
      </c>
      <c r="J419" s="176">
        <v>46020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651.42999999999995</v>
      </c>
    </row>
    <row r="420" spans="1:16" ht="19.5" customHeight="1">
      <c r="A420" s="172" t="s">
        <v>867</v>
      </c>
      <c r="B420" s="176">
        <v>46028</v>
      </c>
      <c r="C420" s="172" t="s">
        <v>100</v>
      </c>
      <c r="D420" s="172" t="s">
        <v>102</v>
      </c>
      <c r="E420" s="172" t="s">
        <v>43</v>
      </c>
      <c r="F420" s="172" t="s">
        <v>125</v>
      </c>
      <c r="G420" s="172" t="s">
        <v>84</v>
      </c>
      <c r="H420" s="177">
        <v>1</v>
      </c>
      <c r="I420" s="178">
        <v>1202</v>
      </c>
      <c r="J420" s="176">
        <v>46020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0</v>
      </c>
    </row>
    <row r="421" spans="1:16" ht="19.5" customHeight="1">
      <c r="A421" s="172" t="s">
        <v>867</v>
      </c>
      <c r="B421" s="176">
        <v>46028</v>
      </c>
      <c r="C421" s="172" t="s">
        <v>100</v>
      </c>
      <c r="D421" s="172" t="s">
        <v>103</v>
      </c>
      <c r="E421" s="172" t="s">
        <v>43</v>
      </c>
      <c r="F421" s="172" t="s">
        <v>125</v>
      </c>
      <c r="G421" s="172" t="s">
        <v>84</v>
      </c>
      <c r="H421" s="177">
        <v>1</v>
      </c>
      <c r="I421" s="178">
        <v>1202</v>
      </c>
      <c r="J421" s="176">
        <v>46020</v>
      </c>
      <c r="K421" s="172" t="s">
        <v>93</v>
      </c>
      <c r="L421" s="172" t="s">
        <v>94</v>
      </c>
      <c r="M421" s="179">
        <v>0</v>
      </c>
      <c r="N421" s="177"/>
      <c r="O421" s="177"/>
      <c r="P421" s="180">
        <v>550.57000000000005</v>
      </c>
    </row>
    <row r="422" spans="1:16" ht="19.5" customHeight="1">
      <c r="A422" s="172" t="s">
        <v>867</v>
      </c>
      <c r="B422" s="176">
        <v>46028</v>
      </c>
      <c r="C422" s="172" t="s">
        <v>104</v>
      </c>
      <c r="D422" s="172" t="s">
        <v>105</v>
      </c>
      <c r="E422" s="172" t="s">
        <v>43</v>
      </c>
      <c r="F422" s="172" t="s">
        <v>125</v>
      </c>
      <c r="G422" s="172" t="s">
        <v>84</v>
      </c>
      <c r="H422" s="177">
        <v>1</v>
      </c>
      <c r="I422" s="178">
        <v>1202</v>
      </c>
      <c r="J422" s="176">
        <v>46020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-516.86</v>
      </c>
    </row>
    <row r="423" spans="1:16" ht="19.5" customHeight="1">
      <c r="A423" s="172" t="s">
        <v>867</v>
      </c>
      <c r="B423" s="176">
        <v>46028</v>
      </c>
      <c r="C423" s="172" t="s">
        <v>81</v>
      </c>
      <c r="D423" s="172" t="s">
        <v>95</v>
      </c>
      <c r="E423" s="172" t="s">
        <v>43</v>
      </c>
      <c r="F423" s="172" t="s">
        <v>125</v>
      </c>
      <c r="G423" s="172" t="s">
        <v>84</v>
      </c>
      <c r="H423" s="177">
        <v>1</v>
      </c>
      <c r="I423" s="178">
        <v>1202</v>
      </c>
      <c r="J423" s="176">
        <v>46020</v>
      </c>
      <c r="K423" s="172" t="s">
        <v>93</v>
      </c>
      <c r="L423" s="172" t="s">
        <v>94</v>
      </c>
      <c r="M423" s="179">
        <v>0.43</v>
      </c>
      <c r="N423" s="177"/>
      <c r="O423" s="177"/>
      <c r="P423" s="180">
        <v>-6.18</v>
      </c>
    </row>
    <row r="424" spans="1:16" ht="19.5" customHeight="1">
      <c r="A424" s="172" t="s">
        <v>868</v>
      </c>
      <c r="B424" s="176">
        <v>46028</v>
      </c>
      <c r="C424" s="172" t="s">
        <v>92</v>
      </c>
      <c r="D424" s="172" t="s">
        <v>24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46027</v>
      </c>
      <c r="K424" s="172" t="s">
        <v>93</v>
      </c>
      <c r="L424" s="172" t="s">
        <v>94</v>
      </c>
      <c r="M424" s="179">
        <v>0.43</v>
      </c>
      <c r="N424" s="177"/>
      <c r="O424" s="177">
        <v>45</v>
      </c>
      <c r="P424" s="180">
        <v>-146.44999999999999</v>
      </c>
    </row>
    <row r="425" spans="1:16" ht="19.5" customHeight="1">
      <c r="A425" s="172" t="s">
        <v>868</v>
      </c>
      <c r="B425" s="176">
        <v>46028</v>
      </c>
      <c r="C425" s="172" t="s">
        <v>100</v>
      </c>
      <c r="D425" s="172" t="s">
        <v>101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46027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613.64</v>
      </c>
    </row>
    <row r="426" spans="1:16" ht="19.5" customHeight="1">
      <c r="A426" s="172" t="s">
        <v>868</v>
      </c>
      <c r="B426" s="176">
        <v>46028</v>
      </c>
      <c r="C426" s="172" t="s">
        <v>100</v>
      </c>
      <c r="D426" s="172" t="s">
        <v>102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46027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0</v>
      </c>
    </row>
    <row r="427" spans="1:16" ht="19.5" customHeight="1">
      <c r="A427" s="172" t="s">
        <v>868</v>
      </c>
      <c r="B427" s="176">
        <v>46028</v>
      </c>
      <c r="C427" s="172" t="s">
        <v>100</v>
      </c>
      <c r="D427" s="172" t="s">
        <v>103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46027</v>
      </c>
      <c r="K427" s="172" t="s">
        <v>93</v>
      </c>
      <c r="L427" s="172" t="s">
        <v>94</v>
      </c>
      <c r="M427" s="179">
        <v>0</v>
      </c>
      <c r="N427" s="177"/>
      <c r="O427" s="177"/>
      <c r="P427" s="180">
        <v>1007.36</v>
      </c>
    </row>
    <row r="428" spans="1:16" ht="19.5" customHeight="1">
      <c r="A428" s="172" t="s">
        <v>868</v>
      </c>
      <c r="B428" s="176">
        <v>46028</v>
      </c>
      <c r="C428" s="172" t="s">
        <v>104</v>
      </c>
      <c r="D428" s="172" t="s">
        <v>105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46027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-697.03</v>
      </c>
    </row>
    <row r="429" spans="1:16" ht="19.5" customHeight="1">
      <c r="A429" s="172" t="s">
        <v>868</v>
      </c>
      <c r="B429" s="176">
        <v>46028</v>
      </c>
      <c r="C429" s="172" t="s">
        <v>81</v>
      </c>
      <c r="D429" s="172" t="s">
        <v>95</v>
      </c>
      <c r="E429" s="172" t="s">
        <v>52</v>
      </c>
      <c r="F429" s="172" t="s">
        <v>90</v>
      </c>
      <c r="G429" s="172" t="s">
        <v>84</v>
      </c>
      <c r="H429" s="177">
        <v>1</v>
      </c>
      <c r="I429" s="178">
        <v>1621</v>
      </c>
      <c r="J429" s="176">
        <v>46027</v>
      </c>
      <c r="K429" s="172" t="s">
        <v>93</v>
      </c>
      <c r="L429" s="172" t="s">
        <v>94</v>
      </c>
      <c r="M429" s="179">
        <v>0.43</v>
      </c>
      <c r="N429" s="177"/>
      <c r="O429" s="177"/>
      <c r="P429" s="180">
        <v>-9.0500000000000007</v>
      </c>
    </row>
    <row r="430" spans="1:16" ht="19.5" customHeight="1">
      <c r="A430" s="172" t="s">
        <v>869</v>
      </c>
      <c r="B430" s="176">
        <v>46028</v>
      </c>
      <c r="C430" s="172" t="s">
        <v>92</v>
      </c>
      <c r="D430" s="172" t="s">
        <v>24</v>
      </c>
      <c r="E430" s="172" t="s">
        <v>53</v>
      </c>
      <c r="F430" s="172" t="s">
        <v>120</v>
      </c>
      <c r="G430" s="172" t="s">
        <v>84</v>
      </c>
      <c r="H430" s="177">
        <v>1</v>
      </c>
      <c r="I430" s="178">
        <v>1845</v>
      </c>
      <c r="J430" s="176">
        <v>46022</v>
      </c>
      <c r="K430" s="172" t="s">
        <v>93</v>
      </c>
      <c r="L430" s="172" t="s">
        <v>94</v>
      </c>
      <c r="M430" s="179">
        <v>0.43</v>
      </c>
      <c r="N430" s="177"/>
      <c r="O430" s="177">
        <v>41</v>
      </c>
      <c r="P430" s="180">
        <v>-136.06</v>
      </c>
    </row>
    <row r="431" spans="1:16" ht="19.5" customHeight="1">
      <c r="A431" s="172" t="s">
        <v>869</v>
      </c>
      <c r="B431" s="176">
        <v>46028</v>
      </c>
      <c r="C431" s="172" t="s">
        <v>100</v>
      </c>
      <c r="D431" s="172" t="s">
        <v>101</v>
      </c>
      <c r="E431" s="172" t="s">
        <v>53</v>
      </c>
      <c r="F431" s="172" t="s">
        <v>120</v>
      </c>
      <c r="G431" s="172" t="s">
        <v>84</v>
      </c>
      <c r="H431" s="177">
        <v>1</v>
      </c>
      <c r="I431" s="178">
        <v>1845</v>
      </c>
      <c r="J431" s="176">
        <v>46022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702.19</v>
      </c>
    </row>
    <row r="432" spans="1:16" ht="19.5" customHeight="1">
      <c r="A432" s="172" t="s">
        <v>869</v>
      </c>
      <c r="B432" s="176">
        <v>46028</v>
      </c>
      <c r="C432" s="172" t="s">
        <v>100</v>
      </c>
      <c r="D432" s="172" t="s">
        <v>102</v>
      </c>
      <c r="E432" s="172" t="s">
        <v>53</v>
      </c>
      <c r="F432" s="172" t="s">
        <v>120</v>
      </c>
      <c r="G432" s="172" t="s">
        <v>84</v>
      </c>
      <c r="H432" s="177">
        <v>1</v>
      </c>
      <c r="I432" s="178">
        <v>1845</v>
      </c>
      <c r="J432" s="176">
        <v>46022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0</v>
      </c>
    </row>
    <row r="433" spans="1:16" ht="19.5" customHeight="1">
      <c r="A433" s="172" t="s">
        <v>869</v>
      </c>
      <c r="B433" s="176">
        <v>46028</v>
      </c>
      <c r="C433" s="172" t="s">
        <v>100</v>
      </c>
      <c r="D433" s="172" t="s">
        <v>103</v>
      </c>
      <c r="E433" s="172" t="s">
        <v>53</v>
      </c>
      <c r="F433" s="172" t="s">
        <v>120</v>
      </c>
      <c r="G433" s="172" t="s">
        <v>84</v>
      </c>
      <c r="H433" s="177">
        <v>1</v>
      </c>
      <c r="I433" s="178">
        <v>1845</v>
      </c>
      <c r="J433" s="176">
        <v>46022</v>
      </c>
      <c r="K433" s="172" t="s">
        <v>93</v>
      </c>
      <c r="L433" s="172" t="s">
        <v>94</v>
      </c>
      <c r="M433" s="179">
        <v>0</v>
      </c>
      <c r="N433" s="177"/>
      <c r="O433" s="177"/>
      <c r="P433" s="180">
        <v>1142.81</v>
      </c>
    </row>
    <row r="434" spans="1:16" ht="19.5" customHeight="1">
      <c r="A434" s="172" t="s">
        <v>869</v>
      </c>
      <c r="B434" s="176">
        <v>46028</v>
      </c>
      <c r="C434" s="172" t="s">
        <v>104</v>
      </c>
      <c r="D434" s="172" t="s">
        <v>105</v>
      </c>
      <c r="E434" s="172" t="s">
        <v>53</v>
      </c>
      <c r="F434" s="172" t="s">
        <v>120</v>
      </c>
      <c r="G434" s="172" t="s">
        <v>84</v>
      </c>
      <c r="H434" s="177">
        <v>1</v>
      </c>
      <c r="I434" s="178">
        <v>1845</v>
      </c>
      <c r="J434" s="176">
        <v>46022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-793.35</v>
      </c>
    </row>
    <row r="435" spans="1:16" ht="19.5" customHeight="1">
      <c r="A435" s="172" t="s">
        <v>869</v>
      </c>
      <c r="B435" s="176">
        <v>46028</v>
      </c>
      <c r="C435" s="172" t="s">
        <v>81</v>
      </c>
      <c r="D435" s="172" t="s">
        <v>95</v>
      </c>
      <c r="E435" s="172" t="s">
        <v>53</v>
      </c>
      <c r="F435" s="172" t="s">
        <v>120</v>
      </c>
      <c r="G435" s="172" t="s">
        <v>84</v>
      </c>
      <c r="H435" s="177">
        <v>1</v>
      </c>
      <c r="I435" s="178">
        <v>1845</v>
      </c>
      <c r="J435" s="176">
        <v>46022</v>
      </c>
      <c r="K435" s="172" t="s">
        <v>93</v>
      </c>
      <c r="L435" s="172" t="s">
        <v>94</v>
      </c>
      <c r="M435" s="179">
        <v>0.43</v>
      </c>
      <c r="N435" s="177"/>
      <c r="O435" s="177"/>
      <c r="P435" s="180">
        <v>-14.53</v>
      </c>
    </row>
    <row r="436" spans="1:16" ht="19.5" customHeight="1">
      <c r="A436" s="172" t="s">
        <v>870</v>
      </c>
      <c r="B436" s="176">
        <v>46028</v>
      </c>
      <c r="C436" s="172" t="s">
        <v>92</v>
      </c>
      <c r="D436" s="172" t="s">
        <v>24</v>
      </c>
      <c r="E436" s="172" t="s">
        <v>40</v>
      </c>
      <c r="F436" s="172" t="s">
        <v>197</v>
      </c>
      <c r="G436" s="172" t="s">
        <v>84</v>
      </c>
      <c r="H436" s="177">
        <v>1</v>
      </c>
      <c r="I436" s="178">
        <v>1650</v>
      </c>
      <c r="J436" s="176">
        <v>46024</v>
      </c>
      <c r="K436" s="172" t="s">
        <v>93</v>
      </c>
      <c r="L436" s="172" t="s">
        <v>94</v>
      </c>
      <c r="M436" s="179">
        <v>0.43</v>
      </c>
      <c r="N436" s="177"/>
      <c r="O436" s="177">
        <v>42</v>
      </c>
      <c r="P436" s="180">
        <v>-120.46</v>
      </c>
    </row>
    <row r="437" spans="1:16" ht="19.5" customHeight="1">
      <c r="A437" s="172" t="s">
        <v>870</v>
      </c>
      <c r="B437" s="176">
        <v>46028</v>
      </c>
      <c r="C437" s="172" t="s">
        <v>100</v>
      </c>
      <c r="D437" s="172" t="s">
        <v>101</v>
      </c>
      <c r="E437" s="172" t="s">
        <v>40</v>
      </c>
      <c r="F437" s="172" t="s">
        <v>197</v>
      </c>
      <c r="G437" s="172" t="s">
        <v>84</v>
      </c>
      <c r="H437" s="177">
        <v>1</v>
      </c>
      <c r="I437" s="178">
        <v>1650</v>
      </c>
      <c r="J437" s="176">
        <v>46024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808.94</v>
      </c>
    </row>
    <row r="438" spans="1:16" ht="19.5" customHeight="1">
      <c r="A438" s="172" t="s">
        <v>870</v>
      </c>
      <c r="B438" s="176">
        <v>46028</v>
      </c>
      <c r="C438" s="172" t="s">
        <v>100</v>
      </c>
      <c r="D438" s="172" t="s">
        <v>102</v>
      </c>
      <c r="E438" s="172" t="s">
        <v>40</v>
      </c>
      <c r="F438" s="172" t="s">
        <v>197</v>
      </c>
      <c r="G438" s="172" t="s">
        <v>84</v>
      </c>
      <c r="H438" s="177">
        <v>1</v>
      </c>
      <c r="I438" s="178">
        <v>1650</v>
      </c>
      <c r="J438" s="176">
        <v>46024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8.09</v>
      </c>
    </row>
    <row r="439" spans="1:16" ht="19.5" customHeight="1">
      <c r="A439" s="172" t="s">
        <v>870</v>
      </c>
      <c r="B439" s="176">
        <v>46028</v>
      </c>
      <c r="C439" s="172" t="s">
        <v>100</v>
      </c>
      <c r="D439" s="172" t="s">
        <v>103</v>
      </c>
      <c r="E439" s="172" t="s">
        <v>40</v>
      </c>
      <c r="F439" s="172" t="s">
        <v>197</v>
      </c>
      <c r="G439" s="172" t="s">
        <v>84</v>
      </c>
      <c r="H439" s="177">
        <v>1</v>
      </c>
      <c r="I439" s="178">
        <v>1650</v>
      </c>
      <c r="J439" s="176">
        <v>46024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832.97</v>
      </c>
    </row>
    <row r="440" spans="1:16" ht="19.5" customHeight="1">
      <c r="A440" s="172" t="s">
        <v>870</v>
      </c>
      <c r="B440" s="176">
        <v>46028</v>
      </c>
      <c r="C440" s="172" t="s">
        <v>104</v>
      </c>
      <c r="D440" s="172" t="s">
        <v>105</v>
      </c>
      <c r="E440" s="172" t="s">
        <v>40</v>
      </c>
      <c r="F440" s="172" t="s">
        <v>197</v>
      </c>
      <c r="G440" s="172" t="s">
        <v>84</v>
      </c>
      <c r="H440" s="177">
        <v>1</v>
      </c>
      <c r="I440" s="178">
        <v>1650</v>
      </c>
      <c r="J440" s="176">
        <v>46024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-709.5</v>
      </c>
    </row>
    <row r="441" spans="1:16" ht="19.5" customHeight="1">
      <c r="A441" s="172" t="s">
        <v>870</v>
      </c>
      <c r="B441" s="176">
        <v>46028</v>
      </c>
      <c r="C441" s="172" t="s">
        <v>81</v>
      </c>
      <c r="D441" s="172" t="s">
        <v>95</v>
      </c>
      <c r="E441" s="172" t="s">
        <v>40</v>
      </c>
      <c r="F441" s="172" t="s">
        <v>197</v>
      </c>
      <c r="G441" s="172" t="s">
        <v>84</v>
      </c>
      <c r="H441" s="177">
        <v>1</v>
      </c>
      <c r="I441" s="178">
        <v>1650</v>
      </c>
      <c r="J441" s="176">
        <v>46024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-6.93</v>
      </c>
    </row>
    <row r="442" spans="1:16" ht="19.5" customHeight="1">
      <c r="A442" s="172" t="s">
        <v>871</v>
      </c>
      <c r="B442" s="176">
        <v>46028</v>
      </c>
      <c r="C442" s="172" t="s">
        <v>92</v>
      </c>
      <c r="D442" s="172" t="s">
        <v>24</v>
      </c>
      <c r="E442" s="172" t="s">
        <v>43</v>
      </c>
      <c r="F442" s="172" t="s">
        <v>125</v>
      </c>
      <c r="G442" s="172" t="s">
        <v>84</v>
      </c>
      <c r="H442" s="177">
        <v>1</v>
      </c>
      <c r="I442" s="178">
        <v>1202</v>
      </c>
      <c r="J442" s="176">
        <v>46026</v>
      </c>
      <c r="K442" s="172" t="s">
        <v>93</v>
      </c>
      <c r="L442" s="172" t="s">
        <v>94</v>
      </c>
      <c r="M442" s="179">
        <v>0.43</v>
      </c>
      <c r="N442" s="177"/>
      <c r="O442" s="177">
        <v>46</v>
      </c>
      <c r="P442" s="180">
        <v>-120.51</v>
      </c>
    </row>
    <row r="443" spans="1:16" ht="19.5" customHeight="1">
      <c r="A443" s="172" t="s">
        <v>871</v>
      </c>
      <c r="B443" s="176">
        <v>46028</v>
      </c>
      <c r="C443" s="172" t="s">
        <v>100</v>
      </c>
      <c r="D443" s="172" t="s">
        <v>101</v>
      </c>
      <c r="E443" s="172" t="s">
        <v>43</v>
      </c>
      <c r="F443" s="172" t="s">
        <v>125</v>
      </c>
      <c r="G443" s="172" t="s">
        <v>84</v>
      </c>
      <c r="H443" s="177">
        <v>1</v>
      </c>
      <c r="I443" s="178">
        <v>1202</v>
      </c>
      <c r="J443" s="176">
        <v>46026</v>
      </c>
      <c r="K443" s="172" t="s">
        <v>93</v>
      </c>
      <c r="L443" s="172" t="s">
        <v>94</v>
      </c>
      <c r="M443" s="179">
        <v>0</v>
      </c>
      <c r="N443" s="177"/>
      <c r="O443" s="177"/>
      <c r="P443" s="180">
        <v>420.95</v>
      </c>
    </row>
    <row r="444" spans="1:16" ht="19.5" customHeight="1">
      <c r="A444" s="172" t="s">
        <v>871</v>
      </c>
      <c r="B444" s="176">
        <v>46028</v>
      </c>
      <c r="C444" s="172" t="s">
        <v>100</v>
      </c>
      <c r="D444" s="172" t="s">
        <v>102</v>
      </c>
      <c r="E444" s="172" t="s">
        <v>43</v>
      </c>
      <c r="F444" s="172" t="s">
        <v>125</v>
      </c>
      <c r="G444" s="172" t="s">
        <v>84</v>
      </c>
      <c r="H444" s="177">
        <v>1</v>
      </c>
      <c r="I444" s="178">
        <v>1202</v>
      </c>
      <c r="J444" s="176">
        <v>46026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4.21</v>
      </c>
    </row>
    <row r="445" spans="1:16" ht="19.5" customHeight="1">
      <c r="A445" s="172" t="s">
        <v>871</v>
      </c>
      <c r="B445" s="176">
        <v>46028</v>
      </c>
      <c r="C445" s="172" t="s">
        <v>100</v>
      </c>
      <c r="D445" s="172" t="s">
        <v>103</v>
      </c>
      <c r="E445" s="172" t="s">
        <v>43</v>
      </c>
      <c r="F445" s="172" t="s">
        <v>125</v>
      </c>
      <c r="G445" s="172" t="s">
        <v>84</v>
      </c>
      <c r="H445" s="177">
        <v>1</v>
      </c>
      <c r="I445" s="178">
        <v>1202</v>
      </c>
      <c r="J445" s="176">
        <v>46026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776.84</v>
      </c>
    </row>
    <row r="446" spans="1:16" ht="19.5" customHeight="1">
      <c r="A446" s="172" t="s">
        <v>871</v>
      </c>
      <c r="B446" s="176">
        <v>46028</v>
      </c>
      <c r="C446" s="172" t="s">
        <v>104</v>
      </c>
      <c r="D446" s="172" t="s">
        <v>105</v>
      </c>
      <c r="E446" s="172" t="s">
        <v>43</v>
      </c>
      <c r="F446" s="172" t="s">
        <v>125</v>
      </c>
      <c r="G446" s="172" t="s">
        <v>84</v>
      </c>
      <c r="H446" s="177">
        <v>1</v>
      </c>
      <c r="I446" s="178">
        <v>1202</v>
      </c>
      <c r="J446" s="176">
        <v>46026</v>
      </c>
      <c r="K446" s="172" t="s">
        <v>93</v>
      </c>
      <c r="L446" s="172" t="s">
        <v>94</v>
      </c>
      <c r="M446" s="179">
        <v>0.43</v>
      </c>
      <c r="N446" s="177"/>
      <c r="O446" s="177"/>
      <c r="P446" s="180">
        <v>-516.86</v>
      </c>
    </row>
    <row r="447" spans="1:16" ht="19.5" customHeight="1">
      <c r="A447" s="172" t="s">
        <v>871</v>
      </c>
      <c r="B447" s="176">
        <v>46028</v>
      </c>
      <c r="C447" s="172" t="s">
        <v>81</v>
      </c>
      <c r="D447" s="172" t="s">
        <v>95</v>
      </c>
      <c r="E447" s="172" t="s">
        <v>43</v>
      </c>
      <c r="F447" s="172" t="s">
        <v>125</v>
      </c>
      <c r="G447" s="172" t="s">
        <v>84</v>
      </c>
      <c r="H447" s="177">
        <v>1</v>
      </c>
      <c r="I447" s="178">
        <v>1202</v>
      </c>
      <c r="J447" s="176">
        <v>46026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-12.56</v>
      </c>
    </row>
    <row r="448" spans="1:16" ht="19.5" customHeight="1">
      <c r="A448" s="172" t="s">
        <v>479</v>
      </c>
      <c r="B448" s="176">
        <v>46028</v>
      </c>
      <c r="C448" s="172" t="s">
        <v>81</v>
      </c>
      <c r="D448" s="172" t="s">
        <v>82</v>
      </c>
      <c r="E448" s="172" t="s">
        <v>41</v>
      </c>
      <c r="F448" s="172" t="s">
        <v>83</v>
      </c>
      <c r="G448" s="172" t="s">
        <v>84</v>
      </c>
      <c r="H448" s="177">
        <v>1</v>
      </c>
      <c r="I448" s="178">
        <v>0</v>
      </c>
      <c r="J448" s="176">
        <v>46028</v>
      </c>
      <c r="K448" s="172" t="s">
        <v>85</v>
      </c>
      <c r="L448" s="172" t="s">
        <v>85</v>
      </c>
      <c r="M448" s="179">
        <v>0</v>
      </c>
      <c r="N448" s="177"/>
      <c r="O448" s="177"/>
      <c r="P448" s="180">
        <v>-6.48</v>
      </c>
    </row>
    <row r="449" spans="1:16" ht="19.5" customHeight="1">
      <c r="A449" s="172" t="s">
        <v>870</v>
      </c>
      <c r="B449" s="176">
        <v>46028</v>
      </c>
      <c r="C449" s="172" t="s">
        <v>81</v>
      </c>
      <c r="D449" s="172" t="s">
        <v>82</v>
      </c>
      <c r="E449" s="172" t="s">
        <v>40</v>
      </c>
      <c r="F449" s="172" t="s">
        <v>197</v>
      </c>
      <c r="G449" s="172" t="s">
        <v>84</v>
      </c>
      <c r="H449" s="177">
        <v>1</v>
      </c>
      <c r="I449" s="178">
        <v>0</v>
      </c>
      <c r="J449" s="176">
        <v>46024</v>
      </c>
      <c r="K449" s="172" t="s">
        <v>85</v>
      </c>
      <c r="L449" s="172" t="s">
        <v>85</v>
      </c>
      <c r="M449" s="179">
        <v>0</v>
      </c>
      <c r="N449" s="177"/>
      <c r="O449" s="177"/>
      <c r="P449" s="180">
        <v>-15.37</v>
      </c>
    </row>
    <row r="450" spans="1:16" ht="19.5" customHeight="1">
      <c r="A450" s="172" t="s">
        <v>871</v>
      </c>
      <c r="B450" s="176">
        <v>46028</v>
      </c>
      <c r="C450" s="172" t="s">
        <v>81</v>
      </c>
      <c r="D450" s="172" t="s">
        <v>82</v>
      </c>
      <c r="E450" s="172" t="s">
        <v>43</v>
      </c>
      <c r="F450" s="172" t="s">
        <v>125</v>
      </c>
      <c r="G450" s="172" t="s">
        <v>84</v>
      </c>
      <c r="H450" s="177">
        <v>1</v>
      </c>
      <c r="I450" s="178">
        <v>0</v>
      </c>
      <c r="J450" s="176">
        <v>46026</v>
      </c>
      <c r="K450" s="172" t="s">
        <v>85</v>
      </c>
      <c r="L450" s="172" t="s">
        <v>85</v>
      </c>
      <c r="M450" s="179">
        <v>0</v>
      </c>
      <c r="N450" s="177"/>
      <c r="O450" s="177"/>
      <c r="P450" s="180">
        <v>-8</v>
      </c>
    </row>
    <row r="451" spans="1:16" ht="19.5" customHeight="1">
      <c r="A451" s="172" t="s">
        <v>872</v>
      </c>
      <c r="B451" s="176">
        <v>46028</v>
      </c>
      <c r="C451" s="172" t="s">
        <v>92</v>
      </c>
      <c r="D451" s="172" t="s">
        <v>24</v>
      </c>
      <c r="E451" s="172" t="s">
        <v>38</v>
      </c>
      <c r="F451" s="172" t="s">
        <v>87</v>
      </c>
      <c r="G451" s="172" t="s">
        <v>84</v>
      </c>
      <c r="H451" s="177">
        <v>1</v>
      </c>
      <c r="I451" s="178">
        <v>1650</v>
      </c>
      <c r="J451" s="176">
        <v>46025</v>
      </c>
      <c r="K451" s="172" t="s">
        <v>93</v>
      </c>
      <c r="L451" s="172" t="s">
        <v>94</v>
      </c>
      <c r="M451" s="179">
        <v>0.43</v>
      </c>
      <c r="N451" s="177"/>
      <c r="O451" s="177">
        <v>44</v>
      </c>
      <c r="P451" s="180">
        <v>-128.22</v>
      </c>
    </row>
    <row r="452" spans="1:16" ht="19.5" customHeight="1">
      <c r="A452" s="172" t="s">
        <v>872</v>
      </c>
      <c r="B452" s="176">
        <v>46028</v>
      </c>
      <c r="C452" s="172" t="s">
        <v>100</v>
      </c>
      <c r="D452" s="172" t="s">
        <v>101</v>
      </c>
      <c r="E452" s="172" t="s">
        <v>38</v>
      </c>
      <c r="F452" s="172" t="s">
        <v>87</v>
      </c>
      <c r="G452" s="172" t="s">
        <v>84</v>
      </c>
      <c r="H452" s="177">
        <v>1</v>
      </c>
      <c r="I452" s="178">
        <v>1650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451.62</v>
      </c>
    </row>
    <row r="453" spans="1:16" ht="19.5" customHeight="1">
      <c r="A453" s="172" t="s">
        <v>872</v>
      </c>
      <c r="B453" s="176">
        <v>46028</v>
      </c>
      <c r="C453" s="172" t="s">
        <v>100</v>
      </c>
      <c r="D453" s="172" t="s">
        <v>102</v>
      </c>
      <c r="E453" s="172" t="s">
        <v>38</v>
      </c>
      <c r="F453" s="172" t="s">
        <v>87</v>
      </c>
      <c r="G453" s="172" t="s">
        <v>84</v>
      </c>
      <c r="H453" s="177">
        <v>1</v>
      </c>
      <c r="I453" s="178">
        <v>1650</v>
      </c>
      <c r="J453" s="176">
        <v>46025</v>
      </c>
      <c r="K453" s="172" t="s">
        <v>93</v>
      </c>
      <c r="L453" s="172" t="s">
        <v>94</v>
      </c>
      <c r="M453" s="179">
        <v>0</v>
      </c>
      <c r="N453" s="177"/>
      <c r="O453" s="177"/>
      <c r="P453" s="180">
        <v>4.5199999999999996</v>
      </c>
    </row>
    <row r="454" spans="1:16" ht="19.5" customHeight="1">
      <c r="A454" s="172" t="s">
        <v>872</v>
      </c>
      <c r="B454" s="176">
        <v>46028</v>
      </c>
      <c r="C454" s="172" t="s">
        <v>100</v>
      </c>
      <c r="D454" s="172" t="s">
        <v>103</v>
      </c>
      <c r="E454" s="172" t="s">
        <v>38</v>
      </c>
      <c r="F454" s="172" t="s">
        <v>87</v>
      </c>
      <c r="G454" s="172" t="s">
        <v>84</v>
      </c>
      <c r="H454" s="177">
        <v>1</v>
      </c>
      <c r="I454" s="178">
        <v>1650</v>
      </c>
      <c r="J454" s="176">
        <v>46025</v>
      </c>
      <c r="K454" s="172" t="s">
        <v>93</v>
      </c>
      <c r="L454" s="172" t="s">
        <v>94</v>
      </c>
      <c r="M454" s="179">
        <v>0</v>
      </c>
      <c r="N454" s="177"/>
      <c r="O454" s="177"/>
      <c r="P454" s="180">
        <v>1193.8599999999999</v>
      </c>
    </row>
    <row r="455" spans="1:16" ht="19.5" customHeight="1">
      <c r="A455" s="172" t="s">
        <v>872</v>
      </c>
      <c r="B455" s="176">
        <v>46028</v>
      </c>
      <c r="C455" s="172" t="s">
        <v>104</v>
      </c>
      <c r="D455" s="172" t="s">
        <v>105</v>
      </c>
      <c r="E455" s="172" t="s">
        <v>38</v>
      </c>
      <c r="F455" s="172" t="s">
        <v>87</v>
      </c>
      <c r="G455" s="172" t="s">
        <v>84</v>
      </c>
      <c r="H455" s="177">
        <v>1</v>
      </c>
      <c r="I455" s="178">
        <v>1650</v>
      </c>
      <c r="J455" s="176">
        <v>46025</v>
      </c>
      <c r="K455" s="172" t="s">
        <v>93</v>
      </c>
      <c r="L455" s="172" t="s">
        <v>94</v>
      </c>
      <c r="M455" s="179">
        <v>0.43</v>
      </c>
      <c r="N455" s="177"/>
      <c r="O455" s="177"/>
      <c r="P455" s="180">
        <v>-709.5</v>
      </c>
    </row>
    <row r="456" spans="1:16" ht="19.5" customHeight="1">
      <c r="A456" s="172" t="s">
        <v>872</v>
      </c>
      <c r="B456" s="176">
        <v>46028</v>
      </c>
      <c r="C456" s="172" t="s">
        <v>81</v>
      </c>
      <c r="D456" s="172" t="s">
        <v>95</v>
      </c>
      <c r="E456" s="172" t="s">
        <v>38</v>
      </c>
      <c r="F456" s="172" t="s">
        <v>87</v>
      </c>
      <c r="G456" s="172" t="s">
        <v>84</v>
      </c>
      <c r="H456" s="177">
        <v>1</v>
      </c>
      <c r="I456" s="178">
        <v>1650</v>
      </c>
      <c r="J456" s="176">
        <v>46025</v>
      </c>
      <c r="K456" s="172" t="s">
        <v>93</v>
      </c>
      <c r="L456" s="172" t="s">
        <v>94</v>
      </c>
      <c r="M456" s="179">
        <v>0.43</v>
      </c>
      <c r="N456" s="177"/>
      <c r="O456" s="177"/>
      <c r="P456" s="180">
        <v>-12.99</v>
      </c>
    </row>
    <row r="457" spans="1:16" ht="19.5" customHeight="1">
      <c r="A457" s="172" t="s">
        <v>872</v>
      </c>
      <c r="B457" s="176">
        <v>46028</v>
      </c>
      <c r="C457" s="172" t="s">
        <v>81</v>
      </c>
      <c r="D457" s="172" t="s">
        <v>82</v>
      </c>
      <c r="E457" s="172" t="s">
        <v>38</v>
      </c>
      <c r="F457" s="172" t="s">
        <v>87</v>
      </c>
      <c r="G457" s="172" t="s">
        <v>84</v>
      </c>
      <c r="H457" s="177">
        <v>1</v>
      </c>
      <c r="I457" s="178">
        <v>0</v>
      </c>
      <c r="J457" s="176">
        <v>46025</v>
      </c>
      <c r="K457" s="172" t="s">
        <v>85</v>
      </c>
      <c r="L457" s="172" t="s">
        <v>85</v>
      </c>
      <c r="M457" s="179">
        <v>0</v>
      </c>
      <c r="N457" s="177"/>
      <c r="O457" s="177"/>
      <c r="P457" s="180">
        <v>-8.58</v>
      </c>
    </row>
    <row r="458" spans="1:16" ht="19.5" customHeight="1">
      <c r="A458" s="172" t="s">
        <v>873</v>
      </c>
      <c r="B458" s="176">
        <v>46028</v>
      </c>
      <c r="C458" s="172" t="s">
        <v>92</v>
      </c>
      <c r="D458" s="172" t="s">
        <v>24</v>
      </c>
      <c r="E458" s="172" t="s">
        <v>53</v>
      </c>
      <c r="F458" s="172" t="s">
        <v>120</v>
      </c>
      <c r="G458" s="172" t="s">
        <v>84</v>
      </c>
      <c r="H458" s="177">
        <v>1</v>
      </c>
      <c r="I458" s="178">
        <v>1845</v>
      </c>
      <c r="J458" s="176">
        <v>46019</v>
      </c>
      <c r="K458" s="172" t="s">
        <v>93</v>
      </c>
      <c r="L458" s="172" t="s">
        <v>94</v>
      </c>
      <c r="M458" s="179">
        <v>0.43</v>
      </c>
      <c r="N458" s="177"/>
      <c r="O458" s="177">
        <v>41</v>
      </c>
      <c r="P458" s="180">
        <v>-136.06</v>
      </c>
    </row>
    <row r="459" spans="1:16" ht="19.5" customHeight="1">
      <c r="A459" s="172" t="s">
        <v>873</v>
      </c>
      <c r="B459" s="176">
        <v>46028</v>
      </c>
      <c r="C459" s="172" t="s">
        <v>100</v>
      </c>
      <c r="D459" s="172" t="s">
        <v>101</v>
      </c>
      <c r="E459" s="172" t="s">
        <v>53</v>
      </c>
      <c r="F459" s="172" t="s">
        <v>120</v>
      </c>
      <c r="G459" s="172" t="s">
        <v>84</v>
      </c>
      <c r="H459" s="177">
        <v>1</v>
      </c>
      <c r="I459" s="178">
        <v>1845</v>
      </c>
      <c r="J459" s="176">
        <v>46019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642.25</v>
      </c>
    </row>
    <row r="460" spans="1:16" ht="19.5" customHeight="1">
      <c r="A460" s="172" t="s">
        <v>873</v>
      </c>
      <c r="B460" s="176">
        <v>46028</v>
      </c>
      <c r="C460" s="172" t="s">
        <v>100</v>
      </c>
      <c r="D460" s="172" t="s">
        <v>102</v>
      </c>
      <c r="E460" s="172" t="s">
        <v>53</v>
      </c>
      <c r="F460" s="172" t="s">
        <v>120</v>
      </c>
      <c r="G460" s="172" t="s">
        <v>84</v>
      </c>
      <c r="H460" s="177">
        <v>1</v>
      </c>
      <c r="I460" s="178">
        <v>1845</v>
      </c>
      <c r="J460" s="176">
        <v>46019</v>
      </c>
      <c r="K460" s="172" t="s">
        <v>93</v>
      </c>
      <c r="L460" s="172" t="s">
        <v>94</v>
      </c>
      <c r="M460" s="179">
        <v>0</v>
      </c>
      <c r="N460" s="177"/>
      <c r="O460" s="177"/>
      <c r="P460" s="180">
        <v>6.42</v>
      </c>
    </row>
    <row r="461" spans="1:16" ht="19.5" customHeight="1">
      <c r="A461" s="172" t="s">
        <v>873</v>
      </c>
      <c r="B461" s="176">
        <v>46028</v>
      </c>
      <c r="C461" s="172" t="s">
        <v>100</v>
      </c>
      <c r="D461" s="172" t="s">
        <v>103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46019</v>
      </c>
      <c r="K461" s="172" t="s">
        <v>93</v>
      </c>
      <c r="L461" s="172" t="s">
        <v>94</v>
      </c>
      <c r="M461" s="179">
        <v>0</v>
      </c>
      <c r="N461" s="177"/>
      <c r="O461" s="177"/>
      <c r="P461" s="180">
        <v>1196.33</v>
      </c>
    </row>
    <row r="462" spans="1:16" ht="19.5" customHeight="1">
      <c r="A462" s="172" t="s">
        <v>873</v>
      </c>
      <c r="B462" s="176">
        <v>46028</v>
      </c>
      <c r="C462" s="172" t="s">
        <v>104</v>
      </c>
      <c r="D462" s="172" t="s">
        <v>105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46019</v>
      </c>
      <c r="K462" s="172" t="s">
        <v>93</v>
      </c>
      <c r="L462" s="172" t="s">
        <v>94</v>
      </c>
      <c r="M462" s="179">
        <v>0.43</v>
      </c>
      <c r="N462" s="177"/>
      <c r="O462" s="177"/>
      <c r="P462" s="180">
        <v>-793.35</v>
      </c>
    </row>
    <row r="463" spans="1:16" ht="19.5" customHeight="1">
      <c r="A463" s="172" t="s">
        <v>873</v>
      </c>
      <c r="B463" s="176">
        <v>46028</v>
      </c>
      <c r="C463" s="172" t="s">
        <v>81</v>
      </c>
      <c r="D463" s="172" t="s">
        <v>95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46019</v>
      </c>
      <c r="K463" s="172" t="s">
        <v>93</v>
      </c>
      <c r="L463" s="172" t="s">
        <v>94</v>
      </c>
      <c r="M463" s="179">
        <v>0.43</v>
      </c>
      <c r="N463" s="177"/>
      <c r="O463" s="177"/>
      <c r="P463" s="180">
        <v>-25</v>
      </c>
    </row>
    <row r="464" spans="1:16" ht="19.5" customHeight="1">
      <c r="A464" s="172" t="s">
        <v>873</v>
      </c>
      <c r="B464" s="176">
        <v>46028</v>
      </c>
      <c r="C464" s="172" t="s">
        <v>81</v>
      </c>
      <c r="D464" s="172" t="s">
        <v>82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0</v>
      </c>
      <c r="J464" s="176">
        <v>46019</v>
      </c>
      <c r="K464" s="172" t="s">
        <v>85</v>
      </c>
      <c r="L464" s="172" t="s">
        <v>85</v>
      </c>
      <c r="M464" s="179">
        <v>0</v>
      </c>
      <c r="N464" s="177"/>
      <c r="O464" s="177"/>
      <c r="P464" s="180">
        <v>-12.2</v>
      </c>
    </row>
    <row r="465" spans="1:16" ht="19.5" customHeight="1">
      <c r="A465" s="172" t="s">
        <v>142</v>
      </c>
      <c r="B465" s="176">
        <v>46028</v>
      </c>
      <c r="C465" s="172" t="s">
        <v>109</v>
      </c>
      <c r="D465" s="172" t="s">
        <v>143</v>
      </c>
      <c r="E465" s="172" t="s">
        <v>85</v>
      </c>
      <c r="F465" s="172" t="s">
        <v>85</v>
      </c>
      <c r="G465" s="172" t="s">
        <v>85</v>
      </c>
      <c r="H465" s="177">
        <v>0</v>
      </c>
      <c r="I465" s="178">
        <v>0</v>
      </c>
      <c r="J465" s="176">
        <v>46028</v>
      </c>
      <c r="K465" s="172" t="s">
        <v>85</v>
      </c>
      <c r="L465" s="172" t="s">
        <v>85</v>
      </c>
      <c r="M465" s="179">
        <v>0</v>
      </c>
      <c r="N465" s="177"/>
      <c r="O465" s="177"/>
      <c r="P465" s="180">
        <v>-4830.3999999999996</v>
      </c>
    </row>
    <row r="466" spans="1:16" ht="19.5" customHeight="1">
      <c r="A466" s="172" t="s">
        <v>144</v>
      </c>
      <c r="B466" s="176">
        <v>46028</v>
      </c>
      <c r="C466" s="172" t="s">
        <v>109</v>
      </c>
      <c r="D466" s="172" t="s">
        <v>139</v>
      </c>
      <c r="E466" s="172" t="s">
        <v>85</v>
      </c>
      <c r="F466" s="172" t="s">
        <v>85</v>
      </c>
      <c r="G466" s="172" t="s">
        <v>85</v>
      </c>
      <c r="H466" s="177">
        <v>0</v>
      </c>
      <c r="I466" s="178">
        <v>0</v>
      </c>
      <c r="J466" s="176">
        <v>46028</v>
      </c>
      <c r="K466" s="172" t="s">
        <v>85</v>
      </c>
      <c r="L466" s="172" t="s">
        <v>85</v>
      </c>
      <c r="M466" s="179">
        <v>0</v>
      </c>
      <c r="N466" s="177"/>
      <c r="O466" s="177"/>
      <c r="P466" s="180">
        <v>-1396.44</v>
      </c>
    </row>
    <row r="467" spans="1:16" ht="19.5" customHeight="1">
      <c r="A467" s="172" t="s">
        <v>138</v>
      </c>
      <c r="B467" s="176">
        <v>46028</v>
      </c>
      <c r="C467" s="172" t="s">
        <v>109</v>
      </c>
      <c r="D467" s="172" t="s">
        <v>139</v>
      </c>
      <c r="E467" s="172" t="s">
        <v>85</v>
      </c>
      <c r="F467" s="172" t="s">
        <v>85</v>
      </c>
      <c r="G467" s="172" t="s">
        <v>85</v>
      </c>
      <c r="H467" s="177">
        <v>0</v>
      </c>
      <c r="I467" s="178">
        <v>0</v>
      </c>
      <c r="J467" s="176">
        <v>46028</v>
      </c>
      <c r="K467" s="172" t="s">
        <v>85</v>
      </c>
      <c r="L467" s="172" t="s">
        <v>85</v>
      </c>
      <c r="M467" s="179">
        <v>0</v>
      </c>
      <c r="N467" s="177"/>
      <c r="O467" s="177"/>
      <c r="P467" s="180">
        <v>-1178.71</v>
      </c>
    </row>
    <row r="468" spans="1:16" ht="19.5" customHeight="1">
      <c r="A468" s="172" t="s">
        <v>410</v>
      </c>
      <c r="B468" s="176">
        <v>46028</v>
      </c>
      <c r="C468" s="172" t="s">
        <v>109</v>
      </c>
      <c r="D468" s="172" t="s">
        <v>139</v>
      </c>
      <c r="E468" s="172" t="s">
        <v>85</v>
      </c>
      <c r="F468" s="172" t="s">
        <v>85</v>
      </c>
      <c r="G468" s="172" t="s">
        <v>85</v>
      </c>
      <c r="H468" s="177">
        <v>0</v>
      </c>
      <c r="I468" s="178">
        <v>0</v>
      </c>
      <c r="J468" s="176">
        <v>46028</v>
      </c>
      <c r="K468" s="172" t="s">
        <v>85</v>
      </c>
      <c r="L468" s="172" t="s">
        <v>85</v>
      </c>
      <c r="M468" s="179">
        <v>0</v>
      </c>
      <c r="N468" s="177"/>
      <c r="O468" s="177"/>
      <c r="P468" s="180">
        <v>-1115.6300000000001</v>
      </c>
    </row>
    <row r="469" spans="1:16" ht="19.5" customHeight="1">
      <c r="A469" s="172" t="s">
        <v>874</v>
      </c>
      <c r="B469" s="176">
        <v>46029</v>
      </c>
      <c r="C469" s="172" t="s">
        <v>81</v>
      </c>
      <c r="D469" s="172" t="s">
        <v>82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0</v>
      </c>
      <c r="J469" s="176">
        <v>46029</v>
      </c>
      <c r="K469" s="172" t="s">
        <v>85</v>
      </c>
      <c r="L469" s="172" t="s">
        <v>85</v>
      </c>
      <c r="M469" s="179">
        <v>0</v>
      </c>
      <c r="N469" s="177"/>
      <c r="O469" s="177"/>
      <c r="P469" s="180">
        <v>-10.43</v>
      </c>
    </row>
    <row r="470" spans="1:16" ht="19.5" customHeight="1">
      <c r="A470" s="172" t="s">
        <v>875</v>
      </c>
      <c r="B470" s="176">
        <v>46029</v>
      </c>
      <c r="C470" s="172" t="s">
        <v>92</v>
      </c>
      <c r="D470" s="172" t="s">
        <v>24</v>
      </c>
      <c r="E470" s="172" t="s">
        <v>53</v>
      </c>
      <c r="F470" s="172" t="s">
        <v>120</v>
      </c>
      <c r="G470" s="172" t="s">
        <v>84</v>
      </c>
      <c r="H470" s="177">
        <v>1</v>
      </c>
      <c r="I470" s="178">
        <v>0</v>
      </c>
      <c r="J470" s="176">
        <v>46010</v>
      </c>
      <c r="K470" s="172" t="s">
        <v>93</v>
      </c>
      <c r="L470" s="172" t="s">
        <v>94</v>
      </c>
      <c r="M470" s="179">
        <v>0</v>
      </c>
      <c r="N470" s="177"/>
      <c r="O470" s="177">
        <v>43</v>
      </c>
      <c r="P470" s="180">
        <v>-56</v>
      </c>
    </row>
    <row r="471" spans="1:16" ht="19.5" customHeight="1">
      <c r="A471" s="172" t="s">
        <v>875</v>
      </c>
      <c r="B471" s="176">
        <v>46029</v>
      </c>
      <c r="C471" s="172" t="s">
        <v>81</v>
      </c>
      <c r="D471" s="172" t="s">
        <v>95</v>
      </c>
      <c r="E471" s="172" t="s">
        <v>53</v>
      </c>
      <c r="F471" s="172" t="s">
        <v>120</v>
      </c>
      <c r="G471" s="172" t="s">
        <v>84</v>
      </c>
      <c r="H471" s="177">
        <v>1</v>
      </c>
      <c r="I471" s="178">
        <v>0</v>
      </c>
      <c r="J471" s="176">
        <v>46010</v>
      </c>
      <c r="K471" s="172" t="s">
        <v>93</v>
      </c>
      <c r="L471" s="172" t="s">
        <v>94</v>
      </c>
      <c r="M471" s="179">
        <v>0</v>
      </c>
      <c r="N471" s="177"/>
      <c r="O471" s="177"/>
      <c r="P471" s="180">
        <v>-8.2200000000000006</v>
      </c>
    </row>
    <row r="472" spans="1:16" ht="19.5" customHeight="1">
      <c r="A472" s="172" t="s">
        <v>875</v>
      </c>
      <c r="B472" s="176">
        <v>46029</v>
      </c>
      <c r="C472" s="172" t="s">
        <v>92</v>
      </c>
      <c r="D472" s="172" t="s">
        <v>96</v>
      </c>
      <c r="E472" s="172" t="s">
        <v>53</v>
      </c>
      <c r="F472" s="172" t="s">
        <v>120</v>
      </c>
      <c r="G472" s="172" t="s">
        <v>84</v>
      </c>
      <c r="H472" s="177">
        <v>1</v>
      </c>
      <c r="I472" s="178">
        <v>0</v>
      </c>
      <c r="J472" s="176">
        <v>46010</v>
      </c>
      <c r="K472" s="172" t="s">
        <v>93</v>
      </c>
      <c r="L472" s="172" t="s">
        <v>94</v>
      </c>
      <c r="M472" s="179">
        <v>0</v>
      </c>
      <c r="N472" s="177"/>
      <c r="O472" s="177"/>
      <c r="P472" s="180">
        <v>0</v>
      </c>
    </row>
    <row r="473" spans="1:16" ht="19.5" customHeight="1">
      <c r="A473" s="172" t="s">
        <v>875</v>
      </c>
      <c r="B473" s="176">
        <v>46029</v>
      </c>
      <c r="C473" s="172" t="s">
        <v>92</v>
      </c>
      <c r="D473" s="172" t="s">
        <v>97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46010</v>
      </c>
      <c r="K473" s="172" t="s">
        <v>93</v>
      </c>
      <c r="L473" s="172" t="s">
        <v>94</v>
      </c>
      <c r="M473" s="179">
        <v>0</v>
      </c>
      <c r="N473" s="177"/>
      <c r="O473" s="177"/>
      <c r="P473" s="180">
        <v>-56</v>
      </c>
    </row>
    <row r="474" spans="1:16" ht="19.5" customHeight="1">
      <c r="A474" s="172" t="s">
        <v>876</v>
      </c>
      <c r="B474" s="176">
        <v>46029</v>
      </c>
      <c r="C474" s="172" t="s">
        <v>92</v>
      </c>
      <c r="D474" s="172" t="s">
        <v>24</v>
      </c>
      <c r="E474" s="172" t="s">
        <v>38</v>
      </c>
      <c r="F474" s="172" t="s">
        <v>87</v>
      </c>
      <c r="G474" s="172" t="s">
        <v>84</v>
      </c>
      <c r="H474" s="177">
        <v>1</v>
      </c>
      <c r="I474" s="178">
        <v>0</v>
      </c>
      <c r="J474" s="176">
        <v>46017</v>
      </c>
      <c r="K474" s="172" t="s">
        <v>93</v>
      </c>
      <c r="L474" s="172" t="s">
        <v>94</v>
      </c>
      <c r="M474" s="179">
        <v>0</v>
      </c>
      <c r="N474" s="177"/>
      <c r="O474" s="177">
        <v>43</v>
      </c>
      <c r="P474" s="180">
        <v>-46.77</v>
      </c>
    </row>
    <row r="475" spans="1:16" ht="19.5" customHeight="1">
      <c r="A475" s="172" t="s">
        <v>876</v>
      </c>
      <c r="B475" s="176">
        <v>46029</v>
      </c>
      <c r="C475" s="172" t="s">
        <v>81</v>
      </c>
      <c r="D475" s="172" t="s">
        <v>95</v>
      </c>
      <c r="E475" s="172" t="s">
        <v>38</v>
      </c>
      <c r="F475" s="172" t="s">
        <v>87</v>
      </c>
      <c r="G475" s="172" t="s">
        <v>84</v>
      </c>
      <c r="H475" s="177">
        <v>1</v>
      </c>
      <c r="I475" s="178">
        <v>0</v>
      </c>
      <c r="J475" s="176">
        <v>46017</v>
      </c>
      <c r="K475" s="172" t="s">
        <v>93</v>
      </c>
      <c r="L475" s="172" t="s">
        <v>94</v>
      </c>
      <c r="M475" s="179">
        <v>0</v>
      </c>
      <c r="N475" s="177"/>
      <c r="O475" s="177"/>
      <c r="P475" s="180">
        <v>-6.15</v>
      </c>
    </row>
    <row r="476" spans="1:16" ht="19.5" customHeight="1">
      <c r="A476" s="172" t="s">
        <v>877</v>
      </c>
      <c r="B476" s="176">
        <v>46029</v>
      </c>
      <c r="C476" s="172" t="s">
        <v>92</v>
      </c>
      <c r="D476" s="172" t="s">
        <v>24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1600</v>
      </c>
      <c r="J476" s="176">
        <v>46005</v>
      </c>
      <c r="K476" s="172" t="s">
        <v>93</v>
      </c>
      <c r="L476" s="172" t="s">
        <v>94</v>
      </c>
      <c r="M476" s="179">
        <v>0.43</v>
      </c>
      <c r="N476" s="177"/>
      <c r="O476" s="177">
        <v>45</v>
      </c>
      <c r="P476" s="180">
        <v>-130.44</v>
      </c>
    </row>
    <row r="477" spans="1:16" ht="19.5" customHeight="1">
      <c r="A477" s="172" t="s">
        <v>877</v>
      </c>
      <c r="B477" s="176">
        <v>46029</v>
      </c>
      <c r="C477" s="172" t="s">
        <v>100</v>
      </c>
      <c r="D477" s="172" t="s">
        <v>101</v>
      </c>
      <c r="E477" s="172" t="s">
        <v>41</v>
      </c>
      <c r="F477" s="172" t="s">
        <v>83</v>
      </c>
      <c r="G477" s="172" t="s">
        <v>84</v>
      </c>
      <c r="H477" s="177">
        <v>1</v>
      </c>
      <c r="I477" s="178">
        <v>1600</v>
      </c>
      <c r="J477" s="176">
        <v>46005</v>
      </c>
      <c r="K477" s="172" t="s">
        <v>93</v>
      </c>
      <c r="L477" s="172" t="s">
        <v>94</v>
      </c>
      <c r="M477" s="179">
        <v>0</v>
      </c>
      <c r="N477" s="177"/>
      <c r="O477" s="177"/>
      <c r="P477" s="180">
        <v>618.1</v>
      </c>
    </row>
    <row r="478" spans="1:16" ht="19.5" customHeight="1">
      <c r="A478" s="172" t="s">
        <v>877</v>
      </c>
      <c r="B478" s="176">
        <v>46029</v>
      </c>
      <c r="C478" s="172" t="s">
        <v>100</v>
      </c>
      <c r="D478" s="172" t="s">
        <v>102</v>
      </c>
      <c r="E478" s="172" t="s">
        <v>41</v>
      </c>
      <c r="F478" s="172" t="s">
        <v>83</v>
      </c>
      <c r="G478" s="172" t="s">
        <v>84</v>
      </c>
      <c r="H478" s="177">
        <v>1</v>
      </c>
      <c r="I478" s="178">
        <v>1600</v>
      </c>
      <c r="J478" s="176">
        <v>46005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6.18</v>
      </c>
    </row>
    <row r="479" spans="1:16" ht="19.5" customHeight="1">
      <c r="A479" s="172" t="s">
        <v>877</v>
      </c>
      <c r="B479" s="176">
        <v>46029</v>
      </c>
      <c r="C479" s="172" t="s">
        <v>100</v>
      </c>
      <c r="D479" s="172" t="s">
        <v>103</v>
      </c>
      <c r="E479" s="172" t="s">
        <v>41</v>
      </c>
      <c r="F479" s="172" t="s">
        <v>83</v>
      </c>
      <c r="G479" s="172" t="s">
        <v>84</v>
      </c>
      <c r="H479" s="177">
        <v>1</v>
      </c>
      <c r="I479" s="178">
        <v>1600</v>
      </c>
      <c r="J479" s="176">
        <v>46005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975.72</v>
      </c>
    </row>
    <row r="480" spans="1:16" ht="19.5" customHeight="1">
      <c r="A480" s="172" t="s">
        <v>877</v>
      </c>
      <c r="B480" s="176">
        <v>46029</v>
      </c>
      <c r="C480" s="172" t="s">
        <v>104</v>
      </c>
      <c r="D480" s="172" t="s">
        <v>105</v>
      </c>
      <c r="E480" s="172" t="s">
        <v>41</v>
      </c>
      <c r="F480" s="172" t="s">
        <v>83</v>
      </c>
      <c r="G480" s="172" t="s">
        <v>84</v>
      </c>
      <c r="H480" s="177">
        <v>1</v>
      </c>
      <c r="I480" s="178">
        <v>1600</v>
      </c>
      <c r="J480" s="176">
        <v>46005</v>
      </c>
      <c r="K480" s="172" t="s">
        <v>93</v>
      </c>
      <c r="L480" s="172" t="s">
        <v>94</v>
      </c>
      <c r="M480" s="179">
        <v>0.43</v>
      </c>
      <c r="N480" s="177"/>
      <c r="O480" s="177"/>
      <c r="P480" s="180">
        <v>-688</v>
      </c>
    </row>
    <row r="481" spans="1:16" ht="19.5" customHeight="1">
      <c r="A481" s="172" t="s">
        <v>876</v>
      </c>
      <c r="B481" s="176">
        <v>46029</v>
      </c>
      <c r="C481" s="172" t="s">
        <v>92</v>
      </c>
      <c r="D481" s="172" t="s">
        <v>96</v>
      </c>
      <c r="E481" s="172" t="s">
        <v>38</v>
      </c>
      <c r="F481" s="172" t="s">
        <v>87</v>
      </c>
      <c r="G481" s="172" t="s">
        <v>84</v>
      </c>
      <c r="H481" s="177">
        <v>1</v>
      </c>
      <c r="I481" s="178">
        <v>0</v>
      </c>
      <c r="J481" s="176">
        <v>46017</v>
      </c>
      <c r="K481" s="172" t="s">
        <v>93</v>
      </c>
      <c r="L481" s="172" t="s">
        <v>94</v>
      </c>
      <c r="M481" s="179">
        <v>0</v>
      </c>
      <c r="N481" s="177"/>
      <c r="O481" s="177"/>
      <c r="P481" s="180">
        <v>0</v>
      </c>
    </row>
    <row r="482" spans="1:16" ht="19.5" customHeight="1">
      <c r="A482" s="172" t="s">
        <v>876</v>
      </c>
      <c r="B482" s="176">
        <v>46029</v>
      </c>
      <c r="C482" s="172" t="s">
        <v>92</v>
      </c>
      <c r="D482" s="172" t="s">
        <v>97</v>
      </c>
      <c r="E482" s="172" t="s">
        <v>38</v>
      </c>
      <c r="F482" s="172" t="s">
        <v>87</v>
      </c>
      <c r="G482" s="172" t="s">
        <v>84</v>
      </c>
      <c r="H482" s="177">
        <v>1</v>
      </c>
      <c r="I482" s="178">
        <v>0</v>
      </c>
      <c r="J482" s="176">
        <v>46017</v>
      </c>
      <c r="K482" s="172" t="s">
        <v>93</v>
      </c>
      <c r="L482" s="172" t="s">
        <v>94</v>
      </c>
      <c r="M482" s="179">
        <v>0</v>
      </c>
      <c r="N482" s="177"/>
      <c r="O482" s="177"/>
      <c r="P482" s="180">
        <v>-46.77</v>
      </c>
    </row>
    <row r="483" spans="1:16" ht="19.5" customHeight="1">
      <c r="A483" s="172" t="s">
        <v>876</v>
      </c>
      <c r="B483" s="176">
        <v>46029</v>
      </c>
      <c r="C483" s="172" t="s">
        <v>81</v>
      </c>
      <c r="D483" s="172" t="s">
        <v>98</v>
      </c>
      <c r="E483" s="172" t="s">
        <v>38</v>
      </c>
      <c r="F483" s="172" t="s">
        <v>87</v>
      </c>
      <c r="G483" s="172" t="s">
        <v>84</v>
      </c>
      <c r="H483" s="177">
        <v>1</v>
      </c>
      <c r="I483" s="178">
        <v>0</v>
      </c>
      <c r="J483" s="176">
        <v>46017</v>
      </c>
      <c r="K483" s="172" t="s">
        <v>93</v>
      </c>
      <c r="L483" s="172" t="s">
        <v>94</v>
      </c>
      <c r="M483" s="179">
        <v>0</v>
      </c>
      <c r="N483" s="177"/>
      <c r="O483" s="177"/>
      <c r="P483" s="180">
        <v>-15</v>
      </c>
    </row>
    <row r="484" spans="1:16" ht="19.5" customHeight="1">
      <c r="A484" s="172" t="s">
        <v>878</v>
      </c>
      <c r="B484" s="176">
        <v>46029</v>
      </c>
      <c r="C484" s="172" t="s">
        <v>92</v>
      </c>
      <c r="D484" s="172" t="s">
        <v>24</v>
      </c>
      <c r="E484" s="172" t="s">
        <v>53</v>
      </c>
      <c r="F484" s="172" t="s">
        <v>120</v>
      </c>
      <c r="G484" s="172" t="s">
        <v>84</v>
      </c>
      <c r="H484" s="177">
        <v>1</v>
      </c>
      <c r="I484" s="178">
        <v>1845</v>
      </c>
      <c r="J484" s="176">
        <v>46024</v>
      </c>
      <c r="K484" s="172" t="s">
        <v>93</v>
      </c>
      <c r="L484" s="172" t="s">
        <v>94</v>
      </c>
      <c r="M484" s="179">
        <v>0.43</v>
      </c>
      <c r="N484" s="177"/>
      <c r="O484" s="177">
        <v>42</v>
      </c>
      <c r="P484" s="180">
        <v>-140.5</v>
      </c>
    </row>
    <row r="485" spans="1:16" ht="19.5" customHeight="1">
      <c r="A485" s="172" t="s">
        <v>878</v>
      </c>
      <c r="B485" s="176">
        <v>46029</v>
      </c>
      <c r="C485" s="172" t="s">
        <v>100</v>
      </c>
      <c r="D485" s="172" t="s">
        <v>101</v>
      </c>
      <c r="E485" s="172" t="s">
        <v>53</v>
      </c>
      <c r="F485" s="172" t="s">
        <v>120</v>
      </c>
      <c r="G485" s="172" t="s">
        <v>84</v>
      </c>
      <c r="H485" s="177">
        <v>1</v>
      </c>
      <c r="I485" s="178">
        <v>1845</v>
      </c>
      <c r="J485" s="176">
        <v>46024</v>
      </c>
      <c r="K485" s="172" t="s">
        <v>93</v>
      </c>
      <c r="L485" s="172" t="s">
        <v>94</v>
      </c>
      <c r="M485" s="179">
        <v>0</v>
      </c>
      <c r="N485" s="177"/>
      <c r="O485" s="177"/>
      <c r="P485" s="180">
        <v>642.86</v>
      </c>
    </row>
    <row r="486" spans="1:16" ht="19.5" customHeight="1">
      <c r="A486" s="172" t="s">
        <v>878</v>
      </c>
      <c r="B486" s="176">
        <v>46029</v>
      </c>
      <c r="C486" s="172" t="s">
        <v>100</v>
      </c>
      <c r="D486" s="172" t="s">
        <v>102</v>
      </c>
      <c r="E486" s="172" t="s">
        <v>53</v>
      </c>
      <c r="F486" s="172" t="s">
        <v>120</v>
      </c>
      <c r="G486" s="172" t="s">
        <v>84</v>
      </c>
      <c r="H486" s="177">
        <v>1</v>
      </c>
      <c r="I486" s="178">
        <v>1845</v>
      </c>
      <c r="J486" s="176">
        <v>46024</v>
      </c>
      <c r="K486" s="172" t="s">
        <v>93</v>
      </c>
      <c r="L486" s="172" t="s">
        <v>94</v>
      </c>
      <c r="M486" s="179">
        <v>0</v>
      </c>
      <c r="N486" s="177"/>
      <c r="O486" s="177"/>
      <c r="P486" s="180">
        <v>6.43</v>
      </c>
    </row>
    <row r="487" spans="1:16" ht="19.5" customHeight="1">
      <c r="A487" s="172" t="s">
        <v>878</v>
      </c>
      <c r="B487" s="176">
        <v>46029</v>
      </c>
      <c r="C487" s="172" t="s">
        <v>100</v>
      </c>
      <c r="D487" s="172" t="s">
        <v>103</v>
      </c>
      <c r="E487" s="172" t="s">
        <v>53</v>
      </c>
      <c r="F487" s="172" t="s">
        <v>120</v>
      </c>
      <c r="G487" s="172" t="s">
        <v>84</v>
      </c>
      <c r="H487" s="177">
        <v>1</v>
      </c>
      <c r="I487" s="178">
        <v>1845</v>
      </c>
      <c r="J487" s="176">
        <v>46024</v>
      </c>
      <c r="K487" s="172" t="s">
        <v>93</v>
      </c>
      <c r="L487" s="172" t="s">
        <v>94</v>
      </c>
      <c r="M487" s="179">
        <v>0</v>
      </c>
      <c r="N487" s="177"/>
      <c r="O487" s="177"/>
      <c r="P487" s="180">
        <v>1195.71</v>
      </c>
    </row>
    <row r="488" spans="1:16" ht="19.5" customHeight="1">
      <c r="A488" s="172" t="s">
        <v>878</v>
      </c>
      <c r="B488" s="176">
        <v>46029</v>
      </c>
      <c r="C488" s="172" t="s">
        <v>104</v>
      </c>
      <c r="D488" s="172" t="s">
        <v>105</v>
      </c>
      <c r="E488" s="172" t="s">
        <v>53</v>
      </c>
      <c r="F488" s="172" t="s">
        <v>120</v>
      </c>
      <c r="G488" s="172" t="s">
        <v>84</v>
      </c>
      <c r="H488" s="177">
        <v>1</v>
      </c>
      <c r="I488" s="178">
        <v>1845</v>
      </c>
      <c r="J488" s="176">
        <v>46024</v>
      </c>
      <c r="K488" s="172" t="s">
        <v>93</v>
      </c>
      <c r="L488" s="172" t="s">
        <v>94</v>
      </c>
      <c r="M488" s="179">
        <v>0.43</v>
      </c>
      <c r="N488" s="177"/>
      <c r="O488" s="177"/>
      <c r="P488" s="180">
        <v>-793.35</v>
      </c>
    </row>
    <row r="489" spans="1:16" ht="19.5" customHeight="1">
      <c r="A489" s="172" t="s">
        <v>878</v>
      </c>
      <c r="B489" s="176">
        <v>46029</v>
      </c>
      <c r="C489" s="172" t="s">
        <v>81</v>
      </c>
      <c r="D489" s="172" t="s">
        <v>95</v>
      </c>
      <c r="E489" s="172" t="s">
        <v>53</v>
      </c>
      <c r="F489" s="172" t="s">
        <v>120</v>
      </c>
      <c r="G489" s="172" t="s">
        <v>84</v>
      </c>
      <c r="H489" s="177">
        <v>1</v>
      </c>
      <c r="I489" s="178">
        <v>1845</v>
      </c>
      <c r="J489" s="176">
        <v>46024</v>
      </c>
      <c r="K489" s="172" t="s">
        <v>93</v>
      </c>
      <c r="L489" s="172" t="s">
        <v>94</v>
      </c>
      <c r="M489" s="179">
        <v>0.43</v>
      </c>
      <c r="N489" s="177"/>
      <c r="O489" s="177"/>
      <c r="P489" s="180">
        <v>-9.73</v>
      </c>
    </row>
    <row r="490" spans="1:16" ht="19.5" customHeight="1">
      <c r="A490" s="172" t="s">
        <v>878</v>
      </c>
      <c r="B490" s="176">
        <v>46029</v>
      </c>
      <c r="C490" s="172" t="s">
        <v>81</v>
      </c>
      <c r="D490" s="172" t="s">
        <v>82</v>
      </c>
      <c r="E490" s="172" t="s">
        <v>53</v>
      </c>
      <c r="F490" s="172" t="s">
        <v>120</v>
      </c>
      <c r="G490" s="172" t="s">
        <v>84</v>
      </c>
      <c r="H490" s="177">
        <v>1</v>
      </c>
      <c r="I490" s="178">
        <v>0</v>
      </c>
      <c r="J490" s="176">
        <v>46024</v>
      </c>
      <c r="K490" s="172" t="s">
        <v>85</v>
      </c>
      <c r="L490" s="172" t="s">
        <v>85</v>
      </c>
      <c r="M490" s="179">
        <v>0</v>
      </c>
      <c r="N490" s="177"/>
      <c r="O490" s="177"/>
      <c r="P490" s="180">
        <v>-12.21</v>
      </c>
    </row>
    <row r="491" spans="1:16" ht="19.5" customHeight="1">
      <c r="A491" s="172" t="s">
        <v>85</v>
      </c>
      <c r="B491" s="176">
        <v>46029</v>
      </c>
      <c r="C491" s="172" t="s">
        <v>109</v>
      </c>
      <c r="D491" s="172" t="s">
        <v>110</v>
      </c>
      <c r="E491" s="172" t="s">
        <v>85</v>
      </c>
      <c r="F491" s="172" t="s">
        <v>85</v>
      </c>
      <c r="G491" s="172" t="s">
        <v>879</v>
      </c>
      <c r="H491" s="177">
        <v>0</v>
      </c>
      <c r="I491" s="178">
        <v>0</v>
      </c>
      <c r="J491" s="176">
        <v>46029</v>
      </c>
      <c r="K491" s="172" t="s">
        <v>85</v>
      </c>
      <c r="L491" s="172" t="s">
        <v>85</v>
      </c>
      <c r="M491" s="179">
        <v>0</v>
      </c>
      <c r="N491" s="177"/>
      <c r="O491" s="177"/>
      <c r="P491" s="180">
        <v>-150</v>
      </c>
    </row>
    <row r="492" spans="1:16" ht="19.5" customHeight="1">
      <c r="A492" s="172" t="s">
        <v>880</v>
      </c>
      <c r="B492" s="176">
        <v>46029</v>
      </c>
      <c r="C492" s="172" t="s">
        <v>92</v>
      </c>
      <c r="D492" s="172" t="s">
        <v>24</v>
      </c>
      <c r="E492" s="172" t="s">
        <v>52</v>
      </c>
      <c r="F492" s="172" t="s">
        <v>90</v>
      </c>
      <c r="G492" s="172" t="s">
        <v>84</v>
      </c>
      <c r="H492" s="177">
        <v>1</v>
      </c>
      <c r="I492" s="178">
        <v>1621</v>
      </c>
      <c r="J492" s="176">
        <v>46025</v>
      </c>
      <c r="K492" s="172" t="s">
        <v>93</v>
      </c>
      <c r="L492" s="172" t="s">
        <v>94</v>
      </c>
      <c r="M492" s="179">
        <v>0.43</v>
      </c>
      <c r="N492" s="177"/>
      <c r="O492" s="177">
        <v>44</v>
      </c>
      <c r="P492" s="180">
        <v>-142.34</v>
      </c>
    </row>
    <row r="493" spans="1:16" ht="19.5" customHeight="1">
      <c r="A493" s="172" t="s">
        <v>880</v>
      </c>
      <c r="B493" s="176">
        <v>46029</v>
      </c>
      <c r="C493" s="172" t="s">
        <v>100</v>
      </c>
      <c r="D493" s="172" t="s">
        <v>101</v>
      </c>
      <c r="E493" s="172" t="s">
        <v>52</v>
      </c>
      <c r="F493" s="172" t="s">
        <v>90</v>
      </c>
      <c r="G493" s="172" t="s">
        <v>84</v>
      </c>
      <c r="H493" s="177">
        <v>1</v>
      </c>
      <c r="I493" s="178">
        <v>1621</v>
      </c>
      <c r="J493" s="176">
        <v>46025</v>
      </c>
      <c r="K493" s="172" t="s">
        <v>93</v>
      </c>
      <c r="L493" s="172" t="s">
        <v>94</v>
      </c>
      <c r="M493" s="179">
        <v>0</v>
      </c>
      <c r="N493" s="177"/>
      <c r="O493" s="177"/>
      <c r="P493" s="180">
        <v>556.61</v>
      </c>
    </row>
    <row r="494" spans="1:16" ht="19.5" customHeight="1">
      <c r="A494" s="172" t="s">
        <v>880</v>
      </c>
      <c r="B494" s="176">
        <v>46029</v>
      </c>
      <c r="C494" s="172" t="s">
        <v>100</v>
      </c>
      <c r="D494" s="172" t="s">
        <v>102</v>
      </c>
      <c r="E494" s="172" t="s">
        <v>52</v>
      </c>
      <c r="F494" s="172" t="s">
        <v>90</v>
      </c>
      <c r="G494" s="172" t="s">
        <v>84</v>
      </c>
      <c r="H494" s="177">
        <v>1</v>
      </c>
      <c r="I494" s="178">
        <v>1621</v>
      </c>
      <c r="J494" s="176">
        <v>46025</v>
      </c>
      <c r="K494" s="172" t="s">
        <v>93</v>
      </c>
      <c r="L494" s="172" t="s">
        <v>94</v>
      </c>
      <c r="M494" s="179">
        <v>0</v>
      </c>
      <c r="N494" s="177"/>
      <c r="O494" s="177"/>
      <c r="P494" s="180">
        <v>5.57</v>
      </c>
    </row>
    <row r="495" spans="1:16" ht="19.5" customHeight="1">
      <c r="A495" s="172" t="s">
        <v>880</v>
      </c>
      <c r="B495" s="176">
        <v>46029</v>
      </c>
      <c r="C495" s="172" t="s">
        <v>100</v>
      </c>
      <c r="D495" s="172" t="s">
        <v>103</v>
      </c>
      <c r="E495" s="172" t="s">
        <v>52</v>
      </c>
      <c r="F495" s="172" t="s">
        <v>90</v>
      </c>
      <c r="G495" s="172" t="s">
        <v>84</v>
      </c>
      <c r="H495" s="177">
        <v>1</v>
      </c>
      <c r="I495" s="178">
        <v>1621</v>
      </c>
      <c r="J495" s="176">
        <v>46025</v>
      </c>
      <c r="K495" s="172" t="s">
        <v>93</v>
      </c>
      <c r="L495" s="172" t="s">
        <v>94</v>
      </c>
      <c r="M495" s="179">
        <v>0</v>
      </c>
      <c r="N495" s="177"/>
      <c r="O495" s="177"/>
      <c r="P495" s="180">
        <v>1058.82</v>
      </c>
    </row>
    <row r="496" spans="1:16" ht="19.5" customHeight="1">
      <c r="A496" s="172" t="s">
        <v>880</v>
      </c>
      <c r="B496" s="176">
        <v>46029</v>
      </c>
      <c r="C496" s="172" t="s">
        <v>104</v>
      </c>
      <c r="D496" s="172" t="s">
        <v>105</v>
      </c>
      <c r="E496" s="172" t="s">
        <v>52</v>
      </c>
      <c r="F496" s="172" t="s">
        <v>90</v>
      </c>
      <c r="G496" s="172" t="s">
        <v>84</v>
      </c>
      <c r="H496" s="177">
        <v>1</v>
      </c>
      <c r="I496" s="178">
        <v>1621</v>
      </c>
      <c r="J496" s="176">
        <v>46025</v>
      </c>
      <c r="K496" s="172" t="s">
        <v>93</v>
      </c>
      <c r="L496" s="172" t="s">
        <v>94</v>
      </c>
      <c r="M496" s="179">
        <v>0.43</v>
      </c>
      <c r="N496" s="177"/>
      <c r="O496" s="177"/>
      <c r="P496" s="180">
        <v>-697.03</v>
      </c>
    </row>
    <row r="497" spans="1:16" ht="19.5" customHeight="1">
      <c r="A497" s="172" t="s">
        <v>880</v>
      </c>
      <c r="B497" s="176">
        <v>46029</v>
      </c>
      <c r="C497" s="172" t="s">
        <v>81</v>
      </c>
      <c r="D497" s="172" t="s">
        <v>95</v>
      </c>
      <c r="E497" s="172" t="s">
        <v>52</v>
      </c>
      <c r="F497" s="172" t="s">
        <v>90</v>
      </c>
      <c r="G497" s="172" t="s">
        <v>84</v>
      </c>
      <c r="H497" s="177">
        <v>1</v>
      </c>
      <c r="I497" s="178">
        <v>1621</v>
      </c>
      <c r="J497" s="176">
        <v>46025</v>
      </c>
      <c r="K497" s="172" t="s">
        <v>93</v>
      </c>
      <c r="L497" s="172" t="s">
        <v>94</v>
      </c>
      <c r="M497" s="179">
        <v>0.43</v>
      </c>
      <c r="N497" s="177"/>
      <c r="O497" s="177"/>
      <c r="P497" s="180">
        <v>-10.97</v>
      </c>
    </row>
    <row r="498" spans="1:16" ht="19.5" customHeight="1">
      <c r="A498" s="172" t="s">
        <v>881</v>
      </c>
      <c r="B498" s="176">
        <v>46029</v>
      </c>
      <c r="C498" s="172" t="s">
        <v>92</v>
      </c>
      <c r="D498" s="172" t="s">
        <v>24</v>
      </c>
      <c r="E498" s="172" t="s">
        <v>52</v>
      </c>
      <c r="F498" s="172" t="s">
        <v>90</v>
      </c>
      <c r="G498" s="172" t="s">
        <v>84</v>
      </c>
      <c r="H498" s="177">
        <v>1</v>
      </c>
      <c r="I498" s="178">
        <v>1621</v>
      </c>
      <c r="J498" s="176">
        <v>46025</v>
      </c>
      <c r="K498" s="172" t="s">
        <v>93</v>
      </c>
      <c r="L498" s="172" t="s">
        <v>94</v>
      </c>
      <c r="M498" s="179">
        <v>0.43</v>
      </c>
      <c r="N498" s="177"/>
      <c r="O498" s="177">
        <v>44</v>
      </c>
      <c r="P498" s="180">
        <v>-142.34</v>
      </c>
    </row>
    <row r="499" spans="1:16" ht="19.5" customHeight="1">
      <c r="A499" s="172" t="s">
        <v>881</v>
      </c>
      <c r="B499" s="176">
        <v>46029</v>
      </c>
      <c r="C499" s="172" t="s">
        <v>100</v>
      </c>
      <c r="D499" s="172" t="s">
        <v>101</v>
      </c>
      <c r="E499" s="172" t="s">
        <v>52</v>
      </c>
      <c r="F499" s="172" t="s">
        <v>90</v>
      </c>
      <c r="G499" s="172" t="s">
        <v>84</v>
      </c>
      <c r="H499" s="177">
        <v>1</v>
      </c>
      <c r="I499" s="178">
        <v>1621</v>
      </c>
      <c r="J499" s="176">
        <v>46025</v>
      </c>
      <c r="K499" s="172" t="s">
        <v>93</v>
      </c>
      <c r="L499" s="172" t="s">
        <v>94</v>
      </c>
      <c r="M499" s="179">
        <v>0</v>
      </c>
      <c r="N499" s="177"/>
      <c r="O499" s="177"/>
      <c r="P499" s="180">
        <v>556.61</v>
      </c>
    </row>
    <row r="500" spans="1:16" ht="19.5" customHeight="1">
      <c r="A500" s="172" t="s">
        <v>881</v>
      </c>
      <c r="B500" s="176">
        <v>46029</v>
      </c>
      <c r="C500" s="172" t="s">
        <v>100</v>
      </c>
      <c r="D500" s="172" t="s">
        <v>102</v>
      </c>
      <c r="E500" s="172" t="s">
        <v>52</v>
      </c>
      <c r="F500" s="172" t="s">
        <v>90</v>
      </c>
      <c r="G500" s="172" t="s">
        <v>84</v>
      </c>
      <c r="H500" s="177">
        <v>1</v>
      </c>
      <c r="I500" s="178">
        <v>1621</v>
      </c>
      <c r="J500" s="176">
        <v>46025</v>
      </c>
      <c r="K500" s="172" t="s">
        <v>93</v>
      </c>
      <c r="L500" s="172" t="s">
        <v>94</v>
      </c>
      <c r="M500" s="179">
        <v>0</v>
      </c>
      <c r="N500" s="177"/>
      <c r="O500" s="177"/>
      <c r="P500" s="180">
        <v>5.57</v>
      </c>
    </row>
    <row r="501" spans="1:16" ht="19.5" customHeight="1">
      <c r="A501" s="172" t="s">
        <v>881</v>
      </c>
      <c r="B501" s="176">
        <v>46029</v>
      </c>
      <c r="C501" s="172" t="s">
        <v>100</v>
      </c>
      <c r="D501" s="172" t="s">
        <v>103</v>
      </c>
      <c r="E501" s="172" t="s">
        <v>52</v>
      </c>
      <c r="F501" s="172" t="s">
        <v>90</v>
      </c>
      <c r="G501" s="172" t="s">
        <v>84</v>
      </c>
      <c r="H501" s="177">
        <v>1</v>
      </c>
      <c r="I501" s="178">
        <v>1621</v>
      </c>
      <c r="J501" s="176">
        <v>46025</v>
      </c>
      <c r="K501" s="172" t="s">
        <v>93</v>
      </c>
      <c r="L501" s="172" t="s">
        <v>94</v>
      </c>
      <c r="M501" s="179">
        <v>0</v>
      </c>
      <c r="N501" s="177"/>
      <c r="O501" s="177"/>
      <c r="P501" s="180">
        <v>1058.82</v>
      </c>
    </row>
    <row r="502" spans="1:16" ht="19.5" customHeight="1">
      <c r="A502" s="172" t="s">
        <v>881</v>
      </c>
      <c r="B502" s="176">
        <v>46029</v>
      </c>
      <c r="C502" s="172" t="s">
        <v>104</v>
      </c>
      <c r="D502" s="172" t="s">
        <v>105</v>
      </c>
      <c r="E502" s="172" t="s">
        <v>52</v>
      </c>
      <c r="F502" s="172" t="s">
        <v>90</v>
      </c>
      <c r="G502" s="172" t="s">
        <v>84</v>
      </c>
      <c r="H502" s="177">
        <v>1</v>
      </c>
      <c r="I502" s="178">
        <v>1621</v>
      </c>
      <c r="J502" s="176">
        <v>46025</v>
      </c>
      <c r="K502" s="172" t="s">
        <v>93</v>
      </c>
      <c r="L502" s="172" t="s">
        <v>94</v>
      </c>
      <c r="M502" s="179">
        <v>0.43</v>
      </c>
      <c r="N502" s="177"/>
      <c r="O502" s="177"/>
      <c r="P502" s="180">
        <v>-697.03</v>
      </c>
    </row>
    <row r="503" spans="1:16" ht="19.5" customHeight="1">
      <c r="A503" s="172" t="s">
        <v>881</v>
      </c>
      <c r="B503" s="176">
        <v>46029</v>
      </c>
      <c r="C503" s="172" t="s">
        <v>81</v>
      </c>
      <c r="D503" s="172" t="s">
        <v>95</v>
      </c>
      <c r="E503" s="172" t="s">
        <v>52</v>
      </c>
      <c r="F503" s="172" t="s">
        <v>90</v>
      </c>
      <c r="G503" s="172" t="s">
        <v>84</v>
      </c>
      <c r="H503" s="177">
        <v>1</v>
      </c>
      <c r="I503" s="178">
        <v>1621</v>
      </c>
      <c r="J503" s="176">
        <v>46025</v>
      </c>
      <c r="K503" s="172" t="s">
        <v>93</v>
      </c>
      <c r="L503" s="172" t="s">
        <v>94</v>
      </c>
      <c r="M503" s="179">
        <v>0.43</v>
      </c>
      <c r="N503" s="177"/>
      <c r="O503" s="177"/>
      <c r="P503" s="180">
        <v>-10.97</v>
      </c>
    </row>
    <row r="504" spans="1:16" ht="19.5" customHeight="1">
      <c r="A504" s="172" t="s">
        <v>882</v>
      </c>
      <c r="B504" s="176">
        <v>46029</v>
      </c>
      <c r="C504" s="172" t="s">
        <v>92</v>
      </c>
      <c r="D504" s="172" t="s">
        <v>24</v>
      </c>
      <c r="E504" s="172" t="s">
        <v>42</v>
      </c>
      <c r="F504" s="172" t="s">
        <v>89</v>
      </c>
      <c r="G504" s="172" t="s">
        <v>84</v>
      </c>
      <c r="H504" s="177">
        <v>1</v>
      </c>
      <c r="I504" s="178">
        <v>1600</v>
      </c>
      <c r="J504" s="176">
        <v>46028</v>
      </c>
      <c r="K504" s="172" t="s">
        <v>93</v>
      </c>
      <c r="L504" s="172" t="s">
        <v>94</v>
      </c>
      <c r="M504" s="179">
        <v>0.43</v>
      </c>
      <c r="N504" s="177"/>
      <c r="O504" s="177">
        <v>44</v>
      </c>
      <c r="P504" s="180">
        <v>-126.64</v>
      </c>
    </row>
    <row r="505" spans="1:16" ht="19.5" customHeight="1">
      <c r="A505" s="172" t="s">
        <v>882</v>
      </c>
      <c r="B505" s="176">
        <v>46029</v>
      </c>
      <c r="C505" s="172" t="s">
        <v>100</v>
      </c>
      <c r="D505" s="172" t="s">
        <v>101</v>
      </c>
      <c r="E505" s="172" t="s">
        <v>42</v>
      </c>
      <c r="F505" s="172" t="s">
        <v>89</v>
      </c>
      <c r="G505" s="172" t="s">
        <v>84</v>
      </c>
      <c r="H505" s="177">
        <v>1</v>
      </c>
      <c r="I505" s="178">
        <v>1600</v>
      </c>
      <c r="J505" s="176">
        <v>46028</v>
      </c>
      <c r="K505" s="172" t="s">
        <v>93</v>
      </c>
      <c r="L505" s="172" t="s">
        <v>94</v>
      </c>
      <c r="M505" s="179">
        <v>0</v>
      </c>
      <c r="N505" s="177"/>
      <c r="O505" s="177"/>
      <c r="P505" s="180">
        <v>831.75</v>
      </c>
    </row>
    <row r="506" spans="1:16" ht="19.5" customHeight="1">
      <c r="A506" s="172" t="s">
        <v>882</v>
      </c>
      <c r="B506" s="176">
        <v>46029</v>
      </c>
      <c r="C506" s="172" t="s">
        <v>100</v>
      </c>
      <c r="D506" s="172" t="s">
        <v>102</v>
      </c>
      <c r="E506" s="172" t="s">
        <v>42</v>
      </c>
      <c r="F506" s="172" t="s">
        <v>89</v>
      </c>
      <c r="G506" s="172" t="s">
        <v>84</v>
      </c>
      <c r="H506" s="177">
        <v>1</v>
      </c>
      <c r="I506" s="178">
        <v>1600</v>
      </c>
      <c r="J506" s="176">
        <v>46028</v>
      </c>
      <c r="K506" s="172" t="s">
        <v>93</v>
      </c>
      <c r="L506" s="172" t="s">
        <v>94</v>
      </c>
      <c r="M506" s="179">
        <v>0</v>
      </c>
      <c r="N506" s="177"/>
      <c r="O506" s="177"/>
      <c r="P506" s="180">
        <v>8.32</v>
      </c>
    </row>
    <row r="507" spans="1:16" ht="19.5" customHeight="1">
      <c r="A507" s="172" t="s">
        <v>882</v>
      </c>
      <c r="B507" s="176">
        <v>46029</v>
      </c>
      <c r="C507" s="172" t="s">
        <v>100</v>
      </c>
      <c r="D507" s="172" t="s">
        <v>103</v>
      </c>
      <c r="E507" s="172" t="s">
        <v>42</v>
      </c>
      <c r="F507" s="172" t="s">
        <v>89</v>
      </c>
      <c r="G507" s="172" t="s">
        <v>84</v>
      </c>
      <c r="H507" s="177">
        <v>1</v>
      </c>
      <c r="I507" s="178">
        <v>1600</v>
      </c>
      <c r="J507" s="176">
        <v>46028</v>
      </c>
      <c r="K507" s="172" t="s">
        <v>93</v>
      </c>
      <c r="L507" s="172" t="s">
        <v>94</v>
      </c>
      <c r="M507" s="179">
        <v>0</v>
      </c>
      <c r="N507" s="177"/>
      <c r="O507" s="177"/>
      <c r="P507" s="180">
        <v>759.93</v>
      </c>
    </row>
    <row r="508" spans="1:16" ht="19.5" customHeight="1">
      <c r="A508" s="172" t="s">
        <v>882</v>
      </c>
      <c r="B508" s="176">
        <v>46029</v>
      </c>
      <c r="C508" s="172" t="s">
        <v>104</v>
      </c>
      <c r="D508" s="172" t="s">
        <v>105</v>
      </c>
      <c r="E508" s="172" t="s">
        <v>42</v>
      </c>
      <c r="F508" s="172" t="s">
        <v>89</v>
      </c>
      <c r="G508" s="172" t="s">
        <v>84</v>
      </c>
      <c r="H508" s="177">
        <v>1</v>
      </c>
      <c r="I508" s="178">
        <v>1600</v>
      </c>
      <c r="J508" s="176">
        <v>46028</v>
      </c>
      <c r="K508" s="172" t="s">
        <v>93</v>
      </c>
      <c r="L508" s="172" t="s">
        <v>94</v>
      </c>
      <c r="M508" s="179">
        <v>0.43</v>
      </c>
      <c r="N508" s="177"/>
      <c r="O508" s="177"/>
      <c r="P508" s="180">
        <v>-688</v>
      </c>
    </row>
    <row r="509" spans="1:16" ht="19.5" customHeight="1">
      <c r="A509" s="172" t="s">
        <v>882</v>
      </c>
      <c r="B509" s="176">
        <v>46029</v>
      </c>
      <c r="C509" s="172" t="s">
        <v>81</v>
      </c>
      <c r="D509" s="172" t="s">
        <v>95</v>
      </c>
      <c r="E509" s="172" t="s">
        <v>42</v>
      </c>
      <c r="F509" s="172" t="s">
        <v>89</v>
      </c>
      <c r="G509" s="172" t="s">
        <v>84</v>
      </c>
      <c r="H509" s="177">
        <v>1</v>
      </c>
      <c r="I509" s="178">
        <v>1600</v>
      </c>
      <c r="J509" s="176">
        <v>46028</v>
      </c>
      <c r="K509" s="172" t="s">
        <v>93</v>
      </c>
      <c r="L509" s="172" t="s">
        <v>94</v>
      </c>
      <c r="M509" s="179">
        <v>0.43</v>
      </c>
      <c r="N509" s="177"/>
      <c r="O509" s="177"/>
      <c r="P509" s="180">
        <v>-25</v>
      </c>
    </row>
    <row r="510" spans="1:16" ht="19.5" customHeight="1">
      <c r="A510" s="172" t="s">
        <v>883</v>
      </c>
      <c r="B510" s="176">
        <v>46029</v>
      </c>
      <c r="C510" s="172" t="s">
        <v>92</v>
      </c>
      <c r="D510" s="172" t="s">
        <v>96</v>
      </c>
      <c r="E510" s="172" t="s">
        <v>38</v>
      </c>
      <c r="F510" s="172" t="s">
        <v>87</v>
      </c>
      <c r="G510" s="172" t="s">
        <v>84</v>
      </c>
      <c r="H510" s="177">
        <v>1</v>
      </c>
      <c r="I510" s="178">
        <v>0</v>
      </c>
      <c r="J510" s="176">
        <v>46019</v>
      </c>
      <c r="K510" s="172" t="s">
        <v>93</v>
      </c>
      <c r="L510" s="172" t="s">
        <v>94</v>
      </c>
      <c r="M510" s="179">
        <v>0</v>
      </c>
      <c r="N510" s="177"/>
      <c r="O510" s="177"/>
      <c r="P510" s="180">
        <v>0</v>
      </c>
    </row>
    <row r="511" spans="1:16" ht="19.5" customHeight="1">
      <c r="A511" s="172" t="s">
        <v>883</v>
      </c>
      <c r="B511" s="176">
        <v>46029</v>
      </c>
      <c r="C511" s="172" t="s">
        <v>92</v>
      </c>
      <c r="D511" s="172" t="s">
        <v>97</v>
      </c>
      <c r="E511" s="172" t="s">
        <v>38</v>
      </c>
      <c r="F511" s="172" t="s">
        <v>87</v>
      </c>
      <c r="G511" s="172" t="s">
        <v>84</v>
      </c>
      <c r="H511" s="177">
        <v>1</v>
      </c>
      <c r="I511" s="178">
        <v>0</v>
      </c>
      <c r="J511" s="176">
        <v>46019</v>
      </c>
      <c r="K511" s="172" t="s">
        <v>93</v>
      </c>
      <c r="L511" s="172" t="s">
        <v>94</v>
      </c>
      <c r="M511" s="179">
        <v>0</v>
      </c>
      <c r="N511" s="177"/>
      <c r="O511" s="177"/>
      <c r="P511" s="180">
        <v>-46.77</v>
      </c>
    </row>
    <row r="512" spans="1:16" ht="19.5" customHeight="1">
      <c r="A512" s="172" t="s">
        <v>883</v>
      </c>
      <c r="B512" s="176">
        <v>46029</v>
      </c>
      <c r="C512" s="172" t="s">
        <v>81</v>
      </c>
      <c r="D512" s="172" t="s">
        <v>98</v>
      </c>
      <c r="E512" s="172" t="s">
        <v>38</v>
      </c>
      <c r="F512" s="172" t="s">
        <v>87</v>
      </c>
      <c r="G512" s="172" t="s">
        <v>84</v>
      </c>
      <c r="H512" s="177">
        <v>1</v>
      </c>
      <c r="I512" s="178">
        <v>0</v>
      </c>
      <c r="J512" s="176">
        <v>46019</v>
      </c>
      <c r="K512" s="172" t="s">
        <v>93</v>
      </c>
      <c r="L512" s="172" t="s">
        <v>94</v>
      </c>
      <c r="M512" s="179">
        <v>0</v>
      </c>
      <c r="N512" s="177"/>
      <c r="O512" s="177"/>
      <c r="P512" s="180">
        <v>-15</v>
      </c>
    </row>
    <row r="513" spans="1:16" ht="19.5" customHeight="1">
      <c r="A513" s="172" t="s">
        <v>883</v>
      </c>
      <c r="B513" s="176">
        <v>46029</v>
      </c>
      <c r="C513" s="172" t="s">
        <v>92</v>
      </c>
      <c r="D513" s="172" t="s">
        <v>24</v>
      </c>
      <c r="E513" s="172" t="s">
        <v>38</v>
      </c>
      <c r="F513" s="172" t="s">
        <v>87</v>
      </c>
      <c r="G513" s="172" t="s">
        <v>84</v>
      </c>
      <c r="H513" s="177">
        <v>1</v>
      </c>
      <c r="I513" s="178">
        <v>0</v>
      </c>
      <c r="J513" s="176">
        <v>46019</v>
      </c>
      <c r="K513" s="172" t="s">
        <v>93</v>
      </c>
      <c r="L513" s="172" t="s">
        <v>94</v>
      </c>
      <c r="M513" s="179">
        <v>0</v>
      </c>
      <c r="N513" s="177"/>
      <c r="O513" s="177">
        <v>41</v>
      </c>
      <c r="P513" s="180">
        <v>-46.77</v>
      </c>
    </row>
    <row r="514" spans="1:16" ht="19.5" customHeight="1">
      <c r="A514" s="172" t="s">
        <v>883</v>
      </c>
      <c r="B514" s="176">
        <v>46029</v>
      </c>
      <c r="C514" s="172" t="s">
        <v>81</v>
      </c>
      <c r="D514" s="172" t="s">
        <v>95</v>
      </c>
      <c r="E514" s="172" t="s">
        <v>38</v>
      </c>
      <c r="F514" s="172" t="s">
        <v>87</v>
      </c>
      <c r="G514" s="172" t="s">
        <v>84</v>
      </c>
      <c r="H514" s="177">
        <v>1</v>
      </c>
      <c r="I514" s="178">
        <v>0</v>
      </c>
      <c r="J514" s="176">
        <v>46019</v>
      </c>
      <c r="K514" s="172" t="s">
        <v>93</v>
      </c>
      <c r="L514" s="172" t="s">
        <v>94</v>
      </c>
      <c r="M514" s="179">
        <v>0</v>
      </c>
      <c r="N514" s="177"/>
      <c r="O514" s="177"/>
      <c r="P514" s="180">
        <v>-7.18</v>
      </c>
    </row>
    <row r="515" spans="1:16" ht="19.5" customHeight="1">
      <c r="A515" s="172" t="s">
        <v>884</v>
      </c>
      <c r="B515" s="176">
        <v>46029</v>
      </c>
      <c r="C515" s="172" t="s">
        <v>92</v>
      </c>
      <c r="D515" s="172" t="s">
        <v>24</v>
      </c>
      <c r="E515" s="172" t="s">
        <v>53</v>
      </c>
      <c r="F515" s="172" t="s">
        <v>120</v>
      </c>
      <c r="G515" s="172" t="s">
        <v>84</v>
      </c>
      <c r="H515" s="177">
        <v>1</v>
      </c>
      <c r="I515" s="178">
        <v>0</v>
      </c>
      <c r="J515" s="176">
        <v>46019</v>
      </c>
      <c r="K515" s="172" t="s">
        <v>93</v>
      </c>
      <c r="L515" s="172" t="s">
        <v>94</v>
      </c>
      <c r="M515" s="179">
        <v>0</v>
      </c>
      <c r="N515" s="177"/>
      <c r="O515" s="177">
        <v>41</v>
      </c>
      <c r="P515" s="180">
        <v>-56</v>
      </c>
    </row>
    <row r="516" spans="1:16" ht="19.5" customHeight="1">
      <c r="A516" s="172" t="s">
        <v>884</v>
      </c>
      <c r="B516" s="176">
        <v>46029</v>
      </c>
      <c r="C516" s="172" t="s">
        <v>81</v>
      </c>
      <c r="D516" s="172" t="s">
        <v>95</v>
      </c>
      <c r="E516" s="172" t="s">
        <v>53</v>
      </c>
      <c r="F516" s="172" t="s">
        <v>120</v>
      </c>
      <c r="G516" s="172" t="s">
        <v>84</v>
      </c>
      <c r="H516" s="177">
        <v>1</v>
      </c>
      <c r="I516" s="178">
        <v>0</v>
      </c>
      <c r="J516" s="176">
        <v>46019</v>
      </c>
      <c r="K516" s="172" t="s">
        <v>93</v>
      </c>
      <c r="L516" s="172" t="s">
        <v>94</v>
      </c>
      <c r="M516" s="179">
        <v>0</v>
      </c>
      <c r="N516" s="177"/>
      <c r="O516" s="177"/>
      <c r="P516" s="180">
        <v>-8.0299999999999994</v>
      </c>
    </row>
    <row r="517" spans="1:16" ht="19.5" customHeight="1">
      <c r="A517" s="172" t="s">
        <v>884</v>
      </c>
      <c r="B517" s="176">
        <v>46029</v>
      </c>
      <c r="C517" s="172" t="s">
        <v>92</v>
      </c>
      <c r="D517" s="172" t="s">
        <v>96</v>
      </c>
      <c r="E517" s="172" t="s">
        <v>53</v>
      </c>
      <c r="F517" s="172" t="s">
        <v>120</v>
      </c>
      <c r="G517" s="172" t="s">
        <v>84</v>
      </c>
      <c r="H517" s="177">
        <v>1</v>
      </c>
      <c r="I517" s="178">
        <v>0</v>
      </c>
      <c r="J517" s="176">
        <v>46019</v>
      </c>
      <c r="K517" s="172" t="s">
        <v>93</v>
      </c>
      <c r="L517" s="172" t="s">
        <v>94</v>
      </c>
      <c r="M517" s="179">
        <v>0</v>
      </c>
      <c r="N517" s="177"/>
      <c r="O517" s="177"/>
      <c r="P517" s="180">
        <v>0</v>
      </c>
    </row>
    <row r="518" spans="1:16" ht="19.5" customHeight="1">
      <c r="A518" s="172" t="s">
        <v>884</v>
      </c>
      <c r="B518" s="176">
        <v>46029</v>
      </c>
      <c r="C518" s="172" t="s">
        <v>92</v>
      </c>
      <c r="D518" s="172" t="s">
        <v>97</v>
      </c>
      <c r="E518" s="172" t="s">
        <v>53</v>
      </c>
      <c r="F518" s="172" t="s">
        <v>120</v>
      </c>
      <c r="G518" s="172" t="s">
        <v>84</v>
      </c>
      <c r="H518" s="177">
        <v>1</v>
      </c>
      <c r="I518" s="178">
        <v>0</v>
      </c>
      <c r="J518" s="176">
        <v>46019</v>
      </c>
      <c r="K518" s="172" t="s">
        <v>93</v>
      </c>
      <c r="L518" s="172" t="s">
        <v>94</v>
      </c>
      <c r="M518" s="179">
        <v>0</v>
      </c>
      <c r="N518" s="177"/>
      <c r="O518" s="177"/>
      <c r="P518" s="180">
        <v>-56</v>
      </c>
    </row>
    <row r="519" spans="1:16" ht="19.5" customHeight="1">
      <c r="A519" s="172" t="s">
        <v>884</v>
      </c>
      <c r="B519" s="176">
        <v>46029</v>
      </c>
      <c r="C519" s="172" t="s">
        <v>81</v>
      </c>
      <c r="D519" s="172" t="s">
        <v>98</v>
      </c>
      <c r="E519" s="172" t="s">
        <v>53</v>
      </c>
      <c r="F519" s="172" t="s">
        <v>120</v>
      </c>
      <c r="G519" s="172" t="s">
        <v>84</v>
      </c>
      <c r="H519" s="177">
        <v>1</v>
      </c>
      <c r="I519" s="178">
        <v>0</v>
      </c>
      <c r="J519" s="176">
        <v>46019</v>
      </c>
      <c r="K519" s="172" t="s">
        <v>93</v>
      </c>
      <c r="L519" s="172" t="s">
        <v>94</v>
      </c>
      <c r="M519" s="179">
        <v>0</v>
      </c>
      <c r="N519" s="177"/>
      <c r="O519" s="177"/>
      <c r="P519" s="180">
        <v>-15</v>
      </c>
    </row>
    <row r="520" spans="1:16" ht="19.5" customHeight="1">
      <c r="A520" s="172" t="s">
        <v>435</v>
      </c>
      <c r="B520" s="176">
        <v>46029</v>
      </c>
      <c r="C520" s="172" t="s">
        <v>92</v>
      </c>
      <c r="D520" s="172" t="s">
        <v>24</v>
      </c>
      <c r="E520" s="172" t="s">
        <v>52</v>
      </c>
      <c r="F520" s="172" t="s">
        <v>90</v>
      </c>
      <c r="G520" s="172" t="s">
        <v>84</v>
      </c>
      <c r="H520" s="177">
        <v>1</v>
      </c>
      <c r="I520" s="178">
        <v>1621</v>
      </c>
      <c r="J520" s="176">
        <v>46027</v>
      </c>
      <c r="K520" s="172" t="s">
        <v>93</v>
      </c>
      <c r="L520" s="172" t="s">
        <v>94</v>
      </c>
      <c r="M520" s="179">
        <v>0.43</v>
      </c>
      <c r="N520" s="177"/>
      <c r="O520" s="177">
        <v>45</v>
      </c>
      <c r="P520" s="180">
        <v>-146.44999999999999</v>
      </c>
    </row>
    <row r="521" spans="1:16" ht="19.5" customHeight="1">
      <c r="A521" s="172" t="s">
        <v>435</v>
      </c>
      <c r="B521" s="176">
        <v>46029</v>
      </c>
      <c r="C521" s="172" t="s">
        <v>100</v>
      </c>
      <c r="D521" s="172" t="s">
        <v>101</v>
      </c>
      <c r="E521" s="172" t="s">
        <v>52</v>
      </c>
      <c r="F521" s="172" t="s">
        <v>90</v>
      </c>
      <c r="G521" s="172" t="s">
        <v>84</v>
      </c>
      <c r="H521" s="177">
        <v>1</v>
      </c>
      <c r="I521" s="178">
        <v>1621</v>
      </c>
      <c r="J521" s="176">
        <v>46027</v>
      </c>
      <c r="K521" s="172" t="s">
        <v>93</v>
      </c>
      <c r="L521" s="172" t="s">
        <v>94</v>
      </c>
      <c r="M521" s="179">
        <v>0</v>
      </c>
      <c r="N521" s="177"/>
      <c r="O521" s="177"/>
      <c r="P521" s="180">
        <v>557.14</v>
      </c>
    </row>
    <row r="522" spans="1:16" ht="19.5" customHeight="1">
      <c r="A522" s="172" t="s">
        <v>435</v>
      </c>
      <c r="B522" s="176">
        <v>46029</v>
      </c>
      <c r="C522" s="172" t="s">
        <v>100</v>
      </c>
      <c r="D522" s="172" t="s">
        <v>102</v>
      </c>
      <c r="E522" s="172" t="s">
        <v>52</v>
      </c>
      <c r="F522" s="172" t="s">
        <v>90</v>
      </c>
      <c r="G522" s="172" t="s">
        <v>84</v>
      </c>
      <c r="H522" s="177">
        <v>1</v>
      </c>
      <c r="I522" s="178">
        <v>1621</v>
      </c>
      <c r="J522" s="176">
        <v>46027</v>
      </c>
      <c r="K522" s="172" t="s">
        <v>93</v>
      </c>
      <c r="L522" s="172" t="s">
        <v>94</v>
      </c>
      <c r="M522" s="179">
        <v>0</v>
      </c>
      <c r="N522" s="177"/>
      <c r="O522" s="177"/>
      <c r="P522" s="180">
        <v>5.57</v>
      </c>
    </row>
    <row r="523" spans="1:16" ht="19.5" customHeight="1">
      <c r="A523" s="172" t="s">
        <v>435</v>
      </c>
      <c r="B523" s="176">
        <v>46029</v>
      </c>
      <c r="C523" s="172" t="s">
        <v>100</v>
      </c>
      <c r="D523" s="172" t="s">
        <v>103</v>
      </c>
      <c r="E523" s="172" t="s">
        <v>52</v>
      </c>
      <c r="F523" s="172" t="s">
        <v>90</v>
      </c>
      <c r="G523" s="172" t="s">
        <v>84</v>
      </c>
      <c r="H523" s="177">
        <v>1</v>
      </c>
      <c r="I523" s="178">
        <v>1621</v>
      </c>
      <c r="J523" s="176">
        <v>46027</v>
      </c>
      <c r="K523" s="172" t="s">
        <v>93</v>
      </c>
      <c r="L523" s="172" t="s">
        <v>94</v>
      </c>
      <c r="M523" s="179">
        <v>0</v>
      </c>
      <c r="N523" s="177"/>
      <c r="O523" s="177"/>
      <c r="P523" s="180">
        <v>1058.29</v>
      </c>
    </row>
    <row r="524" spans="1:16" ht="19.5" customHeight="1">
      <c r="A524" s="172" t="s">
        <v>435</v>
      </c>
      <c r="B524" s="176">
        <v>46029</v>
      </c>
      <c r="C524" s="172" t="s">
        <v>104</v>
      </c>
      <c r="D524" s="172" t="s">
        <v>105</v>
      </c>
      <c r="E524" s="172" t="s">
        <v>52</v>
      </c>
      <c r="F524" s="172" t="s">
        <v>90</v>
      </c>
      <c r="G524" s="172" t="s">
        <v>84</v>
      </c>
      <c r="H524" s="177">
        <v>1</v>
      </c>
      <c r="I524" s="178">
        <v>1621</v>
      </c>
      <c r="J524" s="176">
        <v>46027</v>
      </c>
      <c r="K524" s="172" t="s">
        <v>93</v>
      </c>
      <c r="L524" s="172" t="s">
        <v>94</v>
      </c>
      <c r="M524" s="179">
        <v>0.43</v>
      </c>
      <c r="N524" s="177"/>
      <c r="O524" s="177"/>
      <c r="P524" s="180">
        <v>-697.03</v>
      </c>
    </row>
    <row r="525" spans="1:16" ht="19.5" customHeight="1">
      <c r="A525" s="172" t="s">
        <v>435</v>
      </c>
      <c r="B525" s="176">
        <v>46029</v>
      </c>
      <c r="C525" s="172" t="s">
        <v>81</v>
      </c>
      <c r="D525" s="172" t="s">
        <v>95</v>
      </c>
      <c r="E525" s="172" t="s">
        <v>52</v>
      </c>
      <c r="F525" s="172" t="s">
        <v>90</v>
      </c>
      <c r="G525" s="172" t="s">
        <v>84</v>
      </c>
      <c r="H525" s="177">
        <v>1</v>
      </c>
      <c r="I525" s="178">
        <v>1621</v>
      </c>
      <c r="J525" s="176">
        <v>46027</v>
      </c>
      <c r="K525" s="172" t="s">
        <v>93</v>
      </c>
      <c r="L525" s="172" t="s">
        <v>94</v>
      </c>
      <c r="M525" s="179">
        <v>0.43</v>
      </c>
      <c r="N525" s="177"/>
      <c r="O525" s="177"/>
      <c r="P525" s="180">
        <v>-8.5399999999999991</v>
      </c>
    </row>
    <row r="526" spans="1:16" ht="19.5" customHeight="1">
      <c r="A526" s="172" t="s">
        <v>885</v>
      </c>
      <c r="B526" s="176">
        <v>46029</v>
      </c>
      <c r="C526" s="172" t="s">
        <v>92</v>
      </c>
      <c r="D526" s="172" t="s">
        <v>24</v>
      </c>
      <c r="E526" s="172" t="s">
        <v>41</v>
      </c>
      <c r="F526" s="172" t="s">
        <v>83</v>
      </c>
      <c r="G526" s="172" t="s">
        <v>84</v>
      </c>
      <c r="H526" s="177">
        <v>1</v>
      </c>
      <c r="I526" s="178">
        <v>1600</v>
      </c>
      <c r="J526" s="176">
        <v>46016</v>
      </c>
      <c r="K526" s="172" t="s">
        <v>93</v>
      </c>
      <c r="L526" s="172" t="s">
        <v>94</v>
      </c>
      <c r="M526" s="179">
        <v>0.43</v>
      </c>
      <c r="N526" s="177"/>
      <c r="O526" s="177">
        <v>43</v>
      </c>
      <c r="P526" s="180">
        <v>-121.6</v>
      </c>
    </row>
    <row r="527" spans="1:16" ht="19.5" customHeight="1">
      <c r="A527" s="172" t="s">
        <v>885</v>
      </c>
      <c r="B527" s="176">
        <v>46029</v>
      </c>
      <c r="C527" s="172" t="s">
        <v>100</v>
      </c>
      <c r="D527" s="172" t="s">
        <v>101</v>
      </c>
      <c r="E527" s="172" t="s">
        <v>41</v>
      </c>
      <c r="F527" s="172" t="s">
        <v>83</v>
      </c>
      <c r="G527" s="172" t="s">
        <v>84</v>
      </c>
      <c r="H527" s="177">
        <v>1</v>
      </c>
      <c r="I527" s="178">
        <v>1600</v>
      </c>
      <c r="J527" s="176">
        <v>46016</v>
      </c>
      <c r="K527" s="172" t="s">
        <v>93</v>
      </c>
      <c r="L527" s="172" t="s">
        <v>94</v>
      </c>
      <c r="M527" s="179">
        <v>0</v>
      </c>
      <c r="N527" s="177"/>
      <c r="O527" s="177"/>
      <c r="P527" s="180">
        <v>605.36</v>
      </c>
    </row>
    <row r="528" spans="1:16" ht="19.5" customHeight="1">
      <c r="A528" s="172" t="s">
        <v>885</v>
      </c>
      <c r="B528" s="176">
        <v>46029</v>
      </c>
      <c r="C528" s="172" t="s">
        <v>100</v>
      </c>
      <c r="D528" s="172" t="s">
        <v>102</v>
      </c>
      <c r="E528" s="172" t="s">
        <v>41</v>
      </c>
      <c r="F528" s="172" t="s">
        <v>83</v>
      </c>
      <c r="G528" s="172" t="s">
        <v>84</v>
      </c>
      <c r="H528" s="177">
        <v>1</v>
      </c>
      <c r="I528" s="178">
        <v>1600</v>
      </c>
      <c r="J528" s="176">
        <v>46016</v>
      </c>
      <c r="K528" s="172" t="s">
        <v>93</v>
      </c>
      <c r="L528" s="172" t="s">
        <v>94</v>
      </c>
      <c r="M528" s="179">
        <v>0</v>
      </c>
      <c r="N528" s="177"/>
      <c r="O528" s="177"/>
      <c r="P528" s="180">
        <v>0</v>
      </c>
    </row>
    <row r="529" spans="1:16" ht="19.5" customHeight="1">
      <c r="A529" s="172" t="s">
        <v>885</v>
      </c>
      <c r="B529" s="176">
        <v>46029</v>
      </c>
      <c r="C529" s="172" t="s">
        <v>100</v>
      </c>
      <c r="D529" s="172" t="s">
        <v>103</v>
      </c>
      <c r="E529" s="172" t="s">
        <v>41</v>
      </c>
      <c r="F529" s="172" t="s">
        <v>83</v>
      </c>
      <c r="G529" s="172" t="s">
        <v>84</v>
      </c>
      <c r="H529" s="177">
        <v>1</v>
      </c>
      <c r="I529" s="178">
        <v>1600</v>
      </c>
      <c r="J529" s="176">
        <v>46016</v>
      </c>
      <c r="K529" s="172" t="s">
        <v>93</v>
      </c>
      <c r="L529" s="172" t="s">
        <v>94</v>
      </c>
      <c r="M529" s="179">
        <v>0</v>
      </c>
      <c r="N529" s="177"/>
      <c r="O529" s="177"/>
      <c r="P529" s="180">
        <v>994.64</v>
      </c>
    </row>
    <row r="530" spans="1:16" ht="19.5" customHeight="1">
      <c r="A530" s="172" t="s">
        <v>885</v>
      </c>
      <c r="B530" s="176">
        <v>46029</v>
      </c>
      <c r="C530" s="172" t="s">
        <v>104</v>
      </c>
      <c r="D530" s="172" t="s">
        <v>105</v>
      </c>
      <c r="E530" s="172" t="s">
        <v>41</v>
      </c>
      <c r="F530" s="172" t="s">
        <v>83</v>
      </c>
      <c r="G530" s="172" t="s">
        <v>84</v>
      </c>
      <c r="H530" s="177">
        <v>1</v>
      </c>
      <c r="I530" s="178">
        <v>1600</v>
      </c>
      <c r="J530" s="176">
        <v>46016</v>
      </c>
      <c r="K530" s="172" t="s">
        <v>93</v>
      </c>
      <c r="L530" s="172" t="s">
        <v>94</v>
      </c>
      <c r="M530" s="179">
        <v>0.43</v>
      </c>
      <c r="N530" s="177"/>
      <c r="O530" s="177"/>
      <c r="P530" s="180">
        <v>-688</v>
      </c>
    </row>
    <row r="531" spans="1:16" ht="19.5" customHeight="1">
      <c r="A531" s="172" t="s">
        <v>435</v>
      </c>
      <c r="B531" s="176">
        <v>46029</v>
      </c>
      <c r="C531" s="172" t="s">
        <v>81</v>
      </c>
      <c r="D531" s="172" t="s">
        <v>82</v>
      </c>
      <c r="E531" s="172" t="s">
        <v>52</v>
      </c>
      <c r="F531" s="172" t="s">
        <v>90</v>
      </c>
      <c r="G531" s="172" t="s">
        <v>84</v>
      </c>
      <c r="H531" s="177">
        <v>1</v>
      </c>
      <c r="I531" s="178">
        <v>0</v>
      </c>
      <c r="J531" s="176">
        <v>46027</v>
      </c>
      <c r="K531" s="172" t="s">
        <v>85</v>
      </c>
      <c r="L531" s="172" t="s">
        <v>85</v>
      </c>
      <c r="M531" s="179">
        <v>0</v>
      </c>
      <c r="N531" s="177"/>
      <c r="O531" s="177"/>
      <c r="P531" s="180">
        <v>-10.59</v>
      </c>
    </row>
    <row r="532" spans="1:16" ht="19.5" customHeight="1">
      <c r="A532" s="172" t="s">
        <v>886</v>
      </c>
      <c r="B532" s="176">
        <v>46029</v>
      </c>
      <c r="C532" s="172" t="s">
        <v>92</v>
      </c>
      <c r="D532" s="172" t="s">
        <v>24</v>
      </c>
      <c r="E532" s="172" t="s">
        <v>52</v>
      </c>
      <c r="F532" s="172" t="s">
        <v>90</v>
      </c>
      <c r="G532" s="172" t="s">
        <v>84</v>
      </c>
      <c r="H532" s="177">
        <v>1</v>
      </c>
      <c r="I532" s="178">
        <v>1621</v>
      </c>
      <c r="J532" s="176">
        <v>46027</v>
      </c>
      <c r="K532" s="172" t="s">
        <v>93</v>
      </c>
      <c r="L532" s="172" t="s">
        <v>94</v>
      </c>
      <c r="M532" s="179">
        <v>0.43</v>
      </c>
      <c r="N532" s="177"/>
      <c r="O532" s="177">
        <v>45</v>
      </c>
      <c r="P532" s="180">
        <v>-146.44999999999999</v>
      </c>
    </row>
    <row r="533" spans="1:16" ht="19.5" customHeight="1">
      <c r="A533" s="172" t="s">
        <v>886</v>
      </c>
      <c r="B533" s="176">
        <v>46029</v>
      </c>
      <c r="C533" s="172" t="s">
        <v>100</v>
      </c>
      <c r="D533" s="172" t="s">
        <v>101</v>
      </c>
      <c r="E533" s="172" t="s">
        <v>52</v>
      </c>
      <c r="F533" s="172" t="s">
        <v>90</v>
      </c>
      <c r="G533" s="172" t="s">
        <v>84</v>
      </c>
      <c r="H533" s="177">
        <v>1</v>
      </c>
      <c r="I533" s="178">
        <v>1621</v>
      </c>
      <c r="J533" s="176">
        <v>46027</v>
      </c>
      <c r="K533" s="172" t="s">
        <v>93</v>
      </c>
      <c r="L533" s="172" t="s">
        <v>94</v>
      </c>
      <c r="M533" s="179">
        <v>0</v>
      </c>
      <c r="N533" s="177"/>
      <c r="O533" s="177"/>
      <c r="P533" s="180">
        <v>557.14</v>
      </c>
    </row>
    <row r="534" spans="1:16" ht="19.5" customHeight="1">
      <c r="A534" s="172" t="s">
        <v>886</v>
      </c>
      <c r="B534" s="176">
        <v>46029</v>
      </c>
      <c r="C534" s="172" t="s">
        <v>100</v>
      </c>
      <c r="D534" s="172" t="s">
        <v>102</v>
      </c>
      <c r="E534" s="172" t="s">
        <v>52</v>
      </c>
      <c r="F534" s="172" t="s">
        <v>90</v>
      </c>
      <c r="G534" s="172" t="s">
        <v>84</v>
      </c>
      <c r="H534" s="177">
        <v>1</v>
      </c>
      <c r="I534" s="178">
        <v>1621</v>
      </c>
      <c r="J534" s="176">
        <v>46027</v>
      </c>
      <c r="K534" s="172" t="s">
        <v>93</v>
      </c>
      <c r="L534" s="172" t="s">
        <v>94</v>
      </c>
      <c r="M534" s="179">
        <v>0</v>
      </c>
      <c r="N534" s="177"/>
      <c r="O534" s="177"/>
      <c r="P534" s="180">
        <v>5.57</v>
      </c>
    </row>
    <row r="535" spans="1:16" ht="19.5" customHeight="1">
      <c r="A535" s="172" t="s">
        <v>886</v>
      </c>
      <c r="B535" s="176">
        <v>46029</v>
      </c>
      <c r="C535" s="172" t="s">
        <v>100</v>
      </c>
      <c r="D535" s="172" t="s">
        <v>103</v>
      </c>
      <c r="E535" s="172" t="s">
        <v>52</v>
      </c>
      <c r="F535" s="172" t="s">
        <v>90</v>
      </c>
      <c r="G535" s="172" t="s">
        <v>84</v>
      </c>
      <c r="H535" s="177">
        <v>1</v>
      </c>
      <c r="I535" s="178">
        <v>1621</v>
      </c>
      <c r="J535" s="176">
        <v>46027</v>
      </c>
      <c r="K535" s="172" t="s">
        <v>93</v>
      </c>
      <c r="L535" s="172" t="s">
        <v>94</v>
      </c>
      <c r="M535" s="179">
        <v>0</v>
      </c>
      <c r="N535" s="177"/>
      <c r="O535" s="177"/>
      <c r="P535" s="180">
        <v>1058.29</v>
      </c>
    </row>
    <row r="536" spans="1:16" ht="19.5" customHeight="1">
      <c r="A536" s="172" t="s">
        <v>886</v>
      </c>
      <c r="B536" s="176">
        <v>46029</v>
      </c>
      <c r="C536" s="172" t="s">
        <v>104</v>
      </c>
      <c r="D536" s="172" t="s">
        <v>105</v>
      </c>
      <c r="E536" s="172" t="s">
        <v>52</v>
      </c>
      <c r="F536" s="172" t="s">
        <v>90</v>
      </c>
      <c r="G536" s="172" t="s">
        <v>84</v>
      </c>
      <c r="H536" s="177">
        <v>1</v>
      </c>
      <c r="I536" s="178">
        <v>1621</v>
      </c>
      <c r="J536" s="176">
        <v>46027</v>
      </c>
      <c r="K536" s="172" t="s">
        <v>93</v>
      </c>
      <c r="L536" s="172" t="s">
        <v>94</v>
      </c>
      <c r="M536" s="179">
        <v>0.43</v>
      </c>
      <c r="N536" s="177"/>
      <c r="O536" s="177"/>
      <c r="P536" s="180">
        <v>-697.03</v>
      </c>
    </row>
    <row r="537" spans="1:16" ht="19.5" customHeight="1">
      <c r="A537" s="172" t="s">
        <v>886</v>
      </c>
      <c r="B537" s="176">
        <v>46029</v>
      </c>
      <c r="C537" s="172" t="s">
        <v>81</v>
      </c>
      <c r="D537" s="172" t="s">
        <v>95</v>
      </c>
      <c r="E537" s="172" t="s">
        <v>52</v>
      </c>
      <c r="F537" s="172" t="s">
        <v>90</v>
      </c>
      <c r="G537" s="172" t="s">
        <v>84</v>
      </c>
      <c r="H537" s="177">
        <v>1</v>
      </c>
      <c r="I537" s="178">
        <v>1621</v>
      </c>
      <c r="J537" s="176">
        <v>46027</v>
      </c>
      <c r="K537" s="172" t="s">
        <v>93</v>
      </c>
      <c r="L537" s="172" t="s">
        <v>94</v>
      </c>
      <c r="M537" s="179">
        <v>0.43</v>
      </c>
      <c r="N537" s="177"/>
      <c r="O537" s="177"/>
      <c r="P537" s="180">
        <v>-12.36</v>
      </c>
    </row>
    <row r="538" spans="1:16" ht="19.5" customHeight="1">
      <c r="A538" s="172" t="s">
        <v>887</v>
      </c>
      <c r="B538" s="176">
        <v>46029</v>
      </c>
      <c r="C538" s="172" t="s">
        <v>92</v>
      </c>
      <c r="D538" s="172" t="s">
        <v>24</v>
      </c>
      <c r="E538" s="172" t="s">
        <v>52</v>
      </c>
      <c r="F538" s="172" t="s">
        <v>90</v>
      </c>
      <c r="G538" s="172" t="s">
        <v>84</v>
      </c>
      <c r="H538" s="177">
        <v>1</v>
      </c>
      <c r="I538" s="178">
        <v>1621</v>
      </c>
      <c r="J538" s="176">
        <v>46026</v>
      </c>
      <c r="K538" s="172" t="s">
        <v>93</v>
      </c>
      <c r="L538" s="172" t="s">
        <v>94</v>
      </c>
      <c r="M538" s="179">
        <v>0.43</v>
      </c>
      <c r="N538" s="177"/>
      <c r="O538" s="177">
        <v>46</v>
      </c>
      <c r="P538" s="180">
        <v>-150.56</v>
      </c>
    </row>
    <row r="539" spans="1:16" ht="19.5" customHeight="1">
      <c r="A539" s="172" t="s">
        <v>887</v>
      </c>
      <c r="B539" s="176">
        <v>46029</v>
      </c>
      <c r="C539" s="172" t="s">
        <v>100</v>
      </c>
      <c r="D539" s="172" t="s">
        <v>101</v>
      </c>
      <c r="E539" s="172" t="s">
        <v>52</v>
      </c>
      <c r="F539" s="172" t="s">
        <v>90</v>
      </c>
      <c r="G539" s="172" t="s">
        <v>84</v>
      </c>
      <c r="H539" s="177">
        <v>1</v>
      </c>
      <c r="I539" s="178">
        <v>1621</v>
      </c>
      <c r="J539" s="176">
        <v>46026</v>
      </c>
      <c r="K539" s="172" t="s">
        <v>93</v>
      </c>
      <c r="L539" s="172" t="s">
        <v>94</v>
      </c>
      <c r="M539" s="179">
        <v>0</v>
      </c>
      <c r="N539" s="177"/>
      <c r="O539" s="177"/>
      <c r="P539" s="180">
        <v>556.61</v>
      </c>
    </row>
    <row r="540" spans="1:16" ht="19.5" customHeight="1">
      <c r="A540" s="172" t="s">
        <v>887</v>
      </c>
      <c r="B540" s="176">
        <v>46029</v>
      </c>
      <c r="C540" s="172" t="s">
        <v>100</v>
      </c>
      <c r="D540" s="172" t="s">
        <v>102</v>
      </c>
      <c r="E540" s="172" t="s">
        <v>52</v>
      </c>
      <c r="F540" s="172" t="s">
        <v>90</v>
      </c>
      <c r="G540" s="172" t="s">
        <v>84</v>
      </c>
      <c r="H540" s="177">
        <v>1</v>
      </c>
      <c r="I540" s="178">
        <v>1621</v>
      </c>
      <c r="J540" s="176">
        <v>46026</v>
      </c>
      <c r="K540" s="172" t="s">
        <v>93</v>
      </c>
      <c r="L540" s="172" t="s">
        <v>94</v>
      </c>
      <c r="M540" s="179">
        <v>0</v>
      </c>
      <c r="N540" s="177"/>
      <c r="O540" s="177"/>
      <c r="P540" s="180">
        <v>5.57</v>
      </c>
    </row>
    <row r="541" spans="1:16" ht="19.5" customHeight="1">
      <c r="A541" s="172" t="s">
        <v>887</v>
      </c>
      <c r="B541" s="176">
        <v>46029</v>
      </c>
      <c r="C541" s="172" t="s">
        <v>100</v>
      </c>
      <c r="D541" s="172" t="s">
        <v>103</v>
      </c>
      <c r="E541" s="172" t="s">
        <v>52</v>
      </c>
      <c r="F541" s="172" t="s">
        <v>90</v>
      </c>
      <c r="G541" s="172" t="s">
        <v>84</v>
      </c>
      <c r="H541" s="177">
        <v>1</v>
      </c>
      <c r="I541" s="178">
        <v>1621</v>
      </c>
      <c r="J541" s="176">
        <v>46026</v>
      </c>
      <c r="K541" s="172" t="s">
        <v>93</v>
      </c>
      <c r="L541" s="172" t="s">
        <v>94</v>
      </c>
      <c r="M541" s="179">
        <v>0</v>
      </c>
      <c r="N541" s="177"/>
      <c r="O541" s="177"/>
      <c r="P541" s="180">
        <v>1058.82</v>
      </c>
    </row>
    <row r="542" spans="1:16" ht="19.5" customHeight="1">
      <c r="A542" s="172" t="s">
        <v>887</v>
      </c>
      <c r="B542" s="176">
        <v>46029</v>
      </c>
      <c r="C542" s="172" t="s">
        <v>104</v>
      </c>
      <c r="D542" s="172" t="s">
        <v>105</v>
      </c>
      <c r="E542" s="172" t="s">
        <v>52</v>
      </c>
      <c r="F542" s="172" t="s">
        <v>90</v>
      </c>
      <c r="G542" s="172" t="s">
        <v>84</v>
      </c>
      <c r="H542" s="177">
        <v>1</v>
      </c>
      <c r="I542" s="178">
        <v>1621</v>
      </c>
      <c r="J542" s="176">
        <v>46026</v>
      </c>
      <c r="K542" s="172" t="s">
        <v>93</v>
      </c>
      <c r="L542" s="172" t="s">
        <v>94</v>
      </c>
      <c r="M542" s="179">
        <v>0.43</v>
      </c>
      <c r="N542" s="177"/>
      <c r="O542" s="177"/>
      <c r="P542" s="180">
        <v>-697.03</v>
      </c>
    </row>
    <row r="543" spans="1:16" ht="19.5" customHeight="1">
      <c r="A543" s="172" t="s">
        <v>887</v>
      </c>
      <c r="B543" s="176">
        <v>46029</v>
      </c>
      <c r="C543" s="172" t="s">
        <v>81</v>
      </c>
      <c r="D543" s="172" t="s">
        <v>95</v>
      </c>
      <c r="E543" s="172" t="s">
        <v>52</v>
      </c>
      <c r="F543" s="172" t="s">
        <v>90</v>
      </c>
      <c r="G543" s="172" t="s">
        <v>84</v>
      </c>
      <c r="H543" s="177">
        <v>1</v>
      </c>
      <c r="I543" s="178">
        <v>1621</v>
      </c>
      <c r="J543" s="176">
        <v>46026</v>
      </c>
      <c r="K543" s="172" t="s">
        <v>93</v>
      </c>
      <c r="L543" s="172" t="s">
        <v>94</v>
      </c>
      <c r="M543" s="179">
        <v>0.43</v>
      </c>
      <c r="N543" s="177"/>
      <c r="O543" s="177"/>
      <c r="P543" s="180">
        <v>-6.2</v>
      </c>
    </row>
    <row r="544" spans="1:16" ht="19.5" customHeight="1">
      <c r="A544" s="172" t="s">
        <v>888</v>
      </c>
      <c r="B544" s="176">
        <v>46029</v>
      </c>
      <c r="C544" s="172" t="s">
        <v>92</v>
      </c>
      <c r="D544" s="172" t="s">
        <v>24</v>
      </c>
      <c r="E544" s="172" t="s">
        <v>53</v>
      </c>
      <c r="F544" s="172" t="s">
        <v>120</v>
      </c>
      <c r="G544" s="172" t="s">
        <v>84</v>
      </c>
      <c r="H544" s="177">
        <v>1</v>
      </c>
      <c r="I544" s="178">
        <v>1845</v>
      </c>
      <c r="J544" s="176">
        <v>46025</v>
      </c>
      <c r="K544" s="172" t="s">
        <v>93</v>
      </c>
      <c r="L544" s="172" t="s">
        <v>94</v>
      </c>
      <c r="M544" s="179">
        <v>0.43</v>
      </c>
      <c r="N544" s="177"/>
      <c r="O544" s="177">
        <v>44</v>
      </c>
      <c r="P544" s="180">
        <v>-149.4</v>
      </c>
    </row>
    <row r="545" spans="1:16" ht="19.5" customHeight="1">
      <c r="A545" s="172" t="s">
        <v>888</v>
      </c>
      <c r="B545" s="176">
        <v>46029</v>
      </c>
      <c r="C545" s="172" t="s">
        <v>100</v>
      </c>
      <c r="D545" s="172" t="s">
        <v>101</v>
      </c>
      <c r="E545" s="172" t="s">
        <v>53</v>
      </c>
      <c r="F545" s="172" t="s">
        <v>120</v>
      </c>
      <c r="G545" s="172" t="s">
        <v>84</v>
      </c>
      <c r="H545" s="177">
        <v>1</v>
      </c>
      <c r="I545" s="178">
        <v>1845</v>
      </c>
      <c r="J545" s="176">
        <v>46025</v>
      </c>
      <c r="K545" s="172" t="s">
        <v>93</v>
      </c>
      <c r="L545" s="172" t="s">
        <v>94</v>
      </c>
      <c r="M545" s="179">
        <v>0</v>
      </c>
      <c r="N545" s="177"/>
      <c r="O545" s="177"/>
      <c r="P545" s="180">
        <v>641.63</v>
      </c>
    </row>
    <row r="546" spans="1:16" ht="19.5" customHeight="1">
      <c r="A546" s="172" t="s">
        <v>888</v>
      </c>
      <c r="B546" s="176">
        <v>46029</v>
      </c>
      <c r="C546" s="172" t="s">
        <v>100</v>
      </c>
      <c r="D546" s="172" t="s">
        <v>102</v>
      </c>
      <c r="E546" s="172" t="s">
        <v>53</v>
      </c>
      <c r="F546" s="172" t="s">
        <v>120</v>
      </c>
      <c r="G546" s="172" t="s">
        <v>84</v>
      </c>
      <c r="H546" s="177">
        <v>1</v>
      </c>
      <c r="I546" s="178">
        <v>1845</v>
      </c>
      <c r="J546" s="176">
        <v>46025</v>
      </c>
      <c r="K546" s="172" t="s">
        <v>93</v>
      </c>
      <c r="L546" s="172" t="s">
        <v>94</v>
      </c>
      <c r="M546" s="179">
        <v>0</v>
      </c>
      <c r="N546" s="177"/>
      <c r="O546" s="177"/>
      <c r="P546" s="180">
        <v>6.42</v>
      </c>
    </row>
    <row r="547" spans="1:16" ht="19.5" customHeight="1">
      <c r="A547" s="172" t="s">
        <v>888</v>
      </c>
      <c r="B547" s="176">
        <v>46029</v>
      </c>
      <c r="C547" s="172" t="s">
        <v>100</v>
      </c>
      <c r="D547" s="172" t="s">
        <v>103</v>
      </c>
      <c r="E547" s="172" t="s">
        <v>53</v>
      </c>
      <c r="F547" s="172" t="s">
        <v>120</v>
      </c>
      <c r="G547" s="172" t="s">
        <v>84</v>
      </c>
      <c r="H547" s="177">
        <v>1</v>
      </c>
      <c r="I547" s="178">
        <v>1845</v>
      </c>
      <c r="J547" s="176">
        <v>46025</v>
      </c>
      <c r="K547" s="172" t="s">
        <v>93</v>
      </c>
      <c r="L547" s="172" t="s">
        <v>94</v>
      </c>
      <c r="M547" s="179">
        <v>0</v>
      </c>
      <c r="N547" s="177"/>
      <c r="O547" s="177"/>
      <c r="P547" s="180">
        <v>1196.95</v>
      </c>
    </row>
    <row r="548" spans="1:16" ht="19.5" customHeight="1">
      <c r="A548" s="172" t="s">
        <v>888</v>
      </c>
      <c r="B548" s="176">
        <v>46029</v>
      </c>
      <c r="C548" s="172" t="s">
        <v>104</v>
      </c>
      <c r="D548" s="172" t="s">
        <v>105</v>
      </c>
      <c r="E548" s="172" t="s">
        <v>53</v>
      </c>
      <c r="F548" s="172" t="s">
        <v>120</v>
      </c>
      <c r="G548" s="172" t="s">
        <v>84</v>
      </c>
      <c r="H548" s="177">
        <v>1</v>
      </c>
      <c r="I548" s="178">
        <v>1845</v>
      </c>
      <c r="J548" s="176">
        <v>46025</v>
      </c>
      <c r="K548" s="172" t="s">
        <v>93</v>
      </c>
      <c r="L548" s="172" t="s">
        <v>94</v>
      </c>
      <c r="M548" s="179">
        <v>0.43</v>
      </c>
      <c r="N548" s="177"/>
      <c r="O548" s="177"/>
      <c r="P548" s="180">
        <v>-793.35</v>
      </c>
    </row>
    <row r="549" spans="1:16" ht="19.5" customHeight="1">
      <c r="A549" s="172" t="s">
        <v>888</v>
      </c>
      <c r="B549" s="176">
        <v>46029</v>
      </c>
      <c r="C549" s="172" t="s">
        <v>81</v>
      </c>
      <c r="D549" s="172" t="s">
        <v>95</v>
      </c>
      <c r="E549" s="172" t="s">
        <v>53</v>
      </c>
      <c r="F549" s="172" t="s">
        <v>120</v>
      </c>
      <c r="G549" s="172" t="s">
        <v>84</v>
      </c>
      <c r="H549" s="177">
        <v>1</v>
      </c>
      <c r="I549" s="178">
        <v>1845</v>
      </c>
      <c r="J549" s="176">
        <v>46025</v>
      </c>
      <c r="K549" s="172" t="s">
        <v>93</v>
      </c>
      <c r="L549" s="172" t="s">
        <v>94</v>
      </c>
      <c r="M549" s="179">
        <v>0.43</v>
      </c>
      <c r="N549" s="177"/>
      <c r="O549" s="177"/>
      <c r="P549" s="180">
        <v>-8.17</v>
      </c>
    </row>
    <row r="550" spans="1:16" ht="19.5" customHeight="1">
      <c r="A550" s="172" t="s">
        <v>889</v>
      </c>
      <c r="B550" s="176">
        <v>46029</v>
      </c>
      <c r="C550" s="172" t="s">
        <v>92</v>
      </c>
      <c r="D550" s="172" t="s">
        <v>24</v>
      </c>
      <c r="E550" s="172" t="s">
        <v>52</v>
      </c>
      <c r="F550" s="172" t="s">
        <v>90</v>
      </c>
      <c r="G550" s="172" t="s">
        <v>84</v>
      </c>
      <c r="H550" s="177">
        <v>1</v>
      </c>
      <c r="I550" s="178">
        <v>1621</v>
      </c>
      <c r="J550" s="176">
        <v>46027</v>
      </c>
      <c r="K550" s="172" t="s">
        <v>93</v>
      </c>
      <c r="L550" s="172" t="s">
        <v>94</v>
      </c>
      <c r="M550" s="179">
        <v>0.43</v>
      </c>
      <c r="N550" s="177"/>
      <c r="O550" s="177">
        <v>45</v>
      </c>
      <c r="P550" s="180">
        <v>-146.44999999999999</v>
      </c>
    </row>
    <row r="551" spans="1:16" ht="19.5" customHeight="1">
      <c r="A551" s="172" t="s">
        <v>889</v>
      </c>
      <c r="B551" s="176">
        <v>46029</v>
      </c>
      <c r="C551" s="172" t="s">
        <v>100</v>
      </c>
      <c r="D551" s="172" t="s">
        <v>101</v>
      </c>
      <c r="E551" s="172" t="s">
        <v>52</v>
      </c>
      <c r="F551" s="172" t="s">
        <v>90</v>
      </c>
      <c r="G551" s="172" t="s">
        <v>84</v>
      </c>
      <c r="H551" s="177">
        <v>1</v>
      </c>
      <c r="I551" s="178">
        <v>1621</v>
      </c>
      <c r="J551" s="176">
        <v>46027</v>
      </c>
      <c r="K551" s="172" t="s">
        <v>93</v>
      </c>
      <c r="L551" s="172" t="s">
        <v>94</v>
      </c>
      <c r="M551" s="179">
        <v>0</v>
      </c>
      <c r="N551" s="177"/>
      <c r="O551" s="177"/>
      <c r="P551" s="180">
        <v>557.14</v>
      </c>
    </row>
    <row r="552" spans="1:16" ht="19.5" customHeight="1">
      <c r="A552" s="172" t="s">
        <v>889</v>
      </c>
      <c r="B552" s="176">
        <v>46029</v>
      </c>
      <c r="C552" s="172" t="s">
        <v>100</v>
      </c>
      <c r="D552" s="172" t="s">
        <v>102</v>
      </c>
      <c r="E552" s="172" t="s">
        <v>52</v>
      </c>
      <c r="F552" s="172" t="s">
        <v>90</v>
      </c>
      <c r="G552" s="172" t="s">
        <v>84</v>
      </c>
      <c r="H552" s="177">
        <v>1</v>
      </c>
      <c r="I552" s="178">
        <v>1621</v>
      </c>
      <c r="J552" s="176">
        <v>46027</v>
      </c>
      <c r="K552" s="172" t="s">
        <v>93</v>
      </c>
      <c r="L552" s="172" t="s">
        <v>94</v>
      </c>
      <c r="M552" s="179">
        <v>0</v>
      </c>
      <c r="N552" s="177"/>
      <c r="O552" s="177"/>
      <c r="P552" s="180">
        <v>5.57</v>
      </c>
    </row>
    <row r="553" spans="1:16" ht="19.5" customHeight="1">
      <c r="A553" s="172" t="s">
        <v>889</v>
      </c>
      <c r="B553" s="176">
        <v>46029</v>
      </c>
      <c r="C553" s="172" t="s">
        <v>100</v>
      </c>
      <c r="D553" s="172" t="s">
        <v>103</v>
      </c>
      <c r="E553" s="172" t="s">
        <v>52</v>
      </c>
      <c r="F553" s="172" t="s">
        <v>90</v>
      </c>
      <c r="G553" s="172" t="s">
        <v>84</v>
      </c>
      <c r="H553" s="177">
        <v>1</v>
      </c>
      <c r="I553" s="178">
        <v>1621</v>
      </c>
      <c r="J553" s="176">
        <v>46027</v>
      </c>
      <c r="K553" s="172" t="s">
        <v>93</v>
      </c>
      <c r="L553" s="172" t="s">
        <v>94</v>
      </c>
      <c r="M553" s="179">
        <v>0</v>
      </c>
      <c r="N553" s="177"/>
      <c r="O553" s="177"/>
      <c r="P553" s="180">
        <v>1058.29</v>
      </c>
    </row>
    <row r="554" spans="1:16" ht="19.5" customHeight="1">
      <c r="A554" s="172" t="s">
        <v>889</v>
      </c>
      <c r="B554" s="176">
        <v>46029</v>
      </c>
      <c r="C554" s="172" t="s">
        <v>104</v>
      </c>
      <c r="D554" s="172" t="s">
        <v>105</v>
      </c>
      <c r="E554" s="172" t="s">
        <v>52</v>
      </c>
      <c r="F554" s="172" t="s">
        <v>90</v>
      </c>
      <c r="G554" s="172" t="s">
        <v>84</v>
      </c>
      <c r="H554" s="177">
        <v>1</v>
      </c>
      <c r="I554" s="178">
        <v>1621</v>
      </c>
      <c r="J554" s="176">
        <v>46027</v>
      </c>
      <c r="K554" s="172" t="s">
        <v>93</v>
      </c>
      <c r="L554" s="172" t="s">
        <v>94</v>
      </c>
      <c r="M554" s="179">
        <v>0.43</v>
      </c>
      <c r="N554" s="177"/>
      <c r="O554" s="177"/>
      <c r="P554" s="180">
        <v>-697.03</v>
      </c>
    </row>
    <row r="555" spans="1:16" ht="19.5" customHeight="1">
      <c r="A555" s="172" t="s">
        <v>889</v>
      </c>
      <c r="B555" s="176">
        <v>46029</v>
      </c>
      <c r="C555" s="172" t="s">
        <v>81</v>
      </c>
      <c r="D555" s="172" t="s">
        <v>95</v>
      </c>
      <c r="E555" s="172" t="s">
        <v>52</v>
      </c>
      <c r="F555" s="172" t="s">
        <v>90</v>
      </c>
      <c r="G555" s="172" t="s">
        <v>84</v>
      </c>
      <c r="H555" s="177">
        <v>1</v>
      </c>
      <c r="I555" s="178">
        <v>1621</v>
      </c>
      <c r="J555" s="176">
        <v>46027</v>
      </c>
      <c r="K555" s="172" t="s">
        <v>93</v>
      </c>
      <c r="L555" s="172" t="s">
        <v>94</v>
      </c>
      <c r="M555" s="179">
        <v>0.43</v>
      </c>
      <c r="N555" s="177"/>
      <c r="O555" s="177"/>
      <c r="P555" s="180">
        <v>-10.57</v>
      </c>
    </row>
    <row r="556" spans="1:16" ht="19.5" customHeight="1">
      <c r="A556" s="172" t="s">
        <v>890</v>
      </c>
      <c r="B556" s="176">
        <v>46029</v>
      </c>
      <c r="C556" s="172" t="s">
        <v>81</v>
      </c>
      <c r="D556" s="172" t="s">
        <v>82</v>
      </c>
      <c r="E556" s="172" t="s">
        <v>53</v>
      </c>
      <c r="F556" s="172" t="s">
        <v>120</v>
      </c>
      <c r="G556" s="172" t="s">
        <v>84</v>
      </c>
      <c r="H556" s="177">
        <v>1</v>
      </c>
      <c r="I556" s="178">
        <v>0</v>
      </c>
      <c r="J556" s="176">
        <v>46029</v>
      </c>
      <c r="K556" s="172" t="s">
        <v>85</v>
      </c>
      <c r="L556" s="172" t="s">
        <v>85</v>
      </c>
      <c r="M556" s="179">
        <v>0</v>
      </c>
      <c r="N556" s="177"/>
      <c r="O556" s="177"/>
      <c r="P556" s="180">
        <v>-12.21</v>
      </c>
    </row>
    <row r="557" spans="1:16" ht="19.5" customHeight="1">
      <c r="A557" s="172" t="s">
        <v>891</v>
      </c>
      <c r="B557" s="176">
        <v>46029</v>
      </c>
      <c r="C557" s="172" t="s">
        <v>81</v>
      </c>
      <c r="D557" s="172" t="s">
        <v>82</v>
      </c>
      <c r="E557" s="172" t="s">
        <v>53</v>
      </c>
      <c r="F557" s="172" t="s">
        <v>120</v>
      </c>
      <c r="G557" s="172" t="s">
        <v>84</v>
      </c>
      <c r="H557" s="177">
        <v>1</v>
      </c>
      <c r="I557" s="178">
        <v>0</v>
      </c>
      <c r="J557" s="176">
        <v>46029</v>
      </c>
      <c r="K557" s="172" t="s">
        <v>85</v>
      </c>
      <c r="L557" s="172" t="s">
        <v>85</v>
      </c>
      <c r="M557" s="179">
        <v>0</v>
      </c>
      <c r="N557" s="177"/>
      <c r="O557" s="177"/>
      <c r="P557" s="180">
        <v>-12.21</v>
      </c>
    </row>
    <row r="558" spans="1:16" ht="19.5" customHeight="1">
      <c r="A558" s="172" t="s">
        <v>888</v>
      </c>
      <c r="B558" s="176">
        <v>46029</v>
      </c>
      <c r="C558" s="172" t="s">
        <v>81</v>
      </c>
      <c r="D558" s="172" t="s">
        <v>82</v>
      </c>
      <c r="E558" s="172" t="s">
        <v>53</v>
      </c>
      <c r="F558" s="172" t="s">
        <v>120</v>
      </c>
      <c r="G558" s="172" t="s">
        <v>84</v>
      </c>
      <c r="H558" s="177">
        <v>1</v>
      </c>
      <c r="I558" s="178">
        <v>0</v>
      </c>
      <c r="J558" s="176">
        <v>46025</v>
      </c>
      <c r="K558" s="172" t="s">
        <v>85</v>
      </c>
      <c r="L558" s="172" t="s">
        <v>85</v>
      </c>
      <c r="M558" s="179">
        <v>0</v>
      </c>
      <c r="N558" s="177"/>
      <c r="O558" s="177"/>
      <c r="P558" s="180">
        <v>-12.19</v>
      </c>
    </row>
    <row r="559" spans="1:16" ht="19.5" customHeight="1">
      <c r="A559" s="172" t="s">
        <v>466</v>
      </c>
      <c r="B559" s="176">
        <v>46029</v>
      </c>
      <c r="C559" s="172" t="s">
        <v>354</v>
      </c>
      <c r="D559" s="172" t="s">
        <v>892</v>
      </c>
      <c r="E559" s="172" t="s">
        <v>85</v>
      </c>
      <c r="F559" s="172" t="s">
        <v>85</v>
      </c>
      <c r="G559" s="172" t="s">
        <v>85</v>
      </c>
      <c r="H559" s="177">
        <v>0</v>
      </c>
      <c r="I559" s="178">
        <v>0</v>
      </c>
      <c r="J559" s="176">
        <v>45995</v>
      </c>
      <c r="K559" s="172" t="s">
        <v>85</v>
      </c>
      <c r="L559" s="172" t="s">
        <v>85</v>
      </c>
      <c r="M559" s="179">
        <v>0</v>
      </c>
      <c r="N559" s="177"/>
      <c r="O559" s="177"/>
      <c r="P559" s="180">
        <v>-3110.4</v>
      </c>
    </row>
    <row r="560" spans="1:16" ht="19.5" customHeight="1">
      <c r="A560" s="172" t="s">
        <v>893</v>
      </c>
      <c r="B560" s="176">
        <v>46029</v>
      </c>
      <c r="C560" s="172" t="s">
        <v>92</v>
      </c>
      <c r="D560" s="172" t="s">
        <v>24</v>
      </c>
      <c r="E560" s="172" t="s">
        <v>53</v>
      </c>
      <c r="F560" s="172" t="s">
        <v>120</v>
      </c>
      <c r="G560" s="172" t="s">
        <v>84</v>
      </c>
      <c r="H560" s="177">
        <v>1</v>
      </c>
      <c r="I560" s="178">
        <v>0</v>
      </c>
      <c r="J560" s="176">
        <v>46012</v>
      </c>
      <c r="K560" s="172" t="s">
        <v>93</v>
      </c>
      <c r="L560" s="172" t="s">
        <v>94</v>
      </c>
      <c r="M560" s="179">
        <v>0</v>
      </c>
      <c r="N560" s="177"/>
      <c r="O560" s="177">
        <v>43</v>
      </c>
      <c r="P560" s="180">
        <v>-56</v>
      </c>
    </row>
    <row r="561" spans="1:16" ht="19.5" customHeight="1">
      <c r="A561" s="172" t="s">
        <v>893</v>
      </c>
      <c r="B561" s="176">
        <v>46029</v>
      </c>
      <c r="C561" s="172" t="s">
        <v>81</v>
      </c>
      <c r="D561" s="172" t="s">
        <v>95</v>
      </c>
      <c r="E561" s="172" t="s">
        <v>53</v>
      </c>
      <c r="F561" s="172" t="s">
        <v>120</v>
      </c>
      <c r="G561" s="172" t="s">
        <v>84</v>
      </c>
      <c r="H561" s="177">
        <v>1</v>
      </c>
      <c r="I561" s="178">
        <v>0</v>
      </c>
      <c r="J561" s="176">
        <v>46012</v>
      </c>
      <c r="K561" s="172" t="s">
        <v>93</v>
      </c>
      <c r="L561" s="172" t="s">
        <v>94</v>
      </c>
      <c r="M561" s="179">
        <v>0</v>
      </c>
      <c r="N561" s="177"/>
      <c r="O561" s="177"/>
      <c r="P561" s="180">
        <v>-12.81</v>
      </c>
    </row>
    <row r="562" spans="1:16" ht="19.5" customHeight="1">
      <c r="A562" s="172" t="s">
        <v>894</v>
      </c>
      <c r="B562" s="176">
        <v>46029</v>
      </c>
      <c r="C562" s="172" t="s">
        <v>81</v>
      </c>
      <c r="D562" s="172" t="s">
        <v>82</v>
      </c>
      <c r="E562" s="172" t="s">
        <v>41</v>
      </c>
      <c r="F562" s="172" t="s">
        <v>83</v>
      </c>
      <c r="G562" s="172" t="s">
        <v>84</v>
      </c>
      <c r="H562" s="177">
        <v>1</v>
      </c>
      <c r="I562" s="178">
        <v>0</v>
      </c>
      <c r="J562" s="176">
        <v>46029</v>
      </c>
      <c r="K562" s="172" t="s">
        <v>85</v>
      </c>
      <c r="L562" s="172" t="s">
        <v>85</v>
      </c>
      <c r="M562" s="179">
        <v>0</v>
      </c>
      <c r="N562" s="177"/>
      <c r="O562" s="177"/>
      <c r="P562" s="180">
        <v>-10.44</v>
      </c>
    </row>
    <row r="563" spans="1:16" ht="19.5" customHeight="1">
      <c r="A563" s="172" t="s">
        <v>893</v>
      </c>
      <c r="B563" s="176">
        <v>46029</v>
      </c>
      <c r="C563" s="172" t="s">
        <v>92</v>
      </c>
      <c r="D563" s="172" t="s">
        <v>96</v>
      </c>
      <c r="E563" s="172" t="s">
        <v>53</v>
      </c>
      <c r="F563" s="172" t="s">
        <v>120</v>
      </c>
      <c r="G563" s="172" t="s">
        <v>84</v>
      </c>
      <c r="H563" s="177">
        <v>1</v>
      </c>
      <c r="I563" s="178">
        <v>0</v>
      </c>
      <c r="J563" s="176">
        <v>46012</v>
      </c>
      <c r="K563" s="172" t="s">
        <v>93</v>
      </c>
      <c r="L563" s="172" t="s">
        <v>94</v>
      </c>
      <c r="M563" s="179">
        <v>0</v>
      </c>
      <c r="N563" s="177"/>
      <c r="O563" s="177"/>
      <c r="P563" s="180">
        <v>0</v>
      </c>
    </row>
    <row r="564" spans="1:16" ht="19.5" customHeight="1">
      <c r="A564" s="172" t="s">
        <v>893</v>
      </c>
      <c r="B564" s="176">
        <v>46029</v>
      </c>
      <c r="C564" s="172" t="s">
        <v>92</v>
      </c>
      <c r="D564" s="172" t="s">
        <v>97</v>
      </c>
      <c r="E564" s="172" t="s">
        <v>53</v>
      </c>
      <c r="F564" s="172" t="s">
        <v>120</v>
      </c>
      <c r="G564" s="172" t="s">
        <v>84</v>
      </c>
      <c r="H564" s="177">
        <v>1</v>
      </c>
      <c r="I564" s="178">
        <v>0</v>
      </c>
      <c r="J564" s="176">
        <v>46012</v>
      </c>
      <c r="K564" s="172" t="s">
        <v>93</v>
      </c>
      <c r="L564" s="172" t="s">
        <v>94</v>
      </c>
      <c r="M564" s="179">
        <v>0</v>
      </c>
      <c r="N564" s="177"/>
      <c r="O564" s="177"/>
      <c r="P564" s="180">
        <v>-56</v>
      </c>
    </row>
    <row r="565" spans="1:16" ht="19.5" customHeight="1">
      <c r="A565" s="172" t="s">
        <v>893</v>
      </c>
      <c r="B565" s="176">
        <v>46029</v>
      </c>
      <c r="C565" s="172" t="s">
        <v>81</v>
      </c>
      <c r="D565" s="172" t="s">
        <v>98</v>
      </c>
      <c r="E565" s="172" t="s">
        <v>53</v>
      </c>
      <c r="F565" s="172" t="s">
        <v>120</v>
      </c>
      <c r="G565" s="172" t="s">
        <v>84</v>
      </c>
      <c r="H565" s="177">
        <v>1</v>
      </c>
      <c r="I565" s="178">
        <v>0</v>
      </c>
      <c r="J565" s="176">
        <v>46012</v>
      </c>
      <c r="K565" s="172" t="s">
        <v>93</v>
      </c>
      <c r="L565" s="172" t="s">
        <v>94</v>
      </c>
      <c r="M565" s="179">
        <v>0</v>
      </c>
      <c r="N565" s="177"/>
      <c r="O565" s="177"/>
      <c r="P565" s="180">
        <v>-15</v>
      </c>
    </row>
    <row r="566" spans="1:16" ht="19.5" customHeight="1">
      <c r="A566" s="172" t="s">
        <v>895</v>
      </c>
      <c r="B566" s="176">
        <v>46029</v>
      </c>
      <c r="C566" s="172" t="s">
        <v>81</v>
      </c>
      <c r="D566" s="172" t="s">
        <v>82</v>
      </c>
      <c r="E566" s="172" t="s">
        <v>53</v>
      </c>
      <c r="F566" s="172" t="s">
        <v>120</v>
      </c>
      <c r="G566" s="172" t="s">
        <v>84</v>
      </c>
      <c r="H566" s="177">
        <v>1</v>
      </c>
      <c r="I566" s="178">
        <v>0</v>
      </c>
      <c r="J566" s="176">
        <v>46029</v>
      </c>
      <c r="K566" s="172" t="s">
        <v>85</v>
      </c>
      <c r="L566" s="172" t="s">
        <v>85</v>
      </c>
      <c r="M566" s="179">
        <v>0</v>
      </c>
      <c r="N566" s="177"/>
      <c r="O566" s="177"/>
      <c r="P566" s="180">
        <v>-12.19</v>
      </c>
    </row>
    <row r="567" spans="1:16" ht="19.5" customHeight="1">
      <c r="A567" s="172" t="s">
        <v>896</v>
      </c>
      <c r="B567" s="176">
        <v>46029</v>
      </c>
      <c r="C567" s="172" t="s">
        <v>92</v>
      </c>
      <c r="D567" s="172" t="s">
        <v>24</v>
      </c>
      <c r="E567" s="172" t="s">
        <v>53</v>
      </c>
      <c r="F567" s="172" t="s">
        <v>120</v>
      </c>
      <c r="G567" s="172" t="s">
        <v>84</v>
      </c>
      <c r="H567" s="177">
        <v>1</v>
      </c>
      <c r="I567" s="178">
        <v>1845</v>
      </c>
      <c r="J567" s="176">
        <v>46025</v>
      </c>
      <c r="K567" s="172" t="s">
        <v>93</v>
      </c>
      <c r="L567" s="172" t="s">
        <v>94</v>
      </c>
      <c r="M567" s="179">
        <v>0.43</v>
      </c>
      <c r="N567" s="177"/>
      <c r="O567" s="177">
        <v>44</v>
      </c>
      <c r="P567" s="180">
        <v>-149.4</v>
      </c>
    </row>
    <row r="568" spans="1:16" ht="19.5" customHeight="1">
      <c r="A568" s="172" t="s">
        <v>896</v>
      </c>
      <c r="B568" s="176">
        <v>46029</v>
      </c>
      <c r="C568" s="172" t="s">
        <v>100</v>
      </c>
      <c r="D568" s="172" t="s">
        <v>101</v>
      </c>
      <c r="E568" s="172" t="s">
        <v>53</v>
      </c>
      <c r="F568" s="172" t="s">
        <v>120</v>
      </c>
      <c r="G568" s="172" t="s">
        <v>84</v>
      </c>
      <c r="H568" s="177">
        <v>1</v>
      </c>
      <c r="I568" s="178">
        <v>1845</v>
      </c>
      <c r="J568" s="176">
        <v>46025</v>
      </c>
      <c r="K568" s="172" t="s">
        <v>93</v>
      </c>
      <c r="L568" s="172" t="s">
        <v>94</v>
      </c>
      <c r="M568" s="179">
        <v>0</v>
      </c>
      <c r="N568" s="177"/>
      <c r="O568" s="177"/>
      <c r="P568" s="180">
        <v>642.86</v>
      </c>
    </row>
    <row r="569" spans="1:16" ht="19.5" customHeight="1">
      <c r="A569" s="172" t="s">
        <v>896</v>
      </c>
      <c r="B569" s="176">
        <v>46029</v>
      </c>
      <c r="C569" s="172" t="s">
        <v>100</v>
      </c>
      <c r="D569" s="172" t="s">
        <v>102</v>
      </c>
      <c r="E569" s="172" t="s">
        <v>53</v>
      </c>
      <c r="F569" s="172" t="s">
        <v>120</v>
      </c>
      <c r="G569" s="172" t="s">
        <v>84</v>
      </c>
      <c r="H569" s="177">
        <v>1</v>
      </c>
      <c r="I569" s="178">
        <v>1845</v>
      </c>
      <c r="J569" s="176">
        <v>46025</v>
      </c>
      <c r="K569" s="172" t="s">
        <v>93</v>
      </c>
      <c r="L569" s="172" t="s">
        <v>94</v>
      </c>
      <c r="M569" s="179">
        <v>0</v>
      </c>
      <c r="N569" s="177"/>
      <c r="O569" s="177"/>
      <c r="P569" s="180">
        <v>6.43</v>
      </c>
    </row>
    <row r="570" spans="1:16" ht="19.5" customHeight="1">
      <c r="A570" s="172" t="s">
        <v>896</v>
      </c>
      <c r="B570" s="176">
        <v>46029</v>
      </c>
      <c r="C570" s="172" t="s">
        <v>100</v>
      </c>
      <c r="D570" s="172" t="s">
        <v>103</v>
      </c>
      <c r="E570" s="172" t="s">
        <v>53</v>
      </c>
      <c r="F570" s="172" t="s">
        <v>120</v>
      </c>
      <c r="G570" s="172" t="s">
        <v>84</v>
      </c>
      <c r="H570" s="177">
        <v>1</v>
      </c>
      <c r="I570" s="178">
        <v>1845</v>
      </c>
      <c r="J570" s="176">
        <v>46025</v>
      </c>
      <c r="K570" s="172" t="s">
        <v>93</v>
      </c>
      <c r="L570" s="172" t="s">
        <v>94</v>
      </c>
      <c r="M570" s="179">
        <v>0</v>
      </c>
      <c r="N570" s="177"/>
      <c r="O570" s="177"/>
      <c r="P570" s="180">
        <v>1195.71</v>
      </c>
    </row>
    <row r="571" spans="1:16" ht="19.5" customHeight="1">
      <c r="A571" s="172" t="s">
        <v>896</v>
      </c>
      <c r="B571" s="176">
        <v>46029</v>
      </c>
      <c r="C571" s="172" t="s">
        <v>104</v>
      </c>
      <c r="D571" s="172" t="s">
        <v>105</v>
      </c>
      <c r="E571" s="172" t="s">
        <v>53</v>
      </c>
      <c r="F571" s="172" t="s">
        <v>120</v>
      </c>
      <c r="G571" s="172" t="s">
        <v>84</v>
      </c>
      <c r="H571" s="177">
        <v>1</v>
      </c>
      <c r="I571" s="178">
        <v>1845</v>
      </c>
      <c r="J571" s="176">
        <v>46025</v>
      </c>
      <c r="K571" s="172" t="s">
        <v>93</v>
      </c>
      <c r="L571" s="172" t="s">
        <v>94</v>
      </c>
      <c r="M571" s="179">
        <v>0.43</v>
      </c>
      <c r="N571" s="177"/>
      <c r="O571" s="177"/>
      <c r="P571" s="180">
        <v>-793.35</v>
      </c>
    </row>
    <row r="572" spans="1:16" ht="19.5" customHeight="1">
      <c r="A572" s="172" t="s">
        <v>896</v>
      </c>
      <c r="B572" s="176">
        <v>46029</v>
      </c>
      <c r="C572" s="172" t="s">
        <v>81</v>
      </c>
      <c r="D572" s="172" t="s">
        <v>95</v>
      </c>
      <c r="E572" s="172" t="s">
        <v>53</v>
      </c>
      <c r="F572" s="172" t="s">
        <v>120</v>
      </c>
      <c r="G572" s="172" t="s">
        <v>84</v>
      </c>
      <c r="H572" s="177">
        <v>1</v>
      </c>
      <c r="I572" s="178">
        <v>1845</v>
      </c>
      <c r="J572" s="176">
        <v>46025</v>
      </c>
      <c r="K572" s="172" t="s">
        <v>93</v>
      </c>
      <c r="L572" s="172" t="s">
        <v>94</v>
      </c>
      <c r="M572" s="179">
        <v>0.43</v>
      </c>
      <c r="N572" s="177"/>
      <c r="O572" s="177"/>
      <c r="P572" s="180">
        <v>-10.69</v>
      </c>
    </row>
    <row r="573" spans="1:16" ht="19.5" customHeight="1">
      <c r="A573" s="172" t="s">
        <v>897</v>
      </c>
      <c r="B573" s="176">
        <v>46029</v>
      </c>
      <c r="C573" s="172" t="s">
        <v>92</v>
      </c>
      <c r="D573" s="172" t="s">
        <v>24</v>
      </c>
      <c r="E573" s="172" t="s">
        <v>38</v>
      </c>
      <c r="F573" s="172" t="s">
        <v>87</v>
      </c>
      <c r="G573" s="172" t="s">
        <v>84</v>
      </c>
      <c r="H573" s="177">
        <v>1</v>
      </c>
      <c r="I573" s="178">
        <v>1650</v>
      </c>
      <c r="J573" s="176">
        <v>46027</v>
      </c>
      <c r="K573" s="172" t="s">
        <v>93</v>
      </c>
      <c r="L573" s="172" t="s">
        <v>94</v>
      </c>
      <c r="M573" s="179">
        <v>0.43</v>
      </c>
      <c r="N573" s="177"/>
      <c r="O573" s="177">
        <v>45</v>
      </c>
      <c r="P573" s="180">
        <v>-132.09</v>
      </c>
    </row>
    <row r="574" spans="1:16" ht="19.5" customHeight="1">
      <c r="A574" s="172" t="s">
        <v>897</v>
      </c>
      <c r="B574" s="176">
        <v>46029</v>
      </c>
      <c r="C574" s="172" t="s">
        <v>100</v>
      </c>
      <c r="D574" s="172" t="s">
        <v>101</v>
      </c>
      <c r="E574" s="172" t="s">
        <v>38</v>
      </c>
      <c r="F574" s="172" t="s">
        <v>87</v>
      </c>
      <c r="G574" s="172" t="s">
        <v>84</v>
      </c>
      <c r="H574" s="177">
        <v>1</v>
      </c>
      <c r="I574" s="178">
        <v>1650</v>
      </c>
      <c r="J574" s="176">
        <v>46027</v>
      </c>
      <c r="K574" s="172" t="s">
        <v>93</v>
      </c>
      <c r="L574" s="172" t="s">
        <v>94</v>
      </c>
      <c r="M574" s="179">
        <v>0</v>
      </c>
      <c r="N574" s="177"/>
      <c r="O574" s="177"/>
      <c r="P574" s="180">
        <v>577.14</v>
      </c>
    </row>
    <row r="575" spans="1:16" ht="19.5" customHeight="1">
      <c r="A575" s="172" t="s">
        <v>897</v>
      </c>
      <c r="B575" s="176">
        <v>46029</v>
      </c>
      <c r="C575" s="172" t="s">
        <v>100</v>
      </c>
      <c r="D575" s="172" t="s">
        <v>102</v>
      </c>
      <c r="E575" s="172" t="s">
        <v>38</v>
      </c>
      <c r="F575" s="172" t="s">
        <v>87</v>
      </c>
      <c r="G575" s="172" t="s">
        <v>84</v>
      </c>
      <c r="H575" s="177">
        <v>1</v>
      </c>
      <c r="I575" s="178">
        <v>1650</v>
      </c>
      <c r="J575" s="176">
        <v>46027</v>
      </c>
      <c r="K575" s="172" t="s">
        <v>93</v>
      </c>
      <c r="L575" s="172" t="s">
        <v>94</v>
      </c>
      <c r="M575" s="179">
        <v>0</v>
      </c>
      <c r="N575" s="177"/>
      <c r="O575" s="177"/>
      <c r="P575" s="180">
        <v>5.77</v>
      </c>
    </row>
    <row r="576" spans="1:16" ht="19.5" customHeight="1">
      <c r="A576" s="172" t="s">
        <v>897</v>
      </c>
      <c r="B576" s="176">
        <v>46029</v>
      </c>
      <c r="C576" s="172" t="s">
        <v>100</v>
      </c>
      <c r="D576" s="172" t="s">
        <v>103</v>
      </c>
      <c r="E576" s="172" t="s">
        <v>38</v>
      </c>
      <c r="F576" s="172" t="s">
        <v>87</v>
      </c>
      <c r="G576" s="172" t="s">
        <v>84</v>
      </c>
      <c r="H576" s="177">
        <v>1</v>
      </c>
      <c r="I576" s="178">
        <v>1650</v>
      </c>
      <c r="J576" s="176">
        <v>46027</v>
      </c>
      <c r="K576" s="172" t="s">
        <v>93</v>
      </c>
      <c r="L576" s="172" t="s">
        <v>94</v>
      </c>
      <c r="M576" s="179">
        <v>0</v>
      </c>
      <c r="N576" s="177"/>
      <c r="O576" s="177"/>
      <c r="P576" s="180">
        <v>1067.0899999999999</v>
      </c>
    </row>
    <row r="577" spans="1:16" ht="19.5" customHeight="1">
      <c r="A577" s="172" t="s">
        <v>897</v>
      </c>
      <c r="B577" s="176">
        <v>46029</v>
      </c>
      <c r="C577" s="172" t="s">
        <v>104</v>
      </c>
      <c r="D577" s="172" t="s">
        <v>105</v>
      </c>
      <c r="E577" s="172" t="s">
        <v>38</v>
      </c>
      <c r="F577" s="172" t="s">
        <v>87</v>
      </c>
      <c r="G577" s="172" t="s">
        <v>84</v>
      </c>
      <c r="H577" s="177">
        <v>1</v>
      </c>
      <c r="I577" s="178">
        <v>1650</v>
      </c>
      <c r="J577" s="176">
        <v>46027</v>
      </c>
      <c r="K577" s="172" t="s">
        <v>93</v>
      </c>
      <c r="L577" s="172" t="s">
        <v>94</v>
      </c>
      <c r="M577" s="179">
        <v>0.43</v>
      </c>
      <c r="N577" s="177"/>
      <c r="O577" s="177"/>
      <c r="P577" s="180">
        <v>-709.5</v>
      </c>
    </row>
    <row r="578" spans="1:16" ht="19.5" customHeight="1">
      <c r="A578" s="172" t="s">
        <v>897</v>
      </c>
      <c r="B578" s="176">
        <v>46029</v>
      </c>
      <c r="C578" s="172" t="s">
        <v>81</v>
      </c>
      <c r="D578" s="172" t="s">
        <v>95</v>
      </c>
      <c r="E578" s="172" t="s">
        <v>38</v>
      </c>
      <c r="F578" s="172" t="s">
        <v>87</v>
      </c>
      <c r="G578" s="172" t="s">
        <v>84</v>
      </c>
      <c r="H578" s="177">
        <v>1</v>
      </c>
      <c r="I578" s="178">
        <v>1650</v>
      </c>
      <c r="J578" s="176">
        <v>46027</v>
      </c>
      <c r="K578" s="172" t="s">
        <v>93</v>
      </c>
      <c r="L578" s="172" t="s">
        <v>94</v>
      </c>
      <c r="M578" s="179">
        <v>0.43</v>
      </c>
      <c r="N578" s="177"/>
      <c r="O578" s="177"/>
      <c r="P578" s="180">
        <v>-8.17</v>
      </c>
    </row>
    <row r="579" spans="1:16" ht="19.5" customHeight="1">
      <c r="A579" s="172" t="s">
        <v>898</v>
      </c>
      <c r="B579" s="176">
        <v>46029</v>
      </c>
      <c r="C579" s="172" t="s">
        <v>81</v>
      </c>
      <c r="D579" s="172" t="s">
        <v>82</v>
      </c>
      <c r="E579" s="172" t="s">
        <v>53</v>
      </c>
      <c r="F579" s="172" t="s">
        <v>120</v>
      </c>
      <c r="G579" s="172" t="s">
        <v>84</v>
      </c>
      <c r="H579" s="177">
        <v>1</v>
      </c>
      <c r="I579" s="178">
        <v>0</v>
      </c>
      <c r="J579" s="176">
        <v>46029</v>
      </c>
      <c r="K579" s="172" t="s">
        <v>85</v>
      </c>
      <c r="L579" s="172" t="s">
        <v>85</v>
      </c>
      <c r="M579" s="179">
        <v>0</v>
      </c>
      <c r="N579" s="177"/>
      <c r="O579" s="177"/>
      <c r="P579" s="180">
        <v>-12.16</v>
      </c>
    </row>
    <row r="580" spans="1:16" ht="19.5" customHeight="1">
      <c r="A580" s="172" t="s">
        <v>897</v>
      </c>
      <c r="B580" s="176">
        <v>46029</v>
      </c>
      <c r="C580" s="172" t="s">
        <v>81</v>
      </c>
      <c r="D580" s="172" t="s">
        <v>82</v>
      </c>
      <c r="E580" s="172" t="s">
        <v>38</v>
      </c>
      <c r="F580" s="172" t="s">
        <v>87</v>
      </c>
      <c r="G580" s="172" t="s">
        <v>84</v>
      </c>
      <c r="H580" s="177">
        <v>1</v>
      </c>
      <c r="I580" s="178">
        <v>0</v>
      </c>
      <c r="J580" s="176">
        <v>46027</v>
      </c>
      <c r="K580" s="172" t="s">
        <v>85</v>
      </c>
      <c r="L580" s="172" t="s">
        <v>85</v>
      </c>
      <c r="M580" s="179">
        <v>0</v>
      </c>
      <c r="N580" s="177"/>
      <c r="O580" s="177"/>
      <c r="P580" s="180">
        <v>-10.97</v>
      </c>
    </row>
    <row r="581" spans="1:16" ht="19.5" customHeight="1">
      <c r="A581" s="172" t="s">
        <v>899</v>
      </c>
      <c r="B581" s="176">
        <v>46029</v>
      </c>
      <c r="C581" s="172" t="s">
        <v>92</v>
      </c>
      <c r="D581" s="172" t="s">
        <v>24</v>
      </c>
      <c r="E581" s="172" t="s">
        <v>53</v>
      </c>
      <c r="F581" s="172" t="s">
        <v>120</v>
      </c>
      <c r="G581" s="172" t="s">
        <v>84</v>
      </c>
      <c r="H581" s="177">
        <v>1</v>
      </c>
      <c r="I581" s="178">
        <v>1845</v>
      </c>
      <c r="J581" s="176">
        <v>46026</v>
      </c>
      <c r="K581" s="172" t="s">
        <v>93</v>
      </c>
      <c r="L581" s="172" t="s">
        <v>94</v>
      </c>
      <c r="M581" s="179">
        <v>0.43</v>
      </c>
      <c r="N581" s="177"/>
      <c r="O581" s="177">
        <v>46</v>
      </c>
      <c r="P581" s="180">
        <v>-158.29</v>
      </c>
    </row>
    <row r="582" spans="1:16" ht="19.5" customHeight="1">
      <c r="A582" s="172" t="s">
        <v>899</v>
      </c>
      <c r="B582" s="176">
        <v>46029</v>
      </c>
      <c r="C582" s="172" t="s">
        <v>100</v>
      </c>
      <c r="D582" s="172" t="s">
        <v>101</v>
      </c>
      <c r="E582" s="172" t="s">
        <v>53</v>
      </c>
      <c r="F582" s="172" t="s">
        <v>120</v>
      </c>
      <c r="G582" s="172" t="s">
        <v>84</v>
      </c>
      <c r="H582" s="177">
        <v>1</v>
      </c>
      <c r="I582" s="178">
        <v>1845</v>
      </c>
      <c r="J582" s="176">
        <v>46026</v>
      </c>
      <c r="K582" s="172" t="s">
        <v>93</v>
      </c>
      <c r="L582" s="172" t="s">
        <v>94</v>
      </c>
      <c r="M582" s="179">
        <v>0</v>
      </c>
      <c r="N582" s="177"/>
      <c r="O582" s="177"/>
      <c r="P582" s="180">
        <v>642.86</v>
      </c>
    </row>
    <row r="583" spans="1:16" ht="19.5" customHeight="1">
      <c r="A583" s="172" t="s">
        <v>899</v>
      </c>
      <c r="B583" s="176">
        <v>46029</v>
      </c>
      <c r="C583" s="172" t="s">
        <v>100</v>
      </c>
      <c r="D583" s="172" t="s">
        <v>102</v>
      </c>
      <c r="E583" s="172" t="s">
        <v>53</v>
      </c>
      <c r="F583" s="172" t="s">
        <v>120</v>
      </c>
      <c r="G583" s="172" t="s">
        <v>84</v>
      </c>
      <c r="H583" s="177">
        <v>1</v>
      </c>
      <c r="I583" s="178">
        <v>1845</v>
      </c>
      <c r="J583" s="176">
        <v>46026</v>
      </c>
      <c r="K583" s="172" t="s">
        <v>93</v>
      </c>
      <c r="L583" s="172" t="s">
        <v>94</v>
      </c>
      <c r="M583" s="179">
        <v>0</v>
      </c>
      <c r="N583" s="177"/>
      <c r="O583" s="177"/>
      <c r="P583" s="180">
        <v>6.43</v>
      </c>
    </row>
    <row r="584" spans="1:16" ht="19.5" customHeight="1">
      <c r="A584" s="172" t="s">
        <v>899</v>
      </c>
      <c r="B584" s="176">
        <v>46029</v>
      </c>
      <c r="C584" s="172" t="s">
        <v>100</v>
      </c>
      <c r="D584" s="172" t="s">
        <v>103</v>
      </c>
      <c r="E584" s="172" t="s">
        <v>53</v>
      </c>
      <c r="F584" s="172" t="s">
        <v>120</v>
      </c>
      <c r="G584" s="172" t="s">
        <v>84</v>
      </c>
      <c r="H584" s="177">
        <v>1</v>
      </c>
      <c r="I584" s="178">
        <v>1845</v>
      </c>
      <c r="J584" s="176">
        <v>46026</v>
      </c>
      <c r="K584" s="172" t="s">
        <v>93</v>
      </c>
      <c r="L584" s="172" t="s">
        <v>94</v>
      </c>
      <c r="M584" s="179">
        <v>0</v>
      </c>
      <c r="N584" s="177"/>
      <c r="O584" s="177"/>
      <c r="P584" s="180">
        <v>1195.71</v>
      </c>
    </row>
    <row r="585" spans="1:16" ht="19.5" customHeight="1">
      <c r="A585" s="172" t="s">
        <v>899</v>
      </c>
      <c r="B585" s="176">
        <v>46029</v>
      </c>
      <c r="C585" s="172" t="s">
        <v>104</v>
      </c>
      <c r="D585" s="172" t="s">
        <v>105</v>
      </c>
      <c r="E585" s="172" t="s">
        <v>53</v>
      </c>
      <c r="F585" s="172" t="s">
        <v>120</v>
      </c>
      <c r="G585" s="172" t="s">
        <v>84</v>
      </c>
      <c r="H585" s="177">
        <v>1</v>
      </c>
      <c r="I585" s="178">
        <v>1845</v>
      </c>
      <c r="J585" s="176">
        <v>46026</v>
      </c>
      <c r="K585" s="172" t="s">
        <v>93</v>
      </c>
      <c r="L585" s="172" t="s">
        <v>94</v>
      </c>
      <c r="M585" s="179">
        <v>0.43</v>
      </c>
      <c r="N585" s="177"/>
      <c r="O585" s="177"/>
      <c r="P585" s="180">
        <v>-793.35</v>
      </c>
    </row>
    <row r="586" spans="1:16" ht="19.5" customHeight="1">
      <c r="A586" s="172" t="s">
        <v>900</v>
      </c>
      <c r="B586" s="176">
        <v>46029</v>
      </c>
      <c r="C586" s="172" t="s">
        <v>81</v>
      </c>
      <c r="D586" s="172" t="s">
        <v>82</v>
      </c>
      <c r="E586" s="172" t="s">
        <v>53</v>
      </c>
      <c r="F586" s="172" t="s">
        <v>120</v>
      </c>
      <c r="G586" s="172" t="s">
        <v>84</v>
      </c>
      <c r="H586" s="177">
        <v>1</v>
      </c>
      <c r="I586" s="178">
        <v>0</v>
      </c>
      <c r="J586" s="176">
        <v>46029</v>
      </c>
      <c r="K586" s="172" t="s">
        <v>85</v>
      </c>
      <c r="L586" s="172" t="s">
        <v>85</v>
      </c>
      <c r="M586" s="179">
        <v>0</v>
      </c>
      <c r="N586" s="177"/>
      <c r="O586" s="177"/>
      <c r="P586" s="180">
        <v>-12.21</v>
      </c>
    </row>
    <row r="587" spans="1:16" ht="19.5" customHeight="1">
      <c r="A587" s="172" t="s">
        <v>901</v>
      </c>
      <c r="B587" s="176">
        <v>46029</v>
      </c>
      <c r="C587" s="172" t="s">
        <v>92</v>
      </c>
      <c r="D587" s="172" t="s">
        <v>24</v>
      </c>
      <c r="E587" s="172" t="s">
        <v>53</v>
      </c>
      <c r="F587" s="172" t="s">
        <v>120</v>
      </c>
      <c r="G587" s="172" t="s">
        <v>84</v>
      </c>
      <c r="H587" s="177">
        <v>1</v>
      </c>
      <c r="I587" s="178">
        <v>1621</v>
      </c>
      <c r="J587" s="176">
        <v>46017</v>
      </c>
      <c r="K587" s="172" t="s">
        <v>93</v>
      </c>
      <c r="L587" s="172" t="s">
        <v>94</v>
      </c>
      <c r="M587" s="179">
        <v>0.43</v>
      </c>
      <c r="N587" s="177"/>
      <c r="O587" s="177">
        <v>43</v>
      </c>
      <c r="P587" s="180">
        <v>-138.22999999999999</v>
      </c>
    </row>
    <row r="588" spans="1:16" ht="19.5" customHeight="1">
      <c r="A588" s="172" t="s">
        <v>901</v>
      </c>
      <c r="B588" s="176">
        <v>46029</v>
      </c>
      <c r="C588" s="172" t="s">
        <v>100</v>
      </c>
      <c r="D588" s="172" t="s">
        <v>101</v>
      </c>
      <c r="E588" s="172" t="s">
        <v>53</v>
      </c>
      <c r="F588" s="172" t="s">
        <v>120</v>
      </c>
      <c r="G588" s="172" t="s">
        <v>84</v>
      </c>
      <c r="H588" s="177">
        <v>1</v>
      </c>
      <c r="I588" s="178">
        <v>1621</v>
      </c>
      <c r="J588" s="176">
        <v>46017</v>
      </c>
      <c r="K588" s="172" t="s">
        <v>93</v>
      </c>
      <c r="L588" s="172" t="s">
        <v>94</v>
      </c>
      <c r="M588" s="179">
        <v>0</v>
      </c>
      <c r="N588" s="177"/>
      <c r="O588" s="177"/>
      <c r="P588" s="180">
        <v>557.14</v>
      </c>
    </row>
    <row r="589" spans="1:16" ht="19.5" customHeight="1">
      <c r="A589" s="172" t="s">
        <v>901</v>
      </c>
      <c r="B589" s="176">
        <v>46029</v>
      </c>
      <c r="C589" s="172" t="s">
        <v>100</v>
      </c>
      <c r="D589" s="172" t="s">
        <v>102</v>
      </c>
      <c r="E589" s="172" t="s">
        <v>53</v>
      </c>
      <c r="F589" s="172" t="s">
        <v>120</v>
      </c>
      <c r="G589" s="172" t="s">
        <v>84</v>
      </c>
      <c r="H589" s="177">
        <v>1</v>
      </c>
      <c r="I589" s="178">
        <v>1621</v>
      </c>
      <c r="J589" s="176">
        <v>46017</v>
      </c>
      <c r="K589" s="172" t="s">
        <v>93</v>
      </c>
      <c r="L589" s="172" t="s">
        <v>94</v>
      </c>
      <c r="M589" s="179">
        <v>0</v>
      </c>
      <c r="N589" s="177"/>
      <c r="O589" s="177"/>
      <c r="P589" s="180">
        <v>5.57</v>
      </c>
    </row>
    <row r="590" spans="1:16" ht="19.5" customHeight="1">
      <c r="A590" s="172" t="s">
        <v>901</v>
      </c>
      <c r="B590" s="176">
        <v>46029</v>
      </c>
      <c r="C590" s="172" t="s">
        <v>100</v>
      </c>
      <c r="D590" s="172" t="s">
        <v>103</v>
      </c>
      <c r="E590" s="172" t="s">
        <v>53</v>
      </c>
      <c r="F590" s="172" t="s">
        <v>120</v>
      </c>
      <c r="G590" s="172" t="s">
        <v>84</v>
      </c>
      <c r="H590" s="177">
        <v>1</v>
      </c>
      <c r="I590" s="178">
        <v>1621</v>
      </c>
      <c r="J590" s="176">
        <v>46017</v>
      </c>
      <c r="K590" s="172" t="s">
        <v>93</v>
      </c>
      <c r="L590" s="172" t="s">
        <v>94</v>
      </c>
      <c r="M590" s="179">
        <v>0</v>
      </c>
      <c r="N590" s="177"/>
      <c r="O590" s="177"/>
      <c r="P590" s="180">
        <v>1058.29</v>
      </c>
    </row>
    <row r="591" spans="1:16" ht="19.5" customHeight="1">
      <c r="A591" s="172" t="s">
        <v>901</v>
      </c>
      <c r="B591" s="176">
        <v>46029</v>
      </c>
      <c r="C591" s="172" t="s">
        <v>104</v>
      </c>
      <c r="D591" s="172" t="s">
        <v>105</v>
      </c>
      <c r="E591" s="172" t="s">
        <v>53</v>
      </c>
      <c r="F591" s="172" t="s">
        <v>120</v>
      </c>
      <c r="G591" s="172" t="s">
        <v>84</v>
      </c>
      <c r="H591" s="177">
        <v>1</v>
      </c>
      <c r="I591" s="178">
        <v>1621</v>
      </c>
      <c r="J591" s="176">
        <v>46017</v>
      </c>
      <c r="K591" s="172" t="s">
        <v>93</v>
      </c>
      <c r="L591" s="172" t="s">
        <v>94</v>
      </c>
      <c r="M591" s="179">
        <v>0.43</v>
      </c>
      <c r="N591" s="177"/>
      <c r="O591" s="177"/>
      <c r="P591" s="180">
        <v>-697.03</v>
      </c>
    </row>
    <row r="592" spans="1:16" ht="19.5" customHeight="1">
      <c r="A592" s="172" t="s">
        <v>901</v>
      </c>
      <c r="B592" s="176">
        <v>46029</v>
      </c>
      <c r="C592" s="172" t="s">
        <v>81</v>
      </c>
      <c r="D592" s="172" t="s">
        <v>95</v>
      </c>
      <c r="E592" s="172" t="s">
        <v>53</v>
      </c>
      <c r="F592" s="172" t="s">
        <v>120</v>
      </c>
      <c r="G592" s="172" t="s">
        <v>84</v>
      </c>
      <c r="H592" s="177">
        <v>1</v>
      </c>
      <c r="I592" s="178">
        <v>1621</v>
      </c>
      <c r="J592" s="176">
        <v>46017</v>
      </c>
      <c r="K592" s="172" t="s">
        <v>93</v>
      </c>
      <c r="L592" s="172" t="s">
        <v>94</v>
      </c>
      <c r="M592" s="179">
        <v>0.43</v>
      </c>
      <c r="N592" s="177"/>
      <c r="O592" s="177"/>
      <c r="P592" s="180">
        <v>-11.63</v>
      </c>
    </row>
    <row r="593" spans="1:16" ht="19.5" customHeight="1">
      <c r="A593" s="172" t="s">
        <v>902</v>
      </c>
      <c r="B593" s="176">
        <v>46029</v>
      </c>
      <c r="C593" s="172" t="s">
        <v>81</v>
      </c>
      <c r="D593" s="172" t="s">
        <v>82</v>
      </c>
      <c r="E593" s="172" t="s">
        <v>42</v>
      </c>
      <c r="F593" s="172" t="s">
        <v>89</v>
      </c>
      <c r="G593" s="172" t="s">
        <v>84</v>
      </c>
      <c r="H593" s="177">
        <v>1</v>
      </c>
      <c r="I593" s="178">
        <v>0</v>
      </c>
      <c r="J593" s="176">
        <v>46029</v>
      </c>
      <c r="K593" s="172" t="s">
        <v>85</v>
      </c>
      <c r="L593" s="172" t="s">
        <v>85</v>
      </c>
      <c r="M593" s="179">
        <v>0</v>
      </c>
      <c r="N593" s="177"/>
      <c r="O593" s="177"/>
      <c r="P593" s="180">
        <v>-10.82</v>
      </c>
    </row>
    <row r="594" spans="1:16" ht="19.5" customHeight="1">
      <c r="A594" s="172" t="s">
        <v>903</v>
      </c>
      <c r="B594" s="176">
        <v>46029</v>
      </c>
      <c r="C594" s="172" t="s">
        <v>92</v>
      </c>
      <c r="D594" s="172" t="s">
        <v>24</v>
      </c>
      <c r="E594" s="172" t="s">
        <v>52</v>
      </c>
      <c r="F594" s="172" t="s">
        <v>90</v>
      </c>
      <c r="G594" s="172" t="s">
        <v>84</v>
      </c>
      <c r="H594" s="177">
        <v>1</v>
      </c>
      <c r="I594" s="178">
        <v>1621</v>
      </c>
      <c r="J594" s="176">
        <v>46027</v>
      </c>
      <c r="K594" s="172" t="s">
        <v>93</v>
      </c>
      <c r="L594" s="172" t="s">
        <v>94</v>
      </c>
      <c r="M594" s="179">
        <v>0.43</v>
      </c>
      <c r="N594" s="177"/>
      <c r="O594" s="177">
        <v>45</v>
      </c>
      <c r="P594" s="180">
        <v>-146.44999999999999</v>
      </c>
    </row>
    <row r="595" spans="1:16" ht="19.5" customHeight="1">
      <c r="A595" s="172" t="s">
        <v>903</v>
      </c>
      <c r="B595" s="176">
        <v>46029</v>
      </c>
      <c r="C595" s="172" t="s">
        <v>100</v>
      </c>
      <c r="D595" s="172" t="s">
        <v>101</v>
      </c>
      <c r="E595" s="172" t="s">
        <v>52</v>
      </c>
      <c r="F595" s="172" t="s">
        <v>90</v>
      </c>
      <c r="G595" s="172" t="s">
        <v>84</v>
      </c>
      <c r="H595" s="177">
        <v>1</v>
      </c>
      <c r="I595" s="178">
        <v>1621</v>
      </c>
      <c r="J595" s="176">
        <v>46027</v>
      </c>
      <c r="K595" s="172" t="s">
        <v>93</v>
      </c>
      <c r="L595" s="172" t="s">
        <v>94</v>
      </c>
      <c r="M595" s="179">
        <v>0</v>
      </c>
      <c r="N595" s="177"/>
      <c r="O595" s="177"/>
      <c r="P595" s="180">
        <v>615.97</v>
      </c>
    </row>
    <row r="596" spans="1:16" ht="19.5" customHeight="1">
      <c r="A596" s="172" t="s">
        <v>903</v>
      </c>
      <c r="B596" s="176">
        <v>46029</v>
      </c>
      <c r="C596" s="172" t="s">
        <v>100</v>
      </c>
      <c r="D596" s="172" t="s">
        <v>102</v>
      </c>
      <c r="E596" s="172" t="s">
        <v>52</v>
      </c>
      <c r="F596" s="172" t="s">
        <v>90</v>
      </c>
      <c r="G596" s="172" t="s">
        <v>84</v>
      </c>
      <c r="H596" s="177">
        <v>1</v>
      </c>
      <c r="I596" s="178">
        <v>1621</v>
      </c>
      <c r="J596" s="176">
        <v>46027</v>
      </c>
      <c r="K596" s="172" t="s">
        <v>93</v>
      </c>
      <c r="L596" s="172" t="s">
        <v>94</v>
      </c>
      <c r="M596" s="179">
        <v>0</v>
      </c>
      <c r="N596" s="177"/>
      <c r="O596" s="177"/>
      <c r="P596" s="180">
        <v>0</v>
      </c>
    </row>
    <row r="597" spans="1:16" ht="19.5" customHeight="1">
      <c r="A597" s="172" t="s">
        <v>903</v>
      </c>
      <c r="B597" s="176">
        <v>46029</v>
      </c>
      <c r="C597" s="172" t="s">
        <v>100</v>
      </c>
      <c r="D597" s="172" t="s">
        <v>103</v>
      </c>
      <c r="E597" s="172" t="s">
        <v>52</v>
      </c>
      <c r="F597" s="172" t="s">
        <v>90</v>
      </c>
      <c r="G597" s="172" t="s">
        <v>84</v>
      </c>
      <c r="H597" s="177">
        <v>1</v>
      </c>
      <c r="I597" s="178">
        <v>1621</v>
      </c>
      <c r="J597" s="176">
        <v>46027</v>
      </c>
      <c r="K597" s="172" t="s">
        <v>93</v>
      </c>
      <c r="L597" s="172" t="s">
        <v>94</v>
      </c>
      <c r="M597" s="179">
        <v>0</v>
      </c>
      <c r="N597" s="177"/>
      <c r="O597" s="177"/>
      <c r="P597" s="180">
        <v>1005.03</v>
      </c>
    </row>
    <row r="598" spans="1:16" ht="19.5" customHeight="1">
      <c r="A598" s="172" t="s">
        <v>903</v>
      </c>
      <c r="B598" s="176">
        <v>46029</v>
      </c>
      <c r="C598" s="172" t="s">
        <v>104</v>
      </c>
      <c r="D598" s="172" t="s">
        <v>105</v>
      </c>
      <c r="E598" s="172" t="s">
        <v>52</v>
      </c>
      <c r="F598" s="172" t="s">
        <v>90</v>
      </c>
      <c r="G598" s="172" t="s">
        <v>84</v>
      </c>
      <c r="H598" s="177">
        <v>1</v>
      </c>
      <c r="I598" s="178">
        <v>1621</v>
      </c>
      <c r="J598" s="176">
        <v>46027</v>
      </c>
      <c r="K598" s="172" t="s">
        <v>93</v>
      </c>
      <c r="L598" s="172" t="s">
        <v>94</v>
      </c>
      <c r="M598" s="179">
        <v>0.43</v>
      </c>
      <c r="N598" s="177"/>
      <c r="O598" s="177"/>
      <c r="P598" s="180">
        <v>-697.03</v>
      </c>
    </row>
    <row r="599" spans="1:16" ht="19.5" customHeight="1">
      <c r="A599" s="172" t="s">
        <v>903</v>
      </c>
      <c r="B599" s="176">
        <v>46029</v>
      </c>
      <c r="C599" s="172" t="s">
        <v>81</v>
      </c>
      <c r="D599" s="172" t="s">
        <v>95</v>
      </c>
      <c r="E599" s="172" t="s">
        <v>52</v>
      </c>
      <c r="F599" s="172" t="s">
        <v>90</v>
      </c>
      <c r="G599" s="172" t="s">
        <v>84</v>
      </c>
      <c r="H599" s="177">
        <v>1</v>
      </c>
      <c r="I599" s="178">
        <v>1621</v>
      </c>
      <c r="J599" s="176">
        <v>46027</v>
      </c>
      <c r="K599" s="172" t="s">
        <v>93</v>
      </c>
      <c r="L599" s="172" t="s">
        <v>94</v>
      </c>
      <c r="M599" s="179">
        <v>0.43</v>
      </c>
      <c r="N599" s="177"/>
      <c r="O599" s="177"/>
      <c r="P599" s="180">
        <v>-8.6</v>
      </c>
    </row>
    <row r="600" spans="1:16" ht="19.5" customHeight="1">
      <c r="A600" s="172" t="s">
        <v>904</v>
      </c>
      <c r="B600" s="176">
        <v>46029</v>
      </c>
      <c r="C600" s="172" t="s">
        <v>81</v>
      </c>
      <c r="D600" s="172" t="s">
        <v>82</v>
      </c>
      <c r="E600" s="172" t="s">
        <v>41</v>
      </c>
      <c r="F600" s="172" t="s">
        <v>83</v>
      </c>
      <c r="G600" s="172" t="s">
        <v>84</v>
      </c>
      <c r="H600" s="177">
        <v>1</v>
      </c>
      <c r="I600" s="178">
        <v>0</v>
      </c>
      <c r="J600" s="176">
        <v>46029</v>
      </c>
      <c r="K600" s="172" t="s">
        <v>85</v>
      </c>
      <c r="L600" s="172" t="s">
        <v>85</v>
      </c>
      <c r="M600" s="179">
        <v>0</v>
      </c>
      <c r="N600" s="177"/>
      <c r="O600" s="177"/>
      <c r="P600" s="180">
        <v>-10.44</v>
      </c>
    </row>
    <row r="601" spans="1:16" ht="19.5" customHeight="1">
      <c r="A601" s="172" t="s">
        <v>905</v>
      </c>
      <c r="B601" s="176">
        <v>46029</v>
      </c>
      <c r="C601" s="172" t="s">
        <v>81</v>
      </c>
      <c r="D601" s="172" t="s">
        <v>82</v>
      </c>
      <c r="E601" s="172" t="s">
        <v>38</v>
      </c>
      <c r="F601" s="172" t="s">
        <v>87</v>
      </c>
      <c r="G601" s="172" t="s">
        <v>84</v>
      </c>
      <c r="H601" s="177">
        <v>1</v>
      </c>
      <c r="I601" s="178">
        <v>0</v>
      </c>
      <c r="J601" s="176">
        <v>46029</v>
      </c>
      <c r="K601" s="172" t="s">
        <v>85</v>
      </c>
      <c r="L601" s="172" t="s">
        <v>85</v>
      </c>
      <c r="M601" s="179">
        <v>0</v>
      </c>
      <c r="N601" s="177"/>
      <c r="O601" s="177"/>
      <c r="P601" s="180">
        <v>-6.26</v>
      </c>
    </row>
    <row r="602" spans="1:16" ht="19.5" customHeight="1">
      <c r="A602" s="172" t="s">
        <v>906</v>
      </c>
      <c r="B602" s="176">
        <v>46029</v>
      </c>
      <c r="C602" s="172" t="s">
        <v>92</v>
      </c>
      <c r="D602" s="172" t="s">
        <v>24</v>
      </c>
      <c r="E602" s="172" t="s">
        <v>52</v>
      </c>
      <c r="F602" s="172" t="s">
        <v>90</v>
      </c>
      <c r="G602" s="172" t="s">
        <v>84</v>
      </c>
      <c r="H602" s="177">
        <v>1</v>
      </c>
      <c r="I602" s="178">
        <v>1621</v>
      </c>
      <c r="J602" s="176">
        <v>46025</v>
      </c>
      <c r="K602" s="172" t="s">
        <v>93</v>
      </c>
      <c r="L602" s="172" t="s">
        <v>94</v>
      </c>
      <c r="M602" s="179">
        <v>0.43</v>
      </c>
      <c r="N602" s="177"/>
      <c r="O602" s="177">
        <v>44</v>
      </c>
      <c r="P602" s="180">
        <v>-142.34</v>
      </c>
    </row>
    <row r="603" spans="1:16" ht="19.5" customHeight="1">
      <c r="A603" s="172" t="s">
        <v>906</v>
      </c>
      <c r="B603" s="176">
        <v>46029</v>
      </c>
      <c r="C603" s="172" t="s">
        <v>100</v>
      </c>
      <c r="D603" s="172" t="s">
        <v>101</v>
      </c>
      <c r="E603" s="172" t="s">
        <v>52</v>
      </c>
      <c r="F603" s="172" t="s">
        <v>90</v>
      </c>
      <c r="G603" s="172" t="s">
        <v>84</v>
      </c>
      <c r="H603" s="177">
        <v>1</v>
      </c>
      <c r="I603" s="178">
        <v>1621</v>
      </c>
      <c r="J603" s="176">
        <v>46025</v>
      </c>
      <c r="K603" s="172" t="s">
        <v>93</v>
      </c>
      <c r="L603" s="172" t="s">
        <v>94</v>
      </c>
      <c r="M603" s="179">
        <v>0</v>
      </c>
      <c r="N603" s="177"/>
      <c r="O603" s="177"/>
      <c r="P603" s="180">
        <v>549.23</v>
      </c>
    </row>
    <row r="604" spans="1:16" ht="19.5" customHeight="1">
      <c r="A604" s="172" t="s">
        <v>906</v>
      </c>
      <c r="B604" s="176">
        <v>46029</v>
      </c>
      <c r="C604" s="172" t="s">
        <v>100</v>
      </c>
      <c r="D604" s="172" t="s">
        <v>102</v>
      </c>
      <c r="E604" s="172" t="s">
        <v>52</v>
      </c>
      <c r="F604" s="172" t="s">
        <v>90</v>
      </c>
      <c r="G604" s="172" t="s">
        <v>84</v>
      </c>
      <c r="H604" s="177">
        <v>1</v>
      </c>
      <c r="I604" s="178">
        <v>1621</v>
      </c>
      <c r="J604" s="176">
        <v>46025</v>
      </c>
      <c r="K604" s="172" t="s">
        <v>93</v>
      </c>
      <c r="L604" s="172" t="s">
        <v>94</v>
      </c>
      <c r="M604" s="179">
        <v>0</v>
      </c>
      <c r="N604" s="177"/>
      <c r="O604" s="177"/>
      <c r="P604" s="180">
        <v>5.49</v>
      </c>
    </row>
    <row r="605" spans="1:16" ht="19.5" customHeight="1">
      <c r="A605" s="172" t="s">
        <v>906</v>
      </c>
      <c r="B605" s="176">
        <v>46029</v>
      </c>
      <c r="C605" s="172" t="s">
        <v>100</v>
      </c>
      <c r="D605" s="172" t="s">
        <v>103</v>
      </c>
      <c r="E605" s="172" t="s">
        <v>52</v>
      </c>
      <c r="F605" s="172" t="s">
        <v>90</v>
      </c>
      <c r="G605" s="172" t="s">
        <v>84</v>
      </c>
      <c r="H605" s="177">
        <v>1</v>
      </c>
      <c r="I605" s="178">
        <v>1621</v>
      </c>
      <c r="J605" s="176">
        <v>46025</v>
      </c>
      <c r="K605" s="172" t="s">
        <v>93</v>
      </c>
      <c r="L605" s="172" t="s">
        <v>94</v>
      </c>
      <c r="M605" s="179">
        <v>0</v>
      </c>
      <c r="N605" s="177"/>
      <c r="O605" s="177"/>
      <c r="P605" s="180">
        <v>1066.28</v>
      </c>
    </row>
    <row r="606" spans="1:16" ht="19.5" customHeight="1">
      <c r="A606" s="172" t="s">
        <v>906</v>
      </c>
      <c r="B606" s="176">
        <v>46029</v>
      </c>
      <c r="C606" s="172" t="s">
        <v>104</v>
      </c>
      <c r="D606" s="172" t="s">
        <v>105</v>
      </c>
      <c r="E606" s="172" t="s">
        <v>52</v>
      </c>
      <c r="F606" s="172" t="s">
        <v>90</v>
      </c>
      <c r="G606" s="172" t="s">
        <v>84</v>
      </c>
      <c r="H606" s="177">
        <v>1</v>
      </c>
      <c r="I606" s="178">
        <v>1621</v>
      </c>
      <c r="J606" s="176">
        <v>46025</v>
      </c>
      <c r="K606" s="172" t="s">
        <v>93</v>
      </c>
      <c r="L606" s="172" t="s">
        <v>94</v>
      </c>
      <c r="M606" s="179">
        <v>0.43</v>
      </c>
      <c r="N606" s="177"/>
      <c r="O606" s="177"/>
      <c r="P606" s="180">
        <v>-697.03</v>
      </c>
    </row>
    <row r="607" spans="1:16" ht="19.5" customHeight="1">
      <c r="A607" s="172" t="s">
        <v>906</v>
      </c>
      <c r="B607" s="176">
        <v>46029</v>
      </c>
      <c r="C607" s="172" t="s">
        <v>81</v>
      </c>
      <c r="D607" s="172" t="s">
        <v>95</v>
      </c>
      <c r="E607" s="172" t="s">
        <v>52</v>
      </c>
      <c r="F607" s="172" t="s">
        <v>90</v>
      </c>
      <c r="G607" s="172" t="s">
        <v>84</v>
      </c>
      <c r="H607" s="177">
        <v>1</v>
      </c>
      <c r="I607" s="178">
        <v>1621</v>
      </c>
      <c r="J607" s="176">
        <v>46025</v>
      </c>
      <c r="K607" s="172" t="s">
        <v>93</v>
      </c>
      <c r="L607" s="172" t="s">
        <v>94</v>
      </c>
      <c r="M607" s="179">
        <v>0.43</v>
      </c>
      <c r="N607" s="177"/>
      <c r="O607" s="177"/>
      <c r="P607" s="180">
        <v>-9.76</v>
      </c>
    </row>
    <row r="608" spans="1:16" ht="19.5" customHeight="1">
      <c r="A608" s="172" t="s">
        <v>906</v>
      </c>
      <c r="B608" s="176">
        <v>46029</v>
      </c>
      <c r="C608" s="172" t="s">
        <v>81</v>
      </c>
      <c r="D608" s="172" t="s">
        <v>82</v>
      </c>
      <c r="E608" s="172" t="s">
        <v>52</v>
      </c>
      <c r="F608" s="172" t="s">
        <v>90</v>
      </c>
      <c r="G608" s="172" t="s">
        <v>84</v>
      </c>
      <c r="H608" s="177">
        <v>1</v>
      </c>
      <c r="I608" s="178">
        <v>0</v>
      </c>
      <c r="J608" s="176">
        <v>46025</v>
      </c>
      <c r="K608" s="172" t="s">
        <v>85</v>
      </c>
      <c r="L608" s="172" t="s">
        <v>85</v>
      </c>
      <c r="M608" s="179">
        <v>0</v>
      </c>
      <c r="N608" s="177"/>
      <c r="O608" s="177"/>
      <c r="P608" s="180">
        <v>-10.44</v>
      </c>
    </row>
    <row r="609" spans="1:16" ht="19.5" customHeight="1">
      <c r="A609" s="172" t="s">
        <v>907</v>
      </c>
      <c r="B609" s="176">
        <v>46029</v>
      </c>
      <c r="C609" s="172" t="s">
        <v>92</v>
      </c>
      <c r="D609" s="172" t="s">
        <v>24</v>
      </c>
      <c r="E609" s="172" t="s">
        <v>52</v>
      </c>
      <c r="F609" s="172" t="s">
        <v>90</v>
      </c>
      <c r="G609" s="172" t="s">
        <v>84</v>
      </c>
      <c r="H609" s="177">
        <v>1</v>
      </c>
      <c r="I609" s="178">
        <v>1621</v>
      </c>
      <c r="J609" s="176">
        <v>46025</v>
      </c>
      <c r="K609" s="172" t="s">
        <v>93</v>
      </c>
      <c r="L609" s="172" t="s">
        <v>94</v>
      </c>
      <c r="M609" s="179">
        <v>0.43</v>
      </c>
      <c r="N609" s="177"/>
      <c r="O609" s="177">
        <v>44</v>
      </c>
      <c r="P609" s="180">
        <v>-142.34</v>
      </c>
    </row>
    <row r="610" spans="1:16" ht="19.5" customHeight="1">
      <c r="A610" s="172" t="s">
        <v>907</v>
      </c>
      <c r="B610" s="176">
        <v>46029</v>
      </c>
      <c r="C610" s="172" t="s">
        <v>100</v>
      </c>
      <c r="D610" s="172" t="s">
        <v>101</v>
      </c>
      <c r="E610" s="172" t="s">
        <v>52</v>
      </c>
      <c r="F610" s="172" t="s">
        <v>90</v>
      </c>
      <c r="G610" s="172" t="s">
        <v>84</v>
      </c>
      <c r="H610" s="177">
        <v>1</v>
      </c>
      <c r="I610" s="178">
        <v>1621</v>
      </c>
      <c r="J610" s="176">
        <v>46025</v>
      </c>
      <c r="K610" s="172" t="s">
        <v>93</v>
      </c>
      <c r="L610" s="172" t="s">
        <v>94</v>
      </c>
      <c r="M610" s="179">
        <v>0</v>
      </c>
      <c r="N610" s="177"/>
      <c r="O610" s="177"/>
      <c r="P610" s="180">
        <v>556.61</v>
      </c>
    </row>
    <row r="611" spans="1:16" ht="19.5" customHeight="1">
      <c r="A611" s="172" t="s">
        <v>907</v>
      </c>
      <c r="B611" s="176">
        <v>46029</v>
      </c>
      <c r="C611" s="172" t="s">
        <v>100</v>
      </c>
      <c r="D611" s="172" t="s">
        <v>102</v>
      </c>
      <c r="E611" s="172" t="s">
        <v>52</v>
      </c>
      <c r="F611" s="172" t="s">
        <v>90</v>
      </c>
      <c r="G611" s="172" t="s">
        <v>84</v>
      </c>
      <c r="H611" s="177">
        <v>1</v>
      </c>
      <c r="I611" s="178">
        <v>1621</v>
      </c>
      <c r="J611" s="176">
        <v>46025</v>
      </c>
      <c r="K611" s="172" t="s">
        <v>93</v>
      </c>
      <c r="L611" s="172" t="s">
        <v>94</v>
      </c>
      <c r="M611" s="179">
        <v>0</v>
      </c>
      <c r="N611" s="177"/>
      <c r="O611" s="177"/>
      <c r="P611" s="180">
        <v>5.57</v>
      </c>
    </row>
    <row r="612" spans="1:16" ht="19.5" customHeight="1">
      <c r="A612" s="172" t="s">
        <v>907</v>
      </c>
      <c r="B612" s="176">
        <v>46029</v>
      </c>
      <c r="C612" s="172" t="s">
        <v>100</v>
      </c>
      <c r="D612" s="172" t="s">
        <v>103</v>
      </c>
      <c r="E612" s="172" t="s">
        <v>52</v>
      </c>
      <c r="F612" s="172" t="s">
        <v>90</v>
      </c>
      <c r="G612" s="172" t="s">
        <v>84</v>
      </c>
      <c r="H612" s="177">
        <v>1</v>
      </c>
      <c r="I612" s="178">
        <v>1621</v>
      </c>
      <c r="J612" s="176">
        <v>46025</v>
      </c>
      <c r="K612" s="172" t="s">
        <v>93</v>
      </c>
      <c r="L612" s="172" t="s">
        <v>94</v>
      </c>
      <c r="M612" s="179">
        <v>0</v>
      </c>
      <c r="N612" s="177"/>
      <c r="O612" s="177"/>
      <c r="P612" s="180">
        <v>1058.82</v>
      </c>
    </row>
    <row r="613" spans="1:16" ht="19.5" customHeight="1">
      <c r="A613" s="172" t="s">
        <v>907</v>
      </c>
      <c r="B613" s="176">
        <v>46029</v>
      </c>
      <c r="C613" s="172" t="s">
        <v>104</v>
      </c>
      <c r="D613" s="172" t="s">
        <v>105</v>
      </c>
      <c r="E613" s="172" t="s">
        <v>52</v>
      </c>
      <c r="F613" s="172" t="s">
        <v>90</v>
      </c>
      <c r="G613" s="172" t="s">
        <v>84</v>
      </c>
      <c r="H613" s="177">
        <v>1</v>
      </c>
      <c r="I613" s="178">
        <v>1621</v>
      </c>
      <c r="J613" s="176">
        <v>46025</v>
      </c>
      <c r="K613" s="172" t="s">
        <v>93</v>
      </c>
      <c r="L613" s="172" t="s">
        <v>94</v>
      </c>
      <c r="M613" s="179">
        <v>0.43</v>
      </c>
      <c r="N613" s="177"/>
      <c r="O613" s="177"/>
      <c r="P613" s="180">
        <v>-697.03</v>
      </c>
    </row>
    <row r="614" spans="1:16" ht="19.5" customHeight="1">
      <c r="A614" s="172" t="s">
        <v>907</v>
      </c>
      <c r="B614" s="176">
        <v>46029</v>
      </c>
      <c r="C614" s="172" t="s">
        <v>81</v>
      </c>
      <c r="D614" s="172" t="s">
        <v>95</v>
      </c>
      <c r="E614" s="172" t="s">
        <v>52</v>
      </c>
      <c r="F614" s="172" t="s">
        <v>90</v>
      </c>
      <c r="G614" s="172" t="s">
        <v>84</v>
      </c>
      <c r="H614" s="177">
        <v>1</v>
      </c>
      <c r="I614" s="178">
        <v>1621</v>
      </c>
      <c r="J614" s="176">
        <v>46025</v>
      </c>
      <c r="K614" s="172" t="s">
        <v>93</v>
      </c>
      <c r="L614" s="172" t="s">
        <v>94</v>
      </c>
      <c r="M614" s="179">
        <v>0.43</v>
      </c>
      <c r="N614" s="177"/>
      <c r="O614" s="177"/>
      <c r="P614" s="180">
        <v>-8.6300000000000008</v>
      </c>
    </row>
    <row r="615" spans="1:16" ht="19.5" customHeight="1">
      <c r="A615" s="172" t="s">
        <v>908</v>
      </c>
      <c r="B615" s="176">
        <v>46029</v>
      </c>
      <c r="C615" s="172" t="s">
        <v>92</v>
      </c>
      <c r="D615" s="172" t="s">
        <v>24</v>
      </c>
      <c r="E615" s="172" t="s">
        <v>52</v>
      </c>
      <c r="F615" s="172" t="s">
        <v>90</v>
      </c>
      <c r="G615" s="172" t="s">
        <v>84</v>
      </c>
      <c r="H615" s="177">
        <v>1</v>
      </c>
      <c r="I615" s="178">
        <v>1621</v>
      </c>
      <c r="J615" s="176">
        <v>46028</v>
      </c>
      <c r="K615" s="172" t="s">
        <v>93</v>
      </c>
      <c r="L615" s="172" t="s">
        <v>94</v>
      </c>
      <c r="M615" s="179">
        <v>0.43</v>
      </c>
      <c r="N615" s="177"/>
      <c r="O615" s="177">
        <v>44</v>
      </c>
      <c r="P615" s="180">
        <v>-142.34</v>
      </c>
    </row>
    <row r="616" spans="1:16" ht="19.5" customHeight="1">
      <c r="A616" s="172" t="s">
        <v>908</v>
      </c>
      <c r="B616" s="176">
        <v>46029</v>
      </c>
      <c r="C616" s="172" t="s">
        <v>100</v>
      </c>
      <c r="D616" s="172" t="s">
        <v>101</v>
      </c>
      <c r="E616" s="172" t="s">
        <v>52</v>
      </c>
      <c r="F616" s="172" t="s">
        <v>90</v>
      </c>
      <c r="G616" s="172" t="s">
        <v>84</v>
      </c>
      <c r="H616" s="177">
        <v>1</v>
      </c>
      <c r="I616" s="178">
        <v>1621</v>
      </c>
      <c r="J616" s="176">
        <v>46028</v>
      </c>
      <c r="K616" s="172" t="s">
        <v>93</v>
      </c>
      <c r="L616" s="172" t="s">
        <v>94</v>
      </c>
      <c r="M616" s="179">
        <v>0</v>
      </c>
      <c r="N616" s="177"/>
      <c r="O616" s="177"/>
      <c r="P616" s="180">
        <v>617.14</v>
      </c>
    </row>
    <row r="617" spans="1:16" ht="19.5" customHeight="1">
      <c r="A617" s="172" t="s">
        <v>908</v>
      </c>
      <c r="B617" s="176">
        <v>46029</v>
      </c>
      <c r="C617" s="172" t="s">
        <v>100</v>
      </c>
      <c r="D617" s="172" t="s">
        <v>102</v>
      </c>
      <c r="E617" s="172" t="s">
        <v>52</v>
      </c>
      <c r="F617" s="172" t="s">
        <v>90</v>
      </c>
      <c r="G617" s="172" t="s">
        <v>84</v>
      </c>
      <c r="H617" s="177">
        <v>1</v>
      </c>
      <c r="I617" s="178">
        <v>1621</v>
      </c>
      <c r="J617" s="176">
        <v>46028</v>
      </c>
      <c r="K617" s="172" t="s">
        <v>93</v>
      </c>
      <c r="L617" s="172" t="s">
        <v>94</v>
      </c>
      <c r="M617" s="179">
        <v>0</v>
      </c>
      <c r="N617" s="177"/>
      <c r="O617" s="177"/>
      <c r="P617" s="180">
        <v>0</v>
      </c>
    </row>
    <row r="618" spans="1:16" ht="19.5" customHeight="1">
      <c r="A618" s="172" t="s">
        <v>908</v>
      </c>
      <c r="B618" s="176">
        <v>46029</v>
      </c>
      <c r="C618" s="172" t="s">
        <v>100</v>
      </c>
      <c r="D618" s="172" t="s">
        <v>103</v>
      </c>
      <c r="E618" s="172" t="s">
        <v>52</v>
      </c>
      <c r="F618" s="172" t="s">
        <v>90</v>
      </c>
      <c r="G618" s="172" t="s">
        <v>84</v>
      </c>
      <c r="H618" s="177">
        <v>1</v>
      </c>
      <c r="I618" s="178">
        <v>1621</v>
      </c>
      <c r="J618" s="176">
        <v>46028</v>
      </c>
      <c r="K618" s="172" t="s">
        <v>93</v>
      </c>
      <c r="L618" s="172" t="s">
        <v>94</v>
      </c>
      <c r="M618" s="179">
        <v>0</v>
      </c>
      <c r="N618" s="177"/>
      <c r="O618" s="177"/>
      <c r="P618" s="180">
        <v>1003.86</v>
      </c>
    </row>
    <row r="619" spans="1:16" ht="19.5" customHeight="1">
      <c r="A619" s="172" t="s">
        <v>908</v>
      </c>
      <c r="B619" s="176">
        <v>46029</v>
      </c>
      <c r="C619" s="172" t="s">
        <v>104</v>
      </c>
      <c r="D619" s="172" t="s">
        <v>105</v>
      </c>
      <c r="E619" s="172" t="s">
        <v>52</v>
      </c>
      <c r="F619" s="172" t="s">
        <v>90</v>
      </c>
      <c r="G619" s="172" t="s">
        <v>84</v>
      </c>
      <c r="H619" s="177">
        <v>1</v>
      </c>
      <c r="I619" s="178">
        <v>1621</v>
      </c>
      <c r="J619" s="176">
        <v>46028</v>
      </c>
      <c r="K619" s="172" t="s">
        <v>93</v>
      </c>
      <c r="L619" s="172" t="s">
        <v>94</v>
      </c>
      <c r="M619" s="179">
        <v>0.43</v>
      </c>
      <c r="N619" s="177"/>
      <c r="O619" s="177"/>
      <c r="P619" s="180">
        <v>-697.03</v>
      </c>
    </row>
    <row r="620" spans="1:16" ht="19.5" customHeight="1">
      <c r="A620" s="172" t="s">
        <v>908</v>
      </c>
      <c r="B620" s="176">
        <v>46029</v>
      </c>
      <c r="C620" s="172" t="s">
        <v>81</v>
      </c>
      <c r="D620" s="172" t="s">
        <v>95</v>
      </c>
      <c r="E620" s="172" t="s">
        <v>52</v>
      </c>
      <c r="F620" s="172" t="s">
        <v>90</v>
      </c>
      <c r="G620" s="172" t="s">
        <v>84</v>
      </c>
      <c r="H620" s="177">
        <v>1</v>
      </c>
      <c r="I620" s="178">
        <v>1621</v>
      </c>
      <c r="J620" s="176">
        <v>46028</v>
      </c>
      <c r="K620" s="172" t="s">
        <v>93</v>
      </c>
      <c r="L620" s="172" t="s">
        <v>94</v>
      </c>
      <c r="M620" s="179">
        <v>0.43</v>
      </c>
      <c r="N620" s="177"/>
      <c r="O620" s="177"/>
      <c r="P620" s="180">
        <v>-12.51</v>
      </c>
    </row>
    <row r="621" spans="1:16" ht="19.5" customHeight="1">
      <c r="A621" s="172" t="s">
        <v>909</v>
      </c>
      <c r="B621" s="176">
        <v>46029</v>
      </c>
      <c r="C621" s="172" t="s">
        <v>92</v>
      </c>
      <c r="D621" s="172" t="s">
        <v>24</v>
      </c>
      <c r="E621" s="172" t="s">
        <v>52</v>
      </c>
      <c r="F621" s="172" t="s">
        <v>90</v>
      </c>
      <c r="G621" s="172" t="s">
        <v>84</v>
      </c>
      <c r="H621" s="177">
        <v>1</v>
      </c>
      <c r="I621" s="178">
        <v>1621</v>
      </c>
      <c r="J621" s="176">
        <v>46024</v>
      </c>
      <c r="K621" s="172" t="s">
        <v>93</v>
      </c>
      <c r="L621" s="172" t="s">
        <v>94</v>
      </c>
      <c r="M621" s="179">
        <v>0.43</v>
      </c>
      <c r="N621" s="177"/>
      <c r="O621" s="177">
        <v>42</v>
      </c>
      <c r="P621" s="180">
        <v>-134.12</v>
      </c>
    </row>
    <row r="622" spans="1:16" ht="19.5" customHeight="1">
      <c r="A622" s="172" t="s">
        <v>909</v>
      </c>
      <c r="B622" s="176">
        <v>46029</v>
      </c>
      <c r="C622" s="172" t="s">
        <v>100</v>
      </c>
      <c r="D622" s="172" t="s">
        <v>101</v>
      </c>
      <c r="E622" s="172" t="s">
        <v>52</v>
      </c>
      <c r="F622" s="172" t="s">
        <v>90</v>
      </c>
      <c r="G622" s="172" t="s">
        <v>84</v>
      </c>
      <c r="H622" s="177">
        <v>1</v>
      </c>
      <c r="I622" s="178">
        <v>1621</v>
      </c>
      <c r="J622" s="176">
        <v>46024</v>
      </c>
      <c r="K622" s="172" t="s">
        <v>93</v>
      </c>
      <c r="L622" s="172" t="s">
        <v>94</v>
      </c>
      <c r="M622" s="179">
        <v>0</v>
      </c>
      <c r="N622" s="177"/>
      <c r="O622" s="177"/>
      <c r="P622" s="180">
        <v>614.22</v>
      </c>
    </row>
    <row r="623" spans="1:16" ht="19.5" customHeight="1">
      <c r="A623" s="172" t="s">
        <v>909</v>
      </c>
      <c r="B623" s="176">
        <v>46029</v>
      </c>
      <c r="C623" s="172" t="s">
        <v>100</v>
      </c>
      <c r="D623" s="172" t="s">
        <v>102</v>
      </c>
      <c r="E623" s="172" t="s">
        <v>52</v>
      </c>
      <c r="F623" s="172" t="s">
        <v>90</v>
      </c>
      <c r="G623" s="172" t="s">
        <v>84</v>
      </c>
      <c r="H623" s="177">
        <v>1</v>
      </c>
      <c r="I623" s="178">
        <v>1621</v>
      </c>
      <c r="J623" s="176">
        <v>46024</v>
      </c>
      <c r="K623" s="172" t="s">
        <v>93</v>
      </c>
      <c r="L623" s="172" t="s">
        <v>94</v>
      </c>
      <c r="M623" s="179">
        <v>0</v>
      </c>
      <c r="N623" s="177"/>
      <c r="O623" s="177"/>
      <c r="P623" s="180">
        <v>0</v>
      </c>
    </row>
    <row r="624" spans="1:16" ht="19.5" customHeight="1">
      <c r="A624" s="172" t="s">
        <v>909</v>
      </c>
      <c r="B624" s="176">
        <v>46029</v>
      </c>
      <c r="C624" s="172" t="s">
        <v>100</v>
      </c>
      <c r="D624" s="172" t="s">
        <v>103</v>
      </c>
      <c r="E624" s="172" t="s">
        <v>52</v>
      </c>
      <c r="F624" s="172" t="s">
        <v>90</v>
      </c>
      <c r="G624" s="172" t="s">
        <v>84</v>
      </c>
      <c r="H624" s="177">
        <v>1</v>
      </c>
      <c r="I624" s="178">
        <v>1621</v>
      </c>
      <c r="J624" s="176">
        <v>46024</v>
      </c>
      <c r="K624" s="172" t="s">
        <v>93</v>
      </c>
      <c r="L624" s="172" t="s">
        <v>94</v>
      </c>
      <c r="M624" s="179">
        <v>0</v>
      </c>
      <c r="N624" s="177"/>
      <c r="O624" s="177"/>
      <c r="P624" s="180">
        <v>1006.78</v>
      </c>
    </row>
    <row r="625" spans="1:16" ht="19.5" customHeight="1">
      <c r="A625" s="172" t="s">
        <v>909</v>
      </c>
      <c r="B625" s="176">
        <v>46029</v>
      </c>
      <c r="C625" s="172" t="s">
        <v>104</v>
      </c>
      <c r="D625" s="172" t="s">
        <v>105</v>
      </c>
      <c r="E625" s="172" t="s">
        <v>52</v>
      </c>
      <c r="F625" s="172" t="s">
        <v>90</v>
      </c>
      <c r="G625" s="172" t="s">
        <v>84</v>
      </c>
      <c r="H625" s="177">
        <v>1</v>
      </c>
      <c r="I625" s="178">
        <v>1621</v>
      </c>
      <c r="J625" s="176">
        <v>46024</v>
      </c>
      <c r="K625" s="172" t="s">
        <v>93</v>
      </c>
      <c r="L625" s="172" t="s">
        <v>94</v>
      </c>
      <c r="M625" s="179">
        <v>0.43</v>
      </c>
      <c r="N625" s="177"/>
      <c r="O625" s="177"/>
      <c r="P625" s="180">
        <v>-697.03</v>
      </c>
    </row>
    <row r="626" spans="1:16" ht="19.5" customHeight="1">
      <c r="A626" s="172" t="s">
        <v>909</v>
      </c>
      <c r="B626" s="176">
        <v>46029</v>
      </c>
      <c r="C626" s="172" t="s">
        <v>81</v>
      </c>
      <c r="D626" s="172" t="s">
        <v>95</v>
      </c>
      <c r="E626" s="172" t="s">
        <v>52</v>
      </c>
      <c r="F626" s="172" t="s">
        <v>90</v>
      </c>
      <c r="G626" s="172" t="s">
        <v>84</v>
      </c>
      <c r="H626" s="177">
        <v>1</v>
      </c>
      <c r="I626" s="178">
        <v>1621</v>
      </c>
      <c r="J626" s="176">
        <v>46024</v>
      </c>
      <c r="K626" s="172" t="s">
        <v>93</v>
      </c>
      <c r="L626" s="172" t="s">
        <v>94</v>
      </c>
      <c r="M626" s="179">
        <v>0.43</v>
      </c>
      <c r="N626" s="177"/>
      <c r="O626" s="177"/>
      <c r="P626" s="180">
        <v>-8.01</v>
      </c>
    </row>
    <row r="627" spans="1:16" ht="19.5" customHeight="1">
      <c r="A627" s="172" t="s">
        <v>456</v>
      </c>
      <c r="B627" s="176">
        <v>46029</v>
      </c>
      <c r="C627" s="172" t="s">
        <v>166</v>
      </c>
      <c r="D627" s="172" t="s">
        <v>167</v>
      </c>
      <c r="E627" s="172" t="s">
        <v>53</v>
      </c>
      <c r="F627" s="172" t="s">
        <v>120</v>
      </c>
      <c r="G627" s="172" t="s">
        <v>84</v>
      </c>
      <c r="H627" s="177">
        <v>1</v>
      </c>
      <c r="I627" s="178">
        <v>-1845</v>
      </c>
      <c r="J627" s="176">
        <v>46023</v>
      </c>
      <c r="K627" s="172" t="s">
        <v>93</v>
      </c>
      <c r="L627" s="172" t="s">
        <v>94</v>
      </c>
      <c r="M627" s="179">
        <v>0</v>
      </c>
      <c r="N627" s="177"/>
      <c r="O627" s="177"/>
      <c r="P627" s="180">
        <v>-556.71</v>
      </c>
    </row>
    <row r="628" spans="1:16" ht="19.5" customHeight="1">
      <c r="A628" s="172" t="s">
        <v>456</v>
      </c>
      <c r="B628" s="176">
        <v>46029</v>
      </c>
      <c r="C628" s="172" t="s">
        <v>166</v>
      </c>
      <c r="D628" s="172" t="s">
        <v>102</v>
      </c>
      <c r="E628" s="172" t="s">
        <v>53</v>
      </c>
      <c r="F628" s="172" t="s">
        <v>120</v>
      </c>
      <c r="G628" s="172" t="s">
        <v>84</v>
      </c>
      <c r="H628" s="177">
        <v>1</v>
      </c>
      <c r="I628" s="178">
        <v>-1845</v>
      </c>
      <c r="J628" s="176">
        <v>46023</v>
      </c>
      <c r="K628" s="172" t="s">
        <v>93</v>
      </c>
      <c r="L628" s="172" t="s">
        <v>94</v>
      </c>
      <c r="M628" s="179">
        <v>0</v>
      </c>
      <c r="N628" s="177"/>
      <c r="O628" s="177"/>
      <c r="P628" s="180">
        <v>-5.57</v>
      </c>
    </row>
    <row r="629" spans="1:16" ht="19.5" customHeight="1">
      <c r="A629" s="172" t="s">
        <v>456</v>
      </c>
      <c r="B629" s="176">
        <v>46029</v>
      </c>
      <c r="C629" s="172" t="s">
        <v>166</v>
      </c>
      <c r="D629" s="172" t="s">
        <v>103</v>
      </c>
      <c r="E629" s="172" t="s">
        <v>53</v>
      </c>
      <c r="F629" s="172" t="s">
        <v>120</v>
      </c>
      <c r="G629" s="172" t="s">
        <v>84</v>
      </c>
      <c r="H629" s="177">
        <v>1</v>
      </c>
      <c r="I629" s="178">
        <v>-1845</v>
      </c>
      <c r="J629" s="176">
        <v>46023</v>
      </c>
      <c r="K629" s="172" t="s">
        <v>93</v>
      </c>
      <c r="L629" s="172" t="s">
        <v>94</v>
      </c>
      <c r="M629" s="179">
        <v>0</v>
      </c>
      <c r="N629" s="177"/>
      <c r="O629" s="177"/>
      <c r="P629" s="180">
        <v>-1282.72</v>
      </c>
    </row>
    <row r="630" spans="1:16" ht="19.5" customHeight="1">
      <c r="A630" s="172" t="s">
        <v>456</v>
      </c>
      <c r="B630" s="176">
        <v>46029</v>
      </c>
      <c r="C630" s="172" t="s">
        <v>104</v>
      </c>
      <c r="D630" s="172" t="s">
        <v>168</v>
      </c>
      <c r="E630" s="172" t="s">
        <v>53</v>
      </c>
      <c r="F630" s="172" t="s">
        <v>120</v>
      </c>
      <c r="G630" s="172" t="s">
        <v>84</v>
      </c>
      <c r="H630" s="177">
        <v>1</v>
      </c>
      <c r="I630" s="178">
        <v>-1845</v>
      </c>
      <c r="J630" s="176">
        <v>46023</v>
      </c>
      <c r="K630" s="172" t="s">
        <v>93</v>
      </c>
      <c r="L630" s="172" t="s">
        <v>94</v>
      </c>
      <c r="M630" s="179">
        <v>0.43</v>
      </c>
      <c r="N630" s="177"/>
      <c r="O630" s="177"/>
      <c r="P630" s="180">
        <v>793.35</v>
      </c>
    </row>
    <row r="631" spans="1:16" ht="19.5" customHeight="1">
      <c r="A631" s="172" t="s">
        <v>910</v>
      </c>
      <c r="B631" s="176">
        <v>46029</v>
      </c>
      <c r="C631" s="172" t="s">
        <v>81</v>
      </c>
      <c r="D631" s="172" t="s">
        <v>82</v>
      </c>
      <c r="E631" s="172" t="s">
        <v>41</v>
      </c>
      <c r="F631" s="172" t="s">
        <v>83</v>
      </c>
      <c r="G631" s="172" t="s">
        <v>84</v>
      </c>
      <c r="H631" s="177">
        <v>1</v>
      </c>
      <c r="I631" s="178">
        <v>0</v>
      </c>
      <c r="J631" s="176">
        <v>46029</v>
      </c>
      <c r="K631" s="172" t="s">
        <v>85</v>
      </c>
      <c r="L631" s="172" t="s">
        <v>85</v>
      </c>
      <c r="M631" s="179">
        <v>0</v>
      </c>
      <c r="N631" s="177"/>
      <c r="O631" s="177"/>
      <c r="P631" s="180">
        <v>-10.44</v>
      </c>
    </row>
    <row r="632" spans="1:16" ht="19.5" customHeight="1">
      <c r="A632" s="172" t="s">
        <v>639</v>
      </c>
      <c r="B632" s="176">
        <v>46029</v>
      </c>
      <c r="C632" s="172" t="s">
        <v>81</v>
      </c>
      <c r="D632" s="172" t="s">
        <v>82</v>
      </c>
      <c r="E632" s="172" t="s">
        <v>53</v>
      </c>
      <c r="F632" s="172" t="s">
        <v>120</v>
      </c>
      <c r="G632" s="172" t="s">
        <v>84</v>
      </c>
      <c r="H632" s="177">
        <v>1</v>
      </c>
      <c r="I632" s="178">
        <v>0</v>
      </c>
      <c r="J632" s="176">
        <v>46023</v>
      </c>
      <c r="K632" s="172" t="s">
        <v>85</v>
      </c>
      <c r="L632" s="172" t="s">
        <v>85</v>
      </c>
      <c r="M632" s="179">
        <v>0</v>
      </c>
      <c r="N632" s="177"/>
      <c r="O632" s="177"/>
      <c r="P632" s="180">
        <v>10.58</v>
      </c>
    </row>
    <row r="633" spans="1:16" ht="19.5" customHeight="1">
      <c r="A633" s="172" t="s">
        <v>911</v>
      </c>
      <c r="B633" s="176">
        <v>46029</v>
      </c>
      <c r="C633" s="172" t="s">
        <v>92</v>
      </c>
      <c r="D633" s="172" t="s">
        <v>24</v>
      </c>
      <c r="E633" s="172" t="s">
        <v>53</v>
      </c>
      <c r="F633" s="172" t="s">
        <v>120</v>
      </c>
      <c r="G633" s="172" t="s">
        <v>84</v>
      </c>
      <c r="H633" s="177">
        <v>1</v>
      </c>
      <c r="I633" s="178">
        <v>0</v>
      </c>
      <c r="J633" s="176">
        <v>46009</v>
      </c>
      <c r="K633" s="172" t="s">
        <v>93</v>
      </c>
      <c r="L633" s="172" t="s">
        <v>94</v>
      </c>
      <c r="M633" s="179">
        <v>0</v>
      </c>
      <c r="N633" s="177"/>
      <c r="O633" s="177">
        <v>43</v>
      </c>
      <c r="P633" s="180">
        <v>-56</v>
      </c>
    </row>
    <row r="634" spans="1:16" ht="19.5" customHeight="1">
      <c r="A634" s="172" t="s">
        <v>911</v>
      </c>
      <c r="B634" s="176">
        <v>46029</v>
      </c>
      <c r="C634" s="172" t="s">
        <v>81</v>
      </c>
      <c r="D634" s="172" t="s">
        <v>95</v>
      </c>
      <c r="E634" s="172" t="s">
        <v>53</v>
      </c>
      <c r="F634" s="172" t="s">
        <v>120</v>
      </c>
      <c r="G634" s="172" t="s">
        <v>84</v>
      </c>
      <c r="H634" s="177">
        <v>1</v>
      </c>
      <c r="I634" s="178">
        <v>0</v>
      </c>
      <c r="J634" s="176">
        <v>46009</v>
      </c>
      <c r="K634" s="172" t="s">
        <v>93</v>
      </c>
      <c r="L634" s="172" t="s">
        <v>94</v>
      </c>
      <c r="M634" s="179">
        <v>0</v>
      </c>
      <c r="N634" s="177"/>
      <c r="O634" s="177"/>
      <c r="P634" s="180">
        <v>-10.72</v>
      </c>
    </row>
    <row r="635" spans="1:16" ht="19.5" customHeight="1">
      <c r="A635" s="172" t="s">
        <v>911</v>
      </c>
      <c r="B635" s="176">
        <v>46029</v>
      </c>
      <c r="C635" s="172" t="s">
        <v>92</v>
      </c>
      <c r="D635" s="172" t="s">
        <v>96</v>
      </c>
      <c r="E635" s="172" t="s">
        <v>53</v>
      </c>
      <c r="F635" s="172" t="s">
        <v>120</v>
      </c>
      <c r="G635" s="172" t="s">
        <v>84</v>
      </c>
      <c r="H635" s="177">
        <v>1</v>
      </c>
      <c r="I635" s="178">
        <v>0</v>
      </c>
      <c r="J635" s="176">
        <v>46009</v>
      </c>
      <c r="K635" s="172" t="s">
        <v>93</v>
      </c>
      <c r="L635" s="172" t="s">
        <v>94</v>
      </c>
      <c r="M635" s="179">
        <v>0</v>
      </c>
      <c r="N635" s="177"/>
      <c r="O635" s="177"/>
      <c r="P635" s="180">
        <v>0</v>
      </c>
    </row>
    <row r="636" spans="1:16" ht="19.5" customHeight="1">
      <c r="A636" s="172" t="s">
        <v>911</v>
      </c>
      <c r="B636" s="176">
        <v>46029</v>
      </c>
      <c r="C636" s="172" t="s">
        <v>92</v>
      </c>
      <c r="D636" s="172" t="s">
        <v>97</v>
      </c>
      <c r="E636" s="172" t="s">
        <v>53</v>
      </c>
      <c r="F636" s="172" t="s">
        <v>120</v>
      </c>
      <c r="G636" s="172" t="s">
        <v>84</v>
      </c>
      <c r="H636" s="177">
        <v>1</v>
      </c>
      <c r="I636" s="178">
        <v>0</v>
      </c>
      <c r="J636" s="176">
        <v>46009</v>
      </c>
      <c r="K636" s="172" t="s">
        <v>93</v>
      </c>
      <c r="L636" s="172" t="s">
        <v>94</v>
      </c>
      <c r="M636" s="179">
        <v>0</v>
      </c>
      <c r="N636" s="177"/>
      <c r="O636" s="177"/>
      <c r="P636" s="180">
        <v>-56</v>
      </c>
    </row>
    <row r="637" spans="1:16" ht="19.5" customHeight="1">
      <c r="A637" s="172" t="s">
        <v>911</v>
      </c>
      <c r="B637" s="176">
        <v>46029</v>
      </c>
      <c r="C637" s="172" t="s">
        <v>81</v>
      </c>
      <c r="D637" s="172" t="s">
        <v>98</v>
      </c>
      <c r="E637" s="172" t="s">
        <v>53</v>
      </c>
      <c r="F637" s="172" t="s">
        <v>120</v>
      </c>
      <c r="G637" s="172" t="s">
        <v>84</v>
      </c>
      <c r="H637" s="177">
        <v>1</v>
      </c>
      <c r="I637" s="178">
        <v>0</v>
      </c>
      <c r="J637" s="176">
        <v>46009</v>
      </c>
      <c r="K637" s="172" t="s">
        <v>93</v>
      </c>
      <c r="L637" s="172" t="s">
        <v>94</v>
      </c>
      <c r="M637" s="179">
        <v>0</v>
      </c>
      <c r="N637" s="177"/>
      <c r="O637" s="177"/>
      <c r="P637" s="180">
        <v>-15</v>
      </c>
    </row>
    <row r="638" spans="1:16" ht="19.5" customHeight="1">
      <c r="A638" s="172" t="s">
        <v>912</v>
      </c>
      <c r="B638" s="176">
        <v>46029</v>
      </c>
      <c r="C638" s="172" t="s">
        <v>81</v>
      </c>
      <c r="D638" s="172" t="s">
        <v>82</v>
      </c>
      <c r="E638" s="172" t="s">
        <v>41</v>
      </c>
      <c r="F638" s="172" t="s">
        <v>83</v>
      </c>
      <c r="G638" s="172" t="s">
        <v>84</v>
      </c>
      <c r="H638" s="177">
        <v>1</v>
      </c>
      <c r="I638" s="178">
        <v>0</v>
      </c>
      <c r="J638" s="176">
        <v>46029</v>
      </c>
      <c r="K638" s="172" t="s">
        <v>85</v>
      </c>
      <c r="L638" s="172" t="s">
        <v>85</v>
      </c>
      <c r="M638" s="179">
        <v>0</v>
      </c>
      <c r="N638" s="177"/>
      <c r="O638" s="177"/>
      <c r="P638" s="180">
        <v>-10.44</v>
      </c>
    </row>
    <row r="639" spans="1:16" ht="19.5" customHeight="1">
      <c r="A639" s="172" t="s">
        <v>142</v>
      </c>
      <c r="B639" s="176">
        <v>46029</v>
      </c>
      <c r="C639" s="172" t="s">
        <v>109</v>
      </c>
      <c r="D639" s="172" t="s">
        <v>143</v>
      </c>
      <c r="E639" s="172" t="s">
        <v>85</v>
      </c>
      <c r="F639" s="172" t="s">
        <v>85</v>
      </c>
      <c r="G639" s="172" t="s">
        <v>85</v>
      </c>
      <c r="H639" s="177">
        <v>0</v>
      </c>
      <c r="I639" s="178">
        <v>0</v>
      </c>
      <c r="J639" s="176">
        <v>46029</v>
      </c>
      <c r="K639" s="172" t="s">
        <v>85</v>
      </c>
      <c r="L639" s="172" t="s">
        <v>85</v>
      </c>
      <c r="M639" s="179">
        <v>0</v>
      </c>
      <c r="N639" s="177"/>
      <c r="O639" s="177"/>
      <c r="P639" s="180">
        <v>-3168.2</v>
      </c>
    </row>
    <row r="640" spans="1:16" ht="19.5" customHeight="1">
      <c r="A640" s="172" t="s">
        <v>138</v>
      </c>
      <c r="B640" s="176">
        <v>46029</v>
      </c>
      <c r="C640" s="172" t="s">
        <v>109</v>
      </c>
      <c r="D640" s="172" t="s">
        <v>139</v>
      </c>
      <c r="E640" s="172" t="s">
        <v>85</v>
      </c>
      <c r="F640" s="172" t="s">
        <v>85</v>
      </c>
      <c r="G640" s="172" t="s">
        <v>85</v>
      </c>
      <c r="H640" s="177">
        <v>0</v>
      </c>
      <c r="I640" s="178">
        <v>0</v>
      </c>
      <c r="J640" s="176">
        <v>46029</v>
      </c>
      <c r="K640" s="172" t="s">
        <v>85</v>
      </c>
      <c r="L640" s="172" t="s">
        <v>85</v>
      </c>
      <c r="M640" s="179">
        <v>0</v>
      </c>
      <c r="N640" s="177"/>
      <c r="O640" s="177"/>
      <c r="P640" s="180">
        <v>-1077.04</v>
      </c>
    </row>
    <row r="641" spans="1:16" ht="19.5" customHeight="1">
      <c r="A641" s="172" t="s">
        <v>144</v>
      </c>
      <c r="B641" s="176">
        <v>46029</v>
      </c>
      <c r="C641" s="172" t="s">
        <v>109</v>
      </c>
      <c r="D641" s="172" t="s">
        <v>139</v>
      </c>
      <c r="E641" s="172" t="s">
        <v>85</v>
      </c>
      <c r="F641" s="172" t="s">
        <v>85</v>
      </c>
      <c r="G641" s="172" t="s">
        <v>85</v>
      </c>
      <c r="H641" s="177">
        <v>0</v>
      </c>
      <c r="I641" s="178">
        <v>0</v>
      </c>
      <c r="J641" s="176">
        <v>46029</v>
      </c>
      <c r="K641" s="172" t="s">
        <v>85</v>
      </c>
      <c r="L641" s="172" t="s">
        <v>85</v>
      </c>
      <c r="M641" s="179">
        <v>0</v>
      </c>
      <c r="N641" s="177"/>
      <c r="O641" s="177"/>
      <c r="P641" s="180">
        <v>-1407.65</v>
      </c>
    </row>
    <row r="642" spans="1:16" ht="19.5" customHeight="1">
      <c r="A642" s="172" t="s">
        <v>410</v>
      </c>
      <c r="B642" s="176">
        <v>46029</v>
      </c>
      <c r="C642" s="172" t="s">
        <v>109</v>
      </c>
      <c r="D642" s="172" t="s">
        <v>139</v>
      </c>
      <c r="E642" s="172" t="s">
        <v>85</v>
      </c>
      <c r="F642" s="172" t="s">
        <v>85</v>
      </c>
      <c r="G642" s="172" t="s">
        <v>85</v>
      </c>
      <c r="H642" s="177">
        <v>0</v>
      </c>
      <c r="I642" s="178">
        <v>0</v>
      </c>
      <c r="J642" s="176">
        <v>46029</v>
      </c>
      <c r="K642" s="172" t="s">
        <v>85</v>
      </c>
      <c r="L642" s="172" t="s">
        <v>85</v>
      </c>
      <c r="M642" s="179">
        <v>0</v>
      </c>
      <c r="N642" s="177"/>
      <c r="O642" s="177"/>
      <c r="P642" s="180">
        <v>-1137.04</v>
      </c>
    </row>
    <row r="643" spans="1:16" ht="19.5" customHeight="1">
      <c r="A643" s="172" t="s">
        <v>913</v>
      </c>
      <c r="B643" s="176">
        <v>46030</v>
      </c>
      <c r="C643" s="172" t="s">
        <v>81</v>
      </c>
      <c r="D643" s="172" t="s">
        <v>82</v>
      </c>
      <c r="E643" s="172" t="s">
        <v>52</v>
      </c>
      <c r="F643" s="172" t="s">
        <v>90</v>
      </c>
      <c r="G643" s="172" t="s">
        <v>84</v>
      </c>
      <c r="H643" s="177">
        <v>1</v>
      </c>
      <c r="I643" s="178">
        <v>0</v>
      </c>
      <c r="J643" s="176">
        <v>46029</v>
      </c>
      <c r="K643" s="172" t="s">
        <v>85</v>
      </c>
      <c r="L643" s="172" t="s">
        <v>85</v>
      </c>
      <c r="M643" s="179">
        <v>0</v>
      </c>
      <c r="N643" s="177"/>
      <c r="O643" s="177"/>
      <c r="P643" s="180">
        <v>-10.84</v>
      </c>
    </row>
    <row r="644" spans="1:16" ht="19.5" customHeight="1">
      <c r="A644" s="172" t="s">
        <v>914</v>
      </c>
      <c r="B644" s="176">
        <v>46030</v>
      </c>
      <c r="C644" s="172" t="s">
        <v>92</v>
      </c>
      <c r="D644" s="172" t="s">
        <v>96</v>
      </c>
      <c r="E644" s="172" t="s">
        <v>53</v>
      </c>
      <c r="F644" s="172" t="s">
        <v>120</v>
      </c>
      <c r="G644" s="172" t="s">
        <v>84</v>
      </c>
      <c r="H644" s="177">
        <v>1</v>
      </c>
      <c r="I644" s="178">
        <v>0</v>
      </c>
      <c r="J644" s="176">
        <v>46011</v>
      </c>
      <c r="K644" s="172" t="s">
        <v>93</v>
      </c>
      <c r="L644" s="172" t="s">
        <v>94</v>
      </c>
      <c r="M644" s="179">
        <v>0</v>
      </c>
      <c r="N644" s="177"/>
      <c r="O644" s="177"/>
      <c r="P644" s="180">
        <v>0</v>
      </c>
    </row>
    <row r="645" spans="1:16" ht="19.5" customHeight="1">
      <c r="A645" s="172" t="s">
        <v>914</v>
      </c>
      <c r="B645" s="176">
        <v>46030</v>
      </c>
      <c r="C645" s="172" t="s">
        <v>92</v>
      </c>
      <c r="D645" s="172" t="s">
        <v>97</v>
      </c>
      <c r="E645" s="172" t="s">
        <v>53</v>
      </c>
      <c r="F645" s="172" t="s">
        <v>120</v>
      </c>
      <c r="G645" s="172" t="s">
        <v>84</v>
      </c>
      <c r="H645" s="177">
        <v>1</v>
      </c>
      <c r="I645" s="178">
        <v>0</v>
      </c>
      <c r="J645" s="176">
        <v>46011</v>
      </c>
      <c r="K645" s="172" t="s">
        <v>93</v>
      </c>
      <c r="L645" s="172" t="s">
        <v>94</v>
      </c>
      <c r="M645" s="179">
        <v>0</v>
      </c>
      <c r="N645" s="177"/>
      <c r="O645" s="177"/>
      <c r="P645" s="180">
        <v>-56</v>
      </c>
    </row>
    <row r="646" spans="1:16" ht="19.5" customHeight="1">
      <c r="A646" s="172" t="s">
        <v>914</v>
      </c>
      <c r="B646" s="176">
        <v>46030</v>
      </c>
      <c r="C646" s="172" t="s">
        <v>92</v>
      </c>
      <c r="D646" s="172" t="s">
        <v>24</v>
      </c>
      <c r="E646" s="172" t="s">
        <v>53</v>
      </c>
      <c r="F646" s="172" t="s">
        <v>120</v>
      </c>
      <c r="G646" s="172" t="s">
        <v>84</v>
      </c>
      <c r="H646" s="177">
        <v>1</v>
      </c>
      <c r="I646" s="178">
        <v>0</v>
      </c>
      <c r="J646" s="176">
        <v>46011</v>
      </c>
      <c r="K646" s="172" t="s">
        <v>93</v>
      </c>
      <c r="L646" s="172" t="s">
        <v>94</v>
      </c>
      <c r="M646" s="179">
        <v>0</v>
      </c>
      <c r="N646" s="177"/>
      <c r="O646" s="177">
        <v>44</v>
      </c>
      <c r="P646" s="180">
        <v>-56</v>
      </c>
    </row>
    <row r="647" spans="1:16" ht="19.5" customHeight="1">
      <c r="A647" s="172" t="s">
        <v>914</v>
      </c>
      <c r="B647" s="176">
        <v>46030</v>
      </c>
      <c r="C647" s="172" t="s">
        <v>81</v>
      </c>
      <c r="D647" s="172" t="s">
        <v>95</v>
      </c>
      <c r="E647" s="172" t="s">
        <v>53</v>
      </c>
      <c r="F647" s="172" t="s">
        <v>120</v>
      </c>
      <c r="G647" s="172" t="s">
        <v>84</v>
      </c>
      <c r="H647" s="177">
        <v>1</v>
      </c>
      <c r="I647" s="178">
        <v>0</v>
      </c>
      <c r="J647" s="176">
        <v>46011</v>
      </c>
      <c r="K647" s="172" t="s">
        <v>93</v>
      </c>
      <c r="L647" s="172" t="s">
        <v>94</v>
      </c>
      <c r="M647" s="179">
        <v>0</v>
      </c>
      <c r="N647" s="177"/>
      <c r="O647" s="177"/>
      <c r="P647" s="180">
        <v>-7.66</v>
      </c>
    </row>
    <row r="648" spans="1:16" ht="19.5" customHeight="1">
      <c r="A648" s="172" t="s">
        <v>915</v>
      </c>
      <c r="B648" s="176">
        <v>46030</v>
      </c>
      <c r="C648" s="172" t="s">
        <v>81</v>
      </c>
      <c r="D648" s="172" t="s">
        <v>82</v>
      </c>
      <c r="E648" s="172" t="s">
        <v>41</v>
      </c>
      <c r="F648" s="172" t="s">
        <v>83</v>
      </c>
      <c r="G648" s="172" t="s">
        <v>84</v>
      </c>
      <c r="H648" s="177">
        <v>1</v>
      </c>
      <c r="I648" s="178">
        <v>0</v>
      </c>
      <c r="J648" s="176">
        <v>46030</v>
      </c>
      <c r="K648" s="172" t="s">
        <v>85</v>
      </c>
      <c r="L648" s="172" t="s">
        <v>85</v>
      </c>
      <c r="M648" s="179">
        <v>0</v>
      </c>
      <c r="N648" s="177"/>
      <c r="O648" s="177"/>
      <c r="P648" s="180">
        <v>-8.5399999999999991</v>
      </c>
    </row>
    <row r="649" spans="1:16" ht="19.5" customHeight="1">
      <c r="A649" s="172" t="s">
        <v>916</v>
      </c>
      <c r="B649" s="176">
        <v>46030</v>
      </c>
      <c r="C649" s="172" t="s">
        <v>81</v>
      </c>
      <c r="D649" s="172" t="s">
        <v>82</v>
      </c>
      <c r="E649" s="172" t="s">
        <v>53</v>
      </c>
      <c r="F649" s="172" t="s">
        <v>120</v>
      </c>
      <c r="G649" s="172" t="s">
        <v>84</v>
      </c>
      <c r="H649" s="177">
        <v>1</v>
      </c>
      <c r="I649" s="178">
        <v>0</v>
      </c>
      <c r="J649" s="176">
        <v>46030</v>
      </c>
      <c r="K649" s="172" t="s">
        <v>85</v>
      </c>
      <c r="L649" s="172" t="s">
        <v>85</v>
      </c>
      <c r="M649" s="179">
        <v>0</v>
      </c>
      <c r="N649" s="177"/>
      <c r="O649" s="177"/>
      <c r="P649" s="180">
        <v>-11.85</v>
      </c>
    </row>
    <row r="650" spans="1:16" ht="19.5" customHeight="1">
      <c r="A650" s="172" t="s">
        <v>917</v>
      </c>
      <c r="B650" s="176">
        <v>46030</v>
      </c>
      <c r="C650" s="172" t="s">
        <v>92</v>
      </c>
      <c r="D650" s="172" t="s">
        <v>96</v>
      </c>
      <c r="E650" s="172" t="s">
        <v>42</v>
      </c>
      <c r="F650" s="172" t="s">
        <v>89</v>
      </c>
      <c r="G650" s="172" t="s">
        <v>84</v>
      </c>
      <c r="H650" s="177">
        <v>1</v>
      </c>
      <c r="I650" s="178">
        <v>0</v>
      </c>
      <c r="J650" s="176">
        <v>46026</v>
      </c>
      <c r="K650" s="172" t="s">
        <v>93</v>
      </c>
      <c r="L650" s="172" t="s">
        <v>94</v>
      </c>
      <c r="M650" s="179">
        <v>0</v>
      </c>
      <c r="N650" s="177"/>
      <c r="O650" s="177"/>
      <c r="P650" s="180">
        <v>0</v>
      </c>
    </row>
    <row r="651" spans="1:16" ht="19.5" customHeight="1">
      <c r="A651" s="172" t="s">
        <v>917</v>
      </c>
      <c r="B651" s="176">
        <v>46030</v>
      </c>
      <c r="C651" s="172" t="s">
        <v>92</v>
      </c>
      <c r="D651" s="172" t="s">
        <v>97</v>
      </c>
      <c r="E651" s="172" t="s">
        <v>42</v>
      </c>
      <c r="F651" s="172" t="s">
        <v>89</v>
      </c>
      <c r="G651" s="172" t="s">
        <v>84</v>
      </c>
      <c r="H651" s="177">
        <v>1</v>
      </c>
      <c r="I651" s="178">
        <v>0</v>
      </c>
      <c r="J651" s="176">
        <v>46026</v>
      </c>
      <c r="K651" s="172" t="s">
        <v>93</v>
      </c>
      <c r="L651" s="172" t="s">
        <v>94</v>
      </c>
      <c r="M651" s="179">
        <v>0</v>
      </c>
      <c r="N651" s="177"/>
      <c r="O651" s="177"/>
      <c r="P651" s="180">
        <v>-46.77</v>
      </c>
    </row>
    <row r="652" spans="1:16" ht="19.5" customHeight="1">
      <c r="A652" s="172" t="s">
        <v>917</v>
      </c>
      <c r="B652" s="176">
        <v>46030</v>
      </c>
      <c r="C652" s="172" t="s">
        <v>81</v>
      </c>
      <c r="D652" s="172" t="s">
        <v>98</v>
      </c>
      <c r="E652" s="172" t="s">
        <v>42</v>
      </c>
      <c r="F652" s="172" t="s">
        <v>89</v>
      </c>
      <c r="G652" s="172" t="s">
        <v>84</v>
      </c>
      <c r="H652" s="177">
        <v>1</v>
      </c>
      <c r="I652" s="178">
        <v>0</v>
      </c>
      <c r="J652" s="176">
        <v>46026</v>
      </c>
      <c r="K652" s="172" t="s">
        <v>93</v>
      </c>
      <c r="L652" s="172" t="s">
        <v>94</v>
      </c>
      <c r="M652" s="179">
        <v>0</v>
      </c>
      <c r="N652" s="177"/>
      <c r="O652" s="177"/>
      <c r="P652" s="180">
        <v>-15</v>
      </c>
    </row>
    <row r="653" spans="1:16" ht="19.5" customHeight="1">
      <c r="A653" s="172" t="s">
        <v>917</v>
      </c>
      <c r="B653" s="176">
        <v>46030</v>
      </c>
      <c r="C653" s="172" t="s">
        <v>92</v>
      </c>
      <c r="D653" s="172" t="s">
        <v>24</v>
      </c>
      <c r="E653" s="172" t="s">
        <v>42</v>
      </c>
      <c r="F653" s="172" t="s">
        <v>89</v>
      </c>
      <c r="G653" s="172" t="s">
        <v>84</v>
      </c>
      <c r="H653" s="177">
        <v>1</v>
      </c>
      <c r="I653" s="178">
        <v>0</v>
      </c>
      <c r="J653" s="176">
        <v>46026</v>
      </c>
      <c r="K653" s="172" t="s">
        <v>93</v>
      </c>
      <c r="L653" s="172" t="s">
        <v>94</v>
      </c>
      <c r="M653" s="179">
        <v>0</v>
      </c>
      <c r="N653" s="177"/>
      <c r="O653" s="177">
        <v>46</v>
      </c>
      <c r="P653" s="180">
        <v>-46.77</v>
      </c>
    </row>
    <row r="654" spans="1:16" ht="19.5" customHeight="1">
      <c r="A654" s="172" t="s">
        <v>917</v>
      </c>
      <c r="B654" s="176">
        <v>46030</v>
      </c>
      <c r="C654" s="172" t="s">
        <v>81</v>
      </c>
      <c r="D654" s="172" t="s">
        <v>95</v>
      </c>
      <c r="E654" s="172" t="s">
        <v>42</v>
      </c>
      <c r="F654" s="172" t="s">
        <v>89</v>
      </c>
      <c r="G654" s="172" t="s">
        <v>84</v>
      </c>
      <c r="H654" s="177">
        <v>1</v>
      </c>
      <c r="I654" s="178">
        <v>0</v>
      </c>
      <c r="J654" s="176">
        <v>46026</v>
      </c>
      <c r="K654" s="172" t="s">
        <v>93</v>
      </c>
      <c r="L654" s="172" t="s">
        <v>94</v>
      </c>
      <c r="M654" s="179">
        <v>0</v>
      </c>
      <c r="N654" s="177"/>
      <c r="O654" s="177"/>
      <c r="P654" s="180">
        <v>-18.190000000000001</v>
      </c>
    </row>
    <row r="655" spans="1:16" ht="19.5" customHeight="1">
      <c r="A655" s="172" t="s">
        <v>918</v>
      </c>
      <c r="B655" s="176">
        <v>46030</v>
      </c>
      <c r="C655" s="172" t="s">
        <v>92</v>
      </c>
      <c r="D655" s="172" t="s">
        <v>96</v>
      </c>
      <c r="E655" s="172" t="s">
        <v>53</v>
      </c>
      <c r="F655" s="172" t="s">
        <v>120</v>
      </c>
      <c r="G655" s="172" t="s">
        <v>84</v>
      </c>
      <c r="H655" s="177">
        <v>1</v>
      </c>
      <c r="I655" s="178">
        <v>0</v>
      </c>
      <c r="J655" s="176">
        <v>46027</v>
      </c>
      <c r="K655" s="172" t="s">
        <v>93</v>
      </c>
      <c r="L655" s="172" t="s">
        <v>94</v>
      </c>
      <c r="M655" s="179">
        <v>0</v>
      </c>
      <c r="N655" s="177"/>
      <c r="O655" s="177"/>
      <c r="P655" s="180">
        <v>0</v>
      </c>
    </row>
    <row r="656" spans="1:16" ht="19.5" customHeight="1">
      <c r="A656" s="172" t="s">
        <v>918</v>
      </c>
      <c r="B656" s="176">
        <v>46030</v>
      </c>
      <c r="C656" s="172" t="s">
        <v>92</v>
      </c>
      <c r="D656" s="172" t="s">
        <v>97</v>
      </c>
      <c r="E656" s="172" t="s">
        <v>53</v>
      </c>
      <c r="F656" s="172" t="s">
        <v>120</v>
      </c>
      <c r="G656" s="172" t="s">
        <v>84</v>
      </c>
      <c r="H656" s="177">
        <v>1</v>
      </c>
      <c r="I656" s="178">
        <v>0</v>
      </c>
      <c r="J656" s="176">
        <v>46027</v>
      </c>
      <c r="K656" s="172" t="s">
        <v>93</v>
      </c>
      <c r="L656" s="172" t="s">
        <v>94</v>
      </c>
      <c r="M656" s="179">
        <v>0</v>
      </c>
      <c r="N656" s="177"/>
      <c r="O656" s="177"/>
      <c r="P656" s="180">
        <v>-56.94</v>
      </c>
    </row>
    <row r="657" spans="1:16" ht="19.5" customHeight="1">
      <c r="A657" s="172" t="s">
        <v>918</v>
      </c>
      <c r="B657" s="176">
        <v>46030</v>
      </c>
      <c r="C657" s="172" t="s">
        <v>81</v>
      </c>
      <c r="D657" s="172" t="s">
        <v>98</v>
      </c>
      <c r="E657" s="172" t="s">
        <v>53</v>
      </c>
      <c r="F657" s="172" t="s">
        <v>120</v>
      </c>
      <c r="G657" s="172" t="s">
        <v>84</v>
      </c>
      <c r="H657" s="177">
        <v>1</v>
      </c>
      <c r="I657" s="178">
        <v>0</v>
      </c>
      <c r="J657" s="176">
        <v>46027</v>
      </c>
      <c r="K657" s="172" t="s">
        <v>93</v>
      </c>
      <c r="L657" s="172" t="s">
        <v>94</v>
      </c>
      <c r="M657" s="179">
        <v>0</v>
      </c>
      <c r="N657" s="177"/>
      <c r="O657" s="177"/>
      <c r="P657" s="180">
        <v>-15</v>
      </c>
    </row>
    <row r="658" spans="1:16" ht="19.5" customHeight="1">
      <c r="A658" s="172" t="s">
        <v>918</v>
      </c>
      <c r="B658" s="176">
        <v>46030</v>
      </c>
      <c r="C658" s="172" t="s">
        <v>92</v>
      </c>
      <c r="D658" s="172" t="s">
        <v>24</v>
      </c>
      <c r="E658" s="172" t="s">
        <v>53</v>
      </c>
      <c r="F658" s="172" t="s">
        <v>120</v>
      </c>
      <c r="G658" s="172" t="s">
        <v>84</v>
      </c>
      <c r="H658" s="177">
        <v>1</v>
      </c>
      <c r="I658" s="178">
        <v>0</v>
      </c>
      <c r="J658" s="176">
        <v>46027</v>
      </c>
      <c r="K658" s="172" t="s">
        <v>93</v>
      </c>
      <c r="L658" s="172" t="s">
        <v>94</v>
      </c>
      <c r="M658" s="179">
        <v>0</v>
      </c>
      <c r="N658" s="177"/>
      <c r="O658" s="177">
        <v>45</v>
      </c>
      <c r="P658" s="180">
        <v>-56.94</v>
      </c>
    </row>
    <row r="659" spans="1:16" ht="19.5" customHeight="1">
      <c r="A659" s="172" t="s">
        <v>918</v>
      </c>
      <c r="B659" s="176">
        <v>46030</v>
      </c>
      <c r="C659" s="172" t="s">
        <v>81</v>
      </c>
      <c r="D659" s="172" t="s">
        <v>95</v>
      </c>
      <c r="E659" s="172" t="s">
        <v>53</v>
      </c>
      <c r="F659" s="172" t="s">
        <v>120</v>
      </c>
      <c r="G659" s="172" t="s">
        <v>84</v>
      </c>
      <c r="H659" s="177">
        <v>1</v>
      </c>
      <c r="I659" s="178">
        <v>0</v>
      </c>
      <c r="J659" s="176">
        <v>46027</v>
      </c>
      <c r="K659" s="172" t="s">
        <v>93</v>
      </c>
      <c r="L659" s="172" t="s">
        <v>94</v>
      </c>
      <c r="M659" s="179">
        <v>0</v>
      </c>
      <c r="N659" s="177"/>
      <c r="O659" s="177"/>
      <c r="P659" s="180">
        <v>-8.58</v>
      </c>
    </row>
    <row r="660" spans="1:16" ht="19.5" customHeight="1">
      <c r="A660" s="172" t="s">
        <v>919</v>
      </c>
      <c r="B660" s="176">
        <v>46030</v>
      </c>
      <c r="C660" s="172" t="s">
        <v>92</v>
      </c>
      <c r="D660" s="172" t="s">
        <v>24</v>
      </c>
      <c r="E660" s="172" t="s">
        <v>53</v>
      </c>
      <c r="F660" s="172" t="s">
        <v>120</v>
      </c>
      <c r="G660" s="172" t="s">
        <v>84</v>
      </c>
      <c r="H660" s="177">
        <v>1</v>
      </c>
      <c r="I660" s="178">
        <v>0</v>
      </c>
      <c r="J660" s="176">
        <v>46012</v>
      </c>
      <c r="K660" s="172" t="s">
        <v>93</v>
      </c>
      <c r="L660" s="172" t="s">
        <v>94</v>
      </c>
      <c r="M660" s="179">
        <v>0</v>
      </c>
      <c r="N660" s="177"/>
      <c r="O660" s="177">
        <v>43</v>
      </c>
      <c r="P660" s="180">
        <v>-56</v>
      </c>
    </row>
    <row r="661" spans="1:16" ht="19.5" customHeight="1">
      <c r="A661" s="172" t="s">
        <v>919</v>
      </c>
      <c r="B661" s="176">
        <v>46030</v>
      </c>
      <c r="C661" s="172" t="s">
        <v>81</v>
      </c>
      <c r="D661" s="172" t="s">
        <v>95</v>
      </c>
      <c r="E661" s="172" t="s">
        <v>53</v>
      </c>
      <c r="F661" s="172" t="s">
        <v>120</v>
      </c>
      <c r="G661" s="172" t="s">
        <v>84</v>
      </c>
      <c r="H661" s="177">
        <v>1</v>
      </c>
      <c r="I661" s="178">
        <v>0</v>
      </c>
      <c r="J661" s="176">
        <v>46012</v>
      </c>
      <c r="K661" s="172" t="s">
        <v>93</v>
      </c>
      <c r="L661" s="172" t="s">
        <v>94</v>
      </c>
      <c r="M661" s="179">
        <v>0</v>
      </c>
      <c r="N661" s="177"/>
      <c r="O661" s="177"/>
      <c r="P661" s="180">
        <v>-9.6999999999999993</v>
      </c>
    </row>
    <row r="662" spans="1:16" ht="19.5" customHeight="1">
      <c r="A662" s="172" t="s">
        <v>919</v>
      </c>
      <c r="B662" s="176">
        <v>46030</v>
      </c>
      <c r="C662" s="172" t="s">
        <v>92</v>
      </c>
      <c r="D662" s="172" t="s">
        <v>96</v>
      </c>
      <c r="E662" s="172" t="s">
        <v>53</v>
      </c>
      <c r="F662" s="172" t="s">
        <v>120</v>
      </c>
      <c r="G662" s="172" t="s">
        <v>84</v>
      </c>
      <c r="H662" s="177">
        <v>1</v>
      </c>
      <c r="I662" s="178">
        <v>0</v>
      </c>
      <c r="J662" s="176">
        <v>46012</v>
      </c>
      <c r="K662" s="172" t="s">
        <v>93</v>
      </c>
      <c r="L662" s="172" t="s">
        <v>94</v>
      </c>
      <c r="M662" s="179">
        <v>0</v>
      </c>
      <c r="N662" s="177"/>
      <c r="O662" s="177"/>
      <c r="P662" s="180">
        <v>0</v>
      </c>
    </row>
    <row r="663" spans="1:16" ht="19.5" customHeight="1">
      <c r="A663" s="172" t="s">
        <v>919</v>
      </c>
      <c r="B663" s="176">
        <v>46030</v>
      </c>
      <c r="C663" s="172" t="s">
        <v>92</v>
      </c>
      <c r="D663" s="172" t="s">
        <v>97</v>
      </c>
      <c r="E663" s="172" t="s">
        <v>53</v>
      </c>
      <c r="F663" s="172" t="s">
        <v>120</v>
      </c>
      <c r="G663" s="172" t="s">
        <v>84</v>
      </c>
      <c r="H663" s="177">
        <v>1</v>
      </c>
      <c r="I663" s="178">
        <v>0</v>
      </c>
      <c r="J663" s="176">
        <v>46012</v>
      </c>
      <c r="K663" s="172" t="s">
        <v>93</v>
      </c>
      <c r="L663" s="172" t="s">
        <v>94</v>
      </c>
      <c r="M663" s="179">
        <v>0</v>
      </c>
      <c r="N663" s="177"/>
      <c r="O663" s="177"/>
      <c r="P663" s="180">
        <v>-56</v>
      </c>
    </row>
    <row r="664" spans="1:16" ht="19.5" customHeight="1">
      <c r="A664" s="172" t="s">
        <v>919</v>
      </c>
      <c r="B664" s="176">
        <v>46030</v>
      </c>
      <c r="C664" s="172" t="s">
        <v>81</v>
      </c>
      <c r="D664" s="172" t="s">
        <v>98</v>
      </c>
      <c r="E664" s="172" t="s">
        <v>53</v>
      </c>
      <c r="F664" s="172" t="s">
        <v>120</v>
      </c>
      <c r="G664" s="172" t="s">
        <v>84</v>
      </c>
      <c r="H664" s="177">
        <v>1</v>
      </c>
      <c r="I664" s="178">
        <v>0</v>
      </c>
      <c r="J664" s="176">
        <v>46012</v>
      </c>
      <c r="K664" s="172" t="s">
        <v>93</v>
      </c>
      <c r="L664" s="172" t="s">
        <v>94</v>
      </c>
      <c r="M664" s="179">
        <v>0</v>
      </c>
      <c r="N664" s="177"/>
      <c r="O664" s="177"/>
      <c r="P664" s="180">
        <v>-15</v>
      </c>
    </row>
    <row r="665" spans="1:16" ht="19.5" customHeight="1">
      <c r="A665" s="172" t="s">
        <v>920</v>
      </c>
      <c r="B665" s="176">
        <v>46030</v>
      </c>
      <c r="C665" s="172" t="s">
        <v>92</v>
      </c>
      <c r="D665" s="172" t="s">
        <v>24</v>
      </c>
      <c r="E665" s="172" t="s">
        <v>53</v>
      </c>
      <c r="F665" s="172" t="s">
        <v>120</v>
      </c>
      <c r="G665" s="172" t="s">
        <v>84</v>
      </c>
      <c r="H665" s="177">
        <v>1</v>
      </c>
      <c r="I665" s="178">
        <v>1845</v>
      </c>
      <c r="J665" s="176">
        <v>46021</v>
      </c>
      <c r="K665" s="172" t="s">
        <v>93</v>
      </c>
      <c r="L665" s="172" t="s">
        <v>94</v>
      </c>
      <c r="M665" s="179">
        <v>0.43</v>
      </c>
      <c r="N665" s="177"/>
      <c r="O665" s="177">
        <v>40</v>
      </c>
      <c r="P665" s="180">
        <v>-131.61000000000001</v>
      </c>
    </row>
    <row r="666" spans="1:16" ht="19.5" customHeight="1">
      <c r="A666" s="172" t="s">
        <v>920</v>
      </c>
      <c r="B666" s="176">
        <v>46030</v>
      </c>
      <c r="C666" s="172" t="s">
        <v>100</v>
      </c>
      <c r="D666" s="172" t="s">
        <v>101</v>
      </c>
      <c r="E666" s="172" t="s">
        <v>53</v>
      </c>
      <c r="F666" s="172" t="s">
        <v>120</v>
      </c>
      <c r="G666" s="172" t="s">
        <v>84</v>
      </c>
      <c r="H666" s="177">
        <v>1</v>
      </c>
      <c r="I666" s="178">
        <v>1845</v>
      </c>
      <c r="J666" s="176">
        <v>46021</v>
      </c>
      <c r="K666" s="172" t="s">
        <v>93</v>
      </c>
      <c r="L666" s="172" t="s">
        <v>94</v>
      </c>
      <c r="M666" s="179">
        <v>0</v>
      </c>
      <c r="N666" s="177"/>
      <c r="O666" s="177"/>
      <c r="P666" s="180">
        <v>658.1</v>
      </c>
    </row>
    <row r="667" spans="1:16" ht="19.5" customHeight="1">
      <c r="A667" s="172" t="s">
        <v>920</v>
      </c>
      <c r="B667" s="176">
        <v>46030</v>
      </c>
      <c r="C667" s="172" t="s">
        <v>100</v>
      </c>
      <c r="D667" s="172" t="s">
        <v>102</v>
      </c>
      <c r="E667" s="172" t="s">
        <v>53</v>
      </c>
      <c r="F667" s="172" t="s">
        <v>120</v>
      </c>
      <c r="G667" s="172" t="s">
        <v>84</v>
      </c>
      <c r="H667" s="177">
        <v>1</v>
      </c>
      <c r="I667" s="178">
        <v>1845</v>
      </c>
      <c r="J667" s="176">
        <v>46021</v>
      </c>
      <c r="K667" s="172" t="s">
        <v>93</v>
      </c>
      <c r="L667" s="172" t="s">
        <v>94</v>
      </c>
      <c r="M667" s="179">
        <v>0</v>
      </c>
      <c r="N667" s="177"/>
      <c r="O667" s="177"/>
      <c r="P667" s="180">
        <v>6.58</v>
      </c>
    </row>
    <row r="668" spans="1:16" ht="19.5" customHeight="1">
      <c r="A668" s="172" t="s">
        <v>920</v>
      </c>
      <c r="B668" s="176">
        <v>46030</v>
      </c>
      <c r="C668" s="172" t="s">
        <v>100</v>
      </c>
      <c r="D668" s="172" t="s">
        <v>103</v>
      </c>
      <c r="E668" s="172" t="s">
        <v>53</v>
      </c>
      <c r="F668" s="172" t="s">
        <v>120</v>
      </c>
      <c r="G668" s="172" t="s">
        <v>84</v>
      </c>
      <c r="H668" s="177">
        <v>1</v>
      </c>
      <c r="I668" s="178">
        <v>1845</v>
      </c>
      <c r="J668" s="176">
        <v>46021</v>
      </c>
      <c r="K668" s="172" t="s">
        <v>93</v>
      </c>
      <c r="L668" s="172" t="s">
        <v>94</v>
      </c>
      <c r="M668" s="179">
        <v>0</v>
      </c>
      <c r="N668" s="177"/>
      <c r="O668" s="177"/>
      <c r="P668" s="180">
        <v>1180.32</v>
      </c>
    </row>
    <row r="669" spans="1:16" ht="19.5" customHeight="1">
      <c r="A669" s="172" t="s">
        <v>920</v>
      </c>
      <c r="B669" s="176">
        <v>46030</v>
      </c>
      <c r="C669" s="172" t="s">
        <v>104</v>
      </c>
      <c r="D669" s="172" t="s">
        <v>105</v>
      </c>
      <c r="E669" s="172" t="s">
        <v>53</v>
      </c>
      <c r="F669" s="172" t="s">
        <v>120</v>
      </c>
      <c r="G669" s="172" t="s">
        <v>84</v>
      </c>
      <c r="H669" s="177">
        <v>1</v>
      </c>
      <c r="I669" s="178">
        <v>1845</v>
      </c>
      <c r="J669" s="176">
        <v>46021</v>
      </c>
      <c r="K669" s="172" t="s">
        <v>93</v>
      </c>
      <c r="L669" s="172" t="s">
        <v>94</v>
      </c>
      <c r="M669" s="179">
        <v>0.43</v>
      </c>
      <c r="N669" s="177"/>
      <c r="O669" s="177"/>
      <c r="P669" s="180">
        <v>-793.35</v>
      </c>
    </row>
    <row r="670" spans="1:16" ht="19.5" customHeight="1">
      <c r="A670" s="172" t="s">
        <v>920</v>
      </c>
      <c r="B670" s="176">
        <v>46030</v>
      </c>
      <c r="C670" s="172" t="s">
        <v>81</v>
      </c>
      <c r="D670" s="172" t="s">
        <v>95</v>
      </c>
      <c r="E670" s="172" t="s">
        <v>53</v>
      </c>
      <c r="F670" s="172" t="s">
        <v>120</v>
      </c>
      <c r="G670" s="172" t="s">
        <v>84</v>
      </c>
      <c r="H670" s="177">
        <v>1</v>
      </c>
      <c r="I670" s="178">
        <v>1845</v>
      </c>
      <c r="J670" s="176">
        <v>46021</v>
      </c>
      <c r="K670" s="172" t="s">
        <v>93</v>
      </c>
      <c r="L670" s="172" t="s">
        <v>94</v>
      </c>
      <c r="M670" s="179">
        <v>0.43</v>
      </c>
      <c r="N670" s="177"/>
      <c r="O670" s="177"/>
      <c r="P670" s="180">
        <v>-12.38</v>
      </c>
    </row>
    <row r="671" spans="1:16" ht="19.5" customHeight="1">
      <c r="A671" s="172" t="s">
        <v>921</v>
      </c>
      <c r="B671" s="176">
        <v>46030</v>
      </c>
      <c r="C671" s="172" t="s">
        <v>81</v>
      </c>
      <c r="D671" s="172" t="s">
        <v>82</v>
      </c>
      <c r="E671" s="172" t="s">
        <v>42</v>
      </c>
      <c r="F671" s="172" t="s">
        <v>89</v>
      </c>
      <c r="G671" s="172" t="s">
        <v>84</v>
      </c>
      <c r="H671" s="177">
        <v>1</v>
      </c>
      <c r="I671" s="178">
        <v>0</v>
      </c>
      <c r="J671" s="176">
        <v>46030</v>
      </c>
      <c r="K671" s="172" t="s">
        <v>85</v>
      </c>
      <c r="L671" s="172" t="s">
        <v>85</v>
      </c>
      <c r="M671" s="179">
        <v>0</v>
      </c>
      <c r="N671" s="177"/>
      <c r="O671" s="177"/>
      <c r="P671" s="180">
        <v>-4.09</v>
      </c>
    </row>
    <row r="672" spans="1:16" ht="19.5" customHeight="1">
      <c r="A672" s="172" t="s">
        <v>85</v>
      </c>
      <c r="B672" s="176">
        <v>46030</v>
      </c>
      <c r="C672" s="172" t="s">
        <v>109</v>
      </c>
      <c r="D672" s="172" t="s">
        <v>110</v>
      </c>
      <c r="E672" s="172" t="s">
        <v>85</v>
      </c>
      <c r="F672" s="172" t="s">
        <v>85</v>
      </c>
      <c r="G672" s="172" t="s">
        <v>922</v>
      </c>
      <c r="H672" s="177">
        <v>0</v>
      </c>
      <c r="I672" s="178">
        <v>0</v>
      </c>
      <c r="J672" s="176">
        <v>46030</v>
      </c>
      <c r="K672" s="172" t="s">
        <v>85</v>
      </c>
      <c r="L672" s="172" t="s">
        <v>85</v>
      </c>
      <c r="M672" s="179">
        <v>0</v>
      </c>
      <c r="N672" s="177"/>
      <c r="O672" s="177"/>
      <c r="P672" s="180">
        <v>-150</v>
      </c>
    </row>
    <row r="673" spans="1:16" ht="19.5" customHeight="1">
      <c r="A673" s="172" t="s">
        <v>923</v>
      </c>
      <c r="B673" s="176">
        <v>46030</v>
      </c>
      <c r="C673" s="172" t="s">
        <v>92</v>
      </c>
      <c r="D673" s="172" t="s">
        <v>24</v>
      </c>
      <c r="E673" s="172" t="s">
        <v>38</v>
      </c>
      <c r="F673" s="172" t="s">
        <v>87</v>
      </c>
      <c r="G673" s="172" t="s">
        <v>84</v>
      </c>
      <c r="H673" s="177">
        <v>1</v>
      </c>
      <c r="I673" s="178">
        <v>1046</v>
      </c>
      <c r="J673" s="176">
        <v>46006</v>
      </c>
      <c r="K673" s="172" t="s">
        <v>93</v>
      </c>
      <c r="L673" s="172" t="s">
        <v>94</v>
      </c>
      <c r="M673" s="179">
        <v>0.43</v>
      </c>
      <c r="N673" s="177"/>
      <c r="O673" s="177">
        <v>46</v>
      </c>
      <c r="P673" s="180">
        <v>-115.13</v>
      </c>
    </row>
    <row r="674" spans="1:16" ht="19.5" customHeight="1">
      <c r="A674" s="172" t="s">
        <v>923</v>
      </c>
      <c r="B674" s="176">
        <v>46030</v>
      </c>
      <c r="C674" s="172" t="s">
        <v>100</v>
      </c>
      <c r="D674" s="172" t="s">
        <v>101</v>
      </c>
      <c r="E674" s="172" t="s">
        <v>38</v>
      </c>
      <c r="F674" s="172" t="s">
        <v>87</v>
      </c>
      <c r="G674" s="172" t="s">
        <v>84</v>
      </c>
      <c r="H674" s="177">
        <v>1</v>
      </c>
      <c r="I674" s="178">
        <v>1046</v>
      </c>
      <c r="J674" s="176">
        <v>46006</v>
      </c>
      <c r="K674" s="172" t="s">
        <v>93</v>
      </c>
      <c r="L674" s="172" t="s">
        <v>94</v>
      </c>
      <c r="M674" s="179">
        <v>0</v>
      </c>
      <c r="N674" s="177"/>
      <c r="O674" s="177"/>
      <c r="P674" s="180">
        <v>447.62</v>
      </c>
    </row>
    <row r="675" spans="1:16" ht="19.5" customHeight="1">
      <c r="A675" s="172" t="s">
        <v>923</v>
      </c>
      <c r="B675" s="176">
        <v>46030</v>
      </c>
      <c r="C675" s="172" t="s">
        <v>100</v>
      </c>
      <c r="D675" s="172" t="s">
        <v>102</v>
      </c>
      <c r="E675" s="172" t="s">
        <v>38</v>
      </c>
      <c r="F675" s="172" t="s">
        <v>87</v>
      </c>
      <c r="G675" s="172" t="s">
        <v>84</v>
      </c>
      <c r="H675" s="177">
        <v>1</v>
      </c>
      <c r="I675" s="178">
        <v>1046</v>
      </c>
      <c r="J675" s="176">
        <v>46006</v>
      </c>
      <c r="K675" s="172" t="s">
        <v>93</v>
      </c>
      <c r="L675" s="172" t="s">
        <v>94</v>
      </c>
      <c r="M675" s="179">
        <v>0</v>
      </c>
      <c r="N675" s="177"/>
      <c r="O675" s="177"/>
      <c r="P675" s="180">
        <v>4.4800000000000004</v>
      </c>
    </row>
    <row r="676" spans="1:16" ht="19.5" customHeight="1">
      <c r="A676" s="172" t="s">
        <v>923</v>
      </c>
      <c r="B676" s="176">
        <v>46030</v>
      </c>
      <c r="C676" s="172" t="s">
        <v>100</v>
      </c>
      <c r="D676" s="172" t="s">
        <v>103</v>
      </c>
      <c r="E676" s="172" t="s">
        <v>38</v>
      </c>
      <c r="F676" s="172" t="s">
        <v>87</v>
      </c>
      <c r="G676" s="172" t="s">
        <v>84</v>
      </c>
      <c r="H676" s="177">
        <v>1</v>
      </c>
      <c r="I676" s="178">
        <v>1046</v>
      </c>
      <c r="J676" s="176">
        <v>46006</v>
      </c>
      <c r="K676" s="172" t="s">
        <v>93</v>
      </c>
      <c r="L676" s="172" t="s">
        <v>94</v>
      </c>
      <c r="M676" s="179">
        <v>0</v>
      </c>
      <c r="N676" s="177"/>
      <c r="O676" s="177"/>
      <c r="P676" s="180">
        <v>593.9</v>
      </c>
    </row>
    <row r="677" spans="1:16" ht="19.5" customHeight="1">
      <c r="A677" s="172" t="s">
        <v>923</v>
      </c>
      <c r="B677" s="176">
        <v>46030</v>
      </c>
      <c r="C677" s="172" t="s">
        <v>104</v>
      </c>
      <c r="D677" s="172" t="s">
        <v>105</v>
      </c>
      <c r="E677" s="172" t="s">
        <v>38</v>
      </c>
      <c r="F677" s="172" t="s">
        <v>87</v>
      </c>
      <c r="G677" s="172" t="s">
        <v>84</v>
      </c>
      <c r="H677" s="177">
        <v>1</v>
      </c>
      <c r="I677" s="178">
        <v>1046</v>
      </c>
      <c r="J677" s="176">
        <v>46006</v>
      </c>
      <c r="K677" s="172" t="s">
        <v>93</v>
      </c>
      <c r="L677" s="172" t="s">
        <v>94</v>
      </c>
      <c r="M677" s="179">
        <v>0.43</v>
      </c>
      <c r="N677" s="177"/>
      <c r="O677" s="177"/>
      <c r="P677" s="180">
        <v>-449.78</v>
      </c>
    </row>
    <row r="678" spans="1:16" ht="19.5" customHeight="1">
      <c r="A678" s="172" t="s">
        <v>923</v>
      </c>
      <c r="B678" s="176">
        <v>46030</v>
      </c>
      <c r="C678" s="172" t="s">
        <v>81</v>
      </c>
      <c r="D678" s="172" t="s">
        <v>95</v>
      </c>
      <c r="E678" s="172" t="s">
        <v>38</v>
      </c>
      <c r="F678" s="172" t="s">
        <v>87</v>
      </c>
      <c r="G678" s="172" t="s">
        <v>84</v>
      </c>
      <c r="H678" s="177">
        <v>1</v>
      </c>
      <c r="I678" s="178">
        <v>1046</v>
      </c>
      <c r="J678" s="176">
        <v>46006</v>
      </c>
      <c r="K678" s="172" t="s">
        <v>93</v>
      </c>
      <c r="L678" s="172" t="s">
        <v>94</v>
      </c>
      <c r="M678" s="179">
        <v>0.43</v>
      </c>
      <c r="N678" s="177"/>
      <c r="O678" s="177"/>
      <c r="P678" s="180">
        <v>-7.47</v>
      </c>
    </row>
    <row r="679" spans="1:16" ht="19.5" customHeight="1">
      <c r="A679" s="172" t="s">
        <v>923</v>
      </c>
      <c r="B679" s="176">
        <v>46030</v>
      </c>
      <c r="C679" s="172" t="s">
        <v>81</v>
      </c>
      <c r="D679" s="172" t="s">
        <v>82</v>
      </c>
      <c r="E679" s="172" t="s">
        <v>38</v>
      </c>
      <c r="F679" s="172" t="s">
        <v>87</v>
      </c>
      <c r="G679" s="172" t="s">
        <v>84</v>
      </c>
      <c r="H679" s="177">
        <v>1</v>
      </c>
      <c r="I679" s="178">
        <v>0</v>
      </c>
      <c r="J679" s="176">
        <v>46006</v>
      </c>
      <c r="K679" s="172" t="s">
        <v>85</v>
      </c>
      <c r="L679" s="172" t="s">
        <v>85</v>
      </c>
      <c r="M679" s="179">
        <v>0</v>
      </c>
      <c r="N679" s="177"/>
      <c r="O679" s="177"/>
      <c r="P679" s="180">
        <v>-8.5</v>
      </c>
    </row>
    <row r="680" spans="1:16" ht="19.5" customHeight="1">
      <c r="A680" s="172" t="s">
        <v>924</v>
      </c>
      <c r="B680" s="176">
        <v>46030</v>
      </c>
      <c r="C680" s="172" t="s">
        <v>92</v>
      </c>
      <c r="D680" s="172" t="s">
        <v>24</v>
      </c>
      <c r="E680" s="172" t="s">
        <v>52</v>
      </c>
      <c r="F680" s="172" t="s">
        <v>90</v>
      </c>
      <c r="G680" s="172" t="s">
        <v>84</v>
      </c>
      <c r="H680" s="177">
        <v>1</v>
      </c>
      <c r="I680" s="178">
        <v>1621</v>
      </c>
      <c r="J680" s="176">
        <v>46027</v>
      </c>
      <c r="K680" s="172" t="s">
        <v>93</v>
      </c>
      <c r="L680" s="172" t="s">
        <v>94</v>
      </c>
      <c r="M680" s="179">
        <v>0.43</v>
      </c>
      <c r="N680" s="177"/>
      <c r="O680" s="177">
        <v>45</v>
      </c>
      <c r="P680" s="180">
        <v>-148.01</v>
      </c>
    </row>
    <row r="681" spans="1:16" ht="19.5" customHeight="1">
      <c r="A681" s="172" t="s">
        <v>924</v>
      </c>
      <c r="B681" s="176">
        <v>46030</v>
      </c>
      <c r="C681" s="172" t="s">
        <v>100</v>
      </c>
      <c r="D681" s="172" t="s">
        <v>101</v>
      </c>
      <c r="E681" s="172" t="s">
        <v>52</v>
      </c>
      <c r="F681" s="172" t="s">
        <v>90</v>
      </c>
      <c r="G681" s="172" t="s">
        <v>84</v>
      </c>
      <c r="H681" s="177">
        <v>1</v>
      </c>
      <c r="I681" s="178">
        <v>1621</v>
      </c>
      <c r="J681" s="176">
        <v>46027</v>
      </c>
      <c r="K681" s="172" t="s">
        <v>93</v>
      </c>
      <c r="L681" s="172" t="s">
        <v>94</v>
      </c>
      <c r="M681" s="179">
        <v>0</v>
      </c>
      <c r="N681" s="177"/>
      <c r="O681" s="177"/>
      <c r="P681" s="180">
        <v>556.61</v>
      </c>
    </row>
    <row r="682" spans="1:16" ht="19.5" customHeight="1">
      <c r="A682" s="172" t="s">
        <v>924</v>
      </c>
      <c r="B682" s="176">
        <v>46030</v>
      </c>
      <c r="C682" s="172" t="s">
        <v>100</v>
      </c>
      <c r="D682" s="172" t="s">
        <v>102</v>
      </c>
      <c r="E682" s="172" t="s">
        <v>52</v>
      </c>
      <c r="F682" s="172" t="s">
        <v>90</v>
      </c>
      <c r="G682" s="172" t="s">
        <v>84</v>
      </c>
      <c r="H682" s="177">
        <v>1</v>
      </c>
      <c r="I682" s="178">
        <v>1621</v>
      </c>
      <c r="J682" s="176">
        <v>46027</v>
      </c>
      <c r="K682" s="172" t="s">
        <v>93</v>
      </c>
      <c r="L682" s="172" t="s">
        <v>94</v>
      </c>
      <c r="M682" s="179">
        <v>0</v>
      </c>
      <c r="N682" s="177"/>
      <c r="O682" s="177"/>
      <c r="P682" s="180">
        <v>5.57</v>
      </c>
    </row>
    <row r="683" spans="1:16" ht="19.5" customHeight="1">
      <c r="A683" s="172" t="s">
        <v>924</v>
      </c>
      <c r="B683" s="176">
        <v>46030</v>
      </c>
      <c r="C683" s="172" t="s">
        <v>100</v>
      </c>
      <c r="D683" s="172" t="s">
        <v>103</v>
      </c>
      <c r="E683" s="172" t="s">
        <v>52</v>
      </c>
      <c r="F683" s="172" t="s">
        <v>90</v>
      </c>
      <c r="G683" s="172" t="s">
        <v>84</v>
      </c>
      <c r="H683" s="177">
        <v>1</v>
      </c>
      <c r="I683" s="178">
        <v>1621</v>
      </c>
      <c r="J683" s="176">
        <v>46027</v>
      </c>
      <c r="K683" s="172" t="s">
        <v>93</v>
      </c>
      <c r="L683" s="172" t="s">
        <v>94</v>
      </c>
      <c r="M683" s="179">
        <v>0</v>
      </c>
      <c r="N683" s="177"/>
      <c r="O683" s="177"/>
      <c r="P683" s="180">
        <v>1058.82</v>
      </c>
    </row>
    <row r="684" spans="1:16" ht="19.5" customHeight="1">
      <c r="A684" s="172" t="s">
        <v>924</v>
      </c>
      <c r="B684" s="176">
        <v>46030</v>
      </c>
      <c r="C684" s="172" t="s">
        <v>104</v>
      </c>
      <c r="D684" s="172" t="s">
        <v>105</v>
      </c>
      <c r="E684" s="172" t="s">
        <v>52</v>
      </c>
      <c r="F684" s="172" t="s">
        <v>90</v>
      </c>
      <c r="G684" s="172" t="s">
        <v>84</v>
      </c>
      <c r="H684" s="177">
        <v>1</v>
      </c>
      <c r="I684" s="178">
        <v>1621</v>
      </c>
      <c r="J684" s="176">
        <v>46027</v>
      </c>
      <c r="K684" s="172" t="s">
        <v>93</v>
      </c>
      <c r="L684" s="172" t="s">
        <v>94</v>
      </c>
      <c r="M684" s="179">
        <v>0.43</v>
      </c>
      <c r="N684" s="177"/>
      <c r="O684" s="177"/>
      <c r="P684" s="180">
        <v>-697.03</v>
      </c>
    </row>
    <row r="685" spans="1:16" ht="19.5" customHeight="1">
      <c r="A685" s="172" t="s">
        <v>924</v>
      </c>
      <c r="B685" s="176">
        <v>46030</v>
      </c>
      <c r="C685" s="172" t="s">
        <v>81</v>
      </c>
      <c r="D685" s="172" t="s">
        <v>95</v>
      </c>
      <c r="E685" s="172" t="s">
        <v>52</v>
      </c>
      <c r="F685" s="172" t="s">
        <v>90</v>
      </c>
      <c r="G685" s="172" t="s">
        <v>84</v>
      </c>
      <c r="H685" s="177">
        <v>1</v>
      </c>
      <c r="I685" s="178">
        <v>1621</v>
      </c>
      <c r="J685" s="176">
        <v>46027</v>
      </c>
      <c r="K685" s="172" t="s">
        <v>93</v>
      </c>
      <c r="L685" s="172" t="s">
        <v>94</v>
      </c>
      <c r="M685" s="179">
        <v>0.43</v>
      </c>
      <c r="N685" s="177"/>
      <c r="O685" s="177"/>
      <c r="P685" s="180">
        <v>-18.46</v>
      </c>
    </row>
    <row r="686" spans="1:16" ht="19.5" customHeight="1">
      <c r="A686" s="172" t="s">
        <v>925</v>
      </c>
      <c r="B686" s="176">
        <v>46030</v>
      </c>
      <c r="C686" s="172" t="s">
        <v>128</v>
      </c>
      <c r="D686" s="172" t="s">
        <v>926</v>
      </c>
      <c r="E686" s="172" t="s">
        <v>41</v>
      </c>
      <c r="F686" s="172" t="s">
        <v>83</v>
      </c>
      <c r="G686" s="172" t="s">
        <v>84</v>
      </c>
      <c r="H686" s="177">
        <v>1</v>
      </c>
      <c r="I686" s="178">
        <v>0</v>
      </c>
      <c r="J686" s="176">
        <v>46030</v>
      </c>
      <c r="K686" s="172" t="s">
        <v>85</v>
      </c>
      <c r="L686" s="172" t="s">
        <v>85</v>
      </c>
      <c r="M686" s="179">
        <v>0</v>
      </c>
      <c r="N686" s="177"/>
      <c r="O686" s="177"/>
      <c r="P686" s="180">
        <v>-75</v>
      </c>
    </row>
    <row r="687" spans="1:16" ht="19.5" customHeight="1">
      <c r="A687" s="172" t="s">
        <v>924</v>
      </c>
      <c r="B687" s="176">
        <v>46030</v>
      </c>
      <c r="C687" s="172" t="s">
        <v>81</v>
      </c>
      <c r="D687" s="172" t="s">
        <v>82</v>
      </c>
      <c r="E687" s="172" t="s">
        <v>52</v>
      </c>
      <c r="F687" s="172" t="s">
        <v>90</v>
      </c>
      <c r="G687" s="172" t="s">
        <v>84</v>
      </c>
      <c r="H687" s="177">
        <v>1</v>
      </c>
      <c r="I687" s="178">
        <v>0</v>
      </c>
      <c r="J687" s="176">
        <v>46027</v>
      </c>
      <c r="K687" s="172" t="s">
        <v>85</v>
      </c>
      <c r="L687" s="172" t="s">
        <v>85</v>
      </c>
      <c r="M687" s="179">
        <v>0</v>
      </c>
      <c r="N687" s="177"/>
      <c r="O687" s="177"/>
      <c r="P687" s="180">
        <v>-10.58</v>
      </c>
    </row>
    <row r="688" spans="1:16" ht="19.5" customHeight="1">
      <c r="A688" s="172" t="s">
        <v>927</v>
      </c>
      <c r="B688" s="176">
        <v>46030</v>
      </c>
      <c r="C688" s="172" t="s">
        <v>92</v>
      </c>
      <c r="D688" s="172" t="s">
        <v>24</v>
      </c>
      <c r="E688" s="172" t="s">
        <v>52</v>
      </c>
      <c r="F688" s="172" t="s">
        <v>90</v>
      </c>
      <c r="G688" s="172" t="s">
        <v>84</v>
      </c>
      <c r="H688" s="177">
        <v>1</v>
      </c>
      <c r="I688" s="178">
        <v>1621</v>
      </c>
      <c r="J688" s="176">
        <v>46026</v>
      </c>
      <c r="K688" s="172" t="s">
        <v>93</v>
      </c>
      <c r="L688" s="172" t="s">
        <v>94</v>
      </c>
      <c r="M688" s="179">
        <v>0.43</v>
      </c>
      <c r="N688" s="177"/>
      <c r="O688" s="177">
        <v>46</v>
      </c>
      <c r="P688" s="180">
        <v>-150.56</v>
      </c>
    </row>
    <row r="689" spans="1:16" ht="19.5" customHeight="1">
      <c r="A689" s="172" t="s">
        <v>927</v>
      </c>
      <c r="B689" s="176">
        <v>46030</v>
      </c>
      <c r="C689" s="172" t="s">
        <v>100</v>
      </c>
      <c r="D689" s="172" t="s">
        <v>101</v>
      </c>
      <c r="E689" s="172" t="s">
        <v>52</v>
      </c>
      <c r="F689" s="172" t="s">
        <v>90</v>
      </c>
      <c r="G689" s="172" t="s">
        <v>84</v>
      </c>
      <c r="H689" s="177">
        <v>1</v>
      </c>
      <c r="I689" s="178">
        <v>1621</v>
      </c>
      <c r="J689" s="176">
        <v>46026</v>
      </c>
      <c r="K689" s="172" t="s">
        <v>93</v>
      </c>
      <c r="L689" s="172" t="s">
        <v>94</v>
      </c>
      <c r="M689" s="179">
        <v>0</v>
      </c>
      <c r="N689" s="177"/>
      <c r="O689" s="177"/>
      <c r="P689" s="180">
        <v>617.14</v>
      </c>
    </row>
    <row r="690" spans="1:16" ht="19.5" customHeight="1">
      <c r="A690" s="172" t="s">
        <v>927</v>
      </c>
      <c r="B690" s="176">
        <v>46030</v>
      </c>
      <c r="C690" s="172" t="s">
        <v>100</v>
      </c>
      <c r="D690" s="172" t="s">
        <v>102</v>
      </c>
      <c r="E690" s="172" t="s">
        <v>52</v>
      </c>
      <c r="F690" s="172" t="s">
        <v>90</v>
      </c>
      <c r="G690" s="172" t="s">
        <v>84</v>
      </c>
      <c r="H690" s="177">
        <v>1</v>
      </c>
      <c r="I690" s="178">
        <v>1621</v>
      </c>
      <c r="J690" s="176">
        <v>46026</v>
      </c>
      <c r="K690" s="172" t="s">
        <v>93</v>
      </c>
      <c r="L690" s="172" t="s">
        <v>94</v>
      </c>
      <c r="M690" s="179">
        <v>0</v>
      </c>
      <c r="N690" s="177"/>
      <c r="O690" s="177"/>
      <c r="P690" s="180">
        <v>0</v>
      </c>
    </row>
    <row r="691" spans="1:16" ht="19.5" customHeight="1">
      <c r="A691" s="172" t="s">
        <v>927</v>
      </c>
      <c r="B691" s="176">
        <v>46030</v>
      </c>
      <c r="C691" s="172" t="s">
        <v>100</v>
      </c>
      <c r="D691" s="172" t="s">
        <v>103</v>
      </c>
      <c r="E691" s="172" t="s">
        <v>52</v>
      </c>
      <c r="F691" s="172" t="s">
        <v>90</v>
      </c>
      <c r="G691" s="172" t="s">
        <v>84</v>
      </c>
      <c r="H691" s="177">
        <v>1</v>
      </c>
      <c r="I691" s="178">
        <v>1621</v>
      </c>
      <c r="J691" s="176">
        <v>46026</v>
      </c>
      <c r="K691" s="172" t="s">
        <v>93</v>
      </c>
      <c r="L691" s="172" t="s">
        <v>94</v>
      </c>
      <c r="M691" s="179">
        <v>0</v>
      </c>
      <c r="N691" s="177"/>
      <c r="O691" s="177"/>
      <c r="P691" s="180">
        <v>1003.86</v>
      </c>
    </row>
    <row r="692" spans="1:16" ht="19.5" customHeight="1">
      <c r="A692" s="172" t="s">
        <v>927</v>
      </c>
      <c r="B692" s="176">
        <v>46030</v>
      </c>
      <c r="C692" s="172" t="s">
        <v>104</v>
      </c>
      <c r="D692" s="172" t="s">
        <v>105</v>
      </c>
      <c r="E692" s="172" t="s">
        <v>52</v>
      </c>
      <c r="F692" s="172" t="s">
        <v>90</v>
      </c>
      <c r="G692" s="172" t="s">
        <v>84</v>
      </c>
      <c r="H692" s="177">
        <v>1</v>
      </c>
      <c r="I692" s="178">
        <v>1621</v>
      </c>
      <c r="J692" s="176">
        <v>46026</v>
      </c>
      <c r="K692" s="172" t="s">
        <v>93</v>
      </c>
      <c r="L692" s="172" t="s">
        <v>94</v>
      </c>
      <c r="M692" s="179">
        <v>0.43</v>
      </c>
      <c r="N692" s="177"/>
      <c r="O692" s="177"/>
      <c r="P692" s="180">
        <v>-697.03</v>
      </c>
    </row>
    <row r="693" spans="1:16" ht="19.5" customHeight="1">
      <c r="A693" s="172" t="s">
        <v>927</v>
      </c>
      <c r="B693" s="176">
        <v>46030</v>
      </c>
      <c r="C693" s="172" t="s">
        <v>81</v>
      </c>
      <c r="D693" s="172" t="s">
        <v>95</v>
      </c>
      <c r="E693" s="172" t="s">
        <v>52</v>
      </c>
      <c r="F693" s="172" t="s">
        <v>90</v>
      </c>
      <c r="G693" s="172" t="s">
        <v>84</v>
      </c>
      <c r="H693" s="177">
        <v>1</v>
      </c>
      <c r="I693" s="178">
        <v>1621</v>
      </c>
      <c r="J693" s="176">
        <v>46026</v>
      </c>
      <c r="K693" s="172" t="s">
        <v>93</v>
      </c>
      <c r="L693" s="172" t="s">
        <v>94</v>
      </c>
      <c r="M693" s="179">
        <v>0.43</v>
      </c>
      <c r="N693" s="177"/>
      <c r="O693" s="177"/>
      <c r="P693" s="180">
        <v>-9.02</v>
      </c>
    </row>
    <row r="694" spans="1:16" ht="19.5" customHeight="1">
      <c r="A694" s="172" t="s">
        <v>928</v>
      </c>
      <c r="B694" s="176">
        <v>46030</v>
      </c>
      <c r="C694" s="172" t="s">
        <v>92</v>
      </c>
      <c r="D694" s="172" t="s">
        <v>24</v>
      </c>
      <c r="E694" s="172" t="s">
        <v>52</v>
      </c>
      <c r="F694" s="172" t="s">
        <v>90</v>
      </c>
      <c r="G694" s="172" t="s">
        <v>84</v>
      </c>
      <c r="H694" s="177">
        <v>1</v>
      </c>
      <c r="I694" s="178">
        <v>1621</v>
      </c>
      <c r="J694" s="176">
        <v>46023</v>
      </c>
      <c r="K694" s="172" t="s">
        <v>93</v>
      </c>
      <c r="L694" s="172" t="s">
        <v>94</v>
      </c>
      <c r="M694" s="179">
        <v>0.43</v>
      </c>
      <c r="N694" s="177"/>
      <c r="O694" s="177">
        <v>43</v>
      </c>
      <c r="P694" s="180">
        <v>-138.22999999999999</v>
      </c>
    </row>
    <row r="695" spans="1:16" ht="19.5" customHeight="1">
      <c r="A695" s="172" t="s">
        <v>928</v>
      </c>
      <c r="B695" s="176">
        <v>46030</v>
      </c>
      <c r="C695" s="172" t="s">
        <v>100</v>
      </c>
      <c r="D695" s="172" t="s">
        <v>101</v>
      </c>
      <c r="E695" s="172" t="s">
        <v>52</v>
      </c>
      <c r="F695" s="172" t="s">
        <v>90</v>
      </c>
      <c r="G695" s="172" t="s">
        <v>84</v>
      </c>
      <c r="H695" s="177">
        <v>1</v>
      </c>
      <c r="I695" s="178">
        <v>1621</v>
      </c>
      <c r="J695" s="176">
        <v>46023</v>
      </c>
      <c r="K695" s="172" t="s">
        <v>93</v>
      </c>
      <c r="L695" s="172" t="s">
        <v>94</v>
      </c>
      <c r="M695" s="179">
        <v>0</v>
      </c>
      <c r="N695" s="177"/>
      <c r="O695" s="177"/>
      <c r="P695" s="180">
        <v>557.14</v>
      </c>
    </row>
    <row r="696" spans="1:16" ht="19.5" customHeight="1">
      <c r="A696" s="172" t="s">
        <v>928</v>
      </c>
      <c r="B696" s="176">
        <v>46030</v>
      </c>
      <c r="C696" s="172" t="s">
        <v>100</v>
      </c>
      <c r="D696" s="172" t="s">
        <v>102</v>
      </c>
      <c r="E696" s="172" t="s">
        <v>52</v>
      </c>
      <c r="F696" s="172" t="s">
        <v>90</v>
      </c>
      <c r="G696" s="172" t="s">
        <v>84</v>
      </c>
      <c r="H696" s="177">
        <v>1</v>
      </c>
      <c r="I696" s="178">
        <v>1621</v>
      </c>
      <c r="J696" s="176">
        <v>46023</v>
      </c>
      <c r="K696" s="172" t="s">
        <v>93</v>
      </c>
      <c r="L696" s="172" t="s">
        <v>94</v>
      </c>
      <c r="M696" s="179">
        <v>0</v>
      </c>
      <c r="N696" s="177"/>
      <c r="O696" s="177"/>
      <c r="P696" s="180">
        <v>5.57</v>
      </c>
    </row>
    <row r="697" spans="1:16" ht="19.5" customHeight="1">
      <c r="A697" s="172" t="s">
        <v>928</v>
      </c>
      <c r="B697" s="176">
        <v>46030</v>
      </c>
      <c r="C697" s="172" t="s">
        <v>100</v>
      </c>
      <c r="D697" s="172" t="s">
        <v>103</v>
      </c>
      <c r="E697" s="172" t="s">
        <v>52</v>
      </c>
      <c r="F697" s="172" t="s">
        <v>90</v>
      </c>
      <c r="G697" s="172" t="s">
        <v>84</v>
      </c>
      <c r="H697" s="177">
        <v>1</v>
      </c>
      <c r="I697" s="178">
        <v>1621</v>
      </c>
      <c r="J697" s="176">
        <v>46023</v>
      </c>
      <c r="K697" s="172" t="s">
        <v>93</v>
      </c>
      <c r="L697" s="172" t="s">
        <v>94</v>
      </c>
      <c r="M697" s="179">
        <v>0</v>
      </c>
      <c r="N697" s="177"/>
      <c r="O697" s="177"/>
      <c r="P697" s="180">
        <v>1058.29</v>
      </c>
    </row>
    <row r="698" spans="1:16" ht="19.5" customHeight="1">
      <c r="A698" s="172" t="s">
        <v>928</v>
      </c>
      <c r="B698" s="176">
        <v>46030</v>
      </c>
      <c r="C698" s="172" t="s">
        <v>104</v>
      </c>
      <c r="D698" s="172" t="s">
        <v>105</v>
      </c>
      <c r="E698" s="172" t="s">
        <v>52</v>
      </c>
      <c r="F698" s="172" t="s">
        <v>90</v>
      </c>
      <c r="G698" s="172" t="s">
        <v>84</v>
      </c>
      <c r="H698" s="177">
        <v>1</v>
      </c>
      <c r="I698" s="178">
        <v>1621</v>
      </c>
      <c r="J698" s="176">
        <v>46023</v>
      </c>
      <c r="K698" s="172" t="s">
        <v>93</v>
      </c>
      <c r="L698" s="172" t="s">
        <v>94</v>
      </c>
      <c r="M698" s="179">
        <v>0.43</v>
      </c>
      <c r="N698" s="177"/>
      <c r="O698" s="177"/>
      <c r="P698" s="180">
        <v>-697.03</v>
      </c>
    </row>
    <row r="699" spans="1:16" ht="19.5" customHeight="1">
      <c r="A699" s="172" t="s">
        <v>928</v>
      </c>
      <c r="B699" s="176">
        <v>46030</v>
      </c>
      <c r="C699" s="172" t="s">
        <v>81</v>
      </c>
      <c r="D699" s="172" t="s">
        <v>95</v>
      </c>
      <c r="E699" s="172" t="s">
        <v>52</v>
      </c>
      <c r="F699" s="172" t="s">
        <v>90</v>
      </c>
      <c r="G699" s="172" t="s">
        <v>84</v>
      </c>
      <c r="H699" s="177">
        <v>1</v>
      </c>
      <c r="I699" s="178">
        <v>1621</v>
      </c>
      <c r="J699" s="176">
        <v>46023</v>
      </c>
      <c r="K699" s="172" t="s">
        <v>93</v>
      </c>
      <c r="L699" s="172" t="s">
        <v>94</v>
      </c>
      <c r="M699" s="179">
        <v>0.43</v>
      </c>
      <c r="N699" s="177"/>
      <c r="O699" s="177"/>
      <c r="P699" s="180">
        <v>-8.07</v>
      </c>
    </row>
    <row r="700" spans="1:16" ht="19.5" customHeight="1">
      <c r="A700" s="172" t="s">
        <v>929</v>
      </c>
      <c r="B700" s="176">
        <v>46030</v>
      </c>
      <c r="C700" s="172" t="s">
        <v>92</v>
      </c>
      <c r="D700" s="172" t="s">
        <v>24</v>
      </c>
      <c r="E700" s="172" t="s">
        <v>41</v>
      </c>
      <c r="F700" s="172" t="s">
        <v>83</v>
      </c>
      <c r="G700" s="172" t="s">
        <v>84</v>
      </c>
      <c r="H700" s="177">
        <v>1</v>
      </c>
      <c r="I700" s="178">
        <v>1600</v>
      </c>
      <c r="J700" s="176">
        <v>46024</v>
      </c>
      <c r="K700" s="172" t="s">
        <v>93</v>
      </c>
      <c r="L700" s="172" t="s">
        <v>94</v>
      </c>
      <c r="M700" s="179">
        <v>0.43</v>
      </c>
      <c r="N700" s="177"/>
      <c r="O700" s="177">
        <v>42</v>
      </c>
      <c r="P700" s="180">
        <v>-119.03</v>
      </c>
    </row>
    <row r="701" spans="1:16" ht="19.5" customHeight="1">
      <c r="A701" s="172" t="s">
        <v>929</v>
      </c>
      <c r="B701" s="176">
        <v>46030</v>
      </c>
      <c r="C701" s="172" t="s">
        <v>100</v>
      </c>
      <c r="D701" s="172" t="s">
        <v>101</v>
      </c>
      <c r="E701" s="172" t="s">
        <v>41</v>
      </c>
      <c r="F701" s="172" t="s">
        <v>83</v>
      </c>
      <c r="G701" s="172" t="s">
        <v>84</v>
      </c>
      <c r="H701" s="177">
        <v>1</v>
      </c>
      <c r="I701" s="178">
        <v>1600</v>
      </c>
      <c r="J701" s="176">
        <v>46024</v>
      </c>
      <c r="K701" s="172" t="s">
        <v>93</v>
      </c>
      <c r="L701" s="172" t="s">
        <v>94</v>
      </c>
      <c r="M701" s="179">
        <v>0</v>
      </c>
      <c r="N701" s="177"/>
      <c r="O701" s="177"/>
      <c r="P701" s="180">
        <v>608.37</v>
      </c>
    </row>
    <row r="702" spans="1:16" ht="19.5" customHeight="1">
      <c r="A702" s="172" t="s">
        <v>929</v>
      </c>
      <c r="B702" s="176">
        <v>46030</v>
      </c>
      <c r="C702" s="172" t="s">
        <v>100</v>
      </c>
      <c r="D702" s="172" t="s">
        <v>102</v>
      </c>
      <c r="E702" s="172" t="s">
        <v>41</v>
      </c>
      <c r="F702" s="172" t="s">
        <v>83</v>
      </c>
      <c r="G702" s="172" t="s">
        <v>84</v>
      </c>
      <c r="H702" s="177">
        <v>1</v>
      </c>
      <c r="I702" s="178">
        <v>1600</v>
      </c>
      <c r="J702" s="176">
        <v>46024</v>
      </c>
      <c r="K702" s="172" t="s">
        <v>93</v>
      </c>
      <c r="L702" s="172" t="s">
        <v>94</v>
      </c>
      <c r="M702" s="179">
        <v>0</v>
      </c>
      <c r="N702" s="177"/>
      <c r="O702" s="177"/>
      <c r="P702" s="180">
        <v>0</v>
      </c>
    </row>
    <row r="703" spans="1:16" ht="19.5" customHeight="1">
      <c r="A703" s="172" t="s">
        <v>929</v>
      </c>
      <c r="B703" s="176">
        <v>46030</v>
      </c>
      <c r="C703" s="172" t="s">
        <v>100</v>
      </c>
      <c r="D703" s="172" t="s">
        <v>103</v>
      </c>
      <c r="E703" s="172" t="s">
        <v>41</v>
      </c>
      <c r="F703" s="172" t="s">
        <v>83</v>
      </c>
      <c r="G703" s="172" t="s">
        <v>84</v>
      </c>
      <c r="H703" s="177">
        <v>1</v>
      </c>
      <c r="I703" s="178">
        <v>1600</v>
      </c>
      <c r="J703" s="176">
        <v>46024</v>
      </c>
      <c r="K703" s="172" t="s">
        <v>93</v>
      </c>
      <c r="L703" s="172" t="s">
        <v>94</v>
      </c>
      <c r="M703" s="179">
        <v>0</v>
      </c>
      <c r="N703" s="177"/>
      <c r="O703" s="177"/>
      <c r="P703" s="180">
        <v>991.63</v>
      </c>
    </row>
    <row r="704" spans="1:16" ht="19.5" customHeight="1">
      <c r="A704" s="172" t="s">
        <v>929</v>
      </c>
      <c r="B704" s="176">
        <v>46030</v>
      </c>
      <c r="C704" s="172" t="s">
        <v>104</v>
      </c>
      <c r="D704" s="172" t="s">
        <v>105</v>
      </c>
      <c r="E704" s="172" t="s">
        <v>41</v>
      </c>
      <c r="F704" s="172" t="s">
        <v>83</v>
      </c>
      <c r="G704" s="172" t="s">
        <v>84</v>
      </c>
      <c r="H704" s="177">
        <v>1</v>
      </c>
      <c r="I704" s="178">
        <v>1600</v>
      </c>
      <c r="J704" s="176">
        <v>46024</v>
      </c>
      <c r="K704" s="172" t="s">
        <v>93</v>
      </c>
      <c r="L704" s="172" t="s">
        <v>94</v>
      </c>
      <c r="M704" s="179">
        <v>0.43</v>
      </c>
      <c r="N704" s="177"/>
      <c r="O704" s="177"/>
      <c r="P704" s="180">
        <v>-688</v>
      </c>
    </row>
    <row r="705" spans="1:16" ht="19.5" customHeight="1">
      <c r="A705" s="172" t="s">
        <v>929</v>
      </c>
      <c r="B705" s="176">
        <v>46030</v>
      </c>
      <c r="C705" s="172" t="s">
        <v>81</v>
      </c>
      <c r="D705" s="172" t="s">
        <v>95</v>
      </c>
      <c r="E705" s="172" t="s">
        <v>41</v>
      </c>
      <c r="F705" s="172" t="s">
        <v>83</v>
      </c>
      <c r="G705" s="172" t="s">
        <v>84</v>
      </c>
      <c r="H705" s="177">
        <v>1</v>
      </c>
      <c r="I705" s="178">
        <v>1600</v>
      </c>
      <c r="J705" s="176">
        <v>46024</v>
      </c>
      <c r="K705" s="172" t="s">
        <v>93</v>
      </c>
      <c r="L705" s="172" t="s">
        <v>94</v>
      </c>
      <c r="M705" s="179">
        <v>0.43</v>
      </c>
      <c r="N705" s="177"/>
      <c r="O705" s="177"/>
      <c r="P705" s="180">
        <v>-7.68</v>
      </c>
    </row>
    <row r="706" spans="1:16" ht="19.5" customHeight="1">
      <c r="A706" s="172" t="s">
        <v>927</v>
      </c>
      <c r="B706" s="176">
        <v>46030</v>
      </c>
      <c r="C706" s="172" t="s">
        <v>81</v>
      </c>
      <c r="D706" s="172" t="s">
        <v>82</v>
      </c>
      <c r="E706" s="172" t="s">
        <v>52</v>
      </c>
      <c r="F706" s="172" t="s">
        <v>90</v>
      </c>
      <c r="G706" s="172" t="s">
        <v>84</v>
      </c>
      <c r="H706" s="177">
        <v>1</v>
      </c>
      <c r="I706" s="178">
        <v>0</v>
      </c>
      <c r="J706" s="176">
        <v>46026</v>
      </c>
      <c r="K706" s="172" t="s">
        <v>85</v>
      </c>
      <c r="L706" s="172" t="s">
        <v>85</v>
      </c>
      <c r="M706" s="179">
        <v>0</v>
      </c>
      <c r="N706" s="177"/>
      <c r="O706" s="177"/>
      <c r="P706" s="180">
        <v>-3.32</v>
      </c>
    </row>
    <row r="707" spans="1:16" ht="19.5" customHeight="1">
      <c r="A707" s="172" t="s">
        <v>928</v>
      </c>
      <c r="B707" s="176">
        <v>46030</v>
      </c>
      <c r="C707" s="172" t="s">
        <v>81</v>
      </c>
      <c r="D707" s="172" t="s">
        <v>82</v>
      </c>
      <c r="E707" s="172" t="s">
        <v>52</v>
      </c>
      <c r="F707" s="172" t="s">
        <v>90</v>
      </c>
      <c r="G707" s="172" t="s">
        <v>84</v>
      </c>
      <c r="H707" s="177">
        <v>1</v>
      </c>
      <c r="I707" s="178">
        <v>0</v>
      </c>
      <c r="J707" s="176">
        <v>46023</v>
      </c>
      <c r="K707" s="172" t="s">
        <v>85</v>
      </c>
      <c r="L707" s="172" t="s">
        <v>85</v>
      </c>
      <c r="M707" s="179">
        <v>0</v>
      </c>
      <c r="N707" s="177"/>
      <c r="O707" s="177"/>
      <c r="P707" s="180">
        <v>-10.59</v>
      </c>
    </row>
    <row r="708" spans="1:16" ht="19.5" customHeight="1">
      <c r="A708" s="172" t="s">
        <v>930</v>
      </c>
      <c r="B708" s="176">
        <v>46030</v>
      </c>
      <c r="C708" s="172" t="s">
        <v>92</v>
      </c>
      <c r="D708" s="172" t="s">
        <v>24</v>
      </c>
      <c r="E708" s="172" t="s">
        <v>53</v>
      </c>
      <c r="F708" s="172" t="s">
        <v>120</v>
      </c>
      <c r="G708" s="172" t="s">
        <v>84</v>
      </c>
      <c r="H708" s="177">
        <v>1</v>
      </c>
      <c r="I708" s="178">
        <v>0</v>
      </c>
      <c r="J708" s="176">
        <v>46019</v>
      </c>
      <c r="K708" s="172" t="s">
        <v>93</v>
      </c>
      <c r="L708" s="172" t="s">
        <v>94</v>
      </c>
      <c r="M708" s="179">
        <v>0</v>
      </c>
      <c r="N708" s="177"/>
      <c r="O708" s="177">
        <v>41</v>
      </c>
      <c r="P708" s="180">
        <v>-56</v>
      </c>
    </row>
    <row r="709" spans="1:16" ht="19.5" customHeight="1">
      <c r="A709" s="172" t="s">
        <v>930</v>
      </c>
      <c r="B709" s="176">
        <v>46030</v>
      </c>
      <c r="C709" s="172" t="s">
        <v>81</v>
      </c>
      <c r="D709" s="172" t="s">
        <v>95</v>
      </c>
      <c r="E709" s="172" t="s">
        <v>53</v>
      </c>
      <c r="F709" s="172" t="s">
        <v>120</v>
      </c>
      <c r="G709" s="172" t="s">
        <v>84</v>
      </c>
      <c r="H709" s="177">
        <v>1</v>
      </c>
      <c r="I709" s="178">
        <v>0</v>
      </c>
      <c r="J709" s="176">
        <v>46019</v>
      </c>
      <c r="K709" s="172" t="s">
        <v>93</v>
      </c>
      <c r="L709" s="172" t="s">
        <v>94</v>
      </c>
      <c r="M709" s="179">
        <v>0</v>
      </c>
      <c r="N709" s="177"/>
      <c r="O709" s="177"/>
      <c r="P709" s="180">
        <v>-10</v>
      </c>
    </row>
    <row r="710" spans="1:16" ht="19.5" customHeight="1">
      <c r="A710" s="172" t="s">
        <v>930</v>
      </c>
      <c r="B710" s="176">
        <v>46030</v>
      </c>
      <c r="C710" s="172" t="s">
        <v>92</v>
      </c>
      <c r="D710" s="172" t="s">
        <v>96</v>
      </c>
      <c r="E710" s="172" t="s">
        <v>53</v>
      </c>
      <c r="F710" s="172" t="s">
        <v>120</v>
      </c>
      <c r="G710" s="172" t="s">
        <v>84</v>
      </c>
      <c r="H710" s="177">
        <v>1</v>
      </c>
      <c r="I710" s="178">
        <v>0</v>
      </c>
      <c r="J710" s="176">
        <v>46019</v>
      </c>
      <c r="K710" s="172" t="s">
        <v>93</v>
      </c>
      <c r="L710" s="172" t="s">
        <v>94</v>
      </c>
      <c r="M710" s="179">
        <v>0</v>
      </c>
      <c r="N710" s="177"/>
      <c r="O710" s="177"/>
      <c r="P710" s="180">
        <v>0</v>
      </c>
    </row>
    <row r="711" spans="1:16" ht="19.5" customHeight="1">
      <c r="A711" s="172" t="s">
        <v>930</v>
      </c>
      <c r="B711" s="176">
        <v>46030</v>
      </c>
      <c r="C711" s="172" t="s">
        <v>92</v>
      </c>
      <c r="D711" s="172" t="s">
        <v>97</v>
      </c>
      <c r="E711" s="172" t="s">
        <v>53</v>
      </c>
      <c r="F711" s="172" t="s">
        <v>120</v>
      </c>
      <c r="G711" s="172" t="s">
        <v>84</v>
      </c>
      <c r="H711" s="177">
        <v>1</v>
      </c>
      <c r="I711" s="178">
        <v>0</v>
      </c>
      <c r="J711" s="176">
        <v>46019</v>
      </c>
      <c r="K711" s="172" t="s">
        <v>93</v>
      </c>
      <c r="L711" s="172" t="s">
        <v>94</v>
      </c>
      <c r="M711" s="179">
        <v>0</v>
      </c>
      <c r="N711" s="177"/>
      <c r="O711" s="177"/>
      <c r="P711" s="180">
        <v>-56</v>
      </c>
    </row>
    <row r="712" spans="1:16" ht="19.5" customHeight="1">
      <c r="A712" s="172" t="s">
        <v>930</v>
      </c>
      <c r="B712" s="176">
        <v>46030</v>
      </c>
      <c r="C712" s="172" t="s">
        <v>81</v>
      </c>
      <c r="D712" s="172" t="s">
        <v>98</v>
      </c>
      <c r="E712" s="172" t="s">
        <v>53</v>
      </c>
      <c r="F712" s="172" t="s">
        <v>120</v>
      </c>
      <c r="G712" s="172" t="s">
        <v>84</v>
      </c>
      <c r="H712" s="177">
        <v>1</v>
      </c>
      <c r="I712" s="178">
        <v>0</v>
      </c>
      <c r="J712" s="176">
        <v>46019</v>
      </c>
      <c r="K712" s="172" t="s">
        <v>93</v>
      </c>
      <c r="L712" s="172" t="s">
        <v>94</v>
      </c>
      <c r="M712" s="179">
        <v>0</v>
      </c>
      <c r="N712" s="177"/>
      <c r="O712" s="177"/>
      <c r="P712" s="180">
        <v>-15</v>
      </c>
    </row>
    <row r="713" spans="1:16" ht="19.5" customHeight="1">
      <c r="A713" s="172" t="s">
        <v>931</v>
      </c>
      <c r="B713" s="176">
        <v>46030</v>
      </c>
      <c r="C713" s="172" t="s">
        <v>92</v>
      </c>
      <c r="D713" s="172" t="s">
        <v>24</v>
      </c>
      <c r="E713" s="172" t="s">
        <v>53</v>
      </c>
      <c r="F713" s="172" t="s">
        <v>120</v>
      </c>
      <c r="G713" s="172" t="s">
        <v>84</v>
      </c>
      <c r="H713" s="177">
        <v>1</v>
      </c>
      <c r="I713" s="178">
        <v>1845</v>
      </c>
      <c r="J713" s="176">
        <v>46029</v>
      </c>
      <c r="K713" s="172" t="s">
        <v>93</v>
      </c>
      <c r="L713" s="172" t="s">
        <v>94</v>
      </c>
      <c r="M713" s="179">
        <v>0.43</v>
      </c>
      <c r="N713" s="177"/>
      <c r="O713" s="177">
        <v>43</v>
      </c>
      <c r="P713" s="180">
        <v>-144.94999999999999</v>
      </c>
    </row>
    <row r="714" spans="1:16" ht="19.5" customHeight="1">
      <c r="A714" s="172" t="s">
        <v>931</v>
      </c>
      <c r="B714" s="176">
        <v>46030</v>
      </c>
      <c r="C714" s="172" t="s">
        <v>100</v>
      </c>
      <c r="D714" s="172" t="s">
        <v>101</v>
      </c>
      <c r="E714" s="172" t="s">
        <v>53</v>
      </c>
      <c r="F714" s="172" t="s">
        <v>120</v>
      </c>
      <c r="G714" s="172" t="s">
        <v>84</v>
      </c>
      <c r="H714" s="177">
        <v>1</v>
      </c>
      <c r="I714" s="178">
        <v>1845</v>
      </c>
      <c r="J714" s="176">
        <v>46029</v>
      </c>
      <c r="K714" s="172" t="s">
        <v>93</v>
      </c>
      <c r="L714" s="172" t="s">
        <v>94</v>
      </c>
      <c r="M714" s="179">
        <v>0</v>
      </c>
      <c r="N714" s="177"/>
      <c r="O714" s="177"/>
      <c r="P714" s="180">
        <v>642.86</v>
      </c>
    </row>
    <row r="715" spans="1:16" ht="19.5" customHeight="1">
      <c r="A715" s="172" t="s">
        <v>931</v>
      </c>
      <c r="B715" s="176">
        <v>46030</v>
      </c>
      <c r="C715" s="172" t="s">
        <v>100</v>
      </c>
      <c r="D715" s="172" t="s">
        <v>102</v>
      </c>
      <c r="E715" s="172" t="s">
        <v>53</v>
      </c>
      <c r="F715" s="172" t="s">
        <v>120</v>
      </c>
      <c r="G715" s="172" t="s">
        <v>84</v>
      </c>
      <c r="H715" s="177">
        <v>1</v>
      </c>
      <c r="I715" s="178">
        <v>1845</v>
      </c>
      <c r="J715" s="176">
        <v>46029</v>
      </c>
      <c r="K715" s="172" t="s">
        <v>93</v>
      </c>
      <c r="L715" s="172" t="s">
        <v>94</v>
      </c>
      <c r="M715" s="179">
        <v>0</v>
      </c>
      <c r="N715" s="177"/>
      <c r="O715" s="177"/>
      <c r="P715" s="180">
        <v>6.43</v>
      </c>
    </row>
    <row r="716" spans="1:16" ht="19.5" customHeight="1">
      <c r="A716" s="172" t="s">
        <v>931</v>
      </c>
      <c r="B716" s="176">
        <v>46030</v>
      </c>
      <c r="C716" s="172" t="s">
        <v>100</v>
      </c>
      <c r="D716" s="172" t="s">
        <v>103</v>
      </c>
      <c r="E716" s="172" t="s">
        <v>53</v>
      </c>
      <c r="F716" s="172" t="s">
        <v>120</v>
      </c>
      <c r="G716" s="172" t="s">
        <v>84</v>
      </c>
      <c r="H716" s="177">
        <v>1</v>
      </c>
      <c r="I716" s="178">
        <v>1845</v>
      </c>
      <c r="J716" s="176">
        <v>46029</v>
      </c>
      <c r="K716" s="172" t="s">
        <v>93</v>
      </c>
      <c r="L716" s="172" t="s">
        <v>94</v>
      </c>
      <c r="M716" s="179">
        <v>0</v>
      </c>
      <c r="N716" s="177"/>
      <c r="O716" s="177"/>
      <c r="P716" s="180">
        <v>1195.71</v>
      </c>
    </row>
    <row r="717" spans="1:16" ht="19.5" customHeight="1">
      <c r="A717" s="172" t="s">
        <v>931</v>
      </c>
      <c r="B717" s="176">
        <v>46030</v>
      </c>
      <c r="C717" s="172" t="s">
        <v>104</v>
      </c>
      <c r="D717" s="172" t="s">
        <v>105</v>
      </c>
      <c r="E717" s="172" t="s">
        <v>53</v>
      </c>
      <c r="F717" s="172" t="s">
        <v>120</v>
      </c>
      <c r="G717" s="172" t="s">
        <v>84</v>
      </c>
      <c r="H717" s="177">
        <v>1</v>
      </c>
      <c r="I717" s="178">
        <v>1845</v>
      </c>
      <c r="J717" s="176">
        <v>46029</v>
      </c>
      <c r="K717" s="172" t="s">
        <v>93</v>
      </c>
      <c r="L717" s="172" t="s">
        <v>94</v>
      </c>
      <c r="M717" s="179">
        <v>0.43</v>
      </c>
      <c r="N717" s="177"/>
      <c r="O717" s="177"/>
      <c r="P717" s="180">
        <v>-793.35</v>
      </c>
    </row>
    <row r="718" spans="1:16" ht="19.5" customHeight="1">
      <c r="A718" s="172" t="s">
        <v>931</v>
      </c>
      <c r="B718" s="176">
        <v>46030</v>
      </c>
      <c r="C718" s="172" t="s">
        <v>81</v>
      </c>
      <c r="D718" s="172" t="s">
        <v>95</v>
      </c>
      <c r="E718" s="172" t="s">
        <v>53</v>
      </c>
      <c r="F718" s="172" t="s">
        <v>120</v>
      </c>
      <c r="G718" s="172" t="s">
        <v>84</v>
      </c>
      <c r="H718" s="177">
        <v>1</v>
      </c>
      <c r="I718" s="178">
        <v>1845</v>
      </c>
      <c r="J718" s="176">
        <v>46029</v>
      </c>
      <c r="K718" s="172" t="s">
        <v>93</v>
      </c>
      <c r="L718" s="172" t="s">
        <v>94</v>
      </c>
      <c r="M718" s="179">
        <v>0.43</v>
      </c>
      <c r="N718" s="177"/>
      <c r="O718" s="177"/>
      <c r="P718" s="180">
        <v>-9.2100000000000009</v>
      </c>
    </row>
    <row r="719" spans="1:16" ht="19.5" customHeight="1">
      <c r="A719" s="172" t="s">
        <v>931</v>
      </c>
      <c r="B719" s="176">
        <v>46030</v>
      </c>
      <c r="C719" s="172" t="s">
        <v>81</v>
      </c>
      <c r="D719" s="172" t="s">
        <v>82</v>
      </c>
      <c r="E719" s="172" t="s">
        <v>53</v>
      </c>
      <c r="F719" s="172" t="s">
        <v>120</v>
      </c>
      <c r="G719" s="172" t="s">
        <v>84</v>
      </c>
      <c r="H719" s="177">
        <v>1</v>
      </c>
      <c r="I719" s="178">
        <v>0</v>
      </c>
      <c r="J719" s="176">
        <v>46029</v>
      </c>
      <c r="K719" s="172" t="s">
        <v>85</v>
      </c>
      <c r="L719" s="172" t="s">
        <v>85</v>
      </c>
      <c r="M719" s="179">
        <v>0</v>
      </c>
      <c r="N719" s="177"/>
      <c r="O719" s="177"/>
      <c r="P719" s="180">
        <v>-12.21</v>
      </c>
    </row>
    <row r="720" spans="1:16" ht="19.5" customHeight="1">
      <c r="A720" s="172" t="s">
        <v>932</v>
      </c>
      <c r="B720" s="176">
        <v>46030</v>
      </c>
      <c r="C720" s="172" t="s">
        <v>92</v>
      </c>
      <c r="D720" s="172" t="s">
        <v>272</v>
      </c>
      <c r="E720" s="172" t="s">
        <v>52</v>
      </c>
      <c r="F720" s="172" t="s">
        <v>90</v>
      </c>
      <c r="G720" s="172" t="s">
        <v>84</v>
      </c>
      <c r="H720" s="177">
        <v>1</v>
      </c>
      <c r="I720" s="178">
        <v>0</v>
      </c>
      <c r="J720" s="176">
        <v>46007</v>
      </c>
      <c r="K720" s="172" t="s">
        <v>93</v>
      </c>
      <c r="L720" s="172" t="s">
        <v>94</v>
      </c>
      <c r="M720" s="179">
        <v>0</v>
      </c>
      <c r="N720" s="177"/>
      <c r="O720" s="177"/>
      <c r="P720" s="180">
        <v>0</v>
      </c>
    </row>
    <row r="721" spans="1:16" ht="19.5" customHeight="1">
      <c r="A721" s="172" t="s">
        <v>932</v>
      </c>
      <c r="B721" s="176">
        <v>46030</v>
      </c>
      <c r="C721" s="172" t="s">
        <v>92</v>
      </c>
      <c r="D721" s="172" t="s">
        <v>97</v>
      </c>
      <c r="E721" s="172" t="s">
        <v>52</v>
      </c>
      <c r="F721" s="172" t="s">
        <v>90</v>
      </c>
      <c r="G721" s="172" t="s">
        <v>84</v>
      </c>
      <c r="H721" s="177">
        <v>1</v>
      </c>
      <c r="I721" s="178">
        <v>0</v>
      </c>
      <c r="J721" s="176">
        <v>46007</v>
      </c>
      <c r="K721" s="172" t="s">
        <v>93</v>
      </c>
      <c r="L721" s="172" t="s">
        <v>94</v>
      </c>
      <c r="M721" s="179">
        <v>0</v>
      </c>
      <c r="N721" s="177"/>
      <c r="O721" s="177"/>
      <c r="P721" s="180">
        <v>-56</v>
      </c>
    </row>
    <row r="722" spans="1:16" ht="19.5" customHeight="1">
      <c r="A722" s="172" t="s">
        <v>932</v>
      </c>
      <c r="B722" s="176">
        <v>46030</v>
      </c>
      <c r="C722" s="172" t="s">
        <v>81</v>
      </c>
      <c r="D722" s="172" t="s">
        <v>98</v>
      </c>
      <c r="E722" s="172" t="s">
        <v>52</v>
      </c>
      <c r="F722" s="172" t="s">
        <v>90</v>
      </c>
      <c r="G722" s="172" t="s">
        <v>84</v>
      </c>
      <c r="H722" s="177">
        <v>1</v>
      </c>
      <c r="I722" s="178">
        <v>0</v>
      </c>
      <c r="J722" s="176">
        <v>46007</v>
      </c>
      <c r="K722" s="172" t="s">
        <v>93</v>
      </c>
      <c r="L722" s="172" t="s">
        <v>94</v>
      </c>
      <c r="M722" s="179">
        <v>0</v>
      </c>
      <c r="N722" s="177"/>
      <c r="O722" s="177"/>
      <c r="P722" s="180">
        <v>-15</v>
      </c>
    </row>
    <row r="723" spans="1:16" ht="19.5" customHeight="1">
      <c r="A723" s="172" t="s">
        <v>933</v>
      </c>
      <c r="B723" s="176">
        <v>46030</v>
      </c>
      <c r="C723" s="172" t="s">
        <v>92</v>
      </c>
      <c r="D723" s="172" t="s">
        <v>24</v>
      </c>
      <c r="E723" s="172" t="s">
        <v>52</v>
      </c>
      <c r="F723" s="172" t="s">
        <v>90</v>
      </c>
      <c r="G723" s="172" t="s">
        <v>84</v>
      </c>
      <c r="H723" s="177">
        <v>1</v>
      </c>
      <c r="I723" s="178">
        <v>1621</v>
      </c>
      <c r="J723" s="176">
        <v>46028</v>
      </c>
      <c r="K723" s="172" t="s">
        <v>93</v>
      </c>
      <c r="L723" s="172" t="s">
        <v>94</v>
      </c>
      <c r="M723" s="179">
        <v>0.43</v>
      </c>
      <c r="N723" s="177"/>
      <c r="O723" s="177">
        <v>44</v>
      </c>
      <c r="P723" s="180">
        <v>-142.34</v>
      </c>
    </row>
    <row r="724" spans="1:16" ht="19.5" customHeight="1">
      <c r="A724" s="172" t="s">
        <v>933</v>
      </c>
      <c r="B724" s="176">
        <v>46030</v>
      </c>
      <c r="C724" s="172" t="s">
        <v>100</v>
      </c>
      <c r="D724" s="172" t="s">
        <v>101</v>
      </c>
      <c r="E724" s="172" t="s">
        <v>52</v>
      </c>
      <c r="F724" s="172" t="s">
        <v>90</v>
      </c>
      <c r="G724" s="172" t="s">
        <v>84</v>
      </c>
      <c r="H724" s="177">
        <v>1</v>
      </c>
      <c r="I724" s="178">
        <v>1621</v>
      </c>
      <c r="J724" s="176">
        <v>46028</v>
      </c>
      <c r="K724" s="172" t="s">
        <v>93</v>
      </c>
      <c r="L724" s="172" t="s">
        <v>94</v>
      </c>
      <c r="M724" s="179">
        <v>0</v>
      </c>
      <c r="N724" s="177"/>
      <c r="O724" s="177"/>
      <c r="P724" s="180">
        <v>557.14</v>
      </c>
    </row>
    <row r="725" spans="1:16" ht="19.5" customHeight="1">
      <c r="A725" s="172" t="s">
        <v>933</v>
      </c>
      <c r="B725" s="176">
        <v>46030</v>
      </c>
      <c r="C725" s="172" t="s">
        <v>100</v>
      </c>
      <c r="D725" s="172" t="s">
        <v>102</v>
      </c>
      <c r="E725" s="172" t="s">
        <v>52</v>
      </c>
      <c r="F725" s="172" t="s">
        <v>90</v>
      </c>
      <c r="G725" s="172" t="s">
        <v>84</v>
      </c>
      <c r="H725" s="177">
        <v>1</v>
      </c>
      <c r="I725" s="178">
        <v>1621</v>
      </c>
      <c r="J725" s="176">
        <v>46028</v>
      </c>
      <c r="K725" s="172" t="s">
        <v>93</v>
      </c>
      <c r="L725" s="172" t="s">
        <v>94</v>
      </c>
      <c r="M725" s="179">
        <v>0</v>
      </c>
      <c r="N725" s="177"/>
      <c r="O725" s="177"/>
      <c r="P725" s="180">
        <v>5.57</v>
      </c>
    </row>
    <row r="726" spans="1:16" ht="19.5" customHeight="1">
      <c r="A726" s="172" t="s">
        <v>933</v>
      </c>
      <c r="B726" s="176">
        <v>46030</v>
      </c>
      <c r="C726" s="172" t="s">
        <v>100</v>
      </c>
      <c r="D726" s="172" t="s">
        <v>103</v>
      </c>
      <c r="E726" s="172" t="s">
        <v>52</v>
      </c>
      <c r="F726" s="172" t="s">
        <v>90</v>
      </c>
      <c r="G726" s="172" t="s">
        <v>84</v>
      </c>
      <c r="H726" s="177">
        <v>1</v>
      </c>
      <c r="I726" s="178">
        <v>1621</v>
      </c>
      <c r="J726" s="176">
        <v>46028</v>
      </c>
      <c r="K726" s="172" t="s">
        <v>93</v>
      </c>
      <c r="L726" s="172" t="s">
        <v>94</v>
      </c>
      <c r="M726" s="179">
        <v>0</v>
      </c>
      <c r="N726" s="177"/>
      <c r="O726" s="177"/>
      <c r="P726" s="180">
        <v>1058.29</v>
      </c>
    </row>
    <row r="727" spans="1:16" ht="19.5" customHeight="1">
      <c r="A727" s="172" t="s">
        <v>933</v>
      </c>
      <c r="B727" s="176">
        <v>46030</v>
      </c>
      <c r="C727" s="172" t="s">
        <v>104</v>
      </c>
      <c r="D727" s="172" t="s">
        <v>105</v>
      </c>
      <c r="E727" s="172" t="s">
        <v>52</v>
      </c>
      <c r="F727" s="172" t="s">
        <v>90</v>
      </c>
      <c r="G727" s="172" t="s">
        <v>84</v>
      </c>
      <c r="H727" s="177">
        <v>1</v>
      </c>
      <c r="I727" s="178">
        <v>1621</v>
      </c>
      <c r="J727" s="176">
        <v>46028</v>
      </c>
      <c r="K727" s="172" t="s">
        <v>93</v>
      </c>
      <c r="L727" s="172" t="s">
        <v>94</v>
      </c>
      <c r="M727" s="179">
        <v>0.43</v>
      </c>
      <c r="N727" s="177"/>
      <c r="O727" s="177"/>
      <c r="P727" s="180">
        <v>-697.03</v>
      </c>
    </row>
    <row r="728" spans="1:16" ht="19.5" customHeight="1">
      <c r="A728" s="172" t="s">
        <v>933</v>
      </c>
      <c r="B728" s="176">
        <v>46030</v>
      </c>
      <c r="C728" s="172" t="s">
        <v>81</v>
      </c>
      <c r="D728" s="172" t="s">
        <v>95</v>
      </c>
      <c r="E728" s="172" t="s">
        <v>52</v>
      </c>
      <c r="F728" s="172" t="s">
        <v>90</v>
      </c>
      <c r="G728" s="172" t="s">
        <v>84</v>
      </c>
      <c r="H728" s="177">
        <v>1</v>
      </c>
      <c r="I728" s="178">
        <v>1621</v>
      </c>
      <c r="J728" s="176">
        <v>46028</v>
      </c>
      <c r="K728" s="172" t="s">
        <v>93</v>
      </c>
      <c r="L728" s="172" t="s">
        <v>94</v>
      </c>
      <c r="M728" s="179">
        <v>0.43</v>
      </c>
      <c r="N728" s="177"/>
      <c r="O728" s="177"/>
      <c r="P728" s="180">
        <v>-14.04</v>
      </c>
    </row>
    <row r="729" spans="1:16" ht="19.5" customHeight="1">
      <c r="A729" s="172" t="s">
        <v>934</v>
      </c>
      <c r="B729" s="176">
        <v>46030</v>
      </c>
      <c r="C729" s="172" t="s">
        <v>92</v>
      </c>
      <c r="D729" s="172" t="s">
        <v>24</v>
      </c>
      <c r="E729" s="172" t="s">
        <v>39</v>
      </c>
      <c r="F729" s="172" t="s">
        <v>117</v>
      </c>
      <c r="G729" s="172" t="s">
        <v>84</v>
      </c>
      <c r="H729" s="177">
        <v>1</v>
      </c>
      <c r="I729" s="178">
        <v>0</v>
      </c>
      <c r="J729" s="176">
        <v>46024</v>
      </c>
      <c r="K729" s="172" t="s">
        <v>93</v>
      </c>
      <c r="L729" s="172" t="s">
        <v>94</v>
      </c>
      <c r="M729" s="179">
        <v>0</v>
      </c>
      <c r="N729" s="177"/>
      <c r="O729" s="177">
        <v>42</v>
      </c>
      <c r="P729" s="180">
        <v>-46.77</v>
      </c>
    </row>
    <row r="730" spans="1:16" ht="19.5" customHeight="1">
      <c r="A730" s="172" t="s">
        <v>934</v>
      </c>
      <c r="B730" s="176">
        <v>46030</v>
      </c>
      <c r="C730" s="172" t="s">
        <v>81</v>
      </c>
      <c r="D730" s="172" t="s">
        <v>95</v>
      </c>
      <c r="E730" s="172" t="s">
        <v>39</v>
      </c>
      <c r="F730" s="172" t="s">
        <v>117</v>
      </c>
      <c r="G730" s="172" t="s">
        <v>84</v>
      </c>
      <c r="H730" s="177">
        <v>1</v>
      </c>
      <c r="I730" s="178">
        <v>0</v>
      </c>
      <c r="J730" s="176">
        <v>46024</v>
      </c>
      <c r="K730" s="172" t="s">
        <v>93</v>
      </c>
      <c r="L730" s="172" t="s">
        <v>94</v>
      </c>
      <c r="M730" s="179">
        <v>0</v>
      </c>
      <c r="N730" s="177"/>
      <c r="O730" s="177"/>
      <c r="P730" s="180">
        <v>-9.31</v>
      </c>
    </row>
    <row r="731" spans="1:16" ht="19.5" customHeight="1">
      <c r="A731" s="172" t="s">
        <v>934</v>
      </c>
      <c r="B731" s="176">
        <v>46030</v>
      </c>
      <c r="C731" s="172" t="s">
        <v>92</v>
      </c>
      <c r="D731" s="172" t="s">
        <v>96</v>
      </c>
      <c r="E731" s="172" t="s">
        <v>39</v>
      </c>
      <c r="F731" s="172" t="s">
        <v>117</v>
      </c>
      <c r="G731" s="172" t="s">
        <v>84</v>
      </c>
      <c r="H731" s="177">
        <v>1</v>
      </c>
      <c r="I731" s="178">
        <v>0</v>
      </c>
      <c r="J731" s="176">
        <v>46024</v>
      </c>
      <c r="K731" s="172" t="s">
        <v>93</v>
      </c>
      <c r="L731" s="172" t="s">
        <v>94</v>
      </c>
      <c r="M731" s="179">
        <v>0</v>
      </c>
      <c r="N731" s="177"/>
      <c r="O731" s="177"/>
      <c r="P731" s="180">
        <v>0</v>
      </c>
    </row>
    <row r="732" spans="1:16" ht="19.5" customHeight="1">
      <c r="A732" s="172" t="s">
        <v>934</v>
      </c>
      <c r="B732" s="176">
        <v>46030</v>
      </c>
      <c r="C732" s="172" t="s">
        <v>92</v>
      </c>
      <c r="D732" s="172" t="s">
        <v>97</v>
      </c>
      <c r="E732" s="172" t="s">
        <v>39</v>
      </c>
      <c r="F732" s="172" t="s">
        <v>117</v>
      </c>
      <c r="G732" s="172" t="s">
        <v>84</v>
      </c>
      <c r="H732" s="177">
        <v>1</v>
      </c>
      <c r="I732" s="178">
        <v>0</v>
      </c>
      <c r="J732" s="176">
        <v>46024</v>
      </c>
      <c r="K732" s="172" t="s">
        <v>93</v>
      </c>
      <c r="L732" s="172" t="s">
        <v>94</v>
      </c>
      <c r="M732" s="179">
        <v>0</v>
      </c>
      <c r="N732" s="177"/>
      <c r="O732" s="177"/>
      <c r="P732" s="180">
        <v>-46.77</v>
      </c>
    </row>
    <row r="733" spans="1:16" ht="19.5" customHeight="1">
      <c r="A733" s="172" t="s">
        <v>934</v>
      </c>
      <c r="B733" s="176">
        <v>46030</v>
      </c>
      <c r="C733" s="172" t="s">
        <v>81</v>
      </c>
      <c r="D733" s="172" t="s">
        <v>98</v>
      </c>
      <c r="E733" s="172" t="s">
        <v>39</v>
      </c>
      <c r="F733" s="172" t="s">
        <v>117</v>
      </c>
      <c r="G733" s="172" t="s">
        <v>84</v>
      </c>
      <c r="H733" s="177">
        <v>1</v>
      </c>
      <c r="I733" s="178">
        <v>0</v>
      </c>
      <c r="J733" s="176">
        <v>46024</v>
      </c>
      <c r="K733" s="172" t="s">
        <v>93</v>
      </c>
      <c r="L733" s="172" t="s">
        <v>94</v>
      </c>
      <c r="M733" s="179">
        <v>0</v>
      </c>
      <c r="N733" s="177"/>
      <c r="O733" s="177"/>
      <c r="P733" s="180">
        <v>-15</v>
      </c>
    </row>
    <row r="734" spans="1:16" ht="19.5" customHeight="1">
      <c r="A734" s="172" t="s">
        <v>935</v>
      </c>
      <c r="B734" s="176">
        <v>46030</v>
      </c>
      <c r="C734" s="172" t="s">
        <v>92</v>
      </c>
      <c r="D734" s="172" t="s">
        <v>24</v>
      </c>
      <c r="E734" s="172" t="s">
        <v>52</v>
      </c>
      <c r="F734" s="172" t="s">
        <v>90</v>
      </c>
      <c r="G734" s="172" t="s">
        <v>84</v>
      </c>
      <c r="H734" s="177">
        <v>1</v>
      </c>
      <c r="I734" s="178">
        <v>1621</v>
      </c>
      <c r="J734" s="176">
        <v>46024</v>
      </c>
      <c r="K734" s="172" t="s">
        <v>93</v>
      </c>
      <c r="L734" s="172" t="s">
        <v>94</v>
      </c>
      <c r="M734" s="179">
        <v>0.43</v>
      </c>
      <c r="N734" s="177"/>
      <c r="O734" s="177">
        <v>42</v>
      </c>
      <c r="P734" s="180">
        <v>-134.12</v>
      </c>
    </row>
    <row r="735" spans="1:16" ht="19.5" customHeight="1">
      <c r="A735" s="172" t="s">
        <v>935</v>
      </c>
      <c r="B735" s="176">
        <v>46030</v>
      </c>
      <c r="C735" s="172" t="s">
        <v>100</v>
      </c>
      <c r="D735" s="172" t="s">
        <v>101</v>
      </c>
      <c r="E735" s="172" t="s">
        <v>52</v>
      </c>
      <c r="F735" s="172" t="s">
        <v>90</v>
      </c>
      <c r="G735" s="172" t="s">
        <v>84</v>
      </c>
      <c r="H735" s="177">
        <v>1</v>
      </c>
      <c r="I735" s="178">
        <v>1621</v>
      </c>
      <c r="J735" s="176">
        <v>46024</v>
      </c>
      <c r="K735" s="172" t="s">
        <v>93</v>
      </c>
      <c r="L735" s="172" t="s">
        <v>94</v>
      </c>
      <c r="M735" s="179">
        <v>0</v>
      </c>
      <c r="N735" s="177"/>
      <c r="O735" s="177"/>
      <c r="P735" s="180">
        <v>557.14</v>
      </c>
    </row>
    <row r="736" spans="1:16" ht="19.5" customHeight="1">
      <c r="A736" s="172" t="s">
        <v>935</v>
      </c>
      <c r="B736" s="176">
        <v>46030</v>
      </c>
      <c r="C736" s="172" t="s">
        <v>100</v>
      </c>
      <c r="D736" s="172" t="s">
        <v>102</v>
      </c>
      <c r="E736" s="172" t="s">
        <v>52</v>
      </c>
      <c r="F736" s="172" t="s">
        <v>90</v>
      </c>
      <c r="G736" s="172" t="s">
        <v>84</v>
      </c>
      <c r="H736" s="177">
        <v>1</v>
      </c>
      <c r="I736" s="178">
        <v>1621</v>
      </c>
      <c r="J736" s="176">
        <v>46024</v>
      </c>
      <c r="K736" s="172" t="s">
        <v>93</v>
      </c>
      <c r="L736" s="172" t="s">
        <v>94</v>
      </c>
      <c r="M736" s="179">
        <v>0</v>
      </c>
      <c r="N736" s="177"/>
      <c r="O736" s="177"/>
      <c r="P736" s="180">
        <v>5.57</v>
      </c>
    </row>
    <row r="737" spans="1:16" ht="19.5" customHeight="1">
      <c r="A737" s="172" t="s">
        <v>935</v>
      </c>
      <c r="B737" s="176">
        <v>46030</v>
      </c>
      <c r="C737" s="172" t="s">
        <v>100</v>
      </c>
      <c r="D737" s="172" t="s">
        <v>103</v>
      </c>
      <c r="E737" s="172" t="s">
        <v>52</v>
      </c>
      <c r="F737" s="172" t="s">
        <v>90</v>
      </c>
      <c r="G737" s="172" t="s">
        <v>84</v>
      </c>
      <c r="H737" s="177">
        <v>1</v>
      </c>
      <c r="I737" s="178">
        <v>1621</v>
      </c>
      <c r="J737" s="176">
        <v>46024</v>
      </c>
      <c r="K737" s="172" t="s">
        <v>93</v>
      </c>
      <c r="L737" s="172" t="s">
        <v>94</v>
      </c>
      <c r="M737" s="179">
        <v>0</v>
      </c>
      <c r="N737" s="177"/>
      <c r="O737" s="177"/>
      <c r="P737" s="180">
        <v>1058.29</v>
      </c>
    </row>
    <row r="738" spans="1:16" ht="19.5" customHeight="1">
      <c r="A738" s="172" t="s">
        <v>935</v>
      </c>
      <c r="B738" s="176">
        <v>46030</v>
      </c>
      <c r="C738" s="172" t="s">
        <v>104</v>
      </c>
      <c r="D738" s="172" t="s">
        <v>105</v>
      </c>
      <c r="E738" s="172" t="s">
        <v>52</v>
      </c>
      <c r="F738" s="172" t="s">
        <v>90</v>
      </c>
      <c r="G738" s="172" t="s">
        <v>84</v>
      </c>
      <c r="H738" s="177">
        <v>1</v>
      </c>
      <c r="I738" s="178">
        <v>1621</v>
      </c>
      <c r="J738" s="176">
        <v>46024</v>
      </c>
      <c r="K738" s="172" t="s">
        <v>93</v>
      </c>
      <c r="L738" s="172" t="s">
        <v>94</v>
      </c>
      <c r="M738" s="179">
        <v>0.43</v>
      </c>
      <c r="N738" s="177"/>
      <c r="O738" s="177"/>
      <c r="P738" s="180">
        <v>-697.03</v>
      </c>
    </row>
    <row r="739" spans="1:16" ht="19.5" customHeight="1">
      <c r="A739" s="172" t="s">
        <v>936</v>
      </c>
      <c r="B739" s="176">
        <v>46030</v>
      </c>
      <c r="C739" s="172" t="s">
        <v>92</v>
      </c>
      <c r="D739" s="172" t="s">
        <v>24</v>
      </c>
      <c r="E739" s="172" t="s">
        <v>53</v>
      </c>
      <c r="F739" s="172" t="s">
        <v>120</v>
      </c>
      <c r="G739" s="172" t="s">
        <v>84</v>
      </c>
      <c r="H739" s="177">
        <v>1</v>
      </c>
      <c r="I739" s="178">
        <v>1845</v>
      </c>
      <c r="J739" s="176">
        <v>46028</v>
      </c>
      <c r="K739" s="172" t="s">
        <v>93</v>
      </c>
      <c r="L739" s="172" t="s">
        <v>94</v>
      </c>
      <c r="M739" s="179">
        <v>0.43</v>
      </c>
      <c r="N739" s="177"/>
      <c r="O739" s="177">
        <v>44</v>
      </c>
      <c r="P739" s="180">
        <v>-149.4</v>
      </c>
    </row>
    <row r="740" spans="1:16" ht="19.5" customHeight="1">
      <c r="A740" s="172" t="s">
        <v>936</v>
      </c>
      <c r="B740" s="176">
        <v>46030</v>
      </c>
      <c r="C740" s="172" t="s">
        <v>100</v>
      </c>
      <c r="D740" s="172" t="s">
        <v>101</v>
      </c>
      <c r="E740" s="172" t="s">
        <v>53</v>
      </c>
      <c r="F740" s="172" t="s">
        <v>120</v>
      </c>
      <c r="G740" s="172" t="s">
        <v>84</v>
      </c>
      <c r="H740" s="177">
        <v>1</v>
      </c>
      <c r="I740" s="178">
        <v>1845</v>
      </c>
      <c r="J740" s="176">
        <v>46028</v>
      </c>
      <c r="K740" s="172" t="s">
        <v>93</v>
      </c>
      <c r="L740" s="172" t="s">
        <v>94</v>
      </c>
      <c r="M740" s="179">
        <v>0</v>
      </c>
      <c r="N740" s="177"/>
      <c r="O740" s="177"/>
      <c r="P740" s="180">
        <v>642.86</v>
      </c>
    </row>
    <row r="741" spans="1:16" ht="19.5" customHeight="1">
      <c r="A741" s="172" t="s">
        <v>936</v>
      </c>
      <c r="B741" s="176">
        <v>46030</v>
      </c>
      <c r="C741" s="172" t="s">
        <v>100</v>
      </c>
      <c r="D741" s="172" t="s">
        <v>102</v>
      </c>
      <c r="E741" s="172" t="s">
        <v>53</v>
      </c>
      <c r="F741" s="172" t="s">
        <v>120</v>
      </c>
      <c r="G741" s="172" t="s">
        <v>84</v>
      </c>
      <c r="H741" s="177">
        <v>1</v>
      </c>
      <c r="I741" s="178">
        <v>1845</v>
      </c>
      <c r="J741" s="176">
        <v>46028</v>
      </c>
      <c r="K741" s="172" t="s">
        <v>93</v>
      </c>
      <c r="L741" s="172" t="s">
        <v>94</v>
      </c>
      <c r="M741" s="179">
        <v>0</v>
      </c>
      <c r="N741" s="177"/>
      <c r="O741" s="177"/>
      <c r="P741" s="180">
        <v>6.43</v>
      </c>
    </row>
    <row r="742" spans="1:16" ht="19.5" customHeight="1">
      <c r="A742" s="172" t="s">
        <v>936</v>
      </c>
      <c r="B742" s="176">
        <v>46030</v>
      </c>
      <c r="C742" s="172" t="s">
        <v>100</v>
      </c>
      <c r="D742" s="172" t="s">
        <v>103</v>
      </c>
      <c r="E742" s="172" t="s">
        <v>53</v>
      </c>
      <c r="F742" s="172" t="s">
        <v>120</v>
      </c>
      <c r="G742" s="172" t="s">
        <v>84</v>
      </c>
      <c r="H742" s="177">
        <v>1</v>
      </c>
      <c r="I742" s="178">
        <v>1845</v>
      </c>
      <c r="J742" s="176">
        <v>46028</v>
      </c>
      <c r="K742" s="172" t="s">
        <v>93</v>
      </c>
      <c r="L742" s="172" t="s">
        <v>94</v>
      </c>
      <c r="M742" s="179">
        <v>0</v>
      </c>
      <c r="N742" s="177"/>
      <c r="O742" s="177"/>
      <c r="P742" s="180">
        <v>1195.71</v>
      </c>
    </row>
    <row r="743" spans="1:16" ht="19.5" customHeight="1">
      <c r="A743" s="172" t="s">
        <v>936</v>
      </c>
      <c r="B743" s="176">
        <v>46030</v>
      </c>
      <c r="C743" s="172" t="s">
        <v>104</v>
      </c>
      <c r="D743" s="172" t="s">
        <v>105</v>
      </c>
      <c r="E743" s="172" t="s">
        <v>53</v>
      </c>
      <c r="F743" s="172" t="s">
        <v>120</v>
      </c>
      <c r="G743" s="172" t="s">
        <v>84</v>
      </c>
      <c r="H743" s="177">
        <v>1</v>
      </c>
      <c r="I743" s="178">
        <v>1845</v>
      </c>
      <c r="J743" s="176">
        <v>46028</v>
      </c>
      <c r="K743" s="172" t="s">
        <v>93</v>
      </c>
      <c r="L743" s="172" t="s">
        <v>94</v>
      </c>
      <c r="M743" s="179">
        <v>0.43</v>
      </c>
      <c r="N743" s="177"/>
      <c r="O743" s="177"/>
      <c r="P743" s="180">
        <v>-793.35</v>
      </c>
    </row>
    <row r="744" spans="1:16" ht="19.5" customHeight="1">
      <c r="A744" s="172" t="s">
        <v>936</v>
      </c>
      <c r="B744" s="176">
        <v>46030</v>
      </c>
      <c r="C744" s="172" t="s">
        <v>81</v>
      </c>
      <c r="D744" s="172" t="s">
        <v>95</v>
      </c>
      <c r="E744" s="172" t="s">
        <v>53</v>
      </c>
      <c r="F744" s="172" t="s">
        <v>120</v>
      </c>
      <c r="G744" s="172" t="s">
        <v>84</v>
      </c>
      <c r="H744" s="177">
        <v>1</v>
      </c>
      <c r="I744" s="178">
        <v>1845</v>
      </c>
      <c r="J744" s="176">
        <v>46028</v>
      </c>
      <c r="K744" s="172" t="s">
        <v>93</v>
      </c>
      <c r="L744" s="172" t="s">
        <v>94</v>
      </c>
      <c r="M744" s="179">
        <v>0.43</v>
      </c>
      <c r="N744" s="177"/>
      <c r="O744" s="177"/>
      <c r="P744" s="180">
        <v>-6.63</v>
      </c>
    </row>
    <row r="745" spans="1:16" ht="19.5" customHeight="1">
      <c r="A745" s="172" t="s">
        <v>937</v>
      </c>
      <c r="B745" s="176">
        <v>46030</v>
      </c>
      <c r="C745" s="172" t="s">
        <v>92</v>
      </c>
      <c r="D745" s="172" t="s">
        <v>24</v>
      </c>
      <c r="E745" s="172" t="s">
        <v>41</v>
      </c>
      <c r="F745" s="172" t="s">
        <v>83</v>
      </c>
      <c r="G745" s="172" t="s">
        <v>84</v>
      </c>
      <c r="H745" s="177">
        <v>1</v>
      </c>
      <c r="I745" s="178">
        <v>1600</v>
      </c>
      <c r="J745" s="176">
        <v>46028</v>
      </c>
      <c r="K745" s="172" t="s">
        <v>93</v>
      </c>
      <c r="L745" s="172" t="s">
        <v>94</v>
      </c>
      <c r="M745" s="179">
        <v>0.43</v>
      </c>
      <c r="N745" s="177"/>
      <c r="O745" s="177">
        <v>44</v>
      </c>
      <c r="P745" s="180">
        <v>-125.38</v>
      </c>
    </row>
    <row r="746" spans="1:16" ht="19.5" customHeight="1">
      <c r="A746" s="172" t="s">
        <v>937</v>
      </c>
      <c r="B746" s="176">
        <v>46030</v>
      </c>
      <c r="C746" s="172" t="s">
        <v>100</v>
      </c>
      <c r="D746" s="172" t="s">
        <v>101</v>
      </c>
      <c r="E746" s="172" t="s">
        <v>41</v>
      </c>
      <c r="F746" s="172" t="s">
        <v>83</v>
      </c>
      <c r="G746" s="172" t="s">
        <v>84</v>
      </c>
      <c r="H746" s="177">
        <v>1</v>
      </c>
      <c r="I746" s="178">
        <v>1600</v>
      </c>
      <c r="J746" s="176">
        <v>46028</v>
      </c>
      <c r="K746" s="172" t="s">
        <v>93</v>
      </c>
      <c r="L746" s="172" t="s">
        <v>94</v>
      </c>
      <c r="M746" s="179">
        <v>0</v>
      </c>
      <c r="N746" s="177"/>
      <c r="O746" s="177"/>
      <c r="P746" s="180">
        <v>609.52</v>
      </c>
    </row>
    <row r="747" spans="1:16" ht="19.5" customHeight="1">
      <c r="A747" s="172" t="s">
        <v>937</v>
      </c>
      <c r="B747" s="176">
        <v>46030</v>
      </c>
      <c r="C747" s="172" t="s">
        <v>100</v>
      </c>
      <c r="D747" s="172" t="s">
        <v>102</v>
      </c>
      <c r="E747" s="172" t="s">
        <v>41</v>
      </c>
      <c r="F747" s="172" t="s">
        <v>83</v>
      </c>
      <c r="G747" s="172" t="s">
        <v>84</v>
      </c>
      <c r="H747" s="177">
        <v>1</v>
      </c>
      <c r="I747" s="178">
        <v>1600</v>
      </c>
      <c r="J747" s="176">
        <v>46028</v>
      </c>
      <c r="K747" s="172" t="s">
        <v>93</v>
      </c>
      <c r="L747" s="172" t="s">
        <v>94</v>
      </c>
      <c r="M747" s="179">
        <v>0</v>
      </c>
      <c r="N747" s="177"/>
      <c r="O747" s="177"/>
      <c r="P747" s="180">
        <v>0</v>
      </c>
    </row>
    <row r="748" spans="1:16" ht="19.5" customHeight="1">
      <c r="A748" s="172" t="s">
        <v>937</v>
      </c>
      <c r="B748" s="176">
        <v>46030</v>
      </c>
      <c r="C748" s="172" t="s">
        <v>100</v>
      </c>
      <c r="D748" s="172" t="s">
        <v>103</v>
      </c>
      <c r="E748" s="172" t="s">
        <v>41</v>
      </c>
      <c r="F748" s="172" t="s">
        <v>83</v>
      </c>
      <c r="G748" s="172" t="s">
        <v>84</v>
      </c>
      <c r="H748" s="177">
        <v>1</v>
      </c>
      <c r="I748" s="178">
        <v>1600</v>
      </c>
      <c r="J748" s="176">
        <v>46028</v>
      </c>
      <c r="K748" s="172" t="s">
        <v>93</v>
      </c>
      <c r="L748" s="172" t="s">
        <v>94</v>
      </c>
      <c r="M748" s="179">
        <v>0</v>
      </c>
      <c r="N748" s="177"/>
      <c r="O748" s="177"/>
      <c r="P748" s="180">
        <v>990.48</v>
      </c>
    </row>
    <row r="749" spans="1:16" ht="19.5" customHeight="1">
      <c r="A749" s="172" t="s">
        <v>937</v>
      </c>
      <c r="B749" s="176">
        <v>46030</v>
      </c>
      <c r="C749" s="172" t="s">
        <v>104</v>
      </c>
      <c r="D749" s="172" t="s">
        <v>105</v>
      </c>
      <c r="E749" s="172" t="s">
        <v>41</v>
      </c>
      <c r="F749" s="172" t="s">
        <v>83</v>
      </c>
      <c r="G749" s="172" t="s">
        <v>84</v>
      </c>
      <c r="H749" s="177">
        <v>1</v>
      </c>
      <c r="I749" s="178">
        <v>1600</v>
      </c>
      <c r="J749" s="176">
        <v>46028</v>
      </c>
      <c r="K749" s="172" t="s">
        <v>93</v>
      </c>
      <c r="L749" s="172" t="s">
        <v>94</v>
      </c>
      <c r="M749" s="179">
        <v>0.43</v>
      </c>
      <c r="N749" s="177"/>
      <c r="O749" s="177"/>
      <c r="P749" s="180">
        <v>-688</v>
      </c>
    </row>
    <row r="750" spans="1:16" ht="19.5" customHeight="1">
      <c r="A750" s="172" t="s">
        <v>937</v>
      </c>
      <c r="B750" s="176">
        <v>46030</v>
      </c>
      <c r="C750" s="172" t="s">
        <v>81</v>
      </c>
      <c r="D750" s="172" t="s">
        <v>95</v>
      </c>
      <c r="E750" s="172" t="s">
        <v>41</v>
      </c>
      <c r="F750" s="172" t="s">
        <v>83</v>
      </c>
      <c r="G750" s="172" t="s">
        <v>84</v>
      </c>
      <c r="H750" s="177">
        <v>1</v>
      </c>
      <c r="I750" s="178">
        <v>1600</v>
      </c>
      <c r="J750" s="176">
        <v>46028</v>
      </c>
      <c r="K750" s="172" t="s">
        <v>93</v>
      </c>
      <c r="L750" s="172" t="s">
        <v>94</v>
      </c>
      <c r="M750" s="179">
        <v>0.43</v>
      </c>
      <c r="N750" s="177"/>
      <c r="O750" s="177"/>
      <c r="P750" s="180">
        <v>-8.5399999999999991</v>
      </c>
    </row>
    <row r="751" spans="1:16" ht="19.5" customHeight="1">
      <c r="A751" s="172" t="s">
        <v>938</v>
      </c>
      <c r="B751" s="176">
        <v>46030</v>
      </c>
      <c r="C751" s="172" t="s">
        <v>81</v>
      </c>
      <c r="D751" s="172" t="s">
        <v>82</v>
      </c>
      <c r="E751" s="172" t="s">
        <v>41</v>
      </c>
      <c r="F751" s="172" t="s">
        <v>83</v>
      </c>
      <c r="G751" s="172" t="s">
        <v>84</v>
      </c>
      <c r="H751" s="177">
        <v>1</v>
      </c>
      <c r="I751" s="178">
        <v>0</v>
      </c>
      <c r="J751" s="176">
        <v>46030</v>
      </c>
      <c r="K751" s="172" t="s">
        <v>85</v>
      </c>
      <c r="L751" s="172" t="s">
        <v>85</v>
      </c>
      <c r="M751" s="179">
        <v>0</v>
      </c>
      <c r="N751" s="177"/>
      <c r="O751" s="177"/>
      <c r="P751" s="180">
        <v>-10.44</v>
      </c>
    </row>
    <row r="752" spans="1:16" ht="19.5" customHeight="1">
      <c r="A752" s="172" t="s">
        <v>939</v>
      </c>
      <c r="B752" s="176">
        <v>46030</v>
      </c>
      <c r="C752" s="172" t="s">
        <v>92</v>
      </c>
      <c r="D752" s="172" t="s">
        <v>24</v>
      </c>
      <c r="E752" s="172" t="s">
        <v>41</v>
      </c>
      <c r="F752" s="172" t="s">
        <v>83</v>
      </c>
      <c r="G752" s="172" t="s">
        <v>84</v>
      </c>
      <c r="H752" s="177">
        <v>1</v>
      </c>
      <c r="I752" s="178">
        <v>1600</v>
      </c>
      <c r="J752" s="176">
        <v>46026</v>
      </c>
      <c r="K752" s="172" t="s">
        <v>93</v>
      </c>
      <c r="L752" s="172" t="s">
        <v>94</v>
      </c>
      <c r="M752" s="179">
        <v>0.43</v>
      </c>
      <c r="N752" s="177"/>
      <c r="O752" s="177">
        <v>46</v>
      </c>
      <c r="P752" s="180">
        <v>-132.94</v>
      </c>
    </row>
    <row r="753" spans="1:16" ht="19.5" customHeight="1">
      <c r="A753" s="172" t="s">
        <v>939</v>
      </c>
      <c r="B753" s="176">
        <v>46030</v>
      </c>
      <c r="C753" s="172" t="s">
        <v>100</v>
      </c>
      <c r="D753" s="172" t="s">
        <v>101</v>
      </c>
      <c r="E753" s="172" t="s">
        <v>41</v>
      </c>
      <c r="F753" s="172" t="s">
        <v>83</v>
      </c>
      <c r="G753" s="172" t="s">
        <v>84</v>
      </c>
      <c r="H753" s="177">
        <v>1</v>
      </c>
      <c r="I753" s="178">
        <v>1600</v>
      </c>
      <c r="J753" s="176">
        <v>46026</v>
      </c>
      <c r="K753" s="172" t="s">
        <v>93</v>
      </c>
      <c r="L753" s="172" t="s">
        <v>94</v>
      </c>
      <c r="M753" s="179">
        <v>0</v>
      </c>
      <c r="N753" s="177"/>
      <c r="O753" s="177"/>
      <c r="P753" s="180">
        <v>609.52</v>
      </c>
    </row>
    <row r="754" spans="1:16" ht="19.5" customHeight="1">
      <c r="A754" s="172" t="s">
        <v>939</v>
      </c>
      <c r="B754" s="176">
        <v>46030</v>
      </c>
      <c r="C754" s="172" t="s">
        <v>100</v>
      </c>
      <c r="D754" s="172" t="s">
        <v>102</v>
      </c>
      <c r="E754" s="172" t="s">
        <v>41</v>
      </c>
      <c r="F754" s="172" t="s">
        <v>83</v>
      </c>
      <c r="G754" s="172" t="s">
        <v>84</v>
      </c>
      <c r="H754" s="177">
        <v>1</v>
      </c>
      <c r="I754" s="178">
        <v>1600</v>
      </c>
      <c r="J754" s="176">
        <v>46026</v>
      </c>
      <c r="K754" s="172" t="s">
        <v>93</v>
      </c>
      <c r="L754" s="172" t="s">
        <v>94</v>
      </c>
      <c r="M754" s="179">
        <v>0</v>
      </c>
      <c r="N754" s="177"/>
      <c r="O754" s="177"/>
      <c r="P754" s="180">
        <v>0</v>
      </c>
    </row>
    <row r="755" spans="1:16" ht="19.5" customHeight="1">
      <c r="A755" s="172" t="s">
        <v>939</v>
      </c>
      <c r="B755" s="176">
        <v>46030</v>
      </c>
      <c r="C755" s="172" t="s">
        <v>100</v>
      </c>
      <c r="D755" s="172" t="s">
        <v>103</v>
      </c>
      <c r="E755" s="172" t="s">
        <v>41</v>
      </c>
      <c r="F755" s="172" t="s">
        <v>83</v>
      </c>
      <c r="G755" s="172" t="s">
        <v>84</v>
      </c>
      <c r="H755" s="177">
        <v>1</v>
      </c>
      <c r="I755" s="178">
        <v>1600</v>
      </c>
      <c r="J755" s="176">
        <v>46026</v>
      </c>
      <c r="K755" s="172" t="s">
        <v>93</v>
      </c>
      <c r="L755" s="172" t="s">
        <v>94</v>
      </c>
      <c r="M755" s="179">
        <v>0</v>
      </c>
      <c r="N755" s="177"/>
      <c r="O755" s="177"/>
      <c r="P755" s="180">
        <v>990.48</v>
      </c>
    </row>
    <row r="756" spans="1:16" ht="19.5" customHeight="1">
      <c r="A756" s="172" t="s">
        <v>939</v>
      </c>
      <c r="B756" s="176">
        <v>46030</v>
      </c>
      <c r="C756" s="172" t="s">
        <v>104</v>
      </c>
      <c r="D756" s="172" t="s">
        <v>105</v>
      </c>
      <c r="E756" s="172" t="s">
        <v>41</v>
      </c>
      <c r="F756" s="172" t="s">
        <v>83</v>
      </c>
      <c r="G756" s="172" t="s">
        <v>84</v>
      </c>
      <c r="H756" s="177">
        <v>1</v>
      </c>
      <c r="I756" s="178">
        <v>1600</v>
      </c>
      <c r="J756" s="176">
        <v>46026</v>
      </c>
      <c r="K756" s="172" t="s">
        <v>93</v>
      </c>
      <c r="L756" s="172" t="s">
        <v>94</v>
      </c>
      <c r="M756" s="179">
        <v>0.43</v>
      </c>
      <c r="N756" s="177"/>
      <c r="O756" s="177"/>
      <c r="P756" s="180">
        <v>-688</v>
      </c>
    </row>
    <row r="757" spans="1:16" ht="19.5" customHeight="1">
      <c r="A757" s="172" t="s">
        <v>939</v>
      </c>
      <c r="B757" s="176">
        <v>46030</v>
      </c>
      <c r="C757" s="172" t="s">
        <v>81</v>
      </c>
      <c r="D757" s="172" t="s">
        <v>95</v>
      </c>
      <c r="E757" s="172" t="s">
        <v>41</v>
      </c>
      <c r="F757" s="172" t="s">
        <v>83</v>
      </c>
      <c r="G757" s="172" t="s">
        <v>84</v>
      </c>
      <c r="H757" s="177">
        <v>1</v>
      </c>
      <c r="I757" s="178">
        <v>1600</v>
      </c>
      <c r="J757" s="176">
        <v>46026</v>
      </c>
      <c r="K757" s="172" t="s">
        <v>93</v>
      </c>
      <c r="L757" s="172" t="s">
        <v>94</v>
      </c>
      <c r="M757" s="179">
        <v>0.43</v>
      </c>
      <c r="N757" s="177"/>
      <c r="O757" s="177"/>
      <c r="P757" s="180">
        <v>-7.6</v>
      </c>
    </row>
    <row r="758" spans="1:16" ht="19.5" customHeight="1">
      <c r="A758" s="172" t="s">
        <v>940</v>
      </c>
      <c r="B758" s="176">
        <v>46030</v>
      </c>
      <c r="C758" s="172" t="s">
        <v>92</v>
      </c>
      <c r="D758" s="172" t="s">
        <v>24</v>
      </c>
      <c r="E758" s="172" t="s">
        <v>52</v>
      </c>
      <c r="F758" s="172" t="s">
        <v>90</v>
      </c>
      <c r="G758" s="172" t="s">
        <v>84</v>
      </c>
      <c r="H758" s="177">
        <v>1</v>
      </c>
      <c r="I758" s="178">
        <v>1621</v>
      </c>
      <c r="J758" s="176">
        <v>46027</v>
      </c>
      <c r="K758" s="172" t="s">
        <v>93</v>
      </c>
      <c r="L758" s="172" t="s">
        <v>94</v>
      </c>
      <c r="M758" s="179">
        <v>0.43</v>
      </c>
      <c r="N758" s="177"/>
      <c r="O758" s="177">
        <v>45</v>
      </c>
      <c r="P758" s="180">
        <v>-146.44999999999999</v>
      </c>
    </row>
    <row r="759" spans="1:16" ht="19.5" customHeight="1">
      <c r="A759" s="172" t="s">
        <v>940</v>
      </c>
      <c r="B759" s="176">
        <v>46030</v>
      </c>
      <c r="C759" s="172" t="s">
        <v>100</v>
      </c>
      <c r="D759" s="172" t="s">
        <v>101</v>
      </c>
      <c r="E759" s="172" t="s">
        <v>52</v>
      </c>
      <c r="F759" s="172" t="s">
        <v>90</v>
      </c>
      <c r="G759" s="172" t="s">
        <v>84</v>
      </c>
      <c r="H759" s="177">
        <v>1</v>
      </c>
      <c r="I759" s="178">
        <v>1621</v>
      </c>
      <c r="J759" s="176">
        <v>46027</v>
      </c>
      <c r="K759" s="172" t="s">
        <v>93</v>
      </c>
      <c r="L759" s="172" t="s">
        <v>94</v>
      </c>
      <c r="M759" s="179">
        <v>0</v>
      </c>
      <c r="N759" s="177"/>
      <c r="O759" s="177"/>
      <c r="P759" s="180">
        <v>557.14</v>
      </c>
    </row>
    <row r="760" spans="1:16" ht="19.5" customHeight="1">
      <c r="A760" s="172" t="s">
        <v>940</v>
      </c>
      <c r="B760" s="176">
        <v>46030</v>
      </c>
      <c r="C760" s="172" t="s">
        <v>100</v>
      </c>
      <c r="D760" s="172" t="s">
        <v>102</v>
      </c>
      <c r="E760" s="172" t="s">
        <v>52</v>
      </c>
      <c r="F760" s="172" t="s">
        <v>90</v>
      </c>
      <c r="G760" s="172" t="s">
        <v>84</v>
      </c>
      <c r="H760" s="177">
        <v>1</v>
      </c>
      <c r="I760" s="178">
        <v>1621</v>
      </c>
      <c r="J760" s="176">
        <v>46027</v>
      </c>
      <c r="K760" s="172" t="s">
        <v>93</v>
      </c>
      <c r="L760" s="172" t="s">
        <v>94</v>
      </c>
      <c r="M760" s="179">
        <v>0</v>
      </c>
      <c r="N760" s="177"/>
      <c r="O760" s="177"/>
      <c r="P760" s="180">
        <v>5.57</v>
      </c>
    </row>
    <row r="761" spans="1:16" ht="19.5" customHeight="1">
      <c r="A761" s="172" t="s">
        <v>940</v>
      </c>
      <c r="B761" s="176">
        <v>46030</v>
      </c>
      <c r="C761" s="172" t="s">
        <v>100</v>
      </c>
      <c r="D761" s="172" t="s">
        <v>103</v>
      </c>
      <c r="E761" s="172" t="s">
        <v>52</v>
      </c>
      <c r="F761" s="172" t="s">
        <v>90</v>
      </c>
      <c r="G761" s="172" t="s">
        <v>84</v>
      </c>
      <c r="H761" s="177">
        <v>1</v>
      </c>
      <c r="I761" s="178">
        <v>1621</v>
      </c>
      <c r="J761" s="176">
        <v>46027</v>
      </c>
      <c r="K761" s="172" t="s">
        <v>93</v>
      </c>
      <c r="L761" s="172" t="s">
        <v>94</v>
      </c>
      <c r="M761" s="179">
        <v>0</v>
      </c>
      <c r="N761" s="177"/>
      <c r="O761" s="177"/>
      <c r="P761" s="180">
        <v>1058.29</v>
      </c>
    </row>
    <row r="762" spans="1:16" ht="19.5" customHeight="1">
      <c r="A762" s="172" t="s">
        <v>940</v>
      </c>
      <c r="B762" s="176">
        <v>46030</v>
      </c>
      <c r="C762" s="172" t="s">
        <v>104</v>
      </c>
      <c r="D762" s="172" t="s">
        <v>105</v>
      </c>
      <c r="E762" s="172" t="s">
        <v>52</v>
      </c>
      <c r="F762" s="172" t="s">
        <v>90</v>
      </c>
      <c r="G762" s="172" t="s">
        <v>84</v>
      </c>
      <c r="H762" s="177">
        <v>1</v>
      </c>
      <c r="I762" s="178">
        <v>1621</v>
      </c>
      <c r="J762" s="176">
        <v>46027</v>
      </c>
      <c r="K762" s="172" t="s">
        <v>93</v>
      </c>
      <c r="L762" s="172" t="s">
        <v>94</v>
      </c>
      <c r="M762" s="179">
        <v>0.43</v>
      </c>
      <c r="N762" s="177"/>
      <c r="O762" s="177"/>
      <c r="P762" s="180">
        <v>-697.03</v>
      </c>
    </row>
    <row r="763" spans="1:16" ht="19.5" customHeight="1">
      <c r="A763" s="172" t="s">
        <v>940</v>
      </c>
      <c r="B763" s="176">
        <v>46030</v>
      </c>
      <c r="C763" s="172" t="s">
        <v>81</v>
      </c>
      <c r="D763" s="172" t="s">
        <v>95</v>
      </c>
      <c r="E763" s="172" t="s">
        <v>52</v>
      </c>
      <c r="F763" s="172" t="s">
        <v>90</v>
      </c>
      <c r="G763" s="172" t="s">
        <v>84</v>
      </c>
      <c r="H763" s="177">
        <v>1</v>
      </c>
      <c r="I763" s="178">
        <v>1621</v>
      </c>
      <c r="J763" s="176">
        <v>46027</v>
      </c>
      <c r="K763" s="172" t="s">
        <v>93</v>
      </c>
      <c r="L763" s="172" t="s">
        <v>94</v>
      </c>
      <c r="M763" s="179">
        <v>0.43</v>
      </c>
      <c r="N763" s="177"/>
      <c r="O763" s="177"/>
      <c r="P763" s="180">
        <v>-8.59</v>
      </c>
    </row>
    <row r="764" spans="1:16" ht="19.5" customHeight="1">
      <c r="A764" s="172" t="s">
        <v>941</v>
      </c>
      <c r="B764" s="176">
        <v>46030</v>
      </c>
      <c r="C764" s="172" t="s">
        <v>92</v>
      </c>
      <c r="D764" s="172" t="s">
        <v>24</v>
      </c>
      <c r="E764" s="172" t="s">
        <v>53</v>
      </c>
      <c r="F764" s="172" t="s">
        <v>120</v>
      </c>
      <c r="G764" s="172" t="s">
        <v>84</v>
      </c>
      <c r="H764" s="177">
        <v>1</v>
      </c>
      <c r="I764" s="178">
        <v>1845</v>
      </c>
      <c r="J764" s="176">
        <v>46025</v>
      </c>
      <c r="K764" s="172" t="s">
        <v>93</v>
      </c>
      <c r="L764" s="172" t="s">
        <v>94</v>
      </c>
      <c r="M764" s="179">
        <v>0.43</v>
      </c>
      <c r="N764" s="177"/>
      <c r="O764" s="177">
        <v>44</v>
      </c>
      <c r="P764" s="180">
        <v>-149.4</v>
      </c>
    </row>
    <row r="765" spans="1:16" ht="19.5" customHeight="1">
      <c r="A765" s="172" t="s">
        <v>941</v>
      </c>
      <c r="B765" s="176">
        <v>46030</v>
      </c>
      <c r="C765" s="172" t="s">
        <v>100</v>
      </c>
      <c r="D765" s="172" t="s">
        <v>101</v>
      </c>
      <c r="E765" s="172" t="s">
        <v>53</v>
      </c>
      <c r="F765" s="172" t="s">
        <v>120</v>
      </c>
      <c r="G765" s="172" t="s">
        <v>84</v>
      </c>
      <c r="H765" s="177">
        <v>1</v>
      </c>
      <c r="I765" s="178">
        <v>1845</v>
      </c>
      <c r="J765" s="176">
        <v>46025</v>
      </c>
      <c r="K765" s="172" t="s">
        <v>93</v>
      </c>
      <c r="L765" s="172" t="s">
        <v>94</v>
      </c>
      <c r="M765" s="179">
        <v>0</v>
      </c>
      <c r="N765" s="177"/>
      <c r="O765" s="177"/>
      <c r="P765" s="180">
        <v>642.25</v>
      </c>
    </row>
    <row r="766" spans="1:16" ht="19.5" customHeight="1">
      <c r="A766" s="172" t="s">
        <v>941</v>
      </c>
      <c r="B766" s="176">
        <v>46030</v>
      </c>
      <c r="C766" s="172" t="s">
        <v>100</v>
      </c>
      <c r="D766" s="172" t="s">
        <v>102</v>
      </c>
      <c r="E766" s="172" t="s">
        <v>53</v>
      </c>
      <c r="F766" s="172" t="s">
        <v>120</v>
      </c>
      <c r="G766" s="172" t="s">
        <v>84</v>
      </c>
      <c r="H766" s="177">
        <v>1</v>
      </c>
      <c r="I766" s="178">
        <v>1845</v>
      </c>
      <c r="J766" s="176">
        <v>46025</v>
      </c>
      <c r="K766" s="172" t="s">
        <v>93</v>
      </c>
      <c r="L766" s="172" t="s">
        <v>94</v>
      </c>
      <c r="M766" s="179">
        <v>0</v>
      </c>
      <c r="N766" s="177"/>
      <c r="O766" s="177"/>
      <c r="P766" s="180">
        <v>6.42</v>
      </c>
    </row>
    <row r="767" spans="1:16" ht="19.5" customHeight="1">
      <c r="A767" s="172" t="s">
        <v>941</v>
      </c>
      <c r="B767" s="176">
        <v>46030</v>
      </c>
      <c r="C767" s="172" t="s">
        <v>100</v>
      </c>
      <c r="D767" s="172" t="s">
        <v>103</v>
      </c>
      <c r="E767" s="172" t="s">
        <v>53</v>
      </c>
      <c r="F767" s="172" t="s">
        <v>120</v>
      </c>
      <c r="G767" s="172" t="s">
        <v>84</v>
      </c>
      <c r="H767" s="177">
        <v>1</v>
      </c>
      <c r="I767" s="178">
        <v>1845</v>
      </c>
      <c r="J767" s="176">
        <v>46025</v>
      </c>
      <c r="K767" s="172" t="s">
        <v>93</v>
      </c>
      <c r="L767" s="172" t="s">
        <v>94</v>
      </c>
      <c r="M767" s="179">
        <v>0</v>
      </c>
      <c r="N767" s="177"/>
      <c r="O767" s="177"/>
      <c r="P767" s="180">
        <v>1196.33</v>
      </c>
    </row>
    <row r="768" spans="1:16" ht="19.5" customHeight="1">
      <c r="A768" s="172" t="s">
        <v>941</v>
      </c>
      <c r="B768" s="176">
        <v>46030</v>
      </c>
      <c r="C768" s="172" t="s">
        <v>104</v>
      </c>
      <c r="D768" s="172" t="s">
        <v>105</v>
      </c>
      <c r="E768" s="172" t="s">
        <v>53</v>
      </c>
      <c r="F768" s="172" t="s">
        <v>120</v>
      </c>
      <c r="G768" s="172" t="s">
        <v>84</v>
      </c>
      <c r="H768" s="177">
        <v>1</v>
      </c>
      <c r="I768" s="178">
        <v>1845</v>
      </c>
      <c r="J768" s="176">
        <v>46025</v>
      </c>
      <c r="K768" s="172" t="s">
        <v>93</v>
      </c>
      <c r="L768" s="172" t="s">
        <v>94</v>
      </c>
      <c r="M768" s="179">
        <v>0.43</v>
      </c>
      <c r="N768" s="177"/>
      <c r="O768" s="177"/>
      <c r="P768" s="180">
        <v>-793.35</v>
      </c>
    </row>
    <row r="769" spans="1:16" ht="19.5" customHeight="1">
      <c r="A769" s="172" t="s">
        <v>941</v>
      </c>
      <c r="B769" s="176">
        <v>46030</v>
      </c>
      <c r="C769" s="172" t="s">
        <v>81</v>
      </c>
      <c r="D769" s="172" t="s">
        <v>95</v>
      </c>
      <c r="E769" s="172" t="s">
        <v>53</v>
      </c>
      <c r="F769" s="172" t="s">
        <v>120</v>
      </c>
      <c r="G769" s="172" t="s">
        <v>84</v>
      </c>
      <c r="H769" s="177">
        <v>1</v>
      </c>
      <c r="I769" s="178">
        <v>1845</v>
      </c>
      <c r="J769" s="176">
        <v>46025</v>
      </c>
      <c r="K769" s="172" t="s">
        <v>93</v>
      </c>
      <c r="L769" s="172" t="s">
        <v>94</v>
      </c>
      <c r="M769" s="179">
        <v>0.43</v>
      </c>
      <c r="N769" s="177"/>
      <c r="O769" s="177"/>
      <c r="P769" s="180">
        <v>-13.81</v>
      </c>
    </row>
    <row r="770" spans="1:16" ht="19.5" customHeight="1">
      <c r="A770" s="172" t="s">
        <v>942</v>
      </c>
      <c r="B770" s="176">
        <v>46030</v>
      </c>
      <c r="C770" s="172" t="s">
        <v>92</v>
      </c>
      <c r="D770" s="172" t="s">
        <v>24</v>
      </c>
      <c r="E770" s="172" t="s">
        <v>41</v>
      </c>
      <c r="F770" s="172" t="s">
        <v>83</v>
      </c>
      <c r="G770" s="172" t="s">
        <v>84</v>
      </c>
      <c r="H770" s="177">
        <v>1</v>
      </c>
      <c r="I770" s="178">
        <v>1600</v>
      </c>
      <c r="J770" s="176">
        <v>46028</v>
      </c>
      <c r="K770" s="172" t="s">
        <v>93</v>
      </c>
      <c r="L770" s="172" t="s">
        <v>94</v>
      </c>
      <c r="M770" s="179">
        <v>0.43</v>
      </c>
      <c r="N770" s="177"/>
      <c r="O770" s="177">
        <v>44</v>
      </c>
      <c r="P770" s="180">
        <v>-125.38</v>
      </c>
    </row>
    <row r="771" spans="1:16" ht="19.5" customHeight="1">
      <c r="A771" s="172" t="s">
        <v>942</v>
      </c>
      <c r="B771" s="176">
        <v>46030</v>
      </c>
      <c r="C771" s="172" t="s">
        <v>100</v>
      </c>
      <c r="D771" s="172" t="s">
        <v>101</v>
      </c>
      <c r="E771" s="172" t="s">
        <v>41</v>
      </c>
      <c r="F771" s="172" t="s">
        <v>83</v>
      </c>
      <c r="G771" s="172" t="s">
        <v>84</v>
      </c>
      <c r="H771" s="177">
        <v>1</v>
      </c>
      <c r="I771" s="178">
        <v>1600</v>
      </c>
      <c r="J771" s="176">
        <v>46028</v>
      </c>
      <c r="K771" s="172" t="s">
        <v>93</v>
      </c>
      <c r="L771" s="172" t="s">
        <v>94</v>
      </c>
      <c r="M771" s="179">
        <v>0</v>
      </c>
      <c r="N771" s="177"/>
      <c r="O771" s="177"/>
      <c r="P771" s="180">
        <v>549.52</v>
      </c>
    </row>
    <row r="772" spans="1:16" ht="19.5" customHeight="1">
      <c r="A772" s="172" t="s">
        <v>942</v>
      </c>
      <c r="B772" s="176">
        <v>46030</v>
      </c>
      <c r="C772" s="172" t="s">
        <v>100</v>
      </c>
      <c r="D772" s="172" t="s">
        <v>102</v>
      </c>
      <c r="E772" s="172" t="s">
        <v>41</v>
      </c>
      <c r="F772" s="172" t="s">
        <v>83</v>
      </c>
      <c r="G772" s="172" t="s">
        <v>84</v>
      </c>
      <c r="H772" s="177">
        <v>1</v>
      </c>
      <c r="I772" s="178">
        <v>1600</v>
      </c>
      <c r="J772" s="176">
        <v>46028</v>
      </c>
      <c r="K772" s="172" t="s">
        <v>93</v>
      </c>
      <c r="L772" s="172" t="s">
        <v>94</v>
      </c>
      <c r="M772" s="179">
        <v>0</v>
      </c>
      <c r="N772" s="177"/>
      <c r="O772" s="177"/>
      <c r="P772" s="180">
        <v>5.5</v>
      </c>
    </row>
    <row r="773" spans="1:16" ht="19.5" customHeight="1">
      <c r="A773" s="172" t="s">
        <v>942</v>
      </c>
      <c r="B773" s="176">
        <v>46030</v>
      </c>
      <c r="C773" s="172" t="s">
        <v>100</v>
      </c>
      <c r="D773" s="172" t="s">
        <v>103</v>
      </c>
      <c r="E773" s="172" t="s">
        <v>41</v>
      </c>
      <c r="F773" s="172" t="s">
        <v>83</v>
      </c>
      <c r="G773" s="172" t="s">
        <v>84</v>
      </c>
      <c r="H773" s="177">
        <v>1</v>
      </c>
      <c r="I773" s="178">
        <v>1600</v>
      </c>
      <c r="J773" s="176">
        <v>46028</v>
      </c>
      <c r="K773" s="172" t="s">
        <v>93</v>
      </c>
      <c r="L773" s="172" t="s">
        <v>94</v>
      </c>
      <c r="M773" s="179">
        <v>0</v>
      </c>
      <c r="N773" s="177"/>
      <c r="O773" s="177"/>
      <c r="P773" s="180">
        <v>1044.98</v>
      </c>
    </row>
    <row r="774" spans="1:16" ht="19.5" customHeight="1">
      <c r="A774" s="172" t="s">
        <v>942</v>
      </c>
      <c r="B774" s="176">
        <v>46030</v>
      </c>
      <c r="C774" s="172" t="s">
        <v>104</v>
      </c>
      <c r="D774" s="172" t="s">
        <v>105</v>
      </c>
      <c r="E774" s="172" t="s">
        <v>41</v>
      </c>
      <c r="F774" s="172" t="s">
        <v>83</v>
      </c>
      <c r="G774" s="172" t="s">
        <v>84</v>
      </c>
      <c r="H774" s="177">
        <v>1</v>
      </c>
      <c r="I774" s="178">
        <v>1600</v>
      </c>
      <c r="J774" s="176">
        <v>46028</v>
      </c>
      <c r="K774" s="172" t="s">
        <v>93</v>
      </c>
      <c r="L774" s="172" t="s">
        <v>94</v>
      </c>
      <c r="M774" s="179">
        <v>0.43</v>
      </c>
      <c r="N774" s="177"/>
      <c r="O774" s="177"/>
      <c r="P774" s="180">
        <v>-688</v>
      </c>
    </row>
    <row r="775" spans="1:16" ht="19.5" customHeight="1">
      <c r="A775" s="172" t="s">
        <v>942</v>
      </c>
      <c r="B775" s="176">
        <v>46030</v>
      </c>
      <c r="C775" s="172" t="s">
        <v>81</v>
      </c>
      <c r="D775" s="172" t="s">
        <v>95</v>
      </c>
      <c r="E775" s="172" t="s">
        <v>41</v>
      </c>
      <c r="F775" s="172" t="s">
        <v>83</v>
      </c>
      <c r="G775" s="172" t="s">
        <v>84</v>
      </c>
      <c r="H775" s="177">
        <v>1</v>
      </c>
      <c r="I775" s="178">
        <v>1600</v>
      </c>
      <c r="J775" s="176">
        <v>46028</v>
      </c>
      <c r="K775" s="172" t="s">
        <v>93</v>
      </c>
      <c r="L775" s="172" t="s">
        <v>94</v>
      </c>
      <c r="M775" s="179">
        <v>0.43</v>
      </c>
      <c r="N775" s="177"/>
      <c r="O775" s="177"/>
      <c r="P775" s="180">
        <v>-25</v>
      </c>
    </row>
    <row r="776" spans="1:16" ht="19.5" customHeight="1">
      <c r="A776" s="172" t="s">
        <v>943</v>
      </c>
      <c r="B776" s="176">
        <v>46030</v>
      </c>
      <c r="C776" s="172" t="s">
        <v>92</v>
      </c>
      <c r="D776" s="172" t="s">
        <v>24</v>
      </c>
      <c r="E776" s="172" t="s">
        <v>41</v>
      </c>
      <c r="F776" s="172" t="s">
        <v>83</v>
      </c>
      <c r="G776" s="172" t="s">
        <v>84</v>
      </c>
      <c r="H776" s="177">
        <v>1</v>
      </c>
      <c r="I776" s="178">
        <v>1600</v>
      </c>
      <c r="J776" s="176">
        <v>46029</v>
      </c>
      <c r="K776" s="172" t="s">
        <v>93</v>
      </c>
      <c r="L776" s="172" t="s">
        <v>94</v>
      </c>
      <c r="M776" s="179">
        <v>0.43</v>
      </c>
      <c r="N776" s="177"/>
      <c r="O776" s="177">
        <v>43</v>
      </c>
      <c r="P776" s="180">
        <v>-122.83</v>
      </c>
    </row>
    <row r="777" spans="1:16" ht="19.5" customHeight="1">
      <c r="A777" s="172" t="s">
        <v>943</v>
      </c>
      <c r="B777" s="176">
        <v>46030</v>
      </c>
      <c r="C777" s="172" t="s">
        <v>100</v>
      </c>
      <c r="D777" s="172" t="s">
        <v>101</v>
      </c>
      <c r="E777" s="172" t="s">
        <v>41</v>
      </c>
      <c r="F777" s="172" t="s">
        <v>83</v>
      </c>
      <c r="G777" s="172" t="s">
        <v>84</v>
      </c>
      <c r="H777" s="177">
        <v>1</v>
      </c>
      <c r="I777" s="178">
        <v>1600</v>
      </c>
      <c r="J777" s="176">
        <v>46029</v>
      </c>
      <c r="K777" s="172" t="s">
        <v>93</v>
      </c>
      <c r="L777" s="172" t="s">
        <v>94</v>
      </c>
      <c r="M777" s="179">
        <v>0</v>
      </c>
      <c r="N777" s="177"/>
      <c r="O777" s="177"/>
      <c r="P777" s="180">
        <v>609.52</v>
      </c>
    </row>
    <row r="778" spans="1:16" ht="19.5" customHeight="1">
      <c r="A778" s="172" t="s">
        <v>943</v>
      </c>
      <c r="B778" s="176">
        <v>46030</v>
      </c>
      <c r="C778" s="172" t="s">
        <v>100</v>
      </c>
      <c r="D778" s="172" t="s">
        <v>102</v>
      </c>
      <c r="E778" s="172" t="s">
        <v>41</v>
      </c>
      <c r="F778" s="172" t="s">
        <v>83</v>
      </c>
      <c r="G778" s="172" t="s">
        <v>84</v>
      </c>
      <c r="H778" s="177">
        <v>1</v>
      </c>
      <c r="I778" s="178">
        <v>1600</v>
      </c>
      <c r="J778" s="176">
        <v>46029</v>
      </c>
      <c r="K778" s="172" t="s">
        <v>93</v>
      </c>
      <c r="L778" s="172" t="s">
        <v>94</v>
      </c>
      <c r="M778" s="179">
        <v>0</v>
      </c>
      <c r="N778" s="177"/>
      <c r="O778" s="177"/>
      <c r="P778" s="180">
        <v>0</v>
      </c>
    </row>
    <row r="779" spans="1:16" ht="19.5" customHeight="1">
      <c r="A779" s="172" t="s">
        <v>943</v>
      </c>
      <c r="B779" s="176">
        <v>46030</v>
      </c>
      <c r="C779" s="172" t="s">
        <v>100</v>
      </c>
      <c r="D779" s="172" t="s">
        <v>103</v>
      </c>
      <c r="E779" s="172" t="s">
        <v>41</v>
      </c>
      <c r="F779" s="172" t="s">
        <v>83</v>
      </c>
      <c r="G779" s="172" t="s">
        <v>84</v>
      </c>
      <c r="H779" s="177">
        <v>1</v>
      </c>
      <c r="I779" s="178">
        <v>1600</v>
      </c>
      <c r="J779" s="176">
        <v>46029</v>
      </c>
      <c r="K779" s="172" t="s">
        <v>93</v>
      </c>
      <c r="L779" s="172" t="s">
        <v>94</v>
      </c>
      <c r="M779" s="179">
        <v>0</v>
      </c>
      <c r="N779" s="177"/>
      <c r="O779" s="177"/>
      <c r="P779" s="180">
        <v>990.48</v>
      </c>
    </row>
    <row r="780" spans="1:16" ht="19.5" customHeight="1">
      <c r="A780" s="172" t="s">
        <v>943</v>
      </c>
      <c r="B780" s="176">
        <v>46030</v>
      </c>
      <c r="C780" s="172" t="s">
        <v>104</v>
      </c>
      <c r="D780" s="172" t="s">
        <v>105</v>
      </c>
      <c r="E780" s="172" t="s">
        <v>41</v>
      </c>
      <c r="F780" s="172" t="s">
        <v>83</v>
      </c>
      <c r="G780" s="172" t="s">
        <v>84</v>
      </c>
      <c r="H780" s="177">
        <v>1</v>
      </c>
      <c r="I780" s="178">
        <v>1600</v>
      </c>
      <c r="J780" s="176">
        <v>46029</v>
      </c>
      <c r="K780" s="172" t="s">
        <v>93</v>
      </c>
      <c r="L780" s="172" t="s">
        <v>94</v>
      </c>
      <c r="M780" s="179">
        <v>0.43</v>
      </c>
      <c r="N780" s="177"/>
      <c r="O780" s="177"/>
      <c r="P780" s="180">
        <v>-688</v>
      </c>
    </row>
    <row r="781" spans="1:16" ht="19.5" customHeight="1">
      <c r="A781" s="172" t="s">
        <v>943</v>
      </c>
      <c r="B781" s="176">
        <v>46030</v>
      </c>
      <c r="C781" s="172" t="s">
        <v>81</v>
      </c>
      <c r="D781" s="172" t="s">
        <v>95</v>
      </c>
      <c r="E781" s="172" t="s">
        <v>41</v>
      </c>
      <c r="F781" s="172" t="s">
        <v>83</v>
      </c>
      <c r="G781" s="172" t="s">
        <v>84</v>
      </c>
      <c r="H781" s="177">
        <v>1</v>
      </c>
      <c r="I781" s="178">
        <v>1600</v>
      </c>
      <c r="J781" s="176">
        <v>46029</v>
      </c>
      <c r="K781" s="172" t="s">
        <v>93</v>
      </c>
      <c r="L781" s="172" t="s">
        <v>94</v>
      </c>
      <c r="M781" s="179">
        <v>0.43</v>
      </c>
      <c r="N781" s="177"/>
      <c r="O781" s="177"/>
      <c r="P781" s="180">
        <v>-8.9600000000000009</v>
      </c>
    </row>
    <row r="782" spans="1:16" ht="19.5" customHeight="1">
      <c r="A782" s="172" t="s">
        <v>944</v>
      </c>
      <c r="B782" s="176">
        <v>46030</v>
      </c>
      <c r="C782" s="172" t="s">
        <v>92</v>
      </c>
      <c r="D782" s="172" t="s">
        <v>24</v>
      </c>
      <c r="E782" s="172" t="s">
        <v>39</v>
      </c>
      <c r="F782" s="172" t="s">
        <v>117</v>
      </c>
      <c r="G782" s="172" t="s">
        <v>84</v>
      </c>
      <c r="H782" s="177">
        <v>1</v>
      </c>
      <c r="I782" s="178">
        <v>1650</v>
      </c>
      <c r="J782" s="176">
        <v>46026</v>
      </c>
      <c r="K782" s="172" t="s">
        <v>93</v>
      </c>
      <c r="L782" s="172" t="s">
        <v>94</v>
      </c>
      <c r="M782" s="179">
        <v>0.43</v>
      </c>
      <c r="N782" s="177"/>
      <c r="O782" s="177">
        <v>46</v>
      </c>
      <c r="P782" s="180">
        <v>-135.97</v>
      </c>
    </row>
    <row r="783" spans="1:16" ht="19.5" customHeight="1">
      <c r="A783" s="172" t="s">
        <v>944</v>
      </c>
      <c r="B783" s="176">
        <v>46030</v>
      </c>
      <c r="C783" s="172" t="s">
        <v>100</v>
      </c>
      <c r="D783" s="172" t="s">
        <v>101</v>
      </c>
      <c r="E783" s="172" t="s">
        <v>39</v>
      </c>
      <c r="F783" s="172" t="s">
        <v>117</v>
      </c>
      <c r="G783" s="172" t="s">
        <v>84</v>
      </c>
      <c r="H783" s="177">
        <v>1</v>
      </c>
      <c r="I783" s="178">
        <v>1650</v>
      </c>
      <c r="J783" s="176">
        <v>46026</v>
      </c>
      <c r="K783" s="172" t="s">
        <v>93</v>
      </c>
      <c r="L783" s="172" t="s">
        <v>94</v>
      </c>
      <c r="M783" s="179">
        <v>0</v>
      </c>
      <c r="N783" s="177"/>
      <c r="O783" s="177"/>
      <c r="P783" s="180">
        <v>951.43</v>
      </c>
    </row>
    <row r="784" spans="1:16" ht="19.5" customHeight="1">
      <c r="A784" s="172" t="s">
        <v>944</v>
      </c>
      <c r="B784" s="176">
        <v>46030</v>
      </c>
      <c r="C784" s="172" t="s">
        <v>100</v>
      </c>
      <c r="D784" s="172" t="s">
        <v>102</v>
      </c>
      <c r="E784" s="172" t="s">
        <v>39</v>
      </c>
      <c r="F784" s="172" t="s">
        <v>117</v>
      </c>
      <c r="G784" s="172" t="s">
        <v>84</v>
      </c>
      <c r="H784" s="177">
        <v>1</v>
      </c>
      <c r="I784" s="178">
        <v>1650</v>
      </c>
      <c r="J784" s="176">
        <v>46026</v>
      </c>
      <c r="K784" s="172" t="s">
        <v>93</v>
      </c>
      <c r="L784" s="172" t="s">
        <v>94</v>
      </c>
      <c r="M784" s="179">
        <v>0</v>
      </c>
      <c r="N784" s="177"/>
      <c r="O784" s="177"/>
      <c r="P784" s="180">
        <v>0</v>
      </c>
    </row>
    <row r="785" spans="1:16" ht="19.5" customHeight="1">
      <c r="A785" s="172" t="s">
        <v>944</v>
      </c>
      <c r="B785" s="176">
        <v>46030</v>
      </c>
      <c r="C785" s="172" t="s">
        <v>100</v>
      </c>
      <c r="D785" s="172" t="s">
        <v>103</v>
      </c>
      <c r="E785" s="172" t="s">
        <v>39</v>
      </c>
      <c r="F785" s="172" t="s">
        <v>117</v>
      </c>
      <c r="G785" s="172" t="s">
        <v>84</v>
      </c>
      <c r="H785" s="177">
        <v>1</v>
      </c>
      <c r="I785" s="178">
        <v>1650</v>
      </c>
      <c r="J785" s="176">
        <v>46026</v>
      </c>
      <c r="K785" s="172" t="s">
        <v>93</v>
      </c>
      <c r="L785" s="172" t="s">
        <v>94</v>
      </c>
      <c r="M785" s="179">
        <v>0</v>
      </c>
      <c r="N785" s="177"/>
      <c r="O785" s="177"/>
      <c r="P785" s="180">
        <v>698.57</v>
      </c>
    </row>
    <row r="786" spans="1:16" ht="19.5" customHeight="1">
      <c r="A786" s="172" t="s">
        <v>944</v>
      </c>
      <c r="B786" s="176">
        <v>46030</v>
      </c>
      <c r="C786" s="172" t="s">
        <v>104</v>
      </c>
      <c r="D786" s="172" t="s">
        <v>105</v>
      </c>
      <c r="E786" s="172" t="s">
        <v>39</v>
      </c>
      <c r="F786" s="172" t="s">
        <v>117</v>
      </c>
      <c r="G786" s="172" t="s">
        <v>84</v>
      </c>
      <c r="H786" s="177">
        <v>1</v>
      </c>
      <c r="I786" s="178">
        <v>1650</v>
      </c>
      <c r="J786" s="176">
        <v>46026</v>
      </c>
      <c r="K786" s="172" t="s">
        <v>93</v>
      </c>
      <c r="L786" s="172" t="s">
        <v>94</v>
      </c>
      <c r="M786" s="179">
        <v>0.43</v>
      </c>
      <c r="N786" s="177"/>
      <c r="O786" s="177"/>
      <c r="P786" s="180">
        <v>-709.5</v>
      </c>
    </row>
    <row r="787" spans="1:16" ht="19.5" customHeight="1">
      <c r="A787" s="172" t="s">
        <v>944</v>
      </c>
      <c r="B787" s="176">
        <v>46030</v>
      </c>
      <c r="C787" s="172" t="s">
        <v>81</v>
      </c>
      <c r="D787" s="172" t="s">
        <v>95</v>
      </c>
      <c r="E787" s="172" t="s">
        <v>39</v>
      </c>
      <c r="F787" s="172" t="s">
        <v>117</v>
      </c>
      <c r="G787" s="172" t="s">
        <v>84</v>
      </c>
      <c r="H787" s="177">
        <v>1</v>
      </c>
      <c r="I787" s="178">
        <v>1650</v>
      </c>
      <c r="J787" s="176">
        <v>46026</v>
      </c>
      <c r="K787" s="172" t="s">
        <v>93</v>
      </c>
      <c r="L787" s="172" t="s">
        <v>94</v>
      </c>
      <c r="M787" s="179">
        <v>0.43</v>
      </c>
      <c r="N787" s="177"/>
      <c r="O787" s="177"/>
      <c r="P787" s="180">
        <v>-22.36</v>
      </c>
    </row>
    <row r="788" spans="1:16" ht="19.5" customHeight="1">
      <c r="A788" s="172" t="s">
        <v>480</v>
      </c>
      <c r="B788" s="176">
        <v>46030</v>
      </c>
      <c r="C788" s="172" t="s">
        <v>92</v>
      </c>
      <c r="D788" s="172" t="s">
        <v>24</v>
      </c>
      <c r="E788" s="172" t="s">
        <v>41</v>
      </c>
      <c r="F788" s="172" t="s">
        <v>83</v>
      </c>
      <c r="G788" s="172" t="s">
        <v>84</v>
      </c>
      <c r="H788" s="177">
        <v>1</v>
      </c>
      <c r="I788" s="178">
        <v>1600</v>
      </c>
      <c r="J788" s="176">
        <v>46027</v>
      </c>
      <c r="K788" s="172" t="s">
        <v>93</v>
      </c>
      <c r="L788" s="172" t="s">
        <v>94</v>
      </c>
      <c r="M788" s="179">
        <v>0.43</v>
      </c>
      <c r="N788" s="177"/>
      <c r="O788" s="177">
        <v>45</v>
      </c>
      <c r="P788" s="180">
        <v>-129.16</v>
      </c>
    </row>
    <row r="789" spans="1:16" ht="19.5" customHeight="1">
      <c r="A789" s="172" t="s">
        <v>480</v>
      </c>
      <c r="B789" s="176">
        <v>46030</v>
      </c>
      <c r="C789" s="172" t="s">
        <v>100</v>
      </c>
      <c r="D789" s="172" t="s">
        <v>101</v>
      </c>
      <c r="E789" s="172" t="s">
        <v>41</v>
      </c>
      <c r="F789" s="172" t="s">
        <v>83</v>
      </c>
      <c r="G789" s="172" t="s">
        <v>84</v>
      </c>
      <c r="H789" s="177">
        <v>1</v>
      </c>
      <c r="I789" s="178">
        <v>1600</v>
      </c>
      <c r="J789" s="176">
        <v>46027</v>
      </c>
      <c r="K789" s="172" t="s">
        <v>93</v>
      </c>
      <c r="L789" s="172" t="s">
        <v>94</v>
      </c>
      <c r="M789" s="179">
        <v>0</v>
      </c>
      <c r="N789" s="177"/>
      <c r="O789" s="177"/>
      <c r="P789" s="180">
        <v>549.52</v>
      </c>
    </row>
    <row r="790" spans="1:16" ht="19.5" customHeight="1">
      <c r="A790" s="172" t="s">
        <v>480</v>
      </c>
      <c r="B790" s="176">
        <v>46030</v>
      </c>
      <c r="C790" s="172" t="s">
        <v>100</v>
      </c>
      <c r="D790" s="172" t="s">
        <v>102</v>
      </c>
      <c r="E790" s="172" t="s">
        <v>41</v>
      </c>
      <c r="F790" s="172" t="s">
        <v>83</v>
      </c>
      <c r="G790" s="172" t="s">
        <v>84</v>
      </c>
      <c r="H790" s="177">
        <v>1</v>
      </c>
      <c r="I790" s="178">
        <v>1600</v>
      </c>
      <c r="J790" s="176">
        <v>46027</v>
      </c>
      <c r="K790" s="172" t="s">
        <v>93</v>
      </c>
      <c r="L790" s="172" t="s">
        <v>94</v>
      </c>
      <c r="M790" s="179">
        <v>0</v>
      </c>
      <c r="N790" s="177"/>
      <c r="O790" s="177"/>
      <c r="P790" s="180">
        <v>5.5</v>
      </c>
    </row>
    <row r="791" spans="1:16" ht="19.5" customHeight="1">
      <c r="A791" s="172" t="s">
        <v>480</v>
      </c>
      <c r="B791" s="176">
        <v>46030</v>
      </c>
      <c r="C791" s="172" t="s">
        <v>100</v>
      </c>
      <c r="D791" s="172" t="s">
        <v>103</v>
      </c>
      <c r="E791" s="172" t="s">
        <v>41</v>
      </c>
      <c r="F791" s="172" t="s">
        <v>83</v>
      </c>
      <c r="G791" s="172" t="s">
        <v>84</v>
      </c>
      <c r="H791" s="177">
        <v>1</v>
      </c>
      <c r="I791" s="178">
        <v>1600</v>
      </c>
      <c r="J791" s="176">
        <v>46027</v>
      </c>
      <c r="K791" s="172" t="s">
        <v>93</v>
      </c>
      <c r="L791" s="172" t="s">
        <v>94</v>
      </c>
      <c r="M791" s="179">
        <v>0</v>
      </c>
      <c r="N791" s="177"/>
      <c r="O791" s="177"/>
      <c r="P791" s="180">
        <v>1044.98</v>
      </c>
    </row>
    <row r="792" spans="1:16" ht="19.5" customHeight="1">
      <c r="A792" s="172" t="s">
        <v>480</v>
      </c>
      <c r="B792" s="176">
        <v>46030</v>
      </c>
      <c r="C792" s="172" t="s">
        <v>104</v>
      </c>
      <c r="D792" s="172" t="s">
        <v>105</v>
      </c>
      <c r="E792" s="172" t="s">
        <v>41</v>
      </c>
      <c r="F792" s="172" t="s">
        <v>83</v>
      </c>
      <c r="G792" s="172" t="s">
        <v>84</v>
      </c>
      <c r="H792" s="177">
        <v>1</v>
      </c>
      <c r="I792" s="178">
        <v>1600</v>
      </c>
      <c r="J792" s="176">
        <v>46027</v>
      </c>
      <c r="K792" s="172" t="s">
        <v>93</v>
      </c>
      <c r="L792" s="172" t="s">
        <v>94</v>
      </c>
      <c r="M792" s="179">
        <v>0.43</v>
      </c>
      <c r="N792" s="177"/>
      <c r="O792" s="177"/>
      <c r="P792" s="180">
        <v>-688</v>
      </c>
    </row>
    <row r="793" spans="1:16" ht="19.5" customHeight="1">
      <c r="A793" s="172" t="s">
        <v>480</v>
      </c>
      <c r="B793" s="176">
        <v>46030</v>
      </c>
      <c r="C793" s="172" t="s">
        <v>81</v>
      </c>
      <c r="D793" s="172" t="s">
        <v>95</v>
      </c>
      <c r="E793" s="172" t="s">
        <v>41</v>
      </c>
      <c r="F793" s="172" t="s">
        <v>83</v>
      </c>
      <c r="G793" s="172" t="s">
        <v>84</v>
      </c>
      <c r="H793" s="177">
        <v>1</v>
      </c>
      <c r="I793" s="178">
        <v>1600</v>
      </c>
      <c r="J793" s="176">
        <v>46027</v>
      </c>
      <c r="K793" s="172" t="s">
        <v>93</v>
      </c>
      <c r="L793" s="172" t="s">
        <v>94</v>
      </c>
      <c r="M793" s="179">
        <v>0.43</v>
      </c>
      <c r="N793" s="177"/>
      <c r="O793" s="177"/>
      <c r="P793" s="180">
        <v>-17.48</v>
      </c>
    </row>
    <row r="794" spans="1:16" ht="19.5" customHeight="1">
      <c r="A794" s="172" t="s">
        <v>945</v>
      </c>
      <c r="B794" s="176">
        <v>46030</v>
      </c>
      <c r="C794" s="172" t="s">
        <v>81</v>
      </c>
      <c r="D794" s="172" t="s">
        <v>82</v>
      </c>
      <c r="E794" s="172" t="s">
        <v>41</v>
      </c>
      <c r="F794" s="172" t="s">
        <v>83</v>
      </c>
      <c r="G794" s="172" t="s">
        <v>84</v>
      </c>
      <c r="H794" s="177">
        <v>1</v>
      </c>
      <c r="I794" s="178">
        <v>0</v>
      </c>
      <c r="J794" s="176">
        <v>46030</v>
      </c>
      <c r="K794" s="172" t="s">
        <v>85</v>
      </c>
      <c r="L794" s="172" t="s">
        <v>85</v>
      </c>
      <c r="M794" s="179">
        <v>0</v>
      </c>
      <c r="N794" s="177"/>
      <c r="O794" s="177"/>
      <c r="P794" s="180">
        <v>-10.44</v>
      </c>
    </row>
    <row r="795" spans="1:16" ht="19.5" customHeight="1">
      <c r="A795" s="172" t="s">
        <v>943</v>
      </c>
      <c r="B795" s="176">
        <v>46030</v>
      </c>
      <c r="C795" s="172" t="s">
        <v>81</v>
      </c>
      <c r="D795" s="172" t="s">
        <v>82</v>
      </c>
      <c r="E795" s="172" t="s">
        <v>41</v>
      </c>
      <c r="F795" s="172" t="s">
        <v>83</v>
      </c>
      <c r="G795" s="172" t="s">
        <v>84</v>
      </c>
      <c r="H795" s="177">
        <v>1</v>
      </c>
      <c r="I795" s="178">
        <v>0</v>
      </c>
      <c r="J795" s="176">
        <v>46029</v>
      </c>
      <c r="K795" s="172" t="s">
        <v>85</v>
      </c>
      <c r="L795" s="172" t="s">
        <v>85</v>
      </c>
      <c r="M795" s="179">
        <v>0</v>
      </c>
      <c r="N795" s="177"/>
      <c r="O795" s="177"/>
      <c r="P795" s="180">
        <v>-5.72</v>
      </c>
    </row>
    <row r="796" spans="1:16" ht="19.5" customHeight="1">
      <c r="A796" s="172" t="s">
        <v>946</v>
      </c>
      <c r="B796" s="176">
        <v>46030</v>
      </c>
      <c r="C796" s="172" t="s">
        <v>92</v>
      </c>
      <c r="D796" s="172" t="s">
        <v>24</v>
      </c>
      <c r="E796" s="172" t="s">
        <v>52</v>
      </c>
      <c r="F796" s="172" t="s">
        <v>90</v>
      </c>
      <c r="G796" s="172" t="s">
        <v>84</v>
      </c>
      <c r="H796" s="177">
        <v>1</v>
      </c>
      <c r="I796" s="178">
        <v>1621</v>
      </c>
      <c r="J796" s="176">
        <v>46026</v>
      </c>
      <c r="K796" s="172" t="s">
        <v>93</v>
      </c>
      <c r="L796" s="172" t="s">
        <v>94</v>
      </c>
      <c r="M796" s="179">
        <v>0.43</v>
      </c>
      <c r="N796" s="177"/>
      <c r="O796" s="177">
        <v>46</v>
      </c>
      <c r="P796" s="180">
        <v>-150.56</v>
      </c>
    </row>
    <row r="797" spans="1:16" ht="19.5" customHeight="1">
      <c r="A797" s="172" t="s">
        <v>946</v>
      </c>
      <c r="B797" s="176">
        <v>46030</v>
      </c>
      <c r="C797" s="172" t="s">
        <v>100</v>
      </c>
      <c r="D797" s="172" t="s">
        <v>101</v>
      </c>
      <c r="E797" s="172" t="s">
        <v>52</v>
      </c>
      <c r="F797" s="172" t="s">
        <v>90</v>
      </c>
      <c r="G797" s="172" t="s">
        <v>84</v>
      </c>
      <c r="H797" s="177">
        <v>1</v>
      </c>
      <c r="I797" s="178">
        <v>1621</v>
      </c>
      <c r="J797" s="176">
        <v>46026</v>
      </c>
      <c r="K797" s="172" t="s">
        <v>93</v>
      </c>
      <c r="L797" s="172" t="s">
        <v>94</v>
      </c>
      <c r="M797" s="179">
        <v>0</v>
      </c>
      <c r="N797" s="177"/>
      <c r="O797" s="177"/>
      <c r="P797" s="180">
        <v>554.5</v>
      </c>
    </row>
    <row r="798" spans="1:16" ht="19.5" customHeight="1">
      <c r="A798" s="172" t="s">
        <v>946</v>
      </c>
      <c r="B798" s="176">
        <v>46030</v>
      </c>
      <c r="C798" s="172" t="s">
        <v>100</v>
      </c>
      <c r="D798" s="172" t="s">
        <v>102</v>
      </c>
      <c r="E798" s="172" t="s">
        <v>52</v>
      </c>
      <c r="F798" s="172" t="s">
        <v>90</v>
      </c>
      <c r="G798" s="172" t="s">
        <v>84</v>
      </c>
      <c r="H798" s="177">
        <v>1</v>
      </c>
      <c r="I798" s="178">
        <v>1621</v>
      </c>
      <c r="J798" s="176">
        <v>46026</v>
      </c>
      <c r="K798" s="172" t="s">
        <v>93</v>
      </c>
      <c r="L798" s="172" t="s">
        <v>94</v>
      </c>
      <c r="M798" s="179">
        <v>0</v>
      </c>
      <c r="N798" s="177"/>
      <c r="O798" s="177"/>
      <c r="P798" s="180">
        <v>5.55</v>
      </c>
    </row>
    <row r="799" spans="1:16" ht="19.5" customHeight="1">
      <c r="A799" s="172" t="s">
        <v>946</v>
      </c>
      <c r="B799" s="176">
        <v>46030</v>
      </c>
      <c r="C799" s="172" t="s">
        <v>100</v>
      </c>
      <c r="D799" s="172" t="s">
        <v>103</v>
      </c>
      <c r="E799" s="172" t="s">
        <v>52</v>
      </c>
      <c r="F799" s="172" t="s">
        <v>90</v>
      </c>
      <c r="G799" s="172" t="s">
        <v>84</v>
      </c>
      <c r="H799" s="177">
        <v>1</v>
      </c>
      <c r="I799" s="178">
        <v>1621</v>
      </c>
      <c r="J799" s="176">
        <v>46026</v>
      </c>
      <c r="K799" s="172" t="s">
        <v>93</v>
      </c>
      <c r="L799" s="172" t="s">
        <v>94</v>
      </c>
      <c r="M799" s="179">
        <v>0</v>
      </c>
      <c r="N799" s="177"/>
      <c r="O799" s="177"/>
      <c r="P799" s="180">
        <v>1060.95</v>
      </c>
    </row>
    <row r="800" spans="1:16" ht="19.5" customHeight="1">
      <c r="A800" s="172" t="s">
        <v>946</v>
      </c>
      <c r="B800" s="176">
        <v>46030</v>
      </c>
      <c r="C800" s="172" t="s">
        <v>104</v>
      </c>
      <c r="D800" s="172" t="s">
        <v>105</v>
      </c>
      <c r="E800" s="172" t="s">
        <v>52</v>
      </c>
      <c r="F800" s="172" t="s">
        <v>90</v>
      </c>
      <c r="G800" s="172" t="s">
        <v>84</v>
      </c>
      <c r="H800" s="177">
        <v>1</v>
      </c>
      <c r="I800" s="178">
        <v>1621</v>
      </c>
      <c r="J800" s="176">
        <v>46026</v>
      </c>
      <c r="K800" s="172" t="s">
        <v>93</v>
      </c>
      <c r="L800" s="172" t="s">
        <v>94</v>
      </c>
      <c r="M800" s="179">
        <v>0.43</v>
      </c>
      <c r="N800" s="177"/>
      <c r="O800" s="177"/>
      <c r="P800" s="180">
        <v>-697.03</v>
      </c>
    </row>
    <row r="801" spans="1:16" ht="19.5" customHeight="1">
      <c r="A801" s="172" t="s">
        <v>946</v>
      </c>
      <c r="B801" s="176">
        <v>46030</v>
      </c>
      <c r="C801" s="172" t="s">
        <v>81</v>
      </c>
      <c r="D801" s="172" t="s">
        <v>95</v>
      </c>
      <c r="E801" s="172" t="s">
        <v>52</v>
      </c>
      <c r="F801" s="172" t="s">
        <v>90</v>
      </c>
      <c r="G801" s="172" t="s">
        <v>84</v>
      </c>
      <c r="H801" s="177">
        <v>1</v>
      </c>
      <c r="I801" s="178">
        <v>1621</v>
      </c>
      <c r="J801" s="176">
        <v>46026</v>
      </c>
      <c r="K801" s="172" t="s">
        <v>93</v>
      </c>
      <c r="L801" s="172" t="s">
        <v>94</v>
      </c>
      <c r="M801" s="179">
        <v>0.43</v>
      </c>
      <c r="N801" s="177"/>
      <c r="O801" s="177"/>
      <c r="P801" s="180">
        <v>-8.14</v>
      </c>
    </row>
    <row r="802" spans="1:16" ht="19.5" customHeight="1">
      <c r="A802" s="172" t="s">
        <v>947</v>
      </c>
      <c r="B802" s="176">
        <v>46030</v>
      </c>
      <c r="C802" s="172" t="s">
        <v>92</v>
      </c>
      <c r="D802" s="172" t="s">
        <v>24</v>
      </c>
      <c r="E802" s="172" t="s">
        <v>53</v>
      </c>
      <c r="F802" s="172" t="s">
        <v>120</v>
      </c>
      <c r="G802" s="172" t="s">
        <v>84</v>
      </c>
      <c r="H802" s="177">
        <v>1</v>
      </c>
      <c r="I802" s="178">
        <v>0</v>
      </c>
      <c r="J802" s="176">
        <v>46026</v>
      </c>
      <c r="K802" s="172" t="s">
        <v>93</v>
      </c>
      <c r="L802" s="172" t="s">
        <v>94</v>
      </c>
      <c r="M802" s="179">
        <v>0</v>
      </c>
      <c r="N802" s="177"/>
      <c r="O802" s="177">
        <v>46</v>
      </c>
      <c r="P802" s="180">
        <v>-56</v>
      </c>
    </row>
    <row r="803" spans="1:16" ht="19.5" customHeight="1">
      <c r="A803" s="172" t="s">
        <v>947</v>
      </c>
      <c r="B803" s="176">
        <v>46030</v>
      </c>
      <c r="C803" s="172" t="s">
        <v>81</v>
      </c>
      <c r="D803" s="172" t="s">
        <v>95</v>
      </c>
      <c r="E803" s="172" t="s">
        <v>53</v>
      </c>
      <c r="F803" s="172" t="s">
        <v>120</v>
      </c>
      <c r="G803" s="172" t="s">
        <v>84</v>
      </c>
      <c r="H803" s="177">
        <v>1</v>
      </c>
      <c r="I803" s="178">
        <v>0</v>
      </c>
      <c r="J803" s="176">
        <v>46026</v>
      </c>
      <c r="K803" s="172" t="s">
        <v>93</v>
      </c>
      <c r="L803" s="172" t="s">
        <v>94</v>
      </c>
      <c r="M803" s="179">
        <v>0</v>
      </c>
      <c r="N803" s="177"/>
      <c r="O803" s="177"/>
      <c r="P803" s="180">
        <v>-16.57</v>
      </c>
    </row>
    <row r="804" spans="1:16" ht="19.5" customHeight="1">
      <c r="A804" s="172" t="s">
        <v>477</v>
      </c>
      <c r="B804" s="176">
        <v>46030</v>
      </c>
      <c r="C804" s="172" t="s">
        <v>92</v>
      </c>
      <c r="D804" s="172" t="s">
        <v>24</v>
      </c>
      <c r="E804" s="172" t="s">
        <v>41</v>
      </c>
      <c r="F804" s="172" t="s">
        <v>83</v>
      </c>
      <c r="G804" s="172" t="s">
        <v>84</v>
      </c>
      <c r="H804" s="177">
        <v>1</v>
      </c>
      <c r="I804" s="178">
        <v>1600</v>
      </c>
      <c r="J804" s="176">
        <v>46028</v>
      </c>
      <c r="K804" s="172" t="s">
        <v>93</v>
      </c>
      <c r="L804" s="172" t="s">
        <v>94</v>
      </c>
      <c r="M804" s="179">
        <v>0.43</v>
      </c>
      <c r="N804" s="177"/>
      <c r="O804" s="177">
        <v>44</v>
      </c>
      <c r="P804" s="180">
        <v>-125.38</v>
      </c>
    </row>
    <row r="805" spans="1:16" ht="19.5" customHeight="1">
      <c r="A805" s="172" t="s">
        <v>477</v>
      </c>
      <c r="B805" s="176">
        <v>46030</v>
      </c>
      <c r="C805" s="172" t="s">
        <v>100</v>
      </c>
      <c r="D805" s="172" t="s">
        <v>101</v>
      </c>
      <c r="E805" s="172" t="s">
        <v>41</v>
      </c>
      <c r="F805" s="172" t="s">
        <v>83</v>
      </c>
      <c r="G805" s="172" t="s">
        <v>84</v>
      </c>
      <c r="H805" s="177">
        <v>1</v>
      </c>
      <c r="I805" s="178">
        <v>1600</v>
      </c>
      <c r="J805" s="176">
        <v>46028</v>
      </c>
      <c r="K805" s="172" t="s">
        <v>93</v>
      </c>
      <c r="L805" s="172" t="s">
        <v>94</v>
      </c>
      <c r="M805" s="179">
        <v>0</v>
      </c>
      <c r="N805" s="177"/>
      <c r="O805" s="177"/>
      <c r="P805" s="180">
        <v>341.3</v>
      </c>
    </row>
    <row r="806" spans="1:16" ht="19.5" customHeight="1">
      <c r="A806" s="172" t="s">
        <v>477</v>
      </c>
      <c r="B806" s="176">
        <v>46030</v>
      </c>
      <c r="C806" s="172" t="s">
        <v>100</v>
      </c>
      <c r="D806" s="172" t="s">
        <v>102</v>
      </c>
      <c r="E806" s="172" t="s">
        <v>41</v>
      </c>
      <c r="F806" s="172" t="s">
        <v>83</v>
      </c>
      <c r="G806" s="172" t="s">
        <v>84</v>
      </c>
      <c r="H806" s="177">
        <v>1</v>
      </c>
      <c r="I806" s="178">
        <v>1600</v>
      </c>
      <c r="J806" s="176">
        <v>46028</v>
      </c>
      <c r="K806" s="172" t="s">
        <v>93</v>
      </c>
      <c r="L806" s="172" t="s">
        <v>94</v>
      </c>
      <c r="M806" s="179">
        <v>0</v>
      </c>
      <c r="N806" s="177"/>
      <c r="O806" s="177"/>
      <c r="P806" s="180">
        <v>3.41</v>
      </c>
    </row>
    <row r="807" spans="1:16" ht="19.5" customHeight="1">
      <c r="A807" s="172" t="s">
        <v>477</v>
      </c>
      <c r="B807" s="176">
        <v>46030</v>
      </c>
      <c r="C807" s="172" t="s">
        <v>100</v>
      </c>
      <c r="D807" s="172" t="s">
        <v>103</v>
      </c>
      <c r="E807" s="172" t="s">
        <v>41</v>
      </c>
      <c r="F807" s="172" t="s">
        <v>83</v>
      </c>
      <c r="G807" s="172" t="s">
        <v>84</v>
      </c>
      <c r="H807" s="177">
        <v>1</v>
      </c>
      <c r="I807" s="178">
        <v>1600</v>
      </c>
      <c r="J807" s="176">
        <v>46028</v>
      </c>
      <c r="K807" s="172" t="s">
        <v>93</v>
      </c>
      <c r="L807" s="172" t="s">
        <v>94</v>
      </c>
      <c r="M807" s="179">
        <v>0</v>
      </c>
      <c r="N807" s="177"/>
      <c r="O807" s="177"/>
      <c r="P807" s="180">
        <v>1255.29</v>
      </c>
    </row>
    <row r="808" spans="1:16" ht="19.5" customHeight="1">
      <c r="A808" s="172" t="s">
        <v>477</v>
      </c>
      <c r="B808" s="176">
        <v>46030</v>
      </c>
      <c r="C808" s="172" t="s">
        <v>104</v>
      </c>
      <c r="D808" s="172" t="s">
        <v>105</v>
      </c>
      <c r="E808" s="172" t="s">
        <v>41</v>
      </c>
      <c r="F808" s="172" t="s">
        <v>83</v>
      </c>
      <c r="G808" s="172" t="s">
        <v>84</v>
      </c>
      <c r="H808" s="177">
        <v>1</v>
      </c>
      <c r="I808" s="178">
        <v>1600</v>
      </c>
      <c r="J808" s="176">
        <v>46028</v>
      </c>
      <c r="K808" s="172" t="s">
        <v>93</v>
      </c>
      <c r="L808" s="172" t="s">
        <v>94</v>
      </c>
      <c r="M808" s="179">
        <v>0.43</v>
      </c>
      <c r="N808" s="177"/>
      <c r="O808" s="177"/>
      <c r="P808" s="180">
        <v>-688</v>
      </c>
    </row>
    <row r="809" spans="1:16" ht="19.5" customHeight="1">
      <c r="A809" s="172" t="s">
        <v>477</v>
      </c>
      <c r="B809" s="176">
        <v>46030</v>
      </c>
      <c r="C809" s="172" t="s">
        <v>81</v>
      </c>
      <c r="D809" s="172" t="s">
        <v>95</v>
      </c>
      <c r="E809" s="172" t="s">
        <v>41</v>
      </c>
      <c r="F809" s="172" t="s">
        <v>83</v>
      </c>
      <c r="G809" s="172" t="s">
        <v>84</v>
      </c>
      <c r="H809" s="177">
        <v>1</v>
      </c>
      <c r="I809" s="178">
        <v>1600</v>
      </c>
      <c r="J809" s="176">
        <v>46028</v>
      </c>
      <c r="K809" s="172" t="s">
        <v>93</v>
      </c>
      <c r="L809" s="172" t="s">
        <v>94</v>
      </c>
      <c r="M809" s="179">
        <v>0.43</v>
      </c>
      <c r="N809" s="177"/>
      <c r="O809" s="177"/>
      <c r="P809" s="180">
        <v>-9.4600000000000009</v>
      </c>
    </row>
    <row r="810" spans="1:16" ht="19.5" customHeight="1">
      <c r="A810" s="172" t="s">
        <v>947</v>
      </c>
      <c r="B810" s="176">
        <v>46030</v>
      </c>
      <c r="C810" s="172" t="s">
        <v>92</v>
      </c>
      <c r="D810" s="172" t="s">
        <v>96</v>
      </c>
      <c r="E810" s="172" t="s">
        <v>53</v>
      </c>
      <c r="F810" s="172" t="s">
        <v>120</v>
      </c>
      <c r="G810" s="172" t="s">
        <v>84</v>
      </c>
      <c r="H810" s="177">
        <v>1</v>
      </c>
      <c r="I810" s="178">
        <v>0</v>
      </c>
      <c r="J810" s="176">
        <v>46026</v>
      </c>
      <c r="K810" s="172" t="s">
        <v>93</v>
      </c>
      <c r="L810" s="172" t="s">
        <v>94</v>
      </c>
      <c r="M810" s="179">
        <v>0</v>
      </c>
      <c r="N810" s="177"/>
      <c r="O810" s="177"/>
      <c r="P810" s="180">
        <v>0</v>
      </c>
    </row>
    <row r="811" spans="1:16" ht="19.5" customHeight="1">
      <c r="A811" s="172" t="s">
        <v>947</v>
      </c>
      <c r="B811" s="176">
        <v>46030</v>
      </c>
      <c r="C811" s="172" t="s">
        <v>92</v>
      </c>
      <c r="D811" s="172" t="s">
        <v>97</v>
      </c>
      <c r="E811" s="172" t="s">
        <v>53</v>
      </c>
      <c r="F811" s="172" t="s">
        <v>120</v>
      </c>
      <c r="G811" s="172" t="s">
        <v>84</v>
      </c>
      <c r="H811" s="177">
        <v>1</v>
      </c>
      <c r="I811" s="178">
        <v>0</v>
      </c>
      <c r="J811" s="176">
        <v>46026</v>
      </c>
      <c r="K811" s="172" t="s">
        <v>93</v>
      </c>
      <c r="L811" s="172" t="s">
        <v>94</v>
      </c>
      <c r="M811" s="179">
        <v>0</v>
      </c>
      <c r="N811" s="177"/>
      <c r="O811" s="177"/>
      <c r="P811" s="180">
        <v>-56</v>
      </c>
    </row>
    <row r="812" spans="1:16" ht="19.5" customHeight="1">
      <c r="A812" s="172" t="s">
        <v>947</v>
      </c>
      <c r="B812" s="176">
        <v>46030</v>
      </c>
      <c r="C812" s="172" t="s">
        <v>81</v>
      </c>
      <c r="D812" s="172" t="s">
        <v>98</v>
      </c>
      <c r="E812" s="172" t="s">
        <v>53</v>
      </c>
      <c r="F812" s="172" t="s">
        <v>120</v>
      </c>
      <c r="G812" s="172" t="s">
        <v>84</v>
      </c>
      <c r="H812" s="177">
        <v>1</v>
      </c>
      <c r="I812" s="178">
        <v>0</v>
      </c>
      <c r="J812" s="176">
        <v>46026</v>
      </c>
      <c r="K812" s="172" t="s">
        <v>93</v>
      </c>
      <c r="L812" s="172" t="s">
        <v>94</v>
      </c>
      <c r="M812" s="179">
        <v>0</v>
      </c>
      <c r="N812" s="177"/>
      <c r="O812" s="177"/>
      <c r="P812" s="180">
        <v>-15</v>
      </c>
    </row>
    <row r="813" spans="1:16" ht="19.5" customHeight="1">
      <c r="A813" s="172" t="s">
        <v>946</v>
      </c>
      <c r="B813" s="176">
        <v>46030</v>
      </c>
      <c r="C813" s="172" t="s">
        <v>81</v>
      </c>
      <c r="D813" s="172" t="s">
        <v>82</v>
      </c>
      <c r="E813" s="172" t="s">
        <v>52</v>
      </c>
      <c r="F813" s="172" t="s">
        <v>90</v>
      </c>
      <c r="G813" s="172" t="s">
        <v>84</v>
      </c>
      <c r="H813" s="177">
        <v>1</v>
      </c>
      <c r="I813" s="178">
        <v>0</v>
      </c>
      <c r="J813" s="176">
        <v>46026</v>
      </c>
      <c r="K813" s="172" t="s">
        <v>85</v>
      </c>
      <c r="L813" s="172" t="s">
        <v>85</v>
      </c>
      <c r="M813" s="179">
        <v>0</v>
      </c>
      <c r="N813" s="177"/>
      <c r="O813" s="177"/>
      <c r="P813" s="180">
        <v>-10.54</v>
      </c>
    </row>
    <row r="814" spans="1:16" ht="19.5" customHeight="1">
      <c r="A814" s="172" t="s">
        <v>948</v>
      </c>
      <c r="B814" s="176">
        <v>46030</v>
      </c>
      <c r="C814" s="172" t="s">
        <v>92</v>
      </c>
      <c r="D814" s="172" t="s">
        <v>24</v>
      </c>
      <c r="E814" s="172" t="s">
        <v>53</v>
      </c>
      <c r="F814" s="172" t="s">
        <v>120</v>
      </c>
      <c r="G814" s="172" t="s">
        <v>84</v>
      </c>
      <c r="H814" s="177">
        <v>1</v>
      </c>
      <c r="I814" s="178">
        <v>0</v>
      </c>
      <c r="J814" s="176">
        <v>46020</v>
      </c>
      <c r="K814" s="172" t="s">
        <v>93</v>
      </c>
      <c r="L814" s="172" t="s">
        <v>94</v>
      </c>
      <c r="M814" s="179">
        <v>0</v>
      </c>
      <c r="N814" s="177"/>
      <c r="O814" s="177">
        <v>41</v>
      </c>
      <c r="P814" s="180">
        <v>-56</v>
      </c>
    </row>
    <row r="815" spans="1:16" ht="19.5" customHeight="1">
      <c r="A815" s="172" t="s">
        <v>948</v>
      </c>
      <c r="B815" s="176">
        <v>46030</v>
      </c>
      <c r="C815" s="172" t="s">
        <v>81</v>
      </c>
      <c r="D815" s="172" t="s">
        <v>95</v>
      </c>
      <c r="E815" s="172" t="s">
        <v>53</v>
      </c>
      <c r="F815" s="172" t="s">
        <v>120</v>
      </c>
      <c r="G815" s="172" t="s">
        <v>84</v>
      </c>
      <c r="H815" s="177">
        <v>1</v>
      </c>
      <c r="I815" s="178">
        <v>0</v>
      </c>
      <c r="J815" s="176">
        <v>46020</v>
      </c>
      <c r="K815" s="172" t="s">
        <v>93</v>
      </c>
      <c r="L815" s="172" t="s">
        <v>94</v>
      </c>
      <c r="M815" s="179">
        <v>0</v>
      </c>
      <c r="N815" s="177"/>
      <c r="O815" s="177"/>
      <c r="P815" s="180">
        <v>-10.01</v>
      </c>
    </row>
    <row r="816" spans="1:16" ht="19.5" customHeight="1">
      <c r="A816" s="172" t="s">
        <v>948</v>
      </c>
      <c r="B816" s="176">
        <v>46030</v>
      </c>
      <c r="C816" s="172" t="s">
        <v>92</v>
      </c>
      <c r="D816" s="172" t="s">
        <v>96</v>
      </c>
      <c r="E816" s="172" t="s">
        <v>53</v>
      </c>
      <c r="F816" s="172" t="s">
        <v>120</v>
      </c>
      <c r="G816" s="172" t="s">
        <v>84</v>
      </c>
      <c r="H816" s="177">
        <v>1</v>
      </c>
      <c r="I816" s="178">
        <v>0</v>
      </c>
      <c r="J816" s="176">
        <v>46020</v>
      </c>
      <c r="K816" s="172" t="s">
        <v>93</v>
      </c>
      <c r="L816" s="172" t="s">
        <v>94</v>
      </c>
      <c r="M816" s="179">
        <v>0</v>
      </c>
      <c r="N816" s="177"/>
      <c r="O816" s="177"/>
      <c r="P816" s="180">
        <v>0</v>
      </c>
    </row>
    <row r="817" spans="1:16" ht="19.5" customHeight="1">
      <c r="A817" s="172" t="s">
        <v>948</v>
      </c>
      <c r="B817" s="176">
        <v>46030</v>
      </c>
      <c r="C817" s="172" t="s">
        <v>92</v>
      </c>
      <c r="D817" s="172" t="s">
        <v>97</v>
      </c>
      <c r="E817" s="172" t="s">
        <v>53</v>
      </c>
      <c r="F817" s="172" t="s">
        <v>120</v>
      </c>
      <c r="G817" s="172" t="s">
        <v>84</v>
      </c>
      <c r="H817" s="177">
        <v>1</v>
      </c>
      <c r="I817" s="178">
        <v>0</v>
      </c>
      <c r="J817" s="176">
        <v>46020</v>
      </c>
      <c r="K817" s="172" t="s">
        <v>93</v>
      </c>
      <c r="L817" s="172" t="s">
        <v>94</v>
      </c>
      <c r="M817" s="179">
        <v>0</v>
      </c>
      <c r="N817" s="177"/>
      <c r="O817" s="177"/>
      <c r="P817" s="180">
        <v>-56</v>
      </c>
    </row>
    <row r="818" spans="1:16" ht="19.5" customHeight="1">
      <c r="A818" s="172" t="s">
        <v>948</v>
      </c>
      <c r="B818" s="176">
        <v>46030</v>
      </c>
      <c r="C818" s="172" t="s">
        <v>81</v>
      </c>
      <c r="D818" s="172" t="s">
        <v>98</v>
      </c>
      <c r="E818" s="172" t="s">
        <v>53</v>
      </c>
      <c r="F818" s="172" t="s">
        <v>120</v>
      </c>
      <c r="G818" s="172" t="s">
        <v>84</v>
      </c>
      <c r="H818" s="177">
        <v>1</v>
      </c>
      <c r="I818" s="178">
        <v>0</v>
      </c>
      <c r="J818" s="176">
        <v>46020</v>
      </c>
      <c r="K818" s="172" t="s">
        <v>93</v>
      </c>
      <c r="L818" s="172" t="s">
        <v>94</v>
      </c>
      <c r="M818" s="179">
        <v>0</v>
      </c>
      <c r="N818" s="177"/>
      <c r="O818" s="177"/>
      <c r="P818" s="180">
        <v>-15</v>
      </c>
    </row>
    <row r="819" spans="1:16" ht="19.5" customHeight="1">
      <c r="A819" s="172" t="s">
        <v>949</v>
      </c>
      <c r="B819" s="176">
        <v>46030</v>
      </c>
      <c r="C819" s="172" t="s">
        <v>81</v>
      </c>
      <c r="D819" s="172" t="s">
        <v>82</v>
      </c>
      <c r="E819" s="172" t="s">
        <v>53</v>
      </c>
      <c r="F819" s="172" t="s">
        <v>120</v>
      </c>
      <c r="G819" s="172" t="s">
        <v>84</v>
      </c>
      <c r="H819" s="177">
        <v>1</v>
      </c>
      <c r="I819" s="178">
        <v>0</v>
      </c>
      <c r="J819" s="176">
        <v>46030</v>
      </c>
      <c r="K819" s="172" t="s">
        <v>85</v>
      </c>
      <c r="L819" s="172" t="s">
        <v>85</v>
      </c>
      <c r="M819" s="179">
        <v>0</v>
      </c>
      <c r="N819" s="177"/>
      <c r="O819" s="177"/>
      <c r="P819" s="180">
        <v>-12.21</v>
      </c>
    </row>
    <row r="820" spans="1:16" ht="19.5" customHeight="1">
      <c r="A820" s="172" t="s">
        <v>950</v>
      </c>
      <c r="B820" s="176">
        <v>46030</v>
      </c>
      <c r="C820" s="172" t="s">
        <v>81</v>
      </c>
      <c r="D820" s="172" t="s">
        <v>82</v>
      </c>
      <c r="E820" s="172" t="s">
        <v>41</v>
      </c>
      <c r="F820" s="172" t="s">
        <v>83</v>
      </c>
      <c r="G820" s="172" t="s">
        <v>84</v>
      </c>
      <c r="H820" s="177">
        <v>1</v>
      </c>
      <c r="I820" s="178">
        <v>0</v>
      </c>
      <c r="J820" s="176">
        <v>46030</v>
      </c>
      <c r="K820" s="172" t="s">
        <v>85</v>
      </c>
      <c r="L820" s="172" t="s">
        <v>85</v>
      </c>
      <c r="M820" s="179">
        <v>0</v>
      </c>
      <c r="N820" s="177"/>
      <c r="O820" s="177"/>
      <c r="P820" s="180">
        <v>-10.43</v>
      </c>
    </row>
    <row r="821" spans="1:16" ht="19.5" customHeight="1">
      <c r="A821" s="172" t="s">
        <v>951</v>
      </c>
      <c r="B821" s="176">
        <v>46030</v>
      </c>
      <c r="C821" s="172" t="s">
        <v>92</v>
      </c>
      <c r="D821" s="172" t="s">
        <v>24</v>
      </c>
      <c r="E821" s="172" t="s">
        <v>52</v>
      </c>
      <c r="F821" s="172" t="s">
        <v>90</v>
      </c>
      <c r="G821" s="172" t="s">
        <v>84</v>
      </c>
      <c r="H821" s="177">
        <v>1</v>
      </c>
      <c r="I821" s="178">
        <v>1621</v>
      </c>
      <c r="J821" s="176">
        <v>46028</v>
      </c>
      <c r="K821" s="172" t="s">
        <v>93</v>
      </c>
      <c r="L821" s="172" t="s">
        <v>94</v>
      </c>
      <c r="M821" s="179">
        <v>0.43</v>
      </c>
      <c r="N821" s="177"/>
      <c r="O821" s="177">
        <v>44</v>
      </c>
      <c r="P821" s="180">
        <v>-142.34</v>
      </c>
    </row>
    <row r="822" spans="1:16" ht="19.5" customHeight="1">
      <c r="A822" s="172" t="s">
        <v>951</v>
      </c>
      <c r="B822" s="176">
        <v>46030</v>
      </c>
      <c r="C822" s="172" t="s">
        <v>100</v>
      </c>
      <c r="D822" s="172" t="s">
        <v>101</v>
      </c>
      <c r="E822" s="172" t="s">
        <v>52</v>
      </c>
      <c r="F822" s="172" t="s">
        <v>90</v>
      </c>
      <c r="G822" s="172" t="s">
        <v>84</v>
      </c>
      <c r="H822" s="177">
        <v>1</v>
      </c>
      <c r="I822" s="178">
        <v>1621</v>
      </c>
      <c r="J822" s="176">
        <v>46028</v>
      </c>
      <c r="K822" s="172" t="s">
        <v>93</v>
      </c>
      <c r="L822" s="172" t="s">
        <v>94</v>
      </c>
      <c r="M822" s="179">
        <v>0</v>
      </c>
      <c r="N822" s="177"/>
      <c r="O822" s="177"/>
      <c r="P822" s="180">
        <v>556.61</v>
      </c>
    </row>
    <row r="823" spans="1:16" ht="19.5" customHeight="1">
      <c r="A823" s="172" t="s">
        <v>951</v>
      </c>
      <c r="B823" s="176">
        <v>46030</v>
      </c>
      <c r="C823" s="172" t="s">
        <v>100</v>
      </c>
      <c r="D823" s="172" t="s">
        <v>102</v>
      </c>
      <c r="E823" s="172" t="s">
        <v>52</v>
      </c>
      <c r="F823" s="172" t="s">
        <v>90</v>
      </c>
      <c r="G823" s="172" t="s">
        <v>84</v>
      </c>
      <c r="H823" s="177">
        <v>1</v>
      </c>
      <c r="I823" s="178">
        <v>1621</v>
      </c>
      <c r="J823" s="176">
        <v>46028</v>
      </c>
      <c r="K823" s="172" t="s">
        <v>93</v>
      </c>
      <c r="L823" s="172" t="s">
        <v>94</v>
      </c>
      <c r="M823" s="179">
        <v>0</v>
      </c>
      <c r="N823" s="177"/>
      <c r="O823" s="177"/>
      <c r="P823" s="180">
        <v>5.57</v>
      </c>
    </row>
    <row r="824" spans="1:16" ht="19.5" customHeight="1">
      <c r="A824" s="172" t="s">
        <v>951</v>
      </c>
      <c r="B824" s="176">
        <v>46030</v>
      </c>
      <c r="C824" s="172" t="s">
        <v>100</v>
      </c>
      <c r="D824" s="172" t="s">
        <v>103</v>
      </c>
      <c r="E824" s="172" t="s">
        <v>52</v>
      </c>
      <c r="F824" s="172" t="s">
        <v>90</v>
      </c>
      <c r="G824" s="172" t="s">
        <v>84</v>
      </c>
      <c r="H824" s="177">
        <v>1</v>
      </c>
      <c r="I824" s="178">
        <v>1621</v>
      </c>
      <c r="J824" s="176">
        <v>46028</v>
      </c>
      <c r="K824" s="172" t="s">
        <v>93</v>
      </c>
      <c r="L824" s="172" t="s">
        <v>94</v>
      </c>
      <c r="M824" s="179">
        <v>0</v>
      </c>
      <c r="N824" s="177"/>
      <c r="O824" s="177"/>
      <c r="P824" s="180">
        <v>1058.82</v>
      </c>
    </row>
    <row r="825" spans="1:16" ht="19.5" customHeight="1">
      <c r="A825" s="172" t="s">
        <v>951</v>
      </c>
      <c r="B825" s="176">
        <v>46030</v>
      </c>
      <c r="C825" s="172" t="s">
        <v>104</v>
      </c>
      <c r="D825" s="172" t="s">
        <v>105</v>
      </c>
      <c r="E825" s="172" t="s">
        <v>52</v>
      </c>
      <c r="F825" s="172" t="s">
        <v>90</v>
      </c>
      <c r="G825" s="172" t="s">
        <v>84</v>
      </c>
      <c r="H825" s="177">
        <v>1</v>
      </c>
      <c r="I825" s="178">
        <v>1621</v>
      </c>
      <c r="J825" s="176">
        <v>46028</v>
      </c>
      <c r="K825" s="172" t="s">
        <v>93</v>
      </c>
      <c r="L825" s="172" t="s">
        <v>94</v>
      </c>
      <c r="M825" s="179">
        <v>0.43</v>
      </c>
      <c r="N825" s="177"/>
      <c r="O825" s="177"/>
      <c r="P825" s="180">
        <v>-697.03</v>
      </c>
    </row>
    <row r="826" spans="1:16" ht="19.5" customHeight="1">
      <c r="A826" s="172" t="s">
        <v>951</v>
      </c>
      <c r="B826" s="176">
        <v>46030</v>
      </c>
      <c r="C826" s="172" t="s">
        <v>81</v>
      </c>
      <c r="D826" s="172" t="s">
        <v>95</v>
      </c>
      <c r="E826" s="172" t="s">
        <v>52</v>
      </c>
      <c r="F826" s="172" t="s">
        <v>90</v>
      </c>
      <c r="G826" s="172" t="s">
        <v>84</v>
      </c>
      <c r="H826" s="177">
        <v>1</v>
      </c>
      <c r="I826" s="178">
        <v>1621</v>
      </c>
      <c r="J826" s="176">
        <v>46028</v>
      </c>
      <c r="K826" s="172" t="s">
        <v>93</v>
      </c>
      <c r="L826" s="172" t="s">
        <v>94</v>
      </c>
      <c r="M826" s="179">
        <v>0.43</v>
      </c>
      <c r="N826" s="177"/>
      <c r="O826" s="177"/>
      <c r="P826" s="180">
        <v>-9.1</v>
      </c>
    </row>
    <row r="827" spans="1:16" ht="19.5" customHeight="1">
      <c r="A827" s="172" t="s">
        <v>952</v>
      </c>
      <c r="B827" s="176">
        <v>46030</v>
      </c>
      <c r="C827" s="172" t="s">
        <v>92</v>
      </c>
      <c r="D827" s="172" t="s">
        <v>24</v>
      </c>
      <c r="E827" s="172" t="s">
        <v>41</v>
      </c>
      <c r="F827" s="172" t="s">
        <v>83</v>
      </c>
      <c r="G827" s="172" t="s">
        <v>84</v>
      </c>
      <c r="H827" s="177">
        <v>1</v>
      </c>
      <c r="I827" s="178">
        <v>1600</v>
      </c>
      <c r="J827" s="176">
        <v>46029</v>
      </c>
      <c r="K827" s="172" t="s">
        <v>93</v>
      </c>
      <c r="L827" s="172" t="s">
        <v>94</v>
      </c>
      <c r="M827" s="179">
        <v>0.43</v>
      </c>
      <c r="N827" s="177"/>
      <c r="O827" s="177">
        <v>43</v>
      </c>
      <c r="P827" s="180">
        <v>-122.83</v>
      </c>
    </row>
    <row r="828" spans="1:16" ht="19.5" customHeight="1">
      <c r="A828" s="172" t="s">
        <v>952</v>
      </c>
      <c r="B828" s="176">
        <v>46030</v>
      </c>
      <c r="C828" s="172" t="s">
        <v>100</v>
      </c>
      <c r="D828" s="172" t="s">
        <v>101</v>
      </c>
      <c r="E828" s="172" t="s">
        <v>41</v>
      </c>
      <c r="F828" s="172" t="s">
        <v>83</v>
      </c>
      <c r="G828" s="172" t="s">
        <v>84</v>
      </c>
      <c r="H828" s="177">
        <v>1</v>
      </c>
      <c r="I828" s="178">
        <v>1600</v>
      </c>
      <c r="J828" s="176">
        <v>46029</v>
      </c>
      <c r="K828" s="172" t="s">
        <v>93</v>
      </c>
      <c r="L828" s="172" t="s">
        <v>94</v>
      </c>
      <c r="M828" s="179">
        <v>0</v>
      </c>
      <c r="N828" s="177"/>
      <c r="O828" s="177"/>
      <c r="P828" s="180">
        <v>549.52</v>
      </c>
    </row>
    <row r="829" spans="1:16" ht="19.5" customHeight="1">
      <c r="A829" s="172" t="s">
        <v>952</v>
      </c>
      <c r="B829" s="176">
        <v>46030</v>
      </c>
      <c r="C829" s="172" t="s">
        <v>100</v>
      </c>
      <c r="D829" s="172" t="s">
        <v>102</v>
      </c>
      <c r="E829" s="172" t="s">
        <v>41</v>
      </c>
      <c r="F829" s="172" t="s">
        <v>83</v>
      </c>
      <c r="G829" s="172" t="s">
        <v>84</v>
      </c>
      <c r="H829" s="177">
        <v>1</v>
      </c>
      <c r="I829" s="178">
        <v>1600</v>
      </c>
      <c r="J829" s="176">
        <v>46029</v>
      </c>
      <c r="K829" s="172" t="s">
        <v>93</v>
      </c>
      <c r="L829" s="172" t="s">
        <v>94</v>
      </c>
      <c r="M829" s="179">
        <v>0</v>
      </c>
      <c r="N829" s="177"/>
      <c r="O829" s="177"/>
      <c r="P829" s="180">
        <v>5.5</v>
      </c>
    </row>
    <row r="830" spans="1:16" ht="19.5" customHeight="1">
      <c r="A830" s="172" t="s">
        <v>952</v>
      </c>
      <c r="B830" s="176">
        <v>46030</v>
      </c>
      <c r="C830" s="172" t="s">
        <v>100</v>
      </c>
      <c r="D830" s="172" t="s">
        <v>103</v>
      </c>
      <c r="E830" s="172" t="s">
        <v>41</v>
      </c>
      <c r="F830" s="172" t="s">
        <v>83</v>
      </c>
      <c r="G830" s="172" t="s">
        <v>84</v>
      </c>
      <c r="H830" s="177">
        <v>1</v>
      </c>
      <c r="I830" s="178">
        <v>1600</v>
      </c>
      <c r="J830" s="176">
        <v>46029</v>
      </c>
      <c r="K830" s="172" t="s">
        <v>93</v>
      </c>
      <c r="L830" s="172" t="s">
        <v>94</v>
      </c>
      <c r="M830" s="179">
        <v>0</v>
      </c>
      <c r="N830" s="177"/>
      <c r="O830" s="177"/>
      <c r="P830" s="180">
        <v>1044.98</v>
      </c>
    </row>
    <row r="831" spans="1:16" ht="19.5" customHeight="1">
      <c r="A831" s="172" t="s">
        <v>952</v>
      </c>
      <c r="B831" s="176">
        <v>46030</v>
      </c>
      <c r="C831" s="172" t="s">
        <v>104</v>
      </c>
      <c r="D831" s="172" t="s">
        <v>105</v>
      </c>
      <c r="E831" s="172" t="s">
        <v>41</v>
      </c>
      <c r="F831" s="172" t="s">
        <v>83</v>
      </c>
      <c r="G831" s="172" t="s">
        <v>84</v>
      </c>
      <c r="H831" s="177">
        <v>1</v>
      </c>
      <c r="I831" s="178">
        <v>1600</v>
      </c>
      <c r="J831" s="176">
        <v>46029</v>
      </c>
      <c r="K831" s="172" t="s">
        <v>93</v>
      </c>
      <c r="L831" s="172" t="s">
        <v>94</v>
      </c>
      <c r="M831" s="179">
        <v>0.43</v>
      </c>
      <c r="N831" s="177"/>
      <c r="O831" s="177"/>
      <c r="P831" s="180">
        <v>-688</v>
      </c>
    </row>
    <row r="832" spans="1:16" ht="19.5" customHeight="1">
      <c r="A832" s="172" t="s">
        <v>952</v>
      </c>
      <c r="B832" s="176">
        <v>46030</v>
      </c>
      <c r="C832" s="172" t="s">
        <v>81</v>
      </c>
      <c r="D832" s="172" t="s">
        <v>95</v>
      </c>
      <c r="E832" s="172" t="s">
        <v>41</v>
      </c>
      <c r="F832" s="172" t="s">
        <v>83</v>
      </c>
      <c r="G832" s="172" t="s">
        <v>84</v>
      </c>
      <c r="H832" s="177">
        <v>1</v>
      </c>
      <c r="I832" s="178">
        <v>1600</v>
      </c>
      <c r="J832" s="176">
        <v>46029</v>
      </c>
      <c r="K832" s="172" t="s">
        <v>93</v>
      </c>
      <c r="L832" s="172" t="s">
        <v>94</v>
      </c>
      <c r="M832" s="179">
        <v>0.43</v>
      </c>
      <c r="N832" s="177"/>
      <c r="O832" s="177"/>
      <c r="P832" s="180">
        <v>-11.92</v>
      </c>
    </row>
    <row r="833" spans="1:16" ht="19.5" customHeight="1">
      <c r="A833" s="172" t="s">
        <v>953</v>
      </c>
      <c r="B833" s="176">
        <v>46030</v>
      </c>
      <c r="C833" s="172" t="s">
        <v>92</v>
      </c>
      <c r="D833" s="172" t="s">
        <v>24</v>
      </c>
      <c r="E833" s="172" t="s">
        <v>53</v>
      </c>
      <c r="F833" s="172" t="s">
        <v>120</v>
      </c>
      <c r="G833" s="172" t="s">
        <v>84</v>
      </c>
      <c r="H833" s="177">
        <v>1</v>
      </c>
      <c r="I833" s="178">
        <v>0</v>
      </c>
      <c r="J833" s="176">
        <v>46024</v>
      </c>
      <c r="K833" s="172" t="s">
        <v>93</v>
      </c>
      <c r="L833" s="172" t="s">
        <v>94</v>
      </c>
      <c r="M833" s="179">
        <v>0</v>
      </c>
      <c r="N833" s="177"/>
      <c r="O833" s="177">
        <v>42</v>
      </c>
      <c r="P833" s="180">
        <v>-56</v>
      </c>
    </row>
    <row r="834" spans="1:16" ht="19.5" customHeight="1">
      <c r="A834" s="172" t="s">
        <v>953</v>
      </c>
      <c r="B834" s="176">
        <v>46030</v>
      </c>
      <c r="C834" s="172" t="s">
        <v>81</v>
      </c>
      <c r="D834" s="172" t="s">
        <v>95</v>
      </c>
      <c r="E834" s="172" t="s">
        <v>53</v>
      </c>
      <c r="F834" s="172" t="s">
        <v>120</v>
      </c>
      <c r="G834" s="172" t="s">
        <v>84</v>
      </c>
      <c r="H834" s="177">
        <v>1</v>
      </c>
      <c r="I834" s="178">
        <v>0</v>
      </c>
      <c r="J834" s="176">
        <v>46024</v>
      </c>
      <c r="K834" s="172" t="s">
        <v>93</v>
      </c>
      <c r="L834" s="172" t="s">
        <v>94</v>
      </c>
      <c r="M834" s="179">
        <v>0</v>
      </c>
      <c r="N834" s="177"/>
      <c r="O834" s="177"/>
      <c r="P834" s="180">
        <v>-12.38</v>
      </c>
    </row>
    <row r="835" spans="1:16" ht="19.5" customHeight="1">
      <c r="A835" s="172" t="s">
        <v>953</v>
      </c>
      <c r="B835" s="176">
        <v>46030</v>
      </c>
      <c r="C835" s="172" t="s">
        <v>92</v>
      </c>
      <c r="D835" s="172" t="s">
        <v>96</v>
      </c>
      <c r="E835" s="172" t="s">
        <v>53</v>
      </c>
      <c r="F835" s="172" t="s">
        <v>120</v>
      </c>
      <c r="G835" s="172" t="s">
        <v>84</v>
      </c>
      <c r="H835" s="177">
        <v>1</v>
      </c>
      <c r="I835" s="178">
        <v>0</v>
      </c>
      <c r="J835" s="176">
        <v>46024</v>
      </c>
      <c r="K835" s="172" t="s">
        <v>93</v>
      </c>
      <c r="L835" s="172" t="s">
        <v>94</v>
      </c>
      <c r="M835" s="179">
        <v>0</v>
      </c>
      <c r="N835" s="177"/>
      <c r="O835" s="177"/>
      <c r="P835" s="180">
        <v>0</v>
      </c>
    </row>
    <row r="836" spans="1:16" ht="19.5" customHeight="1">
      <c r="A836" s="172" t="s">
        <v>953</v>
      </c>
      <c r="B836" s="176">
        <v>46030</v>
      </c>
      <c r="C836" s="172" t="s">
        <v>92</v>
      </c>
      <c r="D836" s="172" t="s">
        <v>97</v>
      </c>
      <c r="E836" s="172" t="s">
        <v>53</v>
      </c>
      <c r="F836" s="172" t="s">
        <v>120</v>
      </c>
      <c r="G836" s="172" t="s">
        <v>84</v>
      </c>
      <c r="H836" s="177">
        <v>1</v>
      </c>
      <c r="I836" s="178">
        <v>0</v>
      </c>
      <c r="J836" s="176">
        <v>46024</v>
      </c>
      <c r="K836" s="172" t="s">
        <v>93</v>
      </c>
      <c r="L836" s="172" t="s">
        <v>94</v>
      </c>
      <c r="M836" s="179">
        <v>0</v>
      </c>
      <c r="N836" s="177"/>
      <c r="O836" s="177"/>
      <c r="P836" s="180">
        <v>-56</v>
      </c>
    </row>
    <row r="837" spans="1:16" ht="19.5" customHeight="1">
      <c r="A837" s="172" t="s">
        <v>953</v>
      </c>
      <c r="B837" s="176">
        <v>46030</v>
      </c>
      <c r="C837" s="172" t="s">
        <v>81</v>
      </c>
      <c r="D837" s="172" t="s">
        <v>98</v>
      </c>
      <c r="E837" s="172" t="s">
        <v>53</v>
      </c>
      <c r="F837" s="172" t="s">
        <v>120</v>
      </c>
      <c r="G837" s="172" t="s">
        <v>84</v>
      </c>
      <c r="H837" s="177">
        <v>1</v>
      </c>
      <c r="I837" s="178">
        <v>0</v>
      </c>
      <c r="J837" s="176">
        <v>46024</v>
      </c>
      <c r="K837" s="172" t="s">
        <v>93</v>
      </c>
      <c r="L837" s="172" t="s">
        <v>94</v>
      </c>
      <c r="M837" s="179">
        <v>0</v>
      </c>
      <c r="N837" s="177"/>
      <c r="O837" s="177"/>
      <c r="P837" s="180">
        <v>-15</v>
      </c>
    </row>
    <row r="838" spans="1:16" ht="19.5" customHeight="1">
      <c r="A838" s="172" t="s">
        <v>951</v>
      </c>
      <c r="B838" s="176">
        <v>46030</v>
      </c>
      <c r="C838" s="172" t="s">
        <v>81</v>
      </c>
      <c r="D838" s="172" t="s">
        <v>82</v>
      </c>
      <c r="E838" s="172" t="s">
        <v>52</v>
      </c>
      <c r="F838" s="172" t="s">
        <v>90</v>
      </c>
      <c r="G838" s="172" t="s">
        <v>84</v>
      </c>
      <c r="H838" s="177">
        <v>1</v>
      </c>
      <c r="I838" s="178">
        <v>0</v>
      </c>
      <c r="J838" s="176">
        <v>46028</v>
      </c>
      <c r="K838" s="172" t="s">
        <v>85</v>
      </c>
      <c r="L838" s="172" t="s">
        <v>85</v>
      </c>
      <c r="M838" s="179">
        <v>0</v>
      </c>
      <c r="N838" s="177"/>
      <c r="O838" s="177"/>
      <c r="P838" s="180">
        <v>-10.58</v>
      </c>
    </row>
    <row r="839" spans="1:16" ht="19.5" customHeight="1">
      <c r="A839" s="172" t="s">
        <v>954</v>
      </c>
      <c r="B839" s="176">
        <v>46030</v>
      </c>
      <c r="C839" s="172" t="s">
        <v>92</v>
      </c>
      <c r="D839" s="172" t="s">
        <v>24</v>
      </c>
      <c r="E839" s="172" t="s">
        <v>52</v>
      </c>
      <c r="F839" s="172" t="s">
        <v>90</v>
      </c>
      <c r="G839" s="172" t="s">
        <v>84</v>
      </c>
      <c r="H839" s="177">
        <v>1</v>
      </c>
      <c r="I839" s="178">
        <v>1621</v>
      </c>
      <c r="J839" s="176">
        <v>46027</v>
      </c>
      <c r="K839" s="172" t="s">
        <v>93</v>
      </c>
      <c r="L839" s="172" t="s">
        <v>94</v>
      </c>
      <c r="M839" s="179">
        <v>0.43</v>
      </c>
      <c r="N839" s="177"/>
      <c r="O839" s="177">
        <v>45</v>
      </c>
      <c r="P839" s="180">
        <v>-146.44999999999999</v>
      </c>
    </row>
    <row r="840" spans="1:16" ht="19.5" customHeight="1">
      <c r="A840" s="172" t="s">
        <v>954</v>
      </c>
      <c r="B840" s="176">
        <v>46030</v>
      </c>
      <c r="C840" s="172" t="s">
        <v>100</v>
      </c>
      <c r="D840" s="172" t="s">
        <v>101</v>
      </c>
      <c r="E840" s="172" t="s">
        <v>52</v>
      </c>
      <c r="F840" s="172" t="s">
        <v>90</v>
      </c>
      <c r="G840" s="172" t="s">
        <v>84</v>
      </c>
      <c r="H840" s="177">
        <v>1</v>
      </c>
      <c r="I840" s="178">
        <v>1621</v>
      </c>
      <c r="J840" s="176">
        <v>46027</v>
      </c>
      <c r="K840" s="172" t="s">
        <v>93</v>
      </c>
      <c r="L840" s="172" t="s">
        <v>94</v>
      </c>
      <c r="M840" s="179">
        <v>0</v>
      </c>
      <c r="N840" s="177"/>
      <c r="O840" s="177"/>
      <c r="P840" s="180">
        <v>557.14</v>
      </c>
    </row>
    <row r="841" spans="1:16" ht="19.5" customHeight="1">
      <c r="A841" s="172" t="s">
        <v>954</v>
      </c>
      <c r="B841" s="176">
        <v>46030</v>
      </c>
      <c r="C841" s="172" t="s">
        <v>100</v>
      </c>
      <c r="D841" s="172" t="s">
        <v>102</v>
      </c>
      <c r="E841" s="172" t="s">
        <v>52</v>
      </c>
      <c r="F841" s="172" t="s">
        <v>90</v>
      </c>
      <c r="G841" s="172" t="s">
        <v>84</v>
      </c>
      <c r="H841" s="177">
        <v>1</v>
      </c>
      <c r="I841" s="178">
        <v>1621</v>
      </c>
      <c r="J841" s="176">
        <v>46027</v>
      </c>
      <c r="K841" s="172" t="s">
        <v>93</v>
      </c>
      <c r="L841" s="172" t="s">
        <v>94</v>
      </c>
      <c r="M841" s="179">
        <v>0</v>
      </c>
      <c r="N841" s="177"/>
      <c r="O841" s="177"/>
      <c r="P841" s="180">
        <v>5.57</v>
      </c>
    </row>
    <row r="842" spans="1:16" ht="19.5" customHeight="1">
      <c r="A842" s="172" t="s">
        <v>954</v>
      </c>
      <c r="B842" s="176">
        <v>46030</v>
      </c>
      <c r="C842" s="172" t="s">
        <v>100</v>
      </c>
      <c r="D842" s="172" t="s">
        <v>103</v>
      </c>
      <c r="E842" s="172" t="s">
        <v>52</v>
      </c>
      <c r="F842" s="172" t="s">
        <v>90</v>
      </c>
      <c r="G842" s="172" t="s">
        <v>84</v>
      </c>
      <c r="H842" s="177">
        <v>1</v>
      </c>
      <c r="I842" s="178">
        <v>1621</v>
      </c>
      <c r="J842" s="176">
        <v>46027</v>
      </c>
      <c r="K842" s="172" t="s">
        <v>93</v>
      </c>
      <c r="L842" s="172" t="s">
        <v>94</v>
      </c>
      <c r="M842" s="179">
        <v>0</v>
      </c>
      <c r="N842" s="177"/>
      <c r="O842" s="177"/>
      <c r="P842" s="180">
        <v>1058.29</v>
      </c>
    </row>
    <row r="843" spans="1:16" ht="19.5" customHeight="1">
      <c r="A843" s="172" t="s">
        <v>954</v>
      </c>
      <c r="B843" s="176">
        <v>46030</v>
      </c>
      <c r="C843" s="172" t="s">
        <v>104</v>
      </c>
      <c r="D843" s="172" t="s">
        <v>105</v>
      </c>
      <c r="E843" s="172" t="s">
        <v>52</v>
      </c>
      <c r="F843" s="172" t="s">
        <v>90</v>
      </c>
      <c r="G843" s="172" t="s">
        <v>84</v>
      </c>
      <c r="H843" s="177">
        <v>1</v>
      </c>
      <c r="I843" s="178">
        <v>1621</v>
      </c>
      <c r="J843" s="176">
        <v>46027</v>
      </c>
      <c r="K843" s="172" t="s">
        <v>93</v>
      </c>
      <c r="L843" s="172" t="s">
        <v>94</v>
      </c>
      <c r="M843" s="179">
        <v>0.43</v>
      </c>
      <c r="N843" s="177"/>
      <c r="O843" s="177"/>
      <c r="P843" s="180">
        <v>-697.03</v>
      </c>
    </row>
    <row r="844" spans="1:16" ht="19.5" customHeight="1">
      <c r="A844" s="172" t="s">
        <v>954</v>
      </c>
      <c r="B844" s="176">
        <v>46030</v>
      </c>
      <c r="C844" s="172" t="s">
        <v>81</v>
      </c>
      <c r="D844" s="172" t="s">
        <v>95</v>
      </c>
      <c r="E844" s="172" t="s">
        <v>52</v>
      </c>
      <c r="F844" s="172" t="s">
        <v>90</v>
      </c>
      <c r="G844" s="172" t="s">
        <v>84</v>
      </c>
      <c r="H844" s="177">
        <v>1</v>
      </c>
      <c r="I844" s="178">
        <v>1621</v>
      </c>
      <c r="J844" s="176">
        <v>46027</v>
      </c>
      <c r="K844" s="172" t="s">
        <v>93</v>
      </c>
      <c r="L844" s="172" t="s">
        <v>94</v>
      </c>
      <c r="M844" s="179">
        <v>0.43</v>
      </c>
      <c r="N844" s="177"/>
      <c r="O844" s="177"/>
      <c r="P844" s="180">
        <v>-6.14</v>
      </c>
    </row>
    <row r="845" spans="1:16" ht="19.5" customHeight="1">
      <c r="A845" s="172" t="s">
        <v>954</v>
      </c>
      <c r="B845" s="176">
        <v>46030</v>
      </c>
      <c r="C845" s="172" t="s">
        <v>81</v>
      </c>
      <c r="D845" s="172" t="s">
        <v>82</v>
      </c>
      <c r="E845" s="172" t="s">
        <v>52</v>
      </c>
      <c r="F845" s="172" t="s">
        <v>90</v>
      </c>
      <c r="G845" s="172" t="s">
        <v>84</v>
      </c>
      <c r="H845" s="177">
        <v>1</v>
      </c>
      <c r="I845" s="178">
        <v>0</v>
      </c>
      <c r="J845" s="176">
        <v>46027</v>
      </c>
      <c r="K845" s="172" t="s">
        <v>85</v>
      </c>
      <c r="L845" s="172" t="s">
        <v>85</v>
      </c>
      <c r="M845" s="179">
        <v>0</v>
      </c>
      <c r="N845" s="177"/>
      <c r="O845" s="177"/>
      <c r="P845" s="180">
        <v>-10.59</v>
      </c>
    </row>
    <row r="846" spans="1:16" ht="19.5" customHeight="1">
      <c r="A846" s="172" t="s">
        <v>955</v>
      </c>
      <c r="B846" s="176">
        <v>46030</v>
      </c>
      <c r="C846" s="172" t="s">
        <v>92</v>
      </c>
      <c r="D846" s="172" t="s">
        <v>24</v>
      </c>
      <c r="E846" s="172" t="s">
        <v>41</v>
      </c>
      <c r="F846" s="172" t="s">
        <v>83</v>
      </c>
      <c r="G846" s="172" t="s">
        <v>84</v>
      </c>
      <c r="H846" s="177">
        <v>1</v>
      </c>
      <c r="I846" s="178">
        <v>1600</v>
      </c>
      <c r="J846" s="176">
        <v>46029</v>
      </c>
      <c r="K846" s="172" t="s">
        <v>93</v>
      </c>
      <c r="L846" s="172" t="s">
        <v>94</v>
      </c>
      <c r="M846" s="179">
        <v>0.43</v>
      </c>
      <c r="N846" s="177"/>
      <c r="O846" s="177">
        <v>43</v>
      </c>
      <c r="P846" s="180">
        <v>-121.6</v>
      </c>
    </row>
    <row r="847" spans="1:16" ht="19.5" customHeight="1">
      <c r="A847" s="172" t="s">
        <v>955</v>
      </c>
      <c r="B847" s="176">
        <v>46030</v>
      </c>
      <c r="C847" s="172" t="s">
        <v>100</v>
      </c>
      <c r="D847" s="172" t="s">
        <v>101</v>
      </c>
      <c r="E847" s="172" t="s">
        <v>41</v>
      </c>
      <c r="F847" s="172" t="s">
        <v>83</v>
      </c>
      <c r="G847" s="172" t="s">
        <v>84</v>
      </c>
      <c r="H847" s="177">
        <v>1</v>
      </c>
      <c r="I847" s="178">
        <v>1600</v>
      </c>
      <c r="J847" s="176">
        <v>46029</v>
      </c>
      <c r="K847" s="172" t="s">
        <v>93</v>
      </c>
      <c r="L847" s="172" t="s">
        <v>94</v>
      </c>
      <c r="M847" s="179">
        <v>0</v>
      </c>
      <c r="N847" s="177"/>
      <c r="O847" s="177"/>
      <c r="P847" s="180">
        <v>549.52</v>
      </c>
    </row>
    <row r="848" spans="1:16" ht="19.5" customHeight="1">
      <c r="A848" s="172" t="s">
        <v>955</v>
      </c>
      <c r="B848" s="176">
        <v>46030</v>
      </c>
      <c r="C848" s="172" t="s">
        <v>100</v>
      </c>
      <c r="D848" s="172" t="s">
        <v>102</v>
      </c>
      <c r="E848" s="172" t="s">
        <v>41</v>
      </c>
      <c r="F848" s="172" t="s">
        <v>83</v>
      </c>
      <c r="G848" s="172" t="s">
        <v>84</v>
      </c>
      <c r="H848" s="177">
        <v>1</v>
      </c>
      <c r="I848" s="178">
        <v>1600</v>
      </c>
      <c r="J848" s="176">
        <v>46029</v>
      </c>
      <c r="K848" s="172" t="s">
        <v>93</v>
      </c>
      <c r="L848" s="172" t="s">
        <v>94</v>
      </c>
      <c r="M848" s="179">
        <v>0</v>
      </c>
      <c r="N848" s="177"/>
      <c r="O848" s="177"/>
      <c r="P848" s="180">
        <v>5.5</v>
      </c>
    </row>
    <row r="849" spans="1:16" ht="19.5" customHeight="1">
      <c r="A849" s="172" t="s">
        <v>955</v>
      </c>
      <c r="B849" s="176">
        <v>46030</v>
      </c>
      <c r="C849" s="172" t="s">
        <v>100</v>
      </c>
      <c r="D849" s="172" t="s">
        <v>103</v>
      </c>
      <c r="E849" s="172" t="s">
        <v>41</v>
      </c>
      <c r="F849" s="172" t="s">
        <v>83</v>
      </c>
      <c r="G849" s="172" t="s">
        <v>84</v>
      </c>
      <c r="H849" s="177">
        <v>1</v>
      </c>
      <c r="I849" s="178">
        <v>1600</v>
      </c>
      <c r="J849" s="176">
        <v>46029</v>
      </c>
      <c r="K849" s="172" t="s">
        <v>93</v>
      </c>
      <c r="L849" s="172" t="s">
        <v>94</v>
      </c>
      <c r="M849" s="179">
        <v>0</v>
      </c>
      <c r="N849" s="177"/>
      <c r="O849" s="177"/>
      <c r="P849" s="180">
        <v>1044.98</v>
      </c>
    </row>
    <row r="850" spans="1:16" ht="19.5" customHeight="1">
      <c r="A850" s="172" t="s">
        <v>955</v>
      </c>
      <c r="B850" s="176">
        <v>46030</v>
      </c>
      <c r="C850" s="172" t="s">
        <v>104</v>
      </c>
      <c r="D850" s="172" t="s">
        <v>105</v>
      </c>
      <c r="E850" s="172" t="s">
        <v>41</v>
      </c>
      <c r="F850" s="172" t="s">
        <v>83</v>
      </c>
      <c r="G850" s="172" t="s">
        <v>84</v>
      </c>
      <c r="H850" s="177">
        <v>1</v>
      </c>
      <c r="I850" s="178">
        <v>1600</v>
      </c>
      <c r="J850" s="176">
        <v>46029</v>
      </c>
      <c r="K850" s="172" t="s">
        <v>93</v>
      </c>
      <c r="L850" s="172" t="s">
        <v>94</v>
      </c>
      <c r="M850" s="179">
        <v>0.43</v>
      </c>
      <c r="N850" s="177"/>
      <c r="O850" s="177"/>
      <c r="P850" s="180">
        <v>-688</v>
      </c>
    </row>
    <row r="851" spans="1:16" ht="19.5" customHeight="1">
      <c r="A851" s="172" t="s">
        <v>955</v>
      </c>
      <c r="B851" s="176">
        <v>46030</v>
      </c>
      <c r="C851" s="172" t="s">
        <v>81</v>
      </c>
      <c r="D851" s="172" t="s">
        <v>95</v>
      </c>
      <c r="E851" s="172" t="s">
        <v>41</v>
      </c>
      <c r="F851" s="172" t="s">
        <v>83</v>
      </c>
      <c r="G851" s="172" t="s">
        <v>84</v>
      </c>
      <c r="H851" s="177">
        <v>1</v>
      </c>
      <c r="I851" s="178">
        <v>1600</v>
      </c>
      <c r="J851" s="176">
        <v>46029</v>
      </c>
      <c r="K851" s="172" t="s">
        <v>93</v>
      </c>
      <c r="L851" s="172" t="s">
        <v>94</v>
      </c>
      <c r="M851" s="179">
        <v>0.43</v>
      </c>
      <c r="N851" s="177"/>
      <c r="O851" s="177"/>
      <c r="P851" s="180">
        <v>-14.07</v>
      </c>
    </row>
    <row r="852" spans="1:16" ht="19.5" customHeight="1">
      <c r="A852" s="172" t="s">
        <v>956</v>
      </c>
      <c r="B852" s="176">
        <v>46030</v>
      </c>
      <c r="C852" s="172" t="s">
        <v>92</v>
      </c>
      <c r="D852" s="172" t="s">
        <v>24</v>
      </c>
      <c r="E852" s="172" t="s">
        <v>53</v>
      </c>
      <c r="F852" s="172" t="s">
        <v>120</v>
      </c>
      <c r="G852" s="172" t="s">
        <v>84</v>
      </c>
      <c r="H852" s="177">
        <v>1</v>
      </c>
      <c r="I852" s="178">
        <v>0</v>
      </c>
      <c r="J852" s="176">
        <v>46009</v>
      </c>
      <c r="K852" s="172" t="s">
        <v>93</v>
      </c>
      <c r="L852" s="172" t="s">
        <v>94</v>
      </c>
      <c r="M852" s="179">
        <v>0</v>
      </c>
      <c r="N852" s="177"/>
      <c r="O852" s="177">
        <v>43</v>
      </c>
      <c r="P852" s="180">
        <v>-56</v>
      </c>
    </row>
    <row r="853" spans="1:16" ht="19.5" customHeight="1">
      <c r="A853" s="172" t="s">
        <v>956</v>
      </c>
      <c r="B853" s="176">
        <v>46030</v>
      </c>
      <c r="C853" s="172" t="s">
        <v>81</v>
      </c>
      <c r="D853" s="172" t="s">
        <v>95</v>
      </c>
      <c r="E853" s="172" t="s">
        <v>53</v>
      </c>
      <c r="F853" s="172" t="s">
        <v>120</v>
      </c>
      <c r="G853" s="172" t="s">
        <v>84</v>
      </c>
      <c r="H853" s="177">
        <v>1</v>
      </c>
      <c r="I853" s="178">
        <v>0</v>
      </c>
      <c r="J853" s="176">
        <v>46009</v>
      </c>
      <c r="K853" s="172" t="s">
        <v>93</v>
      </c>
      <c r="L853" s="172" t="s">
        <v>94</v>
      </c>
      <c r="M853" s="179">
        <v>0</v>
      </c>
      <c r="N853" s="177"/>
      <c r="O853" s="177"/>
      <c r="P853" s="180">
        <v>-8.49</v>
      </c>
    </row>
    <row r="854" spans="1:16" ht="19.5" customHeight="1">
      <c r="A854" s="172" t="s">
        <v>956</v>
      </c>
      <c r="B854" s="176">
        <v>46030</v>
      </c>
      <c r="C854" s="172" t="s">
        <v>92</v>
      </c>
      <c r="D854" s="172" t="s">
        <v>96</v>
      </c>
      <c r="E854" s="172" t="s">
        <v>53</v>
      </c>
      <c r="F854" s="172" t="s">
        <v>120</v>
      </c>
      <c r="G854" s="172" t="s">
        <v>84</v>
      </c>
      <c r="H854" s="177">
        <v>1</v>
      </c>
      <c r="I854" s="178">
        <v>0</v>
      </c>
      <c r="J854" s="176">
        <v>46009</v>
      </c>
      <c r="K854" s="172" t="s">
        <v>93</v>
      </c>
      <c r="L854" s="172" t="s">
        <v>94</v>
      </c>
      <c r="M854" s="179">
        <v>0</v>
      </c>
      <c r="N854" s="177"/>
      <c r="O854" s="177"/>
      <c r="P854" s="180">
        <v>0</v>
      </c>
    </row>
    <row r="855" spans="1:16" ht="19.5" customHeight="1">
      <c r="A855" s="172" t="s">
        <v>956</v>
      </c>
      <c r="B855" s="176">
        <v>46030</v>
      </c>
      <c r="C855" s="172" t="s">
        <v>92</v>
      </c>
      <c r="D855" s="172" t="s">
        <v>97</v>
      </c>
      <c r="E855" s="172" t="s">
        <v>53</v>
      </c>
      <c r="F855" s="172" t="s">
        <v>120</v>
      </c>
      <c r="G855" s="172" t="s">
        <v>84</v>
      </c>
      <c r="H855" s="177">
        <v>1</v>
      </c>
      <c r="I855" s="178">
        <v>0</v>
      </c>
      <c r="J855" s="176">
        <v>46009</v>
      </c>
      <c r="K855" s="172" t="s">
        <v>93</v>
      </c>
      <c r="L855" s="172" t="s">
        <v>94</v>
      </c>
      <c r="M855" s="179">
        <v>0</v>
      </c>
      <c r="N855" s="177"/>
      <c r="O855" s="177"/>
      <c r="P855" s="180">
        <v>-56</v>
      </c>
    </row>
    <row r="856" spans="1:16" ht="19.5" customHeight="1">
      <c r="A856" s="172" t="s">
        <v>956</v>
      </c>
      <c r="B856" s="176">
        <v>46030</v>
      </c>
      <c r="C856" s="172" t="s">
        <v>81</v>
      </c>
      <c r="D856" s="172" t="s">
        <v>98</v>
      </c>
      <c r="E856" s="172" t="s">
        <v>53</v>
      </c>
      <c r="F856" s="172" t="s">
        <v>120</v>
      </c>
      <c r="G856" s="172" t="s">
        <v>84</v>
      </c>
      <c r="H856" s="177">
        <v>1</v>
      </c>
      <c r="I856" s="178">
        <v>0</v>
      </c>
      <c r="J856" s="176">
        <v>46009</v>
      </c>
      <c r="K856" s="172" t="s">
        <v>93</v>
      </c>
      <c r="L856" s="172" t="s">
        <v>94</v>
      </c>
      <c r="M856" s="179">
        <v>0</v>
      </c>
      <c r="N856" s="177"/>
      <c r="O856" s="177"/>
      <c r="P856" s="180">
        <v>-15</v>
      </c>
    </row>
    <row r="857" spans="1:16" ht="19.5" customHeight="1">
      <c r="A857" s="172" t="s">
        <v>955</v>
      </c>
      <c r="B857" s="176">
        <v>46030</v>
      </c>
      <c r="C857" s="172" t="s">
        <v>81</v>
      </c>
      <c r="D857" s="172" t="s">
        <v>82</v>
      </c>
      <c r="E857" s="172" t="s">
        <v>41</v>
      </c>
      <c r="F857" s="172" t="s">
        <v>83</v>
      </c>
      <c r="G857" s="172" t="s">
        <v>84</v>
      </c>
      <c r="H857" s="177">
        <v>1</v>
      </c>
      <c r="I857" s="178">
        <v>0</v>
      </c>
      <c r="J857" s="176">
        <v>46029</v>
      </c>
      <c r="K857" s="172" t="s">
        <v>85</v>
      </c>
      <c r="L857" s="172" t="s">
        <v>85</v>
      </c>
      <c r="M857" s="179">
        <v>0</v>
      </c>
      <c r="N857" s="177"/>
      <c r="O857" s="177"/>
      <c r="P857" s="180">
        <v>-10.44</v>
      </c>
    </row>
    <row r="858" spans="1:16" ht="19.5" customHeight="1">
      <c r="A858" s="172" t="s">
        <v>957</v>
      </c>
      <c r="B858" s="176">
        <v>46030</v>
      </c>
      <c r="C858" s="172" t="s">
        <v>81</v>
      </c>
      <c r="D858" s="172" t="s">
        <v>82</v>
      </c>
      <c r="E858" s="172" t="s">
        <v>53</v>
      </c>
      <c r="F858" s="172" t="s">
        <v>120</v>
      </c>
      <c r="G858" s="172" t="s">
        <v>84</v>
      </c>
      <c r="H858" s="177">
        <v>1</v>
      </c>
      <c r="I858" s="178">
        <v>0</v>
      </c>
      <c r="J858" s="176">
        <v>46030</v>
      </c>
      <c r="K858" s="172" t="s">
        <v>85</v>
      </c>
      <c r="L858" s="172" t="s">
        <v>85</v>
      </c>
      <c r="M858" s="179">
        <v>0</v>
      </c>
      <c r="N858" s="177"/>
      <c r="O858" s="177"/>
      <c r="P858" s="180">
        <v>-12.21</v>
      </c>
    </row>
    <row r="859" spans="1:16" ht="19.5" customHeight="1">
      <c r="A859" s="172" t="s">
        <v>958</v>
      </c>
      <c r="B859" s="176">
        <v>46030</v>
      </c>
      <c r="C859" s="172" t="s">
        <v>81</v>
      </c>
      <c r="D859" s="172" t="s">
        <v>82</v>
      </c>
      <c r="E859" s="172" t="s">
        <v>41</v>
      </c>
      <c r="F859" s="172" t="s">
        <v>83</v>
      </c>
      <c r="G859" s="172" t="s">
        <v>84</v>
      </c>
      <c r="H859" s="177">
        <v>1</v>
      </c>
      <c r="I859" s="178">
        <v>0</v>
      </c>
      <c r="J859" s="176">
        <v>46030</v>
      </c>
      <c r="K859" s="172" t="s">
        <v>85</v>
      </c>
      <c r="L859" s="172" t="s">
        <v>85</v>
      </c>
      <c r="M859" s="179">
        <v>0</v>
      </c>
      <c r="N859" s="177"/>
      <c r="O859" s="177"/>
      <c r="P859" s="180">
        <v>-10.44</v>
      </c>
    </row>
    <row r="860" spans="1:16" ht="19.5" customHeight="1">
      <c r="A860" s="172" t="s">
        <v>959</v>
      </c>
      <c r="B860" s="176">
        <v>46030</v>
      </c>
      <c r="C860" s="172" t="s">
        <v>81</v>
      </c>
      <c r="D860" s="172" t="s">
        <v>82</v>
      </c>
      <c r="E860" s="172" t="s">
        <v>52</v>
      </c>
      <c r="F860" s="172" t="s">
        <v>90</v>
      </c>
      <c r="G860" s="172" t="s">
        <v>84</v>
      </c>
      <c r="H860" s="177">
        <v>1</v>
      </c>
      <c r="I860" s="178">
        <v>0</v>
      </c>
      <c r="J860" s="176">
        <v>46030</v>
      </c>
      <c r="K860" s="172" t="s">
        <v>85</v>
      </c>
      <c r="L860" s="172" t="s">
        <v>85</v>
      </c>
      <c r="M860" s="179">
        <v>0</v>
      </c>
      <c r="N860" s="177"/>
      <c r="O860" s="177"/>
      <c r="P860" s="180">
        <v>-6.32</v>
      </c>
    </row>
    <row r="861" spans="1:16" ht="19.5" customHeight="1">
      <c r="A861" s="172" t="s">
        <v>960</v>
      </c>
      <c r="B861" s="176">
        <v>46030</v>
      </c>
      <c r="C861" s="172" t="s">
        <v>81</v>
      </c>
      <c r="D861" s="172" t="s">
        <v>82</v>
      </c>
      <c r="E861" s="172" t="s">
        <v>42</v>
      </c>
      <c r="F861" s="172" t="s">
        <v>89</v>
      </c>
      <c r="G861" s="172" t="s">
        <v>84</v>
      </c>
      <c r="H861" s="177">
        <v>1</v>
      </c>
      <c r="I861" s="178">
        <v>0</v>
      </c>
      <c r="J861" s="176">
        <v>46030</v>
      </c>
      <c r="K861" s="172" t="s">
        <v>85</v>
      </c>
      <c r="L861" s="172" t="s">
        <v>85</v>
      </c>
      <c r="M861" s="179">
        <v>0</v>
      </c>
      <c r="N861" s="177"/>
      <c r="O861" s="177"/>
      <c r="P861" s="180">
        <v>-11.96</v>
      </c>
    </row>
    <row r="862" spans="1:16" ht="19.5" customHeight="1">
      <c r="A862" s="172" t="s">
        <v>142</v>
      </c>
      <c r="B862" s="176">
        <v>46030</v>
      </c>
      <c r="C862" s="172" t="s">
        <v>109</v>
      </c>
      <c r="D862" s="172" t="s">
        <v>143</v>
      </c>
      <c r="E862" s="172" t="s">
        <v>85</v>
      </c>
      <c r="F862" s="172" t="s">
        <v>85</v>
      </c>
      <c r="G862" s="172" t="s">
        <v>85</v>
      </c>
      <c r="H862" s="177">
        <v>0</v>
      </c>
      <c r="I862" s="178">
        <v>0</v>
      </c>
      <c r="J862" s="176">
        <v>46030</v>
      </c>
      <c r="K862" s="172" t="s">
        <v>85</v>
      </c>
      <c r="L862" s="172" t="s">
        <v>85</v>
      </c>
      <c r="M862" s="179">
        <v>0</v>
      </c>
      <c r="N862" s="177"/>
      <c r="O862" s="177"/>
      <c r="P862" s="180">
        <v>-3606.8</v>
      </c>
    </row>
    <row r="863" spans="1:16" ht="19.5" customHeight="1">
      <c r="A863" s="172" t="s">
        <v>138</v>
      </c>
      <c r="B863" s="176">
        <v>46030</v>
      </c>
      <c r="C863" s="172" t="s">
        <v>109</v>
      </c>
      <c r="D863" s="172" t="s">
        <v>139</v>
      </c>
      <c r="E863" s="172" t="s">
        <v>85</v>
      </c>
      <c r="F863" s="172" t="s">
        <v>85</v>
      </c>
      <c r="G863" s="172" t="s">
        <v>85</v>
      </c>
      <c r="H863" s="177">
        <v>0</v>
      </c>
      <c r="I863" s="178">
        <v>0</v>
      </c>
      <c r="J863" s="176">
        <v>46030</v>
      </c>
      <c r="K863" s="172" t="s">
        <v>85</v>
      </c>
      <c r="L863" s="172" t="s">
        <v>85</v>
      </c>
      <c r="M863" s="179">
        <v>0</v>
      </c>
      <c r="N863" s="177"/>
      <c r="O863" s="177"/>
      <c r="P863" s="180">
        <v>-1165.69</v>
      </c>
    </row>
    <row r="864" spans="1:16" ht="19.5" customHeight="1">
      <c r="A864" s="172" t="s">
        <v>410</v>
      </c>
      <c r="B864" s="176">
        <v>46030</v>
      </c>
      <c r="C864" s="172" t="s">
        <v>109</v>
      </c>
      <c r="D864" s="172" t="s">
        <v>139</v>
      </c>
      <c r="E864" s="172" t="s">
        <v>85</v>
      </c>
      <c r="F864" s="172" t="s">
        <v>85</v>
      </c>
      <c r="G864" s="172" t="s">
        <v>85</v>
      </c>
      <c r="H864" s="177">
        <v>0</v>
      </c>
      <c r="I864" s="178">
        <v>0</v>
      </c>
      <c r="J864" s="176">
        <v>46030</v>
      </c>
      <c r="K864" s="172" t="s">
        <v>85</v>
      </c>
      <c r="L864" s="172" t="s">
        <v>85</v>
      </c>
      <c r="M864" s="179">
        <v>0</v>
      </c>
      <c r="N864" s="177"/>
      <c r="O864" s="177"/>
      <c r="P864" s="180">
        <v>-1090.05</v>
      </c>
    </row>
    <row r="865" spans="1:16" ht="19.5" customHeight="1">
      <c r="A865" s="172" t="s">
        <v>144</v>
      </c>
      <c r="B865" s="176">
        <v>46030</v>
      </c>
      <c r="C865" s="172" t="s">
        <v>109</v>
      </c>
      <c r="D865" s="172" t="s">
        <v>139</v>
      </c>
      <c r="E865" s="172" t="s">
        <v>85</v>
      </c>
      <c r="F865" s="172" t="s">
        <v>85</v>
      </c>
      <c r="G865" s="172" t="s">
        <v>85</v>
      </c>
      <c r="H865" s="177">
        <v>0</v>
      </c>
      <c r="I865" s="178">
        <v>0</v>
      </c>
      <c r="J865" s="176">
        <v>46030</v>
      </c>
      <c r="K865" s="172" t="s">
        <v>85</v>
      </c>
      <c r="L865" s="172" t="s">
        <v>85</v>
      </c>
      <c r="M865" s="179">
        <v>0</v>
      </c>
      <c r="N865" s="177"/>
      <c r="O865" s="177"/>
      <c r="P865" s="180">
        <v>-1395.74</v>
      </c>
    </row>
    <row r="866" spans="1:16" ht="19.5" customHeight="1">
      <c r="A866" s="172" t="s">
        <v>961</v>
      </c>
      <c r="B866" s="176">
        <v>46031</v>
      </c>
      <c r="C866" s="172" t="s">
        <v>81</v>
      </c>
      <c r="D866" s="172" t="s">
        <v>82</v>
      </c>
      <c r="E866" s="172" t="s">
        <v>42</v>
      </c>
      <c r="F866" s="172" t="s">
        <v>89</v>
      </c>
      <c r="G866" s="172" t="s">
        <v>84</v>
      </c>
      <c r="H866" s="177">
        <v>1</v>
      </c>
      <c r="I866" s="178">
        <v>0</v>
      </c>
      <c r="J866" s="176">
        <v>46031</v>
      </c>
      <c r="K866" s="172" t="s">
        <v>85</v>
      </c>
      <c r="L866" s="172" t="s">
        <v>85</v>
      </c>
      <c r="M866" s="179">
        <v>0</v>
      </c>
      <c r="N866" s="177"/>
      <c r="O866" s="177"/>
      <c r="P866" s="180">
        <v>-10.66</v>
      </c>
    </row>
    <row r="867" spans="1:16" ht="19.5" customHeight="1">
      <c r="A867" s="172" t="s">
        <v>962</v>
      </c>
      <c r="B867" s="176">
        <v>46031</v>
      </c>
      <c r="C867" s="172" t="s">
        <v>92</v>
      </c>
      <c r="D867" s="172" t="s">
        <v>24</v>
      </c>
      <c r="E867" s="172" t="s">
        <v>53</v>
      </c>
      <c r="F867" s="172" t="s">
        <v>120</v>
      </c>
      <c r="G867" s="172" t="s">
        <v>84</v>
      </c>
      <c r="H867" s="177">
        <v>1</v>
      </c>
      <c r="I867" s="178">
        <v>0</v>
      </c>
      <c r="J867" s="176">
        <v>46020</v>
      </c>
      <c r="K867" s="172" t="s">
        <v>93</v>
      </c>
      <c r="L867" s="172" t="s">
        <v>94</v>
      </c>
      <c r="M867" s="179">
        <v>0</v>
      </c>
      <c r="N867" s="177"/>
      <c r="O867" s="177">
        <v>41</v>
      </c>
      <c r="P867" s="180">
        <v>-56</v>
      </c>
    </row>
    <row r="868" spans="1:16" ht="19.5" customHeight="1">
      <c r="A868" s="172" t="s">
        <v>962</v>
      </c>
      <c r="B868" s="176">
        <v>46031</v>
      </c>
      <c r="C868" s="172" t="s">
        <v>81</v>
      </c>
      <c r="D868" s="172" t="s">
        <v>95</v>
      </c>
      <c r="E868" s="172" t="s">
        <v>53</v>
      </c>
      <c r="F868" s="172" t="s">
        <v>120</v>
      </c>
      <c r="G868" s="172" t="s">
        <v>84</v>
      </c>
      <c r="H868" s="177">
        <v>1</v>
      </c>
      <c r="I868" s="178">
        <v>0</v>
      </c>
      <c r="J868" s="176">
        <v>46020</v>
      </c>
      <c r="K868" s="172" t="s">
        <v>93</v>
      </c>
      <c r="L868" s="172" t="s">
        <v>94</v>
      </c>
      <c r="M868" s="179">
        <v>0</v>
      </c>
      <c r="N868" s="177"/>
      <c r="O868" s="177"/>
      <c r="P868" s="180">
        <v>-12.49</v>
      </c>
    </row>
    <row r="869" spans="1:16" ht="19.5" customHeight="1">
      <c r="A869" s="172" t="s">
        <v>962</v>
      </c>
      <c r="B869" s="176">
        <v>46031</v>
      </c>
      <c r="C869" s="172" t="s">
        <v>92</v>
      </c>
      <c r="D869" s="172" t="s">
        <v>96</v>
      </c>
      <c r="E869" s="172" t="s">
        <v>53</v>
      </c>
      <c r="F869" s="172" t="s">
        <v>120</v>
      </c>
      <c r="G869" s="172" t="s">
        <v>84</v>
      </c>
      <c r="H869" s="177">
        <v>1</v>
      </c>
      <c r="I869" s="178">
        <v>0</v>
      </c>
      <c r="J869" s="176">
        <v>46020</v>
      </c>
      <c r="K869" s="172" t="s">
        <v>93</v>
      </c>
      <c r="L869" s="172" t="s">
        <v>94</v>
      </c>
      <c r="M869" s="179">
        <v>0</v>
      </c>
      <c r="N869" s="177"/>
      <c r="O869" s="177"/>
      <c r="P869" s="180">
        <v>0</v>
      </c>
    </row>
    <row r="870" spans="1:16" ht="19.5" customHeight="1">
      <c r="A870" s="172" t="s">
        <v>962</v>
      </c>
      <c r="B870" s="176">
        <v>46031</v>
      </c>
      <c r="C870" s="172" t="s">
        <v>92</v>
      </c>
      <c r="D870" s="172" t="s">
        <v>97</v>
      </c>
      <c r="E870" s="172" t="s">
        <v>53</v>
      </c>
      <c r="F870" s="172" t="s">
        <v>120</v>
      </c>
      <c r="G870" s="172" t="s">
        <v>84</v>
      </c>
      <c r="H870" s="177">
        <v>1</v>
      </c>
      <c r="I870" s="178">
        <v>0</v>
      </c>
      <c r="J870" s="176">
        <v>46020</v>
      </c>
      <c r="K870" s="172" t="s">
        <v>93</v>
      </c>
      <c r="L870" s="172" t="s">
        <v>94</v>
      </c>
      <c r="M870" s="179">
        <v>0</v>
      </c>
      <c r="N870" s="177"/>
      <c r="O870" s="177"/>
      <c r="P870" s="180">
        <v>-56</v>
      </c>
    </row>
    <row r="871" spans="1:16" ht="19.5" customHeight="1">
      <c r="A871" s="172" t="s">
        <v>962</v>
      </c>
      <c r="B871" s="176">
        <v>46031</v>
      </c>
      <c r="C871" s="172" t="s">
        <v>81</v>
      </c>
      <c r="D871" s="172" t="s">
        <v>98</v>
      </c>
      <c r="E871" s="172" t="s">
        <v>53</v>
      </c>
      <c r="F871" s="172" t="s">
        <v>120</v>
      </c>
      <c r="G871" s="172" t="s">
        <v>84</v>
      </c>
      <c r="H871" s="177">
        <v>1</v>
      </c>
      <c r="I871" s="178">
        <v>0</v>
      </c>
      <c r="J871" s="176">
        <v>46020</v>
      </c>
      <c r="K871" s="172" t="s">
        <v>93</v>
      </c>
      <c r="L871" s="172" t="s">
        <v>94</v>
      </c>
      <c r="M871" s="179">
        <v>0</v>
      </c>
      <c r="N871" s="177"/>
      <c r="O871" s="177"/>
      <c r="P871" s="180">
        <v>-15</v>
      </c>
    </row>
    <row r="872" spans="1:16" ht="19.5" customHeight="1">
      <c r="A872" s="172" t="s">
        <v>963</v>
      </c>
      <c r="B872" s="176">
        <v>46031</v>
      </c>
      <c r="C872" s="172" t="s">
        <v>92</v>
      </c>
      <c r="D872" s="172" t="s">
        <v>24</v>
      </c>
      <c r="E872" s="172" t="s">
        <v>41</v>
      </c>
      <c r="F872" s="172" t="s">
        <v>83</v>
      </c>
      <c r="G872" s="172" t="s">
        <v>84</v>
      </c>
      <c r="H872" s="177">
        <v>1</v>
      </c>
      <c r="I872" s="178">
        <v>1600</v>
      </c>
      <c r="J872" s="176">
        <v>46023</v>
      </c>
      <c r="K872" s="172" t="s">
        <v>93</v>
      </c>
      <c r="L872" s="172" t="s">
        <v>94</v>
      </c>
      <c r="M872" s="179">
        <v>0.43</v>
      </c>
      <c r="N872" s="177"/>
      <c r="O872" s="177">
        <v>43</v>
      </c>
      <c r="P872" s="180">
        <v>-122.83</v>
      </c>
    </row>
    <row r="873" spans="1:16" ht="19.5" customHeight="1">
      <c r="A873" s="172" t="s">
        <v>963</v>
      </c>
      <c r="B873" s="176">
        <v>46031</v>
      </c>
      <c r="C873" s="172" t="s">
        <v>100</v>
      </c>
      <c r="D873" s="172" t="s">
        <v>101</v>
      </c>
      <c r="E873" s="172" t="s">
        <v>41</v>
      </c>
      <c r="F873" s="172" t="s">
        <v>83</v>
      </c>
      <c r="G873" s="172" t="s">
        <v>84</v>
      </c>
      <c r="H873" s="177">
        <v>1</v>
      </c>
      <c r="I873" s="178">
        <v>1600</v>
      </c>
      <c r="J873" s="176">
        <v>46023</v>
      </c>
      <c r="K873" s="172" t="s">
        <v>93</v>
      </c>
      <c r="L873" s="172" t="s">
        <v>94</v>
      </c>
      <c r="M873" s="179">
        <v>0</v>
      </c>
      <c r="N873" s="177"/>
      <c r="O873" s="177"/>
      <c r="P873" s="180">
        <v>549.52</v>
      </c>
    </row>
    <row r="874" spans="1:16" ht="19.5" customHeight="1">
      <c r="A874" s="172" t="s">
        <v>963</v>
      </c>
      <c r="B874" s="176">
        <v>46031</v>
      </c>
      <c r="C874" s="172" t="s">
        <v>100</v>
      </c>
      <c r="D874" s="172" t="s">
        <v>102</v>
      </c>
      <c r="E874" s="172" t="s">
        <v>41</v>
      </c>
      <c r="F874" s="172" t="s">
        <v>83</v>
      </c>
      <c r="G874" s="172" t="s">
        <v>84</v>
      </c>
      <c r="H874" s="177">
        <v>1</v>
      </c>
      <c r="I874" s="178">
        <v>1600</v>
      </c>
      <c r="J874" s="176">
        <v>46023</v>
      </c>
      <c r="K874" s="172" t="s">
        <v>93</v>
      </c>
      <c r="L874" s="172" t="s">
        <v>94</v>
      </c>
      <c r="M874" s="179">
        <v>0</v>
      </c>
      <c r="N874" s="177"/>
      <c r="O874" s="177"/>
      <c r="P874" s="180">
        <v>5.5</v>
      </c>
    </row>
    <row r="875" spans="1:16" ht="19.5" customHeight="1">
      <c r="A875" s="172" t="s">
        <v>963</v>
      </c>
      <c r="B875" s="176">
        <v>46031</v>
      </c>
      <c r="C875" s="172" t="s">
        <v>100</v>
      </c>
      <c r="D875" s="172" t="s">
        <v>103</v>
      </c>
      <c r="E875" s="172" t="s">
        <v>41</v>
      </c>
      <c r="F875" s="172" t="s">
        <v>83</v>
      </c>
      <c r="G875" s="172" t="s">
        <v>84</v>
      </c>
      <c r="H875" s="177">
        <v>1</v>
      </c>
      <c r="I875" s="178">
        <v>1600</v>
      </c>
      <c r="J875" s="176">
        <v>46023</v>
      </c>
      <c r="K875" s="172" t="s">
        <v>93</v>
      </c>
      <c r="L875" s="172" t="s">
        <v>94</v>
      </c>
      <c r="M875" s="179">
        <v>0</v>
      </c>
      <c r="N875" s="177"/>
      <c r="O875" s="177"/>
      <c r="P875" s="180">
        <v>1044.98</v>
      </c>
    </row>
    <row r="876" spans="1:16" ht="19.5" customHeight="1">
      <c r="A876" s="172" t="s">
        <v>963</v>
      </c>
      <c r="B876" s="176">
        <v>46031</v>
      </c>
      <c r="C876" s="172" t="s">
        <v>104</v>
      </c>
      <c r="D876" s="172" t="s">
        <v>105</v>
      </c>
      <c r="E876" s="172" t="s">
        <v>41</v>
      </c>
      <c r="F876" s="172" t="s">
        <v>83</v>
      </c>
      <c r="G876" s="172" t="s">
        <v>84</v>
      </c>
      <c r="H876" s="177">
        <v>1</v>
      </c>
      <c r="I876" s="178">
        <v>1600</v>
      </c>
      <c r="J876" s="176">
        <v>46023</v>
      </c>
      <c r="K876" s="172" t="s">
        <v>93</v>
      </c>
      <c r="L876" s="172" t="s">
        <v>94</v>
      </c>
      <c r="M876" s="179">
        <v>0.43</v>
      </c>
      <c r="N876" s="177"/>
      <c r="O876" s="177"/>
      <c r="P876" s="180">
        <v>-688</v>
      </c>
    </row>
    <row r="877" spans="1:16" ht="19.5" customHeight="1">
      <c r="A877" s="172" t="s">
        <v>964</v>
      </c>
      <c r="B877" s="176">
        <v>46031</v>
      </c>
      <c r="C877" s="172" t="s">
        <v>92</v>
      </c>
      <c r="D877" s="172" t="s">
        <v>24</v>
      </c>
      <c r="E877" s="172" t="s">
        <v>53</v>
      </c>
      <c r="F877" s="172" t="s">
        <v>120</v>
      </c>
      <c r="G877" s="172" t="s">
        <v>84</v>
      </c>
      <c r="H877" s="177">
        <v>1</v>
      </c>
      <c r="I877" s="178">
        <v>0</v>
      </c>
      <c r="J877" s="176">
        <v>46021</v>
      </c>
      <c r="K877" s="172" t="s">
        <v>93</v>
      </c>
      <c r="L877" s="172" t="s">
        <v>94</v>
      </c>
      <c r="M877" s="179">
        <v>0</v>
      </c>
      <c r="N877" s="177"/>
      <c r="O877" s="177">
        <v>40</v>
      </c>
      <c r="P877" s="180">
        <v>-56</v>
      </c>
    </row>
    <row r="878" spans="1:16" ht="19.5" customHeight="1">
      <c r="A878" s="172" t="s">
        <v>964</v>
      </c>
      <c r="B878" s="176">
        <v>46031</v>
      </c>
      <c r="C878" s="172" t="s">
        <v>81</v>
      </c>
      <c r="D878" s="172" t="s">
        <v>95</v>
      </c>
      <c r="E878" s="172" t="s">
        <v>53</v>
      </c>
      <c r="F878" s="172" t="s">
        <v>120</v>
      </c>
      <c r="G878" s="172" t="s">
        <v>84</v>
      </c>
      <c r="H878" s="177">
        <v>1</v>
      </c>
      <c r="I878" s="178">
        <v>0</v>
      </c>
      <c r="J878" s="176">
        <v>46021</v>
      </c>
      <c r="K878" s="172" t="s">
        <v>93</v>
      </c>
      <c r="L878" s="172" t="s">
        <v>94</v>
      </c>
      <c r="M878" s="179">
        <v>0</v>
      </c>
      <c r="N878" s="177"/>
      <c r="O878" s="177"/>
      <c r="P878" s="180">
        <v>-13.86</v>
      </c>
    </row>
    <row r="879" spans="1:16" ht="19.5" customHeight="1">
      <c r="A879" s="172" t="s">
        <v>964</v>
      </c>
      <c r="B879" s="176">
        <v>46031</v>
      </c>
      <c r="C879" s="172" t="s">
        <v>92</v>
      </c>
      <c r="D879" s="172" t="s">
        <v>96</v>
      </c>
      <c r="E879" s="172" t="s">
        <v>53</v>
      </c>
      <c r="F879" s="172" t="s">
        <v>120</v>
      </c>
      <c r="G879" s="172" t="s">
        <v>84</v>
      </c>
      <c r="H879" s="177">
        <v>1</v>
      </c>
      <c r="I879" s="178">
        <v>0</v>
      </c>
      <c r="J879" s="176">
        <v>46021</v>
      </c>
      <c r="K879" s="172" t="s">
        <v>93</v>
      </c>
      <c r="L879" s="172" t="s">
        <v>94</v>
      </c>
      <c r="M879" s="179">
        <v>0</v>
      </c>
      <c r="N879" s="177"/>
      <c r="O879" s="177"/>
      <c r="P879" s="180">
        <v>0</v>
      </c>
    </row>
    <row r="880" spans="1:16" ht="19.5" customHeight="1">
      <c r="A880" s="172" t="s">
        <v>964</v>
      </c>
      <c r="B880" s="176">
        <v>46031</v>
      </c>
      <c r="C880" s="172" t="s">
        <v>92</v>
      </c>
      <c r="D880" s="172" t="s">
        <v>97</v>
      </c>
      <c r="E880" s="172" t="s">
        <v>53</v>
      </c>
      <c r="F880" s="172" t="s">
        <v>120</v>
      </c>
      <c r="G880" s="172" t="s">
        <v>84</v>
      </c>
      <c r="H880" s="177">
        <v>1</v>
      </c>
      <c r="I880" s="178">
        <v>0</v>
      </c>
      <c r="J880" s="176">
        <v>46021</v>
      </c>
      <c r="K880" s="172" t="s">
        <v>93</v>
      </c>
      <c r="L880" s="172" t="s">
        <v>94</v>
      </c>
      <c r="M880" s="179">
        <v>0</v>
      </c>
      <c r="N880" s="177"/>
      <c r="O880" s="177"/>
      <c r="P880" s="180">
        <v>-56</v>
      </c>
    </row>
    <row r="881" spans="1:16" ht="19.5" customHeight="1">
      <c r="A881" s="172" t="s">
        <v>964</v>
      </c>
      <c r="B881" s="176">
        <v>46031</v>
      </c>
      <c r="C881" s="172" t="s">
        <v>81</v>
      </c>
      <c r="D881" s="172" t="s">
        <v>98</v>
      </c>
      <c r="E881" s="172" t="s">
        <v>53</v>
      </c>
      <c r="F881" s="172" t="s">
        <v>120</v>
      </c>
      <c r="G881" s="172" t="s">
        <v>84</v>
      </c>
      <c r="H881" s="177">
        <v>1</v>
      </c>
      <c r="I881" s="178">
        <v>0</v>
      </c>
      <c r="J881" s="176">
        <v>46021</v>
      </c>
      <c r="K881" s="172" t="s">
        <v>93</v>
      </c>
      <c r="L881" s="172" t="s">
        <v>94</v>
      </c>
      <c r="M881" s="179">
        <v>0</v>
      </c>
      <c r="N881" s="177"/>
      <c r="O881" s="177"/>
      <c r="P881" s="180">
        <v>-15</v>
      </c>
    </row>
    <row r="882" spans="1:16" ht="19.5" customHeight="1">
      <c r="A882" s="172" t="s">
        <v>965</v>
      </c>
      <c r="B882" s="176">
        <v>46031</v>
      </c>
      <c r="C882" s="172" t="s">
        <v>81</v>
      </c>
      <c r="D882" s="172" t="s">
        <v>82</v>
      </c>
      <c r="E882" s="172" t="s">
        <v>43</v>
      </c>
      <c r="F882" s="172" t="s">
        <v>125</v>
      </c>
      <c r="G882" s="172" t="s">
        <v>84</v>
      </c>
      <c r="H882" s="177">
        <v>1</v>
      </c>
      <c r="I882" s="178">
        <v>0</v>
      </c>
      <c r="J882" s="176">
        <v>46031</v>
      </c>
      <c r="K882" s="172" t="s">
        <v>85</v>
      </c>
      <c r="L882" s="172" t="s">
        <v>85</v>
      </c>
      <c r="M882" s="179">
        <v>0</v>
      </c>
      <c r="N882" s="177"/>
      <c r="O882" s="177"/>
      <c r="P882" s="180">
        <v>-9.23</v>
      </c>
    </row>
    <row r="883" spans="1:16" ht="19.5" customHeight="1">
      <c r="A883" s="172" t="s">
        <v>966</v>
      </c>
      <c r="B883" s="176">
        <v>46031</v>
      </c>
      <c r="C883" s="172" t="s">
        <v>81</v>
      </c>
      <c r="D883" s="172" t="s">
        <v>82</v>
      </c>
      <c r="E883" s="172" t="s">
        <v>53</v>
      </c>
      <c r="F883" s="172" t="s">
        <v>120</v>
      </c>
      <c r="G883" s="172" t="s">
        <v>84</v>
      </c>
      <c r="H883" s="177">
        <v>1</v>
      </c>
      <c r="I883" s="178">
        <v>0</v>
      </c>
      <c r="J883" s="176">
        <v>46031</v>
      </c>
      <c r="K883" s="172" t="s">
        <v>85</v>
      </c>
      <c r="L883" s="172" t="s">
        <v>85</v>
      </c>
      <c r="M883" s="179">
        <v>0</v>
      </c>
      <c r="N883" s="177"/>
      <c r="O883" s="177"/>
      <c r="P883" s="180">
        <v>-3.84</v>
      </c>
    </row>
    <row r="884" spans="1:16" ht="19.5" customHeight="1">
      <c r="A884" s="172" t="s">
        <v>967</v>
      </c>
      <c r="B884" s="176">
        <v>46031</v>
      </c>
      <c r="C884" s="172" t="s">
        <v>92</v>
      </c>
      <c r="D884" s="172" t="s">
        <v>24</v>
      </c>
      <c r="E884" s="172" t="s">
        <v>41</v>
      </c>
      <c r="F884" s="172" t="s">
        <v>83</v>
      </c>
      <c r="G884" s="172" t="s">
        <v>84</v>
      </c>
      <c r="H884" s="177">
        <v>1</v>
      </c>
      <c r="I884" s="178">
        <v>1600</v>
      </c>
      <c r="J884" s="176">
        <v>46028</v>
      </c>
      <c r="K884" s="172" t="s">
        <v>93</v>
      </c>
      <c r="L884" s="172" t="s">
        <v>94</v>
      </c>
      <c r="M884" s="179">
        <v>0.43</v>
      </c>
      <c r="N884" s="177"/>
      <c r="O884" s="177">
        <v>44</v>
      </c>
      <c r="P884" s="180">
        <v>-125.38</v>
      </c>
    </row>
    <row r="885" spans="1:16" ht="19.5" customHeight="1">
      <c r="A885" s="172" t="s">
        <v>967</v>
      </c>
      <c r="B885" s="176">
        <v>46031</v>
      </c>
      <c r="C885" s="172" t="s">
        <v>100</v>
      </c>
      <c r="D885" s="172" t="s">
        <v>101</v>
      </c>
      <c r="E885" s="172" t="s">
        <v>41</v>
      </c>
      <c r="F885" s="172" t="s">
        <v>83</v>
      </c>
      <c r="G885" s="172" t="s">
        <v>84</v>
      </c>
      <c r="H885" s="177">
        <v>1</v>
      </c>
      <c r="I885" s="178">
        <v>1600</v>
      </c>
      <c r="J885" s="176">
        <v>46028</v>
      </c>
      <c r="K885" s="172" t="s">
        <v>93</v>
      </c>
      <c r="L885" s="172" t="s">
        <v>94</v>
      </c>
      <c r="M885" s="179">
        <v>0</v>
      </c>
      <c r="N885" s="177"/>
      <c r="O885" s="177"/>
      <c r="P885" s="180">
        <v>549.52</v>
      </c>
    </row>
    <row r="886" spans="1:16" ht="19.5" customHeight="1">
      <c r="A886" s="172" t="s">
        <v>967</v>
      </c>
      <c r="B886" s="176">
        <v>46031</v>
      </c>
      <c r="C886" s="172" t="s">
        <v>100</v>
      </c>
      <c r="D886" s="172" t="s">
        <v>102</v>
      </c>
      <c r="E886" s="172" t="s">
        <v>41</v>
      </c>
      <c r="F886" s="172" t="s">
        <v>83</v>
      </c>
      <c r="G886" s="172" t="s">
        <v>84</v>
      </c>
      <c r="H886" s="177">
        <v>1</v>
      </c>
      <c r="I886" s="178">
        <v>1600</v>
      </c>
      <c r="J886" s="176">
        <v>46028</v>
      </c>
      <c r="K886" s="172" t="s">
        <v>93</v>
      </c>
      <c r="L886" s="172" t="s">
        <v>94</v>
      </c>
      <c r="M886" s="179">
        <v>0</v>
      </c>
      <c r="N886" s="177"/>
      <c r="O886" s="177"/>
      <c r="P886" s="180">
        <v>5.5</v>
      </c>
    </row>
    <row r="887" spans="1:16" ht="19.5" customHeight="1">
      <c r="A887" s="172" t="s">
        <v>967</v>
      </c>
      <c r="B887" s="176">
        <v>46031</v>
      </c>
      <c r="C887" s="172" t="s">
        <v>100</v>
      </c>
      <c r="D887" s="172" t="s">
        <v>103</v>
      </c>
      <c r="E887" s="172" t="s">
        <v>41</v>
      </c>
      <c r="F887" s="172" t="s">
        <v>83</v>
      </c>
      <c r="G887" s="172" t="s">
        <v>84</v>
      </c>
      <c r="H887" s="177">
        <v>1</v>
      </c>
      <c r="I887" s="178">
        <v>1600</v>
      </c>
      <c r="J887" s="176">
        <v>46028</v>
      </c>
      <c r="K887" s="172" t="s">
        <v>93</v>
      </c>
      <c r="L887" s="172" t="s">
        <v>94</v>
      </c>
      <c r="M887" s="179">
        <v>0</v>
      </c>
      <c r="N887" s="177"/>
      <c r="O887" s="177"/>
      <c r="P887" s="180">
        <v>1044.98</v>
      </c>
    </row>
    <row r="888" spans="1:16" ht="19.5" customHeight="1">
      <c r="A888" s="172" t="s">
        <v>967</v>
      </c>
      <c r="B888" s="176">
        <v>46031</v>
      </c>
      <c r="C888" s="172" t="s">
        <v>104</v>
      </c>
      <c r="D888" s="172" t="s">
        <v>105</v>
      </c>
      <c r="E888" s="172" t="s">
        <v>41</v>
      </c>
      <c r="F888" s="172" t="s">
        <v>83</v>
      </c>
      <c r="G888" s="172" t="s">
        <v>84</v>
      </c>
      <c r="H888" s="177">
        <v>1</v>
      </c>
      <c r="I888" s="178">
        <v>1600</v>
      </c>
      <c r="J888" s="176">
        <v>46028</v>
      </c>
      <c r="K888" s="172" t="s">
        <v>93</v>
      </c>
      <c r="L888" s="172" t="s">
        <v>94</v>
      </c>
      <c r="M888" s="179">
        <v>0.43</v>
      </c>
      <c r="N888" s="177"/>
      <c r="O888" s="177"/>
      <c r="P888" s="180">
        <v>-688</v>
      </c>
    </row>
    <row r="889" spans="1:16" ht="19.5" customHeight="1">
      <c r="A889" s="172" t="s">
        <v>967</v>
      </c>
      <c r="B889" s="176">
        <v>46031</v>
      </c>
      <c r="C889" s="172" t="s">
        <v>81</v>
      </c>
      <c r="D889" s="172" t="s">
        <v>95</v>
      </c>
      <c r="E889" s="172" t="s">
        <v>41</v>
      </c>
      <c r="F889" s="172" t="s">
        <v>83</v>
      </c>
      <c r="G889" s="172" t="s">
        <v>84</v>
      </c>
      <c r="H889" s="177">
        <v>1</v>
      </c>
      <c r="I889" s="178">
        <v>1600</v>
      </c>
      <c r="J889" s="176">
        <v>46028</v>
      </c>
      <c r="K889" s="172" t="s">
        <v>93</v>
      </c>
      <c r="L889" s="172" t="s">
        <v>94</v>
      </c>
      <c r="M889" s="179">
        <v>0.43</v>
      </c>
      <c r="N889" s="177"/>
      <c r="O889" s="177"/>
      <c r="P889" s="180">
        <v>-8</v>
      </c>
    </row>
    <row r="890" spans="1:16" ht="19.5" customHeight="1">
      <c r="A890" s="172" t="s">
        <v>85</v>
      </c>
      <c r="B890" s="176">
        <v>46031</v>
      </c>
      <c r="C890" s="172" t="s">
        <v>109</v>
      </c>
      <c r="D890" s="172" t="s">
        <v>110</v>
      </c>
      <c r="E890" s="172" t="s">
        <v>85</v>
      </c>
      <c r="F890" s="172" t="s">
        <v>85</v>
      </c>
      <c r="G890" s="172" t="s">
        <v>968</v>
      </c>
      <c r="H890" s="177">
        <v>0</v>
      </c>
      <c r="I890" s="178">
        <v>0</v>
      </c>
      <c r="J890" s="176">
        <v>46031</v>
      </c>
      <c r="K890" s="172" t="s">
        <v>85</v>
      </c>
      <c r="L890" s="172" t="s">
        <v>85</v>
      </c>
      <c r="M890" s="179">
        <v>0</v>
      </c>
      <c r="N890" s="177"/>
      <c r="O890" s="177"/>
      <c r="P890" s="180">
        <v>-150</v>
      </c>
    </row>
    <row r="891" spans="1:16" ht="19.5" customHeight="1">
      <c r="A891" s="172" t="s">
        <v>969</v>
      </c>
      <c r="B891" s="176">
        <v>46031</v>
      </c>
      <c r="C891" s="172" t="s">
        <v>92</v>
      </c>
      <c r="D891" s="172" t="s">
        <v>24</v>
      </c>
      <c r="E891" s="172" t="s">
        <v>43</v>
      </c>
      <c r="F891" s="172" t="s">
        <v>125</v>
      </c>
      <c r="G891" s="172" t="s">
        <v>84</v>
      </c>
      <c r="H891" s="177">
        <v>1</v>
      </c>
      <c r="I891" s="178">
        <v>1202</v>
      </c>
      <c r="J891" s="176">
        <v>46026</v>
      </c>
      <c r="K891" s="172" t="s">
        <v>93</v>
      </c>
      <c r="L891" s="172" t="s">
        <v>94</v>
      </c>
      <c r="M891" s="179">
        <v>0.43</v>
      </c>
      <c r="N891" s="177"/>
      <c r="O891" s="177">
        <v>46</v>
      </c>
      <c r="P891" s="180">
        <v>-120.51</v>
      </c>
    </row>
    <row r="892" spans="1:16" ht="19.5" customHeight="1">
      <c r="A892" s="172" t="s">
        <v>969</v>
      </c>
      <c r="B892" s="176">
        <v>46031</v>
      </c>
      <c r="C892" s="172" t="s">
        <v>100</v>
      </c>
      <c r="D892" s="172" t="s">
        <v>101</v>
      </c>
      <c r="E892" s="172" t="s">
        <v>43</v>
      </c>
      <c r="F892" s="172" t="s">
        <v>125</v>
      </c>
      <c r="G892" s="172" t="s">
        <v>84</v>
      </c>
      <c r="H892" s="177">
        <v>1</v>
      </c>
      <c r="I892" s="178">
        <v>1202</v>
      </c>
      <c r="J892" s="176">
        <v>46026</v>
      </c>
      <c r="K892" s="172" t="s">
        <v>93</v>
      </c>
      <c r="L892" s="172" t="s">
        <v>94</v>
      </c>
      <c r="M892" s="179">
        <v>0</v>
      </c>
      <c r="N892" s="177"/>
      <c r="O892" s="177"/>
      <c r="P892" s="180">
        <v>351</v>
      </c>
    </row>
    <row r="893" spans="1:16" ht="19.5" customHeight="1">
      <c r="A893" s="172" t="s">
        <v>969</v>
      </c>
      <c r="B893" s="176">
        <v>46031</v>
      </c>
      <c r="C893" s="172" t="s">
        <v>100</v>
      </c>
      <c r="D893" s="172" t="s">
        <v>102</v>
      </c>
      <c r="E893" s="172" t="s">
        <v>43</v>
      </c>
      <c r="F893" s="172" t="s">
        <v>125</v>
      </c>
      <c r="G893" s="172" t="s">
        <v>84</v>
      </c>
      <c r="H893" s="177">
        <v>1</v>
      </c>
      <c r="I893" s="178">
        <v>1202</v>
      </c>
      <c r="J893" s="176">
        <v>46026</v>
      </c>
      <c r="K893" s="172" t="s">
        <v>93</v>
      </c>
      <c r="L893" s="172" t="s">
        <v>94</v>
      </c>
      <c r="M893" s="179">
        <v>0</v>
      </c>
      <c r="N893" s="177"/>
      <c r="O893" s="177"/>
      <c r="P893" s="180">
        <v>3.51</v>
      </c>
    </row>
    <row r="894" spans="1:16" ht="19.5" customHeight="1">
      <c r="A894" s="172" t="s">
        <v>969</v>
      </c>
      <c r="B894" s="176">
        <v>46031</v>
      </c>
      <c r="C894" s="172" t="s">
        <v>100</v>
      </c>
      <c r="D894" s="172" t="s">
        <v>103</v>
      </c>
      <c r="E894" s="172" t="s">
        <v>43</v>
      </c>
      <c r="F894" s="172" t="s">
        <v>125</v>
      </c>
      <c r="G894" s="172" t="s">
        <v>84</v>
      </c>
      <c r="H894" s="177">
        <v>1</v>
      </c>
      <c r="I894" s="178">
        <v>1202</v>
      </c>
      <c r="J894" s="176">
        <v>46026</v>
      </c>
      <c r="K894" s="172" t="s">
        <v>93</v>
      </c>
      <c r="L894" s="172" t="s">
        <v>94</v>
      </c>
      <c r="M894" s="179">
        <v>0</v>
      </c>
      <c r="N894" s="177"/>
      <c r="O894" s="177"/>
      <c r="P894" s="180">
        <v>847.49</v>
      </c>
    </row>
    <row r="895" spans="1:16" ht="19.5" customHeight="1">
      <c r="A895" s="172" t="s">
        <v>969</v>
      </c>
      <c r="B895" s="176">
        <v>46031</v>
      </c>
      <c r="C895" s="172" t="s">
        <v>104</v>
      </c>
      <c r="D895" s="172" t="s">
        <v>105</v>
      </c>
      <c r="E895" s="172" t="s">
        <v>43</v>
      </c>
      <c r="F895" s="172" t="s">
        <v>125</v>
      </c>
      <c r="G895" s="172" t="s">
        <v>84</v>
      </c>
      <c r="H895" s="177">
        <v>1</v>
      </c>
      <c r="I895" s="178">
        <v>1202</v>
      </c>
      <c r="J895" s="176">
        <v>46026</v>
      </c>
      <c r="K895" s="172" t="s">
        <v>93</v>
      </c>
      <c r="L895" s="172" t="s">
        <v>94</v>
      </c>
      <c r="M895" s="179">
        <v>0.43</v>
      </c>
      <c r="N895" s="177"/>
      <c r="O895" s="177"/>
      <c r="P895" s="180">
        <v>-516.86</v>
      </c>
    </row>
    <row r="896" spans="1:16" ht="19.5" customHeight="1">
      <c r="A896" s="172" t="s">
        <v>969</v>
      </c>
      <c r="B896" s="176">
        <v>46031</v>
      </c>
      <c r="C896" s="172" t="s">
        <v>81</v>
      </c>
      <c r="D896" s="172" t="s">
        <v>95</v>
      </c>
      <c r="E896" s="172" t="s">
        <v>43</v>
      </c>
      <c r="F896" s="172" t="s">
        <v>125</v>
      </c>
      <c r="G896" s="172" t="s">
        <v>84</v>
      </c>
      <c r="H896" s="177">
        <v>1</v>
      </c>
      <c r="I896" s="178">
        <v>1202</v>
      </c>
      <c r="J896" s="176">
        <v>46026</v>
      </c>
      <c r="K896" s="172" t="s">
        <v>93</v>
      </c>
      <c r="L896" s="172" t="s">
        <v>94</v>
      </c>
      <c r="M896" s="179">
        <v>0.43</v>
      </c>
      <c r="N896" s="177"/>
      <c r="O896" s="177"/>
      <c r="P896" s="180">
        <v>-25</v>
      </c>
    </row>
    <row r="897" spans="1:16" ht="19.5" customHeight="1">
      <c r="A897" s="172" t="s">
        <v>970</v>
      </c>
      <c r="B897" s="176">
        <v>46031</v>
      </c>
      <c r="C897" s="172" t="s">
        <v>92</v>
      </c>
      <c r="D897" s="172" t="s">
        <v>24</v>
      </c>
      <c r="E897" s="172" t="s">
        <v>53</v>
      </c>
      <c r="F897" s="172" t="s">
        <v>120</v>
      </c>
      <c r="G897" s="172" t="s">
        <v>84</v>
      </c>
      <c r="H897" s="177">
        <v>1</v>
      </c>
      <c r="I897" s="178">
        <v>1845</v>
      </c>
      <c r="J897" s="176">
        <v>46025</v>
      </c>
      <c r="K897" s="172" t="s">
        <v>93</v>
      </c>
      <c r="L897" s="172" t="s">
        <v>94</v>
      </c>
      <c r="M897" s="179">
        <v>0.43</v>
      </c>
      <c r="N897" s="177"/>
      <c r="O897" s="177">
        <v>44</v>
      </c>
      <c r="P897" s="180">
        <v>-149.4</v>
      </c>
    </row>
    <row r="898" spans="1:16" ht="19.5" customHeight="1">
      <c r="A898" s="172" t="s">
        <v>970</v>
      </c>
      <c r="B898" s="176">
        <v>46031</v>
      </c>
      <c r="C898" s="172" t="s">
        <v>100</v>
      </c>
      <c r="D898" s="172" t="s">
        <v>101</v>
      </c>
      <c r="E898" s="172" t="s">
        <v>53</v>
      </c>
      <c r="F898" s="172" t="s">
        <v>120</v>
      </c>
      <c r="G898" s="172" t="s">
        <v>84</v>
      </c>
      <c r="H898" s="177">
        <v>1</v>
      </c>
      <c r="I898" s="178">
        <v>1845</v>
      </c>
      <c r="J898" s="176">
        <v>46025</v>
      </c>
      <c r="K898" s="172" t="s">
        <v>93</v>
      </c>
      <c r="L898" s="172" t="s">
        <v>94</v>
      </c>
      <c r="M898" s="179">
        <v>0</v>
      </c>
      <c r="N898" s="177"/>
      <c r="O898" s="177"/>
      <c r="P898" s="180">
        <v>642.86</v>
      </c>
    </row>
    <row r="899" spans="1:16" ht="19.5" customHeight="1">
      <c r="A899" s="172" t="s">
        <v>970</v>
      </c>
      <c r="B899" s="176">
        <v>46031</v>
      </c>
      <c r="C899" s="172" t="s">
        <v>100</v>
      </c>
      <c r="D899" s="172" t="s">
        <v>102</v>
      </c>
      <c r="E899" s="172" t="s">
        <v>53</v>
      </c>
      <c r="F899" s="172" t="s">
        <v>120</v>
      </c>
      <c r="G899" s="172" t="s">
        <v>84</v>
      </c>
      <c r="H899" s="177">
        <v>1</v>
      </c>
      <c r="I899" s="178">
        <v>1845</v>
      </c>
      <c r="J899" s="176">
        <v>46025</v>
      </c>
      <c r="K899" s="172" t="s">
        <v>93</v>
      </c>
      <c r="L899" s="172" t="s">
        <v>94</v>
      </c>
      <c r="M899" s="179">
        <v>0</v>
      </c>
      <c r="N899" s="177"/>
      <c r="O899" s="177"/>
      <c r="P899" s="180">
        <v>6.43</v>
      </c>
    </row>
    <row r="900" spans="1:16" ht="19.5" customHeight="1">
      <c r="A900" s="172" t="s">
        <v>970</v>
      </c>
      <c r="B900" s="176">
        <v>46031</v>
      </c>
      <c r="C900" s="172" t="s">
        <v>100</v>
      </c>
      <c r="D900" s="172" t="s">
        <v>103</v>
      </c>
      <c r="E900" s="172" t="s">
        <v>53</v>
      </c>
      <c r="F900" s="172" t="s">
        <v>120</v>
      </c>
      <c r="G900" s="172" t="s">
        <v>84</v>
      </c>
      <c r="H900" s="177">
        <v>1</v>
      </c>
      <c r="I900" s="178">
        <v>1845</v>
      </c>
      <c r="J900" s="176">
        <v>46025</v>
      </c>
      <c r="K900" s="172" t="s">
        <v>93</v>
      </c>
      <c r="L900" s="172" t="s">
        <v>94</v>
      </c>
      <c r="M900" s="179">
        <v>0</v>
      </c>
      <c r="N900" s="177"/>
      <c r="O900" s="177"/>
      <c r="P900" s="180">
        <v>1195.71</v>
      </c>
    </row>
    <row r="901" spans="1:16" ht="19.5" customHeight="1">
      <c r="A901" s="172" t="s">
        <v>970</v>
      </c>
      <c r="B901" s="176">
        <v>46031</v>
      </c>
      <c r="C901" s="172" t="s">
        <v>104</v>
      </c>
      <c r="D901" s="172" t="s">
        <v>105</v>
      </c>
      <c r="E901" s="172" t="s">
        <v>53</v>
      </c>
      <c r="F901" s="172" t="s">
        <v>120</v>
      </c>
      <c r="G901" s="172" t="s">
        <v>84</v>
      </c>
      <c r="H901" s="177">
        <v>1</v>
      </c>
      <c r="I901" s="178">
        <v>1845</v>
      </c>
      <c r="J901" s="176">
        <v>46025</v>
      </c>
      <c r="K901" s="172" t="s">
        <v>93</v>
      </c>
      <c r="L901" s="172" t="s">
        <v>94</v>
      </c>
      <c r="M901" s="179">
        <v>0.43</v>
      </c>
      <c r="N901" s="177"/>
      <c r="O901" s="177"/>
      <c r="P901" s="180">
        <v>-793.35</v>
      </c>
    </row>
    <row r="902" spans="1:16" ht="19.5" customHeight="1">
      <c r="A902" s="172" t="s">
        <v>970</v>
      </c>
      <c r="B902" s="176">
        <v>46031</v>
      </c>
      <c r="C902" s="172" t="s">
        <v>81</v>
      </c>
      <c r="D902" s="172" t="s">
        <v>95</v>
      </c>
      <c r="E902" s="172" t="s">
        <v>53</v>
      </c>
      <c r="F902" s="172" t="s">
        <v>120</v>
      </c>
      <c r="G902" s="172" t="s">
        <v>84</v>
      </c>
      <c r="H902" s="177">
        <v>1</v>
      </c>
      <c r="I902" s="178">
        <v>1845</v>
      </c>
      <c r="J902" s="176">
        <v>46025</v>
      </c>
      <c r="K902" s="172" t="s">
        <v>93</v>
      </c>
      <c r="L902" s="172" t="s">
        <v>94</v>
      </c>
      <c r="M902" s="179">
        <v>0.43</v>
      </c>
      <c r="N902" s="177"/>
      <c r="O902" s="177"/>
      <c r="P902" s="180">
        <v>-14.9</v>
      </c>
    </row>
    <row r="903" spans="1:16" ht="19.5" customHeight="1">
      <c r="A903" s="172" t="s">
        <v>969</v>
      </c>
      <c r="B903" s="176">
        <v>46031</v>
      </c>
      <c r="C903" s="172" t="s">
        <v>81</v>
      </c>
      <c r="D903" s="172" t="s">
        <v>82</v>
      </c>
      <c r="E903" s="172" t="s">
        <v>43</v>
      </c>
      <c r="F903" s="172" t="s">
        <v>125</v>
      </c>
      <c r="G903" s="172" t="s">
        <v>84</v>
      </c>
      <c r="H903" s="177">
        <v>1</v>
      </c>
      <c r="I903" s="178">
        <v>0</v>
      </c>
      <c r="J903" s="176">
        <v>46026</v>
      </c>
      <c r="K903" s="172" t="s">
        <v>85</v>
      </c>
      <c r="L903" s="172" t="s">
        <v>85</v>
      </c>
      <c r="M903" s="179">
        <v>0</v>
      </c>
      <c r="N903" s="177"/>
      <c r="O903" s="177"/>
      <c r="P903" s="180">
        <v>-6.67</v>
      </c>
    </row>
    <row r="904" spans="1:16" ht="19.5" customHeight="1">
      <c r="A904" s="172" t="s">
        <v>971</v>
      </c>
      <c r="B904" s="176">
        <v>46031</v>
      </c>
      <c r="C904" s="172" t="s">
        <v>92</v>
      </c>
      <c r="D904" s="172" t="s">
        <v>24</v>
      </c>
      <c r="E904" s="172" t="s">
        <v>41</v>
      </c>
      <c r="F904" s="172" t="s">
        <v>83</v>
      </c>
      <c r="G904" s="172" t="s">
        <v>84</v>
      </c>
      <c r="H904" s="177">
        <v>1</v>
      </c>
      <c r="I904" s="178">
        <v>1600</v>
      </c>
      <c r="J904" s="176">
        <v>46029</v>
      </c>
      <c r="K904" s="172" t="s">
        <v>93</v>
      </c>
      <c r="L904" s="172" t="s">
        <v>94</v>
      </c>
      <c r="M904" s="179">
        <v>0.43</v>
      </c>
      <c r="N904" s="177"/>
      <c r="O904" s="177">
        <v>43</v>
      </c>
      <c r="P904" s="180">
        <v>-122.83</v>
      </c>
    </row>
    <row r="905" spans="1:16" ht="19.5" customHeight="1">
      <c r="A905" s="172" t="s">
        <v>971</v>
      </c>
      <c r="B905" s="176">
        <v>46031</v>
      </c>
      <c r="C905" s="172" t="s">
        <v>100</v>
      </c>
      <c r="D905" s="172" t="s">
        <v>101</v>
      </c>
      <c r="E905" s="172" t="s">
        <v>41</v>
      </c>
      <c r="F905" s="172" t="s">
        <v>83</v>
      </c>
      <c r="G905" s="172" t="s">
        <v>84</v>
      </c>
      <c r="H905" s="177">
        <v>1</v>
      </c>
      <c r="I905" s="178">
        <v>1600</v>
      </c>
      <c r="J905" s="176">
        <v>46029</v>
      </c>
      <c r="K905" s="172" t="s">
        <v>93</v>
      </c>
      <c r="L905" s="172" t="s">
        <v>94</v>
      </c>
      <c r="M905" s="179">
        <v>0</v>
      </c>
      <c r="N905" s="177"/>
      <c r="O905" s="177"/>
      <c r="P905" s="180">
        <v>549.52</v>
      </c>
    </row>
    <row r="906" spans="1:16" ht="19.5" customHeight="1">
      <c r="A906" s="172" t="s">
        <v>971</v>
      </c>
      <c r="B906" s="176">
        <v>46031</v>
      </c>
      <c r="C906" s="172" t="s">
        <v>100</v>
      </c>
      <c r="D906" s="172" t="s">
        <v>102</v>
      </c>
      <c r="E906" s="172" t="s">
        <v>41</v>
      </c>
      <c r="F906" s="172" t="s">
        <v>83</v>
      </c>
      <c r="G906" s="172" t="s">
        <v>84</v>
      </c>
      <c r="H906" s="177">
        <v>1</v>
      </c>
      <c r="I906" s="178">
        <v>1600</v>
      </c>
      <c r="J906" s="176">
        <v>46029</v>
      </c>
      <c r="K906" s="172" t="s">
        <v>93</v>
      </c>
      <c r="L906" s="172" t="s">
        <v>94</v>
      </c>
      <c r="M906" s="179">
        <v>0</v>
      </c>
      <c r="N906" s="177"/>
      <c r="O906" s="177"/>
      <c r="P906" s="180">
        <v>5.5</v>
      </c>
    </row>
    <row r="907" spans="1:16" ht="19.5" customHeight="1">
      <c r="A907" s="172" t="s">
        <v>971</v>
      </c>
      <c r="B907" s="176">
        <v>46031</v>
      </c>
      <c r="C907" s="172" t="s">
        <v>100</v>
      </c>
      <c r="D907" s="172" t="s">
        <v>103</v>
      </c>
      <c r="E907" s="172" t="s">
        <v>41</v>
      </c>
      <c r="F907" s="172" t="s">
        <v>83</v>
      </c>
      <c r="G907" s="172" t="s">
        <v>84</v>
      </c>
      <c r="H907" s="177">
        <v>1</v>
      </c>
      <c r="I907" s="178">
        <v>1600</v>
      </c>
      <c r="J907" s="176">
        <v>46029</v>
      </c>
      <c r="K907" s="172" t="s">
        <v>93</v>
      </c>
      <c r="L907" s="172" t="s">
        <v>94</v>
      </c>
      <c r="M907" s="179">
        <v>0</v>
      </c>
      <c r="N907" s="177"/>
      <c r="O907" s="177"/>
      <c r="P907" s="180">
        <v>1044.98</v>
      </c>
    </row>
    <row r="908" spans="1:16" ht="19.5" customHeight="1">
      <c r="A908" s="172" t="s">
        <v>971</v>
      </c>
      <c r="B908" s="176">
        <v>46031</v>
      </c>
      <c r="C908" s="172" t="s">
        <v>104</v>
      </c>
      <c r="D908" s="172" t="s">
        <v>105</v>
      </c>
      <c r="E908" s="172" t="s">
        <v>41</v>
      </c>
      <c r="F908" s="172" t="s">
        <v>83</v>
      </c>
      <c r="G908" s="172" t="s">
        <v>84</v>
      </c>
      <c r="H908" s="177">
        <v>1</v>
      </c>
      <c r="I908" s="178">
        <v>1600</v>
      </c>
      <c r="J908" s="176">
        <v>46029</v>
      </c>
      <c r="K908" s="172" t="s">
        <v>93</v>
      </c>
      <c r="L908" s="172" t="s">
        <v>94</v>
      </c>
      <c r="M908" s="179">
        <v>0.43</v>
      </c>
      <c r="N908" s="177"/>
      <c r="O908" s="177"/>
      <c r="P908" s="180">
        <v>-688</v>
      </c>
    </row>
    <row r="909" spans="1:16" ht="19.5" customHeight="1">
      <c r="A909" s="172" t="s">
        <v>971</v>
      </c>
      <c r="B909" s="176">
        <v>46031</v>
      </c>
      <c r="C909" s="172" t="s">
        <v>81</v>
      </c>
      <c r="D909" s="172" t="s">
        <v>95</v>
      </c>
      <c r="E909" s="172" t="s">
        <v>41</v>
      </c>
      <c r="F909" s="172" t="s">
        <v>83</v>
      </c>
      <c r="G909" s="172" t="s">
        <v>84</v>
      </c>
      <c r="H909" s="177">
        <v>1</v>
      </c>
      <c r="I909" s="178">
        <v>1600</v>
      </c>
      <c r="J909" s="176">
        <v>46029</v>
      </c>
      <c r="K909" s="172" t="s">
        <v>93</v>
      </c>
      <c r="L909" s="172" t="s">
        <v>94</v>
      </c>
      <c r="M909" s="179">
        <v>0.43</v>
      </c>
      <c r="N909" s="177"/>
      <c r="O909" s="177"/>
      <c r="P909" s="180">
        <v>-8.1</v>
      </c>
    </row>
    <row r="910" spans="1:16" ht="19.5" customHeight="1">
      <c r="A910" s="172" t="s">
        <v>972</v>
      </c>
      <c r="B910" s="176">
        <v>46031</v>
      </c>
      <c r="C910" s="172" t="s">
        <v>81</v>
      </c>
      <c r="D910" s="172" t="s">
        <v>82</v>
      </c>
      <c r="E910" s="172" t="s">
        <v>52</v>
      </c>
      <c r="F910" s="172" t="s">
        <v>90</v>
      </c>
      <c r="G910" s="172" t="s">
        <v>84</v>
      </c>
      <c r="H910" s="177">
        <v>1</v>
      </c>
      <c r="I910" s="178">
        <v>0</v>
      </c>
      <c r="J910" s="176">
        <v>46031</v>
      </c>
      <c r="K910" s="172" t="s">
        <v>85</v>
      </c>
      <c r="L910" s="172" t="s">
        <v>85</v>
      </c>
      <c r="M910" s="179">
        <v>0</v>
      </c>
      <c r="N910" s="177"/>
      <c r="O910" s="177"/>
      <c r="P910" s="180">
        <v>-10.58</v>
      </c>
    </row>
    <row r="911" spans="1:16" ht="19.5" customHeight="1">
      <c r="A911" s="172" t="s">
        <v>973</v>
      </c>
      <c r="B911" s="176">
        <v>46031</v>
      </c>
      <c r="C911" s="172" t="s">
        <v>92</v>
      </c>
      <c r="D911" s="172" t="s">
        <v>24</v>
      </c>
      <c r="E911" s="172" t="s">
        <v>52</v>
      </c>
      <c r="F911" s="172" t="s">
        <v>90</v>
      </c>
      <c r="G911" s="172" t="s">
        <v>84</v>
      </c>
      <c r="H911" s="177">
        <v>1</v>
      </c>
      <c r="I911" s="178">
        <v>1621</v>
      </c>
      <c r="J911" s="176">
        <v>46024</v>
      </c>
      <c r="K911" s="172" t="s">
        <v>93</v>
      </c>
      <c r="L911" s="172" t="s">
        <v>94</v>
      </c>
      <c r="M911" s="179">
        <v>0.43</v>
      </c>
      <c r="N911" s="177"/>
      <c r="O911" s="177">
        <v>42</v>
      </c>
      <c r="P911" s="180">
        <v>-134.12</v>
      </c>
    </row>
    <row r="912" spans="1:16" ht="19.5" customHeight="1">
      <c r="A912" s="172" t="s">
        <v>973</v>
      </c>
      <c r="B912" s="176">
        <v>46031</v>
      </c>
      <c r="C912" s="172" t="s">
        <v>100</v>
      </c>
      <c r="D912" s="172" t="s">
        <v>101</v>
      </c>
      <c r="E912" s="172" t="s">
        <v>52</v>
      </c>
      <c r="F912" s="172" t="s">
        <v>90</v>
      </c>
      <c r="G912" s="172" t="s">
        <v>84</v>
      </c>
      <c r="H912" s="177">
        <v>1</v>
      </c>
      <c r="I912" s="178">
        <v>1621</v>
      </c>
      <c r="J912" s="176">
        <v>46024</v>
      </c>
      <c r="K912" s="172" t="s">
        <v>93</v>
      </c>
      <c r="L912" s="172" t="s">
        <v>94</v>
      </c>
      <c r="M912" s="179">
        <v>0</v>
      </c>
      <c r="N912" s="177"/>
      <c r="O912" s="177"/>
      <c r="P912" s="180">
        <v>557.14</v>
      </c>
    </row>
    <row r="913" spans="1:16" ht="19.5" customHeight="1">
      <c r="A913" s="172" t="s">
        <v>973</v>
      </c>
      <c r="B913" s="176">
        <v>46031</v>
      </c>
      <c r="C913" s="172" t="s">
        <v>100</v>
      </c>
      <c r="D913" s="172" t="s">
        <v>102</v>
      </c>
      <c r="E913" s="172" t="s">
        <v>52</v>
      </c>
      <c r="F913" s="172" t="s">
        <v>90</v>
      </c>
      <c r="G913" s="172" t="s">
        <v>84</v>
      </c>
      <c r="H913" s="177">
        <v>1</v>
      </c>
      <c r="I913" s="178">
        <v>1621</v>
      </c>
      <c r="J913" s="176">
        <v>46024</v>
      </c>
      <c r="K913" s="172" t="s">
        <v>93</v>
      </c>
      <c r="L913" s="172" t="s">
        <v>94</v>
      </c>
      <c r="M913" s="179">
        <v>0</v>
      </c>
      <c r="N913" s="177"/>
      <c r="O913" s="177"/>
      <c r="P913" s="180">
        <v>5.57</v>
      </c>
    </row>
    <row r="914" spans="1:16" ht="19.5" customHeight="1">
      <c r="A914" s="172" t="s">
        <v>973</v>
      </c>
      <c r="B914" s="176">
        <v>46031</v>
      </c>
      <c r="C914" s="172" t="s">
        <v>100</v>
      </c>
      <c r="D914" s="172" t="s">
        <v>103</v>
      </c>
      <c r="E914" s="172" t="s">
        <v>52</v>
      </c>
      <c r="F914" s="172" t="s">
        <v>90</v>
      </c>
      <c r="G914" s="172" t="s">
        <v>84</v>
      </c>
      <c r="H914" s="177">
        <v>1</v>
      </c>
      <c r="I914" s="178">
        <v>1621</v>
      </c>
      <c r="J914" s="176">
        <v>46024</v>
      </c>
      <c r="K914" s="172" t="s">
        <v>93</v>
      </c>
      <c r="L914" s="172" t="s">
        <v>94</v>
      </c>
      <c r="M914" s="179">
        <v>0</v>
      </c>
      <c r="N914" s="177"/>
      <c r="O914" s="177"/>
      <c r="P914" s="180">
        <v>1058.29</v>
      </c>
    </row>
    <row r="915" spans="1:16" ht="19.5" customHeight="1">
      <c r="A915" s="172" t="s">
        <v>973</v>
      </c>
      <c r="B915" s="176">
        <v>46031</v>
      </c>
      <c r="C915" s="172" t="s">
        <v>104</v>
      </c>
      <c r="D915" s="172" t="s">
        <v>105</v>
      </c>
      <c r="E915" s="172" t="s">
        <v>52</v>
      </c>
      <c r="F915" s="172" t="s">
        <v>90</v>
      </c>
      <c r="G915" s="172" t="s">
        <v>84</v>
      </c>
      <c r="H915" s="177">
        <v>1</v>
      </c>
      <c r="I915" s="178">
        <v>1621</v>
      </c>
      <c r="J915" s="176">
        <v>46024</v>
      </c>
      <c r="K915" s="172" t="s">
        <v>93</v>
      </c>
      <c r="L915" s="172" t="s">
        <v>94</v>
      </c>
      <c r="M915" s="179">
        <v>0.43</v>
      </c>
      <c r="N915" s="177"/>
      <c r="O915" s="177"/>
      <c r="P915" s="180">
        <v>-697.03</v>
      </c>
    </row>
    <row r="916" spans="1:16" ht="19.5" customHeight="1">
      <c r="A916" s="172" t="s">
        <v>973</v>
      </c>
      <c r="B916" s="176">
        <v>46031</v>
      </c>
      <c r="C916" s="172" t="s">
        <v>81</v>
      </c>
      <c r="D916" s="172" t="s">
        <v>95</v>
      </c>
      <c r="E916" s="172" t="s">
        <v>52</v>
      </c>
      <c r="F916" s="172" t="s">
        <v>90</v>
      </c>
      <c r="G916" s="172" t="s">
        <v>84</v>
      </c>
      <c r="H916" s="177">
        <v>1</v>
      </c>
      <c r="I916" s="178">
        <v>1621</v>
      </c>
      <c r="J916" s="176">
        <v>46024</v>
      </c>
      <c r="K916" s="172" t="s">
        <v>93</v>
      </c>
      <c r="L916" s="172" t="s">
        <v>94</v>
      </c>
      <c r="M916" s="179">
        <v>0.43</v>
      </c>
      <c r="N916" s="177"/>
      <c r="O916" s="177"/>
      <c r="P916" s="180">
        <v>-11.16</v>
      </c>
    </row>
    <row r="917" spans="1:16" ht="19.5" customHeight="1">
      <c r="A917" s="172" t="s">
        <v>973</v>
      </c>
      <c r="B917" s="176">
        <v>46031</v>
      </c>
      <c r="C917" s="172" t="s">
        <v>81</v>
      </c>
      <c r="D917" s="172" t="s">
        <v>82</v>
      </c>
      <c r="E917" s="172" t="s">
        <v>52</v>
      </c>
      <c r="F917" s="172" t="s">
        <v>90</v>
      </c>
      <c r="G917" s="172" t="s">
        <v>84</v>
      </c>
      <c r="H917" s="177">
        <v>1</v>
      </c>
      <c r="I917" s="178">
        <v>0</v>
      </c>
      <c r="J917" s="176">
        <v>46024</v>
      </c>
      <c r="K917" s="172" t="s">
        <v>85</v>
      </c>
      <c r="L917" s="172" t="s">
        <v>85</v>
      </c>
      <c r="M917" s="179">
        <v>0</v>
      </c>
      <c r="N917" s="177"/>
      <c r="O917" s="177"/>
      <c r="P917" s="180">
        <v>-10.59</v>
      </c>
    </row>
    <row r="918" spans="1:16" ht="19.5" customHeight="1">
      <c r="A918" s="172" t="s">
        <v>974</v>
      </c>
      <c r="B918" s="176">
        <v>46031</v>
      </c>
      <c r="C918" s="172" t="s">
        <v>81</v>
      </c>
      <c r="D918" s="172" t="s">
        <v>82</v>
      </c>
      <c r="E918" s="172" t="s">
        <v>42</v>
      </c>
      <c r="F918" s="172" t="s">
        <v>89</v>
      </c>
      <c r="G918" s="172" t="s">
        <v>84</v>
      </c>
      <c r="H918" s="177">
        <v>1</v>
      </c>
      <c r="I918" s="178">
        <v>0</v>
      </c>
      <c r="J918" s="176">
        <v>46031</v>
      </c>
      <c r="K918" s="172" t="s">
        <v>85</v>
      </c>
      <c r="L918" s="172" t="s">
        <v>85</v>
      </c>
      <c r="M918" s="179">
        <v>0</v>
      </c>
      <c r="N918" s="177"/>
      <c r="O918" s="177"/>
      <c r="P918" s="180">
        <v>-10.65</v>
      </c>
    </row>
    <row r="919" spans="1:16" ht="19.5" customHeight="1">
      <c r="A919" s="172" t="s">
        <v>975</v>
      </c>
      <c r="B919" s="176">
        <v>46031</v>
      </c>
      <c r="C919" s="172" t="s">
        <v>92</v>
      </c>
      <c r="D919" s="172" t="s">
        <v>24</v>
      </c>
      <c r="E919" s="172" t="s">
        <v>53</v>
      </c>
      <c r="F919" s="172" t="s">
        <v>120</v>
      </c>
      <c r="G919" s="172" t="s">
        <v>84</v>
      </c>
      <c r="H919" s="177">
        <v>1</v>
      </c>
      <c r="I919" s="178">
        <v>1845</v>
      </c>
      <c r="J919" s="176">
        <v>46026</v>
      </c>
      <c r="K919" s="172" t="s">
        <v>93</v>
      </c>
      <c r="L919" s="172" t="s">
        <v>94</v>
      </c>
      <c r="M919" s="179">
        <v>0.43</v>
      </c>
      <c r="N919" s="177"/>
      <c r="O919" s="177">
        <v>46</v>
      </c>
      <c r="P919" s="180">
        <v>-158.29</v>
      </c>
    </row>
    <row r="920" spans="1:16" ht="19.5" customHeight="1">
      <c r="A920" s="172" t="s">
        <v>975</v>
      </c>
      <c r="B920" s="176">
        <v>46031</v>
      </c>
      <c r="C920" s="172" t="s">
        <v>100</v>
      </c>
      <c r="D920" s="172" t="s">
        <v>101</v>
      </c>
      <c r="E920" s="172" t="s">
        <v>53</v>
      </c>
      <c r="F920" s="172" t="s">
        <v>120</v>
      </c>
      <c r="G920" s="172" t="s">
        <v>84</v>
      </c>
      <c r="H920" s="177">
        <v>1</v>
      </c>
      <c r="I920" s="178">
        <v>1845</v>
      </c>
      <c r="J920" s="176">
        <v>46026</v>
      </c>
      <c r="K920" s="172" t="s">
        <v>93</v>
      </c>
      <c r="L920" s="172" t="s">
        <v>94</v>
      </c>
      <c r="M920" s="179">
        <v>0</v>
      </c>
      <c r="N920" s="177"/>
      <c r="O920" s="177"/>
      <c r="P920" s="180">
        <v>642.86</v>
      </c>
    </row>
    <row r="921" spans="1:16" ht="19.5" customHeight="1">
      <c r="A921" s="172" t="s">
        <v>975</v>
      </c>
      <c r="B921" s="176">
        <v>46031</v>
      </c>
      <c r="C921" s="172" t="s">
        <v>100</v>
      </c>
      <c r="D921" s="172" t="s">
        <v>102</v>
      </c>
      <c r="E921" s="172" t="s">
        <v>53</v>
      </c>
      <c r="F921" s="172" t="s">
        <v>120</v>
      </c>
      <c r="G921" s="172" t="s">
        <v>84</v>
      </c>
      <c r="H921" s="177">
        <v>1</v>
      </c>
      <c r="I921" s="178">
        <v>1845</v>
      </c>
      <c r="J921" s="176">
        <v>46026</v>
      </c>
      <c r="K921" s="172" t="s">
        <v>93</v>
      </c>
      <c r="L921" s="172" t="s">
        <v>94</v>
      </c>
      <c r="M921" s="179">
        <v>0</v>
      </c>
      <c r="N921" s="177"/>
      <c r="O921" s="177"/>
      <c r="P921" s="180">
        <v>6.43</v>
      </c>
    </row>
    <row r="922" spans="1:16" ht="19.5" customHeight="1">
      <c r="A922" s="172" t="s">
        <v>975</v>
      </c>
      <c r="B922" s="176">
        <v>46031</v>
      </c>
      <c r="C922" s="172" t="s">
        <v>100</v>
      </c>
      <c r="D922" s="172" t="s">
        <v>103</v>
      </c>
      <c r="E922" s="172" t="s">
        <v>53</v>
      </c>
      <c r="F922" s="172" t="s">
        <v>120</v>
      </c>
      <c r="G922" s="172" t="s">
        <v>84</v>
      </c>
      <c r="H922" s="177">
        <v>1</v>
      </c>
      <c r="I922" s="178">
        <v>1845</v>
      </c>
      <c r="J922" s="176">
        <v>46026</v>
      </c>
      <c r="K922" s="172" t="s">
        <v>93</v>
      </c>
      <c r="L922" s="172" t="s">
        <v>94</v>
      </c>
      <c r="M922" s="179">
        <v>0</v>
      </c>
      <c r="N922" s="177"/>
      <c r="O922" s="177"/>
      <c r="P922" s="180">
        <v>1195.71</v>
      </c>
    </row>
    <row r="923" spans="1:16" ht="19.5" customHeight="1">
      <c r="A923" s="172" t="s">
        <v>975</v>
      </c>
      <c r="B923" s="176">
        <v>46031</v>
      </c>
      <c r="C923" s="172" t="s">
        <v>104</v>
      </c>
      <c r="D923" s="172" t="s">
        <v>105</v>
      </c>
      <c r="E923" s="172" t="s">
        <v>53</v>
      </c>
      <c r="F923" s="172" t="s">
        <v>120</v>
      </c>
      <c r="G923" s="172" t="s">
        <v>84</v>
      </c>
      <c r="H923" s="177">
        <v>1</v>
      </c>
      <c r="I923" s="178">
        <v>1845</v>
      </c>
      <c r="J923" s="176">
        <v>46026</v>
      </c>
      <c r="K923" s="172" t="s">
        <v>93</v>
      </c>
      <c r="L923" s="172" t="s">
        <v>94</v>
      </c>
      <c r="M923" s="179">
        <v>0.43</v>
      </c>
      <c r="N923" s="177"/>
      <c r="O923" s="177"/>
      <c r="P923" s="180">
        <v>-793.35</v>
      </c>
    </row>
    <row r="924" spans="1:16" ht="19.5" customHeight="1">
      <c r="A924" s="172" t="s">
        <v>975</v>
      </c>
      <c r="B924" s="176">
        <v>46031</v>
      </c>
      <c r="C924" s="172" t="s">
        <v>81</v>
      </c>
      <c r="D924" s="172" t="s">
        <v>95</v>
      </c>
      <c r="E924" s="172" t="s">
        <v>53</v>
      </c>
      <c r="F924" s="172" t="s">
        <v>120</v>
      </c>
      <c r="G924" s="172" t="s">
        <v>84</v>
      </c>
      <c r="H924" s="177">
        <v>1</v>
      </c>
      <c r="I924" s="178">
        <v>1845</v>
      </c>
      <c r="J924" s="176">
        <v>46026</v>
      </c>
      <c r="K924" s="172" t="s">
        <v>93</v>
      </c>
      <c r="L924" s="172" t="s">
        <v>94</v>
      </c>
      <c r="M924" s="179">
        <v>0.43</v>
      </c>
      <c r="N924" s="177"/>
      <c r="O924" s="177"/>
      <c r="P924" s="180">
        <v>-9.08</v>
      </c>
    </row>
    <row r="925" spans="1:16" ht="19.5" customHeight="1">
      <c r="A925" s="172" t="s">
        <v>976</v>
      </c>
      <c r="B925" s="176">
        <v>46031</v>
      </c>
      <c r="C925" s="172" t="s">
        <v>81</v>
      </c>
      <c r="D925" s="172" t="s">
        <v>82</v>
      </c>
      <c r="E925" s="172" t="s">
        <v>43</v>
      </c>
      <c r="F925" s="172" t="s">
        <v>125</v>
      </c>
      <c r="G925" s="172" t="s">
        <v>84</v>
      </c>
      <c r="H925" s="177">
        <v>1</v>
      </c>
      <c r="I925" s="178">
        <v>0</v>
      </c>
      <c r="J925" s="176">
        <v>46031</v>
      </c>
      <c r="K925" s="172" t="s">
        <v>85</v>
      </c>
      <c r="L925" s="172" t="s">
        <v>85</v>
      </c>
      <c r="M925" s="179">
        <v>0</v>
      </c>
      <c r="N925" s="177"/>
      <c r="O925" s="177"/>
      <c r="P925" s="180">
        <v>-9.74</v>
      </c>
    </row>
    <row r="926" spans="1:16" ht="19.5" customHeight="1">
      <c r="A926" s="172" t="s">
        <v>977</v>
      </c>
      <c r="B926" s="176">
        <v>46031</v>
      </c>
      <c r="C926" s="172" t="s">
        <v>92</v>
      </c>
      <c r="D926" s="172" t="s">
        <v>24</v>
      </c>
      <c r="E926" s="172" t="s">
        <v>52</v>
      </c>
      <c r="F926" s="172" t="s">
        <v>90</v>
      </c>
      <c r="G926" s="172" t="s">
        <v>84</v>
      </c>
      <c r="H926" s="177">
        <v>1</v>
      </c>
      <c r="I926" s="178">
        <v>1621</v>
      </c>
      <c r="J926" s="176">
        <v>46029</v>
      </c>
      <c r="K926" s="172" t="s">
        <v>93</v>
      </c>
      <c r="L926" s="172" t="s">
        <v>94</v>
      </c>
      <c r="M926" s="179">
        <v>0.43</v>
      </c>
      <c r="N926" s="177"/>
      <c r="O926" s="177">
        <v>43</v>
      </c>
      <c r="P926" s="180">
        <v>-138.22999999999999</v>
      </c>
    </row>
    <row r="927" spans="1:16" ht="19.5" customHeight="1">
      <c r="A927" s="172" t="s">
        <v>977</v>
      </c>
      <c r="B927" s="176">
        <v>46031</v>
      </c>
      <c r="C927" s="172" t="s">
        <v>100</v>
      </c>
      <c r="D927" s="172" t="s">
        <v>101</v>
      </c>
      <c r="E927" s="172" t="s">
        <v>52</v>
      </c>
      <c r="F927" s="172" t="s">
        <v>90</v>
      </c>
      <c r="G927" s="172" t="s">
        <v>84</v>
      </c>
      <c r="H927" s="177">
        <v>1</v>
      </c>
      <c r="I927" s="178">
        <v>1621</v>
      </c>
      <c r="J927" s="176">
        <v>46029</v>
      </c>
      <c r="K927" s="172" t="s">
        <v>93</v>
      </c>
      <c r="L927" s="172" t="s">
        <v>94</v>
      </c>
      <c r="M927" s="179">
        <v>0</v>
      </c>
      <c r="N927" s="177"/>
      <c r="O927" s="177"/>
      <c r="P927" s="180">
        <v>557.14</v>
      </c>
    </row>
    <row r="928" spans="1:16" ht="19.5" customHeight="1">
      <c r="A928" s="172" t="s">
        <v>977</v>
      </c>
      <c r="B928" s="176">
        <v>46031</v>
      </c>
      <c r="C928" s="172" t="s">
        <v>100</v>
      </c>
      <c r="D928" s="172" t="s">
        <v>102</v>
      </c>
      <c r="E928" s="172" t="s">
        <v>52</v>
      </c>
      <c r="F928" s="172" t="s">
        <v>90</v>
      </c>
      <c r="G928" s="172" t="s">
        <v>84</v>
      </c>
      <c r="H928" s="177">
        <v>1</v>
      </c>
      <c r="I928" s="178">
        <v>1621</v>
      </c>
      <c r="J928" s="176">
        <v>46029</v>
      </c>
      <c r="K928" s="172" t="s">
        <v>93</v>
      </c>
      <c r="L928" s="172" t="s">
        <v>94</v>
      </c>
      <c r="M928" s="179">
        <v>0</v>
      </c>
      <c r="N928" s="177"/>
      <c r="O928" s="177"/>
      <c r="P928" s="180">
        <v>5.57</v>
      </c>
    </row>
    <row r="929" spans="1:16" ht="19.5" customHeight="1">
      <c r="A929" s="172" t="s">
        <v>977</v>
      </c>
      <c r="B929" s="176">
        <v>46031</v>
      </c>
      <c r="C929" s="172" t="s">
        <v>100</v>
      </c>
      <c r="D929" s="172" t="s">
        <v>103</v>
      </c>
      <c r="E929" s="172" t="s">
        <v>52</v>
      </c>
      <c r="F929" s="172" t="s">
        <v>90</v>
      </c>
      <c r="G929" s="172" t="s">
        <v>84</v>
      </c>
      <c r="H929" s="177">
        <v>1</v>
      </c>
      <c r="I929" s="178">
        <v>1621</v>
      </c>
      <c r="J929" s="176">
        <v>46029</v>
      </c>
      <c r="K929" s="172" t="s">
        <v>93</v>
      </c>
      <c r="L929" s="172" t="s">
        <v>94</v>
      </c>
      <c r="M929" s="179">
        <v>0</v>
      </c>
      <c r="N929" s="177"/>
      <c r="O929" s="177"/>
      <c r="P929" s="180">
        <v>1058.29</v>
      </c>
    </row>
    <row r="930" spans="1:16" ht="19.5" customHeight="1">
      <c r="A930" s="172" t="s">
        <v>977</v>
      </c>
      <c r="B930" s="176">
        <v>46031</v>
      </c>
      <c r="C930" s="172" t="s">
        <v>104</v>
      </c>
      <c r="D930" s="172" t="s">
        <v>105</v>
      </c>
      <c r="E930" s="172" t="s">
        <v>52</v>
      </c>
      <c r="F930" s="172" t="s">
        <v>90</v>
      </c>
      <c r="G930" s="172" t="s">
        <v>84</v>
      </c>
      <c r="H930" s="177">
        <v>1</v>
      </c>
      <c r="I930" s="178">
        <v>1621</v>
      </c>
      <c r="J930" s="176">
        <v>46029</v>
      </c>
      <c r="K930" s="172" t="s">
        <v>93</v>
      </c>
      <c r="L930" s="172" t="s">
        <v>94</v>
      </c>
      <c r="M930" s="179">
        <v>0.43</v>
      </c>
      <c r="N930" s="177"/>
      <c r="O930" s="177"/>
      <c r="P930" s="180">
        <v>-697.03</v>
      </c>
    </row>
    <row r="931" spans="1:16" ht="19.5" customHeight="1">
      <c r="A931" s="172" t="s">
        <v>977</v>
      </c>
      <c r="B931" s="176">
        <v>46031</v>
      </c>
      <c r="C931" s="172" t="s">
        <v>81</v>
      </c>
      <c r="D931" s="172" t="s">
        <v>95</v>
      </c>
      <c r="E931" s="172" t="s">
        <v>52</v>
      </c>
      <c r="F931" s="172" t="s">
        <v>90</v>
      </c>
      <c r="G931" s="172" t="s">
        <v>84</v>
      </c>
      <c r="H931" s="177">
        <v>1</v>
      </c>
      <c r="I931" s="178">
        <v>1621</v>
      </c>
      <c r="J931" s="176">
        <v>46029</v>
      </c>
      <c r="K931" s="172" t="s">
        <v>93</v>
      </c>
      <c r="L931" s="172" t="s">
        <v>94</v>
      </c>
      <c r="M931" s="179">
        <v>0.43</v>
      </c>
      <c r="N931" s="177"/>
      <c r="O931" s="177"/>
      <c r="P931" s="180">
        <v>-23.06</v>
      </c>
    </row>
    <row r="932" spans="1:16" ht="19.5" customHeight="1">
      <c r="A932" s="172" t="s">
        <v>978</v>
      </c>
      <c r="B932" s="176">
        <v>46031</v>
      </c>
      <c r="C932" s="172" t="s">
        <v>81</v>
      </c>
      <c r="D932" s="172" t="s">
        <v>82</v>
      </c>
      <c r="E932" s="172" t="s">
        <v>42</v>
      </c>
      <c r="F932" s="172" t="s">
        <v>89</v>
      </c>
      <c r="G932" s="172" t="s">
        <v>84</v>
      </c>
      <c r="H932" s="177">
        <v>1</v>
      </c>
      <c r="I932" s="178">
        <v>0</v>
      </c>
      <c r="J932" s="176">
        <v>46031</v>
      </c>
      <c r="K932" s="172" t="s">
        <v>85</v>
      </c>
      <c r="L932" s="172" t="s">
        <v>85</v>
      </c>
      <c r="M932" s="179">
        <v>0</v>
      </c>
      <c r="N932" s="177"/>
      <c r="O932" s="177"/>
      <c r="P932" s="180">
        <v>-10.88</v>
      </c>
    </row>
    <row r="933" spans="1:16" ht="19.5" customHeight="1">
      <c r="A933" s="172" t="s">
        <v>979</v>
      </c>
      <c r="B933" s="176">
        <v>46031</v>
      </c>
      <c r="C933" s="172" t="s">
        <v>92</v>
      </c>
      <c r="D933" s="172" t="s">
        <v>96</v>
      </c>
      <c r="E933" s="172" t="s">
        <v>53</v>
      </c>
      <c r="F933" s="172" t="s">
        <v>120</v>
      </c>
      <c r="G933" s="172" t="s">
        <v>84</v>
      </c>
      <c r="H933" s="177">
        <v>1</v>
      </c>
      <c r="I933" s="178">
        <v>0</v>
      </c>
      <c r="J933" s="176">
        <v>46013</v>
      </c>
      <c r="K933" s="172" t="s">
        <v>93</v>
      </c>
      <c r="L933" s="172" t="s">
        <v>94</v>
      </c>
      <c r="M933" s="179">
        <v>0</v>
      </c>
      <c r="N933" s="177"/>
      <c r="O933" s="177"/>
      <c r="P933" s="180">
        <v>0</v>
      </c>
    </row>
    <row r="934" spans="1:16" ht="19.5" customHeight="1">
      <c r="A934" s="172" t="s">
        <v>979</v>
      </c>
      <c r="B934" s="176">
        <v>46031</v>
      </c>
      <c r="C934" s="172" t="s">
        <v>92</v>
      </c>
      <c r="D934" s="172" t="s">
        <v>97</v>
      </c>
      <c r="E934" s="172" t="s">
        <v>53</v>
      </c>
      <c r="F934" s="172" t="s">
        <v>120</v>
      </c>
      <c r="G934" s="172" t="s">
        <v>84</v>
      </c>
      <c r="H934" s="177">
        <v>1</v>
      </c>
      <c r="I934" s="178">
        <v>0</v>
      </c>
      <c r="J934" s="176">
        <v>46013</v>
      </c>
      <c r="K934" s="172" t="s">
        <v>93</v>
      </c>
      <c r="L934" s="172" t="s">
        <v>94</v>
      </c>
      <c r="M934" s="179">
        <v>0</v>
      </c>
      <c r="N934" s="177"/>
      <c r="O934" s="177"/>
      <c r="P934" s="180">
        <v>-56</v>
      </c>
    </row>
    <row r="935" spans="1:16" ht="19.5" customHeight="1">
      <c r="A935" s="172" t="s">
        <v>979</v>
      </c>
      <c r="B935" s="176">
        <v>46031</v>
      </c>
      <c r="C935" s="172" t="s">
        <v>92</v>
      </c>
      <c r="D935" s="172" t="s">
        <v>24</v>
      </c>
      <c r="E935" s="172" t="s">
        <v>53</v>
      </c>
      <c r="F935" s="172" t="s">
        <v>120</v>
      </c>
      <c r="G935" s="172" t="s">
        <v>84</v>
      </c>
      <c r="H935" s="177">
        <v>1</v>
      </c>
      <c r="I935" s="178">
        <v>0</v>
      </c>
      <c r="J935" s="176">
        <v>46013</v>
      </c>
      <c r="K935" s="172" t="s">
        <v>93</v>
      </c>
      <c r="L935" s="172" t="s">
        <v>94</v>
      </c>
      <c r="M935" s="179">
        <v>0</v>
      </c>
      <c r="N935" s="177"/>
      <c r="O935" s="177">
        <v>43</v>
      </c>
      <c r="P935" s="180">
        <v>-56</v>
      </c>
    </row>
    <row r="936" spans="1:16" ht="19.5" customHeight="1">
      <c r="A936" s="172" t="s">
        <v>979</v>
      </c>
      <c r="B936" s="176">
        <v>46031</v>
      </c>
      <c r="C936" s="172" t="s">
        <v>81</v>
      </c>
      <c r="D936" s="172" t="s">
        <v>95</v>
      </c>
      <c r="E936" s="172" t="s">
        <v>53</v>
      </c>
      <c r="F936" s="172" t="s">
        <v>120</v>
      </c>
      <c r="G936" s="172" t="s">
        <v>84</v>
      </c>
      <c r="H936" s="177">
        <v>1</v>
      </c>
      <c r="I936" s="178">
        <v>0</v>
      </c>
      <c r="J936" s="176">
        <v>46013</v>
      </c>
      <c r="K936" s="172" t="s">
        <v>93</v>
      </c>
      <c r="L936" s="172" t="s">
        <v>94</v>
      </c>
      <c r="M936" s="179">
        <v>0</v>
      </c>
      <c r="N936" s="177"/>
      <c r="O936" s="177"/>
      <c r="P936" s="180">
        <v>-9.26</v>
      </c>
    </row>
    <row r="937" spans="1:16" ht="19.5" customHeight="1">
      <c r="A937" s="172" t="s">
        <v>977</v>
      </c>
      <c r="B937" s="176">
        <v>46031</v>
      </c>
      <c r="C937" s="172" t="s">
        <v>81</v>
      </c>
      <c r="D937" s="172" t="s">
        <v>82</v>
      </c>
      <c r="E937" s="172" t="s">
        <v>52</v>
      </c>
      <c r="F937" s="172" t="s">
        <v>90</v>
      </c>
      <c r="G937" s="172" t="s">
        <v>84</v>
      </c>
      <c r="H937" s="177">
        <v>1</v>
      </c>
      <c r="I937" s="178">
        <v>0</v>
      </c>
      <c r="J937" s="176">
        <v>46029</v>
      </c>
      <c r="K937" s="172" t="s">
        <v>85</v>
      </c>
      <c r="L937" s="172" t="s">
        <v>85</v>
      </c>
      <c r="M937" s="179">
        <v>0</v>
      </c>
      <c r="N937" s="177"/>
      <c r="O937" s="177"/>
      <c r="P937" s="180">
        <v>-10.59</v>
      </c>
    </row>
    <row r="938" spans="1:16" ht="19.5" customHeight="1">
      <c r="A938" s="172" t="s">
        <v>980</v>
      </c>
      <c r="B938" s="176">
        <v>46031</v>
      </c>
      <c r="C938" s="172" t="s">
        <v>81</v>
      </c>
      <c r="D938" s="172" t="s">
        <v>82</v>
      </c>
      <c r="E938" s="172" t="s">
        <v>52</v>
      </c>
      <c r="F938" s="172" t="s">
        <v>90</v>
      </c>
      <c r="G938" s="172" t="s">
        <v>84</v>
      </c>
      <c r="H938" s="177">
        <v>1</v>
      </c>
      <c r="I938" s="178">
        <v>0</v>
      </c>
      <c r="J938" s="176">
        <v>46031</v>
      </c>
      <c r="K938" s="172" t="s">
        <v>85</v>
      </c>
      <c r="L938" s="172" t="s">
        <v>85</v>
      </c>
      <c r="M938" s="179">
        <v>0</v>
      </c>
      <c r="N938" s="177"/>
      <c r="O938" s="177"/>
      <c r="P938" s="180">
        <v>-10.59</v>
      </c>
    </row>
    <row r="939" spans="1:16" ht="19.5" customHeight="1">
      <c r="A939" s="172" t="s">
        <v>981</v>
      </c>
      <c r="B939" s="176">
        <v>46031</v>
      </c>
      <c r="C939" s="172" t="s">
        <v>92</v>
      </c>
      <c r="D939" s="172" t="s">
        <v>24</v>
      </c>
      <c r="E939" s="172" t="s">
        <v>41</v>
      </c>
      <c r="F939" s="172" t="s">
        <v>83</v>
      </c>
      <c r="G939" s="172" t="s">
        <v>84</v>
      </c>
      <c r="H939" s="177">
        <v>1</v>
      </c>
      <c r="I939" s="178">
        <v>1600</v>
      </c>
      <c r="J939" s="176">
        <v>46027</v>
      </c>
      <c r="K939" s="172" t="s">
        <v>93</v>
      </c>
      <c r="L939" s="172" t="s">
        <v>94</v>
      </c>
      <c r="M939" s="179">
        <v>0.43</v>
      </c>
      <c r="N939" s="177"/>
      <c r="O939" s="177">
        <v>45</v>
      </c>
      <c r="P939" s="180">
        <v>-130.44</v>
      </c>
    </row>
    <row r="940" spans="1:16" ht="19.5" customHeight="1">
      <c r="A940" s="172" t="s">
        <v>981</v>
      </c>
      <c r="B940" s="176">
        <v>46031</v>
      </c>
      <c r="C940" s="172" t="s">
        <v>100</v>
      </c>
      <c r="D940" s="172" t="s">
        <v>101</v>
      </c>
      <c r="E940" s="172" t="s">
        <v>41</v>
      </c>
      <c r="F940" s="172" t="s">
        <v>83</v>
      </c>
      <c r="G940" s="172" t="s">
        <v>84</v>
      </c>
      <c r="H940" s="177">
        <v>1</v>
      </c>
      <c r="I940" s="178">
        <v>1600</v>
      </c>
      <c r="J940" s="176">
        <v>46027</v>
      </c>
      <c r="K940" s="172" t="s">
        <v>93</v>
      </c>
      <c r="L940" s="172" t="s">
        <v>94</v>
      </c>
      <c r="M940" s="179">
        <v>0</v>
      </c>
      <c r="N940" s="177"/>
      <c r="O940" s="177"/>
      <c r="P940" s="180">
        <v>549.52</v>
      </c>
    </row>
    <row r="941" spans="1:16" ht="19.5" customHeight="1">
      <c r="A941" s="172" t="s">
        <v>981</v>
      </c>
      <c r="B941" s="176">
        <v>46031</v>
      </c>
      <c r="C941" s="172" t="s">
        <v>100</v>
      </c>
      <c r="D941" s="172" t="s">
        <v>102</v>
      </c>
      <c r="E941" s="172" t="s">
        <v>41</v>
      </c>
      <c r="F941" s="172" t="s">
        <v>83</v>
      </c>
      <c r="G941" s="172" t="s">
        <v>84</v>
      </c>
      <c r="H941" s="177">
        <v>1</v>
      </c>
      <c r="I941" s="178">
        <v>1600</v>
      </c>
      <c r="J941" s="176">
        <v>46027</v>
      </c>
      <c r="K941" s="172" t="s">
        <v>93</v>
      </c>
      <c r="L941" s="172" t="s">
        <v>94</v>
      </c>
      <c r="M941" s="179">
        <v>0</v>
      </c>
      <c r="N941" s="177"/>
      <c r="O941" s="177"/>
      <c r="P941" s="180">
        <v>5.5</v>
      </c>
    </row>
    <row r="942" spans="1:16" ht="19.5" customHeight="1">
      <c r="A942" s="172" t="s">
        <v>981</v>
      </c>
      <c r="B942" s="176">
        <v>46031</v>
      </c>
      <c r="C942" s="172" t="s">
        <v>100</v>
      </c>
      <c r="D942" s="172" t="s">
        <v>103</v>
      </c>
      <c r="E942" s="172" t="s">
        <v>41</v>
      </c>
      <c r="F942" s="172" t="s">
        <v>83</v>
      </c>
      <c r="G942" s="172" t="s">
        <v>84</v>
      </c>
      <c r="H942" s="177">
        <v>1</v>
      </c>
      <c r="I942" s="178">
        <v>1600</v>
      </c>
      <c r="J942" s="176">
        <v>46027</v>
      </c>
      <c r="K942" s="172" t="s">
        <v>93</v>
      </c>
      <c r="L942" s="172" t="s">
        <v>94</v>
      </c>
      <c r="M942" s="179">
        <v>0</v>
      </c>
      <c r="N942" s="177"/>
      <c r="O942" s="177"/>
      <c r="P942" s="180">
        <v>1044.98</v>
      </c>
    </row>
    <row r="943" spans="1:16" ht="19.5" customHeight="1">
      <c r="A943" s="172" t="s">
        <v>981</v>
      </c>
      <c r="B943" s="176">
        <v>46031</v>
      </c>
      <c r="C943" s="172" t="s">
        <v>104</v>
      </c>
      <c r="D943" s="172" t="s">
        <v>105</v>
      </c>
      <c r="E943" s="172" t="s">
        <v>41</v>
      </c>
      <c r="F943" s="172" t="s">
        <v>83</v>
      </c>
      <c r="G943" s="172" t="s">
        <v>84</v>
      </c>
      <c r="H943" s="177">
        <v>1</v>
      </c>
      <c r="I943" s="178">
        <v>1600</v>
      </c>
      <c r="J943" s="176">
        <v>46027</v>
      </c>
      <c r="K943" s="172" t="s">
        <v>93</v>
      </c>
      <c r="L943" s="172" t="s">
        <v>94</v>
      </c>
      <c r="M943" s="179">
        <v>0.43</v>
      </c>
      <c r="N943" s="177"/>
      <c r="O943" s="177"/>
      <c r="P943" s="180">
        <v>-688</v>
      </c>
    </row>
    <row r="944" spans="1:16" ht="19.5" customHeight="1">
      <c r="A944" s="172" t="s">
        <v>982</v>
      </c>
      <c r="B944" s="176">
        <v>46031</v>
      </c>
      <c r="C944" s="172" t="s">
        <v>92</v>
      </c>
      <c r="D944" s="172" t="s">
        <v>24</v>
      </c>
      <c r="E944" s="172" t="s">
        <v>52</v>
      </c>
      <c r="F944" s="172" t="s">
        <v>90</v>
      </c>
      <c r="G944" s="172" t="s">
        <v>84</v>
      </c>
      <c r="H944" s="177">
        <v>1</v>
      </c>
      <c r="I944" s="178">
        <v>1621</v>
      </c>
      <c r="J944" s="176">
        <v>46027</v>
      </c>
      <c r="K944" s="172" t="s">
        <v>93</v>
      </c>
      <c r="L944" s="172" t="s">
        <v>94</v>
      </c>
      <c r="M944" s="179">
        <v>0.43</v>
      </c>
      <c r="N944" s="177"/>
      <c r="O944" s="177">
        <v>45</v>
      </c>
      <c r="P944" s="180">
        <v>-148.01</v>
      </c>
    </row>
    <row r="945" spans="1:16" ht="19.5" customHeight="1">
      <c r="A945" s="172" t="s">
        <v>982</v>
      </c>
      <c r="B945" s="176">
        <v>46031</v>
      </c>
      <c r="C945" s="172" t="s">
        <v>100</v>
      </c>
      <c r="D945" s="172" t="s">
        <v>101</v>
      </c>
      <c r="E945" s="172" t="s">
        <v>52</v>
      </c>
      <c r="F945" s="172" t="s">
        <v>90</v>
      </c>
      <c r="G945" s="172" t="s">
        <v>84</v>
      </c>
      <c r="H945" s="177">
        <v>1</v>
      </c>
      <c r="I945" s="178">
        <v>1621</v>
      </c>
      <c r="J945" s="176">
        <v>46027</v>
      </c>
      <c r="K945" s="172" t="s">
        <v>93</v>
      </c>
      <c r="L945" s="172" t="s">
        <v>94</v>
      </c>
      <c r="M945" s="179">
        <v>0</v>
      </c>
      <c r="N945" s="177"/>
      <c r="O945" s="177"/>
      <c r="P945" s="180">
        <v>557.14</v>
      </c>
    </row>
    <row r="946" spans="1:16" ht="19.5" customHeight="1">
      <c r="A946" s="172" t="s">
        <v>982</v>
      </c>
      <c r="B946" s="176">
        <v>46031</v>
      </c>
      <c r="C946" s="172" t="s">
        <v>100</v>
      </c>
      <c r="D946" s="172" t="s">
        <v>102</v>
      </c>
      <c r="E946" s="172" t="s">
        <v>52</v>
      </c>
      <c r="F946" s="172" t="s">
        <v>90</v>
      </c>
      <c r="G946" s="172" t="s">
        <v>84</v>
      </c>
      <c r="H946" s="177">
        <v>1</v>
      </c>
      <c r="I946" s="178">
        <v>1621</v>
      </c>
      <c r="J946" s="176">
        <v>46027</v>
      </c>
      <c r="K946" s="172" t="s">
        <v>93</v>
      </c>
      <c r="L946" s="172" t="s">
        <v>94</v>
      </c>
      <c r="M946" s="179">
        <v>0</v>
      </c>
      <c r="N946" s="177"/>
      <c r="O946" s="177"/>
      <c r="P946" s="180">
        <v>5.57</v>
      </c>
    </row>
    <row r="947" spans="1:16" ht="19.5" customHeight="1">
      <c r="A947" s="172" t="s">
        <v>982</v>
      </c>
      <c r="B947" s="176">
        <v>46031</v>
      </c>
      <c r="C947" s="172" t="s">
        <v>100</v>
      </c>
      <c r="D947" s="172" t="s">
        <v>103</v>
      </c>
      <c r="E947" s="172" t="s">
        <v>52</v>
      </c>
      <c r="F947" s="172" t="s">
        <v>90</v>
      </c>
      <c r="G947" s="172" t="s">
        <v>84</v>
      </c>
      <c r="H947" s="177">
        <v>1</v>
      </c>
      <c r="I947" s="178">
        <v>1621</v>
      </c>
      <c r="J947" s="176">
        <v>46027</v>
      </c>
      <c r="K947" s="172" t="s">
        <v>93</v>
      </c>
      <c r="L947" s="172" t="s">
        <v>94</v>
      </c>
      <c r="M947" s="179">
        <v>0</v>
      </c>
      <c r="N947" s="177"/>
      <c r="O947" s="177"/>
      <c r="P947" s="180">
        <v>1058.29</v>
      </c>
    </row>
    <row r="948" spans="1:16" ht="19.5" customHeight="1">
      <c r="A948" s="172" t="s">
        <v>982</v>
      </c>
      <c r="B948" s="176">
        <v>46031</v>
      </c>
      <c r="C948" s="172" t="s">
        <v>104</v>
      </c>
      <c r="D948" s="172" t="s">
        <v>105</v>
      </c>
      <c r="E948" s="172" t="s">
        <v>52</v>
      </c>
      <c r="F948" s="172" t="s">
        <v>90</v>
      </c>
      <c r="G948" s="172" t="s">
        <v>84</v>
      </c>
      <c r="H948" s="177">
        <v>1</v>
      </c>
      <c r="I948" s="178">
        <v>1621</v>
      </c>
      <c r="J948" s="176">
        <v>46027</v>
      </c>
      <c r="K948" s="172" t="s">
        <v>93</v>
      </c>
      <c r="L948" s="172" t="s">
        <v>94</v>
      </c>
      <c r="M948" s="179">
        <v>0.43</v>
      </c>
      <c r="N948" s="177"/>
      <c r="O948" s="177"/>
      <c r="P948" s="180">
        <v>-697.03</v>
      </c>
    </row>
    <row r="949" spans="1:16" ht="19.5" customHeight="1">
      <c r="A949" s="172" t="s">
        <v>982</v>
      </c>
      <c r="B949" s="176">
        <v>46031</v>
      </c>
      <c r="C949" s="172" t="s">
        <v>81</v>
      </c>
      <c r="D949" s="172" t="s">
        <v>95</v>
      </c>
      <c r="E949" s="172" t="s">
        <v>52</v>
      </c>
      <c r="F949" s="172" t="s">
        <v>90</v>
      </c>
      <c r="G949" s="172" t="s">
        <v>84</v>
      </c>
      <c r="H949" s="177">
        <v>1</v>
      </c>
      <c r="I949" s="178">
        <v>1621</v>
      </c>
      <c r="J949" s="176">
        <v>46027</v>
      </c>
      <c r="K949" s="172" t="s">
        <v>93</v>
      </c>
      <c r="L949" s="172" t="s">
        <v>94</v>
      </c>
      <c r="M949" s="179">
        <v>0.43</v>
      </c>
      <c r="N949" s="177"/>
      <c r="O949" s="177"/>
      <c r="P949" s="180">
        <v>-17.579999999999998</v>
      </c>
    </row>
    <row r="950" spans="1:16" ht="19.5" customHeight="1">
      <c r="A950" s="172" t="s">
        <v>983</v>
      </c>
      <c r="B950" s="176">
        <v>46031</v>
      </c>
      <c r="C950" s="172" t="s">
        <v>92</v>
      </c>
      <c r="D950" s="172" t="s">
        <v>24</v>
      </c>
      <c r="E950" s="172" t="s">
        <v>52</v>
      </c>
      <c r="F950" s="172" t="s">
        <v>90</v>
      </c>
      <c r="G950" s="172" t="s">
        <v>84</v>
      </c>
      <c r="H950" s="177">
        <v>1</v>
      </c>
      <c r="I950" s="178">
        <v>1621</v>
      </c>
      <c r="J950" s="176">
        <v>46028</v>
      </c>
      <c r="K950" s="172" t="s">
        <v>93</v>
      </c>
      <c r="L950" s="172" t="s">
        <v>94</v>
      </c>
      <c r="M950" s="179">
        <v>0.43</v>
      </c>
      <c r="N950" s="177"/>
      <c r="O950" s="177">
        <v>44</v>
      </c>
      <c r="P950" s="180">
        <v>-142.34</v>
      </c>
    </row>
    <row r="951" spans="1:16" ht="19.5" customHeight="1">
      <c r="A951" s="172" t="s">
        <v>983</v>
      </c>
      <c r="B951" s="176">
        <v>46031</v>
      </c>
      <c r="C951" s="172" t="s">
        <v>100</v>
      </c>
      <c r="D951" s="172" t="s">
        <v>101</v>
      </c>
      <c r="E951" s="172" t="s">
        <v>52</v>
      </c>
      <c r="F951" s="172" t="s">
        <v>90</v>
      </c>
      <c r="G951" s="172" t="s">
        <v>84</v>
      </c>
      <c r="H951" s="177">
        <v>1</v>
      </c>
      <c r="I951" s="178">
        <v>1621</v>
      </c>
      <c r="J951" s="176">
        <v>46028</v>
      </c>
      <c r="K951" s="172" t="s">
        <v>93</v>
      </c>
      <c r="L951" s="172" t="s">
        <v>94</v>
      </c>
      <c r="M951" s="179">
        <v>0</v>
      </c>
      <c r="N951" s="177"/>
      <c r="O951" s="177"/>
      <c r="P951" s="180">
        <v>556.08000000000004</v>
      </c>
    </row>
    <row r="952" spans="1:16" ht="19.5" customHeight="1">
      <c r="A952" s="172" t="s">
        <v>983</v>
      </c>
      <c r="B952" s="176">
        <v>46031</v>
      </c>
      <c r="C952" s="172" t="s">
        <v>100</v>
      </c>
      <c r="D952" s="172" t="s">
        <v>102</v>
      </c>
      <c r="E952" s="172" t="s">
        <v>52</v>
      </c>
      <c r="F952" s="172" t="s">
        <v>90</v>
      </c>
      <c r="G952" s="172" t="s">
        <v>84</v>
      </c>
      <c r="H952" s="177">
        <v>1</v>
      </c>
      <c r="I952" s="178">
        <v>1621</v>
      </c>
      <c r="J952" s="176">
        <v>46028</v>
      </c>
      <c r="K952" s="172" t="s">
        <v>93</v>
      </c>
      <c r="L952" s="172" t="s">
        <v>94</v>
      </c>
      <c r="M952" s="179">
        <v>0</v>
      </c>
      <c r="N952" s="177"/>
      <c r="O952" s="177"/>
      <c r="P952" s="180">
        <v>5.56</v>
      </c>
    </row>
    <row r="953" spans="1:16" ht="19.5" customHeight="1">
      <c r="A953" s="172" t="s">
        <v>983</v>
      </c>
      <c r="B953" s="176">
        <v>46031</v>
      </c>
      <c r="C953" s="172" t="s">
        <v>100</v>
      </c>
      <c r="D953" s="172" t="s">
        <v>103</v>
      </c>
      <c r="E953" s="172" t="s">
        <v>52</v>
      </c>
      <c r="F953" s="172" t="s">
        <v>90</v>
      </c>
      <c r="G953" s="172" t="s">
        <v>84</v>
      </c>
      <c r="H953" s="177">
        <v>1</v>
      </c>
      <c r="I953" s="178">
        <v>1621</v>
      </c>
      <c r="J953" s="176">
        <v>46028</v>
      </c>
      <c r="K953" s="172" t="s">
        <v>93</v>
      </c>
      <c r="L953" s="172" t="s">
        <v>94</v>
      </c>
      <c r="M953" s="179">
        <v>0</v>
      </c>
      <c r="N953" s="177"/>
      <c r="O953" s="177"/>
      <c r="P953" s="180">
        <v>1059.3599999999999</v>
      </c>
    </row>
    <row r="954" spans="1:16" ht="19.5" customHeight="1">
      <c r="A954" s="172" t="s">
        <v>983</v>
      </c>
      <c r="B954" s="176">
        <v>46031</v>
      </c>
      <c r="C954" s="172" t="s">
        <v>104</v>
      </c>
      <c r="D954" s="172" t="s">
        <v>105</v>
      </c>
      <c r="E954" s="172" t="s">
        <v>52</v>
      </c>
      <c r="F954" s="172" t="s">
        <v>90</v>
      </c>
      <c r="G954" s="172" t="s">
        <v>84</v>
      </c>
      <c r="H954" s="177">
        <v>1</v>
      </c>
      <c r="I954" s="178">
        <v>1621</v>
      </c>
      <c r="J954" s="176">
        <v>46028</v>
      </c>
      <c r="K954" s="172" t="s">
        <v>93</v>
      </c>
      <c r="L954" s="172" t="s">
        <v>94</v>
      </c>
      <c r="M954" s="179">
        <v>0.43</v>
      </c>
      <c r="N954" s="177"/>
      <c r="O954" s="177"/>
      <c r="P954" s="180">
        <v>-697.03</v>
      </c>
    </row>
    <row r="955" spans="1:16" ht="19.5" customHeight="1">
      <c r="A955" s="172" t="s">
        <v>983</v>
      </c>
      <c r="B955" s="176">
        <v>46031</v>
      </c>
      <c r="C955" s="172" t="s">
        <v>81</v>
      </c>
      <c r="D955" s="172" t="s">
        <v>95</v>
      </c>
      <c r="E955" s="172" t="s">
        <v>52</v>
      </c>
      <c r="F955" s="172" t="s">
        <v>90</v>
      </c>
      <c r="G955" s="172" t="s">
        <v>84</v>
      </c>
      <c r="H955" s="177">
        <v>1</v>
      </c>
      <c r="I955" s="178">
        <v>1621</v>
      </c>
      <c r="J955" s="176">
        <v>46028</v>
      </c>
      <c r="K955" s="172" t="s">
        <v>93</v>
      </c>
      <c r="L955" s="172" t="s">
        <v>94</v>
      </c>
      <c r="M955" s="179">
        <v>0.43</v>
      </c>
      <c r="N955" s="177"/>
      <c r="O955" s="177"/>
      <c r="P955" s="180">
        <v>-14.01</v>
      </c>
    </row>
    <row r="956" spans="1:16" ht="19.5" customHeight="1">
      <c r="A956" s="172" t="s">
        <v>984</v>
      </c>
      <c r="B956" s="176">
        <v>46031</v>
      </c>
      <c r="C956" s="172" t="s">
        <v>81</v>
      </c>
      <c r="D956" s="172" t="s">
        <v>82</v>
      </c>
      <c r="E956" s="172" t="s">
        <v>41</v>
      </c>
      <c r="F956" s="172" t="s">
        <v>83</v>
      </c>
      <c r="G956" s="172" t="s">
        <v>84</v>
      </c>
      <c r="H956" s="177">
        <v>1</v>
      </c>
      <c r="I956" s="178">
        <v>0</v>
      </c>
      <c r="J956" s="176">
        <v>46031</v>
      </c>
      <c r="K956" s="172" t="s">
        <v>85</v>
      </c>
      <c r="L956" s="172" t="s">
        <v>85</v>
      </c>
      <c r="M956" s="179">
        <v>0</v>
      </c>
      <c r="N956" s="177"/>
      <c r="O956" s="177"/>
      <c r="P956" s="180">
        <v>-10.44</v>
      </c>
    </row>
    <row r="957" spans="1:16" ht="19.5" customHeight="1">
      <c r="A957" s="172" t="s">
        <v>985</v>
      </c>
      <c r="B957" s="176">
        <v>46031</v>
      </c>
      <c r="C957" s="172" t="s">
        <v>92</v>
      </c>
      <c r="D957" s="172" t="s">
        <v>24</v>
      </c>
      <c r="E957" s="172" t="s">
        <v>53</v>
      </c>
      <c r="F957" s="172" t="s">
        <v>120</v>
      </c>
      <c r="G957" s="172" t="s">
        <v>84</v>
      </c>
      <c r="H957" s="177">
        <v>1</v>
      </c>
      <c r="I957" s="178">
        <v>0</v>
      </c>
      <c r="J957" s="176">
        <v>46022</v>
      </c>
      <c r="K957" s="172" t="s">
        <v>93</v>
      </c>
      <c r="L957" s="172" t="s">
        <v>94</v>
      </c>
      <c r="M957" s="179">
        <v>0</v>
      </c>
      <c r="N957" s="177"/>
      <c r="O957" s="177">
        <v>41</v>
      </c>
      <c r="P957" s="180">
        <v>-56</v>
      </c>
    </row>
    <row r="958" spans="1:16" ht="19.5" customHeight="1">
      <c r="A958" s="172" t="s">
        <v>986</v>
      </c>
      <c r="B958" s="176">
        <v>46031</v>
      </c>
      <c r="C958" s="172" t="s">
        <v>92</v>
      </c>
      <c r="D958" s="172" t="s">
        <v>24</v>
      </c>
      <c r="E958" s="172" t="s">
        <v>39</v>
      </c>
      <c r="F958" s="172" t="s">
        <v>117</v>
      </c>
      <c r="G958" s="172" t="s">
        <v>84</v>
      </c>
      <c r="H958" s="177">
        <v>1</v>
      </c>
      <c r="I958" s="178">
        <v>1650</v>
      </c>
      <c r="J958" s="176">
        <v>46026</v>
      </c>
      <c r="K958" s="172" t="s">
        <v>93</v>
      </c>
      <c r="L958" s="172" t="s">
        <v>94</v>
      </c>
      <c r="M958" s="179">
        <v>0.43</v>
      </c>
      <c r="N958" s="177"/>
      <c r="O958" s="177">
        <v>46</v>
      </c>
      <c r="P958" s="180">
        <v>-135.97</v>
      </c>
    </row>
    <row r="959" spans="1:16" ht="19.5" customHeight="1">
      <c r="A959" s="172" t="s">
        <v>986</v>
      </c>
      <c r="B959" s="176">
        <v>46031</v>
      </c>
      <c r="C959" s="172" t="s">
        <v>100</v>
      </c>
      <c r="D959" s="172" t="s">
        <v>101</v>
      </c>
      <c r="E959" s="172" t="s">
        <v>39</v>
      </c>
      <c r="F959" s="172" t="s">
        <v>117</v>
      </c>
      <c r="G959" s="172" t="s">
        <v>84</v>
      </c>
      <c r="H959" s="177">
        <v>1</v>
      </c>
      <c r="I959" s="178">
        <v>1650</v>
      </c>
      <c r="J959" s="176">
        <v>46026</v>
      </c>
      <c r="K959" s="172" t="s">
        <v>93</v>
      </c>
      <c r="L959" s="172" t="s">
        <v>94</v>
      </c>
      <c r="M959" s="179">
        <v>0</v>
      </c>
      <c r="N959" s="177"/>
      <c r="O959" s="177"/>
      <c r="P959" s="180">
        <v>858.1</v>
      </c>
    </row>
    <row r="960" spans="1:16" ht="19.5" customHeight="1">
      <c r="A960" s="172" t="s">
        <v>986</v>
      </c>
      <c r="B960" s="176">
        <v>46031</v>
      </c>
      <c r="C960" s="172" t="s">
        <v>100</v>
      </c>
      <c r="D960" s="172" t="s">
        <v>102</v>
      </c>
      <c r="E960" s="172" t="s">
        <v>39</v>
      </c>
      <c r="F960" s="172" t="s">
        <v>117</v>
      </c>
      <c r="G960" s="172" t="s">
        <v>84</v>
      </c>
      <c r="H960" s="177">
        <v>1</v>
      </c>
      <c r="I960" s="178">
        <v>1650</v>
      </c>
      <c r="J960" s="176">
        <v>46026</v>
      </c>
      <c r="K960" s="172" t="s">
        <v>93</v>
      </c>
      <c r="L960" s="172" t="s">
        <v>94</v>
      </c>
      <c r="M960" s="179">
        <v>0</v>
      </c>
      <c r="N960" s="177"/>
      <c r="O960" s="177"/>
      <c r="P960" s="180">
        <v>8.58</v>
      </c>
    </row>
    <row r="961" spans="1:16" ht="19.5" customHeight="1">
      <c r="A961" s="172" t="s">
        <v>986</v>
      </c>
      <c r="B961" s="176">
        <v>46031</v>
      </c>
      <c r="C961" s="172" t="s">
        <v>100</v>
      </c>
      <c r="D961" s="172" t="s">
        <v>103</v>
      </c>
      <c r="E961" s="172" t="s">
        <v>39</v>
      </c>
      <c r="F961" s="172" t="s">
        <v>117</v>
      </c>
      <c r="G961" s="172" t="s">
        <v>84</v>
      </c>
      <c r="H961" s="177">
        <v>1</v>
      </c>
      <c r="I961" s="178">
        <v>1650</v>
      </c>
      <c r="J961" s="176">
        <v>46026</v>
      </c>
      <c r="K961" s="172" t="s">
        <v>93</v>
      </c>
      <c r="L961" s="172" t="s">
        <v>94</v>
      </c>
      <c r="M961" s="179">
        <v>0</v>
      </c>
      <c r="N961" s="177"/>
      <c r="O961" s="177"/>
      <c r="P961" s="180">
        <v>783.32</v>
      </c>
    </row>
    <row r="962" spans="1:16" ht="19.5" customHeight="1">
      <c r="A962" s="172" t="s">
        <v>986</v>
      </c>
      <c r="B962" s="176">
        <v>46031</v>
      </c>
      <c r="C962" s="172" t="s">
        <v>104</v>
      </c>
      <c r="D962" s="172" t="s">
        <v>105</v>
      </c>
      <c r="E962" s="172" t="s">
        <v>39</v>
      </c>
      <c r="F962" s="172" t="s">
        <v>117</v>
      </c>
      <c r="G962" s="172" t="s">
        <v>84</v>
      </c>
      <c r="H962" s="177">
        <v>1</v>
      </c>
      <c r="I962" s="178">
        <v>1650</v>
      </c>
      <c r="J962" s="176">
        <v>46026</v>
      </c>
      <c r="K962" s="172" t="s">
        <v>93</v>
      </c>
      <c r="L962" s="172" t="s">
        <v>94</v>
      </c>
      <c r="M962" s="179">
        <v>0.43</v>
      </c>
      <c r="N962" s="177"/>
      <c r="O962" s="177"/>
      <c r="P962" s="180">
        <v>-709.5</v>
      </c>
    </row>
    <row r="963" spans="1:16" ht="19.5" customHeight="1">
      <c r="A963" s="172" t="s">
        <v>986</v>
      </c>
      <c r="B963" s="176">
        <v>46031</v>
      </c>
      <c r="C963" s="172" t="s">
        <v>81</v>
      </c>
      <c r="D963" s="172" t="s">
        <v>95</v>
      </c>
      <c r="E963" s="172" t="s">
        <v>39</v>
      </c>
      <c r="F963" s="172" t="s">
        <v>117</v>
      </c>
      <c r="G963" s="172" t="s">
        <v>84</v>
      </c>
      <c r="H963" s="177">
        <v>1</v>
      </c>
      <c r="I963" s="178">
        <v>1650</v>
      </c>
      <c r="J963" s="176">
        <v>46026</v>
      </c>
      <c r="K963" s="172" t="s">
        <v>93</v>
      </c>
      <c r="L963" s="172" t="s">
        <v>94</v>
      </c>
      <c r="M963" s="179">
        <v>0.43</v>
      </c>
      <c r="N963" s="177"/>
      <c r="O963" s="177"/>
      <c r="P963" s="180">
        <v>-7.75</v>
      </c>
    </row>
    <row r="964" spans="1:16" ht="19.5" customHeight="1">
      <c r="A964" s="172" t="s">
        <v>985</v>
      </c>
      <c r="B964" s="176">
        <v>46031</v>
      </c>
      <c r="C964" s="172" t="s">
        <v>92</v>
      </c>
      <c r="D964" s="172" t="s">
        <v>96</v>
      </c>
      <c r="E964" s="172" t="s">
        <v>53</v>
      </c>
      <c r="F964" s="172" t="s">
        <v>120</v>
      </c>
      <c r="G964" s="172" t="s">
        <v>84</v>
      </c>
      <c r="H964" s="177">
        <v>1</v>
      </c>
      <c r="I964" s="178">
        <v>0</v>
      </c>
      <c r="J964" s="176">
        <v>46022</v>
      </c>
      <c r="K964" s="172" t="s">
        <v>93</v>
      </c>
      <c r="L964" s="172" t="s">
        <v>94</v>
      </c>
      <c r="M964" s="179">
        <v>0</v>
      </c>
      <c r="N964" s="177"/>
      <c r="O964" s="177"/>
      <c r="P964" s="180">
        <v>0</v>
      </c>
    </row>
    <row r="965" spans="1:16" ht="19.5" customHeight="1">
      <c r="A965" s="172" t="s">
        <v>985</v>
      </c>
      <c r="B965" s="176">
        <v>46031</v>
      </c>
      <c r="C965" s="172" t="s">
        <v>92</v>
      </c>
      <c r="D965" s="172" t="s">
        <v>97</v>
      </c>
      <c r="E965" s="172" t="s">
        <v>53</v>
      </c>
      <c r="F965" s="172" t="s">
        <v>120</v>
      </c>
      <c r="G965" s="172" t="s">
        <v>84</v>
      </c>
      <c r="H965" s="177">
        <v>1</v>
      </c>
      <c r="I965" s="178">
        <v>0</v>
      </c>
      <c r="J965" s="176">
        <v>46022</v>
      </c>
      <c r="K965" s="172" t="s">
        <v>93</v>
      </c>
      <c r="L965" s="172" t="s">
        <v>94</v>
      </c>
      <c r="M965" s="179">
        <v>0</v>
      </c>
      <c r="N965" s="177"/>
      <c r="O965" s="177"/>
      <c r="P965" s="180">
        <v>-56</v>
      </c>
    </row>
    <row r="966" spans="1:16" ht="19.5" customHeight="1">
      <c r="A966" s="172" t="s">
        <v>987</v>
      </c>
      <c r="B966" s="176">
        <v>46031</v>
      </c>
      <c r="C966" s="172" t="s">
        <v>92</v>
      </c>
      <c r="D966" s="172" t="s">
        <v>24</v>
      </c>
      <c r="E966" s="172" t="s">
        <v>41</v>
      </c>
      <c r="F966" s="172" t="s">
        <v>83</v>
      </c>
      <c r="G966" s="172" t="s">
        <v>84</v>
      </c>
      <c r="H966" s="177">
        <v>1</v>
      </c>
      <c r="I966" s="178">
        <v>1600</v>
      </c>
      <c r="J966" s="176">
        <v>46028</v>
      </c>
      <c r="K966" s="172" t="s">
        <v>93</v>
      </c>
      <c r="L966" s="172" t="s">
        <v>94</v>
      </c>
      <c r="M966" s="179">
        <v>0.43</v>
      </c>
      <c r="N966" s="177"/>
      <c r="O966" s="177">
        <v>44</v>
      </c>
      <c r="P966" s="180">
        <v>-126.64</v>
      </c>
    </row>
    <row r="967" spans="1:16" ht="19.5" customHeight="1">
      <c r="A967" s="172" t="s">
        <v>987</v>
      </c>
      <c r="B967" s="176">
        <v>46031</v>
      </c>
      <c r="C967" s="172" t="s">
        <v>100</v>
      </c>
      <c r="D967" s="172" t="s">
        <v>101</v>
      </c>
      <c r="E967" s="172" t="s">
        <v>41</v>
      </c>
      <c r="F967" s="172" t="s">
        <v>83</v>
      </c>
      <c r="G967" s="172" t="s">
        <v>84</v>
      </c>
      <c r="H967" s="177">
        <v>1</v>
      </c>
      <c r="I967" s="178">
        <v>1600</v>
      </c>
      <c r="J967" s="176">
        <v>46028</v>
      </c>
      <c r="K967" s="172" t="s">
        <v>93</v>
      </c>
      <c r="L967" s="172" t="s">
        <v>94</v>
      </c>
      <c r="M967" s="179">
        <v>0</v>
      </c>
      <c r="N967" s="177"/>
      <c r="O967" s="177"/>
      <c r="P967" s="180">
        <v>549.52</v>
      </c>
    </row>
    <row r="968" spans="1:16" ht="19.5" customHeight="1">
      <c r="A968" s="172" t="s">
        <v>987</v>
      </c>
      <c r="B968" s="176">
        <v>46031</v>
      </c>
      <c r="C968" s="172" t="s">
        <v>100</v>
      </c>
      <c r="D968" s="172" t="s">
        <v>102</v>
      </c>
      <c r="E968" s="172" t="s">
        <v>41</v>
      </c>
      <c r="F968" s="172" t="s">
        <v>83</v>
      </c>
      <c r="G968" s="172" t="s">
        <v>84</v>
      </c>
      <c r="H968" s="177">
        <v>1</v>
      </c>
      <c r="I968" s="178">
        <v>1600</v>
      </c>
      <c r="J968" s="176">
        <v>46028</v>
      </c>
      <c r="K968" s="172" t="s">
        <v>93</v>
      </c>
      <c r="L968" s="172" t="s">
        <v>94</v>
      </c>
      <c r="M968" s="179">
        <v>0</v>
      </c>
      <c r="N968" s="177"/>
      <c r="O968" s="177"/>
      <c r="P968" s="180">
        <v>5.5</v>
      </c>
    </row>
    <row r="969" spans="1:16" ht="19.5" customHeight="1">
      <c r="A969" s="172" t="s">
        <v>987</v>
      </c>
      <c r="B969" s="176">
        <v>46031</v>
      </c>
      <c r="C969" s="172" t="s">
        <v>100</v>
      </c>
      <c r="D969" s="172" t="s">
        <v>103</v>
      </c>
      <c r="E969" s="172" t="s">
        <v>41</v>
      </c>
      <c r="F969" s="172" t="s">
        <v>83</v>
      </c>
      <c r="G969" s="172" t="s">
        <v>84</v>
      </c>
      <c r="H969" s="177">
        <v>1</v>
      </c>
      <c r="I969" s="178">
        <v>1600</v>
      </c>
      <c r="J969" s="176">
        <v>46028</v>
      </c>
      <c r="K969" s="172" t="s">
        <v>93</v>
      </c>
      <c r="L969" s="172" t="s">
        <v>94</v>
      </c>
      <c r="M969" s="179">
        <v>0</v>
      </c>
      <c r="N969" s="177"/>
      <c r="O969" s="177"/>
      <c r="P969" s="180">
        <v>1044.98</v>
      </c>
    </row>
    <row r="970" spans="1:16" ht="19.5" customHeight="1">
      <c r="A970" s="172" t="s">
        <v>987</v>
      </c>
      <c r="B970" s="176">
        <v>46031</v>
      </c>
      <c r="C970" s="172" t="s">
        <v>104</v>
      </c>
      <c r="D970" s="172" t="s">
        <v>105</v>
      </c>
      <c r="E970" s="172" t="s">
        <v>41</v>
      </c>
      <c r="F970" s="172" t="s">
        <v>83</v>
      </c>
      <c r="G970" s="172" t="s">
        <v>84</v>
      </c>
      <c r="H970" s="177">
        <v>1</v>
      </c>
      <c r="I970" s="178">
        <v>1600</v>
      </c>
      <c r="J970" s="176">
        <v>46028</v>
      </c>
      <c r="K970" s="172" t="s">
        <v>93</v>
      </c>
      <c r="L970" s="172" t="s">
        <v>94</v>
      </c>
      <c r="M970" s="179">
        <v>0.43</v>
      </c>
      <c r="N970" s="177"/>
      <c r="O970" s="177"/>
      <c r="P970" s="180">
        <v>-688</v>
      </c>
    </row>
    <row r="971" spans="1:16" ht="19.5" customHeight="1">
      <c r="A971" s="172" t="s">
        <v>987</v>
      </c>
      <c r="B971" s="176">
        <v>46031</v>
      </c>
      <c r="C971" s="172" t="s">
        <v>81</v>
      </c>
      <c r="D971" s="172" t="s">
        <v>95</v>
      </c>
      <c r="E971" s="172" t="s">
        <v>41</v>
      </c>
      <c r="F971" s="172" t="s">
        <v>83</v>
      </c>
      <c r="G971" s="172" t="s">
        <v>84</v>
      </c>
      <c r="H971" s="177">
        <v>1</v>
      </c>
      <c r="I971" s="178">
        <v>1600</v>
      </c>
      <c r="J971" s="176">
        <v>46028</v>
      </c>
      <c r="K971" s="172" t="s">
        <v>93</v>
      </c>
      <c r="L971" s="172" t="s">
        <v>94</v>
      </c>
      <c r="M971" s="179">
        <v>0.43</v>
      </c>
      <c r="N971" s="177"/>
      <c r="O971" s="177"/>
      <c r="P971" s="180">
        <v>-14.27</v>
      </c>
    </row>
    <row r="972" spans="1:16" ht="19.5" customHeight="1">
      <c r="A972" s="172" t="s">
        <v>986</v>
      </c>
      <c r="B972" s="176">
        <v>46031</v>
      </c>
      <c r="C972" s="172" t="s">
        <v>81</v>
      </c>
      <c r="D972" s="172" t="s">
        <v>82</v>
      </c>
      <c r="E972" s="172" t="s">
        <v>39</v>
      </c>
      <c r="F972" s="172" t="s">
        <v>117</v>
      </c>
      <c r="G972" s="172" t="s">
        <v>84</v>
      </c>
      <c r="H972" s="177">
        <v>1</v>
      </c>
      <c r="I972" s="178">
        <v>0</v>
      </c>
      <c r="J972" s="176">
        <v>46026</v>
      </c>
      <c r="K972" s="172" t="s">
        <v>85</v>
      </c>
      <c r="L972" s="172" t="s">
        <v>85</v>
      </c>
      <c r="M972" s="179">
        <v>0</v>
      </c>
      <c r="N972" s="177"/>
      <c r="O972" s="177"/>
      <c r="P972" s="180">
        <v>-16.3</v>
      </c>
    </row>
    <row r="973" spans="1:16" ht="19.5" customHeight="1">
      <c r="A973" s="172" t="s">
        <v>987</v>
      </c>
      <c r="B973" s="176">
        <v>46031</v>
      </c>
      <c r="C973" s="172" t="s">
        <v>81</v>
      </c>
      <c r="D973" s="172" t="s">
        <v>82</v>
      </c>
      <c r="E973" s="172" t="s">
        <v>41</v>
      </c>
      <c r="F973" s="172" t="s">
        <v>83</v>
      </c>
      <c r="G973" s="172" t="s">
        <v>84</v>
      </c>
      <c r="H973" s="177">
        <v>1</v>
      </c>
      <c r="I973" s="178">
        <v>0</v>
      </c>
      <c r="J973" s="176">
        <v>46028</v>
      </c>
      <c r="K973" s="172" t="s">
        <v>85</v>
      </c>
      <c r="L973" s="172" t="s">
        <v>85</v>
      </c>
      <c r="M973" s="179">
        <v>0</v>
      </c>
      <c r="N973" s="177"/>
      <c r="O973" s="177"/>
      <c r="P973" s="180">
        <v>-10.44</v>
      </c>
    </row>
    <row r="974" spans="1:16" ht="19.5" customHeight="1">
      <c r="A974" s="172" t="s">
        <v>247</v>
      </c>
      <c r="B974" s="176">
        <v>46031</v>
      </c>
      <c r="C974" s="172" t="s">
        <v>92</v>
      </c>
      <c r="D974" s="172" t="s">
        <v>24</v>
      </c>
      <c r="E974" s="172" t="s">
        <v>43</v>
      </c>
      <c r="F974" s="172" t="s">
        <v>125</v>
      </c>
      <c r="G974" s="172" t="s">
        <v>84</v>
      </c>
      <c r="H974" s="177">
        <v>1</v>
      </c>
      <c r="I974" s="178">
        <v>1202</v>
      </c>
      <c r="J974" s="176">
        <v>46025</v>
      </c>
      <c r="K974" s="172" t="s">
        <v>93</v>
      </c>
      <c r="L974" s="172" t="s">
        <v>94</v>
      </c>
      <c r="M974" s="179">
        <v>0.43</v>
      </c>
      <c r="N974" s="177"/>
      <c r="O974" s="177">
        <v>44</v>
      </c>
      <c r="P974" s="180">
        <v>-114.1</v>
      </c>
    </row>
    <row r="975" spans="1:16" ht="19.5" customHeight="1">
      <c r="A975" s="172" t="s">
        <v>247</v>
      </c>
      <c r="B975" s="176">
        <v>46031</v>
      </c>
      <c r="C975" s="172" t="s">
        <v>100</v>
      </c>
      <c r="D975" s="172" t="s">
        <v>101</v>
      </c>
      <c r="E975" s="172" t="s">
        <v>43</v>
      </c>
      <c r="F975" s="172" t="s">
        <v>125</v>
      </c>
      <c r="G975" s="172" t="s">
        <v>84</v>
      </c>
      <c r="H975" s="177">
        <v>1</v>
      </c>
      <c r="I975" s="178">
        <v>1202</v>
      </c>
      <c r="J975" s="176">
        <v>46025</v>
      </c>
      <c r="K975" s="172" t="s">
        <v>93</v>
      </c>
      <c r="L975" s="172" t="s">
        <v>94</v>
      </c>
      <c r="M975" s="179">
        <v>0</v>
      </c>
      <c r="N975" s="177"/>
      <c r="O975" s="177"/>
      <c r="P975" s="180">
        <v>418.96</v>
      </c>
    </row>
    <row r="976" spans="1:16" ht="19.5" customHeight="1">
      <c r="A976" s="172" t="s">
        <v>247</v>
      </c>
      <c r="B976" s="176">
        <v>46031</v>
      </c>
      <c r="C976" s="172" t="s">
        <v>100</v>
      </c>
      <c r="D976" s="172" t="s">
        <v>102</v>
      </c>
      <c r="E976" s="172" t="s">
        <v>43</v>
      </c>
      <c r="F976" s="172" t="s">
        <v>125</v>
      </c>
      <c r="G976" s="172" t="s">
        <v>84</v>
      </c>
      <c r="H976" s="177">
        <v>1</v>
      </c>
      <c r="I976" s="178">
        <v>1202</v>
      </c>
      <c r="J976" s="176">
        <v>46025</v>
      </c>
      <c r="K976" s="172" t="s">
        <v>93</v>
      </c>
      <c r="L976" s="172" t="s">
        <v>94</v>
      </c>
      <c r="M976" s="179">
        <v>0</v>
      </c>
      <c r="N976" s="177"/>
      <c r="O976" s="177"/>
      <c r="P976" s="180">
        <v>4.1900000000000004</v>
      </c>
    </row>
    <row r="977" spans="1:16" ht="19.5" customHeight="1">
      <c r="A977" s="172" t="s">
        <v>247</v>
      </c>
      <c r="B977" s="176">
        <v>46031</v>
      </c>
      <c r="C977" s="172" t="s">
        <v>100</v>
      </c>
      <c r="D977" s="172" t="s">
        <v>103</v>
      </c>
      <c r="E977" s="172" t="s">
        <v>43</v>
      </c>
      <c r="F977" s="172" t="s">
        <v>125</v>
      </c>
      <c r="G977" s="172" t="s">
        <v>84</v>
      </c>
      <c r="H977" s="177">
        <v>1</v>
      </c>
      <c r="I977" s="178">
        <v>1202</v>
      </c>
      <c r="J977" s="176">
        <v>46025</v>
      </c>
      <c r="K977" s="172" t="s">
        <v>93</v>
      </c>
      <c r="L977" s="172" t="s">
        <v>94</v>
      </c>
      <c r="M977" s="179">
        <v>0</v>
      </c>
      <c r="N977" s="177"/>
      <c r="O977" s="177"/>
      <c r="P977" s="180">
        <v>778.85</v>
      </c>
    </row>
    <row r="978" spans="1:16" ht="19.5" customHeight="1">
      <c r="A978" s="172" t="s">
        <v>247</v>
      </c>
      <c r="B978" s="176">
        <v>46031</v>
      </c>
      <c r="C978" s="172" t="s">
        <v>104</v>
      </c>
      <c r="D978" s="172" t="s">
        <v>105</v>
      </c>
      <c r="E978" s="172" t="s">
        <v>43</v>
      </c>
      <c r="F978" s="172" t="s">
        <v>125</v>
      </c>
      <c r="G978" s="172" t="s">
        <v>84</v>
      </c>
      <c r="H978" s="177">
        <v>1</v>
      </c>
      <c r="I978" s="178">
        <v>1202</v>
      </c>
      <c r="J978" s="176">
        <v>46025</v>
      </c>
      <c r="K978" s="172" t="s">
        <v>93</v>
      </c>
      <c r="L978" s="172" t="s">
        <v>94</v>
      </c>
      <c r="M978" s="179">
        <v>0.43</v>
      </c>
      <c r="N978" s="177"/>
      <c r="O978" s="177"/>
      <c r="P978" s="180">
        <v>-516.86</v>
      </c>
    </row>
    <row r="979" spans="1:16" ht="19.5" customHeight="1">
      <c r="A979" s="172" t="s">
        <v>247</v>
      </c>
      <c r="B979" s="176">
        <v>46031</v>
      </c>
      <c r="C979" s="172" t="s">
        <v>81</v>
      </c>
      <c r="D979" s="172" t="s">
        <v>95</v>
      </c>
      <c r="E979" s="172" t="s">
        <v>43</v>
      </c>
      <c r="F979" s="172" t="s">
        <v>125</v>
      </c>
      <c r="G979" s="172" t="s">
        <v>84</v>
      </c>
      <c r="H979" s="177">
        <v>1</v>
      </c>
      <c r="I979" s="178">
        <v>1202</v>
      </c>
      <c r="J979" s="176">
        <v>46025</v>
      </c>
      <c r="K979" s="172" t="s">
        <v>93</v>
      </c>
      <c r="L979" s="172" t="s">
        <v>94</v>
      </c>
      <c r="M979" s="179">
        <v>0.43</v>
      </c>
      <c r="N979" s="177"/>
      <c r="O979" s="177"/>
      <c r="P979" s="180">
        <v>-6.3</v>
      </c>
    </row>
    <row r="980" spans="1:16" ht="19.5" customHeight="1">
      <c r="A980" s="172" t="s">
        <v>988</v>
      </c>
      <c r="B980" s="176">
        <v>46031</v>
      </c>
      <c r="C980" s="172" t="s">
        <v>92</v>
      </c>
      <c r="D980" s="172" t="s">
        <v>24</v>
      </c>
      <c r="E980" s="172" t="s">
        <v>41</v>
      </c>
      <c r="F980" s="172" t="s">
        <v>83</v>
      </c>
      <c r="G980" s="172" t="s">
        <v>84</v>
      </c>
      <c r="H980" s="177">
        <v>1</v>
      </c>
      <c r="I980" s="178">
        <v>1600</v>
      </c>
      <c r="J980" s="176">
        <v>46029</v>
      </c>
      <c r="K980" s="172" t="s">
        <v>93</v>
      </c>
      <c r="L980" s="172" t="s">
        <v>94</v>
      </c>
      <c r="M980" s="179">
        <v>0.43</v>
      </c>
      <c r="N980" s="177"/>
      <c r="O980" s="177">
        <v>43</v>
      </c>
      <c r="P980" s="180">
        <v>-122.83</v>
      </c>
    </row>
    <row r="981" spans="1:16" ht="19.5" customHeight="1">
      <c r="A981" s="172" t="s">
        <v>988</v>
      </c>
      <c r="B981" s="176">
        <v>46031</v>
      </c>
      <c r="C981" s="172" t="s">
        <v>100</v>
      </c>
      <c r="D981" s="172" t="s">
        <v>101</v>
      </c>
      <c r="E981" s="172" t="s">
        <v>41</v>
      </c>
      <c r="F981" s="172" t="s">
        <v>83</v>
      </c>
      <c r="G981" s="172" t="s">
        <v>84</v>
      </c>
      <c r="H981" s="177">
        <v>1</v>
      </c>
      <c r="I981" s="178">
        <v>1600</v>
      </c>
      <c r="J981" s="176">
        <v>46029</v>
      </c>
      <c r="K981" s="172" t="s">
        <v>93</v>
      </c>
      <c r="L981" s="172" t="s">
        <v>94</v>
      </c>
      <c r="M981" s="179">
        <v>0</v>
      </c>
      <c r="N981" s="177"/>
      <c r="O981" s="177"/>
      <c r="P981" s="180">
        <v>549</v>
      </c>
    </row>
    <row r="982" spans="1:16" ht="19.5" customHeight="1">
      <c r="A982" s="172" t="s">
        <v>988</v>
      </c>
      <c r="B982" s="176">
        <v>46031</v>
      </c>
      <c r="C982" s="172" t="s">
        <v>100</v>
      </c>
      <c r="D982" s="172" t="s">
        <v>102</v>
      </c>
      <c r="E982" s="172" t="s">
        <v>41</v>
      </c>
      <c r="F982" s="172" t="s">
        <v>83</v>
      </c>
      <c r="G982" s="172" t="s">
        <v>84</v>
      </c>
      <c r="H982" s="177">
        <v>1</v>
      </c>
      <c r="I982" s="178">
        <v>1600</v>
      </c>
      <c r="J982" s="176">
        <v>46029</v>
      </c>
      <c r="K982" s="172" t="s">
        <v>93</v>
      </c>
      <c r="L982" s="172" t="s">
        <v>94</v>
      </c>
      <c r="M982" s="179">
        <v>0</v>
      </c>
      <c r="N982" s="177"/>
      <c r="O982" s="177"/>
      <c r="P982" s="180">
        <v>5.49</v>
      </c>
    </row>
    <row r="983" spans="1:16" ht="19.5" customHeight="1">
      <c r="A983" s="172" t="s">
        <v>988</v>
      </c>
      <c r="B983" s="176">
        <v>46031</v>
      </c>
      <c r="C983" s="172" t="s">
        <v>100</v>
      </c>
      <c r="D983" s="172" t="s">
        <v>103</v>
      </c>
      <c r="E983" s="172" t="s">
        <v>41</v>
      </c>
      <c r="F983" s="172" t="s">
        <v>83</v>
      </c>
      <c r="G983" s="172" t="s">
        <v>84</v>
      </c>
      <c r="H983" s="177">
        <v>1</v>
      </c>
      <c r="I983" s="178">
        <v>1600</v>
      </c>
      <c r="J983" s="176">
        <v>46029</v>
      </c>
      <c r="K983" s="172" t="s">
        <v>93</v>
      </c>
      <c r="L983" s="172" t="s">
        <v>94</v>
      </c>
      <c r="M983" s="179">
        <v>0</v>
      </c>
      <c r="N983" s="177"/>
      <c r="O983" s="177"/>
      <c r="P983" s="180">
        <v>1045.51</v>
      </c>
    </row>
    <row r="984" spans="1:16" ht="19.5" customHeight="1">
      <c r="A984" s="172" t="s">
        <v>988</v>
      </c>
      <c r="B984" s="176">
        <v>46031</v>
      </c>
      <c r="C984" s="172" t="s">
        <v>104</v>
      </c>
      <c r="D984" s="172" t="s">
        <v>105</v>
      </c>
      <c r="E984" s="172" t="s">
        <v>41</v>
      </c>
      <c r="F984" s="172" t="s">
        <v>83</v>
      </c>
      <c r="G984" s="172" t="s">
        <v>84</v>
      </c>
      <c r="H984" s="177">
        <v>1</v>
      </c>
      <c r="I984" s="178">
        <v>1600</v>
      </c>
      <c r="J984" s="176">
        <v>46029</v>
      </c>
      <c r="K984" s="172" t="s">
        <v>93</v>
      </c>
      <c r="L984" s="172" t="s">
        <v>94</v>
      </c>
      <c r="M984" s="179">
        <v>0.43</v>
      </c>
      <c r="N984" s="177"/>
      <c r="O984" s="177"/>
      <c r="P984" s="180">
        <v>-688</v>
      </c>
    </row>
    <row r="985" spans="1:16" ht="19.5" customHeight="1">
      <c r="A985" s="172" t="s">
        <v>988</v>
      </c>
      <c r="B985" s="176">
        <v>46031</v>
      </c>
      <c r="C985" s="172" t="s">
        <v>81</v>
      </c>
      <c r="D985" s="172" t="s">
        <v>95</v>
      </c>
      <c r="E985" s="172" t="s">
        <v>41</v>
      </c>
      <c r="F985" s="172" t="s">
        <v>83</v>
      </c>
      <c r="G985" s="172" t="s">
        <v>84</v>
      </c>
      <c r="H985" s="177">
        <v>1</v>
      </c>
      <c r="I985" s="178">
        <v>1600</v>
      </c>
      <c r="J985" s="176">
        <v>46029</v>
      </c>
      <c r="K985" s="172" t="s">
        <v>93</v>
      </c>
      <c r="L985" s="172" t="s">
        <v>94</v>
      </c>
      <c r="M985" s="179">
        <v>0.43</v>
      </c>
      <c r="N985" s="177"/>
      <c r="O985" s="177"/>
      <c r="P985" s="180">
        <v>-19.05</v>
      </c>
    </row>
    <row r="986" spans="1:16" ht="19.5" customHeight="1">
      <c r="A986" s="172" t="s">
        <v>989</v>
      </c>
      <c r="B986" s="176">
        <v>46031</v>
      </c>
      <c r="C986" s="172" t="s">
        <v>92</v>
      </c>
      <c r="D986" s="172" t="s">
        <v>24</v>
      </c>
      <c r="E986" s="172" t="s">
        <v>53</v>
      </c>
      <c r="F986" s="172" t="s">
        <v>120</v>
      </c>
      <c r="G986" s="172" t="s">
        <v>84</v>
      </c>
      <c r="H986" s="177">
        <v>1</v>
      </c>
      <c r="I986" s="178">
        <v>1845</v>
      </c>
      <c r="J986" s="176">
        <v>46022</v>
      </c>
      <c r="K986" s="172" t="s">
        <v>93</v>
      </c>
      <c r="L986" s="172" t="s">
        <v>94</v>
      </c>
      <c r="M986" s="179">
        <v>0.43</v>
      </c>
      <c r="N986" s="177"/>
      <c r="O986" s="177">
        <v>41</v>
      </c>
      <c r="P986" s="180">
        <v>-136.06</v>
      </c>
    </row>
    <row r="987" spans="1:16" ht="19.5" customHeight="1">
      <c r="A987" s="172" t="s">
        <v>989</v>
      </c>
      <c r="B987" s="176">
        <v>46031</v>
      </c>
      <c r="C987" s="172" t="s">
        <v>100</v>
      </c>
      <c r="D987" s="172" t="s">
        <v>101</v>
      </c>
      <c r="E987" s="172" t="s">
        <v>53</v>
      </c>
      <c r="F987" s="172" t="s">
        <v>120</v>
      </c>
      <c r="G987" s="172" t="s">
        <v>84</v>
      </c>
      <c r="H987" s="177">
        <v>1</v>
      </c>
      <c r="I987" s="178">
        <v>1845</v>
      </c>
      <c r="J987" s="176">
        <v>46022</v>
      </c>
      <c r="K987" s="172" t="s">
        <v>93</v>
      </c>
      <c r="L987" s="172" t="s">
        <v>94</v>
      </c>
      <c r="M987" s="179">
        <v>0</v>
      </c>
      <c r="N987" s="177"/>
      <c r="O987" s="177"/>
      <c r="P987" s="180">
        <v>642.86</v>
      </c>
    </row>
    <row r="988" spans="1:16" ht="19.5" customHeight="1">
      <c r="A988" s="172" t="s">
        <v>989</v>
      </c>
      <c r="B988" s="176">
        <v>46031</v>
      </c>
      <c r="C988" s="172" t="s">
        <v>100</v>
      </c>
      <c r="D988" s="172" t="s">
        <v>102</v>
      </c>
      <c r="E988" s="172" t="s">
        <v>53</v>
      </c>
      <c r="F988" s="172" t="s">
        <v>120</v>
      </c>
      <c r="G988" s="172" t="s">
        <v>84</v>
      </c>
      <c r="H988" s="177">
        <v>1</v>
      </c>
      <c r="I988" s="178">
        <v>1845</v>
      </c>
      <c r="J988" s="176">
        <v>46022</v>
      </c>
      <c r="K988" s="172" t="s">
        <v>93</v>
      </c>
      <c r="L988" s="172" t="s">
        <v>94</v>
      </c>
      <c r="M988" s="179">
        <v>0</v>
      </c>
      <c r="N988" s="177"/>
      <c r="O988" s="177"/>
      <c r="P988" s="180">
        <v>6.43</v>
      </c>
    </row>
    <row r="989" spans="1:16" ht="19.5" customHeight="1">
      <c r="A989" s="172" t="s">
        <v>989</v>
      </c>
      <c r="B989" s="176">
        <v>46031</v>
      </c>
      <c r="C989" s="172" t="s">
        <v>100</v>
      </c>
      <c r="D989" s="172" t="s">
        <v>103</v>
      </c>
      <c r="E989" s="172" t="s">
        <v>53</v>
      </c>
      <c r="F989" s="172" t="s">
        <v>120</v>
      </c>
      <c r="G989" s="172" t="s">
        <v>84</v>
      </c>
      <c r="H989" s="177">
        <v>1</v>
      </c>
      <c r="I989" s="178">
        <v>1845</v>
      </c>
      <c r="J989" s="176">
        <v>46022</v>
      </c>
      <c r="K989" s="172" t="s">
        <v>93</v>
      </c>
      <c r="L989" s="172" t="s">
        <v>94</v>
      </c>
      <c r="M989" s="179">
        <v>0</v>
      </c>
      <c r="N989" s="177"/>
      <c r="O989" s="177"/>
      <c r="P989" s="180">
        <v>1195.71</v>
      </c>
    </row>
    <row r="990" spans="1:16" ht="19.5" customHeight="1">
      <c r="A990" s="172" t="s">
        <v>989</v>
      </c>
      <c r="B990" s="176">
        <v>46031</v>
      </c>
      <c r="C990" s="172" t="s">
        <v>104</v>
      </c>
      <c r="D990" s="172" t="s">
        <v>105</v>
      </c>
      <c r="E990" s="172" t="s">
        <v>53</v>
      </c>
      <c r="F990" s="172" t="s">
        <v>120</v>
      </c>
      <c r="G990" s="172" t="s">
        <v>84</v>
      </c>
      <c r="H990" s="177">
        <v>1</v>
      </c>
      <c r="I990" s="178">
        <v>1845</v>
      </c>
      <c r="J990" s="176">
        <v>46022</v>
      </c>
      <c r="K990" s="172" t="s">
        <v>93</v>
      </c>
      <c r="L990" s="172" t="s">
        <v>94</v>
      </c>
      <c r="M990" s="179">
        <v>0.43</v>
      </c>
      <c r="N990" s="177"/>
      <c r="O990" s="177"/>
      <c r="P990" s="180">
        <v>-793.35</v>
      </c>
    </row>
    <row r="991" spans="1:16" ht="19.5" customHeight="1">
      <c r="A991" s="172" t="s">
        <v>989</v>
      </c>
      <c r="B991" s="176">
        <v>46031</v>
      </c>
      <c r="C991" s="172" t="s">
        <v>81</v>
      </c>
      <c r="D991" s="172" t="s">
        <v>95</v>
      </c>
      <c r="E991" s="172" t="s">
        <v>53</v>
      </c>
      <c r="F991" s="172" t="s">
        <v>120</v>
      </c>
      <c r="G991" s="172" t="s">
        <v>84</v>
      </c>
      <c r="H991" s="177">
        <v>1</v>
      </c>
      <c r="I991" s="178">
        <v>1845</v>
      </c>
      <c r="J991" s="176">
        <v>46022</v>
      </c>
      <c r="K991" s="172" t="s">
        <v>93</v>
      </c>
      <c r="L991" s="172" t="s">
        <v>94</v>
      </c>
      <c r="M991" s="179">
        <v>0.43</v>
      </c>
      <c r="N991" s="177"/>
      <c r="O991" s="177"/>
      <c r="P991" s="180">
        <v>-25</v>
      </c>
    </row>
    <row r="992" spans="1:16" ht="19.5" customHeight="1">
      <c r="A992" s="172" t="s">
        <v>990</v>
      </c>
      <c r="B992" s="176">
        <v>46031</v>
      </c>
      <c r="C992" s="172" t="s">
        <v>92</v>
      </c>
      <c r="D992" s="172" t="s">
        <v>24</v>
      </c>
      <c r="E992" s="172" t="s">
        <v>38</v>
      </c>
      <c r="F992" s="172" t="s">
        <v>87</v>
      </c>
      <c r="G992" s="172" t="s">
        <v>84</v>
      </c>
      <c r="H992" s="177">
        <v>1</v>
      </c>
      <c r="I992" s="178">
        <v>1650</v>
      </c>
      <c r="J992" s="176">
        <v>46028</v>
      </c>
      <c r="K992" s="172" t="s">
        <v>93</v>
      </c>
      <c r="L992" s="172" t="s">
        <v>94</v>
      </c>
      <c r="M992" s="179">
        <v>0.43</v>
      </c>
      <c r="N992" s="177"/>
      <c r="O992" s="177">
        <v>44</v>
      </c>
      <c r="P992" s="180">
        <v>-128.22</v>
      </c>
    </row>
    <row r="993" spans="1:16" ht="19.5" customHeight="1">
      <c r="A993" s="172" t="s">
        <v>990</v>
      </c>
      <c r="B993" s="176">
        <v>46031</v>
      </c>
      <c r="C993" s="172" t="s">
        <v>100</v>
      </c>
      <c r="D993" s="172" t="s">
        <v>101</v>
      </c>
      <c r="E993" s="172" t="s">
        <v>38</v>
      </c>
      <c r="F993" s="172" t="s">
        <v>87</v>
      </c>
      <c r="G993" s="172" t="s">
        <v>84</v>
      </c>
      <c r="H993" s="177">
        <v>1</v>
      </c>
      <c r="I993" s="178">
        <v>1650</v>
      </c>
      <c r="J993" s="176">
        <v>46028</v>
      </c>
      <c r="K993" s="172" t="s">
        <v>93</v>
      </c>
      <c r="L993" s="172" t="s">
        <v>94</v>
      </c>
      <c r="M993" s="179">
        <v>0</v>
      </c>
      <c r="N993" s="177"/>
      <c r="O993" s="177"/>
      <c r="P993" s="180">
        <v>589.52</v>
      </c>
    </row>
    <row r="994" spans="1:16" ht="19.5" customHeight="1">
      <c r="A994" s="172" t="s">
        <v>990</v>
      </c>
      <c r="B994" s="176">
        <v>46031</v>
      </c>
      <c r="C994" s="172" t="s">
        <v>100</v>
      </c>
      <c r="D994" s="172" t="s">
        <v>102</v>
      </c>
      <c r="E994" s="172" t="s">
        <v>38</v>
      </c>
      <c r="F994" s="172" t="s">
        <v>87</v>
      </c>
      <c r="G994" s="172" t="s">
        <v>84</v>
      </c>
      <c r="H994" s="177">
        <v>1</v>
      </c>
      <c r="I994" s="178">
        <v>1650</v>
      </c>
      <c r="J994" s="176">
        <v>46028</v>
      </c>
      <c r="K994" s="172" t="s">
        <v>93</v>
      </c>
      <c r="L994" s="172" t="s">
        <v>94</v>
      </c>
      <c r="M994" s="179">
        <v>0</v>
      </c>
      <c r="N994" s="177"/>
      <c r="O994" s="177"/>
      <c r="P994" s="180">
        <v>5.9</v>
      </c>
    </row>
    <row r="995" spans="1:16" ht="19.5" customHeight="1">
      <c r="A995" s="172" t="s">
        <v>990</v>
      </c>
      <c r="B995" s="176">
        <v>46031</v>
      </c>
      <c r="C995" s="172" t="s">
        <v>100</v>
      </c>
      <c r="D995" s="172" t="s">
        <v>103</v>
      </c>
      <c r="E995" s="172" t="s">
        <v>38</v>
      </c>
      <c r="F995" s="172" t="s">
        <v>87</v>
      </c>
      <c r="G995" s="172" t="s">
        <v>84</v>
      </c>
      <c r="H995" s="177">
        <v>1</v>
      </c>
      <c r="I995" s="178">
        <v>1650</v>
      </c>
      <c r="J995" s="176">
        <v>46028</v>
      </c>
      <c r="K995" s="172" t="s">
        <v>93</v>
      </c>
      <c r="L995" s="172" t="s">
        <v>94</v>
      </c>
      <c r="M995" s="179">
        <v>0</v>
      </c>
      <c r="N995" s="177"/>
      <c r="O995" s="177"/>
      <c r="P995" s="180">
        <v>1054.58</v>
      </c>
    </row>
    <row r="996" spans="1:16" ht="19.5" customHeight="1">
      <c r="A996" s="172" t="s">
        <v>990</v>
      </c>
      <c r="B996" s="176">
        <v>46031</v>
      </c>
      <c r="C996" s="172" t="s">
        <v>104</v>
      </c>
      <c r="D996" s="172" t="s">
        <v>105</v>
      </c>
      <c r="E996" s="172" t="s">
        <v>38</v>
      </c>
      <c r="F996" s="172" t="s">
        <v>87</v>
      </c>
      <c r="G996" s="172" t="s">
        <v>84</v>
      </c>
      <c r="H996" s="177">
        <v>1</v>
      </c>
      <c r="I996" s="178">
        <v>1650</v>
      </c>
      <c r="J996" s="176">
        <v>46028</v>
      </c>
      <c r="K996" s="172" t="s">
        <v>93</v>
      </c>
      <c r="L996" s="172" t="s">
        <v>94</v>
      </c>
      <c r="M996" s="179">
        <v>0.43</v>
      </c>
      <c r="N996" s="177"/>
      <c r="O996" s="177"/>
      <c r="P996" s="180">
        <v>-709.5</v>
      </c>
    </row>
    <row r="997" spans="1:16" ht="19.5" customHeight="1">
      <c r="A997" s="172" t="s">
        <v>990</v>
      </c>
      <c r="B997" s="176">
        <v>46031</v>
      </c>
      <c r="C997" s="172" t="s">
        <v>81</v>
      </c>
      <c r="D997" s="172" t="s">
        <v>95</v>
      </c>
      <c r="E997" s="172" t="s">
        <v>38</v>
      </c>
      <c r="F997" s="172" t="s">
        <v>87</v>
      </c>
      <c r="G997" s="172" t="s">
        <v>84</v>
      </c>
      <c r="H997" s="177">
        <v>1</v>
      </c>
      <c r="I997" s="178">
        <v>1650</v>
      </c>
      <c r="J997" s="176">
        <v>46028</v>
      </c>
      <c r="K997" s="172" t="s">
        <v>93</v>
      </c>
      <c r="L997" s="172" t="s">
        <v>94</v>
      </c>
      <c r="M997" s="179">
        <v>0.43</v>
      </c>
      <c r="N997" s="177"/>
      <c r="O997" s="177"/>
      <c r="P997" s="180">
        <v>-12.38</v>
      </c>
    </row>
    <row r="998" spans="1:16" ht="19.5" customHeight="1">
      <c r="A998" s="172" t="s">
        <v>991</v>
      </c>
      <c r="B998" s="176">
        <v>46031</v>
      </c>
      <c r="C998" s="172" t="s">
        <v>92</v>
      </c>
      <c r="D998" s="172" t="s">
        <v>24</v>
      </c>
      <c r="E998" s="172" t="s">
        <v>53</v>
      </c>
      <c r="F998" s="172" t="s">
        <v>120</v>
      </c>
      <c r="G998" s="172" t="s">
        <v>84</v>
      </c>
      <c r="H998" s="177">
        <v>1</v>
      </c>
      <c r="I998" s="178">
        <v>1845</v>
      </c>
      <c r="J998" s="176">
        <v>46028</v>
      </c>
      <c r="K998" s="172" t="s">
        <v>93</v>
      </c>
      <c r="L998" s="172" t="s">
        <v>94</v>
      </c>
      <c r="M998" s="179">
        <v>0.43</v>
      </c>
      <c r="N998" s="177"/>
      <c r="O998" s="177">
        <v>44</v>
      </c>
      <c r="P998" s="180">
        <v>-149.4</v>
      </c>
    </row>
    <row r="999" spans="1:16" ht="19.5" customHeight="1">
      <c r="A999" s="172" t="s">
        <v>991</v>
      </c>
      <c r="B999" s="176">
        <v>46031</v>
      </c>
      <c r="C999" s="172" t="s">
        <v>100</v>
      </c>
      <c r="D999" s="172" t="s">
        <v>101</v>
      </c>
      <c r="E999" s="172" t="s">
        <v>53</v>
      </c>
      <c r="F999" s="172" t="s">
        <v>120</v>
      </c>
      <c r="G999" s="172" t="s">
        <v>84</v>
      </c>
      <c r="H999" s="177">
        <v>1</v>
      </c>
      <c r="I999" s="178">
        <v>1845</v>
      </c>
      <c r="J999" s="176">
        <v>46028</v>
      </c>
      <c r="K999" s="172" t="s">
        <v>93</v>
      </c>
      <c r="L999" s="172" t="s">
        <v>94</v>
      </c>
      <c r="M999" s="179">
        <v>0</v>
      </c>
      <c r="N999" s="177"/>
      <c r="O999" s="177"/>
      <c r="P999" s="180">
        <v>642.86</v>
      </c>
    </row>
    <row r="1000" spans="1:16" ht="19.5" customHeight="1">
      <c r="A1000" s="172" t="s">
        <v>991</v>
      </c>
      <c r="B1000" s="176">
        <v>46031</v>
      </c>
      <c r="C1000" s="172" t="s">
        <v>100</v>
      </c>
      <c r="D1000" s="172" t="s">
        <v>102</v>
      </c>
      <c r="E1000" s="172" t="s">
        <v>53</v>
      </c>
      <c r="F1000" s="172" t="s">
        <v>120</v>
      </c>
      <c r="G1000" s="172" t="s">
        <v>84</v>
      </c>
      <c r="H1000" s="177">
        <v>1</v>
      </c>
      <c r="I1000" s="178">
        <v>1845</v>
      </c>
      <c r="J1000" s="176">
        <v>46028</v>
      </c>
      <c r="K1000" s="172" t="s">
        <v>93</v>
      </c>
      <c r="L1000" s="172" t="s">
        <v>94</v>
      </c>
      <c r="M1000" s="179">
        <v>0</v>
      </c>
      <c r="N1000" s="177"/>
      <c r="O1000" s="177"/>
      <c r="P1000" s="180">
        <v>6.43</v>
      </c>
    </row>
    <row r="1001" spans="1:16" ht="19.5" customHeight="1">
      <c r="A1001" s="172" t="s">
        <v>991</v>
      </c>
      <c r="B1001" s="176">
        <v>46031</v>
      </c>
      <c r="C1001" s="172" t="s">
        <v>100</v>
      </c>
      <c r="D1001" s="172" t="s">
        <v>103</v>
      </c>
      <c r="E1001" s="172" t="s">
        <v>53</v>
      </c>
      <c r="F1001" s="172" t="s">
        <v>120</v>
      </c>
      <c r="G1001" s="172" t="s">
        <v>84</v>
      </c>
      <c r="H1001" s="177">
        <v>1</v>
      </c>
      <c r="I1001" s="178">
        <v>1845</v>
      </c>
      <c r="J1001" s="176">
        <v>46028</v>
      </c>
      <c r="K1001" s="172" t="s">
        <v>93</v>
      </c>
      <c r="L1001" s="172" t="s">
        <v>94</v>
      </c>
      <c r="M1001" s="179">
        <v>0</v>
      </c>
      <c r="N1001" s="177"/>
      <c r="O1001" s="177"/>
      <c r="P1001" s="180">
        <v>1195.71</v>
      </c>
    </row>
    <row r="1002" spans="1:16" ht="19.5" customHeight="1">
      <c r="A1002" s="172" t="s">
        <v>991</v>
      </c>
      <c r="B1002" s="176">
        <v>46031</v>
      </c>
      <c r="C1002" s="172" t="s">
        <v>104</v>
      </c>
      <c r="D1002" s="172" t="s">
        <v>105</v>
      </c>
      <c r="E1002" s="172" t="s">
        <v>53</v>
      </c>
      <c r="F1002" s="172" t="s">
        <v>120</v>
      </c>
      <c r="G1002" s="172" t="s">
        <v>84</v>
      </c>
      <c r="H1002" s="177">
        <v>1</v>
      </c>
      <c r="I1002" s="178">
        <v>1845</v>
      </c>
      <c r="J1002" s="176">
        <v>46028</v>
      </c>
      <c r="K1002" s="172" t="s">
        <v>93</v>
      </c>
      <c r="L1002" s="172" t="s">
        <v>94</v>
      </c>
      <c r="M1002" s="179">
        <v>0.43</v>
      </c>
      <c r="N1002" s="177"/>
      <c r="O1002" s="177"/>
      <c r="P1002" s="180">
        <v>-793.35</v>
      </c>
    </row>
    <row r="1003" spans="1:16" ht="19.5" customHeight="1">
      <c r="A1003" s="172" t="s">
        <v>991</v>
      </c>
      <c r="B1003" s="176">
        <v>46031</v>
      </c>
      <c r="C1003" s="172" t="s">
        <v>81</v>
      </c>
      <c r="D1003" s="172" t="s">
        <v>95</v>
      </c>
      <c r="E1003" s="172" t="s">
        <v>53</v>
      </c>
      <c r="F1003" s="172" t="s">
        <v>120</v>
      </c>
      <c r="G1003" s="172" t="s">
        <v>84</v>
      </c>
      <c r="H1003" s="177">
        <v>1</v>
      </c>
      <c r="I1003" s="178">
        <v>1845</v>
      </c>
      <c r="J1003" s="176">
        <v>46028</v>
      </c>
      <c r="K1003" s="172" t="s">
        <v>93</v>
      </c>
      <c r="L1003" s="172" t="s">
        <v>94</v>
      </c>
      <c r="M1003" s="179">
        <v>0.43</v>
      </c>
      <c r="N1003" s="177"/>
      <c r="O1003" s="177"/>
      <c r="P1003" s="180">
        <v>-13.84</v>
      </c>
    </row>
    <row r="1004" spans="1:16" ht="19.5" customHeight="1">
      <c r="A1004" s="172" t="s">
        <v>992</v>
      </c>
      <c r="B1004" s="176">
        <v>46031</v>
      </c>
      <c r="C1004" s="172" t="s">
        <v>92</v>
      </c>
      <c r="D1004" s="172" t="s">
        <v>24</v>
      </c>
      <c r="E1004" s="172" t="s">
        <v>41</v>
      </c>
      <c r="F1004" s="172" t="s">
        <v>83</v>
      </c>
      <c r="G1004" s="172" t="s">
        <v>84</v>
      </c>
      <c r="H1004" s="177">
        <v>1</v>
      </c>
      <c r="I1004" s="178">
        <v>1600</v>
      </c>
      <c r="J1004" s="176">
        <v>46030</v>
      </c>
      <c r="K1004" s="172" t="s">
        <v>93</v>
      </c>
      <c r="L1004" s="172" t="s">
        <v>94</v>
      </c>
      <c r="M1004" s="179">
        <v>0.43</v>
      </c>
      <c r="N1004" s="177"/>
      <c r="O1004" s="177">
        <v>42</v>
      </c>
      <c r="P1004" s="180">
        <v>-117.82</v>
      </c>
    </row>
    <row r="1005" spans="1:16" ht="19.5" customHeight="1">
      <c r="A1005" s="172" t="s">
        <v>992</v>
      </c>
      <c r="B1005" s="176">
        <v>46031</v>
      </c>
      <c r="C1005" s="172" t="s">
        <v>100</v>
      </c>
      <c r="D1005" s="172" t="s">
        <v>101</v>
      </c>
      <c r="E1005" s="172" t="s">
        <v>41</v>
      </c>
      <c r="F1005" s="172" t="s">
        <v>83</v>
      </c>
      <c r="G1005" s="172" t="s">
        <v>84</v>
      </c>
      <c r="H1005" s="177">
        <v>1</v>
      </c>
      <c r="I1005" s="178">
        <v>1600</v>
      </c>
      <c r="J1005" s="176">
        <v>46030</v>
      </c>
      <c r="K1005" s="172" t="s">
        <v>93</v>
      </c>
      <c r="L1005" s="172" t="s">
        <v>94</v>
      </c>
      <c r="M1005" s="179">
        <v>0</v>
      </c>
      <c r="N1005" s="177"/>
      <c r="O1005" s="177"/>
      <c r="P1005" s="180">
        <v>549.52</v>
      </c>
    </row>
    <row r="1006" spans="1:16" ht="19.5" customHeight="1">
      <c r="A1006" s="172" t="s">
        <v>992</v>
      </c>
      <c r="B1006" s="176">
        <v>46031</v>
      </c>
      <c r="C1006" s="172" t="s">
        <v>100</v>
      </c>
      <c r="D1006" s="172" t="s">
        <v>102</v>
      </c>
      <c r="E1006" s="172" t="s">
        <v>41</v>
      </c>
      <c r="F1006" s="172" t="s">
        <v>83</v>
      </c>
      <c r="G1006" s="172" t="s">
        <v>84</v>
      </c>
      <c r="H1006" s="177">
        <v>1</v>
      </c>
      <c r="I1006" s="178">
        <v>1600</v>
      </c>
      <c r="J1006" s="176">
        <v>46030</v>
      </c>
      <c r="K1006" s="172" t="s">
        <v>93</v>
      </c>
      <c r="L1006" s="172" t="s">
        <v>94</v>
      </c>
      <c r="M1006" s="179">
        <v>0</v>
      </c>
      <c r="N1006" s="177"/>
      <c r="O1006" s="177"/>
      <c r="P1006" s="180">
        <v>5.5</v>
      </c>
    </row>
    <row r="1007" spans="1:16" ht="19.5" customHeight="1">
      <c r="A1007" s="172" t="s">
        <v>992</v>
      </c>
      <c r="B1007" s="176">
        <v>46031</v>
      </c>
      <c r="C1007" s="172" t="s">
        <v>100</v>
      </c>
      <c r="D1007" s="172" t="s">
        <v>103</v>
      </c>
      <c r="E1007" s="172" t="s">
        <v>41</v>
      </c>
      <c r="F1007" s="172" t="s">
        <v>83</v>
      </c>
      <c r="G1007" s="172" t="s">
        <v>84</v>
      </c>
      <c r="H1007" s="177">
        <v>1</v>
      </c>
      <c r="I1007" s="178">
        <v>1600</v>
      </c>
      <c r="J1007" s="176">
        <v>46030</v>
      </c>
      <c r="K1007" s="172" t="s">
        <v>93</v>
      </c>
      <c r="L1007" s="172" t="s">
        <v>94</v>
      </c>
      <c r="M1007" s="179">
        <v>0</v>
      </c>
      <c r="N1007" s="177"/>
      <c r="O1007" s="177"/>
      <c r="P1007" s="180">
        <v>1044.98</v>
      </c>
    </row>
    <row r="1008" spans="1:16" ht="19.5" customHeight="1">
      <c r="A1008" s="172" t="s">
        <v>992</v>
      </c>
      <c r="B1008" s="176">
        <v>46031</v>
      </c>
      <c r="C1008" s="172" t="s">
        <v>104</v>
      </c>
      <c r="D1008" s="172" t="s">
        <v>105</v>
      </c>
      <c r="E1008" s="172" t="s">
        <v>41</v>
      </c>
      <c r="F1008" s="172" t="s">
        <v>83</v>
      </c>
      <c r="G1008" s="172" t="s">
        <v>84</v>
      </c>
      <c r="H1008" s="177">
        <v>1</v>
      </c>
      <c r="I1008" s="178">
        <v>1600</v>
      </c>
      <c r="J1008" s="176">
        <v>46030</v>
      </c>
      <c r="K1008" s="172" t="s">
        <v>93</v>
      </c>
      <c r="L1008" s="172" t="s">
        <v>94</v>
      </c>
      <c r="M1008" s="179">
        <v>0.43</v>
      </c>
      <c r="N1008" s="177"/>
      <c r="O1008" s="177"/>
      <c r="P1008" s="180">
        <v>-688</v>
      </c>
    </row>
    <row r="1009" spans="1:16" ht="19.5" customHeight="1">
      <c r="A1009" s="172" t="s">
        <v>992</v>
      </c>
      <c r="B1009" s="176">
        <v>46031</v>
      </c>
      <c r="C1009" s="172" t="s">
        <v>81</v>
      </c>
      <c r="D1009" s="172" t="s">
        <v>95</v>
      </c>
      <c r="E1009" s="172" t="s">
        <v>41</v>
      </c>
      <c r="F1009" s="172" t="s">
        <v>83</v>
      </c>
      <c r="G1009" s="172" t="s">
        <v>84</v>
      </c>
      <c r="H1009" s="177">
        <v>1</v>
      </c>
      <c r="I1009" s="178">
        <v>1600</v>
      </c>
      <c r="J1009" s="176">
        <v>46030</v>
      </c>
      <c r="K1009" s="172" t="s">
        <v>93</v>
      </c>
      <c r="L1009" s="172" t="s">
        <v>94</v>
      </c>
      <c r="M1009" s="179">
        <v>0.43</v>
      </c>
      <c r="N1009" s="177"/>
      <c r="O1009" s="177"/>
      <c r="P1009" s="180">
        <v>-25</v>
      </c>
    </row>
    <row r="1010" spans="1:16" ht="19.5" customHeight="1">
      <c r="A1010" s="172" t="s">
        <v>993</v>
      </c>
      <c r="B1010" s="176">
        <v>46031</v>
      </c>
      <c r="C1010" s="172" t="s">
        <v>92</v>
      </c>
      <c r="D1010" s="172" t="s">
        <v>24</v>
      </c>
      <c r="E1010" s="172" t="s">
        <v>41</v>
      </c>
      <c r="F1010" s="172" t="s">
        <v>83</v>
      </c>
      <c r="G1010" s="172" t="s">
        <v>84</v>
      </c>
      <c r="H1010" s="177">
        <v>1</v>
      </c>
      <c r="I1010" s="178">
        <v>1600</v>
      </c>
      <c r="J1010" s="176">
        <v>46028</v>
      </c>
      <c r="K1010" s="172" t="s">
        <v>93</v>
      </c>
      <c r="L1010" s="172" t="s">
        <v>94</v>
      </c>
      <c r="M1010" s="179">
        <v>0.43</v>
      </c>
      <c r="N1010" s="177"/>
      <c r="O1010" s="177">
        <v>44</v>
      </c>
      <c r="P1010" s="180">
        <v>-125.38</v>
      </c>
    </row>
    <row r="1011" spans="1:16" ht="19.5" customHeight="1">
      <c r="A1011" s="172" t="s">
        <v>993</v>
      </c>
      <c r="B1011" s="176">
        <v>46031</v>
      </c>
      <c r="C1011" s="172" t="s">
        <v>100</v>
      </c>
      <c r="D1011" s="172" t="s">
        <v>101</v>
      </c>
      <c r="E1011" s="172" t="s">
        <v>41</v>
      </c>
      <c r="F1011" s="172" t="s">
        <v>83</v>
      </c>
      <c r="G1011" s="172" t="s">
        <v>84</v>
      </c>
      <c r="H1011" s="177">
        <v>1</v>
      </c>
      <c r="I1011" s="178">
        <v>1600</v>
      </c>
      <c r="J1011" s="176">
        <v>46028</v>
      </c>
      <c r="K1011" s="172" t="s">
        <v>93</v>
      </c>
      <c r="L1011" s="172" t="s">
        <v>94</v>
      </c>
      <c r="M1011" s="179">
        <v>0</v>
      </c>
      <c r="N1011" s="177"/>
      <c r="O1011" s="177"/>
      <c r="P1011" s="180">
        <v>549.52</v>
      </c>
    </row>
    <row r="1012" spans="1:16" ht="19.5" customHeight="1">
      <c r="A1012" s="172" t="s">
        <v>993</v>
      </c>
      <c r="B1012" s="176">
        <v>46031</v>
      </c>
      <c r="C1012" s="172" t="s">
        <v>100</v>
      </c>
      <c r="D1012" s="172" t="s">
        <v>102</v>
      </c>
      <c r="E1012" s="172" t="s">
        <v>41</v>
      </c>
      <c r="F1012" s="172" t="s">
        <v>83</v>
      </c>
      <c r="G1012" s="172" t="s">
        <v>84</v>
      </c>
      <c r="H1012" s="177">
        <v>1</v>
      </c>
      <c r="I1012" s="178">
        <v>1600</v>
      </c>
      <c r="J1012" s="176">
        <v>46028</v>
      </c>
      <c r="K1012" s="172" t="s">
        <v>93</v>
      </c>
      <c r="L1012" s="172" t="s">
        <v>94</v>
      </c>
      <c r="M1012" s="179">
        <v>0</v>
      </c>
      <c r="N1012" s="177"/>
      <c r="O1012" s="177"/>
      <c r="P1012" s="180">
        <v>5.5</v>
      </c>
    </row>
    <row r="1013" spans="1:16" ht="19.5" customHeight="1">
      <c r="A1013" s="172" t="s">
        <v>993</v>
      </c>
      <c r="B1013" s="176">
        <v>46031</v>
      </c>
      <c r="C1013" s="172" t="s">
        <v>100</v>
      </c>
      <c r="D1013" s="172" t="s">
        <v>103</v>
      </c>
      <c r="E1013" s="172" t="s">
        <v>41</v>
      </c>
      <c r="F1013" s="172" t="s">
        <v>83</v>
      </c>
      <c r="G1013" s="172" t="s">
        <v>84</v>
      </c>
      <c r="H1013" s="177">
        <v>1</v>
      </c>
      <c r="I1013" s="178">
        <v>1600</v>
      </c>
      <c r="J1013" s="176">
        <v>46028</v>
      </c>
      <c r="K1013" s="172" t="s">
        <v>93</v>
      </c>
      <c r="L1013" s="172" t="s">
        <v>94</v>
      </c>
      <c r="M1013" s="179">
        <v>0</v>
      </c>
      <c r="N1013" s="177"/>
      <c r="O1013" s="177"/>
      <c r="P1013" s="180">
        <v>1044.98</v>
      </c>
    </row>
    <row r="1014" spans="1:16" ht="19.5" customHeight="1">
      <c r="A1014" s="172" t="s">
        <v>993</v>
      </c>
      <c r="B1014" s="176">
        <v>46031</v>
      </c>
      <c r="C1014" s="172" t="s">
        <v>104</v>
      </c>
      <c r="D1014" s="172" t="s">
        <v>105</v>
      </c>
      <c r="E1014" s="172" t="s">
        <v>41</v>
      </c>
      <c r="F1014" s="172" t="s">
        <v>83</v>
      </c>
      <c r="G1014" s="172" t="s">
        <v>84</v>
      </c>
      <c r="H1014" s="177">
        <v>1</v>
      </c>
      <c r="I1014" s="178">
        <v>1600</v>
      </c>
      <c r="J1014" s="176">
        <v>46028</v>
      </c>
      <c r="K1014" s="172" t="s">
        <v>93</v>
      </c>
      <c r="L1014" s="172" t="s">
        <v>94</v>
      </c>
      <c r="M1014" s="179">
        <v>0.43</v>
      </c>
      <c r="N1014" s="177"/>
      <c r="O1014" s="177"/>
      <c r="P1014" s="180">
        <v>-688</v>
      </c>
    </row>
    <row r="1015" spans="1:16" ht="19.5" customHeight="1">
      <c r="A1015" s="172" t="s">
        <v>993</v>
      </c>
      <c r="B1015" s="176">
        <v>46031</v>
      </c>
      <c r="C1015" s="172" t="s">
        <v>81</v>
      </c>
      <c r="D1015" s="172" t="s">
        <v>95</v>
      </c>
      <c r="E1015" s="172" t="s">
        <v>41</v>
      </c>
      <c r="F1015" s="172" t="s">
        <v>83</v>
      </c>
      <c r="G1015" s="172" t="s">
        <v>84</v>
      </c>
      <c r="H1015" s="177">
        <v>1</v>
      </c>
      <c r="I1015" s="178">
        <v>1600</v>
      </c>
      <c r="J1015" s="176">
        <v>46028</v>
      </c>
      <c r="K1015" s="172" t="s">
        <v>93</v>
      </c>
      <c r="L1015" s="172" t="s">
        <v>94</v>
      </c>
      <c r="M1015" s="179">
        <v>0.43</v>
      </c>
      <c r="N1015" s="177"/>
      <c r="O1015" s="177"/>
      <c r="P1015" s="180">
        <v>-20.27</v>
      </c>
    </row>
    <row r="1016" spans="1:16" ht="19.5" customHeight="1">
      <c r="A1016" s="172" t="s">
        <v>991</v>
      </c>
      <c r="B1016" s="176">
        <v>46031</v>
      </c>
      <c r="C1016" s="172" t="s">
        <v>81</v>
      </c>
      <c r="D1016" s="172" t="s">
        <v>82</v>
      </c>
      <c r="E1016" s="172" t="s">
        <v>53</v>
      </c>
      <c r="F1016" s="172" t="s">
        <v>120</v>
      </c>
      <c r="G1016" s="172" t="s">
        <v>84</v>
      </c>
      <c r="H1016" s="177">
        <v>1</v>
      </c>
      <c r="I1016" s="178">
        <v>0</v>
      </c>
      <c r="J1016" s="176">
        <v>46028</v>
      </c>
      <c r="K1016" s="172" t="s">
        <v>85</v>
      </c>
      <c r="L1016" s="172" t="s">
        <v>85</v>
      </c>
      <c r="M1016" s="179">
        <v>0</v>
      </c>
      <c r="N1016" s="177"/>
      <c r="O1016" s="177"/>
      <c r="P1016" s="180">
        <v>-12.21</v>
      </c>
    </row>
    <row r="1017" spans="1:16" ht="19.5" customHeight="1">
      <c r="A1017" s="172" t="s">
        <v>990</v>
      </c>
      <c r="B1017" s="176">
        <v>46031</v>
      </c>
      <c r="C1017" s="172" t="s">
        <v>81</v>
      </c>
      <c r="D1017" s="172" t="s">
        <v>82</v>
      </c>
      <c r="E1017" s="172" t="s">
        <v>38</v>
      </c>
      <c r="F1017" s="172" t="s">
        <v>87</v>
      </c>
      <c r="G1017" s="172" t="s">
        <v>84</v>
      </c>
      <c r="H1017" s="177">
        <v>1</v>
      </c>
      <c r="I1017" s="178">
        <v>0</v>
      </c>
      <c r="J1017" s="176">
        <v>46028</v>
      </c>
      <c r="K1017" s="172" t="s">
        <v>85</v>
      </c>
      <c r="L1017" s="172" t="s">
        <v>85</v>
      </c>
      <c r="M1017" s="179">
        <v>0</v>
      </c>
      <c r="N1017" s="177"/>
      <c r="O1017" s="177"/>
      <c r="P1017" s="180">
        <v>-11.2</v>
      </c>
    </row>
    <row r="1018" spans="1:16" ht="19.5" customHeight="1">
      <c r="A1018" s="172" t="s">
        <v>435</v>
      </c>
      <c r="B1018" s="176">
        <v>46031</v>
      </c>
      <c r="C1018" s="172" t="s">
        <v>166</v>
      </c>
      <c r="D1018" s="172" t="s">
        <v>167</v>
      </c>
      <c r="E1018" s="172" t="s">
        <v>52</v>
      </c>
      <c r="F1018" s="172" t="s">
        <v>90</v>
      </c>
      <c r="G1018" s="172" t="s">
        <v>84</v>
      </c>
      <c r="H1018" s="177">
        <v>1</v>
      </c>
      <c r="I1018" s="178">
        <v>-1621</v>
      </c>
      <c r="J1018" s="176">
        <v>46027</v>
      </c>
      <c r="K1018" s="172" t="s">
        <v>93</v>
      </c>
      <c r="L1018" s="172" t="s">
        <v>94</v>
      </c>
      <c r="M1018" s="179">
        <v>0</v>
      </c>
      <c r="N1018" s="177"/>
      <c r="O1018" s="177"/>
      <c r="P1018" s="180">
        <v>-557.14</v>
      </c>
    </row>
    <row r="1019" spans="1:16" ht="19.5" customHeight="1">
      <c r="A1019" s="172" t="s">
        <v>435</v>
      </c>
      <c r="B1019" s="176">
        <v>46031</v>
      </c>
      <c r="C1019" s="172" t="s">
        <v>166</v>
      </c>
      <c r="D1019" s="172" t="s">
        <v>102</v>
      </c>
      <c r="E1019" s="172" t="s">
        <v>52</v>
      </c>
      <c r="F1019" s="172" t="s">
        <v>90</v>
      </c>
      <c r="G1019" s="172" t="s">
        <v>84</v>
      </c>
      <c r="H1019" s="177">
        <v>1</v>
      </c>
      <c r="I1019" s="178">
        <v>-1621</v>
      </c>
      <c r="J1019" s="176">
        <v>46027</v>
      </c>
      <c r="K1019" s="172" t="s">
        <v>93</v>
      </c>
      <c r="L1019" s="172" t="s">
        <v>94</v>
      </c>
      <c r="M1019" s="179">
        <v>0</v>
      </c>
      <c r="N1019" s="177"/>
      <c r="O1019" s="177"/>
      <c r="P1019" s="180">
        <v>-5.57</v>
      </c>
    </row>
    <row r="1020" spans="1:16" ht="19.5" customHeight="1">
      <c r="A1020" s="172" t="s">
        <v>435</v>
      </c>
      <c r="B1020" s="176">
        <v>46031</v>
      </c>
      <c r="C1020" s="172" t="s">
        <v>166</v>
      </c>
      <c r="D1020" s="172" t="s">
        <v>103</v>
      </c>
      <c r="E1020" s="172" t="s">
        <v>52</v>
      </c>
      <c r="F1020" s="172" t="s">
        <v>90</v>
      </c>
      <c r="G1020" s="172" t="s">
        <v>84</v>
      </c>
      <c r="H1020" s="177">
        <v>1</v>
      </c>
      <c r="I1020" s="178">
        <v>-1621</v>
      </c>
      <c r="J1020" s="176">
        <v>46027</v>
      </c>
      <c r="K1020" s="172" t="s">
        <v>93</v>
      </c>
      <c r="L1020" s="172" t="s">
        <v>94</v>
      </c>
      <c r="M1020" s="179">
        <v>0</v>
      </c>
      <c r="N1020" s="177"/>
      <c r="O1020" s="177"/>
      <c r="P1020" s="180">
        <v>-1058.29</v>
      </c>
    </row>
    <row r="1021" spans="1:16" ht="19.5" customHeight="1">
      <c r="A1021" s="172" t="s">
        <v>435</v>
      </c>
      <c r="B1021" s="176">
        <v>46031</v>
      </c>
      <c r="C1021" s="172" t="s">
        <v>104</v>
      </c>
      <c r="D1021" s="172" t="s">
        <v>168</v>
      </c>
      <c r="E1021" s="172" t="s">
        <v>52</v>
      </c>
      <c r="F1021" s="172" t="s">
        <v>90</v>
      </c>
      <c r="G1021" s="172" t="s">
        <v>84</v>
      </c>
      <c r="H1021" s="177">
        <v>1</v>
      </c>
      <c r="I1021" s="178">
        <v>-1621</v>
      </c>
      <c r="J1021" s="176">
        <v>46027</v>
      </c>
      <c r="K1021" s="172" t="s">
        <v>93</v>
      </c>
      <c r="L1021" s="172" t="s">
        <v>94</v>
      </c>
      <c r="M1021" s="179">
        <v>0.43</v>
      </c>
      <c r="N1021" s="177"/>
      <c r="O1021" s="177"/>
      <c r="P1021" s="180">
        <v>697.03</v>
      </c>
    </row>
    <row r="1022" spans="1:16" ht="19.5" customHeight="1">
      <c r="A1022" s="172" t="s">
        <v>994</v>
      </c>
      <c r="B1022" s="176">
        <v>46031</v>
      </c>
      <c r="C1022" s="172" t="s">
        <v>92</v>
      </c>
      <c r="D1022" s="172" t="s">
        <v>24</v>
      </c>
      <c r="E1022" s="172" t="s">
        <v>41</v>
      </c>
      <c r="F1022" s="172" t="s">
        <v>83</v>
      </c>
      <c r="G1022" s="172" t="s">
        <v>84</v>
      </c>
      <c r="H1022" s="177">
        <v>1</v>
      </c>
      <c r="I1022" s="178">
        <v>1600</v>
      </c>
      <c r="J1022" s="176">
        <v>46029</v>
      </c>
      <c r="K1022" s="172" t="s">
        <v>93</v>
      </c>
      <c r="L1022" s="172" t="s">
        <v>94</v>
      </c>
      <c r="M1022" s="179">
        <v>0.43</v>
      </c>
      <c r="N1022" s="177"/>
      <c r="O1022" s="177">
        <v>43</v>
      </c>
      <c r="P1022" s="180">
        <v>-122.83</v>
      </c>
    </row>
    <row r="1023" spans="1:16" ht="19.5" customHeight="1">
      <c r="A1023" s="172" t="s">
        <v>994</v>
      </c>
      <c r="B1023" s="176">
        <v>46031</v>
      </c>
      <c r="C1023" s="172" t="s">
        <v>100</v>
      </c>
      <c r="D1023" s="172" t="s">
        <v>101</v>
      </c>
      <c r="E1023" s="172" t="s">
        <v>41</v>
      </c>
      <c r="F1023" s="172" t="s">
        <v>83</v>
      </c>
      <c r="G1023" s="172" t="s">
        <v>84</v>
      </c>
      <c r="H1023" s="177">
        <v>1</v>
      </c>
      <c r="I1023" s="178">
        <v>1600</v>
      </c>
      <c r="J1023" s="176">
        <v>46029</v>
      </c>
      <c r="K1023" s="172" t="s">
        <v>93</v>
      </c>
      <c r="L1023" s="172" t="s">
        <v>94</v>
      </c>
      <c r="M1023" s="179">
        <v>0</v>
      </c>
      <c r="N1023" s="177"/>
      <c r="O1023" s="177"/>
      <c r="P1023" s="180">
        <v>549.52</v>
      </c>
    </row>
    <row r="1024" spans="1:16" ht="19.5" customHeight="1">
      <c r="A1024" s="172" t="s">
        <v>994</v>
      </c>
      <c r="B1024" s="176">
        <v>46031</v>
      </c>
      <c r="C1024" s="172" t="s">
        <v>100</v>
      </c>
      <c r="D1024" s="172" t="s">
        <v>102</v>
      </c>
      <c r="E1024" s="172" t="s">
        <v>41</v>
      </c>
      <c r="F1024" s="172" t="s">
        <v>83</v>
      </c>
      <c r="G1024" s="172" t="s">
        <v>84</v>
      </c>
      <c r="H1024" s="177">
        <v>1</v>
      </c>
      <c r="I1024" s="178">
        <v>1600</v>
      </c>
      <c r="J1024" s="176">
        <v>46029</v>
      </c>
      <c r="K1024" s="172" t="s">
        <v>93</v>
      </c>
      <c r="L1024" s="172" t="s">
        <v>94</v>
      </c>
      <c r="M1024" s="179">
        <v>0</v>
      </c>
      <c r="N1024" s="177"/>
      <c r="O1024" s="177"/>
      <c r="P1024" s="180">
        <v>5.5</v>
      </c>
    </row>
    <row r="1025" spans="1:16" ht="19.5" customHeight="1">
      <c r="A1025" s="172" t="s">
        <v>994</v>
      </c>
      <c r="B1025" s="176">
        <v>46031</v>
      </c>
      <c r="C1025" s="172" t="s">
        <v>100</v>
      </c>
      <c r="D1025" s="172" t="s">
        <v>103</v>
      </c>
      <c r="E1025" s="172" t="s">
        <v>41</v>
      </c>
      <c r="F1025" s="172" t="s">
        <v>83</v>
      </c>
      <c r="G1025" s="172" t="s">
        <v>84</v>
      </c>
      <c r="H1025" s="177">
        <v>1</v>
      </c>
      <c r="I1025" s="178">
        <v>1600</v>
      </c>
      <c r="J1025" s="176">
        <v>46029</v>
      </c>
      <c r="K1025" s="172" t="s">
        <v>93</v>
      </c>
      <c r="L1025" s="172" t="s">
        <v>94</v>
      </c>
      <c r="M1025" s="179">
        <v>0</v>
      </c>
      <c r="N1025" s="177"/>
      <c r="O1025" s="177"/>
      <c r="P1025" s="180">
        <v>1044.98</v>
      </c>
    </row>
    <row r="1026" spans="1:16" ht="19.5" customHeight="1">
      <c r="A1026" s="172" t="s">
        <v>994</v>
      </c>
      <c r="B1026" s="176">
        <v>46031</v>
      </c>
      <c r="C1026" s="172" t="s">
        <v>104</v>
      </c>
      <c r="D1026" s="172" t="s">
        <v>105</v>
      </c>
      <c r="E1026" s="172" t="s">
        <v>41</v>
      </c>
      <c r="F1026" s="172" t="s">
        <v>83</v>
      </c>
      <c r="G1026" s="172" t="s">
        <v>84</v>
      </c>
      <c r="H1026" s="177">
        <v>1</v>
      </c>
      <c r="I1026" s="178">
        <v>1600</v>
      </c>
      <c r="J1026" s="176">
        <v>46029</v>
      </c>
      <c r="K1026" s="172" t="s">
        <v>93</v>
      </c>
      <c r="L1026" s="172" t="s">
        <v>94</v>
      </c>
      <c r="M1026" s="179">
        <v>0.43</v>
      </c>
      <c r="N1026" s="177"/>
      <c r="O1026" s="177"/>
      <c r="P1026" s="180">
        <v>-688</v>
      </c>
    </row>
    <row r="1027" spans="1:16" ht="19.5" customHeight="1">
      <c r="A1027" s="172" t="s">
        <v>994</v>
      </c>
      <c r="B1027" s="176">
        <v>46031</v>
      </c>
      <c r="C1027" s="172" t="s">
        <v>81</v>
      </c>
      <c r="D1027" s="172" t="s">
        <v>95</v>
      </c>
      <c r="E1027" s="172" t="s">
        <v>41</v>
      </c>
      <c r="F1027" s="172" t="s">
        <v>83</v>
      </c>
      <c r="G1027" s="172" t="s">
        <v>84</v>
      </c>
      <c r="H1027" s="177">
        <v>1</v>
      </c>
      <c r="I1027" s="178">
        <v>1600</v>
      </c>
      <c r="J1027" s="176">
        <v>46029</v>
      </c>
      <c r="K1027" s="172" t="s">
        <v>93</v>
      </c>
      <c r="L1027" s="172" t="s">
        <v>94</v>
      </c>
      <c r="M1027" s="179">
        <v>0.43</v>
      </c>
      <c r="N1027" s="177"/>
      <c r="O1027" s="177"/>
      <c r="P1027" s="180">
        <v>-8.33</v>
      </c>
    </row>
    <row r="1028" spans="1:16" ht="19.5" customHeight="1">
      <c r="A1028" s="172" t="s">
        <v>995</v>
      </c>
      <c r="B1028" s="176">
        <v>46031</v>
      </c>
      <c r="C1028" s="172" t="s">
        <v>92</v>
      </c>
      <c r="D1028" s="172" t="s">
        <v>24</v>
      </c>
      <c r="E1028" s="172" t="s">
        <v>41</v>
      </c>
      <c r="F1028" s="172" t="s">
        <v>83</v>
      </c>
      <c r="G1028" s="172" t="s">
        <v>84</v>
      </c>
      <c r="H1028" s="177">
        <v>1</v>
      </c>
      <c r="I1028" s="178">
        <v>1600</v>
      </c>
      <c r="J1028" s="176">
        <v>46027</v>
      </c>
      <c r="K1028" s="172" t="s">
        <v>93</v>
      </c>
      <c r="L1028" s="172" t="s">
        <v>94</v>
      </c>
      <c r="M1028" s="179">
        <v>0.43</v>
      </c>
      <c r="N1028" s="177"/>
      <c r="O1028" s="177">
        <v>45</v>
      </c>
      <c r="P1028" s="180">
        <v>-130.44</v>
      </c>
    </row>
    <row r="1029" spans="1:16" ht="19.5" customHeight="1">
      <c r="A1029" s="172" t="s">
        <v>995</v>
      </c>
      <c r="B1029" s="176">
        <v>46031</v>
      </c>
      <c r="C1029" s="172" t="s">
        <v>100</v>
      </c>
      <c r="D1029" s="172" t="s">
        <v>101</v>
      </c>
      <c r="E1029" s="172" t="s">
        <v>41</v>
      </c>
      <c r="F1029" s="172" t="s">
        <v>83</v>
      </c>
      <c r="G1029" s="172" t="s">
        <v>84</v>
      </c>
      <c r="H1029" s="177">
        <v>1</v>
      </c>
      <c r="I1029" s="178">
        <v>1600</v>
      </c>
      <c r="J1029" s="176">
        <v>46027</v>
      </c>
      <c r="K1029" s="172" t="s">
        <v>93</v>
      </c>
      <c r="L1029" s="172" t="s">
        <v>94</v>
      </c>
      <c r="M1029" s="179">
        <v>0</v>
      </c>
      <c r="N1029" s="177"/>
      <c r="O1029" s="177"/>
      <c r="P1029" s="180">
        <v>546.91999999999996</v>
      </c>
    </row>
    <row r="1030" spans="1:16" ht="19.5" customHeight="1">
      <c r="A1030" s="172" t="s">
        <v>995</v>
      </c>
      <c r="B1030" s="176">
        <v>46031</v>
      </c>
      <c r="C1030" s="172" t="s">
        <v>100</v>
      </c>
      <c r="D1030" s="172" t="s">
        <v>102</v>
      </c>
      <c r="E1030" s="172" t="s">
        <v>41</v>
      </c>
      <c r="F1030" s="172" t="s">
        <v>83</v>
      </c>
      <c r="G1030" s="172" t="s">
        <v>84</v>
      </c>
      <c r="H1030" s="177">
        <v>1</v>
      </c>
      <c r="I1030" s="178">
        <v>1600</v>
      </c>
      <c r="J1030" s="176">
        <v>46027</v>
      </c>
      <c r="K1030" s="172" t="s">
        <v>93</v>
      </c>
      <c r="L1030" s="172" t="s">
        <v>94</v>
      </c>
      <c r="M1030" s="179">
        <v>0</v>
      </c>
      <c r="N1030" s="177"/>
      <c r="O1030" s="177"/>
      <c r="P1030" s="180">
        <v>5.47</v>
      </c>
    </row>
    <row r="1031" spans="1:16" ht="19.5" customHeight="1">
      <c r="A1031" s="172" t="s">
        <v>995</v>
      </c>
      <c r="B1031" s="176">
        <v>46031</v>
      </c>
      <c r="C1031" s="172" t="s">
        <v>100</v>
      </c>
      <c r="D1031" s="172" t="s">
        <v>103</v>
      </c>
      <c r="E1031" s="172" t="s">
        <v>41</v>
      </c>
      <c r="F1031" s="172" t="s">
        <v>83</v>
      </c>
      <c r="G1031" s="172" t="s">
        <v>84</v>
      </c>
      <c r="H1031" s="177">
        <v>1</v>
      </c>
      <c r="I1031" s="178">
        <v>1600</v>
      </c>
      <c r="J1031" s="176">
        <v>46027</v>
      </c>
      <c r="K1031" s="172" t="s">
        <v>93</v>
      </c>
      <c r="L1031" s="172" t="s">
        <v>94</v>
      </c>
      <c r="M1031" s="179">
        <v>0</v>
      </c>
      <c r="N1031" s="177"/>
      <c r="O1031" s="177"/>
      <c r="P1031" s="180">
        <v>1047.6099999999999</v>
      </c>
    </row>
    <row r="1032" spans="1:16" ht="19.5" customHeight="1">
      <c r="A1032" s="172" t="s">
        <v>995</v>
      </c>
      <c r="B1032" s="176">
        <v>46031</v>
      </c>
      <c r="C1032" s="172" t="s">
        <v>104</v>
      </c>
      <c r="D1032" s="172" t="s">
        <v>105</v>
      </c>
      <c r="E1032" s="172" t="s">
        <v>41</v>
      </c>
      <c r="F1032" s="172" t="s">
        <v>83</v>
      </c>
      <c r="G1032" s="172" t="s">
        <v>84</v>
      </c>
      <c r="H1032" s="177">
        <v>1</v>
      </c>
      <c r="I1032" s="178">
        <v>1600</v>
      </c>
      <c r="J1032" s="176">
        <v>46027</v>
      </c>
      <c r="K1032" s="172" t="s">
        <v>93</v>
      </c>
      <c r="L1032" s="172" t="s">
        <v>94</v>
      </c>
      <c r="M1032" s="179">
        <v>0.43</v>
      </c>
      <c r="N1032" s="177"/>
      <c r="O1032" s="177"/>
      <c r="P1032" s="180">
        <v>-688</v>
      </c>
    </row>
    <row r="1033" spans="1:16" ht="19.5" customHeight="1">
      <c r="A1033" s="172" t="s">
        <v>995</v>
      </c>
      <c r="B1033" s="176">
        <v>46031</v>
      </c>
      <c r="C1033" s="172" t="s">
        <v>81</v>
      </c>
      <c r="D1033" s="172" t="s">
        <v>95</v>
      </c>
      <c r="E1033" s="172" t="s">
        <v>41</v>
      </c>
      <c r="F1033" s="172" t="s">
        <v>83</v>
      </c>
      <c r="G1033" s="172" t="s">
        <v>84</v>
      </c>
      <c r="H1033" s="177">
        <v>1</v>
      </c>
      <c r="I1033" s="178">
        <v>1600</v>
      </c>
      <c r="J1033" s="176">
        <v>46027</v>
      </c>
      <c r="K1033" s="172" t="s">
        <v>93</v>
      </c>
      <c r="L1033" s="172" t="s">
        <v>94</v>
      </c>
      <c r="M1033" s="179">
        <v>0.43</v>
      </c>
      <c r="N1033" s="177"/>
      <c r="O1033" s="177"/>
      <c r="P1033" s="180">
        <v>-8.7200000000000006</v>
      </c>
    </row>
    <row r="1034" spans="1:16" ht="19.5" customHeight="1">
      <c r="A1034" s="172" t="s">
        <v>996</v>
      </c>
      <c r="B1034" s="176">
        <v>46031</v>
      </c>
      <c r="C1034" s="172" t="s">
        <v>92</v>
      </c>
      <c r="D1034" s="172" t="s">
        <v>24</v>
      </c>
      <c r="E1034" s="172" t="s">
        <v>53</v>
      </c>
      <c r="F1034" s="172" t="s">
        <v>120</v>
      </c>
      <c r="G1034" s="172" t="s">
        <v>84</v>
      </c>
      <c r="H1034" s="177">
        <v>1</v>
      </c>
      <c r="I1034" s="178">
        <v>1845</v>
      </c>
      <c r="J1034" s="176">
        <v>46030</v>
      </c>
      <c r="K1034" s="172" t="s">
        <v>93</v>
      </c>
      <c r="L1034" s="172" t="s">
        <v>94</v>
      </c>
      <c r="M1034" s="179">
        <v>0.43</v>
      </c>
      <c r="N1034" s="177"/>
      <c r="O1034" s="177">
        <v>42</v>
      </c>
      <c r="P1034" s="180">
        <v>-140.5</v>
      </c>
    </row>
    <row r="1035" spans="1:16" ht="19.5" customHeight="1">
      <c r="A1035" s="172" t="s">
        <v>996</v>
      </c>
      <c r="B1035" s="176">
        <v>46031</v>
      </c>
      <c r="C1035" s="172" t="s">
        <v>100</v>
      </c>
      <c r="D1035" s="172" t="s">
        <v>101</v>
      </c>
      <c r="E1035" s="172" t="s">
        <v>53</v>
      </c>
      <c r="F1035" s="172" t="s">
        <v>120</v>
      </c>
      <c r="G1035" s="172" t="s">
        <v>84</v>
      </c>
      <c r="H1035" s="177">
        <v>1</v>
      </c>
      <c r="I1035" s="178">
        <v>1845</v>
      </c>
      <c r="J1035" s="176">
        <v>46030</v>
      </c>
      <c r="K1035" s="172" t="s">
        <v>93</v>
      </c>
      <c r="L1035" s="172" t="s">
        <v>94</v>
      </c>
      <c r="M1035" s="179">
        <v>0</v>
      </c>
      <c r="N1035" s="177"/>
      <c r="O1035" s="177"/>
      <c r="P1035" s="180">
        <v>623.47</v>
      </c>
    </row>
    <row r="1036" spans="1:16" ht="19.5" customHeight="1">
      <c r="A1036" s="172" t="s">
        <v>996</v>
      </c>
      <c r="B1036" s="176">
        <v>46031</v>
      </c>
      <c r="C1036" s="172" t="s">
        <v>100</v>
      </c>
      <c r="D1036" s="172" t="s">
        <v>102</v>
      </c>
      <c r="E1036" s="172" t="s">
        <v>53</v>
      </c>
      <c r="F1036" s="172" t="s">
        <v>120</v>
      </c>
      <c r="G1036" s="172" t="s">
        <v>84</v>
      </c>
      <c r="H1036" s="177">
        <v>1</v>
      </c>
      <c r="I1036" s="178">
        <v>1845</v>
      </c>
      <c r="J1036" s="176">
        <v>46030</v>
      </c>
      <c r="K1036" s="172" t="s">
        <v>93</v>
      </c>
      <c r="L1036" s="172" t="s">
        <v>94</v>
      </c>
      <c r="M1036" s="179">
        <v>0</v>
      </c>
      <c r="N1036" s="177"/>
      <c r="O1036" s="177"/>
      <c r="P1036" s="180">
        <v>6.23</v>
      </c>
    </row>
    <row r="1037" spans="1:16" ht="19.5" customHeight="1">
      <c r="A1037" s="172" t="s">
        <v>996</v>
      </c>
      <c r="B1037" s="176">
        <v>46031</v>
      </c>
      <c r="C1037" s="172" t="s">
        <v>100</v>
      </c>
      <c r="D1037" s="172" t="s">
        <v>103</v>
      </c>
      <c r="E1037" s="172" t="s">
        <v>53</v>
      </c>
      <c r="F1037" s="172" t="s">
        <v>120</v>
      </c>
      <c r="G1037" s="172" t="s">
        <v>84</v>
      </c>
      <c r="H1037" s="177">
        <v>1</v>
      </c>
      <c r="I1037" s="178">
        <v>1845</v>
      </c>
      <c r="J1037" s="176">
        <v>46030</v>
      </c>
      <c r="K1037" s="172" t="s">
        <v>93</v>
      </c>
      <c r="L1037" s="172" t="s">
        <v>94</v>
      </c>
      <c r="M1037" s="179">
        <v>0</v>
      </c>
      <c r="N1037" s="177"/>
      <c r="O1037" s="177"/>
      <c r="P1037" s="180">
        <v>1215.3</v>
      </c>
    </row>
    <row r="1038" spans="1:16" ht="19.5" customHeight="1">
      <c r="A1038" s="172" t="s">
        <v>996</v>
      </c>
      <c r="B1038" s="176">
        <v>46031</v>
      </c>
      <c r="C1038" s="172" t="s">
        <v>104</v>
      </c>
      <c r="D1038" s="172" t="s">
        <v>105</v>
      </c>
      <c r="E1038" s="172" t="s">
        <v>53</v>
      </c>
      <c r="F1038" s="172" t="s">
        <v>120</v>
      </c>
      <c r="G1038" s="172" t="s">
        <v>84</v>
      </c>
      <c r="H1038" s="177">
        <v>1</v>
      </c>
      <c r="I1038" s="178">
        <v>1845</v>
      </c>
      <c r="J1038" s="176">
        <v>46030</v>
      </c>
      <c r="K1038" s="172" t="s">
        <v>93</v>
      </c>
      <c r="L1038" s="172" t="s">
        <v>94</v>
      </c>
      <c r="M1038" s="179">
        <v>0.43</v>
      </c>
      <c r="N1038" s="177"/>
      <c r="O1038" s="177"/>
      <c r="P1038" s="180">
        <v>-793.35</v>
      </c>
    </row>
    <row r="1039" spans="1:16" ht="19.5" customHeight="1">
      <c r="A1039" s="172" t="s">
        <v>435</v>
      </c>
      <c r="B1039" s="176">
        <v>46031</v>
      </c>
      <c r="C1039" s="172" t="s">
        <v>81</v>
      </c>
      <c r="D1039" s="172" t="s">
        <v>82</v>
      </c>
      <c r="E1039" s="172" t="s">
        <v>52</v>
      </c>
      <c r="F1039" s="172" t="s">
        <v>90</v>
      </c>
      <c r="G1039" s="172" t="s">
        <v>84</v>
      </c>
      <c r="H1039" s="177">
        <v>1</v>
      </c>
      <c r="I1039" s="178">
        <v>0</v>
      </c>
      <c r="J1039" s="176">
        <v>46027</v>
      </c>
      <c r="K1039" s="172" t="s">
        <v>85</v>
      </c>
      <c r="L1039" s="172" t="s">
        <v>85</v>
      </c>
      <c r="M1039" s="179">
        <v>0</v>
      </c>
      <c r="N1039" s="177"/>
      <c r="O1039" s="177"/>
      <c r="P1039" s="180">
        <v>10.59</v>
      </c>
    </row>
    <row r="1040" spans="1:16" ht="19.5" customHeight="1">
      <c r="A1040" s="172" t="s">
        <v>997</v>
      </c>
      <c r="B1040" s="176">
        <v>46031</v>
      </c>
      <c r="C1040" s="172" t="s">
        <v>92</v>
      </c>
      <c r="D1040" s="172" t="s">
        <v>24</v>
      </c>
      <c r="E1040" s="172" t="s">
        <v>41</v>
      </c>
      <c r="F1040" s="172" t="s">
        <v>83</v>
      </c>
      <c r="G1040" s="172" t="s">
        <v>84</v>
      </c>
      <c r="H1040" s="177">
        <v>1</v>
      </c>
      <c r="I1040" s="178">
        <v>0</v>
      </c>
      <c r="J1040" s="176">
        <v>46025</v>
      </c>
      <c r="K1040" s="172" t="s">
        <v>93</v>
      </c>
      <c r="L1040" s="172" t="s">
        <v>94</v>
      </c>
      <c r="M1040" s="179">
        <v>0</v>
      </c>
      <c r="N1040" s="177"/>
      <c r="O1040" s="177">
        <v>44</v>
      </c>
      <c r="P1040" s="180">
        <v>-46</v>
      </c>
    </row>
    <row r="1041" spans="1:16" ht="19.5" customHeight="1">
      <c r="A1041" s="172" t="s">
        <v>997</v>
      </c>
      <c r="B1041" s="176">
        <v>46031</v>
      </c>
      <c r="C1041" s="172" t="s">
        <v>81</v>
      </c>
      <c r="D1041" s="172" t="s">
        <v>95</v>
      </c>
      <c r="E1041" s="172" t="s">
        <v>41</v>
      </c>
      <c r="F1041" s="172" t="s">
        <v>83</v>
      </c>
      <c r="G1041" s="172" t="s">
        <v>84</v>
      </c>
      <c r="H1041" s="177">
        <v>1</v>
      </c>
      <c r="I1041" s="178">
        <v>0</v>
      </c>
      <c r="J1041" s="176">
        <v>46025</v>
      </c>
      <c r="K1041" s="172" t="s">
        <v>93</v>
      </c>
      <c r="L1041" s="172" t="s">
        <v>94</v>
      </c>
      <c r="M1041" s="179">
        <v>0</v>
      </c>
      <c r="N1041" s="177"/>
      <c r="O1041" s="177"/>
      <c r="P1041" s="180">
        <v>-8.06</v>
      </c>
    </row>
    <row r="1042" spans="1:16" ht="19.5" customHeight="1">
      <c r="A1042" s="172" t="s">
        <v>994</v>
      </c>
      <c r="B1042" s="176">
        <v>46031</v>
      </c>
      <c r="C1042" s="172" t="s">
        <v>81</v>
      </c>
      <c r="D1042" s="172" t="s">
        <v>82</v>
      </c>
      <c r="E1042" s="172" t="s">
        <v>41</v>
      </c>
      <c r="F1042" s="172" t="s">
        <v>83</v>
      </c>
      <c r="G1042" s="172" t="s">
        <v>84</v>
      </c>
      <c r="H1042" s="177">
        <v>1</v>
      </c>
      <c r="I1042" s="178">
        <v>0</v>
      </c>
      <c r="J1042" s="176">
        <v>46029</v>
      </c>
      <c r="K1042" s="172" t="s">
        <v>85</v>
      </c>
      <c r="L1042" s="172" t="s">
        <v>85</v>
      </c>
      <c r="M1042" s="179">
        <v>0</v>
      </c>
      <c r="N1042" s="177"/>
      <c r="O1042" s="177"/>
      <c r="P1042" s="180">
        <v>-10.44</v>
      </c>
    </row>
    <row r="1043" spans="1:16" ht="19.5" customHeight="1">
      <c r="A1043" s="172" t="s">
        <v>997</v>
      </c>
      <c r="B1043" s="176">
        <v>46031</v>
      </c>
      <c r="C1043" s="172" t="s">
        <v>92</v>
      </c>
      <c r="D1043" s="172" t="s">
        <v>96</v>
      </c>
      <c r="E1043" s="172" t="s">
        <v>41</v>
      </c>
      <c r="F1043" s="172" t="s">
        <v>83</v>
      </c>
      <c r="G1043" s="172" t="s">
        <v>84</v>
      </c>
      <c r="H1043" s="177">
        <v>1</v>
      </c>
      <c r="I1043" s="178">
        <v>0</v>
      </c>
      <c r="J1043" s="176">
        <v>46025</v>
      </c>
      <c r="K1043" s="172" t="s">
        <v>93</v>
      </c>
      <c r="L1043" s="172" t="s">
        <v>94</v>
      </c>
      <c r="M1043" s="179">
        <v>0</v>
      </c>
      <c r="N1043" s="177"/>
      <c r="O1043" s="177"/>
      <c r="P1043" s="180">
        <v>0</v>
      </c>
    </row>
    <row r="1044" spans="1:16" ht="19.5" customHeight="1">
      <c r="A1044" s="172" t="s">
        <v>997</v>
      </c>
      <c r="B1044" s="176">
        <v>46031</v>
      </c>
      <c r="C1044" s="172" t="s">
        <v>92</v>
      </c>
      <c r="D1044" s="172" t="s">
        <v>97</v>
      </c>
      <c r="E1044" s="172" t="s">
        <v>41</v>
      </c>
      <c r="F1044" s="172" t="s">
        <v>83</v>
      </c>
      <c r="G1044" s="172" t="s">
        <v>84</v>
      </c>
      <c r="H1044" s="177">
        <v>1</v>
      </c>
      <c r="I1044" s="178">
        <v>0</v>
      </c>
      <c r="J1044" s="176">
        <v>46025</v>
      </c>
      <c r="K1044" s="172" t="s">
        <v>93</v>
      </c>
      <c r="L1044" s="172" t="s">
        <v>94</v>
      </c>
      <c r="M1044" s="179">
        <v>0</v>
      </c>
      <c r="N1044" s="177"/>
      <c r="O1044" s="177"/>
      <c r="P1044" s="180">
        <v>-46</v>
      </c>
    </row>
    <row r="1045" spans="1:16" ht="19.5" customHeight="1">
      <c r="A1045" s="172" t="s">
        <v>997</v>
      </c>
      <c r="B1045" s="176">
        <v>46031</v>
      </c>
      <c r="C1045" s="172" t="s">
        <v>81</v>
      </c>
      <c r="D1045" s="172" t="s">
        <v>98</v>
      </c>
      <c r="E1045" s="172" t="s">
        <v>41</v>
      </c>
      <c r="F1045" s="172" t="s">
        <v>83</v>
      </c>
      <c r="G1045" s="172" t="s">
        <v>84</v>
      </c>
      <c r="H1045" s="177">
        <v>1</v>
      </c>
      <c r="I1045" s="178">
        <v>0</v>
      </c>
      <c r="J1045" s="176">
        <v>46025</v>
      </c>
      <c r="K1045" s="172" t="s">
        <v>93</v>
      </c>
      <c r="L1045" s="172" t="s">
        <v>94</v>
      </c>
      <c r="M1045" s="179">
        <v>0</v>
      </c>
      <c r="N1045" s="177"/>
      <c r="O1045" s="177"/>
      <c r="P1045" s="180">
        <v>-15</v>
      </c>
    </row>
    <row r="1046" spans="1:16" ht="19.5" customHeight="1">
      <c r="A1046" s="172" t="s">
        <v>480</v>
      </c>
      <c r="B1046" s="176">
        <v>46031</v>
      </c>
      <c r="C1046" s="172" t="s">
        <v>166</v>
      </c>
      <c r="D1046" s="172" t="s">
        <v>167</v>
      </c>
      <c r="E1046" s="172" t="s">
        <v>41</v>
      </c>
      <c r="F1046" s="172" t="s">
        <v>83</v>
      </c>
      <c r="G1046" s="172" t="s">
        <v>84</v>
      </c>
      <c r="H1046" s="177">
        <v>1</v>
      </c>
      <c r="I1046" s="178">
        <v>-1600</v>
      </c>
      <c r="J1046" s="176">
        <v>46027</v>
      </c>
      <c r="K1046" s="172" t="s">
        <v>93</v>
      </c>
      <c r="L1046" s="172" t="s">
        <v>94</v>
      </c>
      <c r="M1046" s="179">
        <v>0</v>
      </c>
      <c r="N1046" s="177"/>
      <c r="O1046" s="177"/>
      <c r="P1046" s="180">
        <v>-549.52</v>
      </c>
    </row>
    <row r="1047" spans="1:16" ht="19.5" customHeight="1">
      <c r="A1047" s="172" t="s">
        <v>480</v>
      </c>
      <c r="B1047" s="176">
        <v>46031</v>
      </c>
      <c r="C1047" s="172" t="s">
        <v>166</v>
      </c>
      <c r="D1047" s="172" t="s">
        <v>102</v>
      </c>
      <c r="E1047" s="172" t="s">
        <v>41</v>
      </c>
      <c r="F1047" s="172" t="s">
        <v>83</v>
      </c>
      <c r="G1047" s="172" t="s">
        <v>84</v>
      </c>
      <c r="H1047" s="177">
        <v>1</v>
      </c>
      <c r="I1047" s="178">
        <v>-1600</v>
      </c>
      <c r="J1047" s="176">
        <v>46027</v>
      </c>
      <c r="K1047" s="172" t="s">
        <v>93</v>
      </c>
      <c r="L1047" s="172" t="s">
        <v>94</v>
      </c>
      <c r="M1047" s="179">
        <v>0</v>
      </c>
      <c r="N1047" s="177"/>
      <c r="O1047" s="177"/>
      <c r="P1047" s="180">
        <v>-5.5</v>
      </c>
    </row>
    <row r="1048" spans="1:16" ht="19.5" customHeight="1">
      <c r="A1048" s="172" t="s">
        <v>480</v>
      </c>
      <c r="B1048" s="176">
        <v>46031</v>
      </c>
      <c r="C1048" s="172" t="s">
        <v>166</v>
      </c>
      <c r="D1048" s="172" t="s">
        <v>103</v>
      </c>
      <c r="E1048" s="172" t="s">
        <v>41</v>
      </c>
      <c r="F1048" s="172" t="s">
        <v>83</v>
      </c>
      <c r="G1048" s="172" t="s">
        <v>84</v>
      </c>
      <c r="H1048" s="177">
        <v>1</v>
      </c>
      <c r="I1048" s="178">
        <v>-1600</v>
      </c>
      <c r="J1048" s="176">
        <v>46027</v>
      </c>
      <c r="K1048" s="172" t="s">
        <v>93</v>
      </c>
      <c r="L1048" s="172" t="s">
        <v>94</v>
      </c>
      <c r="M1048" s="179">
        <v>0</v>
      </c>
      <c r="N1048" s="177"/>
      <c r="O1048" s="177"/>
      <c r="P1048" s="180">
        <v>-1044.98</v>
      </c>
    </row>
    <row r="1049" spans="1:16" ht="19.5" customHeight="1">
      <c r="A1049" s="172" t="s">
        <v>480</v>
      </c>
      <c r="B1049" s="176">
        <v>46031</v>
      </c>
      <c r="C1049" s="172" t="s">
        <v>104</v>
      </c>
      <c r="D1049" s="172" t="s">
        <v>168</v>
      </c>
      <c r="E1049" s="172" t="s">
        <v>41</v>
      </c>
      <c r="F1049" s="172" t="s">
        <v>83</v>
      </c>
      <c r="G1049" s="172" t="s">
        <v>84</v>
      </c>
      <c r="H1049" s="177">
        <v>1</v>
      </c>
      <c r="I1049" s="178">
        <v>-1600</v>
      </c>
      <c r="J1049" s="176">
        <v>46027</v>
      </c>
      <c r="K1049" s="172" t="s">
        <v>93</v>
      </c>
      <c r="L1049" s="172" t="s">
        <v>94</v>
      </c>
      <c r="M1049" s="179">
        <v>0.43</v>
      </c>
      <c r="N1049" s="177"/>
      <c r="O1049" s="177"/>
      <c r="P1049" s="180">
        <v>688</v>
      </c>
    </row>
    <row r="1050" spans="1:16" ht="19.5" customHeight="1">
      <c r="A1050" s="172" t="s">
        <v>801</v>
      </c>
      <c r="B1050" s="176">
        <v>46031</v>
      </c>
      <c r="C1050" s="172" t="s">
        <v>81</v>
      </c>
      <c r="D1050" s="172" t="s">
        <v>82</v>
      </c>
      <c r="E1050" s="172" t="s">
        <v>41</v>
      </c>
      <c r="F1050" s="172" t="s">
        <v>83</v>
      </c>
      <c r="G1050" s="172" t="s">
        <v>84</v>
      </c>
      <c r="H1050" s="177">
        <v>1</v>
      </c>
      <c r="I1050" s="178">
        <v>0</v>
      </c>
      <c r="J1050" s="176">
        <v>46027</v>
      </c>
      <c r="K1050" s="172" t="s">
        <v>85</v>
      </c>
      <c r="L1050" s="172" t="s">
        <v>85</v>
      </c>
      <c r="M1050" s="179">
        <v>0</v>
      </c>
      <c r="N1050" s="177"/>
      <c r="O1050" s="177"/>
      <c r="P1050" s="180">
        <v>10.44</v>
      </c>
    </row>
    <row r="1051" spans="1:16" ht="19.5" customHeight="1">
      <c r="A1051" s="172" t="s">
        <v>998</v>
      </c>
      <c r="B1051" s="176">
        <v>46031</v>
      </c>
      <c r="C1051" s="172" t="s">
        <v>92</v>
      </c>
      <c r="D1051" s="172" t="s">
        <v>24</v>
      </c>
      <c r="E1051" s="172" t="s">
        <v>53</v>
      </c>
      <c r="F1051" s="172" t="s">
        <v>120</v>
      </c>
      <c r="G1051" s="172" t="s">
        <v>84</v>
      </c>
      <c r="H1051" s="177">
        <v>1</v>
      </c>
      <c r="I1051" s="178">
        <v>0</v>
      </c>
      <c r="J1051" s="176">
        <v>46024</v>
      </c>
      <c r="K1051" s="172" t="s">
        <v>93</v>
      </c>
      <c r="L1051" s="172" t="s">
        <v>94</v>
      </c>
      <c r="M1051" s="179">
        <v>0</v>
      </c>
      <c r="N1051" s="177"/>
      <c r="O1051" s="177">
        <v>42</v>
      </c>
      <c r="P1051" s="180">
        <v>-56</v>
      </c>
    </row>
    <row r="1052" spans="1:16" ht="19.5" customHeight="1">
      <c r="A1052" s="172" t="s">
        <v>998</v>
      </c>
      <c r="B1052" s="176">
        <v>46031</v>
      </c>
      <c r="C1052" s="172" t="s">
        <v>92</v>
      </c>
      <c r="D1052" s="172" t="s">
        <v>96</v>
      </c>
      <c r="E1052" s="172" t="s">
        <v>53</v>
      </c>
      <c r="F1052" s="172" t="s">
        <v>120</v>
      </c>
      <c r="G1052" s="172" t="s">
        <v>84</v>
      </c>
      <c r="H1052" s="177">
        <v>1</v>
      </c>
      <c r="I1052" s="178">
        <v>0</v>
      </c>
      <c r="J1052" s="176">
        <v>46024</v>
      </c>
      <c r="K1052" s="172" t="s">
        <v>93</v>
      </c>
      <c r="L1052" s="172" t="s">
        <v>94</v>
      </c>
      <c r="M1052" s="179">
        <v>0</v>
      </c>
      <c r="N1052" s="177"/>
      <c r="O1052" s="177"/>
      <c r="P1052" s="180">
        <v>0</v>
      </c>
    </row>
    <row r="1053" spans="1:16" ht="19.5" customHeight="1">
      <c r="A1053" s="172" t="s">
        <v>998</v>
      </c>
      <c r="B1053" s="176">
        <v>46031</v>
      </c>
      <c r="C1053" s="172" t="s">
        <v>92</v>
      </c>
      <c r="D1053" s="172" t="s">
        <v>97</v>
      </c>
      <c r="E1053" s="172" t="s">
        <v>53</v>
      </c>
      <c r="F1053" s="172" t="s">
        <v>120</v>
      </c>
      <c r="G1053" s="172" t="s">
        <v>84</v>
      </c>
      <c r="H1053" s="177">
        <v>1</v>
      </c>
      <c r="I1053" s="178">
        <v>0</v>
      </c>
      <c r="J1053" s="176">
        <v>46024</v>
      </c>
      <c r="K1053" s="172" t="s">
        <v>93</v>
      </c>
      <c r="L1053" s="172" t="s">
        <v>94</v>
      </c>
      <c r="M1053" s="179">
        <v>0</v>
      </c>
      <c r="N1053" s="177"/>
      <c r="O1053" s="177"/>
      <c r="P1053" s="180">
        <v>-56</v>
      </c>
    </row>
    <row r="1054" spans="1:16" ht="19.5" customHeight="1">
      <c r="A1054" s="172" t="s">
        <v>764</v>
      </c>
      <c r="B1054" s="176">
        <v>46031</v>
      </c>
      <c r="C1054" s="172" t="s">
        <v>92</v>
      </c>
      <c r="D1054" s="172" t="s">
        <v>272</v>
      </c>
      <c r="E1054" s="172" t="s">
        <v>41</v>
      </c>
      <c r="F1054" s="172" t="s">
        <v>83</v>
      </c>
      <c r="G1054" s="172" t="s">
        <v>84</v>
      </c>
      <c r="H1054" s="177">
        <v>1</v>
      </c>
      <c r="I1054" s="178">
        <v>0</v>
      </c>
      <c r="J1054" s="176">
        <v>46020</v>
      </c>
      <c r="K1054" s="172" t="s">
        <v>93</v>
      </c>
      <c r="L1054" s="172" t="s">
        <v>94</v>
      </c>
      <c r="M1054" s="179">
        <v>0</v>
      </c>
      <c r="N1054" s="177"/>
      <c r="O1054" s="177"/>
      <c r="P1054" s="180">
        <v>0</v>
      </c>
    </row>
    <row r="1055" spans="1:16" ht="19.5" customHeight="1">
      <c r="A1055" s="172" t="s">
        <v>764</v>
      </c>
      <c r="B1055" s="176">
        <v>46031</v>
      </c>
      <c r="C1055" s="172" t="s">
        <v>92</v>
      </c>
      <c r="D1055" s="172" t="s">
        <v>97</v>
      </c>
      <c r="E1055" s="172" t="s">
        <v>41</v>
      </c>
      <c r="F1055" s="172" t="s">
        <v>83</v>
      </c>
      <c r="G1055" s="172" t="s">
        <v>84</v>
      </c>
      <c r="H1055" s="177">
        <v>1</v>
      </c>
      <c r="I1055" s="178">
        <v>0</v>
      </c>
      <c r="J1055" s="176">
        <v>46020</v>
      </c>
      <c r="K1055" s="172" t="s">
        <v>93</v>
      </c>
      <c r="L1055" s="172" t="s">
        <v>94</v>
      </c>
      <c r="M1055" s="179">
        <v>0</v>
      </c>
      <c r="N1055" s="177"/>
      <c r="O1055" s="177"/>
      <c r="P1055" s="180">
        <v>-46.77</v>
      </c>
    </row>
    <row r="1056" spans="1:16" ht="19.5" customHeight="1">
      <c r="A1056" s="172" t="s">
        <v>764</v>
      </c>
      <c r="B1056" s="176">
        <v>46031</v>
      </c>
      <c r="C1056" s="172" t="s">
        <v>81</v>
      </c>
      <c r="D1056" s="172" t="s">
        <v>98</v>
      </c>
      <c r="E1056" s="172" t="s">
        <v>41</v>
      </c>
      <c r="F1056" s="172" t="s">
        <v>83</v>
      </c>
      <c r="G1056" s="172" t="s">
        <v>84</v>
      </c>
      <c r="H1056" s="177">
        <v>1</v>
      </c>
      <c r="I1056" s="178">
        <v>0</v>
      </c>
      <c r="J1056" s="176">
        <v>46020</v>
      </c>
      <c r="K1056" s="172" t="s">
        <v>93</v>
      </c>
      <c r="L1056" s="172" t="s">
        <v>94</v>
      </c>
      <c r="M1056" s="179">
        <v>0</v>
      </c>
      <c r="N1056" s="177"/>
      <c r="O1056" s="177"/>
      <c r="P1056" s="180">
        <v>-15</v>
      </c>
    </row>
    <row r="1057" spans="1:16" ht="19.5" customHeight="1">
      <c r="A1057" s="172" t="s">
        <v>490</v>
      </c>
      <c r="B1057" s="176">
        <v>46031</v>
      </c>
      <c r="C1057" s="172" t="s">
        <v>92</v>
      </c>
      <c r="D1057" s="172" t="s">
        <v>24</v>
      </c>
      <c r="E1057" s="172" t="s">
        <v>52</v>
      </c>
      <c r="F1057" s="172" t="s">
        <v>90</v>
      </c>
      <c r="G1057" s="172" t="s">
        <v>84</v>
      </c>
      <c r="H1057" s="177">
        <v>1</v>
      </c>
      <c r="I1057" s="178">
        <v>1621</v>
      </c>
      <c r="J1057" s="176">
        <v>46030</v>
      </c>
      <c r="K1057" s="172" t="s">
        <v>93</v>
      </c>
      <c r="L1057" s="172" t="s">
        <v>94</v>
      </c>
      <c r="M1057" s="179">
        <v>0.43</v>
      </c>
      <c r="N1057" s="177"/>
      <c r="O1057" s="177">
        <v>42</v>
      </c>
      <c r="P1057" s="180">
        <v>-134.12</v>
      </c>
    </row>
    <row r="1058" spans="1:16" ht="19.5" customHeight="1">
      <c r="A1058" s="172" t="s">
        <v>490</v>
      </c>
      <c r="B1058" s="176">
        <v>46031</v>
      </c>
      <c r="C1058" s="172" t="s">
        <v>100</v>
      </c>
      <c r="D1058" s="172" t="s">
        <v>101</v>
      </c>
      <c r="E1058" s="172" t="s">
        <v>52</v>
      </c>
      <c r="F1058" s="172" t="s">
        <v>90</v>
      </c>
      <c r="G1058" s="172" t="s">
        <v>84</v>
      </c>
      <c r="H1058" s="177">
        <v>1</v>
      </c>
      <c r="I1058" s="178">
        <v>1621</v>
      </c>
      <c r="J1058" s="176">
        <v>46030</v>
      </c>
      <c r="K1058" s="172" t="s">
        <v>93</v>
      </c>
      <c r="L1058" s="172" t="s">
        <v>94</v>
      </c>
      <c r="M1058" s="179">
        <v>0</v>
      </c>
      <c r="N1058" s="177"/>
      <c r="O1058" s="177"/>
      <c r="P1058" s="180">
        <v>557.14</v>
      </c>
    </row>
    <row r="1059" spans="1:16" ht="19.5" customHeight="1">
      <c r="A1059" s="172" t="s">
        <v>490</v>
      </c>
      <c r="B1059" s="176">
        <v>46031</v>
      </c>
      <c r="C1059" s="172" t="s">
        <v>100</v>
      </c>
      <c r="D1059" s="172" t="s">
        <v>102</v>
      </c>
      <c r="E1059" s="172" t="s">
        <v>52</v>
      </c>
      <c r="F1059" s="172" t="s">
        <v>90</v>
      </c>
      <c r="G1059" s="172" t="s">
        <v>84</v>
      </c>
      <c r="H1059" s="177">
        <v>1</v>
      </c>
      <c r="I1059" s="178">
        <v>1621</v>
      </c>
      <c r="J1059" s="176">
        <v>46030</v>
      </c>
      <c r="K1059" s="172" t="s">
        <v>93</v>
      </c>
      <c r="L1059" s="172" t="s">
        <v>94</v>
      </c>
      <c r="M1059" s="179">
        <v>0</v>
      </c>
      <c r="N1059" s="177"/>
      <c r="O1059" s="177"/>
      <c r="P1059" s="180">
        <v>5.57</v>
      </c>
    </row>
    <row r="1060" spans="1:16" ht="19.5" customHeight="1">
      <c r="A1060" s="172" t="s">
        <v>490</v>
      </c>
      <c r="B1060" s="176">
        <v>46031</v>
      </c>
      <c r="C1060" s="172" t="s">
        <v>100</v>
      </c>
      <c r="D1060" s="172" t="s">
        <v>103</v>
      </c>
      <c r="E1060" s="172" t="s">
        <v>52</v>
      </c>
      <c r="F1060" s="172" t="s">
        <v>90</v>
      </c>
      <c r="G1060" s="172" t="s">
        <v>84</v>
      </c>
      <c r="H1060" s="177">
        <v>1</v>
      </c>
      <c r="I1060" s="178">
        <v>1621</v>
      </c>
      <c r="J1060" s="176">
        <v>46030</v>
      </c>
      <c r="K1060" s="172" t="s">
        <v>93</v>
      </c>
      <c r="L1060" s="172" t="s">
        <v>94</v>
      </c>
      <c r="M1060" s="179">
        <v>0</v>
      </c>
      <c r="N1060" s="177"/>
      <c r="O1060" s="177"/>
      <c r="P1060" s="180">
        <v>1058.29</v>
      </c>
    </row>
    <row r="1061" spans="1:16" ht="19.5" customHeight="1">
      <c r="A1061" s="172" t="s">
        <v>490</v>
      </c>
      <c r="B1061" s="176">
        <v>46031</v>
      </c>
      <c r="C1061" s="172" t="s">
        <v>104</v>
      </c>
      <c r="D1061" s="172" t="s">
        <v>105</v>
      </c>
      <c r="E1061" s="172" t="s">
        <v>52</v>
      </c>
      <c r="F1061" s="172" t="s">
        <v>90</v>
      </c>
      <c r="G1061" s="172" t="s">
        <v>84</v>
      </c>
      <c r="H1061" s="177">
        <v>1</v>
      </c>
      <c r="I1061" s="178">
        <v>1621</v>
      </c>
      <c r="J1061" s="176">
        <v>46030</v>
      </c>
      <c r="K1061" s="172" t="s">
        <v>93</v>
      </c>
      <c r="L1061" s="172" t="s">
        <v>94</v>
      </c>
      <c r="M1061" s="179">
        <v>0.43</v>
      </c>
      <c r="N1061" s="177"/>
      <c r="O1061" s="177"/>
      <c r="P1061" s="180">
        <v>-697.03</v>
      </c>
    </row>
    <row r="1062" spans="1:16" ht="19.5" customHeight="1">
      <c r="A1062" s="172" t="s">
        <v>490</v>
      </c>
      <c r="B1062" s="176">
        <v>46031</v>
      </c>
      <c r="C1062" s="172" t="s">
        <v>81</v>
      </c>
      <c r="D1062" s="172" t="s">
        <v>95</v>
      </c>
      <c r="E1062" s="172" t="s">
        <v>52</v>
      </c>
      <c r="F1062" s="172" t="s">
        <v>90</v>
      </c>
      <c r="G1062" s="172" t="s">
        <v>84</v>
      </c>
      <c r="H1062" s="177">
        <v>1</v>
      </c>
      <c r="I1062" s="178">
        <v>1621</v>
      </c>
      <c r="J1062" s="176">
        <v>46030</v>
      </c>
      <c r="K1062" s="172" t="s">
        <v>93</v>
      </c>
      <c r="L1062" s="172" t="s">
        <v>94</v>
      </c>
      <c r="M1062" s="179">
        <v>0.43</v>
      </c>
      <c r="N1062" s="177"/>
      <c r="O1062" s="177"/>
      <c r="P1062" s="180">
        <v>-8.02</v>
      </c>
    </row>
    <row r="1063" spans="1:16" ht="19.5" customHeight="1">
      <c r="A1063" s="172" t="s">
        <v>910</v>
      </c>
      <c r="B1063" s="176">
        <v>46031</v>
      </c>
      <c r="C1063" s="172" t="s">
        <v>81</v>
      </c>
      <c r="D1063" s="172" t="s">
        <v>82</v>
      </c>
      <c r="E1063" s="172" t="s">
        <v>41</v>
      </c>
      <c r="F1063" s="172" t="s">
        <v>83</v>
      </c>
      <c r="G1063" s="172" t="s">
        <v>84</v>
      </c>
      <c r="H1063" s="177">
        <v>1</v>
      </c>
      <c r="I1063" s="178">
        <v>0</v>
      </c>
      <c r="J1063" s="176">
        <v>46029</v>
      </c>
      <c r="K1063" s="172" t="s">
        <v>85</v>
      </c>
      <c r="L1063" s="172" t="s">
        <v>85</v>
      </c>
      <c r="M1063" s="179">
        <v>0</v>
      </c>
      <c r="N1063" s="177"/>
      <c r="O1063" s="177"/>
      <c r="P1063" s="180">
        <v>10.44</v>
      </c>
    </row>
    <row r="1064" spans="1:16" ht="19.5" customHeight="1">
      <c r="A1064" s="172" t="s">
        <v>490</v>
      </c>
      <c r="B1064" s="176">
        <v>46031</v>
      </c>
      <c r="C1064" s="172" t="s">
        <v>81</v>
      </c>
      <c r="D1064" s="172" t="s">
        <v>82</v>
      </c>
      <c r="E1064" s="172" t="s">
        <v>52</v>
      </c>
      <c r="F1064" s="172" t="s">
        <v>90</v>
      </c>
      <c r="G1064" s="172" t="s">
        <v>84</v>
      </c>
      <c r="H1064" s="177">
        <v>1</v>
      </c>
      <c r="I1064" s="178">
        <v>0</v>
      </c>
      <c r="J1064" s="176">
        <v>46030</v>
      </c>
      <c r="K1064" s="172" t="s">
        <v>85</v>
      </c>
      <c r="L1064" s="172" t="s">
        <v>85</v>
      </c>
      <c r="M1064" s="179">
        <v>0</v>
      </c>
      <c r="N1064" s="177"/>
      <c r="O1064" s="177"/>
      <c r="P1064" s="180">
        <v>-10.59</v>
      </c>
    </row>
    <row r="1065" spans="1:16" ht="19.5" customHeight="1">
      <c r="A1065" s="172" t="s">
        <v>999</v>
      </c>
      <c r="B1065" s="176">
        <v>46031</v>
      </c>
      <c r="C1065" s="172" t="s">
        <v>92</v>
      </c>
      <c r="D1065" s="172" t="s">
        <v>24</v>
      </c>
      <c r="E1065" s="172" t="s">
        <v>52</v>
      </c>
      <c r="F1065" s="172" t="s">
        <v>90</v>
      </c>
      <c r="G1065" s="172" t="s">
        <v>84</v>
      </c>
      <c r="H1065" s="177">
        <v>1</v>
      </c>
      <c r="I1065" s="178">
        <v>0</v>
      </c>
      <c r="J1065" s="176">
        <v>46017</v>
      </c>
      <c r="K1065" s="172" t="s">
        <v>93</v>
      </c>
      <c r="L1065" s="172" t="s">
        <v>94</v>
      </c>
      <c r="M1065" s="179">
        <v>0</v>
      </c>
      <c r="N1065" s="177"/>
      <c r="O1065" s="177">
        <v>43</v>
      </c>
      <c r="P1065" s="180">
        <v>-56</v>
      </c>
    </row>
    <row r="1066" spans="1:16" ht="19.5" customHeight="1">
      <c r="A1066" s="172" t="s">
        <v>999</v>
      </c>
      <c r="B1066" s="176">
        <v>46031</v>
      </c>
      <c r="C1066" s="172" t="s">
        <v>92</v>
      </c>
      <c r="D1066" s="172" t="s">
        <v>96</v>
      </c>
      <c r="E1066" s="172" t="s">
        <v>52</v>
      </c>
      <c r="F1066" s="172" t="s">
        <v>90</v>
      </c>
      <c r="G1066" s="172" t="s">
        <v>84</v>
      </c>
      <c r="H1066" s="177">
        <v>1</v>
      </c>
      <c r="I1066" s="178">
        <v>0</v>
      </c>
      <c r="J1066" s="176">
        <v>46017</v>
      </c>
      <c r="K1066" s="172" t="s">
        <v>93</v>
      </c>
      <c r="L1066" s="172" t="s">
        <v>94</v>
      </c>
      <c r="M1066" s="179">
        <v>0</v>
      </c>
      <c r="N1066" s="177"/>
      <c r="O1066" s="177"/>
      <c r="P1066" s="180">
        <v>0</v>
      </c>
    </row>
    <row r="1067" spans="1:16" ht="19.5" customHeight="1">
      <c r="A1067" s="172" t="s">
        <v>999</v>
      </c>
      <c r="B1067" s="176">
        <v>46031</v>
      </c>
      <c r="C1067" s="172" t="s">
        <v>92</v>
      </c>
      <c r="D1067" s="172" t="s">
        <v>97</v>
      </c>
      <c r="E1067" s="172" t="s">
        <v>52</v>
      </c>
      <c r="F1067" s="172" t="s">
        <v>90</v>
      </c>
      <c r="G1067" s="172" t="s">
        <v>84</v>
      </c>
      <c r="H1067" s="177">
        <v>1</v>
      </c>
      <c r="I1067" s="178">
        <v>0</v>
      </c>
      <c r="J1067" s="176">
        <v>46017</v>
      </c>
      <c r="K1067" s="172" t="s">
        <v>93</v>
      </c>
      <c r="L1067" s="172" t="s">
        <v>94</v>
      </c>
      <c r="M1067" s="179">
        <v>0</v>
      </c>
      <c r="N1067" s="177"/>
      <c r="O1067" s="177"/>
      <c r="P1067" s="180">
        <v>-56</v>
      </c>
    </row>
    <row r="1068" spans="1:16" ht="19.5" customHeight="1">
      <c r="A1068" s="172" t="s">
        <v>1000</v>
      </c>
      <c r="B1068" s="176">
        <v>46031</v>
      </c>
      <c r="C1068" s="172" t="s">
        <v>92</v>
      </c>
      <c r="D1068" s="172" t="s">
        <v>24</v>
      </c>
      <c r="E1068" s="172" t="s">
        <v>53</v>
      </c>
      <c r="F1068" s="172" t="s">
        <v>120</v>
      </c>
      <c r="G1068" s="172" t="s">
        <v>84</v>
      </c>
      <c r="H1068" s="177">
        <v>1</v>
      </c>
      <c r="I1068" s="178">
        <v>1845</v>
      </c>
      <c r="J1068" s="176">
        <v>46027</v>
      </c>
      <c r="K1068" s="172" t="s">
        <v>93</v>
      </c>
      <c r="L1068" s="172" t="s">
        <v>94</v>
      </c>
      <c r="M1068" s="179">
        <v>0.43</v>
      </c>
      <c r="N1068" s="177"/>
      <c r="O1068" s="177">
        <v>45</v>
      </c>
      <c r="P1068" s="180">
        <v>-153.85</v>
      </c>
    </row>
    <row r="1069" spans="1:16" ht="19.5" customHeight="1">
      <c r="A1069" s="172" t="s">
        <v>1000</v>
      </c>
      <c r="B1069" s="176">
        <v>46031</v>
      </c>
      <c r="C1069" s="172" t="s">
        <v>100</v>
      </c>
      <c r="D1069" s="172" t="s">
        <v>101</v>
      </c>
      <c r="E1069" s="172" t="s">
        <v>53</v>
      </c>
      <c r="F1069" s="172" t="s">
        <v>120</v>
      </c>
      <c r="G1069" s="172" t="s">
        <v>84</v>
      </c>
      <c r="H1069" s="177">
        <v>1</v>
      </c>
      <c r="I1069" s="178">
        <v>1845</v>
      </c>
      <c r="J1069" s="176">
        <v>46027</v>
      </c>
      <c r="K1069" s="172" t="s">
        <v>93</v>
      </c>
      <c r="L1069" s="172" t="s">
        <v>94</v>
      </c>
      <c r="M1069" s="179">
        <v>0</v>
      </c>
      <c r="N1069" s="177"/>
      <c r="O1069" s="177"/>
      <c r="P1069" s="180">
        <v>639.80999999999995</v>
      </c>
    </row>
    <row r="1070" spans="1:16" ht="19.5" customHeight="1">
      <c r="A1070" s="172" t="s">
        <v>1000</v>
      </c>
      <c r="B1070" s="176">
        <v>46031</v>
      </c>
      <c r="C1070" s="172" t="s">
        <v>100</v>
      </c>
      <c r="D1070" s="172" t="s">
        <v>102</v>
      </c>
      <c r="E1070" s="172" t="s">
        <v>53</v>
      </c>
      <c r="F1070" s="172" t="s">
        <v>120</v>
      </c>
      <c r="G1070" s="172" t="s">
        <v>84</v>
      </c>
      <c r="H1070" s="177">
        <v>1</v>
      </c>
      <c r="I1070" s="178">
        <v>1845</v>
      </c>
      <c r="J1070" s="176">
        <v>46027</v>
      </c>
      <c r="K1070" s="172" t="s">
        <v>93</v>
      </c>
      <c r="L1070" s="172" t="s">
        <v>94</v>
      </c>
      <c r="M1070" s="179">
        <v>0</v>
      </c>
      <c r="N1070" s="177"/>
      <c r="O1070" s="177"/>
      <c r="P1070" s="180">
        <v>6.4</v>
      </c>
    </row>
    <row r="1071" spans="1:16" ht="19.5" customHeight="1">
      <c r="A1071" s="172" t="s">
        <v>1000</v>
      </c>
      <c r="B1071" s="176">
        <v>46031</v>
      </c>
      <c r="C1071" s="172" t="s">
        <v>100</v>
      </c>
      <c r="D1071" s="172" t="s">
        <v>103</v>
      </c>
      <c r="E1071" s="172" t="s">
        <v>53</v>
      </c>
      <c r="F1071" s="172" t="s">
        <v>120</v>
      </c>
      <c r="G1071" s="172" t="s">
        <v>84</v>
      </c>
      <c r="H1071" s="177">
        <v>1</v>
      </c>
      <c r="I1071" s="178">
        <v>1845</v>
      </c>
      <c r="J1071" s="176">
        <v>46027</v>
      </c>
      <c r="K1071" s="172" t="s">
        <v>93</v>
      </c>
      <c r="L1071" s="172" t="s">
        <v>94</v>
      </c>
      <c r="M1071" s="179">
        <v>0</v>
      </c>
      <c r="N1071" s="177"/>
      <c r="O1071" s="177"/>
      <c r="P1071" s="180">
        <v>1198.79</v>
      </c>
    </row>
    <row r="1072" spans="1:16" ht="19.5" customHeight="1">
      <c r="A1072" s="172" t="s">
        <v>1000</v>
      </c>
      <c r="B1072" s="176">
        <v>46031</v>
      </c>
      <c r="C1072" s="172" t="s">
        <v>104</v>
      </c>
      <c r="D1072" s="172" t="s">
        <v>105</v>
      </c>
      <c r="E1072" s="172" t="s">
        <v>53</v>
      </c>
      <c r="F1072" s="172" t="s">
        <v>120</v>
      </c>
      <c r="G1072" s="172" t="s">
        <v>84</v>
      </c>
      <c r="H1072" s="177">
        <v>1</v>
      </c>
      <c r="I1072" s="178">
        <v>1845</v>
      </c>
      <c r="J1072" s="176">
        <v>46027</v>
      </c>
      <c r="K1072" s="172" t="s">
        <v>93</v>
      </c>
      <c r="L1072" s="172" t="s">
        <v>94</v>
      </c>
      <c r="M1072" s="179">
        <v>0.43</v>
      </c>
      <c r="N1072" s="177"/>
      <c r="O1072" s="177"/>
      <c r="P1072" s="180">
        <v>-793.35</v>
      </c>
    </row>
    <row r="1073" spans="1:16" ht="19.5" customHeight="1">
      <c r="A1073" s="172" t="s">
        <v>1000</v>
      </c>
      <c r="B1073" s="176">
        <v>46031</v>
      </c>
      <c r="C1073" s="172" t="s">
        <v>81</v>
      </c>
      <c r="D1073" s="172" t="s">
        <v>95</v>
      </c>
      <c r="E1073" s="172" t="s">
        <v>53</v>
      </c>
      <c r="F1073" s="172" t="s">
        <v>120</v>
      </c>
      <c r="G1073" s="172" t="s">
        <v>84</v>
      </c>
      <c r="H1073" s="177">
        <v>1</v>
      </c>
      <c r="I1073" s="178">
        <v>1845</v>
      </c>
      <c r="J1073" s="176">
        <v>46027</v>
      </c>
      <c r="K1073" s="172" t="s">
        <v>93</v>
      </c>
      <c r="L1073" s="172" t="s">
        <v>94</v>
      </c>
      <c r="M1073" s="179">
        <v>0.43</v>
      </c>
      <c r="N1073" s="177"/>
      <c r="O1073" s="177"/>
      <c r="P1073" s="180">
        <v>-10.54</v>
      </c>
    </row>
    <row r="1074" spans="1:16" ht="19.5" customHeight="1">
      <c r="A1074" s="172" t="s">
        <v>802</v>
      </c>
      <c r="B1074" s="176">
        <v>46031</v>
      </c>
      <c r="C1074" s="172" t="s">
        <v>81</v>
      </c>
      <c r="D1074" s="172" t="s">
        <v>82</v>
      </c>
      <c r="E1074" s="172" t="s">
        <v>41</v>
      </c>
      <c r="F1074" s="172" t="s">
        <v>83</v>
      </c>
      <c r="G1074" s="172" t="s">
        <v>84</v>
      </c>
      <c r="H1074" s="177">
        <v>1</v>
      </c>
      <c r="I1074" s="178">
        <v>0</v>
      </c>
      <c r="J1074" s="176">
        <v>46027</v>
      </c>
      <c r="K1074" s="172" t="s">
        <v>85</v>
      </c>
      <c r="L1074" s="172" t="s">
        <v>85</v>
      </c>
      <c r="M1074" s="179">
        <v>0</v>
      </c>
      <c r="N1074" s="177"/>
      <c r="O1074" s="177"/>
      <c r="P1074" s="180">
        <v>10.39</v>
      </c>
    </row>
    <row r="1075" spans="1:16" ht="19.5" customHeight="1">
      <c r="A1075" s="172" t="s">
        <v>802</v>
      </c>
      <c r="B1075" s="176">
        <v>46031</v>
      </c>
      <c r="C1075" s="172" t="s">
        <v>81</v>
      </c>
      <c r="D1075" s="172" t="s">
        <v>82</v>
      </c>
      <c r="E1075" s="172" t="s">
        <v>41</v>
      </c>
      <c r="F1075" s="172" t="s">
        <v>83</v>
      </c>
      <c r="G1075" s="172" t="s">
        <v>84</v>
      </c>
      <c r="H1075" s="177">
        <v>1</v>
      </c>
      <c r="I1075" s="178">
        <v>0</v>
      </c>
      <c r="J1075" s="176">
        <v>46027</v>
      </c>
      <c r="K1075" s="172" t="s">
        <v>85</v>
      </c>
      <c r="L1075" s="172" t="s">
        <v>85</v>
      </c>
      <c r="M1075" s="179">
        <v>0</v>
      </c>
      <c r="N1075" s="177"/>
      <c r="O1075" s="177"/>
      <c r="P1075" s="180">
        <v>10.39</v>
      </c>
    </row>
    <row r="1076" spans="1:16" ht="19.5" customHeight="1">
      <c r="A1076" s="172" t="s">
        <v>144</v>
      </c>
      <c r="B1076" s="176">
        <v>46031</v>
      </c>
      <c r="C1076" s="172" t="s">
        <v>109</v>
      </c>
      <c r="D1076" s="172" t="s">
        <v>139</v>
      </c>
      <c r="E1076" s="172" t="s">
        <v>85</v>
      </c>
      <c r="F1076" s="172" t="s">
        <v>85</v>
      </c>
      <c r="G1076" s="172" t="s">
        <v>85</v>
      </c>
      <c r="H1076" s="177">
        <v>0</v>
      </c>
      <c r="I1076" s="178">
        <v>0</v>
      </c>
      <c r="J1076" s="176">
        <v>46031</v>
      </c>
      <c r="K1076" s="172" t="s">
        <v>85</v>
      </c>
      <c r="L1076" s="172" t="s">
        <v>85</v>
      </c>
      <c r="M1076" s="179">
        <v>0</v>
      </c>
      <c r="N1076" s="177"/>
      <c r="O1076" s="177"/>
      <c r="P1076" s="180">
        <v>-1390.78</v>
      </c>
    </row>
    <row r="1077" spans="1:16" ht="19.5" customHeight="1">
      <c r="A1077" s="172" t="s">
        <v>138</v>
      </c>
      <c r="B1077" s="176">
        <v>46031</v>
      </c>
      <c r="C1077" s="172" t="s">
        <v>109</v>
      </c>
      <c r="D1077" s="172" t="s">
        <v>139</v>
      </c>
      <c r="E1077" s="172" t="s">
        <v>85</v>
      </c>
      <c r="F1077" s="172" t="s">
        <v>85</v>
      </c>
      <c r="G1077" s="172" t="s">
        <v>85</v>
      </c>
      <c r="H1077" s="177">
        <v>0</v>
      </c>
      <c r="I1077" s="178">
        <v>0</v>
      </c>
      <c r="J1077" s="176">
        <v>46031</v>
      </c>
      <c r="K1077" s="172" t="s">
        <v>85</v>
      </c>
      <c r="L1077" s="172" t="s">
        <v>85</v>
      </c>
      <c r="M1077" s="179">
        <v>0</v>
      </c>
      <c r="N1077" s="177"/>
      <c r="O1077" s="177"/>
      <c r="P1077" s="180">
        <v>-1093.48</v>
      </c>
    </row>
    <row r="1078" spans="1:16" ht="19.5" customHeight="1">
      <c r="A1078" s="172" t="s">
        <v>142</v>
      </c>
      <c r="B1078" s="176">
        <v>46031</v>
      </c>
      <c r="C1078" s="172" t="s">
        <v>109</v>
      </c>
      <c r="D1078" s="172" t="s">
        <v>143</v>
      </c>
      <c r="E1078" s="172" t="s">
        <v>85</v>
      </c>
      <c r="F1078" s="172" t="s">
        <v>85</v>
      </c>
      <c r="G1078" s="172" t="s">
        <v>85</v>
      </c>
      <c r="H1078" s="177">
        <v>0</v>
      </c>
      <c r="I1078" s="178">
        <v>0</v>
      </c>
      <c r="J1078" s="176">
        <v>46031</v>
      </c>
      <c r="K1078" s="172" t="s">
        <v>85</v>
      </c>
      <c r="L1078" s="172" t="s">
        <v>85</v>
      </c>
      <c r="M1078" s="179">
        <v>0</v>
      </c>
      <c r="N1078" s="177"/>
      <c r="O1078" s="177"/>
      <c r="P1078" s="180">
        <v>-4462.12</v>
      </c>
    </row>
    <row r="1079" spans="1:16" ht="19.5" customHeight="1">
      <c r="A1079" s="172" t="s">
        <v>410</v>
      </c>
      <c r="B1079" s="176">
        <v>46031</v>
      </c>
      <c r="C1079" s="172" t="s">
        <v>109</v>
      </c>
      <c r="D1079" s="172" t="s">
        <v>139</v>
      </c>
      <c r="E1079" s="172" t="s">
        <v>85</v>
      </c>
      <c r="F1079" s="172" t="s">
        <v>85</v>
      </c>
      <c r="G1079" s="172" t="s">
        <v>85</v>
      </c>
      <c r="H1079" s="177">
        <v>0</v>
      </c>
      <c r="I1079" s="178">
        <v>0</v>
      </c>
      <c r="J1079" s="176">
        <v>46031</v>
      </c>
      <c r="K1079" s="172" t="s">
        <v>85</v>
      </c>
      <c r="L1079" s="172" t="s">
        <v>85</v>
      </c>
      <c r="M1079" s="179">
        <v>0</v>
      </c>
      <c r="N1079" s="177"/>
      <c r="O1079" s="177"/>
      <c r="P1079" s="180">
        <v>-1133.0899999999999</v>
      </c>
    </row>
    <row r="1080" spans="1:16" ht="19.5" customHeight="1">
      <c r="A1080" s="172" t="s">
        <v>1001</v>
      </c>
      <c r="B1080" s="176">
        <v>46032</v>
      </c>
      <c r="C1080" s="172" t="s">
        <v>81</v>
      </c>
      <c r="D1080" s="172" t="s">
        <v>82</v>
      </c>
      <c r="E1080" s="172" t="s">
        <v>53</v>
      </c>
      <c r="F1080" s="172" t="s">
        <v>120</v>
      </c>
      <c r="G1080" s="172" t="s">
        <v>84</v>
      </c>
      <c r="H1080" s="177">
        <v>1</v>
      </c>
      <c r="I1080" s="178">
        <v>0</v>
      </c>
      <c r="J1080" s="176">
        <v>46031</v>
      </c>
      <c r="K1080" s="172" t="s">
        <v>85</v>
      </c>
      <c r="L1080" s="172" t="s">
        <v>85</v>
      </c>
      <c r="M1080" s="179">
        <v>0</v>
      </c>
      <c r="N1080" s="177"/>
      <c r="O1080" s="177"/>
      <c r="P1080" s="180">
        <v>-12.21</v>
      </c>
    </row>
    <row r="1081" spans="1:16" ht="19.5" customHeight="1">
      <c r="A1081" s="172" t="s">
        <v>1002</v>
      </c>
      <c r="B1081" s="176">
        <v>46032</v>
      </c>
      <c r="C1081" s="172" t="s">
        <v>81</v>
      </c>
      <c r="D1081" s="172" t="s">
        <v>82</v>
      </c>
      <c r="E1081" s="172" t="s">
        <v>38</v>
      </c>
      <c r="F1081" s="172" t="s">
        <v>87</v>
      </c>
      <c r="G1081" s="172" t="s">
        <v>84</v>
      </c>
      <c r="H1081" s="177">
        <v>1</v>
      </c>
      <c r="I1081" s="178">
        <v>0</v>
      </c>
      <c r="J1081" s="176">
        <v>46032</v>
      </c>
      <c r="K1081" s="172" t="s">
        <v>85</v>
      </c>
      <c r="L1081" s="172" t="s">
        <v>85</v>
      </c>
      <c r="M1081" s="179">
        <v>0</v>
      </c>
      <c r="N1081" s="177"/>
      <c r="O1081" s="177"/>
      <c r="P1081" s="180">
        <v>-3.42</v>
      </c>
    </row>
    <row r="1082" spans="1:16" ht="19.5" customHeight="1">
      <c r="A1082" s="172" t="s">
        <v>1003</v>
      </c>
      <c r="B1082" s="176">
        <v>46032</v>
      </c>
      <c r="C1082" s="172" t="s">
        <v>92</v>
      </c>
      <c r="D1082" s="172" t="s">
        <v>24</v>
      </c>
      <c r="E1082" s="172" t="s">
        <v>53</v>
      </c>
      <c r="F1082" s="172" t="s">
        <v>120</v>
      </c>
      <c r="G1082" s="172" t="s">
        <v>84</v>
      </c>
      <c r="H1082" s="177">
        <v>1</v>
      </c>
      <c r="I1082" s="178">
        <v>1621</v>
      </c>
      <c r="J1082" s="176">
        <v>46018</v>
      </c>
      <c r="K1082" s="172" t="s">
        <v>93</v>
      </c>
      <c r="L1082" s="172" t="s">
        <v>94</v>
      </c>
      <c r="M1082" s="179">
        <v>0.43</v>
      </c>
      <c r="N1082" s="177"/>
      <c r="O1082" s="177">
        <v>42</v>
      </c>
      <c r="P1082" s="180">
        <v>-134.12</v>
      </c>
    </row>
    <row r="1083" spans="1:16" ht="19.5" customHeight="1">
      <c r="A1083" s="172" t="s">
        <v>1003</v>
      </c>
      <c r="B1083" s="176">
        <v>46032</v>
      </c>
      <c r="C1083" s="172" t="s">
        <v>100</v>
      </c>
      <c r="D1083" s="172" t="s">
        <v>101</v>
      </c>
      <c r="E1083" s="172" t="s">
        <v>53</v>
      </c>
      <c r="F1083" s="172" t="s">
        <v>120</v>
      </c>
      <c r="G1083" s="172" t="s">
        <v>84</v>
      </c>
      <c r="H1083" s="177">
        <v>1</v>
      </c>
      <c r="I1083" s="178">
        <v>1621</v>
      </c>
      <c r="J1083" s="176">
        <v>46018</v>
      </c>
      <c r="K1083" s="172" t="s">
        <v>93</v>
      </c>
      <c r="L1083" s="172" t="s">
        <v>94</v>
      </c>
      <c r="M1083" s="179">
        <v>0</v>
      </c>
      <c r="N1083" s="177"/>
      <c r="O1083" s="177"/>
      <c r="P1083" s="180">
        <v>557.14</v>
      </c>
    </row>
    <row r="1084" spans="1:16" ht="19.5" customHeight="1">
      <c r="A1084" s="172" t="s">
        <v>1003</v>
      </c>
      <c r="B1084" s="176">
        <v>46032</v>
      </c>
      <c r="C1084" s="172" t="s">
        <v>100</v>
      </c>
      <c r="D1084" s="172" t="s">
        <v>102</v>
      </c>
      <c r="E1084" s="172" t="s">
        <v>53</v>
      </c>
      <c r="F1084" s="172" t="s">
        <v>120</v>
      </c>
      <c r="G1084" s="172" t="s">
        <v>84</v>
      </c>
      <c r="H1084" s="177">
        <v>1</v>
      </c>
      <c r="I1084" s="178">
        <v>1621</v>
      </c>
      <c r="J1084" s="176">
        <v>46018</v>
      </c>
      <c r="K1084" s="172" t="s">
        <v>93</v>
      </c>
      <c r="L1084" s="172" t="s">
        <v>94</v>
      </c>
      <c r="M1084" s="179">
        <v>0</v>
      </c>
      <c r="N1084" s="177"/>
      <c r="O1084" s="177"/>
      <c r="P1084" s="180">
        <v>5.57</v>
      </c>
    </row>
    <row r="1085" spans="1:16" ht="19.5" customHeight="1">
      <c r="A1085" s="172" t="s">
        <v>1003</v>
      </c>
      <c r="B1085" s="176">
        <v>46032</v>
      </c>
      <c r="C1085" s="172" t="s">
        <v>100</v>
      </c>
      <c r="D1085" s="172" t="s">
        <v>103</v>
      </c>
      <c r="E1085" s="172" t="s">
        <v>53</v>
      </c>
      <c r="F1085" s="172" t="s">
        <v>120</v>
      </c>
      <c r="G1085" s="172" t="s">
        <v>84</v>
      </c>
      <c r="H1085" s="177">
        <v>1</v>
      </c>
      <c r="I1085" s="178">
        <v>1621</v>
      </c>
      <c r="J1085" s="176">
        <v>46018</v>
      </c>
      <c r="K1085" s="172" t="s">
        <v>93</v>
      </c>
      <c r="L1085" s="172" t="s">
        <v>94</v>
      </c>
      <c r="M1085" s="179">
        <v>0</v>
      </c>
      <c r="N1085" s="177"/>
      <c r="O1085" s="177"/>
      <c r="P1085" s="180">
        <v>1058.29</v>
      </c>
    </row>
    <row r="1086" spans="1:16" ht="19.5" customHeight="1">
      <c r="A1086" s="172" t="s">
        <v>1003</v>
      </c>
      <c r="B1086" s="176">
        <v>46032</v>
      </c>
      <c r="C1086" s="172" t="s">
        <v>104</v>
      </c>
      <c r="D1086" s="172" t="s">
        <v>105</v>
      </c>
      <c r="E1086" s="172" t="s">
        <v>53</v>
      </c>
      <c r="F1086" s="172" t="s">
        <v>120</v>
      </c>
      <c r="G1086" s="172" t="s">
        <v>84</v>
      </c>
      <c r="H1086" s="177">
        <v>1</v>
      </c>
      <c r="I1086" s="178">
        <v>1621</v>
      </c>
      <c r="J1086" s="176">
        <v>46018</v>
      </c>
      <c r="K1086" s="172" t="s">
        <v>93</v>
      </c>
      <c r="L1086" s="172" t="s">
        <v>94</v>
      </c>
      <c r="M1086" s="179">
        <v>0.43</v>
      </c>
      <c r="N1086" s="177"/>
      <c r="O1086" s="177"/>
      <c r="P1086" s="180">
        <v>-697.03</v>
      </c>
    </row>
    <row r="1087" spans="1:16" ht="19.5" customHeight="1">
      <c r="A1087" s="172" t="s">
        <v>1003</v>
      </c>
      <c r="B1087" s="176">
        <v>46032</v>
      </c>
      <c r="C1087" s="172" t="s">
        <v>81</v>
      </c>
      <c r="D1087" s="172" t="s">
        <v>95</v>
      </c>
      <c r="E1087" s="172" t="s">
        <v>53</v>
      </c>
      <c r="F1087" s="172" t="s">
        <v>120</v>
      </c>
      <c r="G1087" s="172" t="s">
        <v>84</v>
      </c>
      <c r="H1087" s="177">
        <v>1</v>
      </c>
      <c r="I1087" s="178">
        <v>1621</v>
      </c>
      <c r="J1087" s="176">
        <v>46018</v>
      </c>
      <c r="K1087" s="172" t="s">
        <v>93</v>
      </c>
      <c r="L1087" s="172" t="s">
        <v>94</v>
      </c>
      <c r="M1087" s="179">
        <v>0.43</v>
      </c>
      <c r="N1087" s="177"/>
      <c r="O1087" s="177"/>
      <c r="P1087" s="180">
        <v>-15.46</v>
      </c>
    </row>
    <row r="1088" spans="1:16" ht="19.5" customHeight="1">
      <c r="A1088" s="172" t="s">
        <v>1003</v>
      </c>
      <c r="B1088" s="176">
        <v>46032</v>
      </c>
      <c r="C1088" s="172" t="s">
        <v>81</v>
      </c>
      <c r="D1088" s="172" t="s">
        <v>82</v>
      </c>
      <c r="E1088" s="172" t="s">
        <v>53</v>
      </c>
      <c r="F1088" s="172" t="s">
        <v>120</v>
      </c>
      <c r="G1088" s="172" t="s">
        <v>84</v>
      </c>
      <c r="H1088" s="177">
        <v>1</v>
      </c>
      <c r="I1088" s="178">
        <v>0</v>
      </c>
      <c r="J1088" s="176">
        <v>46018</v>
      </c>
      <c r="K1088" s="172" t="s">
        <v>85</v>
      </c>
      <c r="L1088" s="172" t="s">
        <v>85</v>
      </c>
      <c r="M1088" s="179">
        <v>0</v>
      </c>
      <c r="N1088" s="177"/>
      <c r="O1088" s="177"/>
      <c r="P1088" s="180">
        <v>-10.59</v>
      </c>
    </row>
    <row r="1089" spans="1:16" ht="19.5" customHeight="1">
      <c r="A1089" s="172" t="s">
        <v>1004</v>
      </c>
      <c r="B1089" s="176">
        <v>46032</v>
      </c>
      <c r="C1089" s="172" t="s">
        <v>92</v>
      </c>
      <c r="D1089" s="172" t="s">
        <v>24</v>
      </c>
      <c r="E1089" s="172" t="s">
        <v>53</v>
      </c>
      <c r="F1089" s="172" t="s">
        <v>120</v>
      </c>
      <c r="G1089" s="172" t="s">
        <v>84</v>
      </c>
      <c r="H1089" s="177">
        <v>1</v>
      </c>
      <c r="I1089" s="178">
        <v>0</v>
      </c>
      <c r="J1089" s="176">
        <v>46019</v>
      </c>
      <c r="K1089" s="172" t="s">
        <v>93</v>
      </c>
      <c r="L1089" s="172" t="s">
        <v>94</v>
      </c>
      <c r="M1089" s="179">
        <v>0</v>
      </c>
      <c r="N1089" s="177"/>
      <c r="O1089" s="177">
        <v>41</v>
      </c>
      <c r="P1089" s="180">
        <v>-56</v>
      </c>
    </row>
    <row r="1090" spans="1:16" ht="19.5" customHeight="1">
      <c r="A1090" s="172" t="s">
        <v>1004</v>
      </c>
      <c r="B1090" s="176">
        <v>46032</v>
      </c>
      <c r="C1090" s="172" t="s">
        <v>81</v>
      </c>
      <c r="D1090" s="172" t="s">
        <v>95</v>
      </c>
      <c r="E1090" s="172" t="s">
        <v>53</v>
      </c>
      <c r="F1090" s="172" t="s">
        <v>120</v>
      </c>
      <c r="G1090" s="172" t="s">
        <v>84</v>
      </c>
      <c r="H1090" s="177">
        <v>1</v>
      </c>
      <c r="I1090" s="178">
        <v>0</v>
      </c>
      <c r="J1090" s="176">
        <v>46019</v>
      </c>
      <c r="K1090" s="172" t="s">
        <v>93</v>
      </c>
      <c r="L1090" s="172" t="s">
        <v>94</v>
      </c>
      <c r="M1090" s="179">
        <v>0</v>
      </c>
      <c r="N1090" s="177"/>
      <c r="O1090" s="177"/>
      <c r="P1090" s="180">
        <v>-12.05</v>
      </c>
    </row>
    <row r="1091" spans="1:16" ht="19.5" customHeight="1">
      <c r="A1091" s="172" t="s">
        <v>1004</v>
      </c>
      <c r="B1091" s="176">
        <v>46032</v>
      </c>
      <c r="C1091" s="172" t="s">
        <v>92</v>
      </c>
      <c r="D1091" s="172" t="s">
        <v>96</v>
      </c>
      <c r="E1091" s="172" t="s">
        <v>53</v>
      </c>
      <c r="F1091" s="172" t="s">
        <v>120</v>
      </c>
      <c r="G1091" s="172" t="s">
        <v>84</v>
      </c>
      <c r="H1091" s="177">
        <v>1</v>
      </c>
      <c r="I1091" s="178">
        <v>0</v>
      </c>
      <c r="J1091" s="176">
        <v>46019</v>
      </c>
      <c r="K1091" s="172" t="s">
        <v>93</v>
      </c>
      <c r="L1091" s="172" t="s">
        <v>94</v>
      </c>
      <c r="M1091" s="179">
        <v>0</v>
      </c>
      <c r="N1091" s="177"/>
      <c r="O1091" s="177"/>
      <c r="P1091" s="180">
        <v>0</v>
      </c>
    </row>
    <row r="1092" spans="1:16" ht="19.5" customHeight="1">
      <c r="A1092" s="172" t="s">
        <v>1004</v>
      </c>
      <c r="B1092" s="176">
        <v>46032</v>
      </c>
      <c r="C1092" s="172" t="s">
        <v>92</v>
      </c>
      <c r="D1092" s="172" t="s">
        <v>97</v>
      </c>
      <c r="E1092" s="172" t="s">
        <v>53</v>
      </c>
      <c r="F1092" s="172" t="s">
        <v>120</v>
      </c>
      <c r="G1092" s="172" t="s">
        <v>84</v>
      </c>
      <c r="H1092" s="177">
        <v>1</v>
      </c>
      <c r="I1092" s="178">
        <v>0</v>
      </c>
      <c r="J1092" s="176">
        <v>46019</v>
      </c>
      <c r="K1092" s="172" t="s">
        <v>93</v>
      </c>
      <c r="L1092" s="172" t="s">
        <v>94</v>
      </c>
      <c r="M1092" s="179">
        <v>0</v>
      </c>
      <c r="N1092" s="177"/>
      <c r="O1092" s="177"/>
      <c r="P1092" s="180">
        <v>-56</v>
      </c>
    </row>
    <row r="1093" spans="1:16" ht="19.5" customHeight="1">
      <c r="A1093" s="172" t="s">
        <v>1004</v>
      </c>
      <c r="B1093" s="176">
        <v>46032</v>
      </c>
      <c r="C1093" s="172" t="s">
        <v>81</v>
      </c>
      <c r="D1093" s="172" t="s">
        <v>98</v>
      </c>
      <c r="E1093" s="172" t="s">
        <v>53</v>
      </c>
      <c r="F1093" s="172" t="s">
        <v>120</v>
      </c>
      <c r="G1093" s="172" t="s">
        <v>84</v>
      </c>
      <c r="H1093" s="177">
        <v>1</v>
      </c>
      <c r="I1093" s="178">
        <v>0</v>
      </c>
      <c r="J1093" s="176">
        <v>46019</v>
      </c>
      <c r="K1093" s="172" t="s">
        <v>93</v>
      </c>
      <c r="L1093" s="172" t="s">
        <v>94</v>
      </c>
      <c r="M1093" s="179">
        <v>0</v>
      </c>
      <c r="N1093" s="177"/>
      <c r="O1093" s="177"/>
      <c r="P1093" s="180">
        <v>-15</v>
      </c>
    </row>
    <row r="1094" spans="1:16" ht="19.5" customHeight="1">
      <c r="A1094" s="172" t="s">
        <v>85</v>
      </c>
      <c r="B1094" s="176">
        <v>46032</v>
      </c>
      <c r="C1094" s="172" t="s">
        <v>109</v>
      </c>
      <c r="D1094" s="172" t="s">
        <v>110</v>
      </c>
      <c r="E1094" s="172" t="s">
        <v>85</v>
      </c>
      <c r="F1094" s="172" t="s">
        <v>85</v>
      </c>
      <c r="G1094" s="172" t="s">
        <v>1005</v>
      </c>
      <c r="H1094" s="177">
        <v>0</v>
      </c>
      <c r="I1094" s="178">
        <v>0</v>
      </c>
      <c r="J1094" s="176">
        <v>46032</v>
      </c>
      <c r="K1094" s="172" t="s">
        <v>85</v>
      </c>
      <c r="L1094" s="172" t="s">
        <v>85</v>
      </c>
      <c r="M1094" s="179">
        <v>0</v>
      </c>
      <c r="N1094" s="177"/>
      <c r="O1094" s="177"/>
      <c r="P1094" s="180">
        <v>-150</v>
      </c>
    </row>
    <row r="1095" spans="1:16" ht="19.5" customHeight="1">
      <c r="A1095" s="172" t="s">
        <v>1006</v>
      </c>
      <c r="B1095" s="176">
        <v>46032</v>
      </c>
      <c r="C1095" s="172" t="s">
        <v>92</v>
      </c>
      <c r="D1095" s="172" t="s">
        <v>24</v>
      </c>
      <c r="E1095" s="172" t="s">
        <v>52</v>
      </c>
      <c r="F1095" s="172" t="s">
        <v>90</v>
      </c>
      <c r="G1095" s="172" t="s">
        <v>84</v>
      </c>
      <c r="H1095" s="177">
        <v>1</v>
      </c>
      <c r="I1095" s="178">
        <v>0</v>
      </c>
      <c r="J1095" s="176">
        <v>46016</v>
      </c>
      <c r="K1095" s="172" t="s">
        <v>93</v>
      </c>
      <c r="L1095" s="172" t="s">
        <v>94</v>
      </c>
      <c r="M1095" s="179">
        <v>0</v>
      </c>
      <c r="N1095" s="177"/>
      <c r="O1095" s="177">
        <v>43</v>
      </c>
      <c r="P1095" s="180">
        <v>-56</v>
      </c>
    </row>
    <row r="1096" spans="1:16" ht="19.5" customHeight="1">
      <c r="A1096" s="172" t="s">
        <v>1006</v>
      </c>
      <c r="B1096" s="176">
        <v>46032</v>
      </c>
      <c r="C1096" s="172" t="s">
        <v>81</v>
      </c>
      <c r="D1096" s="172" t="s">
        <v>95</v>
      </c>
      <c r="E1096" s="172" t="s">
        <v>52</v>
      </c>
      <c r="F1096" s="172" t="s">
        <v>90</v>
      </c>
      <c r="G1096" s="172" t="s">
        <v>84</v>
      </c>
      <c r="H1096" s="177">
        <v>1</v>
      </c>
      <c r="I1096" s="178">
        <v>0</v>
      </c>
      <c r="J1096" s="176">
        <v>46016</v>
      </c>
      <c r="K1096" s="172" t="s">
        <v>93</v>
      </c>
      <c r="L1096" s="172" t="s">
        <v>94</v>
      </c>
      <c r="M1096" s="179">
        <v>0</v>
      </c>
      <c r="N1096" s="177"/>
      <c r="O1096" s="177"/>
      <c r="P1096" s="180">
        <v>-7.87</v>
      </c>
    </row>
    <row r="1097" spans="1:16" ht="19.5" customHeight="1">
      <c r="A1097" s="172" t="s">
        <v>1006</v>
      </c>
      <c r="B1097" s="176">
        <v>46032</v>
      </c>
      <c r="C1097" s="172" t="s">
        <v>92</v>
      </c>
      <c r="D1097" s="172" t="s">
        <v>96</v>
      </c>
      <c r="E1097" s="172" t="s">
        <v>52</v>
      </c>
      <c r="F1097" s="172" t="s">
        <v>90</v>
      </c>
      <c r="G1097" s="172" t="s">
        <v>84</v>
      </c>
      <c r="H1097" s="177">
        <v>1</v>
      </c>
      <c r="I1097" s="178">
        <v>0</v>
      </c>
      <c r="J1097" s="176">
        <v>46016</v>
      </c>
      <c r="K1097" s="172" t="s">
        <v>93</v>
      </c>
      <c r="L1097" s="172" t="s">
        <v>94</v>
      </c>
      <c r="M1097" s="179">
        <v>0</v>
      </c>
      <c r="N1097" s="177"/>
      <c r="O1097" s="177"/>
      <c r="P1097" s="180">
        <v>0</v>
      </c>
    </row>
    <row r="1098" spans="1:16" ht="19.5" customHeight="1">
      <c r="A1098" s="172" t="s">
        <v>1006</v>
      </c>
      <c r="B1098" s="176">
        <v>46032</v>
      </c>
      <c r="C1098" s="172" t="s">
        <v>92</v>
      </c>
      <c r="D1098" s="172" t="s">
        <v>97</v>
      </c>
      <c r="E1098" s="172" t="s">
        <v>52</v>
      </c>
      <c r="F1098" s="172" t="s">
        <v>90</v>
      </c>
      <c r="G1098" s="172" t="s">
        <v>84</v>
      </c>
      <c r="H1098" s="177">
        <v>1</v>
      </c>
      <c r="I1098" s="178">
        <v>0</v>
      </c>
      <c r="J1098" s="176">
        <v>46016</v>
      </c>
      <c r="K1098" s="172" t="s">
        <v>93</v>
      </c>
      <c r="L1098" s="172" t="s">
        <v>94</v>
      </c>
      <c r="M1098" s="179">
        <v>0</v>
      </c>
      <c r="N1098" s="177"/>
      <c r="O1098" s="177"/>
      <c r="P1098" s="180">
        <v>-56</v>
      </c>
    </row>
    <row r="1099" spans="1:16" ht="19.5" customHeight="1">
      <c r="A1099" s="172" t="s">
        <v>1006</v>
      </c>
      <c r="B1099" s="176">
        <v>46032</v>
      </c>
      <c r="C1099" s="172" t="s">
        <v>81</v>
      </c>
      <c r="D1099" s="172" t="s">
        <v>98</v>
      </c>
      <c r="E1099" s="172" t="s">
        <v>52</v>
      </c>
      <c r="F1099" s="172" t="s">
        <v>90</v>
      </c>
      <c r="G1099" s="172" t="s">
        <v>84</v>
      </c>
      <c r="H1099" s="177">
        <v>1</v>
      </c>
      <c r="I1099" s="178">
        <v>0</v>
      </c>
      <c r="J1099" s="176">
        <v>46016</v>
      </c>
      <c r="K1099" s="172" t="s">
        <v>93</v>
      </c>
      <c r="L1099" s="172" t="s">
        <v>94</v>
      </c>
      <c r="M1099" s="179">
        <v>0</v>
      </c>
      <c r="N1099" s="177"/>
      <c r="O1099" s="177"/>
      <c r="P1099" s="180">
        <v>-15</v>
      </c>
    </row>
    <row r="1100" spans="1:16" ht="19.5" customHeight="1">
      <c r="A1100" s="172" t="s">
        <v>1007</v>
      </c>
      <c r="B1100" s="176">
        <v>46032</v>
      </c>
      <c r="C1100" s="172" t="s">
        <v>92</v>
      </c>
      <c r="D1100" s="172" t="s">
        <v>24</v>
      </c>
      <c r="E1100" s="172" t="s">
        <v>52</v>
      </c>
      <c r="F1100" s="172" t="s">
        <v>90</v>
      </c>
      <c r="G1100" s="172" t="s">
        <v>84</v>
      </c>
      <c r="H1100" s="177">
        <v>1</v>
      </c>
      <c r="I1100" s="178">
        <v>1621</v>
      </c>
      <c r="J1100" s="176">
        <v>46023</v>
      </c>
      <c r="K1100" s="172" t="s">
        <v>93</v>
      </c>
      <c r="L1100" s="172" t="s">
        <v>94</v>
      </c>
      <c r="M1100" s="179">
        <v>0.43</v>
      </c>
      <c r="N1100" s="177"/>
      <c r="O1100" s="177">
        <v>43</v>
      </c>
      <c r="P1100" s="180">
        <v>-138.22999999999999</v>
      </c>
    </row>
    <row r="1101" spans="1:16" ht="19.5" customHeight="1">
      <c r="A1101" s="172" t="s">
        <v>1007</v>
      </c>
      <c r="B1101" s="176">
        <v>46032</v>
      </c>
      <c r="C1101" s="172" t="s">
        <v>100</v>
      </c>
      <c r="D1101" s="172" t="s">
        <v>101</v>
      </c>
      <c r="E1101" s="172" t="s">
        <v>52</v>
      </c>
      <c r="F1101" s="172" t="s">
        <v>90</v>
      </c>
      <c r="G1101" s="172" t="s">
        <v>84</v>
      </c>
      <c r="H1101" s="177">
        <v>1</v>
      </c>
      <c r="I1101" s="178">
        <v>1621</v>
      </c>
      <c r="J1101" s="176">
        <v>46023</v>
      </c>
      <c r="K1101" s="172" t="s">
        <v>93</v>
      </c>
      <c r="L1101" s="172" t="s">
        <v>94</v>
      </c>
      <c r="M1101" s="179">
        <v>0</v>
      </c>
      <c r="N1101" s="177"/>
      <c r="O1101" s="177"/>
      <c r="P1101" s="180">
        <v>556.61</v>
      </c>
    </row>
    <row r="1102" spans="1:16" ht="19.5" customHeight="1">
      <c r="A1102" s="172" t="s">
        <v>1007</v>
      </c>
      <c r="B1102" s="176">
        <v>46032</v>
      </c>
      <c r="C1102" s="172" t="s">
        <v>100</v>
      </c>
      <c r="D1102" s="172" t="s">
        <v>102</v>
      </c>
      <c r="E1102" s="172" t="s">
        <v>52</v>
      </c>
      <c r="F1102" s="172" t="s">
        <v>90</v>
      </c>
      <c r="G1102" s="172" t="s">
        <v>84</v>
      </c>
      <c r="H1102" s="177">
        <v>1</v>
      </c>
      <c r="I1102" s="178">
        <v>1621</v>
      </c>
      <c r="J1102" s="176">
        <v>46023</v>
      </c>
      <c r="K1102" s="172" t="s">
        <v>93</v>
      </c>
      <c r="L1102" s="172" t="s">
        <v>94</v>
      </c>
      <c r="M1102" s="179">
        <v>0</v>
      </c>
      <c r="N1102" s="177"/>
      <c r="O1102" s="177"/>
      <c r="P1102" s="180">
        <v>5.57</v>
      </c>
    </row>
    <row r="1103" spans="1:16" ht="19.5" customHeight="1">
      <c r="A1103" s="172" t="s">
        <v>1007</v>
      </c>
      <c r="B1103" s="176">
        <v>46032</v>
      </c>
      <c r="C1103" s="172" t="s">
        <v>100</v>
      </c>
      <c r="D1103" s="172" t="s">
        <v>103</v>
      </c>
      <c r="E1103" s="172" t="s">
        <v>52</v>
      </c>
      <c r="F1103" s="172" t="s">
        <v>90</v>
      </c>
      <c r="G1103" s="172" t="s">
        <v>84</v>
      </c>
      <c r="H1103" s="177">
        <v>1</v>
      </c>
      <c r="I1103" s="178">
        <v>1621</v>
      </c>
      <c r="J1103" s="176">
        <v>46023</v>
      </c>
      <c r="K1103" s="172" t="s">
        <v>93</v>
      </c>
      <c r="L1103" s="172" t="s">
        <v>94</v>
      </c>
      <c r="M1103" s="179">
        <v>0</v>
      </c>
      <c r="N1103" s="177"/>
      <c r="O1103" s="177"/>
      <c r="P1103" s="180">
        <v>1058.82</v>
      </c>
    </row>
    <row r="1104" spans="1:16" ht="19.5" customHeight="1">
      <c r="A1104" s="172" t="s">
        <v>1007</v>
      </c>
      <c r="B1104" s="176">
        <v>46032</v>
      </c>
      <c r="C1104" s="172" t="s">
        <v>104</v>
      </c>
      <c r="D1104" s="172" t="s">
        <v>105</v>
      </c>
      <c r="E1104" s="172" t="s">
        <v>52</v>
      </c>
      <c r="F1104" s="172" t="s">
        <v>90</v>
      </c>
      <c r="G1104" s="172" t="s">
        <v>84</v>
      </c>
      <c r="H1104" s="177">
        <v>1</v>
      </c>
      <c r="I1104" s="178">
        <v>1621</v>
      </c>
      <c r="J1104" s="176">
        <v>46023</v>
      </c>
      <c r="K1104" s="172" t="s">
        <v>93</v>
      </c>
      <c r="L1104" s="172" t="s">
        <v>94</v>
      </c>
      <c r="M1104" s="179">
        <v>0.43</v>
      </c>
      <c r="N1104" s="177"/>
      <c r="O1104" s="177"/>
      <c r="P1104" s="180">
        <v>-697.03</v>
      </c>
    </row>
    <row r="1105" spans="1:16" ht="19.5" customHeight="1">
      <c r="A1105" s="172" t="s">
        <v>1007</v>
      </c>
      <c r="B1105" s="176">
        <v>46032</v>
      </c>
      <c r="C1105" s="172" t="s">
        <v>81</v>
      </c>
      <c r="D1105" s="172" t="s">
        <v>95</v>
      </c>
      <c r="E1105" s="172" t="s">
        <v>52</v>
      </c>
      <c r="F1105" s="172" t="s">
        <v>90</v>
      </c>
      <c r="G1105" s="172" t="s">
        <v>84</v>
      </c>
      <c r="H1105" s="177">
        <v>1</v>
      </c>
      <c r="I1105" s="178">
        <v>1621</v>
      </c>
      <c r="J1105" s="176">
        <v>46023</v>
      </c>
      <c r="K1105" s="172" t="s">
        <v>93</v>
      </c>
      <c r="L1105" s="172" t="s">
        <v>94</v>
      </c>
      <c r="M1105" s="179">
        <v>0.43</v>
      </c>
      <c r="N1105" s="177"/>
      <c r="O1105" s="177"/>
      <c r="P1105" s="180">
        <v>-10.45</v>
      </c>
    </row>
    <row r="1106" spans="1:16" ht="19.5" customHeight="1">
      <c r="A1106" s="172" t="s">
        <v>1008</v>
      </c>
      <c r="B1106" s="176">
        <v>46032</v>
      </c>
      <c r="C1106" s="172" t="s">
        <v>92</v>
      </c>
      <c r="D1106" s="172" t="s">
        <v>24</v>
      </c>
      <c r="E1106" s="172" t="s">
        <v>52</v>
      </c>
      <c r="F1106" s="172" t="s">
        <v>90</v>
      </c>
      <c r="G1106" s="172" t="s">
        <v>84</v>
      </c>
      <c r="H1106" s="177">
        <v>1</v>
      </c>
      <c r="I1106" s="178">
        <v>1621</v>
      </c>
      <c r="J1106" s="176">
        <v>46026</v>
      </c>
      <c r="K1106" s="172" t="s">
        <v>93</v>
      </c>
      <c r="L1106" s="172" t="s">
        <v>94</v>
      </c>
      <c r="M1106" s="179">
        <v>0.43</v>
      </c>
      <c r="N1106" s="177"/>
      <c r="O1106" s="177">
        <v>46</v>
      </c>
      <c r="P1106" s="180">
        <v>-152.15</v>
      </c>
    </row>
    <row r="1107" spans="1:16" ht="19.5" customHeight="1">
      <c r="A1107" s="172" t="s">
        <v>1008</v>
      </c>
      <c r="B1107" s="176">
        <v>46032</v>
      </c>
      <c r="C1107" s="172" t="s">
        <v>100</v>
      </c>
      <c r="D1107" s="172" t="s">
        <v>101</v>
      </c>
      <c r="E1107" s="172" t="s">
        <v>52</v>
      </c>
      <c r="F1107" s="172" t="s">
        <v>90</v>
      </c>
      <c r="G1107" s="172" t="s">
        <v>84</v>
      </c>
      <c r="H1107" s="177">
        <v>1</v>
      </c>
      <c r="I1107" s="178">
        <v>1621</v>
      </c>
      <c r="J1107" s="176">
        <v>46026</v>
      </c>
      <c r="K1107" s="172" t="s">
        <v>93</v>
      </c>
      <c r="L1107" s="172" t="s">
        <v>94</v>
      </c>
      <c r="M1107" s="179">
        <v>0</v>
      </c>
      <c r="N1107" s="177"/>
      <c r="O1107" s="177"/>
      <c r="P1107" s="180">
        <v>557.14</v>
      </c>
    </row>
    <row r="1108" spans="1:16" ht="19.5" customHeight="1">
      <c r="A1108" s="172" t="s">
        <v>1008</v>
      </c>
      <c r="B1108" s="176">
        <v>46032</v>
      </c>
      <c r="C1108" s="172" t="s">
        <v>100</v>
      </c>
      <c r="D1108" s="172" t="s">
        <v>102</v>
      </c>
      <c r="E1108" s="172" t="s">
        <v>52</v>
      </c>
      <c r="F1108" s="172" t="s">
        <v>90</v>
      </c>
      <c r="G1108" s="172" t="s">
        <v>84</v>
      </c>
      <c r="H1108" s="177">
        <v>1</v>
      </c>
      <c r="I1108" s="178">
        <v>1621</v>
      </c>
      <c r="J1108" s="176">
        <v>46026</v>
      </c>
      <c r="K1108" s="172" t="s">
        <v>93</v>
      </c>
      <c r="L1108" s="172" t="s">
        <v>94</v>
      </c>
      <c r="M1108" s="179">
        <v>0</v>
      </c>
      <c r="N1108" s="177"/>
      <c r="O1108" s="177"/>
      <c r="P1108" s="180">
        <v>5.57</v>
      </c>
    </row>
    <row r="1109" spans="1:16" ht="19.5" customHeight="1">
      <c r="A1109" s="172" t="s">
        <v>1008</v>
      </c>
      <c r="B1109" s="176">
        <v>46032</v>
      </c>
      <c r="C1109" s="172" t="s">
        <v>100</v>
      </c>
      <c r="D1109" s="172" t="s">
        <v>103</v>
      </c>
      <c r="E1109" s="172" t="s">
        <v>52</v>
      </c>
      <c r="F1109" s="172" t="s">
        <v>90</v>
      </c>
      <c r="G1109" s="172" t="s">
        <v>84</v>
      </c>
      <c r="H1109" s="177">
        <v>1</v>
      </c>
      <c r="I1109" s="178">
        <v>1621</v>
      </c>
      <c r="J1109" s="176">
        <v>46026</v>
      </c>
      <c r="K1109" s="172" t="s">
        <v>93</v>
      </c>
      <c r="L1109" s="172" t="s">
        <v>94</v>
      </c>
      <c r="M1109" s="179">
        <v>0</v>
      </c>
      <c r="N1109" s="177"/>
      <c r="O1109" s="177"/>
      <c r="P1109" s="180">
        <v>1058.29</v>
      </c>
    </row>
    <row r="1110" spans="1:16" ht="19.5" customHeight="1">
      <c r="A1110" s="172" t="s">
        <v>1008</v>
      </c>
      <c r="B1110" s="176">
        <v>46032</v>
      </c>
      <c r="C1110" s="172" t="s">
        <v>104</v>
      </c>
      <c r="D1110" s="172" t="s">
        <v>105</v>
      </c>
      <c r="E1110" s="172" t="s">
        <v>52</v>
      </c>
      <c r="F1110" s="172" t="s">
        <v>90</v>
      </c>
      <c r="G1110" s="172" t="s">
        <v>84</v>
      </c>
      <c r="H1110" s="177">
        <v>1</v>
      </c>
      <c r="I1110" s="178">
        <v>1621</v>
      </c>
      <c r="J1110" s="176">
        <v>46026</v>
      </c>
      <c r="K1110" s="172" t="s">
        <v>93</v>
      </c>
      <c r="L1110" s="172" t="s">
        <v>94</v>
      </c>
      <c r="M1110" s="179">
        <v>0.43</v>
      </c>
      <c r="N1110" s="177"/>
      <c r="O1110" s="177"/>
      <c r="P1110" s="180">
        <v>-697.03</v>
      </c>
    </row>
    <row r="1111" spans="1:16" ht="19.5" customHeight="1">
      <c r="A1111" s="172" t="s">
        <v>1008</v>
      </c>
      <c r="B1111" s="176">
        <v>46032</v>
      </c>
      <c r="C1111" s="172" t="s">
        <v>81</v>
      </c>
      <c r="D1111" s="172" t="s">
        <v>95</v>
      </c>
      <c r="E1111" s="172" t="s">
        <v>52</v>
      </c>
      <c r="F1111" s="172" t="s">
        <v>90</v>
      </c>
      <c r="G1111" s="172" t="s">
        <v>84</v>
      </c>
      <c r="H1111" s="177">
        <v>1</v>
      </c>
      <c r="I1111" s="178">
        <v>1621</v>
      </c>
      <c r="J1111" s="176">
        <v>46026</v>
      </c>
      <c r="K1111" s="172" t="s">
        <v>93</v>
      </c>
      <c r="L1111" s="172" t="s">
        <v>94</v>
      </c>
      <c r="M1111" s="179">
        <v>0.43</v>
      </c>
      <c r="N1111" s="177"/>
      <c r="O1111" s="177"/>
      <c r="P1111" s="180">
        <v>-7.75</v>
      </c>
    </row>
    <row r="1112" spans="1:16" ht="19.5" customHeight="1">
      <c r="A1112" s="172" t="s">
        <v>1007</v>
      </c>
      <c r="B1112" s="176">
        <v>46032</v>
      </c>
      <c r="C1112" s="172" t="s">
        <v>81</v>
      </c>
      <c r="D1112" s="172" t="s">
        <v>82</v>
      </c>
      <c r="E1112" s="172" t="s">
        <v>52</v>
      </c>
      <c r="F1112" s="172" t="s">
        <v>90</v>
      </c>
      <c r="G1112" s="172" t="s">
        <v>84</v>
      </c>
      <c r="H1112" s="177">
        <v>1</v>
      </c>
      <c r="I1112" s="178">
        <v>0</v>
      </c>
      <c r="J1112" s="176">
        <v>46023</v>
      </c>
      <c r="K1112" s="172" t="s">
        <v>85</v>
      </c>
      <c r="L1112" s="172" t="s">
        <v>85</v>
      </c>
      <c r="M1112" s="179">
        <v>0</v>
      </c>
      <c r="N1112" s="177"/>
      <c r="O1112" s="177"/>
      <c r="P1112" s="180">
        <v>-10.58</v>
      </c>
    </row>
    <row r="1113" spans="1:16" ht="19.5" customHeight="1">
      <c r="A1113" s="172" t="s">
        <v>1009</v>
      </c>
      <c r="B1113" s="176">
        <v>46032</v>
      </c>
      <c r="C1113" s="172" t="s">
        <v>92</v>
      </c>
      <c r="D1113" s="172" t="s">
        <v>24</v>
      </c>
      <c r="E1113" s="172" t="s">
        <v>53</v>
      </c>
      <c r="F1113" s="172" t="s">
        <v>120</v>
      </c>
      <c r="G1113" s="172" t="s">
        <v>84</v>
      </c>
      <c r="H1113" s="177">
        <v>1</v>
      </c>
      <c r="I1113" s="178">
        <v>1845</v>
      </c>
      <c r="J1113" s="176">
        <v>46028</v>
      </c>
      <c r="K1113" s="172" t="s">
        <v>93</v>
      </c>
      <c r="L1113" s="172" t="s">
        <v>94</v>
      </c>
      <c r="M1113" s="179">
        <v>0.43</v>
      </c>
      <c r="N1113" s="177"/>
      <c r="O1113" s="177">
        <v>44</v>
      </c>
      <c r="P1113" s="180">
        <v>-149.4</v>
      </c>
    </row>
    <row r="1114" spans="1:16" ht="19.5" customHeight="1">
      <c r="A1114" s="172" t="s">
        <v>1009</v>
      </c>
      <c r="B1114" s="176">
        <v>46032</v>
      </c>
      <c r="C1114" s="172" t="s">
        <v>100</v>
      </c>
      <c r="D1114" s="172" t="s">
        <v>101</v>
      </c>
      <c r="E1114" s="172" t="s">
        <v>53</v>
      </c>
      <c r="F1114" s="172" t="s">
        <v>120</v>
      </c>
      <c r="G1114" s="172" t="s">
        <v>84</v>
      </c>
      <c r="H1114" s="177">
        <v>1</v>
      </c>
      <c r="I1114" s="178">
        <v>1845</v>
      </c>
      <c r="J1114" s="176">
        <v>46028</v>
      </c>
      <c r="K1114" s="172" t="s">
        <v>93</v>
      </c>
      <c r="L1114" s="172" t="s">
        <v>94</v>
      </c>
      <c r="M1114" s="179">
        <v>0</v>
      </c>
      <c r="N1114" s="177"/>
      <c r="O1114" s="177"/>
      <c r="P1114" s="180">
        <v>702.86</v>
      </c>
    </row>
    <row r="1115" spans="1:16" ht="19.5" customHeight="1">
      <c r="A1115" s="172" t="s">
        <v>1009</v>
      </c>
      <c r="B1115" s="176">
        <v>46032</v>
      </c>
      <c r="C1115" s="172" t="s">
        <v>100</v>
      </c>
      <c r="D1115" s="172" t="s">
        <v>102</v>
      </c>
      <c r="E1115" s="172" t="s">
        <v>53</v>
      </c>
      <c r="F1115" s="172" t="s">
        <v>120</v>
      </c>
      <c r="G1115" s="172" t="s">
        <v>84</v>
      </c>
      <c r="H1115" s="177">
        <v>1</v>
      </c>
      <c r="I1115" s="178">
        <v>1845</v>
      </c>
      <c r="J1115" s="176">
        <v>46028</v>
      </c>
      <c r="K1115" s="172" t="s">
        <v>93</v>
      </c>
      <c r="L1115" s="172" t="s">
        <v>94</v>
      </c>
      <c r="M1115" s="179">
        <v>0</v>
      </c>
      <c r="N1115" s="177"/>
      <c r="O1115" s="177"/>
      <c r="P1115" s="180">
        <v>0</v>
      </c>
    </row>
    <row r="1116" spans="1:16" ht="19.5" customHeight="1">
      <c r="A1116" s="172" t="s">
        <v>1009</v>
      </c>
      <c r="B1116" s="176">
        <v>46032</v>
      </c>
      <c r="C1116" s="172" t="s">
        <v>100</v>
      </c>
      <c r="D1116" s="172" t="s">
        <v>103</v>
      </c>
      <c r="E1116" s="172" t="s">
        <v>53</v>
      </c>
      <c r="F1116" s="172" t="s">
        <v>120</v>
      </c>
      <c r="G1116" s="172" t="s">
        <v>84</v>
      </c>
      <c r="H1116" s="177">
        <v>1</v>
      </c>
      <c r="I1116" s="178">
        <v>1845</v>
      </c>
      <c r="J1116" s="176">
        <v>46028</v>
      </c>
      <c r="K1116" s="172" t="s">
        <v>93</v>
      </c>
      <c r="L1116" s="172" t="s">
        <v>94</v>
      </c>
      <c r="M1116" s="179">
        <v>0</v>
      </c>
      <c r="N1116" s="177"/>
      <c r="O1116" s="177"/>
      <c r="P1116" s="180">
        <v>1142.1400000000001</v>
      </c>
    </row>
    <row r="1117" spans="1:16" ht="19.5" customHeight="1">
      <c r="A1117" s="172" t="s">
        <v>1009</v>
      </c>
      <c r="B1117" s="176">
        <v>46032</v>
      </c>
      <c r="C1117" s="172" t="s">
        <v>104</v>
      </c>
      <c r="D1117" s="172" t="s">
        <v>105</v>
      </c>
      <c r="E1117" s="172" t="s">
        <v>53</v>
      </c>
      <c r="F1117" s="172" t="s">
        <v>120</v>
      </c>
      <c r="G1117" s="172" t="s">
        <v>84</v>
      </c>
      <c r="H1117" s="177">
        <v>1</v>
      </c>
      <c r="I1117" s="178">
        <v>1845</v>
      </c>
      <c r="J1117" s="176">
        <v>46028</v>
      </c>
      <c r="K1117" s="172" t="s">
        <v>93</v>
      </c>
      <c r="L1117" s="172" t="s">
        <v>94</v>
      </c>
      <c r="M1117" s="179">
        <v>0.43</v>
      </c>
      <c r="N1117" s="177"/>
      <c r="O1117" s="177"/>
      <c r="P1117" s="180">
        <v>-793.35</v>
      </c>
    </row>
    <row r="1118" spans="1:16" ht="19.5" customHeight="1">
      <c r="A1118" s="172" t="s">
        <v>490</v>
      </c>
      <c r="B1118" s="176">
        <v>46032</v>
      </c>
      <c r="C1118" s="172" t="s">
        <v>166</v>
      </c>
      <c r="D1118" s="172" t="s">
        <v>167</v>
      </c>
      <c r="E1118" s="172" t="s">
        <v>52</v>
      </c>
      <c r="F1118" s="172" t="s">
        <v>90</v>
      </c>
      <c r="G1118" s="172" t="s">
        <v>84</v>
      </c>
      <c r="H1118" s="177">
        <v>1</v>
      </c>
      <c r="I1118" s="178">
        <v>-1621</v>
      </c>
      <c r="J1118" s="176">
        <v>46030</v>
      </c>
      <c r="K1118" s="172" t="s">
        <v>93</v>
      </c>
      <c r="L1118" s="172" t="s">
        <v>94</v>
      </c>
      <c r="M1118" s="179">
        <v>0</v>
      </c>
      <c r="N1118" s="177"/>
      <c r="O1118" s="177"/>
      <c r="P1118" s="180">
        <v>-557.14</v>
      </c>
    </row>
    <row r="1119" spans="1:16" ht="19.5" customHeight="1">
      <c r="A1119" s="172" t="s">
        <v>490</v>
      </c>
      <c r="B1119" s="176">
        <v>46032</v>
      </c>
      <c r="C1119" s="172" t="s">
        <v>166</v>
      </c>
      <c r="D1119" s="172" t="s">
        <v>102</v>
      </c>
      <c r="E1119" s="172" t="s">
        <v>52</v>
      </c>
      <c r="F1119" s="172" t="s">
        <v>90</v>
      </c>
      <c r="G1119" s="172" t="s">
        <v>84</v>
      </c>
      <c r="H1119" s="177">
        <v>1</v>
      </c>
      <c r="I1119" s="178">
        <v>-1621</v>
      </c>
      <c r="J1119" s="176">
        <v>46030</v>
      </c>
      <c r="K1119" s="172" t="s">
        <v>93</v>
      </c>
      <c r="L1119" s="172" t="s">
        <v>94</v>
      </c>
      <c r="M1119" s="179">
        <v>0</v>
      </c>
      <c r="N1119" s="177"/>
      <c r="O1119" s="177"/>
      <c r="P1119" s="180">
        <v>-5.57</v>
      </c>
    </row>
    <row r="1120" spans="1:16" ht="19.5" customHeight="1">
      <c r="A1120" s="172" t="s">
        <v>490</v>
      </c>
      <c r="B1120" s="176">
        <v>46032</v>
      </c>
      <c r="C1120" s="172" t="s">
        <v>166</v>
      </c>
      <c r="D1120" s="172" t="s">
        <v>103</v>
      </c>
      <c r="E1120" s="172" t="s">
        <v>52</v>
      </c>
      <c r="F1120" s="172" t="s">
        <v>90</v>
      </c>
      <c r="G1120" s="172" t="s">
        <v>84</v>
      </c>
      <c r="H1120" s="177">
        <v>1</v>
      </c>
      <c r="I1120" s="178">
        <v>-1621</v>
      </c>
      <c r="J1120" s="176">
        <v>46030</v>
      </c>
      <c r="K1120" s="172" t="s">
        <v>93</v>
      </c>
      <c r="L1120" s="172" t="s">
        <v>94</v>
      </c>
      <c r="M1120" s="179">
        <v>0</v>
      </c>
      <c r="N1120" s="177"/>
      <c r="O1120" s="177"/>
      <c r="P1120" s="180">
        <v>-1058.29</v>
      </c>
    </row>
    <row r="1121" spans="1:16" ht="19.5" customHeight="1">
      <c r="A1121" s="172" t="s">
        <v>490</v>
      </c>
      <c r="B1121" s="176">
        <v>46032</v>
      </c>
      <c r="C1121" s="172" t="s">
        <v>104</v>
      </c>
      <c r="D1121" s="172" t="s">
        <v>168</v>
      </c>
      <c r="E1121" s="172" t="s">
        <v>52</v>
      </c>
      <c r="F1121" s="172" t="s">
        <v>90</v>
      </c>
      <c r="G1121" s="172" t="s">
        <v>84</v>
      </c>
      <c r="H1121" s="177">
        <v>1</v>
      </c>
      <c r="I1121" s="178">
        <v>-1621</v>
      </c>
      <c r="J1121" s="176">
        <v>46030</v>
      </c>
      <c r="K1121" s="172" t="s">
        <v>93</v>
      </c>
      <c r="L1121" s="172" t="s">
        <v>94</v>
      </c>
      <c r="M1121" s="179">
        <v>0.43</v>
      </c>
      <c r="N1121" s="177"/>
      <c r="O1121" s="177"/>
      <c r="P1121" s="180">
        <v>697.03</v>
      </c>
    </row>
    <row r="1122" spans="1:16" ht="19.5" customHeight="1">
      <c r="A1122" s="172" t="s">
        <v>1010</v>
      </c>
      <c r="B1122" s="176">
        <v>46032</v>
      </c>
      <c r="C1122" s="172" t="s">
        <v>92</v>
      </c>
      <c r="D1122" s="172" t="s">
        <v>24</v>
      </c>
      <c r="E1122" s="172" t="s">
        <v>52</v>
      </c>
      <c r="F1122" s="172" t="s">
        <v>90</v>
      </c>
      <c r="G1122" s="172" t="s">
        <v>84</v>
      </c>
      <c r="H1122" s="177">
        <v>1</v>
      </c>
      <c r="I1122" s="178">
        <v>1621</v>
      </c>
      <c r="J1122" s="176">
        <v>46027</v>
      </c>
      <c r="K1122" s="172" t="s">
        <v>93</v>
      </c>
      <c r="L1122" s="172" t="s">
        <v>94</v>
      </c>
      <c r="M1122" s="179">
        <v>0.43</v>
      </c>
      <c r="N1122" s="177"/>
      <c r="O1122" s="177">
        <v>45</v>
      </c>
      <c r="P1122" s="180">
        <v>-148.01</v>
      </c>
    </row>
    <row r="1123" spans="1:16" ht="19.5" customHeight="1">
      <c r="A1123" s="172" t="s">
        <v>1010</v>
      </c>
      <c r="B1123" s="176">
        <v>46032</v>
      </c>
      <c r="C1123" s="172" t="s">
        <v>100</v>
      </c>
      <c r="D1123" s="172" t="s">
        <v>101</v>
      </c>
      <c r="E1123" s="172" t="s">
        <v>52</v>
      </c>
      <c r="F1123" s="172" t="s">
        <v>90</v>
      </c>
      <c r="G1123" s="172" t="s">
        <v>84</v>
      </c>
      <c r="H1123" s="177">
        <v>1</v>
      </c>
      <c r="I1123" s="178">
        <v>1621</v>
      </c>
      <c r="J1123" s="176">
        <v>46027</v>
      </c>
      <c r="K1123" s="172" t="s">
        <v>93</v>
      </c>
      <c r="L1123" s="172" t="s">
        <v>94</v>
      </c>
      <c r="M1123" s="179">
        <v>0</v>
      </c>
      <c r="N1123" s="177"/>
      <c r="O1123" s="177"/>
      <c r="P1123" s="180">
        <v>557.14</v>
      </c>
    </row>
    <row r="1124" spans="1:16" ht="19.5" customHeight="1">
      <c r="A1124" s="172" t="s">
        <v>1010</v>
      </c>
      <c r="B1124" s="176">
        <v>46032</v>
      </c>
      <c r="C1124" s="172" t="s">
        <v>100</v>
      </c>
      <c r="D1124" s="172" t="s">
        <v>102</v>
      </c>
      <c r="E1124" s="172" t="s">
        <v>52</v>
      </c>
      <c r="F1124" s="172" t="s">
        <v>90</v>
      </c>
      <c r="G1124" s="172" t="s">
        <v>84</v>
      </c>
      <c r="H1124" s="177">
        <v>1</v>
      </c>
      <c r="I1124" s="178">
        <v>1621</v>
      </c>
      <c r="J1124" s="176">
        <v>46027</v>
      </c>
      <c r="K1124" s="172" t="s">
        <v>93</v>
      </c>
      <c r="L1124" s="172" t="s">
        <v>94</v>
      </c>
      <c r="M1124" s="179">
        <v>0</v>
      </c>
      <c r="N1124" s="177"/>
      <c r="O1124" s="177"/>
      <c r="P1124" s="180">
        <v>5.57</v>
      </c>
    </row>
    <row r="1125" spans="1:16" ht="19.5" customHeight="1">
      <c r="A1125" s="172" t="s">
        <v>1010</v>
      </c>
      <c r="B1125" s="176">
        <v>46032</v>
      </c>
      <c r="C1125" s="172" t="s">
        <v>100</v>
      </c>
      <c r="D1125" s="172" t="s">
        <v>103</v>
      </c>
      <c r="E1125" s="172" t="s">
        <v>52</v>
      </c>
      <c r="F1125" s="172" t="s">
        <v>90</v>
      </c>
      <c r="G1125" s="172" t="s">
        <v>84</v>
      </c>
      <c r="H1125" s="177">
        <v>1</v>
      </c>
      <c r="I1125" s="178">
        <v>1621</v>
      </c>
      <c r="J1125" s="176">
        <v>46027</v>
      </c>
      <c r="K1125" s="172" t="s">
        <v>93</v>
      </c>
      <c r="L1125" s="172" t="s">
        <v>94</v>
      </c>
      <c r="M1125" s="179">
        <v>0</v>
      </c>
      <c r="N1125" s="177"/>
      <c r="O1125" s="177"/>
      <c r="P1125" s="180">
        <v>1058.29</v>
      </c>
    </row>
    <row r="1126" spans="1:16" ht="19.5" customHeight="1">
      <c r="A1126" s="172" t="s">
        <v>1010</v>
      </c>
      <c r="B1126" s="176">
        <v>46032</v>
      </c>
      <c r="C1126" s="172" t="s">
        <v>104</v>
      </c>
      <c r="D1126" s="172" t="s">
        <v>105</v>
      </c>
      <c r="E1126" s="172" t="s">
        <v>52</v>
      </c>
      <c r="F1126" s="172" t="s">
        <v>90</v>
      </c>
      <c r="G1126" s="172" t="s">
        <v>84</v>
      </c>
      <c r="H1126" s="177">
        <v>1</v>
      </c>
      <c r="I1126" s="178">
        <v>1621</v>
      </c>
      <c r="J1126" s="176">
        <v>46027</v>
      </c>
      <c r="K1126" s="172" t="s">
        <v>93</v>
      </c>
      <c r="L1126" s="172" t="s">
        <v>94</v>
      </c>
      <c r="M1126" s="179">
        <v>0.43</v>
      </c>
      <c r="N1126" s="177"/>
      <c r="O1126" s="177"/>
      <c r="P1126" s="180">
        <v>-697.03</v>
      </c>
    </row>
    <row r="1127" spans="1:16" ht="19.5" customHeight="1">
      <c r="A1127" s="172" t="s">
        <v>1010</v>
      </c>
      <c r="B1127" s="176">
        <v>46032</v>
      </c>
      <c r="C1127" s="172" t="s">
        <v>81</v>
      </c>
      <c r="D1127" s="172" t="s">
        <v>95</v>
      </c>
      <c r="E1127" s="172" t="s">
        <v>52</v>
      </c>
      <c r="F1127" s="172" t="s">
        <v>90</v>
      </c>
      <c r="G1127" s="172" t="s">
        <v>84</v>
      </c>
      <c r="H1127" s="177">
        <v>1</v>
      </c>
      <c r="I1127" s="178">
        <v>1621</v>
      </c>
      <c r="J1127" s="176">
        <v>46027</v>
      </c>
      <c r="K1127" s="172" t="s">
        <v>93</v>
      </c>
      <c r="L1127" s="172" t="s">
        <v>94</v>
      </c>
      <c r="M1127" s="179">
        <v>0.43</v>
      </c>
      <c r="N1127" s="177"/>
      <c r="O1127" s="177"/>
      <c r="P1127" s="180">
        <v>-10.130000000000001</v>
      </c>
    </row>
    <row r="1128" spans="1:16" ht="19.5" customHeight="1">
      <c r="A1128" s="172" t="s">
        <v>1011</v>
      </c>
      <c r="B1128" s="176">
        <v>46032</v>
      </c>
      <c r="C1128" s="172" t="s">
        <v>92</v>
      </c>
      <c r="D1128" s="172" t="s">
        <v>24</v>
      </c>
      <c r="E1128" s="172" t="s">
        <v>53</v>
      </c>
      <c r="F1128" s="172" t="s">
        <v>120</v>
      </c>
      <c r="G1128" s="172" t="s">
        <v>84</v>
      </c>
      <c r="H1128" s="177">
        <v>1</v>
      </c>
      <c r="I1128" s="178">
        <v>1845</v>
      </c>
      <c r="J1128" s="176">
        <v>46029</v>
      </c>
      <c r="K1128" s="172" t="s">
        <v>93</v>
      </c>
      <c r="L1128" s="172" t="s">
        <v>94</v>
      </c>
      <c r="M1128" s="179">
        <v>0.43</v>
      </c>
      <c r="N1128" s="177"/>
      <c r="O1128" s="177">
        <v>43</v>
      </c>
      <c r="P1128" s="180">
        <v>-144.94999999999999</v>
      </c>
    </row>
    <row r="1129" spans="1:16" ht="19.5" customHeight="1">
      <c r="A1129" s="172" t="s">
        <v>1011</v>
      </c>
      <c r="B1129" s="176">
        <v>46032</v>
      </c>
      <c r="C1129" s="172" t="s">
        <v>100</v>
      </c>
      <c r="D1129" s="172" t="s">
        <v>101</v>
      </c>
      <c r="E1129" s="172" t="s">
        <v>53</v>
      </c>
      <c r="F1129" s="172" t="s">
        <v>120</v>
      </c>
      <c r="G1129" s="172" t="s">
        <v>84</v>
      </c>
      <c r="H1129" s="177">
        <v>1</v>
      </c>
      <c r="I1129" s="178">
        <v>1845</v>
      </c>
      <c r="J1129" s="176">
        <v>46029</v>
      </c>
      <c r="K1129" s="172" t="s">
        <v>93</v>
      </c>
      <c r="L1129" s="172" t="s">
        <v>94</v>
      </c>
      <c r="M1129" s="179">
        <v>0</v>
      </c>
      <c r="N1129" s="177"/>
      <c r="O1129" s="177"/>
      <c r="P1129" s="180">
        <v>642.86</v>
      </c>
    </row>
    <row r="1130" spans="1:16" ht="19.5" customHeight="1">
      <c r="A1130" s="172" t="s">
        <v>1011</v>
      </c>
      <c r="B1130" s="176">
        <v>46032</v>
      </c>
      <c r="C1130" s="172" t="s">
        <v>100</v>
      </c>
      <c r="D1130" s="172" t="s">
        <v>102</v>
      </c>
      <c r="E1130" s="172" t="s">
        <v>53</v>
      </c>
      <c r="F1130" s="172" t="s">
        <v>120</v>
      </c>
      <c r="G1130" s="172" t="s">
        <v>84</v>
      </c>
      <c r="H1130" s="177">
        <v>1</v>
      </c>
      <c r="I1130" s="178">
        <v>1845</v>
      </c>
      <c r="J1130" s="176">
        <v>46029</v>
      </c>
      <c r="K1130" s="172" t="s">
        <v>93</v>
      </c>
      <c r="L1130" s="172" t="s">
        <v>94</v>
      </c>
      <c r="M1130" s="179">
        <v>0</v>
      </c>
      <c r="N1130" s="177"/>
      <c r="O1130" s="177"/>
      <c r="P1130" s="180">
        <v>6.43</v>
      </c>
    </row>
    <row r="1131" spans="1:16" ht="19.5" customHeight="1">
      <c r="A1131" s="172" t="s">
        <v>1011</v>
      </c>
      <c r="B1131" s="176">
        <v>46032</v>
      </c>
      <c r="C1131" s="172" t="s">
        <v>100</v>
      </c>
      <c r="D1131" s="172" t="s">
        <v>103</v>
      </c>
      <c r="E1131" s="172" t="s">
        <v>53</v>
      </c>
      <c r="F1131" s="172" t="s">
        <v>120</v>
      </c>
      <c r="G1131" s="172" t="s">
        <v>84</v>
      </c>
      <c r="H1131" s="177">
        <v>1</v>
      </c>
      <c r="I1131" s="178">
        <v>1845</v>
      </c>
      <c r="J1131" s="176">
        <v>46029</v>
      </c>
      <c r="K1131" s="172" t="s">
        <v>93</v>
      </c>
      <c r="L1131" s="172" t="s">
        <v>94</v>
      </c>
      <c r="M1131" s="179">
        <v>0</v>
      </c>
      <c r="N1131" s="177"/>
      <c r="O1131" s="177"/>
      <c r="P1131" s="180">
        <v>1195.71</v>
      </c>
    </row>
    <row r="1132" spans="1:16" ht="19.5" customHeight="1">
      <c r="A1132" s="172" t="s">
        <v>1011</v>
      </c>
      <c r="B1132" s="176">
        <v>46032</v>
      </c>
      <c r="C1132" s="172" t="s">
        <v>104</v>
      </c>
      <c r="D1132" s="172" t="s">
        <v>105</v>
      </c>
      <c r="E1132" s="172" t="s">
        <v>53</v>
      </c>
      <c r="F1132" s="172" t="s">
        <v>120</v>
      </c>
      <c r="G1132" s="172" t="s">
        <v>84</v>
      </c>
      <c r="H1132" s="177">
        <v>1</v>
      </c>
      <c r="I1132" s="178">
        <v>1845</v>
      </c>
      <c r="J1132" s="176">
        <v>46029</v>
      </c>
      <c r="K1132" s="172" t="s">
        <v>93</v>
      </c>
      <c r="L1132" s="172" t="s">
        <v>94</v>
      </c>
      <c r="M1132" s="179">
        <v>0.43</v>
      </c>
      <c r="N1132" s="177"/>
      <c r="O1132" s="177"/>
      <c r="P1132" s="180">
        <v>-793.35</v>
      </c>
    </row>
    <row r="1133" spans="1:16" ht="19.5" customHeight="1">
      <c r="A1133" s="172" t="s">
        <v>490</v>
      </c>
      <c r="B1133" s="176">
        <v>46032</v>
      </c>
      <c r="C1133" s="172" t="s">
        <v>81</v>
      </c>
      <c r="D1133" s="172" t="s">
        <v>82</v>
      </c>
      <c r="E1133" s="172" t="s">
        <v>52</v>
      </c>
      <c r="F1133" s="172" t="s">
        <v>90</v>
      </c>
      <c r="G1133" s="172" t="s">
        <v>84</v>
      </c>
      <c r="H1133" s="177">
        <v>1</v>
      </c>
      <c r="I1133" s="178">
        <v>0</v>
      </c>
      <c r="J1133" s="176">
        <v>46030</v>
      </c>
      <c r="K1133" s="172" t="s">
        <v>85</v>
      </c>
      <c r="L1133" s="172" t="s">
        <v>85</v>
      </c>
      <c r="M1133" s="179">
        <v>0</v>
      </c>
      <c r="N1133" s="177"/>
      <c r="O1133" s="177"/>
      <c r="P1133" s="180">
        <v>10.59</v>
      </c>
    </row>
    <row r="1134" spans="1:16" ht="19.5" customHeight="1">
      <c r="A1134" s="172" t="s">
        <v>1010</v>
      </c>
      <c r="B1134" s="176">
        <v>46032</v>
      </c>
      <c r="C1134" s="172" t="s">
        <v>81</v>
      </c>
      <c r="D1134" s="172" t="s">
        <v>82</v>
      </c>
      <c r="E1134" s="172" t="s">
        <v>52</v>
      </c>
      <c r="F1134" s="172" t="s">
        <v>90</v>
      </c>
      <c r="G1134" s="172" t="s">
        <v>84</v>
      </c>
      <c r="H1134" s="177">
        <v>1</v>
      </c>
      <c r="I1134" s="178">
        <v>0</v>
      </c>
      <c r="J1134" s="176">
        <v>46027</v>
      </c>
      <c r="K1134" s="172" t="s">
        <v>85</v>
      </c>
      <c r="L1134" s="172" t="s">
        <v>85</v>
      </c>
      <c r="M1134" s="179">
        <v>0</v>
      </c>
      <c r="N1134" s="177"/>
      <c r="O1134" s="177"/>
      <c r="P1134" s="180">
        <v>-10.59</v>
      </c>
    </row>
    <row r="1135" spans="1:16" ht="19.5" customHeight="1">
      <c r="A1135" s="172" t="s">
        <v>1012</v>
      </c>
      <c r="B1135" s="176">
        <v>46032</v>
      </c>
      <c r="C1135" s="172" t="s">
        <v>92</v>
      </c>
      <c r="D1135" s="172" t="s">
        <v>24</v>
      </c>
      <c r="E1135" s="172" t="s">
        <v>41</v>
      </c>
      <c r="F1135" s="172" t="s">
        <v>83</v>
      </c>
      <c r="G1135" s="172" t="s">
        <v>84</v>
      </c>
      <c r="H1135" s="177">
        <v>1</v>
      </c>
      <c r="I1135" s="178">
        <v>0</v>
      </c>
      <c r="J1135" s="176">
        <v>46021</v>
      </c>
      <c r="K1135" s="172" t="s">
        <v>93</v>
      </c>
      <c r="L1135" s="172" t="s">
        <v>94</v>
      </c>
      <c r="M1135" s="179">
        <v>0</v>
      </c>
      <c r="N1135" s="177"/>
      <c r="O1135" s="177">
        <v>40</v>
      </c>
      <c r="P1135" s="180">
        <v>-46.77</v>
      </c>
    </row>
    <row r="1136" spans="1:16" ht="19.5" customHeight="1">
      <c r="A1136" s="172" t="s">
        <v>1012</v>
      </c>
      <c r="B1136" s="176">
        <v>46032</v>
      </c>
      <c r="C1136" s="172" t="s">
        <v>81</v>
      </c>
      <c r="D1136" s="172" t="s">
        <v>95</v>
      </c>
      <c r="E1136" s="172" t="s">
        <v>41</v>
      </c>
      <c r="F1136" s="172" t="s">
        <v>83</v>
      </c>
      <c r="G1136" s="172" t="s">
        <v>84</v>
      </c>
      <c r="H1136" s="177">
        <v>1</v>
      </c>
      <c r="I1136" s="178">
        <v>0</v>
      </c>
      <c r="J1136" s="176">
        <v>46021</v>
      </c>
      <c r="K1136" s="172" t="s">
        <v>93</v>
      </c>
      <c r="L1136" s="172" t="s">
        <v>94</v>
      </c>
      <c r="M1136" s="179">
        <v>0</v>
      </c>
      <c r="N1136" s="177"/>
      <c r="O1136" s="177"/>
      <c r="P1136" s="180">
        <v>-8.31</v>
      </c>
    </row>
    <row r="1137" spans="1:16" ht="19.5" customHeight="1">
      <c r="A1137" s="172" t="s">
        <v>1012</v>
      </c>
      <c r="B1137" s="176">
        <v>46032</v>
      </c>
      <c r="C1137" s="172" t="s">
        <v>92</v>
      </c>
      <c r="D1137" s="172" t="s">
        <v>96</v>
      </c>
      <c r="E1137" s="172" t="s">
        <v>41</v>
      </c>
      <c r="F1137" s="172" t="s">
        <v>83</v>
      </c>
      <c r="G1137" s="172" t="s">
        <v>84</v>
      </c>
      <c r="H1137" s="177">
        <v>1</v>
      </c>
      <c r="I1137" s="178">
        <v>0</v>
      </c>
      <c r="J1137" s="176">
        <v>46021</v>
      </c>
      <c r="K1137" s="172" t="s">
        <v>93</v>
      </c>
      <c r="L1137" s="172" t="s">
        <v>94</v>
      </c>
      <c r="M1137" s="179">
        <v>0</v>
      </c>
      <c r="N1137" s="177"/>
      <c r="O1137" s="177"/>
      <c r="P1137" s="180">
        <v>0</v>
      </c>
    </row>
    <row r="1138" spans="1:16" ht="19.5" customHeight="1">
      <c r="A1138" s="172" t="s">
        <v>1012</v>
      </c>
      <c r="B1138" s="176">
        <v>46032</v>
      </c>
      <c r="C1138" s="172" t="s">
        <v>92</v>
      </c>
      <c r="D1138" s="172" t="s">
        <v>97</v>
      </c>
      <c r="E1138" s="172" t="s">
        <v>41</v>
      </c>
      <c r="F1138" s="172" t="s">
        <v>83</v>
      </c>
      <c r="G1138" s="172" t="s">
        <v>84</v>
      </c>
      <c r="H1138" s="177">
        <v>1</v>
      </c>
      <c r="I1138" s="178">
        <v>0</v>
      </c>
      <c r="J1138" s="176">
        <v>46021</v>
      </c>
      <c r="K1138" s="172" t="s">
        <v>93</v>
      </c>
      <c r="L1138" s="172" t="s">
        <v>94</v>
      </c>
      <c r="M1138" s="179">
        <v>0</v>
      </c>
      <c r="N1138" s="177"/>
      <c r="O1138" s="177"/>
      <c r="P1138" s="180">
        <v>-46.77</v>
      </c>
    </row>
    <row r="1139" spans="1:16" ht="19.5" customHeight="1">
      <c r="A1139" s="172" t="s">
        <v>1012</v>
      </c>
      <c r="B1139" s="176">
        <v>46032</v>
      </c>
      <c r="C1139" s="172" t="s">
        <v>81</v>
      </c>
      <c r="D1139" s="172" t="s">
        <v>98</v>
      </c>
      <c r="E1139" s="172" t="s">
        <v>41</v>
      </c>
      <c r="F1139" s="172" t="s">
        <v>83</v>
      </c>
      <c r="G1139" s="172" t="s">
        <v>84</v>
      </c>
      <c r="H1139" s="177">
        <v>1</v>
      </c>
      <c r="I1139" s="178">
        <v>0</v>
      </c>
      <c r="J1139" s="176">
        <v>46021</v>
      </c>
      <c r="K1139" s="172" t="s">
        <v>93</v>
      </c>
      <c r="L1139" s="172" t="s">
        <v>94</v>
      </c>
      <c r="M1139" s="179">
        <v>0</v>
      </c>
      <c r="N1139" s="177"/>
      <c r="O1139" s="177"/>
      <c r="P1139" s="180">
        <v>-15</v>
      </c>
    </row>
    <row r="1140" spans="1:16" ht="19.5" customHeight="1">
      <c r="A1140" s="172" t="s">
        <v>737</v>
      </c>
      <c r="B1140" s="176">
        <v>46032</v>
      </c>
      <c r="C1140" s="172" t="s">
        <v>81</v>
      </c>
      <c r="D1140" s="172" t="s">
        <v>82</v>
      </c>
      <c r="E1140" s="172" t="s">
        <v>41</v>
      </c>
      <c r="F1140" s="172" t="s">
        <v>83</v>
      </c>
      <c r="G1140" s="172" t="s">
        <v>84</v>
      </c>
      <c r="H1140" s="177">
        <v>1</v>
      </c>
      <c r="I1140" s="178">
        <v>0</v>
      </c>
      <c r="J1140" s="176">
        <v>46026</v>
      </c>
      <c r="K1140" s="172" t="s">
        <v>85</v>
      </c>
      <c r="L1140" s="172" t="s">
        <v>85</v>
      </c>
      <c r="M1140" s="179">
        <v>0</v>
      </c>
      <c r="N1140" s="177"/>
      <c r="O1140" s="177"/>
      <c r="P1140" s="180">
        <v>10.43</v>
      </c>
    </row>
    <row r="1141" spans="1:16" ht="19.5" customHeight="1">
      <c r="A1141" s="172" t="s">
        <v>1013</v>
      </c>
      <c r="B1141" s="176">
        <v>46032</v>
      </c>
      <c r="C1141" s="172" t="s">
        <v>92</v>
      </c>
      <c r="D1141" s="172" t="s">
        <v>24</v>
      </c>
      <c r="E1141" s="172" t="s">
        <v>53</v>
      </c>
      <c r="F1141" s="172" t="s">
        <v>120</v>
      </c>
      <c r="G1141" s="172" t="s">
        <v>84</v>
      </c>
      <c r="H1141" s="177">
        <v>1</v>
      </c>
      <c r="I1141" s="178">
        <v>1845</v>
      </c>
      <c r="J1141" s="176">
        <v>46029</v>
      </c>
      <c r="K1141" s="172" t="s">
        <v>93</v>
      </c>
      <c r="L1141" s="172" t="s">
        <v>94</v>
      </c>
      <c r="M1141" s="179">
        <v>0.43</v>
      </c>
      <c r="N1141" s="177"/>
      <c r="O1141" s="177">
        <v>43</v>
      </c>
      <c r="P1141" s="180">
        <v>-146.44999999999999</v>
      </c>
    </row>
    <row r="1142" spans="1:16" ht="19.5" customHeight="1">
      <c r="A1142" s="172" t="s">
        <v>1013</v>
      </c>
      <c r="B1142" s="176">
        <v>46032</v>
      </c>
      <c r="C1142" s="172" t="s">
        <v>100</v>
      </c>
      <c r="D1142" s="172" t="s">
        <v>101</v>
      </c>
      <c r="E1142" s="172" t="s">
        <v>53</v>
      </c>
      <c r="F1142" s="172" t="s">
        <v>120</v>
      </c>
      <c r="G1142" s="172" t="s">
        <v>84</v>
      </c>
      <c r="H1142" s="177">
        <v>1</v>
      </c>
      <c r="I1142" s="178">
        <v>1845</v>
      </c>
      <c r="J1142" s="176">
        <v>46029</v>
      </c>
      <c r="K1142" s="172" t="s">
        <v>93</v>
      </c>
      <c r="L1142" s="172" t="s">
        <v>94</v>
      </c>
      <c r="M1142" s="179">
        <v>0</v>
      </c>
      <c r="N1142" s="177"/>
      <c r="O1142" s="177"/>
      <c r="P1142" s="180">
        <v>641.63</v>
      </c>
    </row>
    <row r="1143" spans="1:16" ht="19.5" customHeight="1">
      <c r="A1143" s="172" t="s">
        <v>1013</v>
      </c>
      <c r="B1143" s="176">
        <v>46032</v>
      </c>
      <c r="C1143" s="172" t="s">
        <v>100</v>
      </c>
      <c r="D1143" s="172" t="s">
        <v>102</v>
      </c>
      <c r="E1143" s="172" t="s">
        <v>53</v>
      </c>
      <c r="F1143" s="172" t="s">
        <v>120</v>
      </c>
      <c r="G1143" s="172" t="s">
        <v>84</v>
      </c>
      <c r="H1143" s="177">
        <v>1</v>
      </c>
      <c r="I1143" s="178">
        <v>1845</v>
      </c>
      <c r="J1143" s="176">
        <v>46029</v>
      </c>
      <c r="K1143" s="172" t="s">
        <v>93</v>
      </c>
      <c r="L1143" s="172" t="s">
        <v>94</v>
      </c>
      <c r="M1143" s="179">
        <v>0</v>
      </c>
      <c r="N1143" s="177"/>
      <c r="O1143" s="177"/>
      <c r="P1143" s="180">
        <v>6.42</v>
      </c>
    </row>
    <row r="1144" spans="1:16" ht="19.5" customHeight="1">
      <c r="A1144" s="172" t="s">
        <v>1013</v>
      </c>
      <c r="B1144" s="176">
        <v>46032</v>
      </c>
      <c r="C1144" s="172" t="s">
        <v>100</v>
      </c>
      <c r="D1144" s="172" t="s">
        <v>103</v>
      </c>
      <c r="E1144" s="172" t="s">
        <v>53</v>
      </c>
      <c r="F1144" s="172" t="s">
        <v>120</v>
      </c>
      <c r="G1144" s="172" t="s">
        <v>84</v>
      </c>
      <c r="H1144" s="177">
        <v>1</v>
      </c>
      <c r="I1144" s="178">
        <v>1845</v>
      </c>
      <c r="J1144" s="176">
        <v>46029</v>
      </c>
      <c r="K1144" s="172" t="s">
        <v>93</v>
      </c>
      <c r="L1144" s="172" t="s">
        <v>94</v>
      </c>
      <c r="M1144" s="179">
        <v>0</v>
      </c>
      <c r="N1144" s="177"/>
      <c r="O1144" s="177"/>
      <c r="P1144" s="180">
        <v>1196.95</v>
      </c>
    </row>
    <row r="1145" spans="1:16" ht="19.5" customHeight="1">
      <c r="A1145" s="172" t="s">
        <v>1013</v>
      </c>
      <c r="B1145" s="176">
        <v>46032</v>
      </c>
      <c r="C1145" s="172" t="s">
        <v>104</v>
      </c>
      <c r="D1145" s="172" t="s">
        <v>105</v>
      </c>
      <c r="E1145" s="172" t="s">
        <v>53</v>
      </c>
      <c r="F1145" s="172" t="s">
        <v>120</v>
      </c>
      <c r="G1145" s="172" t="s">
        <v>84</v>
      </c>
      <c r="H1145" s="177">
        <v>1</v>
      </c>
      <c r="I1145" s="178">
        <v>1845</v>
      </c>
      <c r="J1145" s="176">
        <v>46029</v>
      </c>
      <c r="K1145" s="172" t="s">
        <v>93</v>
      </c>
      <c r="L1145" s="172" t="s">
        <v>94</v>
      </c>
      <c r="M1145" s="179">
        <v>0.43</v>
      </c>
      <c r="N1145" s="177"/>
      <c r="O1145" s="177"/>
      <c r="P1145" s="180">
        <v>-793.35</v>
      </c>
    </row>
    <row r="1146" spans="1:16" ht="19.5" customHeight="1">
      <c r="A1146" s="172" t="s">
        <v>1013</v>
      </c>
      <c r="B1146" s="176">
        <v>46032</v>
      </c>
      <c r="C1146" s="172" t="s">
        <v>81</v>
      </c>
      <c r="D1146" s="172" t="s">
        <v>95</v>
      </c>
      <c r="E1146" s="172" t="s">
        <v>53</v>
      </c>
      <c r="F1146" s="172" t="s">
        <v>120</v>
      </c>
      <c r="G1146" s="172" t="s">
        <v>84</v>
      </c>
      <c r="H1146" s="177">
        <v>1</v>
      </c>
      <c r="I1146" s="178">
        <v>1845</v>
      </c>
      <c r="J1146" s="176">
        <v>46029</v>
      </c>
      <c r="K1146" s="172" t="s">
        <v>93</v>
      </c>
      <c r="L1146" s="172" t="s">
        <v>94</v>
      </c>
      <c r="M1146" s="179">
        <v>0.43</v>
      </c>
      <c r="N1146" s="177"/>
      <c r="O1146" s="177"/>
      <c r="P1146" s="180">
        <v>-9.61</v>
      </c>
    </row>
    <row r="1147" spans="1:16" ht="19.5" customHeight="1">
      <c r="A1147" s="172" t="s">
        <v>1014</v>
      </c>
      <c r="B1147" s="176">
        <v>46032</v>
      </c>
      <c r="C1147" s="172" t="s">
        <v>92</v>
      </c>
      <c r="D1147" s="172" t="s">
        <v>24</v>
      </c>
      <c r="E1147" s="172" t="s">
        <v>52</v>
      </c>
      <c r="F1147" s="172" t="s">
        <v>90</v>
      </c>
      <c r="G1147" s="172" t="s">
        <v>84</v>
      </c>
      <c r="H1147" s="177">
        <v>1</v>
      </c>
      <c r="I1147" s="178">
        <v>1621</v>
      </c>
      <c r="J1147" s="176">
        <v>46030</v>
      </c>
      <c r="K1147" s="172" t="s">
        <v>93</v>
      </c>
      <c r="L1147" s="172" t="s">
        <v>94</v>
      </c>
      <c r="M1147" s="179">
        <v>0.43</v>
      </c>
      <c r="N1147" s="177"/>
      <c r="O1147" s="177">
        <v>42</v>
      </c>
      <c r="P1147" s="180">
        <v>-134.12</v>
      </c>
    </row>
    <row r="1148" spans="1:16" ht="19.5" customHeight="1">
      <c r="A1148" s="172" t="s">
        <v>1014</v>
      </c>
      <c r="B1148" s="176">
        <v>46032</v>
      </c>
      <c r="C1148" s="172" t="s">
        <v>100</v>
      </c>
      <c r="D1148" s="172" t="s">
        <v>101</v>
      </c>
      <c r="E1148" s="172" t="s">
        <v>52</v>
      </c>
      <c r="F1148" s="172" t="s">
        <v>90</v>
      </c>
      <c r="G1148" s="172" t="s">
        <v>84</v>
      </c>
      <c r="H1148" s="177">
        <v>1</v>
      </c>
      <c r="I1148" s="178">
        <v>1621</v>
      </c>
      <c r="J1148" s="176">
        <v>46030</v>
      </c>
      <c r="K1148" s="172" t="s">
        <v>93</v>
      </c>
      <c r="L1148" s="172" t="s">
        <v>94</v>
      </c>
      <c r="M1148" s="179">
        <v>0</v>
      </c>
      <c r="N1148" s="177"/>
      <c r="O1148" s="177"/>
      <c r="P1148" s="180">
        <v>616.55999999999995</v>
      </c>
    </row>
    <row r="1149" spans="1:16" ht="19.5" customHeight="1">
      <c r="A1149" s="172" t="s">
        <v>1014</v>
      </c>
      <c r="B1149" s="176">
        <v>46032</v>
      </c>
      <c r="C1149" s="172" t="s">
        <v>100</v>
      </c>
      <c r="D1149" s="172" t="s">
        <v>102</v>
      </c>
      <c r="E1149" s="172" t="s">
        <v>52</v>
      </c>
      <c r="F1149" s="172" t="s">
        <v>90</v>
      </c>
      <c r="G1149" s="172" t="s">
        <v>84</v>
      </c>
      <c r="H1149" s="177">
        <v>1</v>
      </c>
      <c r="I1149" s="178">
        <v>1621</v>
      </c>
      <c r="J1149" s="176">
        <v>46030</v>
      </c>
      <c r="K1149" s="172" t="s">
        <v>93</v>
      </c>
      <c r="L1149" s="172" t="s">
        <v>94</v>
      </c>
      <c r="M1149" s="179">
        <v>0</v>
      </c>
      <c r="N1149" s="177"/>
      <c r="O1149" s="177"/>
      <c r="P1149" s="180">
        <v>0</v>
      </c>
    </row>
    <row r="1150" spans="1:16" ht="19.5" customHeight="1">
      <c r="A1150" s="172" t="s">
        <v>1014</v>
      </c>
      <c r="B1150" s="176">
        <v>46032</v>
      </c>
      <c r="C1150" s="172" t="s">
        <v>100</v>
      </c>
      <c r="D1150" s="172" t="s">
        <v>103</v>
      </c>
      <c r="E1150" s="172" t="s">
        <v>52</v>
      </c>
      <c r="F1150" s="172" t="s">
        <v>90</v>
      </c>
      <c r="G1150" s="172" t="s">
        <v>84</v>
      </c>
      <c r="H1150" s="177">
        <v>1</v>
      </c>
      <c r="I1150" s="178">
        <v>1621</v>
      </c>
      <c r="J1150" s="176">
        <v>46030</v>
      </c>
      <c r="K1150" s="172" t="s">
        <v>93</v>
      </c>
      <c r="L1150" s="172" t="s">
        <v>94</v>
      </c>
      <c r="M1150" s="179">
        <v>0</v>
      </c>
      <c r="N1150" s="177"/>
      <c r="O1150" s="177"/>
      <c r="P1150" s="180">
        <v>1004.44</v>
      </c>
    </row>
    <row r="1151" spans="1:16" ht="19.5" customHeight="1">
      <c r="A1151" s="172" t="s">
        <v>1014</v>
      </c>
      <c r="B1151" s="176">
        <v>46032</v>
      </c>
      <c r="C1151" s="172" t="s">
        <v>104</v>
      </c>
      <c r="D1151" s="172" t="s">
        <v>105</v>
      </c>
      <c r="E1151" s="172" t="s">
        <v>52</v>
      </c>
      <c r="F1151" s="172" t="s">
        <v>90</v>
      </c>
      <c r="G1151" s="172" t="s">
        <v>84</v>
      </c>
      <c r="H1151" s="177">
        <v>1</v>
      </c>
      <c r="I1151" s="178">
        <v>1621</v>
      </c>
      <c r="J1151" s="176">
        <v>46030</v>
      </c>
      <c r="K1151" s="172" t="s">
        <v>93</v>
      </c>
      <c r="L1151" s="172" t="s">
        <v>94</v>
      </c>
      <c r="M1151" s="179">
        <v>0.43</v>
      </c>
      <c r="N1151" s="177"/>
      <c r="O1151" s="177"/>
      <c r="P1151" s="180">
        <v>-697.03</v>
      </c>
    </row>
    <row r="1152" spans="1:16" ht="19.5" customHeight="1">
      <c r="A1152" s="172" t="s">
        <v>1014</v>
      </c>
      <c r="B1152" s="176">
        <v>46032</v>
      </c>
      <c r="C1152" s="172" t="s">
        <v>81</v>
      </c>
      <c r="D1152" s="172" t="s">
        <v>95</v>
      </c>
      <c r="E1152" s="172" t="s">
        <v>52</v>
      </c>
      <c r="F1152" s="172" t="s">
        <v>90</v>
      </c>
      <c r="G1152" s="172" t="s">
        <v>84</v>
      </c>
      <c r="H1152" s="177">
        <v>1</v>
      </c>
      <c r="I1152" s="178">
        <v>1621</v>
      </c>
      <c r="J1152" s="176">
        <v>46030</v>
      </c>
      <c r="K1152" s="172" t="s">
        <v>93</v>
      </c>
      <c r="L1152" s="172" t="s">
        <v>94</v>
      </c>
      <c r="M1152" s="179">
        <v>0.43</v>
      </c>
      <c r="N1152" s="177"/>
      <c r="O1152" s="177"/>
      <c r="P1152" s="180">
        <v>-13.82</v>
      </c>
    </row>
    <row r="1153" spans="1:16" ht="19.5" customHeight="1">
      <c r="A1153" s="172" t="s">
        <v>402</v>
      </c>
      <c r="B1153" s="176">
        <v>46032</v>
      </c>
      <c r="C1153" s="172" t="s">
        <v>81</v>
      </c>
      <c r="D1153" s="172" t="s">
        <v>82</v>
      </c>
      <c r="E1153" s="172" t="s">
        <v>52</v>
      </c>
      <c r="F1153" s="172" t="s">
        <v>90</v>
      </c>
      <c r="G1153" s="172" t="s">
        <v>84</v>
      </c>
      <c r="H1153" s="177">
        <v>1</v>
      </c>
      <c r="I1153" s="178">
        <v>0</v>
      </c>
      <c r="J1153" s="176">
        <v>46032</v>
      </c>
      <c r="K1153" s="172" t="s">
        <v>85</v>
      </c>
      <c r="L1153" s="172" t="s">
        <v>85</v>
      </c>
      <c r="M1153" s="179">
        <v>0</v>
      </c>
      <c r="N1153" s="177"/>
      <c r="O1153" s="177"/>
      <c r="P1153" s="180">
        <v>-10.58</v>
      </c>
    </row>
    <row r="1154" spans="1:16" ht="19.5" customHeight="1">
      <c r="A1154" s="172" t="s">
        <v>1015</v>
      </c>
      <c r="B1154" s="176">
        <v>46032</v>
      </c>
      <c r="C1154" s="172" t="s">
        <v>92</v>
      </c>
      <c r="D1154" s="172" t="s">
        <v>24</v>
      </c>
      <c r="E1154" s="172" t="s">
        <v>52</v>
      </c>
      <c r="F1154" s="172" t="s">
        <v>90</v>
      </c>
      <c r="G1154" s="172" t="s">
        <v>84</v>
      </c>
      <c r="H1154" s="177">
        <v>1</v>
      </c>
      <c r="I1154" s="178">
        <v>1621</v>
      </c>
      <c r="J1154" s="176">
        <v>46012</v>
      </c>
      <c r="K1154" s="172" t="s">
        <v>93</v>
      </c>
      <c r="L1154" s="172" t="s">
        <v>94</v>
      </c>
      <c r="M1154" s="179">
        <v>0.43</v>
      </c>
      <c r="N1154" s="177"/>
      <c r="O1154" s="177">
        <v>43</v>
      </c>
      <c r="P1154" s="180">
        <v>-138.22999999999999</v>
      </c>
    </row>
    <row r="1155" spans="1:16" ht="19.5" customHeight="1">
      <c r="A1155" s="172" t="s">
        <v>1015</v>
      </c>
      <c r="B1155" s="176">
        <v>46032</v>
      </c>
      <c r="C1155" s="172" t="s">
        <v>100</v>
      </c>
      <c r="D1155" s="172" t="s">
        <v>101</v>
      </c>
      <c r="E1155" s="172" t="s">
        <v>52</v>
      </c>
      <c r="F1155" s="172" t="s">
        <v>90</v>
      </c>
      <c r="G1155" s="172" t="s">
        <v>84</v>
      </c>
      <c r="H1155" s="177">
        <v>1</v>
      </c>
      <c r="I1155" s="178">
        <v>1621</v>
      </c>
      <c r="J1155" s="176">
        <v>46012</v>
      </c>
      <c r="K1155" s="172" t="s">
        <v>93</v>
      </c>
      <c r="L1155" s="172" t="s">
        <v>94</v>
      </c>
      <c r="M1155" s="179">
        <v>0</v>
      </c>
      <c r="N1155" s="177"/>
      <c r="O1155" s="177"/>
      <c r="P1155" s="180">
        <v>567.62</v>
      </c>
    </row>
    <row r="1156" spans="1:16" ht="19.5" customHeight="1">
      <c r="A1156" s="172" t="s">
        <v>1015</v>
      </c>
      <c r="B1156" s="176">
        <v>46032</v>
      </c>
      <c r="C1156" s="172" t="s">
        <v>100</v>
      </c>
      <c r="D1156" s="172" t="s">
        <v>102</v>
      </c>
      <c r="E1156" s="172" t="s">
        <v>52</v>
      </c>
      <c r="F1156" s="172" t="s">
        <v>90</v>
      </c>
      <c r="G1156" s="172" t="s">
        <v>84</v>
      </c>
      <c r="H1156" s="177">
        <v>1</v>
      </c>
      <c r="I1156" s="178">
        <v>1621</v>
      </c>
      <c r="J1156" s="176">
        <v>46012</v>
      </c>
      <c r="K1156" s="172" t="s">
        <v>93</v>
      </c>
      <c r="L1156" s="172" t="s">
        <v>94</v>
      </c>
      <c r="M1156" s="179">
        <v>0</v>
      </c>
      <c r="N1156" s="177"/>
      <c r="O1156" s="177"/>
      <c r="P1156" s="180">
        <v>5.68</v>
      </c>
    </row>
    <row r="1157" spans="1:16" ht="19.5" customHeight="1">
      <c r="A1157" s="172" t="s">
        <v>1015</v>
      </c>
      <c r="B1157" s="176">
        <v>46032</v>
      </c>
      <c r="C1157" s="172" t="s">
        <v>100</v>
      </c>
      <c r="D1157" s="172" t="s">
        <v>103</v>
      </c>
      <c r="E1157" s="172" t="s">
        <v>52</v>
      </c>
      <c r="F1157" s="172" t="s">
        <v>90</v>
      </c>
      <c r="G1157" s="172" t="s">
        <v>84</v>
      </c>
      <c r="H1157" s="177">
        <v>1</v>
      </c>
      <c r="I1157" s="178">
        <v>1621</v>
      </c>
      <c r="J1157" s="176">
        <v>46012</v>
      </c>
      <c r="K1157" s="172" t="s">
        <v>93</v>
      </c>
      <c r="L1157" s="172" t="s">
        <v>94</v>
      </c>
      <c r="M1157" s="179">
        <v>0</v>
      </c>
      <c r="N1157" s="177"/>
      <c r="O1157" s="177"/>
      <c r="P1157" s="180">
        <v>1047.7</v>
      </c>
    </row>
    <row r="1158" spans="1:16" ht="19.5" customHeight="1">
      <c r="A1158" s="172" t="s">
        <v>1015</v>
      </c>
      <c r="B1158" s="176">
        <v>46032</v>
      </c>
      <c r="C1158" s="172" t="s">
        <v>104</v>
      </c>
      <c r="D1158" s="172" t="s">
        <v>105</v>
      </c>
      <c r="E1158" s="172" t="s">
        <v>52</v>
      </c>
      <c r="F1158" s="172" t="s">
        <v>90</v>
      </c>
      <c r="G1158" s="172" t="s">
        <v>84</v>
      </c>
      <c r="H1158" s="177">
        <v>1</v>
      </c>
      <c r="I1158" s="178">
        <v>1621</v>
      </c>
      <c r="J1158" s="176">
        <v>46012</v>
      </c>
      <c r="K1158" s="172" t="s">
        <v>93</v>
      </c>
      <c r="L1158" s="172" t="s">
        <v>94</v>
      </c>
      <c r="M1158" s="179">
        <v>0.43</v>
      </c>
      <c r="N1158" s="177"/>
      <c r="O1158" s="177"/>
      <c r="P1158" s="180">
        <v>-697.03</v>
      </c>
    </row>
    <row r="1159" spans="1:16" ht="19.5" customHeight="1">
      <c r="A1159" s="172" t="s">
        <v>594</v>
      </c>
      <c r="B1159" s="176">
        <v>46032</v>
      </c>
      <c r="C1159" s="172" t="s">
        <v>81</v>
      </c>
      <c r="D1159" s="172" t="s">
        <v>82</v>
      </c>
      <c r="E1159" s="172" t="s">
        <v>53</v>
      </c>
      <c r="F1159" s="172" t="s">
        <v>120</v>
      </c>
      <c r="G1159" s="172" t="s">
        <v>84</v>
      </c>
      <c r="H1159" s="177">
        <v>1</v>
      </c>
      <c r="I1159" s="178">
        <v>0</v>
      </c>
      <c r="J1159" s="176">
        <v>46032</v>
      </c>
      <c r="K1159" s="172" t="s">
        <v>85</v>
      </c>
      <c r="L1159" s="172" t="s">
        <v>85</v>
      </c>
      <c r="M1159" s="179">
        <v>0</v>
      </c>
      <c r="N1159" s="177"/>
      <c r="O1159" s="177"/>
      <c r="P1159" s="180">
        <v>-12.21</v>
      </c>
    </row>
    <row r="1160" spans="1:16" ht="19.5" customHeight="1">
      <c r="A1160" s="172" t="s">
        <v>1016</v>
      </c>
      <c r="B1160" s="176">
        <v>46032</v>
      </c>
      <c r="C1160" s="172" t="s">
        <v>81</v>
      </c>
      <c r="D1160" s="172" t="s">
        <v>82</v>
      </c>
      <c r="E1160" s="172" t="s">
        <v>52</v>
      </c>
      <c r="F1160" s="172" t="s">
        <v>90</v>
      </c>
      <c r="G1160" s="172" t="s">
        <v>84</v>
      </c>
      <c r="H1160" s="177">
        <v>1</v>
      </c>
      <c r="I1160" s="178">
        <v>0</v>
      </c>
      <c r="J1160" s="176">
        <v>46032</v>
      </c>
      <c r="K1160" s="172" t="s">
        <v>85</v>
      </c>
      <c r="L1160" s="172" t="s">
        <v>85</v>
      </c>
      <c r="M1160" s="179">
        <v>0</v>
      </c>
      <c r="N1160" s="177"/>
      <c r="O1160" s="177"/>
      <c r="P1160" s="180">
        <v>-4.25</v>
      </c>
    </row>
    <row r="1161" spans="1:16" ht="19.5" customHeight="1">
      <c r="A1161" s="172" t="s">
        <v>1017</v>
      </c>
      <c r="B1161" s="176">
        <v>46032</v>
      </c>
      <c r="C1161" s="172" t="s">
        <v>92</v>
      </c>
      <c r="D1161" s="172" t="s">
        <v>24</v>
      </c>
      <c r="E1161" s="172" t="s">
        <v>41</v>
      </c>
      <c r="F1161" s="172" t="s">
        <v>83</v>
      </c>
      <c r="G1161" s="172" t="s">
        <v>84</v>
      </c>
      <c r="H1161" s="177">
        <v>1</v>
      </c>
      <c r="I1161" s="178">
        <v>1600</v>
      </c>
      <c r="J1161" s="176">
        <v>46030</v>
      </c>
      <c r="K1161" s="172" t="s">
        <v>93</v>
      </c>
      <c r="L1161" s="172" t="s">
        <v>94</v>
      </c>
      <c r="M1161" s="179">
        <v>0.43</v>
      </c>
      <c r="N1161" s="177"/>
      <c r="O1161" s="177">
        <v>42</v>
      </c>
      <c r="P1161" s="180">
        <v>-119.03</v>
      </c>
    </row>
    <row r="1162" spans="1:16" ht="19.5" customHeight="1">
      <c r="A1162" s="172" t="s">
        <v>1017</v>
      </c>
      <c r="B1162" s="176">
        <v>46032</v>
      </c>
      <c r="C1162" s="172" t="s">
        <v>100</v>
      </c>
      <c r="D1162" s="172" t="s">
        <v>101</v>
      </c>
      <c r="E1162" s="172" t="s">
        <v>41</v>
      </c>
      <c r="F1162" s="172" t="s">
        <v>83</v>
      </c>
      <c r="G1162" s="172" t="s">
        <v>84</v>
      </c>
      <c r="H1162" s="177">
        <v>1</v>
      </c>
      <c r="I1162" s="178">
        <v>1600</v>
      </c>
      <c r="J1162" s="176">
        <v>46030</v>
      </c>
      <c r="K1162" s="172" t="s">
        <v>93</v>
      </c>
      <c r="L1162" s="172" t="s">
        <v>94</v>
      </c>
      <c r="M1162" s="179">
        <v>0</v>
      </c>
      <c r="N1162" s="177"/>
      <c r="O1162" s="177"/>
      <c r="P1162" s="180">
        <v>549</v>
      </c>
    </row>
    <row r="1163" spans="1:16" ht="19.5" customHeight="1">
      <c r="A1163" s="172" t="s">
        <v>1017</v>
      </c>
      <c r="B1163" s="176">
        <v>46032</v>
      </c>
      <c r="C1163" s="172" t="s">
        <v>100</v>
      </c>
      <c r="D1163" s="172" t="s">
        <v>102</v>
      </c>
      <c r="E1163" s="172" t="s">
        <v>41</v>
      </c>
      <c r="F1163" s="172" t="s">
        <v>83</v>
      </c>
      <c r="G1163" s="172" t="s">
        <v>84</v>
      </c>
      <c r="H1163" s="177">
        <v>1</v>
      </c>
      <c r="I1163" s="178">
        <v>1600</v>
      </c>
      <c r="J1163" s="176">
        <v>46030</v>
      </c>
      <c r="K1163" s="172" t="s">
        <v>93</v>
      </c>
      <c r="L1163" s="172" t="s">
        <v>94</v>
      </c>
      <c r="M1163" s="179">
        <v>0</v>
      </c>
      <c r="N1163" s="177"/>
      <c r="O1163" s="177"/>
      <c r="P1163" s="180">
        <v>5.49</v>
      </c>
    </row>
    <row r="1164" spans="1:16" ht="19.5" customHeight="1">
      <c r="A1164" s="172" t="s">
        <v>1017</v>
      </c>
      <c r="B1164" s="176">
        <v>46032</v>
      </c>
      <c r="C1164" s="172" t="s">
        <v>100</v>
      </c>
      <c r="D1164" s="172" t="s">
        <v>103</v>
      </c>
      <c r="E1164" s="172" t="s">
        <v>41</v>
      </c>
      <c r="F1164" s="172" t="s">
        <v>83</v>
      </c>
      <c r="G1164" s="172" t="s">
        <v>84</v>
      </c>
      <c r="H1164" s="177">
        <v>1</v>
      </c>
      <c r="I1164" s="178">
        <v>1600</v>
      </c>
      <c r="J1164" s="176">
        <v>46030</v>
      </c>
      <c r="K1164" s="172" t="s">
        <v>93</v>
      </c>
      <c r="L1164" s="172" t="s">
        <v>94</v>
      </c>
      <c r="M1164" s="179">
        <v>0</v>
      </c>
      <c r="N1164" s="177"/>
      <c r="O1164" s="177"/>
      <c r="P1164" s="180">
        <v>1045.51</v>
      </c>
    </row>
    <row r="1165" spans="1:16" ht="19.5" customHeight="1">
      <c r="A1165" s="172" t="s">
        <v>1017</v>
      </c>
      <c r="B1165" s="176">
        <v>46032</v>
      </c>
      <c r="C1165" s="172" t="s">
        <v>104</v>
      </c>
      <c r="D1165" s="172" t="s">
        <v>105</v>
      </c>
      <c r="E1165" s="172" t="s">
        <v>41</v>
      </c>
      <c r="F1165" s="172" t="s">
        <v>83</v>
      </c>
      <c r="G1165" s="172" t="s">
        <v>84</v>
      </c>
      <c r="H1165" s="177">
        <v>1</v>
      </c>
      <c r="I1165" s="178">
        <v>1600</v>
      </c>
      <c r="J1165" s="176">
        <v>46030</v>
      </c>
      <c r="K1165" s="172" t="s">
        <v>93</v>
      </c>
      <c r="L1165" s="172" t="s">
        <v>94</v>
      </c>
      <c r="M1165" s="179">
        <v>0.43</v>
      </c>
      <c r="N1165" s="177"/>
      <c r="O1165" s="177"/>
      <c r="P1165" s="180">
        <v>-688</v>
      </c>
    </row>
    <row r="1166" spans="1:16" ht="19.5" customHeight="1">
      <c r="A1166" s="172" t="s">
        <v>1017</v>
      </c>
      <c r="B1166" s="176">
        <v>46032</v>
      </c>
      <c r="C1166" s="172" t="s">
        <v>81</v>
      </c>
      <c r="D1166" s="172" t="s">
        <v>95</v>
      </c>
      <c r="E1166" s="172" t="s">
        <v>41</v>
      </c>
      <c r="F1166" s="172" t="s">
        <v>83</v>
      </c>
      <c r="G1166" s="172" t="s">
        <v>84</v>
      </c>
      <c r="H1166" s="177">
        <v>1</v>
      </c>
      <c r="I1166" s="178">
        <v>1600</v>
      </c>
      <c r="J1166" s="176">
        <v>46030</v>
      </c>
      <c r="K1166" s="172" t="s">
        <v>93</v>
      </c>
      <c r="L1166" s="172" t="s">
        <v>94</v>
      </c>
      <c r="M1166" s="179">
        <v>0.43</v>
      </c>
      <c r="N1166" s="177"/>
      <c r="O1166" s="177"/>
      <c r="P1166" s="180">
        <v>-16.84</v>
      </c>
    </row>
    <row r="1167" spans="1:16" ht="19.5" customHeight="1">
      <c r="A1167" s="172" t="s">
        <v>1018</v>
      </c>
      <c r="B1167" s="176">
        <v>46032</v>
      </c>
      <c r="C1167" s="172" t="s">
        <v>92</v>
      </c>
      <c r="D1167" s="172" t="s">
        <v>24</v>
      </c>
      <c r="E1167" s="172" t="s">
        <v>52</v>
      </c>
      <c r="F1167" s="172" t="s">
        <v>90</v>
      </c>
      <c r="G1167" s="172" t="s">
        <v>84</v>
      </c>
      <c r="H1167" s="177">
        <v>1</v>
      </c>
      <c r="I1167" s="178">
        <v>0</v>
      </c>
      <c r="J1167" s="176">
        <v>46027</v>
      </c>
      <c r="K1167" s="172" t="s">
        <v>93</v>
      </c>
      <c r="L1167" s="172" t="s">
        <v>94</v>
      </c>
      <c r="M1167" s="179">
        <v>0</v>
      </c>
      <c r="N1167" s="177"/>
      <c r="O1167" s="177">
        <v>45</v>
      </c>
      <c r="P1167" s="180">
        <v>-56</v>
      </c>
    </row>
    <row r="1168" spans="1:16" ht="19.5" customHeight="1">
      <c r="A1168" s="172" t="s">
        <v>1018</v>
      </c>
      <c r="B1168" s="176">
        <v>46032</v>
      </c>
      <c r="C1168" s="172" t="s">
        <v>81</v>
      </c>
      <c r="D1168" s="172" t="s">
        <v>95</v>
      </c>
      <c r="E1168" s="172" t="s">
        <v>52</v>
      </c>
      <c r="F1168" s="172" t="s">
        <v>90</v>
      </c>
      <c r="G1168" s="172" t="s">
        <v>84</v>
      </c>
      <c r="H1168" s="177">
        <v>1</v>
      </c>
      <c r="I1168" s="178">
        <v>0</v>
      </c>
      <c r="J1168" s="176">
        <v>46027</v>
      </c>
      <c r="K1168" s="172" t="s">
        <v>93</v>
      </c>
      <c r="L1168" s="172" t="s">
        <v>94</v>
      </c>
      <c r="M1168" s="179">
        <v>0</v>
      </c>
      <c r="N1168" s="177"/>
      <c r="O1168" s="177"/>
      <c r="P1168" s="180">
        <v>-8.44</v>
      </c>
    </row>
    <row r="1169" spans="1:16" ht="19.5" customHeight="1">
      <c r="A1169" s="172" t="s">
        <v>1018</v>
      </c>
      <c r="B1169" s="176">
        <v>46032</v>
      </c>
      <c r="C1169" s="172" t="s">
        <v>92</v>
      </c>
      <c r="D1169" s="172" t="s">
        <v>96</v>
      </c>
      <c r="E1169" s="172" t="s">
        <v>52</v>
      </c>
      <c r="F1169" s="172" t="s">
        <v>90</v>
      </c>
      <c r="G1169" s="172" t="s">
        <v>84</v>
      </c>
      <c r="H1169" s="177">
        <v>1</v>
      </c>
      <c r="I1169" s="178">
        <v>0</v>
      </c>
      <c r="J1169" s="176">
        <v>46027</v>
      </c>
      <c r="K1169" s="172" t="s">
        <v>93</v>
      </c>
      <c r="L1169" s="172" t="s">
        <v>94</v>
      </c>
      <c r="M1169" s="179">
        <v>0</v>
      </c>
      <c r="N1169" s="177"/>
      <c r="O1169" s="177"/>
      <c r="P1169" s="180">
        <v>0</v>
      </c>
    </row>
    <row r="1170" spans="1:16" ht="19.5" customHeight="1">
      <c r="A1170" s="172" t="s">
        <v>1018</v>
      </c>
      <c r="B1170" s="176">
        <v>46032</v>
      </c>
      <c r="C1170" s="172" t="s">
        <v>92</v>
      </c>
      <c r="D1170" s="172" t="s">
        <v>97</v>
      </c>
      <c r="E1170" s="172" t="s">
        <v>52</v>
      </c>
      <c r="F1170" s="172" t="s">
        <v>90</v>
      </c>
      <c r="G1170" s="172" t="s">
        <v>84</v>
      </c>
      <c r="H1170" s="177">
        <v>1</v>
      </c>
      <c r="I1170" s="178">
        <v>0</v>
      </c>
      <c r="J1170" s="176">
        <v>46027</v>
      </c>
      <c r="K1170" s="172" t="s">
        <v>93</v>
      </c>
      <c r="L1170" s="172" t="s">
        <v>94</v>
      </c>
      <c r="M1170" s="179">
        <v>0</v>
      </c>
      <c r="N1170" s="177"/>
      <c r="O1170" s="177"/>
      <c r="P1170" s="180">
        <v>-56</v>
      </c>
    </row>
    <row r="1171" spans="1:16" ht="19.5" customHeight="1">
      <c r="A1171" s="172" t="s">
        <v>1018</v>
      </c>
      <c r="B1171" s="176">
        <v>46032</v>
      </c>
      <c r="C1171" s="172" t="s">
        <v>81</v>
      </c>
      <c r="D1171" s="172" t="s">
        <v>98</v>
      </c>
      <c r="E1171" s="172" t="s">
        <v>52</v>
      </c>
      <c r="F1171" s="172" t="s">
        <v>90</v>
      </c>
      <c r="G1171" s="172" t="s">
        <v>84</v>
      </c>
      <c r="H1171" s="177">
        <v>1</v>
      </c>
      <c r="I1171" s="178">
        <v>0</v>
      </c>
      <c r="J1171" s="176">
        <v>46027</v>
      </c>
      <c r="K1171" s="172" t="s">
        <v>93</v>
      </c>
      <c r="L1171" s="172" t="s">
        <v>94</v>
      </c>
      <c r="M1171" s="179">
        <v>0</v>
      </c>
      <c r="N1171" s="177"/>
      <c r="O1171" s="177"/>
      <c r="P1171" s="180">
        <v>-15</v>
      </c>
    </row>
    <row r="1172" spans="1:16" ht="19.5" customHeight="1">
      <c r="A1172" s="172" t="s">
        <v>1019</v>
      </c>
      <c r="B1172" s="176">
        <v>46032</v>
      </c>
      <c r="C1172" s="172" t="s">
        <v>92</v>
      </c>
      <c r="D1172" s="172" t="s">
        <v>24</v>
      </c>
      <c r="E1172" s="172" t="s">
        <v>52</v>
      </c>
      <c r="F1172" s="172" t="s">
        <v>90</v>
      </c>
      <c r="G1172" s="172" t="s">
        <v>84</v>
      </c>
      <c r="H1172" s="177">
        <v>1</v>
      </c>
      <c r="I1172" s="178">
        <v>1621</v>
      </c>
      <c r="J1172" s="176">
        <v>46027</v>
      </c>
      <c r="K1172" s="172" t="s">
        <v>93</v>
      </c>
      <c r="L1172" s="172" t="s">
        <v>94</v>
      </c>
      <c r="M1172" s="179">
        <v>0.43</v>
      </c>
      <c r="N1172" s="177"/>
      <c r="O1172" s="177">
        <v>45</v>
      </c>
      <c r="P1172" s="180">
        <v>-146.44999999999999</v>
      </c>
    </row>
    <row r="1173" spans="1:16" ht="19.5" customHeight="1">
      <c r="A1173" s="172" t="s">
        <v>1019</v>
      </c>
      <c r="B1173" s="176">
        <v>46032</v>
      </c>
      <c r="C1173" s="172" t="s">
        <v>100</v>
      </c>
      <c r="D1173" s="172" t="s">
        <v>101</v>
      </c>
      <c r="E1173" s="172" t="s">
        <v>52</v>
      </c>
      <c r="F1173" s="172" t="s">
        <v>90</v>
      </c>
      <c r="G1173" s="172" t="s">
        <v>84</v>
      </c>
      <c r="H1173" s="177">
        <v>1</v>
      </c>
      <c r="I1173" s="178">
        <v>1621</v>
      </c>
      <c r="J1173" s="176">
        <v>46027</v>
      </c>
      <c r="K1173" s="172" t="s">
        <v>93</v>
      </c>
      <c r="L1173" s="172" t="s">
        <v>94</v>
      </c>
      <c r="M1173" s="179">
        <v>0</v>
      </c>
      <c r="N1173" s="177"/>
      <c r="O1173" s="177"/>
      <c r="P1173" s="180">
        <v>557.14</v>
      </c>
    </row>
    <row r="1174" spans="1:16" ht="19.5" customHeight="1">
      <c r="A1174" s="172" t="s">
        <v>1019</v>
      </c>
      <c r="B1174" s="176">
        <v>46032</v>
      </c>
      <c r="C1174" s="172" t="s">
        <v>100</v>
      </c>
      <c r="D1174" s="172" t="s">
        <v>102</v>
      </c>
      <c r="E1174" s="172" t="s">
        <v>52</v>
      </c>
      <c r="F1174" s="172" t="s">
        <v>90</v>
      </c>
      <c r="G1174" s="172" t="s">
        <v>84</v>
      </c>
      <c r="H1174" s="177">
        <v>1</v>
      </c>
      <c r="I1174" s="178">
        <v>1621</v>
      </c>
      <c r="J1174" s="176">
        <v>46027</v>
      </c>
      <c r="K1174" s="172" t="s">
        <v>93</v>
      </c>
      <c r="L1174" s="172" t="s">
        <v>94</v>
      </c>
      <c r="M1174" s="179">
        <v>0</v>
      </c>
      <c r="N1174" s="177"/>
      <c r="O1174" s="177"/>
      <c r="P1174" s="180">
        <v>5.57</v>
      </c>
    </row>
    <row r="1175" spans="1:16" ht="19.5" customHeight="1">
      <c r="A1175" s="172" t="s">
        <v>1019</v>
      </c>
      <c r="B1175" s="176">
        <v>46032</v>
      </c>
      <c r="C1175" s="172" t="s">
        <v>100</v>
      </c>
      <c r="D1175" s="172" t="s">
        <v>103</v>
      </c>
      <c r="E1175" s="172" t="s">
        <v>52</v>
      </c>
      <c r="F1175" s="172" t="s">
        <v>90</v>
      </c>
      <c r="G1175" s="172" t="s">
        <v>84</v>
      </c>
      <c r="H1175" s="177">
        <v>1</v>
      </c>
      <c r="I1175" s="178">
        <v>1621</v>
      </c>
      <c r="J1175" s="176">
        <v>46027</v>
      </c>
      <c r="K1175" s="172" t="s">
        <v>93</v>
      </c>
      <c r="L1175" s="172" t="s">
        <v>94</v>
      </c>
      <c r="M1175" s="179">
        <v>0</v>
      </c>
      <c r="N1175" s="177"/>
      <c r="O1175" s="177"/>
      <c r="P1175" s="180">
        <v>1058.29</v>
      </c>
    </row>
    <row r="1176" spans="1:16" ht="19.5" customHeight="1">
      <c r="A1176" s="172" t="s">
        <v>1019</v>
      </c>
      <c r="B1176" s="176">
        <v>46032</v>
      </c>
      <c r="C1176" s="172" t="s">
        <v>104</v>
      </c>
      <c r="D1176" s="172" t="s">
        <v>105</v>
      </c>
      <c r="E1176" s="172" t="s">
        <v>52</v>
      </c>
      <c r="F1176" s="172" t="s">
        <v>90</v>
      </c>
      <c r="G1176" s="172" t="s">
        <v>84</v>
      </c>
      <c r="H1176" s="177">
        <v>1</v>
      </c>
      <c r="I1176" s="178">
        <v>1621</v>
      </c>
      <c r="J1176" s="176">
        <v>46027</v>
      </c>
      <c r="K1176" s="172" t="s">
        <v>93</v>
      </c>
      <c r="L1176" s="172" t="s">
        <v>94</v>
      </c>
      <c r="M1176" s="179">
        <v>0.43</v>
      </c>
      <c r="N1176" s="177"/>
      <c r="O1176" s="177"/>
      <c r="P1176" s="180">
        <v>-697.03</v>
      </c>
    </row>
    <row r="1177" spans="1:16" ht="19.5" customHeight="1">
      <c r="A1177" s="172" t="s">
        <v>1019</v>
      </c>
      <c r="B1177" s="176">
        <v>46032</v>
      </c>
      <c r="C1177" s="172" t="s">
        <v>81</v>
      </c>
      <c r="D1177" s="172" t="s">
        <v>95</v>
      </c>
      <c r="E1177" s="172" t="s">
        <v>52</v>
      </c>
      <c r="F1177" s="172" t="s">
        <v>90</v>
      </c>
      <c r="G1177" s="172" t="s">
        <v>84</v>
      </c>
      <c r="H1177" s="177">
        <v>1</v>
      </c>
      <c r="I1177" s="178">
        <v>1621</v>
      </c>
      <c r="J1177" s="176">
        <v>46027</v>
      </c>
      <c r="K1177" s="172" t="s">
        <v>93</v>
      </c>
      <c r="L1177" s="172" t="s">
        <v>94</v>
      </c>
      <c r="M1177" s="179">
        <v>0.43</v>
      </c>
      <c r="N1177" s="177"/>
      <c r="O1177" s="177"/>
      <c r="P1177" s="180">
        <v>-14.65</v>
      </c>
    </row>
    <row r="1178" spans="1:16" ht="19.5" customHeight="1">
      <c r="A1178" s="172" t="s">
        <v>1020</v>
      </c>
      <c r="B1178" s="176">
        <v>46032</v>
      </c>
      <c r="C1178" s="172" t="s">
        <v>92</v>
      </c>
      <c r="D1178" s="172" t="s">
        <v>24</v>
      </c>
      <c r="E1178" s="172" t="s">
        <v>53</v>
      </c>
      <c r="F1178" s="172" t="s">
        <v>120</v>
      </c>
      <c r="G1178" s="172" t="s">
        <v>84</v>
      </c>
      <c r="H1178" s="177">
        <v>1</v>
      </c>
      <c r="I1178" s="178">
        <v>1845</v>
      </c>
      <c r="J1178" s="176">
        <v>46030</v>
      </c>
      <c r="K1178" s="172" t="s">
        <v>93</v>
      </c>
      <c r="L1178" s="172" t="s">
        <v>94</v>
      </c>
      <c r="M1178" s="179">
        <v>0.43</v>
      </c>
      <c r="N1178" s="177"/>
      <c r="O1178" s="177">
        <v>42</v>
      </c>
      <c r="P1178" s="180">
        <v>-140.5</v>
      </c>
    </row>
    <row r="1179" spans="1:16" ht="19.5" customHeight="1">
      <c r="A1179" s="172" t="s">
        <v>1020</v>
      </c>
      <c r="B1179" s="176">
        <v>46032</v>
      </c>
      <c r="C1179" s="172" t="s">
        <v>100</v>
      </c>
      <c r="D1179" s="172" t="s">
        <v>101</v>
      </c>
      <c r="E1179" s="172" t="s">
        <v>53</v>
      </c>
      <c r="F1179" s="172" t="s">
        <v>120</v>
      </c>
      <c r="G1179" s="172" t="s">
        <v>84</v>
      </c>
      <c r="H1179" s="177">
        <v>1</v>
      </c>
      <c r="I1179" s="178">
        <v>1845</v>
      </c>
      <c r="J1179" s="176">
        <v>46030</v>
      </c>
      <c r="K1179" s="172" t="s">
        <v>93</v>
      </c>
      <c r="L1179" s="172" t="s">
        <v>94</v>
      </c>
      <c r="M1179" s="179">
        <v>0</v>
      </c>
      <c r="N1179" s="177"/>
      <c r="O1179" s="177"/>
      <c r="P1179" s="180">
        <v>642.86</v>
      </c>
    </row>
    <row r="1180" spans="1:16" ht="19.5" customHeight="1">
      <c r="A1180" s="172" t="s">
        <v>1020</v>
      </c>
      <c r="B1180" s="176">
        <v>46032</v>
      </c>
      <c r="C1180" s="172" t="s">
        <v>100</v>
      </c>
      <c r="D1180" s="172" t="s">
        <v>102</v>
      </c>
      <c r="E1180" s="172" t="s">
        <v>53</v>
      </c>
      <c r="F1180" s="172" t="s">
        <v>120</v>
      </c>
      <c r="G1180" s="172" t="s">
        <v>84</v>
      </c>
      <c r="H1180" s="177">
        <v>1</v>
      </c>
      <c r="I1180" s="178">
        <v>1845</v>
      </c>
      <c r="J1180" s="176">
        <v>46030</v>
      </c>
      <c r="K1180" s="172" t="s">
        <v>93</v>
      </c>
      <c r="L1180" s="172" t="s">
        <v>94</v>
      </c>
      <c r="M1180" s="179">
        <v>0</v>
      </c>
      <c r="N1180" s="177"/>
      <c r="O1180" s="177"/>
      <c r="P1180" s="180">
        <v>6.43</v>
      </c>
    </row>
    <row r="1181" spans="1:16" ht="19.5" customHeight="1">
      <c r="A1181" s="172" t="s">
        <v>1020</v>
      </c>
      <c r="B1181" s="176">
        <v>46032</v>
      </c>
      <c r="C1181" s="172" t="s">
        <v>100</v>
      </c>
      <c r="D1181" s="172" t="s">
        <v>103</v>
      </c>
      <c r="E1181" s="172" t="s">
        <v>53</v>
      </c>
      <c r="F1181" s="172" t="s">
        <v>120</v>
      </c>
      <c r="G1181" s="172" t="s">
        <v>84</v>
      </c>
      <c r="H1181" s="177">
        <v>1</v>
      </c>
      <c r="I1181" s="178">
        <v>1845</v>
      </c>
      <c r="J1181" s="176">
        <v>46030</v>
      </c>
      <c r="K1181" s="172" t="s">
        <v>93</v>
      </c>
      <c r="L1181" s="172" t="s">
        <v>94</v>
      </c>
      <c r="M1181" s="179">
        <v>0</v>
      </c>
      <c r="N1181" s="177"/>
      <c r="O1181" s="177"/>
      <c r="P1181" s="180">
        <v>1195.71</v>
      </c>
    </row>
    <row r="1182" spans="1:16" ht="19.5" customHeight="1">
      <c r="A1182" s="172" t="s">
        <v>1020</v>
      </c>
      <c r="B1182" s="176">
        <v>46032</v>
      </c>
      <c r="C1182" s="172" t="s">
        <v>104</v>
      </c>
      <c r="D1182" s="172" t="s">
        <v>105</v>
      </c>
      <c r="E1182" s="172" t="s">
        <v>53</v>
      </c>
      <c r="F1182" s="172" t="s">
        <v>120</v>
      </c>
      <c r="G1182" s="172" t="s">
        <v>84</v>
      </c>
      <c r="H1182" s="177">
        <v>1</v>
      </c>
      <c r="I1182" s="178">
        <v>1845</v>
      </c>
      <c r="J1182" s="176">
        <v>46030</v>
      </c>
      <c r="K1182" s="172" t="s">
        <v>93</v>
      </c>
      <c r="L1182" s="172" t="s">
        <v>94</v>
      </c>
      <c r="M1182" s="179">
        <v>0.43</v>
      </c>
      <c r="N1182" s="177"/>
      <c r="O1182" s="177"/>
      <c r="P1182" s="180">
        <v>-793.35</v>
      </c>
    </row>
    <row r="1183" spans="1:16" ht="19.5" customHeight="1">
      <c r="A1183" s="172" t="s">
        <v>1019</v>
      </c>
      <c r="B1183" s="176">
        <v>46032</v>
      </c>
      <c r="C1183" s="172" t="s">
        <v>81</v>
      </c>
      <c r="D1183" s="172" t="s">
        <v>82</v>
      </c>
      <c r="E1183" s="172" t="s">
        <v>52</v>
      </c>
      <c r="F1183" s="172" t="s">
        <v>90</v>
      </c>
      <c r="G1183" s="172" t="s">
        <v>84</v>
      </c>
      <c r="H1183" s="177">
        <v>1</v>
      </c>
      <c r="I1183" s="178">
        <v>0</v>
      </c>
      <c r="J1183" s="176">
        <v>46027</v>
      </c>
      <c r="K1183" s="172" t="s">
        <v>85</v>
      </c>
      <c r="L1183" s="172" t="s">
        <v>85</v>
      </c>
      <c r="M1183" s="179">
        <v>0</v>
      </c>
      <c r="N1183" s="177"/>
      <c r="O1183" s="177"/>
      <c r="P1183" s="180">
        <v>-10.59</v>
      </c>
    </row>
    <row r="1184" spans="1:16" ht="19.5" customHeight="1">
      <c r="A1184" s="172" t="s">
        <v>717</v>
      </c>
      <c r="B1184" s="176">
        <v>46032</v>
      </c>
      <c r="C1184" s="172" t="s">
        <v>81</v>
      </c>
      <c r="D1184" s="172" t="s">
        <v>82</v>
      </c>
      <c r="E1184" s="172" t="s">
        <v>53</v>
      </c>
      <c r="F1184" s="172" t="s">
        <v>120</v>
      </c>
      <c r="G1184" s="172" t="s">
        <v>84</v>
      </c>
      <c r="H1184" s="177">
        <v>1</v>
      </c>
      <c r="I1184" s="178">
        <v>0</v>
      </c>
      <c r="J1184" s="176">
        <v>46025</v>
      </c>
      <c r="K1184" s="172" t="s">
        <v>85</v>
      </c>
      <c r="L1184" s="172" t="s">
        <v>85</v>
      </c>
      <c r="M1184" s="179">
        <v>0</v>
      </c>
      <c r="N1184" s="177"/>
      <c r="O1184" s="177"/>
      <c r="P1184" s="180">
        <v>12.21</v>
      </c>
    </row>
    <row r="1185" spans="1:16" ht="19.5" customHeight="1">
      <c r="A1185" s="172" t="s">
        <v>1021</v>
      </c>
      <c r="B1185" s="176">
        <v>46032</v>
      </c>
      <c r="C1185" s="172" t="s">
        <v>92</v>
      </c>
      <c r="D1185" s="172" t="s">
        <v>24</v>
      </c>
      <c r="E1185" s="172" t="s">
        <v>52</v>
      </c>
      <c r="F1185" s="172" t="s">
        <v>90</v>
      </c>
      <c r="G1185" s="172" t="s">
        <v>84</v>
      </c>
      <c r="H1185" s="177">
        <v>1</v>
      </c>
      <c r="I1185" s="178">
        <v>1621</v>
      </c>
      <c r="J1185" s="176">
        <v>46028</v>
      </c>
      <c r="K1185" s="172" t="s">
        <v>93</v>
      </c>
      <c r="L1185" s="172" t="s">
        <v>94</v>
      </c>
      <c r="M1185" s="179">
        <v>0.43</v>
      </c>
      <c r="N1185" s="177"/>
      <c r="O1185" s="177">
        <v>44</v>
      </c>
      <c r="P1185" s="180">
        <v>-142.34</v>
      </c>
    </row>
    <row r="1186" spans="1:16" ht="19.5" customHeight="1">
      <c r="A1186" s="172" t="s">
        <v>1021</v>
      </c>
      <c r="B1186" s="176">
        <v>46032</v>
      </c>
      <c r="C1186" s="172" t="s">
        <v>100</v>
      </c>
      <c r="D1186" s="172" t="s">
        <v>101</v>
      </c>
      <c r="E1186" s="172" t="s">
        <v>52</v>
      </c>
      <c r="F1186" s="172" t="s">
        <v>90</v>
      </c>
      <c r="G1186" s="172" t="s">
        <v>84</v>
      </c>
      <c r="H1186" s="177">
        <v>1</v>
      </c>
      <c r="I1186" s="178">
        <v>1621</v>
      </c>
      <c r="J1186" s="176">
        <v>46028</v>
      </c>
      <c r="K1186" s="172" t="s">
        <v>93</v>
      </c>
      <c r="L1186" s="172" t="s">
        <v>94</v>
      </c>
      <c r="M1186" s="179">
        <v>0</v>
      </c>
      <c r="N1186" s="177"/>
      <c r="O1186" s="177"/>
      <c r="P1186" s="180">
        <v>556.61</v>
      </c>
    </row>
    <row r="1187" spans="1:16" ht="19.5" customHeight="1">
      <c r="A1187" s="172" t="s">
        <v>1021</v>
      </c>
      <c r="B1187" s="176">
        <v>46032</v>
      </c>
      <c r="C1187" s="172" t="s">
        <v>100</v>
      </c>
      <c r="D1187" s="172" t="s">
        <v>102</v>
      </c>
      <c r="E1187" s="172" t="s">
        <v>52</v>
      </c>
      <c r="F1187" s="172" t="s">
        <v>90</v>
      </c>
      <c r="G1187" s="172" t="s">
        <v>84</v>
      </c>
      <c r="H1187" s="177">
        <v>1</v>
      </c>
      <c r="I1187" s="178">
        <v>1621</v>
      </c>
      <c r="J1187" s="176">
        <v>46028</v>
      </c>
      <c r="K1187" s="172" t="s">
        <v>93</v>
      </c>
      <c r="L1187" s="172" t="s">
        <v>94</v>
      </c>
      <c r="M1187" s="179">
        <v>0</v>
      </c>
      <c r="N1187" s="177"/>
      <c r="O1187" s="177"/>
      <c r="P1187" s="180">
        <v>5.57</v>
      </c>
    </row>
    <row r="1188" spans="1:16" ht="19.5" customHeight="1">
      <c r="A1188" s="172" t="s">
        <v>1021</v>
      </c>
      <c r="B1188" s="176">
        <v>46032</v>
      </c>
      <c r="C1188" s="172" t="s">
        <v>100</v>
      </c>
      <c r="D1188" s="172" t="s">
        <v>103</v>
      </c>
      <c r="E1188" s="172" t="s">
        <v>52</v>
      </c>
      <c r="F1188" s="172" t="s">
        <v>90</v>
      </c>
      <c r="G1188" s="172" t="s">
        <v>84</v>
      </c>
      <c r="H1188" s="177">
        <v>1</v>
      </c>
      <c r="I1188" s="178">
        <v>1621</v>
      </c>
      <c r="J1188" s="176">
        <v>46028</v>
      </c>
      <c r="K1188" s="172" t="s">
        <v>93</v>
      </c>
      <c r="L1188" s="172" t="s">
        <v>94</v>
      </c>
      <c r="M1188" s="179">
        <v>0</v>
      </c>
      <c r="N1188" s="177"/>
      <c r="O1188" s="177"/>
      <c r="P1188" s="180">
        <v>1058.82</v>
      </c>
    </row>
    <row r="1189" spans="1:16" ht="19.5" customHeight="1">
      <c r="A1189" s="172" t="s">
        <v>1021</v>
      </c>
      <c r="B1189" s="176">
        <v>46032</v>
      </c>
      <c r="C1189" s="172" t="s">
        <v>104</v>
      </c>
      <c r="D1189" s="172" t="s">
        <v>105</v>
      </c>
      <c r="E1189" s="172" t="s">
        <v>52</v>
      </c>
      <c r="F1189" s="172" t="s">
        <v>90</v>
      </c>
      <c r="G1189" s="172" t="s">
        <v>84</v>
      </c>
      <c r="H1189" s="177">
        <v>1</v>
      </c>
      <c r="I1189" s="178">
        <v>1621</v>
      </c>
      <c r="J1189" s="176">
        <v>46028</v>
      </c>
      <c r="K1189" s="172" t="s">
        <v>93</v>
      </c>
      <c r="L1189" s="172" t="s">
        <v>94</v>
      </c>
      <c r="M1189" s="179">
        <v>0.43</v>
      </c>
      <c r="N1189" s="177"/>
      <c r="O1189" s="177"/>
      <c r="P1189" s="180">
        <v>-697.03</v>
      </c>
    </row>
    <row r="1190" spans="1:16" ht="19.5" customHeight="1">
      <c r="A1190" s="172" t="s">
        <v>1021</v>
      </c>
      <c r="B1190" s="176">
        <v>46032</v>
      </c>
      <c r="C1190" s="172" t="s">
        <v>81</v>
      </c>
      <c r="D1190" s="172" t="s">
        <v>95</v>
      </c>
      <c r="E1190" s="172" t="s">
        <v>52</v>
      </c>
      <c r="F1190" s="172" t="s">
        <v>90</v>
      </c>
      <c r="G1190" s="172" t="s">
        <v>84</v>
      </c>
      <c r="H1190" s="177">
        <v>1</v>
      </c>
      <c r="I1190" s="178">
        <v>1621</v>
      </c>
      <c r="J1190" s="176">
        <v>46028</v>
      </c>
      <c r="K1190" s="172" t="s">
        <v>93</v>
      </c>
      <c r="L1190" s="172" t="s">
        <v>94</v>
      </c>
      <c r="M1190" s="179">
        <v>0.43</v>
      </c>
      <c r="N1190" s="177"/>
      <c r="O1190" s="177"/>
      <c r="P1190" s="180">
        <v>-7.82</v>
      </c>
    </row>
    <row r="1191" spans="1:16" ht="19.5" customHeight="1">
      <c r="A1191" s="172" t="s">
        <v>1022</v>
      </c>
      <c r="B1191" s="176">
        <v>46032</v>
      </c>
      <c r="C1191" s="172" t="s">
        <v>92</v>
      </c>
      <c r="D1191" s="172" t="s">
        <v>24</v>
      </c>
      <c r="E1191" s="172" t="s">
        <v>41</v>
      </c>
      <c r="F1191" s="172" t="s">
        <v>83</v>
      </c>
      <c r="G1191" s="172" t="s">
        <v>84</v>
      </c>
      <c r="H1191" s="177">
        <v>1</v>
      </c>
      <c r="I1191" s="178">
        <v>1600</v>
      </c>
      <c r="J1191" s="176">
        <v>46030</v>
      </c>
      <c r="K1191" s="172" t="s">
        <v>93</v>
      </c>
      <c r="L1191" s="172" t="s">
        <v>94</v>
      </c>
      <c r="M1191" s="179">
        <v>0.43</v>
      </c>
      <c r="N1191" s="177"/>
      <c r="O1191" s="177">
        <v>42</v>
      </c>
      <c r="P1191" s="180">
        <v>-119.03</v>
      </c>
    </row>
    <row r="1192" spans="1:16" ht="19.5" customHeight="1">
      <c r="A1192" s="172" t="s">
        <v>1022</v>
      </c>
      <c r="B1192" s="176">
        <v>46032</v>
      </c>
      <c r="C1192" s="172" t="s">
        <v>100</v>
      </c>
      <c r="D1192" s="172" t="s">
        <v>101</v>
      </c>
      <c r="E1192" s="172" t="s">
        <v>41</v>
      </c>
      <c r="F1192" s="172" t="s">
        <v>83</v>
      </c>
      <c r="G1192" s="172" t="s">
        <v>84</v>
      </c>
      <c r="H1192" s="177">
        <v>1</v>
      </c>
      <c r="I1192" s="178">
        <v>1600</v>
      </c>
      <c r="J1192" s="176">
        <v>46030</v>
      </c>
      <c r="K1192" s="172" t="s">
        <v>93</v>
      </c>
      <c r="L1192" s="172" t="s">
        <v>94</v>
      </c>
      <c r="M1192" s="179">
        <v>0</v>
      </c>
      <c r="N1192" s="177"/>
      <c r="O1192" s="177"/>
      <c r="P1192" s="180">
        <v>449.52</v>
      </c>
    </row>
    <row r="1193" spans="1:16" ht="19.5" customHeight="1">
      <c r="A1193" s="172" t="s">
        <v>1022</v>
      </c>
      <c r="B1193" s="176">
        <v>46032</v>
      </c>
      <c r="C1193" s="172" t="s">
        <v>100</v>
      </c>
      <c r="D1193" s="172" t="s">
        <v>102</v>
      </c>
      <c r="E1193" s="172" t="s">
        <v>41</v>
      </c>
      <c r="F1193" s="172" t="s">
        <v>83</v>
      </c>
      <c r="G1193" s="172" t="s">
        <v>84</v>
      </c>
      <c r="H1193" s="177">
        <v>1</v>
      </c>
      <c r="I1193" s="178">
        <v>1600</v>
      </c>
      <c r="J1193" s="176">
        <v>46030</v>
      </c>
      <c r="K1193" s="172" t="s">
        <v>93</v>
      </c>
      <c r="L1193" s="172" t="s">
        <v>94</v>
      </c>
      <c r="M1193" s="179">
        <v>0</v>
      </c>
      <c r="N1193" s="177"/>
      <c r="O1193" s="177"/>
      <c r="P1193" s="180">
        <v>4.5</v>
      </c>
    </row>
    <row r="1194" spans="1:16" ht="19.5" customHeight="1">
      <c r="A1194" s="172" t="s">
        <v>1022</v>
      </c>
      <c r="B1194" s="176">
        <v>46032</v>
      </c>
      <c r="C1194" s="172" t="s">
        <v>100</v>
      </c>
      <c r="D1194" s="172" t="s">
        <v>103</v>
      </c>
      <c r="E1194" s="172" t="s">
        <v>41</v>
      </c>
      <c r="F1194" s="172" t="s">
        <v>83</v>
      </c>
      <c r="G1194" s="172" t="s">
        <v>84</v>
      </c>
      <c r="H1194" s="177">
        <v>1</v>
      </c>
      <c r="I1194" s="178">
        <v>1600</v>
      </c>
      <c r="J1194" s="176">
        <v>46030</v>
      </c>
      <c r="K1194" s="172" t="s">
        <v>93</v>
      </c>
      <c r="L1194" s="172" t="s">
        <v>94</v>
      </c>
      <c r="M1194" s="179">
        <v>0</v>
      </c>
      <c r="N1194" s="177"/>
      <c r="O1194" s="177"/>
      <c r="P1194" s="180">
        <v>1145.98</v>
      </c>
    </row>
    <row r="1195" spans="1:16" ht="19.5" customHeight="1">
      <c r="A1195" s="172" t="s">
        <v>1022</v>
      </c>
      <c r="B1195" s="176">
        <v>46032</v>
      </c>
      <c r="C1195" s="172" t="s">
        <v>104</v>
      </c>
      <c r="D1195" s="172" t="s">
        <v>105</v>
      </c>
      <c r="E1195" s="172" t="s">
        <v>41</v>
      </c>
      <c r="F1195" s="172" t="s">
        <v>83</v>
      </c>
      <c r="G1195" s="172" t="s">
        <v>84</v>
      </c>
      <c r="H1195" s="177">
        <v>1</v>
      </c>
      <c r="I1195" s="178">
        <v>1600</v>
      </c>
      <c r="J1195" s="176">
        <v>46030</v>
      </c>
      <c r="K1195" s="172" t="s">
        <v>93</v>
      </c>
      <c r="L1195" s="172" t="s">
        <v>94</v>
      </c>
      <c r="M1195" s="179">
        <v>0.43</v>
      </c>
      <c r="N1195" s="177"/>
      <c r="O1195" s="177"/>
      <c r="P1195" s="180">
        <v>-688</v>
      </c>
    </row>
    <row r="1196" spans="1:16" ht="19.5" customHeight="1">
      <c r="A1196" s="172" t="s">
        <v>1022</v>
      </c>
      <c r="B1196" s="176">
        <v>46032</v>
      </c>
      <c r="C1196" s="172" t="s">
        <v>81</v>
      </c>
      <c r="D1196" s="172" t="s">
        <v>95</v>
      </c>
      <c r="E1196" s="172" t="s">
        <v>41</v>
      </c>
      <c r="F1196" s="172" t="s">
        <v>83</v>
      </c>
      <c r="G1196" s="172" t="s">
        <v>84</v>
      </c>
      <c r="H1196" s="177">
        <v>1</v>
      </c>
      <c r="I1196" s="178">
        <v>1600</v>
      </c>
      <c r="J1196" s="176">
        <v>46030</v>
      </c>
      <c r="K1196" s="172" t="s">
        <v>93</v>
      </c>
      <c r="L1196" s="172" t="s">
        <v>94</v>
      </c>
      <c r="M1196" s="179">
        <v>0.43</v>
      </c>
      <c r="N1196" s="177"/>
      <c r="O1196" s="177"/>
      <c r="P1196" s="180">
        <v>-9.3000000000000007</v>
      </c>
    </row>
    <row r="1197" spans="1:16" ht="19.5" customHeight="1">
      <c r="A1197" s="172" t="s">
        <v>1023</v>
      </c>
      <c r="B1197" s="176">
        <v>46032</v>
      </c>
      <c r="C1197" s="172" t="s">
        <v>81</v>
      </c>
      <c r="D1197" s="172" t="s">
        <v>82</v>
      </c>
      <c r="E1197" s="172" t="s">
        <v>43</v>
      </c>
      <c r="F1197" s="172" t="s">
        <v>125</v>
      </c>
      <c r="G1197" s="172" t="s">
        <v>84</v>
      </c>
      <c r="H1197" s="177">
        <v>1</v>
      </c>
      <c r="I1197" s="178">
        <v>0</v>
      </c>
      <c r="J1197" s="176">
        <v>46032</v>
      </c>
      <c r="K1197" s="172" t="s">
        <v>85</v>
      </c>
      <c r="L1197" s="172" t="s">
        <v>85</v>
      </c>
      <c r="M1197" s="179">
        <v>0</v>
      </c>
      <c r="N1197" s="177"/>
      <c r="O1197" s="177"/>
      <c r="P1197" s="180">
        <v>-12.05</v>
      </c>
    </row>
    <row r="1198" spans="1:16" ht="19.5" customHeight="1">
      <c r="A1198" s="172" t="s">
        <v>1021</v>
      </c>
      <c r="B1198" s="176">
        <v>46032</v>
      </c>
      <c r="C1198" s="172" t="s">
        <v>81</v>
      </c>
      <c r="D1198" s="172" t="s">
        <v>82</v>
      </c>
      <c r="E1198" s="172" t="s">
        <v>52</v>
      </c>
      <c r="F1198" s="172" t="s">
        <v>90</v>
      </c>
      <c r="G1198" s="172" t="s">
        <v>84</v>
      </c>
      <c r="H1198" s="177">
        <v>1</v>
      </c>
      <c r="I1198" s="178">
        <v>0</v>
      </c>
      <c r="J1198" s="176">
        <v>46028</v>
      </c>
      <c r="K1198" s="172" t="s">
        <v>85</v>
      </c>
      <c r="L1198" s="172" t="s">
        <v>85</v>
      </c>
      <c r="M1198" s="179">
        <v>0</v>
      </c>
      <c r="N1198" s="177"/>
      <c r="O1198" s="177"/>
      <c r="P1198" s="180">
        <v>-10.58</v>
      </c>
    </row>
    <row r="1199" spans="1:16" ht="19.5" customHeight="1">
      <c r="A1199" s="172" t="s">
        <v>1024</v>
      </c>
      <c r="B1199" s="176">
        <v>46032</v>
      </c>
      <c r="C1199" s="172" t="s">
        <v>92</v>
      </c>
      <c r="D1199" s="172" t="s">
        <v>24</v>
      </c>
      <c r="E1199" s="172" t="s">
        <v>41</v>
      </c>
      <c r="F1199" s="172" t="s">
        <v>83</v>
      </c>
      <c r="G1199" s="172" t="s">
        <v>84</v>
      </c>
      <c r="H1199" s="177">
        <v>1</v>
      </c>
      <c r="I1199" s="178">
        <v>1600</v>
      </c>
      <c r="J1199" s="176">
        <v>46030</v>
      </c>
      <c r="K1199" s="172" t="s">
        <v>93</v>
      </c>
      <c r="L1199" s="172" t="s">
        <v>94</v>
      </c>
      <c r="M1199" s="179">
        <v>0.43</v>
      </c>
      <c r="N1199" s="177"/>
      <c r="O1199" s="177">
        <v>42</v>
      </c>
      <c r="P1199" s="180">
        <v>-119.03</v>
      </c>
    </row>
    <row r="1200" spans="1:16" ht="19.5" customHeight="1">
      <c r="A1200" s="172" t="s">
        <v>1024</v>
      </c>
      <c r="B1200" s="176">
        <v>46032</v>
      </c>
      <c r="C1200" s="172" t="s">
        <v>100</v>
      </c>
      <c r="D1200" s="172" t="s">
        <v>101</v>
      </c>
      <c r="E1200" s="172" t="s">
        <v>41</v>
      </c>
      <c r="F1200" s="172" t="s">
        <v>83</v>
      </c>
      <c r="G1200" s="172" t="s">
        <v>84</v>
      </c>
      <c r="H1200" s="177">
        <v>1</v>
      </c>
      <c r="I1200" s="178">
        <v>1600</v>
      </c>
      <c r="J1200" s="176">
        <v>46030</v>
      </c>
      <c r="K1200" s="172" t="s">
        <v>93</v>
      </c>
      <c r="L1200" s="172" t="s">
        <v>94</v>
      </c>
      <c r="M1200" s="179">
        <v>0</v>
      </c>
      <c r="N1200" s="177"/>
      <c r="O1200" s="177"/>
      <c r="P1200" s="180">
        <v>549.52</v>
      </c>
    </row>
    <row r="1201" spans="1:16" ht="19.5" customHeight="1">
      <c r="A1201" s="172" t="s">
        <v>1024</v>
      </c>
      <c r="B1201" s="176">
        <v>46032</v>
      </c>
      <c r="C1201" s="172" t="s">
        <v>100</v>
      </c>
      <c r="D1201" s="172" t="s">
        <v>102</v>
      </c>
      <c r="E1201" s="172" t="s">
        <v>41</v>
      </c>
      <c r="F1201" s="172" t="s">
        <v>83</v>
      </c>
      <c r="G1201" s="172" t="s">
        <v>84</v>
      </c>
      <c r="H1201" s="177">
        <v>1</v>
      </c>
      <c r="I1201" s="178">
        <v>1600</v>
      </c>
      <c r="J1201" s="176">
        <v>46030</v>
      </c>
      <c r="K1201" s="172" t="s">
        <v>93</v>
      </c>
      <c r="L1201" s="172" t="s">
        <v>94</v>
      </c>
      <c r="M1201" s="179">
        <v>0</v>
      </c>
      <c r="N1201" s="177"/>
      <c r="O1201" s="177"/>
      <c r="P1201" s="180">
        <v>5.5</v>
      </c>
    </row>
    <row r="1202" spans="1:16" ht="19.5" customHeight="1">
      <c r="A1202" s="172" t="s">
        <v>1024</v>
      </c>
      <c r="B1202" s="176">
        <v>46032</v>
      </c>
      <c r="C1202" s="172" t="s">
        <v>100</v>
      </c>
      <c r="D1202" s="172" t="s">
        <v>103</v>
      </c>
      <c r="E1202" s="172" t="s">
        <v>41</v>
      </c>
      <c r="F1202" s="172" t="s">
        <v>83</v>
      </c>
      <c r="G1202" s="172" t="s">
        <v>84</v>
      </c>
      <c r="H1202" s="177">
        <v>1</v>
      </c>
      <c r="I1202" s="178">
        <v>1600</v>
      </c>
      <c r="J1202" s="176">
        <v>46030</v>
      </c>
      <c r="K1202" s="172" t="s">
        <v>93</v>
      </c>
      <c r="L1202" s="172" t="s">
        <v>94</v>
      </c>
      <c r="M1202" s="179">
        <v>0</v>
      </c>
      <c r="N1202" s="177"/>
      <c r="O1202" s="177"/>
      <c r="P1202" s="180">
        <v>1044.98</v>
      </c>
    </row>
    <row r="1203" spans="1:16" ht="19.5" customHeight="1">
      <c r="A1203" s="172" t="s">
        <v>1024</v>
      </c>
      <c r="B1203" s="176">
        <v>46032</v>
      </c>
      <c r="C1203" s="172" t="s">
        <v>104</v>
      </c>
      <c r="D1203" s="172" t="s">
        <v>105</v>
      </c>
      <c r="E1203" s="172" t="s">
        <v>41</v>
      </c>
      <c r="F1203" s="172" t="s">
        <v>83</v>
      </c>
      <c r="G1203" s="172" t="s">
        <v>84</v>
      </c>
      <c r="H1203" s="177">
        <v>1</v>
      </c>
      <c r="I1203" s="178">
        <v>1600</v>
      </c>
      <c r="J1203" s="176">
        <v>46030</v>
      </c>
      <c r="K1203" s="172" t="s">
        <v>93</v>
      </c>
      <c r="L1203" s="172" t="s">
        <v>94</v>
      </c>
      <c r="M1203" s="179">
        <v>0.43</v>
      </c>
      <c r="N1203" s="177"/>
      <c r="O1203" s="177"/>
      <c r="P1203" s="180">
        <v>-688</v>
      </c>
    </row>
    <row r="1204" spans="1:16" ht="19.5" customHeight="1">
      <c r="A1204" s="172" t="s">
        <v>1024</v>
      </c>
      <c r="B1204" s="176">
        <v>46032</v>
      </c>
      <c r="C1204" s="172" t="s">
        <v>81</v>
      </c>
      <c r="D1204" s="172" t="s">
        <v>95</v>
      </c>
      <c r="E1204" s="172" t="s">
        <v>41</v>
      </c>
      <c r="F1204" s="172" t="s">
        <v>83</v>
      </c>
      <c r="G1204" s="172" t="s">
        <v>84</v>
      </c>
      <c r="H1204" s="177">
        <v>1</v>
      </c>
      <c r="I1204" s="178">
        <v>1600</v>
      </c>
      <c r="J1204" s="176">
        <v>46030</v>
      </c>
      <c r="K1204" s="172" t="s">
        <v>93</v>
      </c>
      <c r="L1204" s="172" t="s">
        <v>94</v>
      </c>
      <c r="M1204" s="179">
        <v>0.43</v>
      </c>
      <c r="N1204" s="177"/>
      <c r="O1204" s="177"/>
      <c r="P1204" s="180">
        <v>-13.87</v>
      </c>
    </row>
    <row r="1205" spans="1:16" ht="19.5" customHeight="1">
      <c r="A1205" s="172" t="s">
        <v>1025</v>
      </c>
      <c r="B1205" s="176">
        <v>46032</v>
      </c>
      <c r="C1205" s="172" t="s">
        <v>81</v>
      </c>
      <c r="D1205" s="172" t="s">
        <v>82</v>
      </c>
      <c r="E1205" s="172" t="s">
        <v>53</v>
      </c>
      <c r="F1205" s="172" t="s">
        <v>120</v>
      </c>
      <c r="G1205" s="172" t="s">
        <v>84</v>
      </c>
      <c r="H1205" s="177">
        <v>1</v>
      </c>
      <c r="I1205" s="178">
        <v>0</v>
      </c>
      <c r="J1205" s="176">
        <v>46032</v>
      </c>
      <c r="K1205" s="172" t="s">
        <v>85</v>
      </c>
      <c r="L1205" s="172" t="s">
        <v>85</v>
      </c>
      <c r="M1205" s="179">
        <v>0</v>
      </c>
      <c r="N1205" s="177"/>
      <c r="O1205" s="177"/>
      <c r="P1205" s="180">
        <v>-12.21</v>
      </c>
    </row>
    <row r="1206" spans="1:16" ht="19.5" customHeight="1">
      <c r="A1206" s="172" t="s">
        <v>1026</v>
      </c>
      <c r="B1206" s="176">
        <v>46032</v>
      </c>
      <c r="C1206" s="172" t="s">
        <v>81</v>
      </c>
      <c r="D1206" s="172" t="s">
        <v>82</v>
      </c>
      <c r="E1206" s="172" t="s">
        <v>53</v>
      </c>
      <c r="F1206" s="172" t="s">
        <v>120</v>
      </c>
      <c r="G1206" s="172" t="s">
        <v>84</v>
      </c>
      <c r="H1206" s="177">
        <v>1</v>
      </c>
      <c r="I1206" s="178">
        <v>0</v>
      </c>
      <c r="J1206" s="176">
        <v>46032</v>
      </c>
      <c r="K1206" s="172" t="s">
        <v>85</v>
      </c>
      <c r="L1206" s="172" t="s">
        <v>85</v>
      </c>
      <c r="M1206" s="179">
        <v>0</v>
      </c>
      <c r="N1206" s="177"/>
      <c r="O1206" s="177"/>
      <c r="P1206" s="180">
        <v>-12.2</v>
      </c>
    </row>
    <row r="1207" spans="1:16" ht="19.5" customHeight="1">
      <c r="A1207" s="172" t="s">
        <v>1027</v>
      </c>
      <c r="B1207" s="176">
        <v>46032</v>
      </c>
      <c r="C1207" s="172" t="s">
        <v>92</v>
      </c>
      <c r="D1207" s="172" t="s">
        <v>24</v>
      </c>
      <c r="E1207" s="172" t="s">
        <v>52</v>
      </c>
      <c r="F1207" s="172" t="s">
        <v>90</v>
      </c>
      <c r="G1207" s="172" t="s">
        <v>84</v>
      </c>
      <c r="H1207" s="177">
        <v>1</v>
      </c>
      <c r="I1207" s="178">
        <v>1621</v>
      </c>
      <c r="J1207" s="176">
        <v>46027</v>
      </c>
      <c r="K1207" s="172" t="s">
        <v>93</v>
      </c>
      <c r="L1207" s="172" t="s">
        <v>94</v>
      </c>
      <c r="M1207" s="179">
        <v>0.43</v>
      </c>
      <c r="N1207" s="177"/>
      <c r="O1207" s="177">
        <v>45</v>
      </c>
      <c r="P1207" s="180">
        <v>-146.44999999999999</v>
      </c>
    </row>
    <row r="1208" spans="1:16" ht="19.5" customHeight="1">
      <c r="A1208" s="172" t="s">
        <v>1027</v>
      </c>
      <c r="B1208" s="176">
        <v>46032</v>
      </c>
      <c r="C1208" s="172" t="s">
        <v>100</v>
      </c>
      <c r="D1208" s="172" t="s">
        <v>101</v>
      </c>
      <c r="E1208" s="172" t="s">
        <v>52</v>
      </c>
      <c r="F1208" s="172" t="s">
        <v>90</v>
      </c>
      <c r="G1208" s="172" t="s">
        <v>84</v>
      </c>
      <c r="H1208" s="177">
        <v>1</v>
      </c>
      <c r="I1208" s="178">
        <v>1621</v>
      </c>
      <c r="J1208" s="176">
        <v>46027</v>
      </c>
      <c r="K1208" s="172" t="s">
        <v>93</v>
      </c>
      <c r="L1208" s="172" t="s">
        <v>94</v>
      </c>
      <c r="M1208" s="179">
        <v>0</v>
      </c>
      <c r="N1208" s="177"/>
      <c r="O1208" s="177"/>
      <c r="P1208" s="180">
        <v>557.14</v>
      </c>
    </row>
    <row r="1209" spans="1:16" ht="19.5" customHeight="1">
      <c r="A1209" s="172" t="s">
        <v>1027</v>
      </c>
      <c r="B1209" s="176">
        <v>46032</v>
      </c>
      <c r="C1209" s="172" t="s">
        <v>100</v>
      </c>
      <c r="D1209" s="172" t="s">
        <v>102</v>
      </c>
      <c r="E1209" s="172" t="s">
        <v>52</v>
      </c>
      <c r="F1209" s="172" t="s">
        <v>90</v>
      </c>
      <c r="G1209" s="172" t="s">
        <v>84</v>
      </c>
      <c r="H1209" s="177">
        <v>1</v>
      </c>
      <c r="I1209" s="178">
        <v>1621</v>
      </c>
      <c r="J1209" s="176">
        <v>46027</v>
      </c>
      <c r="K1209" s="172" t="s">
        <v>93</v>
      </c>
      <c r="L1209" s="172" t="s">
        <v>94</v>
      </c>
      <c r="M1209" s="179">
        <v>0</v>
      </c>
      <c r="N1209" s="177"/>
      <c r="O1209" s="177"/>
      <c r="P1209" s="180">
        <v>5.57</v>
      </c>
    </row>
    <row r="1210" spans="1:16" ht="19.5" customHeight="1">
      <c r="A1210" s="172" t="s">
        <v>1027</v>
      </c>
      <c r="B1210" s="176">
        <v>46032</v>
      </c>
      <c r="C1210" s="172" t="s">
        <v>100</v>
      </c>
      <c r="D1210" s="172" t="s">
        <v>103</v>
      </c>
      <c r="E1210" s="172" t="s">
        <v>52</v>
      </c>
      <c r="F1210" s="172" t="s">
        <v>90</v>
      </c>
      <c r="G1210" s="172" t="s">
        <v>84</v>
      </c>
      <c r="H1210" s="177">
        <v>1</v>
      </c>
      <c r="I1210" s="178">
        <v>1621</v>
      </c>
      <c r="J1210" s="176">
        <v>46027</v>
      </c>
      <c r="K1210" s="172" t="s">
        <v>93</v>
      </c>
      <c r="L1210" s="172" t="s">
        <v>94</v>
      </c>
      <c r="M1210" s="179">
        <v>0</v>
      </c>
      <c r="N1210" s="177"/>
      <c r="O1210" s="177"/>
      <c r="P1210" s="180">
        <v>1058.29</v>
      </c>
    </row>
    <row r="1211" spans="1:16" ht="19.5" customHeight="1">
      <c r="A1211" s="172" t="s">
        <v>1027</v>
      </c>
      <c r="B1211" s="176">
        <v>46032</v>
      </c>
      <c r="C1211" s="172" t="s">
        <v>104</v>
      </c>
      <c r="D1211" s="172" t="s">
        <v>105</v>
      </c>
      <c r="E1211" s="172" t="s">
        <v>52</v>
      </c>
      <c r="F1211" s="172" t="s">
        <v>90</v>
      </c>
      <c r="G1211" s="172" t="s">
        <v>84</v>
      </c>
      <c r="H1211" s="177">
        <v>1</v>
      </c>
      <c r="I1211" s="178">
        <v>1621</v>
      </c>
      <c r="J1211" s="176">
        <v>46027</v>
      </c>
      <c r="K1211" s="172" t="s">
        <v>93</v>
      </c>
      <c r="L1211" s="172" t="s">
        <v>94</v>
      </c>
      <c r="M1211" s="179">
        <v>0.43</v>
      </c>
      <c r="N1211" s="177"/>
      <c r="O1211" s="177"/>
      <c r="P1211" s="180">
        <v>-697.03</v>
      </c>
    </row>
    <row r="1212" spans="1:16" ht="19.5" customHeight="1">
      <c r="A1212" s="172" t="s">
        <v>1027</v>
      </c>
      <c r="B1212" s="176">
        <v>46032</v>
      </c>
      <c r="C1212" s="172" t="s">
        <v>81</v>
      </c>
      <c r="D1212" s="172" t="s">
        <v>95</v>
      </c>
      <c r="E1212" s="172" t="s">
        <v>52</v>
      </c>
      <c r="F1212" s="172" t="s">
        <v>90</v>
      </c>
      <c r="G1212" s="172" t="s">
        <v>84</v>
      </c>
      <c r="H1212" s="177">
        <v>1</v>
      </c>
      <c r="I1212" s="178">
        <v>1621</v>
      </c>
      <c r="J1212" s="176">
        <v>46027</v>
      </c>
      <c r="K1212" s="172" t="s">
        <v>93</v>
      </c>
      <c r="L1212" s="172" t="s">
        <v>94</v>
      </c>
      <c r="M1212" s="179">
        <v>0.43</v>
      </c>
      <c r="N1212" s="177"/>
      <c r="O1212" s="177"/>
      <c r="P1212" s="180">
        <v>-25</v>
      </c>
    </row>
    <row r="1213" spans="1:16" ht="19.5" customHeight="1">
      <c r="A1213" s="172" t="s">
        <v>1027</v>
      </c>
      <c r="B1213" s="176">
        <v>46032</v>
      </c>
      <c r="C1213" s="172" t="s">
        <v>81</v>
      </c>
      <c r="D1213" s="172" t="s">
        <v>82</v>
      </c>
      <c r="E1213" s="172" t="s">
        <v>52</v>
      </c>
      <c r="F1213" s="172" t="s">
        <v>90</v>
      </c>
      <c r="G1213" s="172" t="s">
        <v>84</v>
      </c>
      <c r="H1213" s="177">
        <v>1</v>
      </c>
      <c r="I1213" s="178">
        <v>0</v>
      </c>
      <c r="J1213" s="176">
        <v>46027</v>
      </c>
      <c r="K1213" s="172" t="s">
        <v>85</v>
      </c>
      <c r="L1213" s="172" t="s">
        <v>85</v>
      </c>
      <c r="M1213" s="179">
        <v>0</v>
      </c>
      <c r="N1213" s="177"/>
      <c r="O1213" s="177"/>
      <c r="P1213" s="180">
        <v>-10.59</v>
      </c>
    </row>
    <row r="1214" spans="1:16" ht="19.5" customHeight="1">
      <c r="A1214" s="172" t="s">
        <v>1028</v>
      </c>
      <c r="B1214" s="176">
        <v>46032</v>
      </c>
      <c r="C1214" s="172" t="s">
        <v>92</v>
      </c>
      <c r="D1214" s="172" t="s">
        <v>24</v>
      </c>
      <c r="E1214" s="172" t="s">
        <v>53</v>
      </c>
      <c r="F1214" s="172" t="s">
        <v>120</v>
      </c>
      <c r="G1214" s="172" t="s">
        <v>84</v>
      </c>
      <c r="H1214" s="177">
        <v>1</v>
      </c>
      <c r="I1214" s="178">
        <v>1845</v>
      </c>
      <c r="J1214" s="176">
        <v>46030</v>
      </c>
      <c r="K1214" s="172" t="s">
        <v>93</v>
      </c>
      <c r="L1214" s="172" t="s">
        <v>94</v>
      </c>
      <c r="M1214" s="179">
        <v>0.43</v>
      </c>
      <c r="N1214" s="177"/>
      <c r="O1214" s="177">
        <v>42</v>
      </c>
      <c r="P1214" s="180">
        <v>-140.5</v>
      </c>
    </row>
    <row r="1215" spans="1:16" ht="19.5" customHeight="1">
      <c r="A1215" s="172" t="s">
        <v>1028</v>
      </c>
      <c r="B1215" s="176">
        <v>46032</v>
      </c>
      <c r="C1215" s="172" t="s">
        <v>100</v>
      </c>
      <c r="D1215" s="172" t="s">
        <v>101</v>
      </c>
      <c r="E1215" s="172" t="s">
        <v>53</v>
      </c>
      <c r="F1215" s="172" t="s">
        <v>120</v>
      </c>
      <c r="G1215" s="172" t="s">
        <v>84</v>
      </c>
      <c r="H1215" s="177">
        <v>1</v>
      </c>
      <c r="I1215" s="178">
        <v>1845</v>
      </c>
      <c r="J1215" s="176">
        <v>46030</v>
      </c>
      <c r="K1215" s="172" t="s">
        <v>93</v>
      </c>
      <c r="L1215" s="172" t="s">
        <v>94</v>
      </c>
      <c r="M1215" s="179">
        <v>0</v>
      </c>
      <c r="N1215" s="177"/>
      <c r="O1215" s="177"/>
      <c r="P1215" s="180">
        <v>642.25</v>
      </c>
    </row>
    <row r="1216" spans="1:16" ht="19.5" customHeight="1">
      <c r="A1216" s="172" t="s">
        <v>1028</v>
      </c>
      <c r="B1216" s="176">
        <v>46032</v>
      </c>
      <c r="C1216" s="172" t="s">
        <v>100</v>
      </c>
      <c r="D1216" s="172" t="s">
        <v>102</v>
      </c>
      <c r="E1216" s="172" t="s">
        <v>53</v>
      </c>
      <c r="F1216" s="172" t="s">
        <v>120</v>
      </c>
      <c r="G1216" s="172" t="s">
        <v>84</v>
      </c>
      <c r="H1216" s="177">
        <v>1</v>
      </c>
      <c r="I1216" s="178">
        <v>1845</v>
      </c>
      <c r="J1216" s="176">
        <v>46030</v>
      </c>
      <c r="K1216" s="172" t="s">
        <v>93</v>
      </c>
      <c r="L1216" s="172" t="s">
        <v>94</v>
      </c>
      <c r="M1216" s="179">
        <v>0</v>
      </c>
      <c r="N1216" s="177"/>
      <c r="O1216" s="177"/>
      <c r="P1216" s="180">
        <v>6.42</v>
      </c>
    </row>
    <row r="1217" spans="1:16" ht="19.5" customHeight="1">
      <c r="A1217" s="172" t="s">
        <v>1028</v>
      </c>
      <c r="B1217" s="176">
        <v>46032</v>
      </c>
      <c r="C1217" s="172" t="s">
        <v>100</v>
      </c>
      <c r="D1217" s="172" t="s">
        <v>103</v>
      </c>
      <c r="E1217" s="172" t="s">
        <v>53</v>
      </c>
      <c r="F1217" s="172" t="s">
        <v>120</v>
      </c>
      <c r="G1217" s="172" t="s">
        <v>84</v>
      </c>
      <c r="H1217" s="177">
        <v>1</v>
      </c>
      <c r="I1217" s="178">
        <v>1845</v>
      </c>
      <c r="J1217" s="176">
        <v>46030</v>
      </c>
      <c r="K1217" s="172" t="s">
        <v>93</v>
      </c>
      <c r="L1217" s="172" t="s">
        <v>94</v>
      </c>
      <c r="M1217" s="179">
        <v>0</v>
      </c>
      <c r="N1217" s="177"/>
      <c r="O1217" s="177"/>
      <c r="P1217" s="180">
        <v>1196.33</v>
      </c>
    </row>
    <row r="1218" spans="1:16" ht="19.5" customHeight="1">
      <c r="A1218" s="172" t="s">
        <v>1028</v>
      </c>
      <c r="B1218" s="176">
        <v>46032</v>
      </c>
      <c r="C1218" s="172" t="s">
        <v>104</v>
      </c>
      <c r="D1218" s="172" t="s">
        <v>105</v>
      </c>
      <c r="E1218" s="172" t="s">
        <v>53</v>
      </c>
      <c r="F1218" s="172" t="s">
        <v>120</v>
      </c>
      <c r="G1218" s="172" t="s">
        <v>84</v>
      </c>
      <c r="H1218" s="177">
        <v>1</v>
      </c>
      <c r="I1218" s="178">
        <v>1845</v>
      </c>
      <c r="J1218" s="176">
        <v>46030</v>
      </c>
      <c r="K1218" s="172" t="s">
        <v>93</v>
      </c>
      <c r="L1218" s="172" t="s">
        <v>94</v>
      </c>
      <c r="M1218" s="179">
        <v>0.43</v>
      </c>
      <c r="N1218" s="177"/>
      <c r="O1218" s="177"/>
      <c r="P1218" s="180">
        <v>-793.35</v>
      </c>
    </row>
    <row r="1219" spans="1:16" ht="19.5" customHeight="1">
      <c r="A1219" s="172" t="s">
        <v>1028</v>
      </c>
      <c r="B1219" s="176">
        <v>46032</v>
      </c>
      <c r="C1219" s="172" t="s">
        <v>81</v>
      </c>
      <c r="D1219" s="172" t="s">
        <v>95</v>
      </c>
      <c r="E1219" s="172" t="s">
        <v>53</v>
      </c>
      <c r="F1219" s="172" t="s">
        <v>120</v>
      </c>
      <c r="G1219" s="172" t="s">
        <v>84</v>
      </c>
      <c r="H1219" s="177">
        <v>1</v>
      </c>
      <c r="I1219" s="178">
        <v>1845</v>
      </c>
      <c r="J1219" s="176">
        <v>46030</v>
      </c>
      <c r="K1219" s="172" t="s">
        <v>93</v>
      </c>
      <c r="L1219" s="172" t="s">
        <v>94</v>
      </c>
      <c r="M1219" s="179">
        <v>0.43</v>
      </c>
      <c r="N1219" s="177"/>
      <c r="O1219" s="177"/>
      <c r="P1219" s="180">
        <v>-15.34</v>
      </c>
    </row>
    <row r="1220" spans="1:16" ht="19.5" customHeight="1">
      <c r="A1220" s="172" t="s">
        <v>1028</v>
      </c>
      <c r="B1220" s="176">
        <v>46032</v>
      </c>
      <c r="C1220" s="172" t="s">
        <v>81</v>
      </c>
      <c r="D1220" s="172" t="s">
        <v>82</v>
      </c>
      <c r="E1220" s="172" t="s">
        <v>53</v>
      </c>
      <c r="F1220" s="172" t="s">
        <v>120</v>
      </c>
      <c r="G1220" s="172" t="s">
        <v>84</v>
      </c>
      <c r="H1220" s="177">
        <v>1</v>
      </c>
      <c r="I1220" s="178">
        <v>0</v>
      </c>
      <c r="J1220" s="176">
        <v>46030</v>
      </c>
      <c r="K1220" s="172" t="s">
        <v>85</v>
      </c>
      <c r="L1220" s="172" t="s">
        <v>85</v>
      </c>
      <c r="M1220" s="179">
        <v>0</v>
      </c>
      <c r="N1220" s="177"/>
      <c r="O1220" s="177"/>
      <c r="P1220" s="180">
        <v>-12.2</v>
      </c>
    </row>
    <row r="1221" spans="1:16" ht="19.5" customHeight="1">
      <c r="A1221" s="172" t="s">
        <v>1029</v>
      </c>
      <c r="B1221" s="176">
        <v>46032</v>
      </c>
      <c r="C1221" s="172" t="s">
        <v>81</v>
      </c>
      <c r="D1221" s="172" t="s">
        <v>82</v>
      </c>
      <c r="E1221" s="172" t="s">
        <v>52</v>
      </c>
      <c r="F1221" s="172" t="s">
        <v>90</v>
      </c>
      <c r="G1221" s="172" t="s">
        <v>84</v>
      </c>
      <c r="H1221" s="177">
        <v>1</v>
      </c>
      <c r="I1221" s="178">
        <v>0</v>
      </c>
      <c r="J1221" s="176">
        <v>46032</v>
      </c>
      <c r="K1221" s="172" t="s">
        <v>85</v>
      </c>
      <c r="L1221" s="172" t="s">
        <v>85</v>
      </c>
      <c r="M1221" s="179">
        <v>0</v>
      </c>
      <c r="N1221" s="177"/>
      <c r="O1221" s="177"/>
      <c r="P1221" s="180">
        <v>-10.59</v>
      </c>
    </row>
    <row r="1222" spans="1:16" ht="19.5" customHeight="1">
      <c r="A1222" s="172" t="s">
        <v>1030</v>
      </c>
      <c r="B1222" s="176">
        <v>46032</v>
      </c>
      <c r="C1222" s="172" t="s">
        <v>92</v>
      </c>
      <c r="D1222" s="172" t="s">
        <v>24</v>
      </c>
      <c r="E1222" s="172" t="s">
        <v>52</v>
      </c>
      <c r="F1222" s="172" t="s">
        <v>90</v>
      </c>
      <c r="G1222" s="172" t="s">
        <v>84</v>
      </c>
      <c r="H1222" s="177">
        <v>1</v>
      </c>
      <c r="I1222" s="178">
        <v>1621</v>
      </c>
      <c r="J1222" s="176">
        <v>46027</v>
      </c>
      <c r="K1222" s="172" t="s">
        <v>93</v>
      </c>
      <c r="L1222" s="172" t="s">
        <v>94</v>
      </c>
      <c r="M1222" s="179">
        <v>0.43</v>
      </c>
      <c r="N1222" s="177"/>
      <c r="O1222" s="177">
        <v>45</v>
      </c>
      <c r="P1222" s="180">
        <v>-146.44999999999999</v>
      </c>
    </row>
    <row r="1223" spans="1:16" ht="19.5" customHeight="1">
      <c r="A1223" s="172" t="s">
        <v>1030</v>
      </c>
      <c r="B1223" s="176">
        <v>46032</v>
      </c>
      <c r="C1223" s="172" t="s">
        <v>100</v>
      </c>
      <c r="D1223" s="172" t="s">
        <v>101</v>
      </c>
      <c r="E1223" s="172" t="s">
        <v>52</v>
      </c>
      <c r="F1223" s="172" t="s">
        <v>90</v>
      </c>
      <c r="G1223" s="172" t="s">
        <v>84</v>
      </c>
      <c r="H1223" s="177">
        <v>1</v>
      </c>
      <c r="I1223" s="178">
        <v>1621</v>
      </c>
      <c r="J1223" s="176">
        <v>46027</v>
      </c>
      <c r="K1223" s="172" t="s">
        <v>93</v>
      </c>
      <c r="L1223" s="172" t="s">
        <v>94</v>
      </c>
      <c r="M1223" s="179">
        <v>0</v>
      </c>
      <c r="N1223" s="177"/>
      <c r="O1223" s="177"/>
      <c r="P1223" s="180">
        <v>557.14</v>
      </c>
    </row>
    <row r="1224" spans="1:16" ht="19.5" customHeight="1">
      <c r="A1224" s="172" t="s">
        <v>1030</v>
      </c>
      <c r="B1224" s="176">
        <v>46032</v>
      </c>
      <c r="C1224" s="172" t="s">
        <v>100</v>
      </c>
      <c r="D1224" s="172" t="s">
        <v>102</v>
      </c>
      <c r="E1224" s="172" t="s">
        <v>52</v>
      </c>
      <c r="F1224" s="172" t="s">
        <v>90</v>
      </c>
      <c r="G1224" s="172" t="s">
        <v>84</v>
      </c>
      <c r="H1224" s="177">
        <v>1</v>
      </c>
      <c r="I1224" s="178">
        <v>1621</v>
      </c>
      <c r="J1224" s="176">
        <v>46027</v>
      </c>
      <c r="K1224" s="172" t="s">
        <v>93</v>
      </c>
      <c r="L1224" s="172" t="s">
        <v>94</v>
      </c>
      <c r="M1224" s="179">
        <v>0</v>
      </c>
      <c r="N1224" s="177"/>
      <c r="O1224" s="177"/>
      <c r="P1224" s="180">
        <v>5.57</v>
      </c>
    </row>
    <row r="1225" spans="1:16" ht="19.5" customHeight="1">
      <c r="A1225" s="172" t="s">
        <v>1030</v>
      </c>
      <c r="B1225" s="176">
        <v>46032</v>
      </c>
      <c r="C1225" s="172" t="s">
        <v>100</v>
      </c>
      <c r="D1225" s="172" t="s">
        <v>103</v>
      </c>
      <c r="E1225" s="172" t="s">
        <v>52</v>
      </c>
      <c r="F1225" s="172" t="s">
        <v>90</v>
      </c>
      <c r="G1225" s="172" t="s">
        <v>84</v>
      </c>
      <c r="H1225" s="177">
        <v>1</v>
      </c>
      <c r="I1225" s="178">
        <v>1621</v>
      </c>
      <c r="J1225" s="176">
        <v>46027</v>
      </c>
      <c r="K1225" s="172" t="s">
        <v>93</v>
      </c>
      <c r="L1225" s="172" t="s">
        <v>94</v>
      </c>
      <c r="M1225" s="179">
        <v>0</v>
      </c>
      <c r="N1225" s="177"/>
      <c r="O1225" s="177"/>
      <c r="P1225" s="180">
        <v>1058.29</v>
      </c>
    </row>
    <row r="1226" spans="1:16" ht="19.5" customHeight="1">
      <c r="A1226" s="172" t="s">
        <v>1030</v>
      </c>
      <c r="B1226" s="176">
        <v>46032</v>
      </c>
      <c r="C1226" s="172" t="s">
        <v>104</v>
      </c>
      <c r="D1226" s="172" t="s">
        <v>105</v>
      </c>
      <c r="E1226" s="172" t="s">
        <v>52</v>
      </c>
      <c r="F1226" s="172" t="s">
        <v>90</v>
      </c>
      <c r="G1226" s="172" t="s">
        <v>84</v>
      </c>
      <c r="H1226" s="177">
        <v>1</v>
      </c>
      <c r="I1226" s="178">
        <v>1621</v>
      </c>
      <c r="J1226" s="176">
        <v>46027</v>
      </c>
      <c r="K1226" s="172" t="s">
        <v>93</v>
      </c>
      <c r="L1226" s="172" t="s">
        <v>94</v>
      </c>
      <c r="M1226" s="179">
        <v>0.43</v>
      </c>
      <c r="N1226" s="177"/>
      <c r="O1226" s="177"/>
      <c r="P1226" s="180">
        <v>-697.03</v>
      </c>
    </row>
    <row r="1227" spans="1:16" ht="19.5" customHeight="1">
      <c r="A1227" s="172" t="s">
        <v>1030</v>
      </c>
      <c r="B1227" s="176">
        <v>46032</v>
      </c>
      <c r="C1227" s="172" t="s">
        <v>81</v>
      </c>
      <c r="D1227" s="172" t="s">
        <v>95</v>
      </c>
      <c r="E1227" s="172" t="s">
        <v>52</v>
      </c>
      <c r="F1227" s="172" t="s">
        <v>90</v>
      </c>
      <c r="G1227" s="172" t="s">
        <v>84</v>
      </c>
      <c r="H1227" s="177">
        <v>1</v>
      </c>
      <c r="I1227" s="178">
        <v>1621</v>
      </c>
      <c r="J1227" s="176">
        <v>46027</v>
      </c>
      <c r="K1227" s="172" t="s">
        <v>93</v>
      </c>
      <c r="L1227" s="172" t="s">
        <v>94</v>
      </c>
      <c r="M1227" s="179">
        <v>0.43</v>
      </c>
      <c r="N1227" s="177"/>
      <c r="O1227" s="177"/>
      <c r="P1227" s="180">
        <v>-10.19</v>
      </c>
    </row>
    <row r="1228" spans="1:16" ht="19.5" customHeight="1">
      <c r="A1228" s="172" t="s">
        <v>1031</v>
      </c>
      <c r="B1228" s="176">
        <v>46032</v>
      </c>
      <c r="C1228" s="172" t="s">
        <v>92</v>
      </c>
      <c r="D1228" s="172" t="s">
        <v>24</v>
      </c>
      <c r="E1228" s="172" t="s">
        <v>53</v>
      </c>
      <c r="F1228" s="172" t="s">
        <v>120</v>
      </c>
      <c r="G1228" s="172" t="s">
        <v>84</v>
      </c>
      <c r="H1228" s="177">
        <v>1</v>
      </c>
      <c r="I1228" s="178">
        <v>1845</v>
      </c>
      <c r="J1228" s="176">
        <v>46030</v>
      </c>
      <c r="K1228" s="172" t="s">
        <v>93</v>
      </c>
      <c r="L1228" s="172" t="s">
        <v>94</v>
      </c>
      <c r="M1228" s="179">
        <v>0.43</v>
      </c>
      <c r="N1228" s="177"/>
      <c r="O1228" s="177">
        <v>42</v>
      </c>
      <c r="P1228" s="180">
        <v>-141.97999999999999</v>
      </c>
    </row>
    <row r="1229" spans="1:16" ht="19.5" customHeight="1">
      <c r="A1229" s="172" t="s">
        <v>1031</v>
      </c>
      <c r="B1229" s="176">
        <v>46032</v>
      </c>
      <c r="C1229" s="172" t="s">
        <v>100</v>
      </c>
      <c r="D1229" s="172" t="s">
        <v>101</v>
      </c>
      <c r="E1229" s="172" t="s">
        <v>53</v>
      </c>
      <c r="F1229" s="172" t="s">
        <v>120</v>
      </c>
      <c r="G1229" s="172" t="s">
        <v>84</v>
      </c>
      <c r="H1229" s="177">
        <v>1</v>
      </c>
      <c r="I1229" s="178">
        <v>1845</v>
      </c>
      <c r="J1229" s="176">
        <v>46030</v>
      </c>
      <c r="K1229" s="172" t="s">
        <v>93</v>
      </c>
      <c r="L1229" s="172" t="s">
        <v>94</v>
      </c>
      <c r="M1229" s="179">
        <v>0</v>
      </c>
      <c r="N1229" s="177"/>
      <c r="O1229" s="177"/>
      <c r="P1229" s="180">
        <v>642.25</v>
      </c>
    </row>
    <row r="1230" spans="1:16" ht="19.5" customHeight="1">
      <c r="A1230" s="172" t="s">
        <v>1031</v>
      </c>
      <c r="B1230" s="176">
        <v>46032</v>
      </c>
      <c r="C1230" s="172" t="s">
        <v>100</v>
      </c>
      <c r="D1230" s="172" t="s">
        <v>102</v>
      </c>
      <c r="E1230" s="172" t="s">
        <v>53</v>
      </c>
      <c r="F1230" s="172" t="s">
        <v>120</v>
      </c>
      <c r="G1230" s="172" t="s">
        <v>84</v>
      </c>
      <c r="H1230" s="177">
        <v>1</v>
      </c>
      <c r="I1230" s="178">
        <v>1845</v>
      </c>
      <c r="J1230" s="176">
        <v>46030</v>
      </c>
      <c r="K1230" s="172" t="s">
        <v>93</v>
      </c>
      <c r="L1230" s="172" t="s">
        <v>94</v>
      </c>
      <c r="M1230" s="179">
        <v>0</v>
      </c>
      <c r="N1230" s="177"/>
      <c r="O1230" s="177"/>
      <c r="P1230" s="180">
        <v>6.42</v>
      </c>
    </row>
    <row r="1231" spans="1:16" ht="19.5" customHeight="1">
      <c r="A1231" s="172" t="s">
        <v>1031</v>
      </c>
      <c r="B1231" s="176">
        <v>46032</v>
      </c>
      <c r="C1231" s="172" t="s">
        <v>100</v>
      </c>
      <c r="D1231" s="172" t="s">
        <v>103</v>
      </c>
      <c r="E1231" s="172" t="s">
        <v>53</v>
      </c>
      <c r="F1231" s="172" t="s">
        <v>120</v>
      </c>
      <c r="G1231" s="172" t="s">
        <v>84</v>
      </c>
      <c r="H1231" s="177">
        <v>1</v>
      </c>
      <c r="I1231" s="178">
        <v>1845</v>
      </c>
      <c r="J1231" s="176">
        <v>46030</v>
      </c>
      <c r="K1231" s="172" t="s">
        <v>93</v>
      </c>
      <c r="L1231" s="172" t="s">
        <v>94</v>
      </c>
      <c r="M1231" s="179">
        <v>0</v>
      </c>
      <c r="N1231" s="177"/>
      <c r="O1231" s="177"/>
      <c r="P1231" s="180">
        <v>1196.33</v>
      </c>
    </row>
    <row r="1232" spans="1:16" ht="19.5" customHeight="1">
      <c r="A1232" s="172" t="s">
        <v>1031</v>
      </c>
      <c r="B1232" s="176">
        <v>46032</v>
      </c>
      <c r="C1232" s="172" t="s">
        <v>104</v>
      </c>
      <c r="D1232" s="172" t="s">
        <v>105</v>
      </c>
      <c r="E1232" s="172" t="s">
        <v>53</v>
      </c>
      <c r="F1232" s="172" t="s">
        <v>120</v>
      </c>
      <c r="G1232" s="172" t="s">
        <v>84</v>
      </c>
      <c r="H1232" s="177">
        <v>1</v>
      </c>
      <c r="I1232" s="178">
        <v>1845</v>
      </c>
      <c r="J1232" s="176">
        <v>46030</v>
      </c>
      <c r="K1232" s="172" t="s">
        <v>93</v>
      </c>
      <c r="L1232" s="172" t="s">
        <v>94</v>
      </c>
      <c r="M1232" s="179">
        <v>0.43</v>
      </c>
      <c r="N1232" s="177"/>
      <c r="O1232" s="177"/>
      <c r="P1232" s="180">
        <v>-793.35</v>
      </c>
    </row>
    <row r="1233" spans="1:16" ht="19.5" customHeight="1">
      <c r="A1233" s="172" t="s">
        <v>1031</v>
      </c>
      <c r="B1233" s="176">
        <v>46032</v>
      </c>
      <c r="C1233" s="172" t="s">
        <v>81</v>
      </c>
      <c r="D1233" s="172" t="s">
        <v>95</v>
      </c>
      <c r="E1233" s="172" t="s">
        <v>53</v>
      </c>
      <c r="F1233" s="172" t="s">
        <v>120</v>
      </c>
      <c r="G1233" s="172" t="s">
        <v>84</v>
      </c>
      <c r="H1233" s="177">
        <v>1</v>
      </c>
      <c r="I1233" s="178">
        <v>1845</v>
      </c>
      <c r="J1233" s="176">
        <v>46030</v>
      </c>
      <c r="K1233" s="172" t="s">
        <v>93</v>
      </c>
      <c r="L1233" s="172" t="s">
        <v>94</v>
      </c>
      <c r="M1233" s="179">
        <v>0.43</v>
      </c>
      <c r="N1233" s="177"/>
      <c r="O1233" s="177"/>
      <c r="P1233" s="180">
        <v>-24.07</v>
      </c>
    </row>
    <row r="1234" spans="1:16" ht="19.5" customHeight="1">
      <c r="A1234" s="172" t="s">
        <v>1032</v>
      </c>
      <c r="B1234" s="176">
        <v>46032</v>
      </c>
      <c r="C1234" s="172" t="s">
        <v>92</v>
      </c>
      <c r="D1234" s="172" t="s">
        <v>24</v>
      </c>
      <c r="E1234" s="172" t="s">
        <v>53</v>
      </c>
      <c r="F1234" s="172" t="s">
        <v>120</v>
      </c>
      <c r="G1234" s="172" t="s">
        <v>84</v>
      </c>
      <c r="H1234" s="177">
        <v>1</v>
      </c>
      <c r="I1234" s="178">
        <v>1845</v>
      </c>
      <c r="J1234" s="176">
        <v>46031</v>
      </c>
      <c r="K1234" s="172" t="s">
        <v>93</v>
      </c>
      <c r="L1234" s="172" t="s">
        <v>94</v>
      </c>
      <c r="M1234" s="179">
        <v>0.43</v>
      </c>
      <c r="N1234" s="177"/>
      <c r="O1234" s="177">
        <v>42</v>
      </c>
      <c r="P1234" s="180">
        <v>-140.5</v>
      </c>
    </row>
    <row r="1235" spans="1:16" ht="19.5" customHeight="1">
      <c r="A1235" s="172" t="s">
        <v>1032</v>
      </c>
      <c r="B1235" s="176">
        <v>46032</v>
      </c>
      <c r="C1235" s="172" t="s">
        <v>100</v>
      </c>
      <c r="D1235" s="172" t="s">
        <v>101</v>
      </c>
      <c r="E1235" s="172" t="s">
        <v>53</v>
      </c>
      <c r="F1235" s="172" t="s">
        <v>120</v>
      </c>
      <c r="G1235" s="172" t="s">
        <v>84</v>
      </c>
      <c r="H1235" s="177">
        <v>1</v>
      </c>
      <c r="I1235" s="178">
        <v>1845</v>
      </c>
      <c r="J1235" s="176">
        <v>46031</v>
      </c>
      <c r="K1235" s="172" t="s">
        <v>93</v>
      </c>
      <c r="L1235" s="172" t="s">
        <v>94</v>
      </c>
      <c r="M1235" s="179">
        <v>0</v>
      </c>
      <c r="N1235" s="177"/>
      <c r="O1235" s="177"/>
      <c r="P1235" s="180">
        <v>642.86</v>
      </c>
    </row>
    <row r="1236" spans="1:16" ht="19.5" customHeight="1">
      <c r="A1236" s="172" t="s">
        <v>1032</v>
      </c>
      <c r="B1236" s="176">
        <v>46032</v>
      </c>
      <c r="C1236" s="172" t="s">
        <v>100</v>
      </c>
      <c r="D1236" s="172" t="s">
        <v>102</v>
      </c>
      <c r="E1236" s="172" t="s">
        <v>53</v>
      </c>
      <c r="F1236" s="172" t="s">
        <v>120</v>
      </c>
      <c r="G1236" s="172" t="s">
        <v>84</v>
      </c>
      <c r="H1236" s="177">
        <v>1</v>
      </c>
      <c r="I1236" s="178">
        <v>1845</v>
      </c>
      <c r="J1236" s="176">
        <v>46031</v>
      </c>
      <c r="K1236" s="172" t="s">
        <v>93</v>
      </c>
      <c r="L1236" s="172" t="s">
        <v>94</v>
      </c>
      <c r="M1236" s="179">
        <v>0</v>
      </c>
      <c r="N1236" s="177"/>
      <c r="O1236" s="177"/>
      <c r="P1236" s="180">
        <v>6.43</v>
      </c>
    </row>
    <row r="1237" spans="1:16" ht="19.5" customHeight="1">
      <c r="A1237" s="172" t="s">
        <v>1032</v>
      </c>
      <c r="B1237" s="176">
        <v>46032</v>
      </c>
      <c r="C1237" s="172" t="s">
        <v>100</v>
      </c>
      <c r="D1237" s="172" t="s">
        <v>103</v>
      </c>
      <c r="E1237" s="172" t="s">
        <v>53</v>
      </c>
      <c r="F1237" s="172" t="s">
        <v>120</v>
      </c>
      <c r="G1237" s="172" t="s">
        <v>84</v>
      </c>
      <c r="H1237" s="177">
        <v>1</v>
      </c>
      <c r="I1237" s="178">
        <v>1845</v>
      </c>
      <c r="J1237" s="176">
        <v>46031</v>
      </c>
      <c r="K1237" s="172" t="s">
        <v>93</v>
      </c>
      <c r="L1237" s="172" t="s">
        <v>94</v>
      </c>
      <c r="M1237" s="179">
        <v>0</v>
      </c>
      <c r="N1237" s="177"/>
      <c r="O1237" s="177"/>
      <c r="P1237" s="180">
        <v>1195.71</v>
      </c>
    </row>
    <row r="1238" spans="1:16" ht="19.5" customHeight="1">
      <c r="A1238" s="172" t="s">
        <v>1032</v>
      </c>
      <c r="B1238" s="176">
        <v>46032</v>
      </c>
      <c r="C1238" s="172" t="s">
        <v>104</v>
      </c>
      <c r="D1238" s="172" t="s">
        <v>105</v>
      </c>
      <c r="E1238" s="172" t="s">
        <v>53</v>
      </c>
      <c r="F1238" s="172" t="s">
        <v>120</v>
      </c>
      <c r="G1238" s="172" t="s">
        <v>84</v>
      </c>
      <c r="H1238" s="177">
        <v>1</v>
      </c>
      <c r="I1238" s="178">
        <v>1845</v>
      </c>
      <c r="J1238" s="176">
        <v>46031</v>
      </c>
      <c r="K1238" s="172" t="s">
        <v>93</v>
      </c>
      <c r="L1238" s="172" t="s">
        <v>94</v>
      </c>
      <c r="M1238" s="179">
        <v>0.43</v>
      </c>
      <c r="N1238" s="177"/>
      <c r="O1238" s="177"/>
      <c r="P1238" s="180">
        <v>-793.35</v>
      </c>
    </row>
    <row r="1239" spans="1:16" ht="19.5" customHeight="1">
      <c r="A1239" s="172" t="s">
        <v>1032</v>
      </c>
      <c r="B1239" s="176">
        <v>46032</v>
      </c>
      <c r="C1239" s="172" t="s">
        <v>81</v>
      </c>
      <c r="D1239" s="172" t="s">
        <v>95</v>
      </c>
      <c r="E1239" s="172" t="s">
        <v>53</v>
      </c>
      <c r="F1239" s="172" t="s">
        <v>120</v>
      </c>
      <c r="G1239" s="172" t="s">
        <v>84</v>
      </c>
      <c r="H1239" s="177">
        <v>1</v>
      </c>
      <c r="I1239" s="178">
        <v>1845</v>
      </c>
      <c r="J1239" s="176">
        <v>46031</v>
      </c>
      <c r="K1239" s="172" t="s">
        <v>93</v>
      </c>
      <c r="L1239" s="172" t="s">
        <v>94</v>
      </c>
      <c r="M1239" s="179">
        <v>0.43</v>
      </c>
      <c r="N1239" s="177"/>
      <c r="O1239" s="177"/>
      <c r="P1239" s="180">
        <v>-14.96</v>
      </c>
    </row>
    <row r="1240" spans="1:16" ht="19.5" customHeight="1">
      <c r="A1240" s="172" t="s">
        <v>1031</v>
      </c>
      <c r="B1240" s="176">
        <v>46032</v>
      </c>
      <c r="C1240" s="172" t="s">
        <v>81</v>
      </c>
      <c r="D1240" s="172" t="s">
        <v>82</v>
      </c>
      <c r="E1240" s="172" t="s">
        <v>53</v>
      </c>
      <c r="F1240" s="172" t="s">
        <v>120</v>
      </c>
      <c r="G1240" s="172" t="s">
        <v>84</v>
      </c>
      <c r="H1240" s="177">
        <v>1</v>
      </c>
      <c r="I1240" s="178">
        <v>0</v>
      </c>
      <c r="J1240" s="176">
        <v>46030</v>
      </c>
      <c r="K1240" s="172" t="s">
        <v>85</v>
      </c>
      <c r="L1240" s="172" t="s">
        <v>85</v>
      </c>
      <c r="M1240" s="179">
        <v>0</v>
      </c>
      <c r="N1240" s="177"/>
      <c r="O1240" s="177"/>
      <c r="P1240" s="180">
        <v>-12.2</v>
      </c>
    </row>
    <row r="1241" spans="1:16" ht="19.5" customHeight="1">
      <c r="A1241" s="172" t="s">
        <v>1032</v>
      </c>
      <c r="B1241" s="176">
        <v>46032</v>
      </c>
      <c r="C1241" s="172" t="s">
        <v>81</v>
      </c>
      <c r="D1241" s="172" t="s">
        <v>82</v>
      </c>
      <c r="E1241" s="172" t="s">
        <v>53</v>
      </c>
      <c r="F1241" s="172" t="s">
        <v>120</v>
      </c>
      <c r="G1241" s="172" t="s">
        <v>84</v>
      </c>
      <c r="H1241" s="177">
        <v>1</v>
      </c>
      <c r="I1241" s="178">
        <v>0</v>
      </c>
      <c r="J1241" s="176">
        <v>46031</v>
      </c>
      <c r="K1241" s="172" t="s">
        <v>85</v>
      </c>
      <c r="L1241" s="172" t="s">
        <v>85</v>
      </c>
      <c r="M1241" s="179">
        <v>0</v>
      </c>
      <c r="N1241" s="177"/>
      <c r="O1241" s="177"/>
      <c r="P1241" s="180">
        <v>-12.21</v>
      </c>
    </row>
    <row r="1242" spans="1:16" ht="19.5" customHeight="1">
      <c r="A1242" s="172" t="s">
        <v>1033</v>
      </c>
      <c r="B1242" s="176">
        <v>46032</v>
      </c>
      <c r="C1242" s="172" t="s">
        <v>92</v>
      </c>
      <c r="D1242" s="172" t="s">
        <v>24</v>
      </c>
      <c r="E1242" s="172" t="s">
        <v>53</v>
      </c>
      <c r="F1242" s="172" t="s">
        <v>120</v>
      </c>
      <c r="G1242" s="172" t="s">
        <v>84</v>
      </c>
      <c r="H1242" s="177">
        <v>1</v>
      </c>
      <c r="I1242" s="178">
        <v>1845</v>
      </c>
      <c r="J1242" s="176">
        <v>46025</v>
      </c>
      <c r="K1242" s="172" t="s">
        <v>93</v>
      </c>
      <c r="L1242" s="172" t="s">
        <v>94</v>
      </c>
      <c r="M1242" s="179">
        <v>0.43</v>
      </c>
      <c r="N1242" s="177"/>
      <c r="O1242" s="177">
        <v>44</v>
      </c>
      <c r="P1242" s="180">
        <v>-149.4</v>
      </c>
    </row>
    <row r="1243" spans="1:16" ht="19.5" customHeight="1">
      <c r="A1243" s="172" t="s">
        <v>1033</v>
      </c>
      <c r="B1243" s="176">
        <v>46032</v>
      </c>
      <c r="C1243" s="172" t="s">
        <v>100</v>
      </c>
      <c r="D1243" s="172" t="s">
        <v>101</v>
      </c>
      <c r="E1243" s="172" t="s">
        <v>53</v>
      </c>
      <c r="F1243" s="172" t="s">
        <v>120</v>
      </c>
      <c r="G1243" s="172" t="s">
        <v>84</v>
      </c>
      <c r="H1243" s="177">
        <v>1</v>
      </c>
      <c r="I1243" s="178">
        <v>1845</v>
      </c>
      <c r="J1243" s="176">
        <v>46025</v>
      </c>
      <c r="K1243" s="172" t="s">
        <v>93</v>
      </c>
      <c r="L1243" s="172" t="s">
        <v>94</v>
      </c>
      <c r="M1243" s="179">
        <v>0</v>
      </c>
      <c r="N1243" s="177"/>
      <c r="O1243" s="177"/>
      <c r="P1243" s="180">
        <v>642.86</v>
      </c>
    </row>
    <row r="1244" spans="1:16" ht="19.5" customHeight="1">
      <c r="A1244" s="172" t="s">
        <v>1033</v>
      </c>
      <c r="B1244" s="176">
        <v>46032</v>
      </c>
      <c r="C1244" s="172" t="s">
        <v>100</v>
      </c>
      <c r="D1244" s="172" t="s">
        <v>102</v>
      </c>
      <c r="E1244" s="172" t="s">
        <v>53</v>
      </c>
      <c r="F1244" s="172" t="s">
        <v>120</v>
      </c>
      <c r="G1244" s="172" t="s">
        <v>84</v>
      </c>
      <c r="H1244" s="177">
        <v>1</v>
      </c>
      <c r="I1244" s="178">
        <v>1845</v>
      </c>
      <c r="J1244" s="176">
        <v>46025</v>
      </c>
      <c r="K1244" s="172" t="s">
        <v>93</v>
      </c>
      <c r="L1244" s="172" t="s">
        <v>94</v>
      </c>
      <c r="M1244" s="179">
        <v>0</v>
      </c>
      <c r="N1244" s="177"/>
      <c r="O1244" s="177"/>
      <c r="P1244" s="180">
        <v>6.43</v>
      </c>
    </row>
    <row r="1245" spans="1:16" ht="19.5" customHeight="1">
      <c r="A1245" s="172" t="s">
        <v>1033</v>
      </c>
      <c r="B1245" s="176">
        <v>46032</v>
      </c>
      <c r="C1245" s="172" t="s">
        <v>100</v>
      </c>
      <c r="D1245" s="172" t="s">
        <v>103</v>
      </c>
      <c r="E1245" s="172" t="s">
        <v>53</v>
      </c>
      <c r="F1245" s="172" t="s">
        <v>120</v>
      </c>
      <c r="G1245" s="172" t="s">
        <v>84</v>
      </c>
      <c r="H1245" s="177">
        <v>1</v>
      </c>
      <c r="I1245" s="178">
        <v>1845</v>
      </c>
      <c r="J1245" s="176">
        <v>46025</v>
      </c>
      <c r="K1245" s="172" t="s">
        <v>93</v>
      </c>
      <c r="L1245" s="172" t="s">
        <v>94</v>
      </c>
      <c r="M1245" s="179">
        <v>0</v>
      </c>
      <c r="N1245" s="177"/>
      <c r="O1245" s="177"/>
      <c r="P1245" s="180">
        <v>1195.71</v>
      </c>
    </row>
    <row r="1246" spans="1:16" ht="19.5" customHeight="1">
      <c r="A1246" s="172" t="s">
        <v>1033</v>
      </c>
      <c r="B1246" s="176">
        <v>46032</v>
      </c>
      <c r="C1246" s="172" t="s">
        <v>104</v>
      </c>
      <c r="D1246" s="172" t="s">
        <v>105</v>
      </c>
      <c r="E1246" s="172" t="s">
        <v>53</v>
      </c>
      <c r="F1246" s="172" t="s">
        <v>120</v>
      </c>
      <c r="G1246" s="172" t="s">
        <v>84</v>
      </c>
      <c r="H1246" s="177">
        <v>1</v>
      </c>
      <c r="I1246" s="178">
        <v>1845</v>
      </c>
      <c r="J1246" s="176">
        <v>46025</v>
      </c>
      <c r="K1246" s="172" t="s">
        <v>93</v>
      </c>
      <c r="L1246" s="172" t="s">
        <v>94</v>
      </c>
      <c r="M1246" s="179">
        <v>0.43</v>
      </c>
      <c r="N1246" s="177"/>
      <c r="O1246" s="177"/>
      <c r="P1246" s="180">
        <v>-793.35</v>
      </c>
    </row>
    <row r="1247" spans="1:16" ht="19.5" customHeight="1">
      <c r="A1247" s="172" t="s">
        <v>1033</v>
      </c>
      <c r="B1247" s="176">
        <v>46032</v>
      </c>
      <c r="C1247" s="172" t="s">
        <v>81</v>
      </c>
      <c r="D1247" s="172" t="s">
        <v>95</v>
      </c>
      <c r="E1247" s="172" t="s">
        <v>53</v>
      </c>
      <c r="F1247" s="172" t="s">
        <v>120</v>
      </c>
      <c r="G1247" s="172" t="s">
        <v>84</v>
      </c>
      <c r="H1247" s="177">
        <v>1</v>
      </c>
      <c r="I1247" s="178">
        <v>1845</v>
      </c>
      <c r="J1247" s="176">
        <v>46025</v>
      </c>
      <c r="K1247" s="172" t="s">
        <v>93</v>
      </c>
      <c r="L1247" s="172" t="s">
        <v>94</v>
      </c>
      <c r="M1247" s="179">
        <v>0.43</v>
      </c>
      <c r="N1247" s="177"/>
      <c r="O1247" s="177"/>
      <c r="P1247" s="180">
        <v>-9.11</v>
      </c>
    </row>
    <row r="1248" spans="1:16" ht="19.5" customHeight="1">
      <c r="A1248" s="172" t="s">
        <v>1034</v>
      </c>
      <c r="B1248" s="176">
        <v>46032</v>
      </c>
      <c r="C1248" s="172" t="s">
        <v>92</v>
      </c>
      <c r="D1248" s="172" t="s">
        <v>24</v>
      </c>
      <c r="E1248" s="172" t="s">
        <v>41</v>
      </c>
      <c r="F1248" s="172" t="s">
        <v>83</v>
      </c>
      <c r="G1248" s="172" t="s">
        <v>84</v>
      </c>
      <c r="H1248" s="177">
        <v>1</v>
      </c>
      <c r="I1248" s="178">
        <v>1600</v>
      </c>
      <c r="J1248" s="176">
        <v>46025</v>
      </c>
      <c r="K1248" s="172" t="s">
        <v>93</v>
      </c>
      <c r="L1248" s="172" t="s">
        <v>94</v>
      </c>
      <c r="M1248" s="179">
        <v>0.43</v>
      </c>
      <c r="N1248" s="177"/>
      <c r="O1248" s="177">
        <v>44</v>
      </c>
      <c r="P1248" s="180">
        <v>-125.38</v>
      </c>
    </row>
    <row r="1249" spans="1:16" ht="19.5" customHeight="1">
      <c r="A1249" s="172" t="s">
        <v>1034</v>
      </c>
      <c r="B1249" s="176">
        <v>46032</v>
      </c>
      <c r="C1249" s="172" t="s">
        <v>100</v>
      </c>
      <c r="D1249" s="172" t="s">
        <v>101</v>
      </c>
      <c r="E1249" s="172" t="s">
        <v>41</v>
      </c>
      <c r="F1249" s="172" t="s">
        <v>83</v>
      </c>
      <c r="G1249" s="172" t="s">
        <v>84</v>
      </c>
      <c r="H1249" s="177">
        <v>1</v>
      </c>
      <c r="I1249" s="178">
        <v>1600</v>
      </c>
      <c r="J1249" s="176">
        <v>46025</v>
      </c>
      <c r="K1249" s="172" t="s">
        <v>93</v>
      </c>
      <c r="L1249" s="172" t="s">
        <v>94</v>
      </c>
      <c r="M1249" s="179">
        <v>0</v>
      </c>
      <c r="N1249" s="177"/>
      <c r="O1249" s="177"/>
      <c r="P1249" s="180">
        <v>609.52</v>
      </c>
    </row>
    <row r="1250" spans="1:16" ht="19.5" customHeight="1">
      <c r="A1250" s="172" t="s">
        <v>1034</v>
      </c>
      <c r="B1250" s="176">
        <v>46032</v>
      </c>
      <c r="C1250" s="172" t="s">
        <v>100</v>
      </c>
      <c r="D1250" s="172" t="s">
        <v>102</v>
      </c>
      <c r="E1250" s="172" t="s">
        <v>41</v>
      </c>
      <c r="F1250" s="172" t="s">
        <v>83</v>
      </c>
      <c r="G1250" s="172" t="s">
        <v>84</v>
      </c>
      <c r="H1250" s="177">
        <v>1</v>
      </c>
      <c r="I1250" s="178">
        <v>1600</v>
      </c>
      <c r="J1250" s="176">
        <v>46025</v>
      </c>
      <c r="K1250" s="172" t="s">
        <v>93</v>
      </c>
      <c r="L1250" s="172" t="s">
        <v>94</v>
      </c>
      <c r="M1250" s="179">
        <v>0</v>
      </c>
      <c r="N1250" s="177"/>
      <c r="O1250" s="177"/>
      <c r="P1250" s="180">
        <v>0</v>
      </c>
    </row>
    <row r="1251" spans="1:16" ht="19.5" customHeight="1">
      <c r="A1251" s="172" t="s">
        <v>1034</v>
      </c>
      <c r="B1251" s="176">
        <v>46032</v>
      </c>
      <c r="C1251" s="172" t="s">
        <v>100</v>
      </c>
      <c r="D1251" s="172" t="s">
        <v>103</v>
      </c>
      <c r="E1251" s="172" t="s">
        <v>41</v>
      </c>
      <c r="F1251" s="172" t="s">
        <v>83</v>
      </c>
      <c r="G1251" s="172" t="s">
        <v>84</v>
      </c>
      <c r="H1251" s="177">
        <v>1</v>
      </c>
      <c r="I1251" s="178">
        <v>1600</v>
      </c>
      <c r="J1251" s="176">
        <v>46025</v>
      </c>
      <c r="K1251" s="172" t="s">
        <v>93</v>
      </c>
      <c r="L1251" s="172" t="s">
        <v>94</v>
      </c>
      <c r="M1251" s="179">
        <v>0</v>
      </c>
      <c r="N1251" s="177"/>
      <c r="O1251" s="177"/>
      <c r="P1251" s="180">
        <v>990.48</v>
      </c>
    </row>
    <row r="1252" spans="1:16" ht="19.5" customHeight="1">
      <c r="A1252" s="172" t="s">
        <v>1034</v>
      </c>
      <c r="B1252" s="176">
        <v>46032</v>
      </c>
      <c r="C1252" s="172" t="s">
        <v>104</v>
      </c>
      <c r="D1252" s="172" t="s">
        <v>105</v>
      </c>
      <c r="E1252" s="172" t="s">
        <v>41</v>
      </c>
      <c r="F1252" s="172" t="s">
        <v>83</v>
      </c>
      <c r="G1252" s="172" t="s">
        <v>84</v>
      </c>
      <c r="H1252" s="177">
        <v>1</v>
      </c>
      <c r="I1252" s="178">
        <v>1600</v>
      </c>
      <c r="J1252" s="176">
        <v>46025</v>
      </c>
      <c r="K1252" s="172" t="s">
        <v>93</v>
      </c>
      <c r="L1252" s="172" t="s">
        <v>94</v>
      </c>
      <c r="M1252" s="179">
        <v>0.43</v>
      </c>
      <c r="N1252" s="177"/>
      <c r="O1252" s="177"/>
      <c r="P1252" s="180">
        <v>-688</v>
      </c>
    </row>
    <row r="1253" spans="1:16" ht="19.5" customHeight="1">
      <c r="A1253" s="172" t="s">
        <v>1034</v>
      </c>
      <c r="B1253" s="176">
        <v>46032</v>
      </c>
      <c r="C1253" s="172" t="s">
        <v>81</v>
      </c>
      <c r="D1253" s="172" t="s">
        <v>95</v>
      </c>
      <c r="E1253" s="172" t="s">
        <v>41</v>
      </c>
      <c r="F1253" s="172" t="s">
        <v>83</v>
      </c>
      <c r="G1253" s="172" t="s">
        <v>84</v>
      </c>
      <c r="H1253" s="177">
        <v>1</v>
      </c>
      <c r="I1253" s="178">
        <v>1600</v>
      </c>
      <c r="J1253" s="176">
        <v>46025</v>
      </c>
      <c r="K1253" s="172" t="s">
        <v>93</v>
      </c>
      <c r="L1253" s="172" t="s">
        <v>94</v>
      </c>
      <c r="M1253" s="179">
        <v>0.43</v>
      </c>
      <c r="N1253" s="177"/>
      <c r="O1253" s="177"/>
      <c r="P1253" s="180">
        <v>-12.14</v>
      </c>
    </row>
    <row r="1254" spans="1:16" ht="19.5" customHeight="1">
      <c r="A1254" s="172" t="s">
        <v>1035</v>
      </c>
      <c r="B1254" s="176">
        <v>46032</v>
      </c>
      <c r="C1254" s="172" t="s">
        <v>92</v>
      </c>
      <c r="D1254" s="172" t="s">
        <v>24</v>
      </c>
      <c r="E1254" s="172" t="s">
        <v>42</v>
      </c>
      <c r="F1254" s="172" t="s">
        <v>89</v>
      </c>
      <c r="G1254" s="172" t="s">
        <v>84</v>
      </c>
      <c r="H1254" s="177">
        <v>1</v>
      </c>
      <c r="I1254" s="178">
        <v>1600</v>
      </c>
      <c r="J1254" s="176">
        <v>46031</v>
      </c>
      <c r="K1254" s="172" t="s">
        <v>93</v>
      </c>
      <c r="L1254" s="172" t="s">
        <v>94</v>
      </c>
      <c r="M1254" s="179">
        <v>0.43</v>
      </c>
      <c r="N1254" s="177"/>
      <c r="O1254" s="177">
        <v>42</v>
      </c>
      <c r="P1254" s="180">
        <v>-119.03</v>
      </c>
    </row>
    <row r="1255" spans="1:16" ht="19.5" customHeight="1">
      <c r="A1255" s="172" t="s">
        <v>1035</v>
      </c>
      <c r="B1255" s="176">
        <v>46032</v>
      </c>
      <c r="C1255" s="172" t="s">
        <v>100</v>
      </c>
      <c r="D1255" s="172" t="s">
        <v>101</v>
      </c>
      <c r="E1255" s="172" t="s">
        <v>42</v>
      </c>
      <c r="F1255" s="172" t="s">
        <v>89</v>
      </c>
      <c r="G1255" s="172" t="s">
        <v>84</v>
      </c>
      <c r="H1255" s="177">
        <v>1</v>
      </c>
      <c r="I1255" s="178">
        <v>1600</v>
      </c>
      <c r="J1255" s="176">
        <v>46031</v>
      </c>
      <c r="K1255" s="172" t="s">
        <v>93</v>
      </c>
      <c r="L1255" s="172" t="s">
        <v>94</v>
      </c>
      <c r="M1255" s="179">
        <v>0</v>
      </c>
      <c r="N1255" s="177"/>
      <c r="O1255" s="177"/>
      <c r="P1255" s="180">
        <v>560.41999999999996</v>
      </c>
    </row>
    <row r="1256" spans="1:16" ht="19.5" customHeight="1">
      <c r="A1256" s="172" t="s">
        <v>1035</v>
      </c>
      <c r="B1256" s="176">
        <v>46032</v>
      </c>
      <c r="C1256" s="172" t="s">
        <v>100</v>
      </c>
      <c r="D1256" s="172" t="s">
        <v>102</v>
      </c>
      <c r="E1256" s="172" t="s">
        <v>42</v>
      </c>
      <c r="F1256" s="172" t="s">
        <v>89</v>
      </c>
      <c r="G1256" s="172" t="s">
        <v>84</v>
      </c>
      <c r="H1256" s="177">
        <v>1</v>
      </c>
      <c r="I1256" s="178">
        <v>1600</v>
      </c>
      <c r="J1256" s="176">
        <v>46031</v>
      </c>
      <c r="K1256" s="172" t="s">
        <v>93</v>
      </c>
      <c r="L1256" s="172" t="s">
        <v>94</v>
      </c>
      <c r="M1256" s="179">
        <v>0</v>
      </c>
      <c r="N1256" s="177"/>
      <c r="O1256" s="177"/>
      <c r="P1256" s="180">
        <v>5.6</v>
      </c>
    </row>
    <row r="1257" spans="1:16" ht="19.5" customHeight="1">
      <c r="A1257" s="172" t="s">
        <v>1035</v>
      </c>
      <c r="B1257" s="176">
        <v>46032</v>
      </c>
      <c r="C1257" s="172" t="s">
        <v>100</v>
      </c>
      <c r="D1257" s="172" t="s">
        <v>103</v>
      </c>
      <c r="E1257" s="172" t="s">
        <v>42</v>
      </c>
      <c r="F1257" s="172" t="s">
        <v>89</v>
      </c>
      <c r="G1257" s="172" t="s">
        <v>84</v>
      </c>
      <c r="H1257" s="177">
        <v>1</v>
      </c>
      <c r="I1257" s="178">
        <v>1600</v>
      </c>
      <c r="J1257" s="176">
        <v>46031</v>
      </c>
      <c r="K1257" s="172" t="s">
        <v>93</v>
      </c>
      <c r="L1257" s="172" t="s">
        <v>94</v>
      </c>
      <c r="M1257" s="179">
        <v>0</v>
      </c>
      <c r="N1257" s="177"/>
      <c r="O1257" s="177"/>
      <c r="P1257" s="180">
        <v>1033.98</v>
      </c>
    </row>
    <row r="1258" spans="1:16" ht="19.5" customHeight="1">
      <c r="A1258" s="172" t="s">
        <v>1035</v>
      </c>
      <c r="B1258" s="176">
        <v>46032</v>
      </c>
      <c r="C1258" s="172" t="s">
        <v>104</v>
      </c>
      <c r="D1258" s="172" t="s">
        <v>105</v>
      </c>
      <c r="E1258" s="172" t="s">
        <v>42</v>
      </c>
      <c r="F1258" s="172" t="s">
        <v>89</v>
      </c>
      <c r="G1258" s="172" t="s">
        <v>84</v>
      </c>
      <c r="H1258" s="177">
        <v>1</v>
      </c>
      <c r="I1258" s="178">
        <v>1600</v>
      </c>
      <c r="J1258" s="176">
        <v>46031</v>
      </c>
      <c r="K1258" s="172" t="s">
        <v>93</v>
      </c>
      <c r="L1258" s="172" t="s">
        <v>94</v>
      </c>
      <c r="M1258" s="179">
        <v>0.43</v>
      </c>
      <c r="N1258" s="177"/>
      <c r="O1258" s="177"/>
      <c r="P1258" s="180">
        <v>-688</v>
      </c>
    </row>
    <row r="1259" spans="1:16" ht="19.5" customHeight="1">
      <c r="A1259" s="172" t="s">
        <v>1035</v>
      </c>
      <c r="B1259" s="176">
        <v>46032</v>
      </c>
      <c r="C1259" s="172" t="s">
        <v>81</v>
      </c>
      <c r="D1259" s="172" t="s">
        <v>95</v>
      </c>
      <c r="E1259" s="172" t="s">
        <v>42</v>
      </c>
      <c r="F1259" s="172" t="s">
        <v>89</v>
      </c>
      <c r="G1259" s="172" t="s">
        <v>84</v>
      </c>
      <c r="H1259" s="177">
        <v>1</v>
      </c>
      <c r="I1259" s="178">
        <v>1600</v>
      </c>
      <c r="J1259" s="176">
        <v>46031</v>
      </c>
      <c r="K1259" s="172" t="s">
        <v>93</v>
      </c>
      <c r="L1259" s="172" t="s">
        <v>94</v>
      </c>
      <c r="M1259" s="179">
        <v>0.43</v>
      </c>
      <c r="N1259" s="177"/>
      <c r="O1259" s="177"/>
      <c r="P1259" s="180">
        <v>-9.42</v>
      </c>
    </row>
    <row r="1260" spans="1:16" ht="19.5" customHeight="1">
      <c r="A1260" s="172" t="s">
        <v>1023</v>
      </c>
      <c r="B1260" s="176">
        <v>46032</v>
      </c>
      <c r="C1260" s="172" t="s">
        <v>81</v>
      </c>
      <c r="D1260" s="172" t="s">
        <v>82</v>
      </c>
      <c r="E1260" s="172" t="s">
        <v>43</v>
      </c>
      <c r="F1260" s="172" t="s">
        <v>125</v>
      </c>
      <c r="G1260" s="172" t="s">
        <v>84</v>
      </c>
      <c r="H1260" s="177">
        <v>1</v>
      </c>
      <c r="I1260" s="178">
        <v>0</v>
      </c>
      <c r="J1260" s="176">
        <v>46032</v>
      </c>
      <c r="K1260" s="172" t="s">
        <v>85</v>
      </c>
      <c r="L1260" s="172" t="s">
        <v>85</v>
      </c>
      <c r="M1260" s="179">
        <v>0</v>
      </c>
      <c r="N1260" s="177"/>
      <c r="O1260" s="177"/>
      <c r="P1260" s="180">
        <v>12.05</v>
      </c>
    </row>
    <row r="1261" spans="1:16" ht="19.5" customHeight="1">
      <c r="A1261" s="172" t="s">
        <v>1033</v>
      </c>
      <c r="B1261" s="176">
        <v>46032</v>
      </c>
      <c r="C1261" s="172" t="s">
        <v>81</v>
      </c>
      <c r="D1261" s="172" t="s">
        <v>82</v>
      </c>
      <c r="E1261" s="172" t="s">
        <v>53</v>
      </c>
      <c r="F1261" s="172" t="s">
        <v>120</v>
      </c>
      <c r="G1261" s="172" t="s">
        <v>84</v>
      </c>
      <c r="H1261" s="177">
        <v>1</v>
      </c>
      <c r="I1261" s="178">
        <v>0</v>
      </c>
      <c r="J1261" s="176">
        <v>46025</v>
      </c>
      <c r="K1261" s="172" t="s">
        <v>85</v>
      </c>
      <c r="L1261" s="172" t="s">
        <v>85</v>
      </c>
      <c r="M1261" s="179">
        <v>0</v>
      </c>
      <c r="N1261" s="177"/>
      <c r="O1261" s="177"/>
      <c r="P1261" s="180">
        <v>-12.21</v>
      </c>
    </row>
    <row r="1262" spans="1:16" ht="19.5" customHeight="1">
      <c r="A1262" s="172" t="s">
        <v>1034</v>
      </c>
      <c r="B1262" s="176">
        <v>46032</v>
      </c>
      <c r="C1262" s="172" t="s">
        <v>81</v>
      </c>
      <c r="D1262" s="172" t="s">
        <v>82</v>
      </c>
      <c r="E1262" s="172" t="s">
        <v>41</v>
      </c>
      <c r="F1262" s="172" t="s">
        <v>83</v>
      </c>
      <c r="G1262" s="172" t="s">
        <v>84</v>
      </c>
      <c r="H1262" s="177">
        <v>1</v>
      </c>
      <c r="I1262" s="178">
        <v>0</v>
      </c>
      <c r="J1262" s="176">
        <v>46025</v>
      </c>
      <c r="K1262" s="172" t="s">
        <v>85</v>
      </c>
      <c r="L1262" s="172" t="s">
        <v>85</v>
      </c>
      <c r="M1262" s="179">
        <v>0</v>
      </c>
      <c r="N1262" s="177"/>
      <c r="O1262" s="177"/>
      <c r="P1262" s="180">
        <v>-3.27</v>
      </c>
    </row>
    <row r="1263" spans="1:16" ht="19.5" customHeight="1">
      <c r="A1263" s="172" t="s">
        <v>514</v>
      </c>
      <c r="B1263" s="176">
        <v>46032</v>
      </c>
      <c r="C1263" s="172" t="s">
        <v>92</v>
      </c>
      <c r="D1263" s="172" t="s">
        <v>24</v>
      </c>
      <c r="E1263" s="172" t="s">
        <v>53</v>
      </c>
      <c r="F1263" s="172" t="s">
        <v>120</v>
      </c>
      <c r="G1263" s="172" t="s">
        <v>84</v>
      </c>
      <c r="H1263" s="177">
        <v>1</v>
      </c>
      <c r="I1263" s="178">
        <v>1845</v>
      </c>
      <c r="J1263" s="176">
        <v>46031</v>
      </c>
      <c r="K1263" s="172" t="s">
        <v>93</v>
      </c>
      <c r="L1263" s="172" t="s">
        <v>94</v>
      </c>
      <c r="M1263" s="179">
        <v>0.43</v>
      </c>
      <c r="N1263" s="177"/>
      <c r="O1263" s="177">
        <v>42</v>
      </c>
      <c r="P1263" s="180">
        <v>-140.5</v>
      </c>
    </row>
    <row r="1264" spans="1:16" ht="19.5" customHeight="1">
      <c r="A1264" s="172" t="s">
        <v>514</v>
      </c>
      <c r="B1264" s="176">
        <v>46032</v>
      </c>
      <c r="C1264" s="172" t="s">
        <v>100</v>
      </c>
      <c r="D1264" s="172" t="s">
        <v>101</v>
      </c>
      <c r="E1264" s="172" t="s">
        <v>53</v>
      </c>
      <c r="F1264" s="172" t="s">
        <v>120</v>
      </c>
      <c r="G1264" s="172" t="s">
        <v>84</v>
      </c>
      <c r="H1264" s="177">
        <v>1</v>
      </c>
      <c r="I1264" s="178">
        <v>1845</v>
      </c>
      <c r="J1264" s="176">
        <v>46031</v>
      </c>
      <c r="K1264" s="172" t="s">
        <v>93</v>
      </c>
      <c r="L1264" s="172" t="s">
        <v>94</v>
      </c>
      <c r="M1264" s="179">
        <v>0</v>
      </c>
      <c r="N1264" s="177"/>
      <c r="O1264" s="177"/>
      <c r="P1264" s="180">
        <v>642.86</v>
      </c>
    </row>
    <row r="1265" spans="1:16" ht="19.5" customHeight="1">
      <c r="A1265" s="172" t="s">
        <v>514</v>
      </c>
      <c r="B1265" s="176">
        <v>46032</v>
      </c>
      <c r="C1265" s="172" t="s">
        <v>100</v>
      </c>
      <c r="D1265" s="172" t="s">
        <v>102</v>
      </c>
      <c r="E1265" s="172" t="s">
        <v>53</v>
      </c>
      <c r="F1265" s="172" t="s">
        <v>120</v>
      </c>
      <c r="G1265" s="172" t="s">
        <v>84</v>
      </c>
      <c r="H1265" s="177">
        <v>1</v>
      </c>
      <c r="I1265" s="178">
        <v>1845</v>
      </c>
      <c r="J1265" s="176">
        <v>46031</v>
      </c>
      <c r="K1265" s="172" t="s">
        <v>93</v>
      </c>
      <c r="L1265" s="172" t="s">
        <v>94</v>
      </c>
      <c r="M1265" s="179">
        <v>0</v>
      </c>
      <c r="N1265" s="177"/>
      <c r="O1265" s="177"/>
      <c r="P1265" s="180">
        <v>6.43</v>
      </c>
    </row>
    <row r="1266" spans="1:16" ht="19.5" customHeight="1">
      <c r="A1266" s="172" t="s">
        <v>514</v>
      </c>
      <c r="B1266" s="176">
        <v>46032</v>
      </c>
      <c r="C1266" s="172" t="s">
        <v>100</v>
      </c>
      <c r="D1266" s="172" t="s">
        <v>103</v>
      </c>
      <c r="E1266" s="172" t="s">
        <v>53</v>
      </c>
      <c r="F1266" s="172" t="s">
        <v>120</v>
      </c>
      <c r="G1266" s="172" t="s">
        <v>84</v>
      </c>
      <c r="H1266" s="177">
        <v>1</v>
      </c>
      <c r="I1266" s="178">
        <v>1845</v>
      </c>
      <c r="J1266" s="176">
        <v>46031</v>
      </c>
      <c r="K1266" s="172" t="s">
        <v>93</v>
      </c>
      <c r="L1266" s="172" t="s">
        <v>94</v>
      </c>
      <c r="M1266" s="179">
        <v>0</v>
      </c>
      <c r="N1266" s="177"/>
      <c r="O1266" s="177"/>
      <c r="P1266" s="180">
        <v>1195.71</v>
      </c>
    </row>
    <row r="1267" spans="1:16" ht="19.5" customHeight="1">
      <c r="A1267" s="172" t="s">
        <v>514</v>
      </c>
      <c r="B1267" s="176">
        <v>46032</v>
      </c>
      <c r="C1267" s="172" t="s">
        <v>104</v>
      </c>
      <c r="D1267" s="172" t="s">
        <v>105</v>
      </c>
      <c r="E1267" s="172" t="s">
        <v>53</v>
      </c>
      <c r="F1267" s="172" t="s">
        <v>120</v>
      </c>
      <c r="G1267" s="172" t="s">
        <v>84</v>
      </c>
      <c r="H1267" s="177">
        <v>1</v>
      </c>
      <c r="I1267" s="178">
        <v>1845</v>
      </c>
      <c r="J1267" s="176">
        <v>46031</v>
      </c>
      <c r="K1267" s="172" t="s">
        <v>93</v>
      </c>
      <c r="L1267" s="172" t="s">
        <v>94</v>
      </c>
      <c r="M1267" s="179">
        <v>0.43</v>
      </c>
      <c r="N1267" s="177"/>
      <c r="O1267" s="177"/>
      <c r="P1267" s="180">
        <v>-793.35</v>
      </c>
    </row>
    <row r="1268" spans="1:16" ht="19.5" customHeight="1">
      <c r="A1268" s="172" t="s">
        <v>514</v>
      </c>
      <c r="B1268" s="176">
        <v>46032</v>
      </c>
      <c r="C1268" s="172" t="s">
        <v>81</v>
      </c>
      <c r="D1268" s="172" t="s">
        <v>95</v>
      </c>
      <c r="E1268" s="172" t="s">
        <v>53</v>
      </c>
      <c r="F1268" s="172" t="s">
        <v>120</v>
      </c>
      <c r="G1268" s="172" t="s">
        <v>84</v>
      </c>
      <c r="H1268" s="177">
        <v>1</v>
      </c>
      <c r="I1268" s="178">
        <v>1845</v>
      </c>
      <c r="J1268" s="176">
        <v>46031</v>
      </c>
      <c r="K1268" s="172" t="s">
        <v>93</v>
      </c>
      <c r="L1268" s="172" t="s">
        <v>94</v>
      </c>
      <c r="M1268" s="179">
        <v>0.43</v>
      </c>
      <c r="N1268" s="177"/>
      <c r="O1268" s="177"/>
      <c r="P1268" s="180">
        <v>-8.69</v>
      </c>
    </row>
    <row r="1269" spans="1:16" ht="19.5" customHeight="1">
      <c r="A1269" s="172" t="s">
        <v>1036</v>
      </c>
      <c r="B1269" s="176">
        <v>46032</v>
      </c>
      <c r="C1269" s="172" t="s">
        <v>81</v>
      </c>
      <c r="D1269" s="172" t="s">
        <v>82</v>
      </c>
      <c r="E1269" s="172" t="s">
        <v>41</v>
      </c>
      <c r="F1269" s="172" t="s">
        <v>83</v>
      </c>
      <c r="G1269" s="172" t="s">
        <v>84</v>
      </c>
      <c r="H1269" s="177">
        <v>1</v>
      </c>
      <c r="I1269" s="178">
        <v>0</v>
      </c>
      <c r="J1269" s="176">
        <v>46032</v>
      </c>
      <c r="K1269" s="172" t="s">
        <v>85</v>
      </c>
      <c r="L1269" s="172" t="s">
        <v>85</v>
      </c>
      <c r="M1269" s="179">
        <v>0</v>
      </c>
      <c r="N1269" s="177"/>
      <c r="O1269" s="177"/>
      <c r="P1269" s="180">
        <v>-4.4800000000000004</v>
      </c>
    </row>
    <row r="1270" spans="1:16" ht="19.5" customHeight="1">
      <c r="A1270" s="172" t="s">
        <v>1037</v>
      </c>
      <c r="B1270" s="176">
        <v>46032</v>
      </c>
      <c r="C1270" s="172" t="s">
        <v>92</v>
      </c>
      <c r="D1270" s="172" t="s">
        <v>24</v>
      </c>
      <c r="E1270" s="172" t="s">
        <v>53</v>
      </c>
      <c r="F1270" s="172" t="s">
        <v>120</v>
      </c>
      <c r="G1270" s="172" t="s">
        <v>84</v>
      </c>
      <c r="H1270" s="177">
        <v>1</v>
      </c>
      <c r="I1270" s="178">
        <v>1621</v>
      </c>
      <c r="J1270" s="176">
        <v>46017</v>
      </c>
      <c r="K1270" s="172" t="s">
        <v>93</v>
      </c>
      <c r="L1270" s="172" t="s">
        <v>94</v>
      </c>
      <c r="M1270" s="179">
        <v>0.43</v>
      </c>
      <c r="N1270" s="177"/>
      <c r="O1270" s="177">
        <v>43</v>
      </c>
      <c r="P1270" s="180">
        <v>-138.22999999999999</v>
      </c>
    </row>
    <row r="1271" spans="1:16" ht="19.5" customHeight="1">
      <c r="A1271" s="172" t="s">
        <v>1037</v>
      </c>
      <c r="B1271" s="176">
        <v>46032</v>
      </c>
      <c r="C1271" s="172" t="s">
        <v>100</v>
      </c>
      <c r="D1271" s="172" t="s">
        <v>101</v>
      </c>
      <c r="E1271" s="172" t="s">
        <v>53</v>
      </c>
      <c r="F1271" s="172" t="s">
        <v>120</v>
      </c>
      <c r="G1271" s="172" t="s">
        <v>84</v>
      </c>
      <c r="H1271" s="177">
        <v>1</v>
      </c>
      <c r="I1271" s="178">
        <v>1621</v>
      </c>
      <c r="J1271" s="176">
        <v>46017</v>
      </c>
      <c r="K1271" s="172" t="s">
        <v>93</v>
      </c>
      <c r="L1271" s="172" t="s">
        <v>94</v>
      </c>
      <c r="M1271" s="179">
        <v>0</v>
      </c>
      <c r="N1271" s="177"/>
      <c r="O1271" s="177"/>
      <c r="P1271" s="180">
        <v>556.61</v>
      </c>
    </row>
    <row r="1272" spans="1:16" ht="19.5" customHeight="1">
      <c r="A1272" s="172" t="s">
        <v>1037</v>
      </c>
      <c r="B1272" s="176">
        <v>46032</v>
      </c>
      <c r="C1272" s="172" t="s">
        <v>100</v>
      </c>
      <c r="D1272" s="172" t="s">
        <v>102</v>
      </c>
      <c r="E1272" s="172" t="s">
        <v>53</v>
      </c>
      <c r="F1272" s="172" t="s">
        <v>120</v>
      </c>
      <c r="G1272" s="172" t="s">
        <v>84</v>
      </c>
      <c r="H1272" s="177">
        <v>1</v>
      </c>
      <c r="I1272" s="178">
        <v>1621</v>
      </c>
      <c r="J1272" s="176">
        <v>46017</v>
      </c>
      <c r="K1272" s="172" t="s">
        <v>93</v>
      </c>
      <c r="L1272" s="172" t="s">
        <v>94</v>
      </c>
      <c r="M1272" s="179">
        <v>0</v>
      </c>
      <c r="N1272" s="177"/>
      <c r="O1272" s="177"/>
      <c r="P1272" s="180">
        <v>5.57</v>
      </c>
    </row>
    <row r="1273" spans="1:16" ht="19.5" customHeight="1">
      <c r="A1273" s="172" t="s">
        <v>1037</v>
      </c>
      <c r="B1273" s="176">
        <v>46032</v>
      </c>
      <c r="C1273" s="172" t="s">
        <v>100</v>
      </c>
      <c r="D1273" s="172" t="s">
        <v>103</v>
      </c>
      <c r="E1273" s="172" t="s">
        <v>53</v>
      </c>
      <c r="F1273" s="172" t="s">
        <v>120</v>
      </c>
      <c r="G1273" s="172" t="s">
        <v>84</v>
      </c>
      <c r="H1273" s="177">
        <v>1</v>
      </c>
      <c r="I1273" s="178">
        <v>1621</v>
      </c>
      <c r="J1273" s="176">
        <v>46017</v>
      </c>
      <c r="K1273" s="172" t="s">
        <v>93</v>
      </c>
      <c r="L1273" s="172" t="s">
        <v>94</v>
      </c>
      <c r="M1273" s="179">
        <v>0</v>
      </c>
      <c r="N1273" s="177"/>
      <c r="O1273" s="177"/>
      <c r="P1273" s="180">
        <v>1058.82</v>
      </c>
    </row>
    <row r="1274" spans="1:16" ht="19.5" customHeight="1">
      <c r="A1274" s="172" t="s">
        <v>1037</v>
      </c>
      <c r="B1274" s="176">
        <v>46032</v>
      </c>
      <c r="C1274" s="172" t="s">
        <v>104</v>
      </c>
      <c r="D1274" s="172" t="s">
        <v>105</v>
      </c>
      <c r="E1274" s="172" t="s">
        <v>53</v>
      </c>
      <c r="F1274" s="172" t="s">
        <v>120</v>
      </c>
      <c r="G1274" s="172" t="s">
        <v>84</v>
      </c>
      <c r="H1274" s="177">
        <v>1</v>
      </c>
      <c r="I1274" s="178">
        <v>1621</v>
      </c>
      <c r="J1274" s="176">
        <v>46017</v>
      </c>
      <c r="K1274" s="172" t="s">
        <v>93</v>
      </c>
      <c r="L1274" s="172" t="s">
        <v>94</v>
      </c>
      <c r="M1274" s="179">
        <v>0.43</v>
      </c>
      <c r="N1274" s="177"/>
      <c r="O1274" s="177"/>
      <c r="P1274" s="180">
        <v>-697.03</v>
      </c>
    </row>
    <row r="1275" spans="1:16" ht="19.5" customHeight="1">
      <c r="A1275" s="172" t="s">
        <v>1037</v>
      </c>
      <c r="B1275" s="176">
        <v>46032</v>
      </c>
      <c r="C1275" s="172" t="s">
        <v>81</v>
      </c>
      <c r="D1275" s="172" t="s">
        <v>95</v>
      </c>
      <c r="E1275" s="172" t="s">
        <v>53</v>
      </c>
      <c r="F1275" s="172" t="s">
        <v>120</v>
      </c>
      <c r="G1275" s="172" t="s">
        <v>84</v>
      </c>
      <c r="H1275" s="177">
        <v>1</v>
      </c>
      <c r="I1275" s="178">
        <v>1621</v>
      </c>
      <c r="J1275" s="176">
        <v>46017</v>
      </c>
      <c r="K1275" s="172" t="s">
        <v>93</v>
      </c>
      <c r="L1275" s="172" t="s">
        <v>94</v>
      </c>
      <c r="M1275" s="179">
        <v>0.43</v>
      </c>
      <c r="N1275" s="177"/>
      <c r="O1275" s="177"/>
      <c r="P1275" s="180">
        <v>-12.1</v>
      </c>
    </row>
    <row r="1276" spans="1:16" ht="19.5" customHeight="1">
      <c r="A1276" s="172" t="s">
        <v>514</v>
      </c>
      <c r="B1276" s="176">
        <v>46032</v>
      </c>
      <c r="C1276" s="172" t="s">
        <v>81</v>
      </c>
      <c r="D1276" s="172" t="s">
        <v>82</v>
      </c>
      <c r="E1276" s="172" t="s">
        <v>53</v>
      </c>
      <c r="F1276" s="172" t="s">
        <v>120</v>
      </c>
      <c r="G1276" s="172" t="s">
        <v>84</v>
      </c>
      <c r="H1276" s="177">
        <v>1</v>
      </c>
      <c r="I1276" s="178">
        <v>0</v>
      </c>
      <c r="J1276" s="176">
        <v>46031</v>
      </c>
      <c r="K1276" s="172" t="s">
        <v>85</v>
      </c>
      <c r="L1276" s="172" t="s">
        <v>85</v>
      </c>
      <c r="M1276" s="179">
        <v>0</v>
      </c>
      <c r="N1276" s="177"/>
      <c r="O1276" s="177"/>
      <c r="P1276" s="180">
        <v>-12.21</v>
      </c>
    </row>
    <row r="1277" spans="1:16" ht="19.5" customHeight="1">
      <c r="A1277" s="172" t="s">
        <v>1038</v>
      </c>
      <c r="B1277" s="176">
        <v>46032</v>
      </c>
      <c r="C1277" s="172" t="s">
        <v>92</v>
      </c>
      <c r="D1277" s="172" t="s">
        <v>24</v>
      </c>
      <c r="E1277" s="172" t="s">
        <v>53</v>
      </c>
      <c r="F1277" s="172" t="s">
        <v>120</v>
      </c>
      <c r="G1277" s="172" t="s">
        <v>84</v>
      </c>
      <c r="H1277" s="177">
        <v>1</v>
      </c>
      <c r="I1277" s="178">
        <v>0</v>
      </c>
      <c r="J1277" s="176">
        <v>46026</v>
      </c>
      <c r="K1277" s="172" t="s">
        <v>93</v>
      </c>
      <c r="L1277" s="172" t="s">
        <v>94</v>
      </c>
      <c r="M1277" s="179">
        <v>0</v>
      </c>
      <c r="N1277" s="177"/>
      <c r="O1277" s="177">
        <v>46</v>
      </c>
      <c r="P1277" s="180">
        <v>-56.94</v>
      </c>
    </row>
    <row r="1278" spans="1:16" ht="19.5" customHeight="1">
      <c r="A1278" s="172" t="s">
        <v>1038</v>
      </c>
      <c r="B1278" s="176">
        <v>46032</v>
      </c>
      <c r="C1278" s="172" t="s">
        <v>81</v>
      </c>
      <c r="D1278" s="172" t="s">
        <v>95</v>
      </c>
      <c r="E1278" s="172" t="s">
        <v>53</v>
      </c>
      <c r="F1278" s="172" t="s">
        <v>120</v>
      </c>
      <c r="G1278" s="172" t="s">
        <v>84</v>
      </c>
      <c r="H1278" s="177">
        <v>1</v>
      </c>
      <c r="I1278" s="178">
        <v>0</v>
      </c>
      <c r="J1278" s="176">
        <v>46026</v>
      </c>
      <c r="K1278" s="172" t="s">
        <v>93</v>
      </c>
      <c r="L1278" s="172" t="s">
        <v>94</v>
      </c>
      <c r="M1278" s="179">
        <v>0</v>
      </c>
      <c r="N1278" s="177"/>
      <c r="O1278" s="177"/>
      <c r="P1278" s="180">
        <v>-11.15</v>
      </c>
    </row>
    <row r="1279" spans="1:16" ht="19.5" customHeight="1">
      <c r="A1279" s="172" t="s">
        <v>1038</v>
      </c>
      <c r="B1279" s="176">
        <v>46032</v>
      </c>
      <c r="C1279" s="172" t="s">
        <v>92</v>
      </c>
      <c r="D1279" s="172" t="s">
        <v>96</v>
      </c>
      <c r="E1279" s="172" t="s">
        <v>53</v>
      </c>
      <c r="F1279" s="172" t="s">
        <v>120</v>
      </c>
      <c r="G1279" s="172" t="s">
        <v>84</v>
      </c>
      <c r="H1279" s="177">
        <v>1</v>
      </c>
      <c r="I1279" s="178">
        <v>0</v>
      </c>
      <c r="J1279" s="176">
        <v>46026</v>
      </c>
      <c r="K1279" s="172" t="s">
        <v>93</v>
      </c>
      <c r="L1279" s="172" t="s">
        <v>94</v>
      </c>
      <c r="M1279" s="179">
        <v>0</v>
      </c>
      <c r="N1279" s="177"/>
      <c r="O1279" s="177"/>
      <c r="P1279" s="180">
        <v>0</v>
      </c>
    </row>
    <row r="1280" spans="1:16" ht="19.5" customHeight="1">
      <c r="A1280" s="172" t="s">
        <v>1038</v>
      </c>
      <c r="B1280" s="176">
        <v>46032</v>
      </c>
      <c r="C1280" s="172" t="s">
        <v>92</v>
      </c>
      <c r="D1280" s="172" t="s">
        <v>97</v>
      </c>
      <c r="E1280" s="172" t="s">
        <v>53</v>
      </c>
      <c r="F1280" s="172" t="s">
        <v>120</v>
      </c>
      <c r="G1280" s="172" t="s">
        <v>84</v>
      </c>
      <c r="H1280" s="177">
        <v>1</v>
      </c>
      <c r="I1280" s="178">
        <v>0</v>
      </c>
      <c r="J1280" s="176">
        <v>46026</v>
      </c>
      <c r="K1280" s="172" t="s">
        <v>93</v>
      </c>
      <c r="L1280" s="172" t="s">
        <v>94</v>
      </c>
      <c r="M1280" s="179">
        <v>0</v>
      </c>
      <c r="N1280" s="177"/>
      <c r="O1280" s="177"/>
      <c r="P1280" s="180">
        <v>-56.94</v>
      </c>
    </row>
    <row r="1281" spans="1:16" ht="19.5" customHeight="1">
      <c r="A1281" s="172" t="s">
        <v>1038</v>
      </c>
      <c r="B1281" s="176">
        <v>46032</v>
      </c>
      <c r="C1281" s="172" t="s">
        <v>81</v>
      </c>
      <c r="D1281" s="172" t="s">
        <v>98</v>
      </c>
      <c r="E1281" s="172" t="s">
        <v>53</v>
      </c>
      <c r="F1281" s="172" t="s">
        <v>120</v>
      </c>
      <c r="G1281" s="172" t="s">
        <v>84</v>
      </c>
      <c r="H1281" s="177">
        <v>1</v>
      </c>
      <c r="I1281" s="178">
        <v>0</v>
      </c>
      <c r="J1281" s="176">
        <v>46026</v>
      </c>
      <c r="K1281" s="172" t="s">
        <v>93</v>
      </c>
      <c r="L1281" s="172" t="s">
        <v>94</v>
      </c>
      <c r="M1281" s="179">
        <v>0</v>
      </c>
      <c r="N1281" s="177"/>
      <c r="O1281" s="177"/>
      <c r="P1281" s="180">
        <v>-15</v>
      </c>
    </row>
    <row r="1282" spans="1:16" ht="19.5" customHeight="1">
      <c r="A1282" s="172" t="s">
        <v>1039</v>
      </c>
      <c r="B1282" s="176">
        <v>46032</v>
      </c>
      <c r="C1282" s="172" t="s">
        <v>81</v>
      </c>
      <c r="D1282" s="172" t="s">
        <v>82</v>
      </c>
      <c r="E1282" s="172" t="s">
        <v>53</v>
      </c>
      <c r="F1282" s="172" t="s">
        <v>120</v>
      </c>
      <c r="G1282" s="172" t="s">
        <v>84</v>
      </c>
      <c r="H1282" s="177">
        <v>1</v>
      </c>
      <c r="I1282" s="178">
        <v>0</v>
      </c>
      <c r="J1282" s="176">
        <v>46032</v>
      </c>
      <c r="K1282" s="172" t="s">
        <v>85</v>
      </c>
      <c r="L1282" s="172" t="s">
        <v>85</v>
      </c>
      <c r="M1282" s="179">
        <v>0</v>
      </c>
      <c r="N1282" s="177"/>
      <c r="O1282" s="177"/>
      <c r="P1282" s="180">
        <v>-12.16</v>
      </c>
    </row>
    <row r="1283" spans="1:16" ht="19.5" customHeight="1">
      <c r="A1283" s="172" t="s">
        <v>144</v>
      </c>
      <c r="B1283" s="176">
        <v>46032</v>
      </c>
      <c r="C1283" s="172" t="s">
        <v>109</v>
      </c>
      <c r="D1283" s="172" t="s">
        <v>139</v>
      </c>
      <c r="E1283" s="172" t="s">
        <v>85</v>
      </c>
      <c r="F1283" s="172" t="s">
        <v>85</v>
      </c>
      <c r="G1283" s="172" t="s">
        <v>85</v>
      </c>
      <c r="H1283" s="177">
        <v>0</v>
      </c>
      <c r="I1283" s="178">
        <v>0</v>
      </c>
      <c r="J1283" s="176">
        <v>46032</v>
      </c>
      <c r="K1283" s="172" t="s">
        <v>85</v>
      </c>
      <c r="L1283" s="172" t="s">
        <v>85</v>
      </c>
      <c r="M1283" s="179">
        <v>0</v>
      </c>
      <c r="N1283" s="177"/>
      <c r="O1283" s="177"/>
      <c r="P1283" s="180">
        <v>-1416.88</v>
      </c>
    </row>
    <row r="1284" spans="1:16" ht="19.5" customHeight="1">
      <c r="A1284" s="172" t="s">
        <v>138</v>
      </c>
      <c r="B1284" s="176">
        <v>46032</v>
      </c>
      <c r="C1284" s="172" t="s">
        <v>109</v>
      </c>
      <c r="D1284" s="172" t="s">
        <v>139</v>
      </c>
      <c r="E1284" s="172" t="s">
        <v>85</v>
      </c>
      <c r="F1284" s="172" t="s">
        <v>85</v>
      </c>
      <c r="G1284" s="172" t="s">
        <v>85</v>
      </c>
      <c r="H1284" s="177">
        <v>0</v>
      </c>
      <c r="I1284" s="178">
        <v>0</v>
      </c>
      <c r="J1284" s="176">
        <v>46032</v>
      </c>
      <c r="K1284" s="172" t="s">
        <v>85</v>
      </c>
      <c r="L1284" s="172" t="s">
        <v>85</v>
      </c>
      <c r="M1284" s="179">
        <v>0</v>
      </c>
      <c r="N1284" s="177"/>
      <c r="O1284" s="177"/>
      <c r="P1284" s="180">
        <v>-1138.19</v>
      </c>
    </row>
    <row r="1285" spans="1:16" ht="19.5" customHeight="1">
      <c r="A1285" s="172" t="s">
        <v>140</v>
      </c>
      <c r="B1285" s="176">
        <v>46032</v>
      </c>
      <c r="C1285" s="172" t="s">
        <v>109</v>
      </c>
      <c r="D1285" s="172" t="s">
        <v>139</v>
      </c>
      <c r="E1285" s="172" t="s">
        <v>85</v>
      </c>
      <c r="F1285" s="172" t="s">
        <v>85</v>
      </c>
      <c r="G1285" s="172" t="s">
        <v>85</v>
      </c>
      <c r="H1285" s="177">
        <v>0</v>
      </c>
      <c r="I1285" s="178">
        <v>0</v>
      </c>
      <c r="J1285" s="176">
        <v>46032</v>
      </c>
      <c r="K1285" s="172" t="s">
        <v>85</v>
      </c>
      <c r="L1285" s="172" t="s">
        <v>85</v>
      </c>
      <c r="M1285" s="179">
        <v>0</v>
      </c>
      <c r="N1285" s="177"/>
      <c r="O1285" s="177"/>
      <c r="P1285" s="180">
        <v>-166.88</v>
      </c>
    </row>
    <row r="1286" spans="1:16" ht="19.5" customHeight="1">
      <c r="A1286" s="172" t="s">
        <v>142</v>
      </c>
      <c r="B1286" s="176">
        <v>46032</v>
      </c>
      <c r="C1286" s="172" t="s">
        <v>109</v>
      </c>
      <c r="D1286" s="172" t="s">
        <v>143</v>
      </c>
      <c r="E1286" s="172" t="s">
        <v>85</v>
      </c>
      <c r="F1286" s="172" t="s">
        <v>85</v>
      </c>
      <c r="G1286" s="172" t="s">
        <v>85</v>
      </c>
      <c r="H1286" s="177">
        <v>0</v>
      </c>
      <c r="I1286" s="178">
        <v>0</v>
      </c>
      <c r="J1286" s="176">
        <v>46032</v>
      </c>
      <c r="K1286" s="172" t="s">
        <v>85</v>
      </c>
      <c r="L1286" s="172" t="s">
        <v>85</v>
      </c>
      <c r="M1286" s="179">
        <v>0</v>
      </c>
      <c r="N1286" s="177"/>
      <c r="O1286" s="177"/>
      <c r="P1286" s="180">
        <v>-3100.9</v>
      </c>
    </row>
    <row r="1287" spans="1:16" ht="19.5" customHeight="1">
      <c r="A1287" s="172" t="s">
        <v>410</v>
      </c>
      <c r="B1287" s="176">
        <v>46032</v>
      </c>
      <c r="C1287" s="172" t="s">
        <v>109</v>
      </c>
      <c r="D1287" s="172" t="s">
        <v>139</v>
      </c>
      <c r="E1287" s="172" t="s">
        <v>85</v>
      </c>
      <c r="F1287" s="172" t="s">
        <v>85</v>
      </c>
      <c r="G1287" s="172" t="s">
        <v>85</v>
      </c>
      <c r="H1287" s="177">
        <v>0</v>
      </c>
      <c r="I1287" s="178">
        <v>0</v>
      </c>
      <c r="J1287" s="176">
        <v>46032</v>
      </c>
      <c r="K1287" s="172" t="s">
        <v>85</v>
      </c>
      <c r="L1287" s="172" t="s">
        <v>85</v>
      </c>
      <c r="M1287" s="179">
        <v>0</v>
      </c>
      <c r="N1287" s="177"/>
      <c r="O1287" s="177"/>
      <c r="P1287" s="180">
        <v>-1135.81</v>
      </c>
    </row>
    <row r="1288" spans="1:16" ht="19.5" customHeight="1">
      <c r="A1288" s="172" t="s">
        <v>145</v>
      </c>
      <c r="B1288" s="176">
        <v>46032</v>
      </c>
      <c r="C1288" s="172" t="s">
        <v>109</v>
      </c>
      <c r="D1288" s="172" t="s">
        <v>139</v>
      </c>
      <c r="E1288" s="172" t="s">
        <v>85</v>
      </c>
      <c r="F1288" s="172" t="s">
        <v>85</v>
      </c>
      <c r="G1288" s="172" t="s">
        <v>85</v>
      </c>
      <c r="H1288" s="177">
        <v>0</v>
      </c>
      <c r="I1288" s="178">
        <v>0</v>
      </c>
      <c r="J1288" s="176">
        <v>46032</v>
      </c>
      <c r="K1288" s="172" t="s">
        <v>85</v>
      </c>
      <c r="L1288" s="172" t="s">
        <v>85</v>
      </c>
      <c r="M1288" s="179">
        <v>0</v>
      </c>
      <c r="N1288" s="177"/>
      <c r="O1288" s="177"/>
      <c r="P1288" s="180">
        <v>-161.91999999999999</v>
      </c>
    </row>
    <row r="1289" spans="1:16" ht="19.5" customHeight="1">
      <c r="A1289" s="172" t="s">
        <v>146</v>
      </c>
      <c r="B1289" s="176">
        <v>46032</v>
      </c>
      <c r="C1289" s="172" t="s">
        <v>109</v>
      </c>
      <c r="D1289" s="172" t="s">
        <v>139</v>
      </c>
      <c r="E1289" s="172" t="s">
        <v>85</v>
      </c>
      <c r="F1289" s="172" t="s">
        <v>85</v>
      </c>
      <c r="G1289" s="172" t="s">
        <v>85</v>
      </c>
      <c r="H1289" s="177">
        <v>0</v>
      </c>
      <c r="I1289" s="178">
        <v>0</v>
      </c>
      <c r="J1289" s="176">
        <v>46032</v>
      </c>
      <c r="K1289" s="172" t="s">
        <v>85</v>
      </c>
      <c r="L1289" s="172" t="s">
        <v>85</v>
      </c>
      <c r="M1289" s="179">
        <v>0</v>
      </c>
      <c r="N1289" s="177"/>
      <c r="O1289" s="177"/>
      <c r="P1289" s="180">
        <v>-75.31</v>
      </c>
    </row>
    <row r="1290" spans="1:16" ht="19.5" customHeight="1">
      <c r="A1290" s="172" t="s">
        <v>411</v>
      </c>
      <c r="B1290" s="176">
        <v>46032</v>
      </c>
      <c r="C1290" s="172" t="s">
        <v>109</v>
      </c>
      <c r="D1290" s="172" t="s">
        <v>139</v>
      </c>
      <c r="E1290" s="172" t="s">
        <v>85</v>
      </c>
      <c r="F1290" s="172" t="s">
        <v>85</v>
      </c>
      <c r="G1290" s="172" t="s">
        <v>85</v>
      </c>
      <c r="H1290" s="177">
        <v>0</v>
      </c>
      <c r="I1290" s="178">
        <v>0</v>
      </c>
      <c r="J1290" s="176">
        <v>46032</v>
      </c>
      <c r="K1290" s="172" t="s">
        <v>85</v>
      </c>
      <c r="L1290" s="172" t="s">
        <v>85</v>
      </c>
      <c r="M1290" s="179">
        <v>0</v>
      </c>
      <c r="N1290" s="177"/>
      <c r="O1290" s="177"/>
      <c r="P1290" s="180">
        <v>-131.58000000000001</v>
      </c>
    </row>
    <row r="1291" spans="1:16" ht="19.5" customHeight="1">
      <c r="A1291" s="172" t="s">
        <v>412</v>
      </c>
      <c r="B1291" s="176">
        <v>46032</v>
      </c>
      <c r="C1291" s="172" t="s">
        <v>109</v>
      </c>
      <c r="D1291" s="172" t="s">
        <v>139</v>
      </c>
      <c r="E1291" s="172" t="s">
        <v>85</v>
      </c>
      <c r="F1291" s="172" t="s">
        <v>85</v>
      </c>
      <c r="G1291" s="172" t="s">
        <v>85</v>
      </c>
      <c r="H1291" s="177">
        <v>0</v>
      </c>
      <c r="I1291" s="178">
        <v>0</v>
      </c>
      <c r="J1291" s="176">
        <v>46032</v>
      </c>
      <c r="K1291" s="172" t="s">
        <v>85</v>
      </c>
      <c r="L1291" s="172" t="s">
        <v>85</v>
      </c>
      <c r="M1291" s="179">
        <v>0</v>
      </c>
      <c r="N1291" s="177"/>
      <c r="O1291" s="177"/>
      <c r="P1291" s="180">
        <v>-122.15</v>
      </c>
    </row>
    <row r="1292" spans="1:16" ht="19.5" customHeight="1">
      <c r="A1292" s="172" t="s">
        <v>1040</v>
      </c>
      <c r="B1292" s="176">
        <v>46033</v>
      </c>
      <c r="C1292" s="172" t="s">
        <v>92</v>
      </c>
      <c r="D1292" s="172" t="s">
        <v>24</v>
      </c>
      <c r="E1292" s="172" t="s">
        <v>53</v>
      </c>
      <c r="F1292" s="172" t="s">
        <v>120</v>
      </c>
      <c r="G1292" s="172" t="s">
        <v>84</v>
      </c>
      <c r="H1292" s="177">
        <v>1</v>
      </c>
      <c r="I1292" s="178">
        <v>1621</v>
      </c>
      <c r="J1292" s="176">
        <v>46012</v>
      </c>
      <c r="K1292" s="172" t="s">
        <v>93</v>
      </c>
      <c r="L1292" s="172" t="s">
        <v>94</v>
      </c>
      <c r="M1292" s="179">
        <v>0.43</v>
      </c>
      <c r="N1292" s="177"/>
      <c r="O1292" s="177">
        <v>43</v>
      </c>
      <c r="P1292" s="180">
        <v>-138.22999999999999</v>
      </c>
    </row>
    <row r="1293" spans="1:16" ht="19.5" customHeight="1">
      <c r="A1293" s="172" t="s">
        <v>1040</v>
      </c>
      <c r="B1293" s="176">
        <v>46033</v>
      </c>
      <c r="C1293" s="172" t="s">
        <v>100</v>
      </c>
      <c r="D1293" s="172" t="s">
        <v>101</v>
      </c>
      <c r="E1293" s="172" t="s">
        <v>53</v>
      </c>
      <c r="F1293" s="172" t="s">
        <v>120</v>
      </c>
      <c r="G1293" s="172" t="s">
        <v>84</v>
      </c>
      <c r="H1293" s="177">
        <v>1</v>
      </c>
      <c r="I1293" s="178">
        <v>1621</v>
      </c>
      <c r="J1293" s="176">
        <v>46012</v>
      </c>
      <c r="K1293" s="172" t="s">
        <v>93</v>
      </c>
      <c r="L1293" s="172" t="s">
        <v>94</v>
      </c>
      <c r="M1293" s="179">
        <v>0</v>
      </c>
      <c r="N1293" s="177"/>
      <c r="O1293" s="177"/>
      <c r="P1293" s="180">
        <v>568.03</v>
      </c>
    </row>
    <row r="1294" spans="1:16" ht="19.5" customHeight="1">
      <c r="A1294" s="172" t="s">
        <v>1040</v>
      </c>
      <c r="B1294" s="176">
        <v>46033</v>
      </c>
      <c r="C1294" s="172" t="s">
        <v>100</v>
      </c>
      <c r="D1294" s="172" t="s">
        <v>102</v>
      </c>
      <c r="E1294" s="172" t="s">
        <v>53</v>
      </c>
      <c r="F1294" s="172" t="s">
        <v>120</v>
      </c>
      <c r="G1294" s="172" t="s">
        <v>84</v>
      </c>
      <c r="H1294" s="177">
        <v>1</v>
      </c>
      <c r="I1294" s="178">
        <v>1621</v>
      </c>
      <c r="J1294" s="176">
        <v>46012</v>
      </c>
      <c r="K1294" s="172" t="s">
        <v>93</v>
      </c>
      <c r="L1294" s="172" t="s">
        <v>94</v>
      </c>
      <c r="M1294" s="179">
        <v>0</v>
      </c>
      <c r="N1294" s="177"/>
      <c r="O1294" s="177"/>
      <c r="P1294" s="180">
        <v>5.68</v>
      </c>
    </row>
    <row r="1295" spans="1:16" ht="19.5" customHeight="1">
      <c r="A1295" s="172" t="s">
        <v>1040</v>
      </c>
      <c r="B1295" s="176">
        <v>46033</v>
      </c>
      <c r="C1295" s="172" t="s">
        <v>100</v>
      </c>
      <c r="D1295" s="172" t="s">
        <v>103</v>
      </c>
      <c r="E1295" s="172" t="s">
        <v>53</v>
      </c>
      <c r="F1295" s="172" t="s">
        <v>120</v>
      </c>
      <c r="G1295" s="172" t="s">
        <v>84</v>
      </c>
      <c r="H1295" s="177">
        <v>1</v>
      </c>
      <c r="I1295" s="178">
        <v>1621</v>
      </c>
      <c r="J1295" s="176">
        <v>46012</v>
      </c>
      <c r="K1295" s="172" t="s">
        <v>93</v>
      </c>
      <c r="L1295" s="172" t="s">
        <v>94</v>
      </c>
      <c r="M1295" s="179">
        <v>0</v>
      </c>
      <c r="N1295" s="177"/>
      <c r="O1295" s="177"/>
      <c r="P1295" s="180">
        <v>1047.29</v>
      </c>
    </row>
    <row r="1296" spans="1:16" ht="19.5" customHeight="1">
      <c r="A1296" s="172" t="s">
        <v>1040</v>
      </c>
      <c r="B1296" s="176">
        <v>46033</v>
      </c>
      <c r="C1296" s="172" t="s">
        <v>104</v>
      </c>
      <c r="D1296" s="172" t="s">
        <v>105</v>
      </c>
      <c r="E1296" s="172" t="s">
        <v>53</v>
      </c>
      <c r="F1296" s="172" t="s">
        <v>120</v>
      </c>
      <c r="G1296" s="172" t="s">
        <v>84</v>
      </c>
      <c r="H1296" s="177">
        <v>1</v>
      </c>
      <c r="I1296" s="178">
        <v>1621</v>
      </c>
      <c r="J1296" s="176">
        <v>46012</v>
      </c>
      <c r="K1296" s="172" t="s">
        <v>93</v>
      </c>
      <c r="L1296" s="172" t="s">
        <v>94</v>
      </c>
      <c r="M1296" s="179">
        <v>0.43</v>
      </c>
      <c r="N1296" s="177"/>
      <c r="O1296" s="177"/>
      <c r="P1296" s="180">
        <v>-697.03</v>
      </c>
    </row>
    <row r="1297" spans="1:16" ht="19.5" customHeight="1">
      <c r="A1297" s="172" t="s">
        <v>85</v>
      </c>
      <c r="B1297" s="176">
        <v>46033</v>
      </c>
      <c r="C1297" s="172" t="s">
        <v>109</v>
      </c>
      <c r="D1297" s="172" t="s">
        <v>110</v>
      </c>
      <c r="E1297" s="172" t="s">
        <v>85</v>
      </c>
      <c r="F1297" s="172" t="s">
        <v>85</v>
      </c>
      <c r="G1297" s="172" t="s">
        <v>1041</v>
      </c>
      <c r="H1297" s="177">
        <v>0</v>
      </c>
      <c r="I1297" s="178">
        <v>0</v>
      </c>
      <c r="J1297" s="176">
        <v>46033</v>
      </c>
      <c r="K1297" s="172" t="s">
        <v>85</v>
      </c>
      <c r="L1297" s="172" t="s">
        <v>85</v>
      </c>
      <c r="M1297" s="179">
        <v>0</v>
      </c>
      <c r="N1297" s="177"/>
      <c r="O1297" s="177"/>
      <c r="P1297" s="180">
        <v>-150</v>
      </c>
    </row>
    <row r="1298" spans="1:16" ht="19.5" customHeight="1">
      <c r="A1298" s="172" t="s">
        <v>1042</v>
      </c>
      <c r="B1298" s="176">
        <v>46033</v>
      </c>
      <c r="C1298" s="172" t="s">
        <v>92</v>
      </c>
      <c r="D1298" s="172" t="s">
        <v>24</v>
      </c>
      <c r="E1298" s="172" t="s">
        <v>52</v>
      </c>
      <c r="F1298" s="172" t="s">
        <v>90</v>
      </c>
      <c r="G1298" s="172" t="s">
        <v>84</v>
      </c>
      <c r="H1298" s="177">
        <v>1</v>
      </c>
      <c r="I1298" s="178">
        <v>1621</v>
      </c>
      <c r="J1298" s="176">
        <v>46024</v>
      </c>
      <c r="K1298" s="172" t="s">
        <v>93</v>
      </c>
      <c r="L1298" s="172" t="s">
        <v>94</v>
      </c>
      <c r="M1298" s="179">
        <v>0.43</v>
      </c>
      <c r="N1298" s="177"/>
      <c r="O1298" s="177">
        <v>42</v>
      </c>
      <c r="P1298" s="180">
        <v>-134.12</v>
      </c>
    </row>
    <row r="1299" spans="1:16" ht="19.5" customHeight="1">
      <c r="A1299" s="172" t="s">
        <v>1042</v>
      </c>
      <c r="B1299" s="176">
        <v>46033</v>
      </c>
      <c r="C1299" s="172" t="s">
        <v>100</v>
      </c>
      <c r="D1299" s="172" t="s">
        <v>101</v>
      </c>
      <c r="E1299" s="172" t="s">
        <v>52</v>
      </c>
      <c r="F1299" s="172" t="s">
        <v>90</v>
      </c>
      <c r="G1299" s="172" t="s">
        <v>84</v>
      </c>
      <c r="H1299" s="177">
        <v>1</v>
      </c>
      <c r="I1299" s="178">
        <v>1621</v>
      </c>
      <c r="J1299" s="176">
        <v>46024</v>
      </c>
      <c r="K1299" s="172" t="s">
        <v>93</v>
      </c>
      <c r="L1299" s="172" t="s">
        <v>94</v>
      </c>
      <c r="M1299" s="179">
        <v>0</v>
      </c>
      <c r="N1299" s="177"/>
      <c r="O1299" s="177"/>
      <c r="P1299" s="180">
        <v>569.92999999999995</v>
      </c>
    </row>
    <row r="1300" spans="1:16" ht="19.5" customHeight="1">
      <c r="A1300" s="172" t="s">
        <v>1042</v>
      </c>
      <c r="B1300" s="176">
        <v>46033</v>
      </c>
      <c r="C1300" s="172" t="s">
        <v>100</v>
      </c>
      <c r="D1300" s="172" t="s">
        <v>102</v>
      </c>
      <c r="E1300" s="172" t="s">
        <v>52</v>
      </c>
      <c r="F1300" s="172" t="s">
        <v>90</v>
      </c>
      <c r="G1300" s="172" t="s">
        <v>84</v>
      </c>
      <c r="H1300" s="177">
        <v>1</v>
      </c>
      <c r="I1300" s="178">
        <v>1621</v>
      </c>
      <c r="J1300" s="176">
        <v>46024</v>
      </c>
      <c r="K1300" s="172" t="s">
        <v>93</v>
      </c>
      <c r="L1300" s="172" t="s">
        <v>94</v>
      </c>
      <c r="M1300" s="179">
        <v>0</v>
      </c>
      <c r="N1300" s="177"/>
      <c r="O1300" s="177"/>
      <c r="P1300" s="180">
        <v>5.7</v>
      </c>
    </row>
    <row r="1301" spans="1:16" ht="19.5" customHeight="1">
      <c r="A1301" s="172" t="s">
        <v>1042</v>
      </c>
      <c r="B1301" s="176">
        <v>46033</v>
      </c>
      <c r="C1301" s="172" t="s">
        <v>100</v>
      </c>
      <c r="D1301" s="172" t="s">
        <v>103</v>
      </c>
      <c r="E1301" s="172" t="s">
        <v>52</v>
      </c>
      <c r="F1301" s="172" t="s">
        <v>90</v>
      </c>
      <c r="G1301" s="172" t="s">
        <v>84</v>
      </c>
      <c r="H1301" s="177">
        <v>1</v>
      </c>
      <c r="I1301" s="178">
        <v>1621</v>
      </c>
      <c r="J1301" s="176">
        <v>46024</v>
      </c>
      <c r="K1301" s="172" t="s">
        <v>93</v>
      </c>
      <c r="L1301" s="172" t="s">
        <v>94</v>
      </c>
      <c r="M1301" s="179">
        <v>0</v>
      </c>
      <c r="N1301" s="177"/>
      <c r="O1301" s="177"/>
      <c r="P1301" s="180">
        <v>1045.3699999999999</v>
      </c>
    </row>
    <row r="1302" spans="1:16" ht="19.5" customHeight="1">
      <c r="A1302" s="172" t="s">
        <v>1042</v>
      </c>
      <c r="B1302" s="176">
        <v>46033</v>
      </c>
      <c r="C1302" s="172" t="s">
        <v>104</v>
      </c>
      <c r="D1302" s="172" t="s">
        <v>105</v>
      </c>
      <c r="E1302" s="172" t="s">
        <v>52</v>
      </c>
      <c r="F1302" s="172" t="s">
        <v>90</v>
      </c>
      <c r="G1302" s="172" t="s">
        <v>84</v>
      </c>
      <c r="H1302" s="177">
        <v>1</v>
      </c>
      <c r="I1302" s="178">
        <v>1621</v>
      </c>
      <c r="J1302" s="176">
        <v>46024</v>
      </c>
      <c r="K1302" s="172" t="s">
        <v>93</v>
      </c>
      <c r="L1302" s="172" t="s">
        <v>94</v>
      </c>
      <c r="M1302" s="179">
        <v>0.43</v>
      </c>
      <c r="N1302" s="177"/>
      <c r="O1302" s="177"/>
      <c r="P1302" s="180">
        <v>-697.03</v>
      </c>
    </row>
    <row r="1303" spans="1:16" ht="19.5" customHeight="1">
      <c r="A1303" s="172" t="s">
        <v>1042</v>
      </c>
      <c r="B1303" s="176">
        <v>46033</v>
      </c>
      <c r="C1303" s="172" t="s">
        <v>81</v>
      </c>
      <c r="D1303" s="172" t="s">
        <v>95</v>
      </c>
      <c r="E1303" s="172" t="s">
        <v>52</v>
      </c>
      <c r="F1303" s="172" t="s">
        <v>90</v>
      </c>
      <c r="G1303" s="172" t="s">
        <v>84</v>
      </c>
      <c r="H1303" s="177">
        <v>1</v>
      </c>
      <c r="I1303" s="178">
        <v>1621</v>
      </c>
      <c r="J1303" s="176">
        <v>46024</v>
      </c>
      <c r="K1303" s="172" t="s">
        <v>93</v>
      </c>
      <c r="L1303" s="172" t="s">
        <v>94</v>
      </c>
      <c r="M1303" s="179">
        <v>0.43</v>
      </c>
      <c r="N1303" s="177"/>
      <c r="O1303" s="177"/>
      <c r="P1303" s="180">
        <v>-9.02</v>
      </c>
    </row>
    <row r="1304" spans="1:16" ht="19.5" customHeight="1">
      <c r="A1304" s="172" t="s">
        <v>1043</v>
      </c>
      <c r="B1304" s="176">
        <v>46033</v>
      </c>
      <c r="C1304" s="172" t="s">
        <v>81</v>
      </c>
      <c r="D1304" s="172" t="s">
        <v>82</v>
      </c>
      <c r="E1304" s="172" t="s">
        <v>53</v>
      </c>
      <c r="F1304" s="172" t="s">
        <v>120</v>
      </c>
      <c r="G1304" s="172" t="s">
        <v>84</v>
      </c>
      <c r="H1304" s="177">
        <v>1</v>
      </c>
      <c r="I1304" s="178">
        <v>0</v>
      </c>
      <c r="J1304" s="176">
        <v>46033</v>
      </c>
      <c r="K1304" s="172" t="s">
        <v>85</v>
      </c>
      <c r="L1304" s="172" t="s">
        <v>85</v>
      </c>
      <c r="M1304" s="179">
        <v>0</v>
      </c>
      <c r="N1304" s="177"/>
      <c r="O1304" s="177"/>
      <c r="P1304" s="180">
        <v>-12.2</v>
      </c>
    </row>
    <row r="1305" spans="1:16" ht="19.5" customHeight="1">
      <c r="A1305" s="172" t="s">
        <v>1044</v>
      </c>
      <c r="B1305" s="176">
        <v>46033</v>
      </c>
      <c r="C1305" s="172" t="s">
        <v>92</v>
      </c>
      <c r="D1305" s="172" t="s">
        <v>24</v>
      </c>
      <c r="E1305" s="172" t="s">
        <v>42</v>
      </c>
      <c r="F1305" s="172" t="s">
        <v>89</v>
      </c>
      <c r="G1305" s="172" t="s">
        <v>84</v>
      </c>
      <c r="H1305" s="177">
        <v>1</v>
      </c>
      <c r="I1305" s="178">
        <v>0</v>
      </c>
      <c r="J1305" s="176">
        <v>46026</v>
      </c>
      <c r="K1305" s="172" t="s">
        <v>93</v>
      </c>
      <c r="L1305" s="172" t="s">
        <v>94</v>
      </c>
      <c r="M1305" s="179">
        <v>0</v>
      </c>
      <c r="N1305" s="177"/>
      <c r="O1305" s="177">
        <v>46</v>
      </c>
      <c r="P1305" s="180">
        <v>-46.77</v>
      </c>
    </row>
    <row r="1306" spans="1:16" ht="19.5" customHeight="1">
      <c r="A1306" s="172" t="s">
        <v>1044</v>
      </c>
      <c r="B1306" s="176">
        <v>46033</v>
      </c>
      <c r="C1306" s="172" t="s">
        <v>81</v>
      </c>
      <c r="D1306" s="172" t="s">
        <v>95</v>
      </c>
      <c r="E1306" s="172" t="s">
        <v>42</v>
      </c>
      <c r="F1306" s="172" t="s">
        <v>89</v>
      </c>
      <c r="G1306" s="172" t="s">
        <v>84</v>
      </c>
      <c r="H1306" s="177">
        <v>1</v>
      </c>
      <c r="I1306" s="178">
        <v>0</v>
      </c>
      <c r="J1306" s="176">
        <v>46026</v>
      </c>
      <c r="K1306" s="172" t="s">
        <v>93</v>
      </c>
      <c r="L1306" s="172" t="s">
        <v>94</v>
      </c>
      <c r="M1306" s="179">
        <v>0</v>
      </c>
      <c r="N1306" s="177"/>
      <c r="O1306" s="177"/>
      <c r="P1306" s="180">
        <v>-6.51</v>
      </c>
    </row>
    <row r="1307" spans="1:16" ht="19.5" customHeight="1">
      <c r="A1307" s="172" t="s">
        <v>1044</v>
      </c>
      <c r="B1307" s="176">
        <v>46033</v>
      </c>
      <c r="C1307" s="172" t="s">
        <v>92</v>
      </c>
      <c r="D1307" s="172" t="s">
        <v>96</v>
      </c>
      <c r="E1307" s="172" t="s">
        <v>42</v>
      </c>
      <c r="F1307" s="172" t="s">
        <v>89</v>
      </c>
      <c r="G1307" s="172" t="s">
        <v>84</v>
      </c>
      <c r="H1307" s="177">
        <v>1</v>
      </c>
      <c r="I1307" s="178">
        <v>0</v>
      </c>
      <c r="J1307" s="176">
        <v>46026</v>
      </c>
      <c r="K1307" s="172" t="s">
        <v>93</v>
      </c>
      <c r="L1307" s="172" t="s">
        <v>94</v>
      </c>
      <c r="M1307" s="179">
        <v>0</v>
      </c>
      <c r="N1307" s="177"/>
      <c r="O1307" s="177"/>
      <c r="P1307" s="180">
        <v>0</v>
      </c>
    </row>
    <row r="1308" spans="1:16" ht="19.5" customHeight="1">
      <c r="A1308" s="172" t="s">
        <v>1044</v>
      </c>
      <c r="B1308" s="176">
        <v>46033</v>
      </c>
      <c r="C1308" s="172" t="s">
        <v>92</v>
      </c>
      <c r="D1308" s="172" t="s">
        <v>97</v>
      </c>
      <c r="E1308" s="172" t="s">
        <v>42</v>
      </c>
      <c r="F1308" s="172" t="s">
        <v>89</v>
      </c>
      <c r="G1308" s="172" t="s">
        <v>84</v>
      </c>
      <c r="H1308" s="177">
        <v>1</v>
      </c>
      <c r="I1308" s="178">
        <v>0</v>
      </c>
      <c r="J1308" s="176">
        <v>46026</v>
      </c>
      <c r="K1308" s="172" t="s">
        <v>93</v>
      </c>
      <c r="L1308" s="172" t="s">
        <v>94</v>
      </c>
      <c r="M1308" s="179">
        <v>0</v>
      </c>
      <c r="N1308" s="177"/>
      <c r="O1308" s="177"/>
      <c r="P1308" s="180">
        <v>-46.77</v>
      </c>
    </row>
    <row r="1309" spans="1:16" ht="19.5" customHeight="1">
      <c r="A1309" s="172" t="s">
        <v>1044</v>
      </c>
      <c r="B1309" s="176">
        <v>46033</v>
      </c>
      <c r="C1309" s="172" t="s">
        <v>81</v>
      </c>
      <c r="D1309" s="172" t="s">
        <v>98</v>
      </c>
      <c r="E1309" s="172" t="s">
        <v>42</v>
      </c>
      <c r="F1309" s="172" t="s">
        <v>89</v>
      </c>
      <c r="G1309" s="172" t="s">
        <v>84</v>
      </c>
      <c r="H1309" s="177">
        <v>1</v>
      </c>
      <c r="I1309" s="178">
        <v>0</v>
      </c>
      <c r="J1309" s="176">
        <v>46026</v>
      </c>
      <c r="K1309" s="172" t="s">
        <v>93</v>
      </c>
      <c r="L1309" s="172" t="s">
        <v>94</v>
      </c>
      <c r="M1309" s="179">
        <v>0</v>
      </c>
      <c r="N1309" s="177"/>
      <c r="O1309" s="177"/>
      <c r="P1309" s="180">
        <v>-15</v>
      </c>
    </row>
    <row r="1310" spans="1:16" ht="19.5" customHeight="1">
      <c r="A1310" s="172" t="s">
        <v>1045</v>
      </c>
      <c r="B1310" s="176">
        <v>46033</v>
      </c>
      <c r="C1310" s="172" t="s">
        <v>92</v>
      </c>
      <c r="D1310" s="172" t="s">
        <v>24</v>
      </c>
      <c r="E1310" s="172" t="s">
        <v>53</v>
      </c>
      <c r="F1310" s="172" t="s">
        <v>120</v>
      </c>
      <c r="G1310" s="172" t="s">
        <v>84</v>
      </c>
      <c r="H1310" s="177">
        <v>1</v>
      </c>
      <c r="I1310" s="178">
        <v>1845</v>
      </c>
      <c r="J1310" s="176">
        <v>46031</v>
      </c>
      <c r="K1310" s="172" t="s">
        <v>93</v>
      </c>
      <c r="L1310" s="172" t="s">
        <v>94</v>
      </c>
      <c r="M1310" s="179">
        <v>0.43</v>
      </c>
      <c r="N1310" s="177"/>
      <c r="O1310" s="177">
        <v>42</v>
      </c>
      <c r="P1310" s="180">
        <v>-140.5</v>
      </c>
    </row>
    <row r="1311" spans="1:16" ht="19.5" customHeight="1">
      <c r="A1311" s="172" t="s">
        <v>1045</v>
      </c>
      <c r="B1311" s="176">
        <v>46033</v>
      </c>
      <c r="C1311" s="172" t="s">
        <v>100</v>
      </c>
      <c r="D1311" s="172" t="s">
        <v>101</v>
      </c>
      <c r="E1311" s="172" t="s">
        <v>53</v>
      </c>
      <c r="F1311" s="172" t="s">
        <v>120</v>
      </c>
      <c r="G1311" s="172" t="s">
        <v>84</v>
      </c>
      <c r="H1311" s="177">
        <v>1</v>
      </c>
      <c r="I1311" s="178">
        <v>1845</v>
      </c>
      <c r="J1311" s="176">
        <v>46031</v>
      </c>
      <c r="K1311" s="172" t="s">
        <v>93</v>
      </c>
      <c r="L1311" s="172" t="s">
        <v>94</v>
      </c>
      <c r="M1311" s="179">
        <v>0</v>
      </c>
      <c r="N1311" s="177"/>
      <c r="O1311" s="177"/>
      <c r="P1311" s="180">
        <v>642.86</v>
      </c>
    </row>
    <row r="1312" spans="1:16" ht="19.5" customHeight="1">
      <c r="A1312" s="172" t="s">
        <v>1045</v>
      </c>
      <c r="B1312" s="176">
        <v>46033</v>
      </c>
      <c r="C1312" s="172" t="s">
        <v>100</v>
      </c>
      <c r="D1312" s="172" t="s">
        <v>102</v>
      </c>
      <c r="E1312" s="172" t="s">
        <v>53</v>
      </c>
      <c r="F1312" s="172" t="s">
        <v>120</v>
      </c>
      <c r="G1312" s="172" t="s">
        <v>84</v>
      </c>
      <c r="H1312" s="177">
        <v>1</v>
      </c>
      <c r="I1312" s="178">
        <v>1845</v>
      </c>
      <c r="J1312" s="176">
        <v>46031</v>
      </c>
      <c r="K1312" s="172" t="s">
        <v>93</v>
      </c>
      <c r="L1312" s="172" t="s">
        <v>94</v>
      </c>
      <c r="M1312" s="179">
        <v>0</v>
      </c>
      <c r="N1312" s="177"/>
      <c r="O1312" s="177"/>
      <c r="P1312" s="180">
        <v>6.43</v>
      </c>
    </row>
    <row r="1313" spans="1:16" ht="19.5" customHeight="1">
      <c r="A1313" s="172" t="s">
        <v>1045</v>
      </c>
      <c r="B1313" s="176">
        <v>46033</v>
      </c>
      <c r="C1313" s="172" t="s">
        <v>100</v>
      </c>
      <c r="D1313" s="172" t="s">
        <v>103</v>
      </c>
      <c r="E1313" s="172" t="s">
        <v>53</v>
      </c>
      <c r="F1313" s="172" t="s">
        <v>120</v>
      </c>
      <c r="G1313" s="172" t="s">
        <v>84</v>
      </c>
      <c r="H1313" s="177">
        <v>1</v>
      </c>
      <c r="I1313" s="178">
        <v>1845</v>
      </c>
      <c r="J1313" s="176">
        <v>46031</v>
      </c>
      <c r="K1313" s="172" t="s">
        <v>93</v>
      </c>
      <c r="L1313" s="172" t="s">
        <v>94</v>
      </c>
      <c r="M1313" s="179">
        <v>0</v>
      </c>
      <c r="N1313" s="177"/>
      <c r="O1313" s="177"/>
      <c r="P1313" s="180">
        <v>1195.71</v>
      </c>
    </row>
    <row r="1314" spans="1:16" ht="19.5" customHeight="1">
      <c r="A1314" s="172" t="s">
        <v>1045</v>
      </c>
      <c r="B1314" s="176">
        <v>46033</v>
      </c>
      <c r="C1314" s="172" t="s">
        <v>104</v>
      </c>
      <c r="D1314" s="172" t="s">
        <v>105</v>
      </c>
      <c r="E1314" s="172" t="s">
        <v>53</v>
      </c>
      <c r="F1314" s="172" t="s">
        <v>120</v>
      </c>
      <c r="G1314" s="172" t="s">
        <v>84</v>
      </c>
      <c r="H1314" s="177">
        <v>1</v>
      </c>
      <c r="I1314" s="178">
        <v>1845</v>
      </c>
      <c r="J1314" s="176">
        <v>46031</v>
      </c>
      <c r="K1314" s="172" t="s">
        <v>93</v>
      </c>
      <c r="L1314" s="172" t="s">
        <v>94</v>
      </c>
      <c r="M1314" s="179">
        <v>0.43</v>
      </c>
      <c r="N1314" s="177"/>
      <c r="O1314" s="177"/>
      <c r="P1314" s="180">
        <v>-793.35</v>
      </c>
    </row>
    <row r="1315" spans="1:16" ht="19.5" customHeight="1">
      <c r="A1315" s="172" t="s">
        <v>1045</v>
      </c>
      <c r="B1315" s="176">
        <v>46033</v>
      </c>
      <c r="C1315" s="172" t="s">
        <v>81</v>
      </c>
      <c r="D1315" s="172" t="s">
        <v>95</v>
      </c>
      <c r="E1315" s="172" t="s">
        <v>53</v>
      </c>
      <c r="F1315" s="172" t="s">
        <v>120</v>
      </c>
      <c r="G1315" s="172" t="s">
        <v>84</v>
      </c>
      <c r="H1315" s="177">
        <v>1</v>
      </c>
      <c r="I1315" s="178">
        <v>1845</v>
      </c>
      <c r="J1315" s="176">
        <v>46031</v>
      </c>
      <c r="K1315" s="172" t="s">
        <v>93</v>
      </c>
      <c r="L1315" s="172" t="s">
        <v>94</v>
      </c>
      <c r="M1315" s="179">
        <v>0.43</v>
      </c>
      <c r="N1315" s="177"/>
      <c r="O1315" s="177"/>
      <c r="P1315" s="180">
        <v>-23.15</v>
      </c>
    </row>
    <row r="1316" spans="1:16" ht="19.5" customHeight="1">
      <c r="A1316" s="172" t="s">
        <v>1046</v>
      </c>
      <c r="B1316" s="176">
        <v>46033</v>
      </c>
      <c r="C1316" s="172" t="s">
        <v>92</v>
      </c>
      <c r="D1316" s="172" t="s">
        <v>24</v>
      </c>
      <c r="E1316" s="172" t="s">
        <v>52</v>
      </c>
      <c r="F1316" s="172" t="s">
        <v>90</v>
      </c>
      <c r="G1316" s="172" t="s">
        <v>84</v>
      </c>
      <c r="H1316" s="177">
        <v>1</v>
      </c>
      <c r="I1316" s="178">
        <v>1621</v>
      </c>
      <c r="J1316" s="176">
        <v>46030</v>
      </c>
      <c r="K1316" s="172" t="s">
        <v>93</v>
      </c>
      <c r="L1316" s="172" t="s">
        <v>94</v>
      </c>
      <c r="M1316" s="179">
        <v>0.43</v>
      </c>
      <c r="N1316" s="177"/>
      <c r="O1316" s="177">
        <v>42</v>
      </c>
      <c r="P1316" s="180">
        <v>-134.12</v>
      </c>
    </row>
    <row r="1317" spans="1:16" ht="19.5" customHeight="1">
      <c r="A1317" s="172" t="s">
        <v>1046</v>
      </c>
      <c r="B1317" s="176">
        <v>46033</v>
      </c>
      <c r="C1317" s="172" t="s">
        <v>100</v>
      </c>
      <c r="D1317" s="172" t="s">
        <v>101</v>
      </c>
      <c r="E1317" s="172" t="s">
        <v>52</v>
      </c>
      <c r="F1317" s="172" t="s">
        <v>90</v>
      </c>
      <c r="G1317" s="172" t="s">
        <v>84</v>
      </c>
      <c r="H1317" s="177">
        <v>1</v>
      </c>
      <c r="I1317" s="178">
        <v>1621</v>
      </c>
      <c r="J1317" s="176">
        <v>46030</v>
      </c>
      <c r="K1317" s="172" t="s">
        <v>93</v>
      </c>
      <c r="L1317" s="172" t="s">
        <v>94</v>
      </c>
      <c r="M1317" s="179">
        <v>0</v>
      </c>
      <c r="N1317" s="177"/>
      <c r="O1317" s="177"/>
      <c r="P1317" s="180">
        <v>557.14</v>
      </c>
    </row>
    <row r="1318" spans="1:16" ht="19.5" customHeight="1">
      <c r="A1318" s="172" t="s">
        <v>1046</v>
      </c>
      <c r="B1318" s="176">
        <v>46033</v>
      </c>
      <c r="C1318" s="172" t="s">
        <v>100</v>
      </c>
      <c r="D1318" s="172" t="s">
        <v>102</v>
      </c>
      <c r="E1318" s="172" t="s">
        <v>52</v>
      </c>
      <c r="F1318" s="172" t="s">
        <v>90</v>
      </c>
      <c r="G1318" s="172" t="s">
        <v>84</v>
      </c>
      <c r="H1318" s="177">
        <v>1</v>
      </c>
      <c r="I1318" s="178">
        <v>1621</v>
      </c>
      <c r="J1318" s="176">
        <v>46030</v>
      </c>
      <c r="K1318" s="172" t="s">
        <v>93</v>
      </c>
      <c r="L1318" s="172" t="s">
        <v>94</v>
      </c>
      <c r="M1318" s="179">
        <v>0</v>
      </c>
      <c r="N1318" s="177"/>
      <c r="O1318" s="177"/>
      <c r="P1318" s="180">
        <v>5.57</v>
      </c>
    </row>
    <row r="1319" spans="1:16" ht="19.5" customHeight="1">
      <c r="A1319" s="172" t="s">
        <v>1046</v>
      </c>
      <c r="B1319" s="176">
        <v>46033</v>
      </c>
      <c r="C1319" s="172" t="s">
        <v>100</v>
      </c>
      <c r="D1319" s="172" t="s">
        <v>103</v>
      </c>
      <c r="E1319" s="172" t="s">
        <v>52</v>
      </c>
      <c r="F1319" s="172" t="s">
        <v>90</v>
      </c>
      <c r="G1319" s="172" t="s">
        <v>84</v>
      </c>
      <c r="H1319" s="177">
        <v>1</v>
      </c>
      <c r="I1319" s="178">
        <v>1621</v>
      </c>
      <c r="J1319" s="176">
        <v>46030</v>
      </c>
      <c r="K1319" s="172" t="s">
        <v>93</v>
      </c>
      <c r="L1319" s="172" t="s">
        <v>94</v>
      </c>
      <c r="M1319" s="179">
        <v>0</v>
      </c>
      <c r="N1319" s="177"/>
      <c r="O1319" s="177"/>
      <c r="P1319" s="180">
        <v>1058.29</v>
      </c>
    </row>
    <row r="1320" spans="1:16" ht="19.5" customHeight="1">
      <c r="A1320" s="172" t="s">
        <v>1046</v>
      </c>
      <c r="B1320" s="176">
        <v>46033</v>
      </c>
      <c r="C1320" s="172" t="s">
        <v>104</v>
      </c>
      <c r="D1320" s="172" t="s">
        <v>105</v>
      </c>
      <c r="E1320" s="172" t="s">
        <v>52</v>
      </c>
      <c r="F1320" s="172" t="s">
        <v>90</v>
      </c>
      <c r="G1320" s="172" t="s">
        <v>84</v>
      </c>
      <c r="H1320" s="177">
        <v>1</v>
      </c>
      <c r="I1320" s="178">
        <v>1621</v>
      </c>
      <c r="J1320" s="176">
        <v>46030</v>
      </c>
      <c r="K1320" s="172" t="s">
        <v>93</v>
      </c>
      <c r="L1320" s="172" t="s">
        <v>94</v>
      </c>
      <c r="M1320" s="179">
        <v>0.43</v>
      </c>
      <c r="N1320" s="177"/>
      <c r="O1320" s="177"/>
      <c r="P1320" s="180">
        <v>-697.03</v>
      </c>
    </row>
    <row r="1321" spans="1:16" ht="19.5" customHeight="1">
      <c r="A1321" s="172" t="s">
        <v>1046</v>
      </c>
      <c r="B1321" s="176">
        <v>46033</v>
      </c>
      <c r="C1321" s="172" t="s">
        <v>81</v>
      </c>
      <c r="D1321" s="172" t="s">
        <v>95</v>
      </c>
      <c r="E1321" s="172" t="s">
        <v>52</v>
      </c>
      <c r="F1321" s="172" t="s">
        <v>90</v>
      </c>
      <c r="G1321" s="172" t="s">
        <v>84</v>
      </c>
      <c r="H1321" s="177">
        <v>1</v>
      </c>
      <c r="I1321" s="178">
        <v>1621</v>
      </c>
      <c r="J1321" s="176">
        <v>46030</v>
      </c>
      <c r="K1321" s="172" t="s">
        <v>93</v>
      </c>
      <c r="L1321" s="172" t="s">
        <v>94</v>
      </c>
      <c r="M1321" s="179">
        <v>0.43</v>
      </c>
      <c r="N1321" s="177"/>
      <c r="O1321" s="177"/>
      <c r="P1321" s="180">
        <v>-10.67</v>
      </c>
    </row>
    <row r="1322" spans="1:16" ht="19.5" customHeight="1">
      <c r="A1322" s="172" t="s">
        <v>1047</v>
      </c>
      <c r="B1322" s="176">
        <v>46033</v>
      </c>
      <c r="C1322" s="172" t="s">
        <v>92</v>
      </c>
      <c r="D1322" s="172" t="s">
        <v>24</v>
      </c>
      <c r="E1322" s="172" t="s">
        <v>53</v>
      </c>
      <c r="F1322" s="172" t="s">
        <v>120</v>
      </c>
      <c r="G1322" s="172" t="s">
        <v>84</v>
      </c>
      <c r="H1322" s="177">
        <v>1</v>
      </c>
      <c r="I1322" s="178">
        <v>0</v>
      </c>
      <c r="J1322" s="176">
        <v>46023</v>
      </c>
      <c r="K1322" s="172" t="s">
        <v>93</v>
      </c>
      <c r="L1322" s="172" t="s">
        <v>94</v>
      </c>
      <c r="M1322" s="179">
        <v>0</v>
      </c>
      <c r="N1322" s="177"/>
      <c r="O1322" s="177">
        <v>43</v>
      </c>
      <c r="P1322" s="180">
        <v>-56</v>
      </c>
    </row>
    <row r="1323" spans="1:16" ht="19.5" customHeight="1">
      <c r="A1323" s="172" t="s">
        <v>1048</v>
      </c>
      <c r="B1323" s="176">
        <v>46033</v>
      </c>
      <c r="C1323" s="172" t="s">
        <v>92</v>
      </c>
      <c r="D1323" s="172" t="s">
        <v>24</v>
      </c>
      <c r="E1323" s="172" t="s">
        <v>42</v>
      </c>
      <c r="F1323" s="172" t="s">
        <v>89</v>
      </c>
      <c r="G1323" s="172" t="s">
        <v>84</v>
      </c>
      <c r="H1323" s="177">
        <v>1</v>
      </c>
      <c r="I1323" s="178">
        <v>1600</v>
      </c>
      <c r="J1323" s="176">
        <v>46031</v>
      </c>
      <c r="K1323" s="172" t="s">
        <v>93</v>
      </c>
      <c r="L1323" s="172" t="s">
        <v>94</v>
      </c>
      <c r="M1323" s="179">
        <v>0.43</v>
      </c>
      <c r="N1323" s="177"/>
      <c r="O1323" s="177">
        <v>42</v>
      </c>
      <c r="P1323" s="180">
        <v>-119.03</v>
      </c>
    </row>
    <row r="1324" spans="1:16" ht="19.5" customHeight="1">
      <c r="A1324" s="172" t="s">
        <v>1048</v>
      </c>
      <c r="B1324" s="176">
        <v>46033</v>
      </c>
      <c r="C1324" s="172" t="s">
        <v>100</v>
      </c>
      <c r="D1324" s="172" t="s">
        <v>101</v>
      </c>
      <c r="E1324" s="172" t="s">
        <v>42</v>
      </c>
      <c r="F1324" s="172" t="s">
        <v>89</v>
      </c>
      <c r="G1324" s="172" t="s">
        <v>84</v>
      </c>
      <c r="H1324" s="177">
        <v>1</v>
      </c>
      <c r="I1324" s="178">
        <v>1600</v>
      </c>
      <c r="J1324" s="176">
        <v>46031</v>
      </c>
      <c r="K1324" s="172" t="s">
        <v>93</v>
      </c>
      <c r="L1324" s="172" t="s">
        <v>94</v>
      </c>
      <c r="M1324" s="179">
        <v>0</v>
      </c>
      <c r="N1324" s="177"/>
      <c r="O1324" s="177"/>
      <c r="P1324" s="180">
        <v>560.95000000000005</v>
      </c>
    </row>
    <row r="1325" spans="1:16" ht="19.5" customHeight="1">
      <c r="A1325" s="172" t="s">
        <v>1048</v>
      </c>
      <c r="B1325" s="176">
        <v>46033</v>
      </c>
      <c r="C1325" s="172" t="s">
        <v>100</v>
      </c>
      <c r="D1325" s="172" t="s">
        <v>102</v>
      </c>
      <c r="E1325" s="172" t="s">
        <v>42</v>
      </c>
      <c r="F1325" s="172" t="s">
        <v>89</v>
      </c>
      <c r="G1325" s="172" t="s">
        <v>84</v>
      </c>
      <c r="H1325" s="177">
        <v>1</v>
      </c>
      <c r="I1325" s="178">
        <v>1600</v>
      </c>
      <c r="J1325" s="176">
        <v>46031</v>
      </c>
      <c r="K1325" s="172" t="s">
        <v>93</v>
      </c>
      <c r="L1325" s="172" t="s">
        <v>94</v>
      </c>
      <c r="M1325" s="179">
        <v>0</v>
      </c>
      <c r="N1325" s="177"/>
      <c r="O1325" s="177"/>
      <c r="P1325" s="180">
        <v>5.61</v>
      </c>
    </row>
    <row r="1326" spans="1:16" ht="19.5" customHeight="1">
      <c r="A1326" s="172" t="s">
        <v>1048</v>
      </c>
      <c r="B1326" s="176">
        <v>46033</v>
      </c>
      <c r="C1326" s="172" t="s">
        <v>100</v>
      </c>
      <c r="D1326" s="172" t="s">
        <v>103</v>
      </c>
      <c r="E1326" s="172" t="s">
        <v>42</v>
      </c>
      <c r="F1326" s="172" t="s">
        <v>89</v>
      </c>
      <c r="G1326" s="172" t="s">
        <v>84</v>
      </c>
      <c r="H1326" s="177">
        <v>1</v>
      </c>
      <c r="I1326" s="178">
        <v>1600</v>
      </c>
      <c r="J1326" s="176">
        <v>46031</v>
      </c>
      <c r="K1326" s="172" t="s">
        <v>93</v>
      </c>
      <c r="L1326" s="172" t="s">
        <v>94</v>
      </c>
      <c r="M1326" s="179">
        <v>0</v>
      </c>
      <c r="N1326" s="177"/>
      <c r="O1326" s="177"/>
      <c r="P1326" s="180">
        <v>1033.44</v>
      </c>
    </row>
    <row r="1327" spans="1:16" ht="19.5" customHeight="1">
      <c r="A1327" s="172" t="s">
        <v>1048</v>
      </c>
      <c r="B1327" s="176">
        <v>46033</v>
      </c>
      <c r="C1327" s="172" t="s">
        <v>104</v>
      </c>
      <c r="D1327" s="172" t="s">
        <v>105</v>
      </c>
      <c r="E1327" s="172" t="s">
        <v>42</v>
      </c>
      <c r="F1327" s="172" t="s">
        <v>89</v>
      </c>
      <c r="G1327" s="172" t="s">
        <v>84</v>
      </c>
      <c r="H1327" s="177">
        <v>1</v>
      </c>
      <c r="I1327" s="178">
        <v>1600</v>
      </c>
      <c r="J1327" s="176">
        <v>46031</v>
      </c>
      <c r="K1327" s="172" t="s">
        <v>93</v>
      </c>
      <c r="L1327" s="172" t="s">
        <v>94</v>
      </c>
      <c r="M1327" s="179">
        <v>0.43</v>
      </c>
      <c r="N1327" s="177"/>
      <c r="O1327" s="177"/>
      <c r="P1327" s="180">
        <v>-688</v>
      </c>
    </row>
    <row r="1328" spans="1:16" ht="19.5" customHeight="1">
      <c r="A1328" s="172" t="s">
        <v>1048</v>
      </c>
      <c r="B1328" s="176">
        <v>46033</v>
      </c>
      <c r="C1328" s="172" t="s">
        <v>81</v>
      </c>
      <c r="D1328" s="172" t="s">
        <v>95</v>
      </c>
      <c r="E1328" s="172" t="s">
        <v>42</v>
      </c>
      <c r="F1328" s="172" t="s">
        <v>89</v>
      </c>
      <c r="G1328" s="172" t="s">
        <v>84</v>
      </c>
      <c r="H1328" s="177">
        <v>1</v>
      </c>
      <c r="I1328" s="178">
        <v>1600</v>
      </c>
      <c r="J1328" s="176">
        <v>46031</v>
      </c>
      <c r="K1328" s="172" t="s">
        <v>93</v>
      </c>
      <c r="L1328" s="172" t="s">
        <v>94</v>
      </c>
      <c r="M1328" s="179">
        <v>0.43</v>
      </c>
      <c r="N1328" s="177"/>
      <c r="O1328" s="177"/>
      <c r="P1328" s="180">
        <v>-8.3800000000000008</v>
      </c>
    </row>
    <row r="1329" spans="1:16" ht="19.5" customHeight="1">
      <c r="A1329" s="172" t="s">
        <v>1047</v>
      </c>
      <c r="B1329" s="176">
        <v>46033</v>
      </c>
      <c r="C1329" s="172" t="s">
        <v>92</v>
      </c>
      <c r="D1329" s="172" t="s">
        <v>96</v>
      </c>
      <c r="E1329" s="172" t="s">
        <v>53</v>
      </c>
      <c r="F1329" s="172" t="s">
        <v>120</v>
      </c>
      <c r="G1329" s="172" t="s">
        <v>84</v>
      </c>
      <c r="H1329" s="177">
        <v>1</v>
      </c>
      <c r="I1329" s="178">
        <v>0</v>
      </c>
      <c r="J1329" s="176">
        <v>46023</v>
      </c>
      <c r="K1329" s="172" t="s">
        <v>93</v>
      </c>
      <c r="L1329" s="172" t="s">
        <v>94</v>
      </c>
      <c r="M1329" s="179">
        <v>0</v>
      </c>
      <c r="N1329" s="177"/>
      <c r="O1329" s="177"/>
      <c r="P1329" s="180">
        <v>0</v>
      </c>
    </row>
    <row r="1330" spans="1:16" ht="19.5" customHeight="1">
      <c r="A1330" s="172" t="s">
        <v>1047</v>
      </c>
      <c r="B1330" s="176">
        <v>46033</v>
      </c>
      <c r="C1330" s="172" t="s">
        <v>92</v>
      </c>
      <c r="D1330" s="172" t="s">
        <v>97</v>
      </c>
      <c r="E1330" s="172" t="s">
        <v>53</v>
      </c>
      <c r="F1330" s="172" t="s">
        <v>120</v>
      </c>
      <c r="G1330" s="172" t="s">
        <v>84</v>
      </c>
      <c r="H1330" s="177">
        <v>1</v>
      </c>
      <c r="I1330" s="178">
        <v>0</v>
      </c>
      <c r="J1330" s="176">
        <v>46023</v>
      </c>
      <c r="K1330" s="172" t="s">
        <v>93</v>
      </c>
      <c r="L1330" s="172" t="s">
        <v>94</v>
      </c>
      <c r="M1330" s="179">
        <v>0</v>
      </c>
      <c r="N1330" s="177"/>
      <c r="O1330" s="177"/>
      <c r="P1330" s="180">
        <v>-56</v>
      </c>
    </row>
    <row r="1331" spans="1:16" ht="19.5" customHeight="1">
      <c r="A1331" s="172" t="s">
        <v>1047</v>
      </c>
      <c r="B1331" s="176">
        <v>46033</v>
      </c>
      <c r="C1331" s="172" t="s">
        <v>81</v>
      </c>
      <c r="D1331" s="172" t="s">
        <v>98</v>
      </c>
      <c r="E1331" s="172" t="s">
        <v>53</v>
      </c>
      <c r="F1331" s="172" t="s">
        <v>120</v>
      </c>
      <c r="G1331" s="172" t="s">
        <v>84</v>
      </c>
      <c r="H1331" s="177">
        <v>1</v>
      </c>
      <c r="I1331" s="178">
        <v>0</v>
      </c>
      <c r="J1331" s="176">
        <v>46023</v>
      </c>
      <c r="K1331" s="172" t="s">
        <v>93</v>
      </c>
      <c r="L1331" s="172" t="s">
        <v>94</v>
      </c>
      <c r="M1331" s="179">
        <v>0</v>
      </c>
      <c r="N1331" s="177"/>
      <c r="O1331" s="177"/>
      <c r="P1331" s="180">
        <v>-15</v>
      </c>
    </row>
    <row r="1332" spans="1:16" ht="19.5" customHeight="1">
      <c r="A1332" s="172" t="s">
        <v>1046</v>
      </c>
      <c r="B1332" s="176">
        <v>46033</v>
      </c>
      <c r="C1332" s="172" t="s">
        <v>81</v>
      </c>
      <c r="D1332" s="172" t="s">
        <v>82</v>
      </c>
      <c r="E1332" s="172" t="s">
        <v>52</v>
      </c>
      <c r="F1332" s="172" t="s">
        <v>90</v>
      </c>
      <c r="G1332" s="172" t="s">
        <v>84</v>
      </c>
      <c r="H1332" s="177">
        <v>1</v>
      </c>
      <c r="I1332" s="178">
        <v>0</v>
      </c>
      <c r="J1332" s="176">
        <v>46030</v>
      </c>
      <c r="K1332" s="172" t="s">
        <v>85</v>
      </c>
      <c r="L1332" s="172" t="s">
        <v>85</v>
      </c>
      <c r="M1332" s="179">
        <v>0</v>
      </c>
      <c r="N1332" s="177"/>
      <c r="O1332" s="177"/>
      <c r="P1332" s="180">
        <v>-10.59</v>
      </c>
    </row>
    <row r="1333" spans="1:16" ht="19.5" customHeight="1">
      <c r="A1333" s="172" t="s">
        <v>1049</v>
      </c>
      <c r="B1333" s="176">
        <v>46033</v>
      </c>
      <c r="C1333" s="172" t="s">
        <v>92</v>
      </c>
      <c r="D1333" s="172" t="s">
        <v>24</v>
      </c>
      <c r="E1333" s="172" t="s">
        <v>53</v>
      </c>
      <c r="F1333" s="172" t="s">
        <v>120</v>
      </c>
      <c r="G1333" s="172" t="s">
        <v>84</v>
      </c>
      <c r="H1333" s="177">
        <v>1</v>
      </c>
      <c r="I1333" s="178">
        <v>1845</v>
      </c>
      <c r="J1333" s="176">
        <v>46027</v>
      </c>
      <c r="K1333" s="172" t="s">
        <v>93</v>
      </c>
      <c r="L1333" s="172" t="s">
        <v>94</v>
      </c>
      <c r="M1333" s="179">
        <v>0.43</v>
      </c>
      <c r="N1333" s="177"/>
      <c r="O1333" s="177">
        <v>45</v>
      </c>
      <c r="P1333" s="180">
        <v>-153.85</v>
      </c>
    </row>
    <row r="1334" spans="1:16" ht="19.5" customHeight="1">
      <c r="A1334" s="172" t="s">
        <v>1049</v>
      </c>
      <c r="B1334" s="176">
        <v>46033</v>
      </c>
      <c r="C1334" s="172" t="s">
        <v>100</v>
      </c>
      <c r="D1334" s="172" t="s">
        <v>101</v>
      </c>
      <c r="E1334" s="172" t="s">
        <v>53</v>
      </c>
      <c r="F1334" s="172" t="s">
        <v>120</v>
      </c>
      <c r="G1334" s="172" t="s">
        <v>84</v>
      </c>
      <c r="H1334" s="177">
        <v>1</v>
      </c>
      <c r="I1334" s="178">
        <v>1845</v>
      </c>
      <c r="J1334" s="176">
        <v>46027</v>
      </c>
      <c r="K1334" s="172" t="s">
        <v>93</v>
      </c>
      <c r="L1334" s="172" t="s">
        <v>94</v>
      </c>
      <c r="M1334" s="179">
        <v>0</v>
      </c>
      <c r="N1334" s="177"/>
      <c r="O1334" s="177"/>
      <c r="P1334" s="180">
        <v>642.25</v>
      </c>
    </row>
    <row r="1335" spans="1:16" ht="19.5" customHeight="1">
      <c r="A1335" s="172" t="s">
        <v>1049</v>
      </c>
      <c r="B1335" s="176">
        <v>46033</v>
      </c>
      <c r="C1335" s="172" t="s">
        <v>100</v>
      </c>
      <c r="D1335" s="172" t="s">
        <v>102</v>
      </c>
      <c r="E1335" s="172" t="s">
        <v>53</v>
      </c>
      <c r="F1335" s="172" t="s">
        <v>120</v>
      </c>
      <c r="G1335" s="172" t="s">
        <v>84</v>
      </c>
      <c r="H1335" s="177">
        <v>1</v>
      </c>
      <c r="I1335" s="178">
        <v>1845</v>
      </c>
      <c r="J1335" s="176">
        <v>46027</v>
      </c>
      <c r="K1335" s="172" t="s">
        <v>93</v>
      </c>
      <c r="L1335" s="172" t="s">
        <v>94</v>
      </c>
      <c r="M1335" s="179">
        <v>0</v>
      </c>
      <c r="N1335" s="177"/>
      <c r="O1335" s="177"/>
      <c r="P1335" s="180">
        <v>6.42</v>
      </c>
    </row>
    <row r="1336" spans="1:16" ht="19.5" customHeight="1">
      <c r="A1336" s="172" t="s">
        <v>1049</v>
      </c>
      <c r="B1336" s="176">
        <v>46033</v>
      </c>
      <c r="C1336" s="172" t="s">
        <v>100</v>
      </c>
      <c r="D1336" s="172" t="s">
        <v>103</v>
      </c>
      <c r="E1336" s="172" t="s">
        <v>53</v>
      </c>
      <c r="F1336" s="172" t="s">
        <v>120</v>
      </c>
      <c r="G1336" s="172" t="s">
        <v>84</v>
      </c>
      <c r="H1336" s="177">
        <v>1</v>
      </c>
      <c r="I1336" s="178">
        <v>1845</v>
      </c>
      <c r="J1336" s="176">
        <v>46027</v>
      </c>
      <c r="K1336" s="172" t="s">
        <v>93</v>
      </c>
      <c r="L1336" s="172" t="s">
        <v>94</v>
      </c>
      <c r="M1336" s="179">
        <v>0</v>
      </c>
      <c r="N1336" s="177"/>
      <c r="O1336" s="177"/>
      <c r="P1336" s="180">
        <v>1196.33</v>
      </c>
    </row>
    <row r="1337" spans="1:16" ht="19.5" customHeight="1">
      <c r="A1337" s="172" t="s">
        <v>1049</v>
      </c>
      <c r="B1337" s="176">
        <v>46033</v>
      </c>
      <c r="C1337" s="172" t="s">
        <v>104</v>
      </c>
      <c r="D1337" s="172" t="s">
        <v>105</v>
      </c>
      <c r="E1337" s="172" t="s">
        <v>53</v>
      </c>
      <c r="F1337" s="172" t="s">
        <v>120</v>
      </c>
      <c r="G1337" s="172" t="s">
        <v>84</v>
      </c>
      <c r="H1337" s="177">
        <v>1</v>
      </c>
      <c r="I1337" s="178">
        <v>1845</v>
      </c>
      <c r="J1337" s="176">
        <v>46027</v>
      </c>
      <c r="K1337" s="172" t="s">
        <v>93</v>
      </c>
      <c r="L1337" s="172" t="s">
        <v>94</v>
      </c>
      <c r="M1337" s="179">
        <v>0.43</v>
      </c>
      <c r="N1337" s="177"/>
      <c r="O1337" s="177"/>
      <c r="P1337" s="180">
        <v>-793.35</v>
      </c>
    </row>
    <row r="1338" spans="1:16" ht="19.5" customHeight="1">
      <c r="A1338" s="172" t="s">
        <v>1049</v>
      </c>
      <c r="B1338" s="176">
        <v>46033</v>
      </c>
      <c r="C1338" s="172" t="s">
        <v>81</v>
      </c>
      <c r="D1338" s="172" t="s">
        <v>95</v>
      </c>
      <c r="E1338" s="172" t="s">
        <v>53</v>
      </c>
      <c r="F1338" s="172" t="s">
        <v>120</v>
      </c>
      <c r="G1338" s="172" t="s">
        <v>84</v>
      </c>
      <c r="H1338" s="177">
        <v>1</v>
      </c>
      <c r="I1338" s="178">
        <v>1845</v>
      </c>
      <c r="J1338" s="176">
        <v>46027</v>
      </c>
      <c r="K1338" s="172" t="s">
        <v>93</v>
      </c>
      <c r="L1338" s="172" t="s">
        <v>94</v>
      </c>
      <c r="M1338" s="179">
        <v>0.43</v>
      </c>
      <c r="N1338" s="177"/>
      <c r="O1338" s="177"/>
      <c r="P1338" s="180">
        <v>-9.39</v>
      </c>
    </row>
    <row r="1339" spans="1:16" ht="19.5" customHeight="1">
      <c r="A1339" s="172" t="s">
        <v>1050</v>
      </c>
      <c r="B1339" s="176">
        <v>46033</v>
      </c>
      <c r="C1339" s="172" t="s">
        <v>92</v>
      </c>
      <c r="D1339" s="172" t="s">
        <v>24</v>
      </c>
      <c r="E1339" s="172" t="s">
        <v>52</v>
      </c>
      <c r="F1339" s="172" t="s">
        <v>90</v>
      </c>
      <c r="G1339" s="172" t="s">
        <v>84</v>
      </c>
      <c r="H1339" s="177">
        <v>1</v>
      </c>
      <c r="I1339" s="178">
        <v>1621</v>
      </c>
      <c r="J1339" s="176">
        <v>46031</v>
      </c>
      <c r="K1339" s="172" t="s">
        <v>93</v>
      </c>
      <c r="L1339" s="172" t="s">
        <v>94</v>
      </c>
      <c r="M1339" s="179">
        <v>0.43</v>
      </c>
      <c r="N1339" s="177"/>
      <c r="O1339" s="177">
        <v>42</v>
      </c>
      <c r="P1339" s="180">
        <v>-135.6</v>
      </c>
    </row>
    <row r="1340" spans="1:16" ht="19.5" customHeight="1">
      <c r="A1340" s="172" t="s">
        <v>1050</v>
      </c>
      <c r="B1340" s="176">
        <v>46033</v>
      </c>
      <c r="C1340" s="172" t="s">
        <v>100</v>
      </c>
      <c r="D1340" s="172" t="s">
        <v>101</v>
      </c>
      <c r="E1340" s="172" t="s">
        <v>52</v>
      </c>
      <c r="F1340" s="172" t="s">
        <v>90</v>
      </c>
      <c r="G1340" s="172" t="s">
        <v>84</v>
      </c>
      <c r="H1340" s="177">
        <v>1</v>
      </c>
      <c r="I1340" s="178">
        <v>1621</v>
      </c>
      <c r="J1340" s="176">
        <v>46031</v>
      </c>
      <c r="K1340" s="172" t="s">
        <v>93</v>
      </c>
      <c r="L1340" s="172" t="s">
        <v>94</v>
      </c>
      <c r="M1340" s="179">
        <v>0</v>
      </c>
      <c r="N1340" s="177"/>
      <c r="O1340" s="177"/>
      <c r="P1340" s="180">
        <v>557.14</v>
      </c>
    </row>
    <row r="1341" spans="1:16" ht="19.5" customHeight="1">
      <c r="A1341" s="172" t="s">
        <v>1050</v>
      </c>
      <c r="B1341" s="176">
        <v>46033</v>
      </c>
      <c r="C1341" s="172" t="s">
        <v>100</v>
      </c>
      <c r="D1341" s="172" t="s">
        <v>102</v>
      </c>
      <c r="E1341" s="172" t="s">
        <v>52</v>
      </c>
      <c r="F1341" s="172" t="s">
        <v>90</v>
      </c>
      <c r="G1341" s="172" t="s">
        <v>84</v>
      </c>
      <c r="H1341" s="177">
        <v>1</v>
      </c>
      <c r="I1341" s="178">
        <v>1621</v>
      </c>
      <c r="J1341" s="176">
        <v>46031</v>
      </c>
      <c r="K1341" s="172" t="s">
        <v>93</v>
      </c>
      <c r="L1341" s="172" t="s">
        <v>94</v>
      </c>
      <c r="M1341" s="179">
        <v>0</v>
      </c>
      <c r="N1341" s="177"/>
      <c r="O1341" s="177"/>
      <c r="P1341" s="180">
        <v>5.57</v>
      </c>
    </row>
    <row r="1342" spans="1:16" ht="19.5" customHeight="1">
      <c r="A1342" s="172" t="s">
        <v>1050</v>
      </c>
      <c r="B1342" s="176">
        <v>46033</v>
      </c>
      <c r="C1342" s="172" t="s">
        <v>100</v>
      </c>
      <c r="D1342" s="172" t="s">
        <v>103</v>
      </c>
      <c r="E1342" s="172" t="s">
        <v>52</v>
      </c>
      <c r="F1342" s="172" t="s">
        <v>90</v>
      </c>
      <c r="G1342" s="172" t="s">
        <v>84</v>
      </c>
      <c r="H1342" s="177">
        <v>1</v>
      </c>
      <c r="I1342" s="178">
        <v>1621</v>
      </c>
      <c r="J1342" s="176">
        <v>46031</v>
      </c>
      <c r="K1342" s="172" t="s">
        <v>93</v>
      </c>
      <c r="L1342" s="172" t="s">
        <v>94</v>
      </c>
      <c r="M1342" s="179">
        <v>0</v>
      </c>
      <c r="N1342" s="177"/>
      <c r="O1342" s="177"/>
      <c r="P1342" s="180">
        <v>1058.29</v>
      </c>
    </row>
    <row r="1343" spans="1:16" ht="19.5" customHeight="1">
      <c r="A1343" s="172" t="s">
        <v>1050</v>
      </c>
      <c r="B1343" s="176">
        <v>46033</v>
      </c>
      <c r="C1343" s="172" t="s">
        <v>104</v>
      </c>
      <c r="D1343" s="172" t="s">
        <v>105</v>
      </c>
      <c r="E1343" s="172" t="s">
        <v>52</v>
      </c>
      <c r="F1343" s="172" t="s">
        <v>90</v>
      </c>
      <c r="G1343" s="172" t="s">
        <v>84</v>
      </c>
      <c r="H1343" s="177">
        <v>1</v>
      </c>
      <c r="I1343" s="178">
        <v>1621</v>
      </c>
      <c r="J1343" s="176">
        <v>46031</v>
      </c>
      <c r="K1343" s="172" t="s">
        <v>93</v>
      </c>
      <c r="L1343" s="172" t="s">
        <v>94</v>
      </c>
      <c r="M1343" s="179">
        <v>0.43</v>
      </c>
      <c r="N1343" s="177"/>
      <c r="O1343" s="177"/>
      <c r="P1343" s="180">
        <v>-697.03</v>
      </c>
    </row>
    <row r="1344" spans="1:16" ht="19.5" customHeight="1">
      <c r="A1344" s="172" t="s">
        <v>1050</v>
      </c>
      <c r="B1344" s="176">
        <v>46033</v>
      </c>
      <c r="C1344" s="172" t="s">
        <v>81</v>
      </c>
      <c r="D1344" s="172" t="s">
        <v>95</v>
      </c>
      <c r="E1344" s="172" t="s">
        <v>52</v>
      </c>
      <c r="F1344" s="172" t="s">
        <v>90</v>
      </c>
      <c r="G1344" s="172" t="s">
        <v>84</v>
      </c>
      <c r="H1344" s="177">
        <v>1</v>
      </c>
      <c r="I1344" s="178">
        <v>1621</v>
      </c>
      <c r="J1344" s="176">
        <v>46031</v>
      </c>
      <c r="K1344" s="172" t="s">
        <v>93</v>
      </c>
      <c r="L1344" s="172" t="s">
        <v>94</v>
      </c>
      <c r="M1344" s="179">
        <v>0.43</v>
      </c>
      <c r="N1344" s="177"/>
      <c r="O1344" s="177"/>
      <c r="P1344" s="180">
        <v>-8.68</v>
      </c>
    </row>
    <row r="1345" spans="1:16" ht="19.5" customHeight="1">
      <c r="A1345" s="172" t="s">
        <v>1049</v>
      </c>
      <c r="B1345" s="176">
        <v>46033</v>
      </c>
      <c r="C1345" s="172" t="s">
        <v>81</v>
      </c>
      <c r="D1345" s="172" t="s">
        <v>82</v>
      </c>
      <c r="E1345" s="172" t="s">
        <v>53</v>
      </c>
      <c r="F1345" s="172" t="s">
        <v>120</v>
      </c>
      <c r="G1345" s="172" t="s">
        <v>84</v>
      </c>
      <c r="H1345" s="177">
        <v>1</v>
      </c>
      <c r="I1345" s="178">
        <v>0</v>
      </c>
      <c r="J1345" s="176">
        <v>46027</v>
      </c>
      <c r="K1345" s="172" t="s">
        <v>85</v>
      </c>
      <c r="L1345" s="172" t="s">
        <v>85</v>
      </c>
      <c r="M1345" s="179">
        <v>0</v>
      </c>
      <c r="N1345" s="177"/>
      <c r="O1345" s="177"/>
      <c r="P1345" s="180">
        <v>-12.2</v>
      </c>
    </row>
    <row r="1346" spans="1:16" ht="19.5" customHeight="1">
      <c r="A1346" s="172" t="s">
        <v>1050</v>
      </c>
      <c r="B1346" s="176">
        <v>46033</v>
      </c>
      <c r="C1346" s="172" t="s">
        <v>81</v>
      </c>
      <c r="D1346" s="172" t="s">
        <v>82</v>
      </c>
      <c r="E1346" s="172" t="s">
        <v>52</v>
      </c>
      <c r="F1346" s="172" t="s">
        <v>90</v>
      </c>
      <c r="G1346" s="172" t="s">
        <v>84</v>
      </c>
      <c r="H1346" s="177">
        <v>1</v>
      </c>
      <c r="I1346" s="178">
        <v>0</v>
      </c>
      <c r="J1346" s="176">
        <v>46031</v>
      </c>
      <c r="K1346" s="172" t="s">
        <v>85</v>
      </c>
      <c r="L1346" s="172" t="s">
        <v>85</v>
      </c>
      <c r="M1346" s="179">
        <v>0</v>
      </c>
      <c r="N1346" s="177"/>
      <c r="O1346" s="177"/>
      <c r="P1346" s="180">
        <v>-10.59</v>
      </c>
    </row>
    <row r="1347" spans="1:16" ht="19.5" customHeight="1">
      <c r="A1347" s="172" t="s">
        <v>1051</v>
      </c>
      <c r="B1347" s="176">
        <v>46033</v>
      </c>
      <c r="C1347" s="172" t="s">
        <v>92</v>
      </c>
      <c r="D1347" s="172" t="s">
        <v>24</v>
      </c>
      <c r="E1347" s="172" t="s">
        <v>52</v>
      </c>
      <c r="F1347" s="172" t="s">
        <v>90</v>
      </c>
      <c r="G1347" s="172" t="s">
        <v>84</v>
      </c>
      <c r="H1347" s="177">
        <v>1</v>
      </c>
      <c r="I1347" s="178">
        <v>1621</v>
      </c>
      <c r="J1347" s="176">
        <v>46029</v>
      </c>
      <c r="K1347" s="172" t="s">
        <v>93</v>
      </c>
      <c r="L1347" s="172" t="s">
        <v>94</v>
      </c>
      <c r="M1347" s="179">
        <v>0.43</v>
      </c>
      <c r="N1347" s="177"/>
      <c r="O1347" s="177">
        <v>43</v>
      </c>
      <c r="P1347" s="180">
        <v>-138.22999999999999</v>
      </c>
    </row>
    <row r="1348" spans="1:16" ht="19.5" customHeight="1">
      <c r="A1348" s="172" t="s">
        <v>1051</v>
      </c>
      <c r="B1348" s="176">
        <v>46033</v>
      </c>
      <c r="C1348" s="172" t="s">
        <v>100</v>
      </c>
      <c r="D1348" s="172" t="s">
        <v>101</v>
      </c>
      <c r="E1348" s="172" t="s">
        <v>52</v>
      </c>
      <c r="F1348" s="172" t="s">
        <v>90</v>
      </c>
      <c r="G1348" s="172" t="s">
        <v>84</v>
      </c>
      <c r="H1348" s="177">
        <v>1</v>
      </c>
      <c r="I1348" s="178">
        <v>1621</v>
      </c>
      <c r="J1348" s="176">
        <v>46029</v>
      </c>
      <c r="K1348" s="172" t="s">
        <v>93</v>
      </c>
      <c r="L1348" s="172" t="s">
        <v>94</v>
      </c>
      <c r="M1348" s="179">
        <v>0</v>
      </c>
      <c r="N1348" s="177"/>
      <c r="O1348" s="177"/>
      <c r="P1348" s="180">
        <v>557.14</v>
      </c>
    </row>
    <row r="1349" spans="1:16" ht="19.5" customHeight="1">
      <c r="A1349" s="172" t="s">
        <v>1051</v>
      </c>
      <c r="B1349" s="176">
        <v>46033</v>
      </c>
      <c r="C1349" s="172" t="s">
        <v>100</v>
      </c>
      <c r="D1349" s="172" t="s">
        <v>102</v>
      </c>
      <c r="E1349" s="172" t="s">
        <v>52</v>
      </c>
      <c r="F1349" s="172" t="s">
        <v>90</v>
      </c>
      <c r="G1349" s="172" t="s">
        <v>84</v>
      </c>
      <c r="H1349" s="177">
        <v>1</v>
      </c>
      <c r="I1349" s="178">
        <v>1621</v>
      </c>
      <c r="J1349" s="176">
        <v>46029</v>
      </c>
      <c r="K1349" s="172" t="s">
        <v>93</v>
      </c>
      <c r="L1349" s="172" t="s">
        <v>94</v>
      </c>
      <c r="M1349" s="179">
        <v>0</v>
      </c>
      <c r="N1349" s="177"/>
      <c r="O1349" s="177"/>
      <c r="P1349" s="180">
        <v>5.57</v>
      </c>
    </row>
    <row r="1350" spans="1:16" ht="19.5" customHeight="1">
      <c r="A1350" s="172" t="s">
        <v>1051</v>
      </c>
      <c r="B1350" s="176">
        <v>46033</v>
      </c>
      <c r="C1350" s="172" t="s">
        <v>100</v>
      </c>
      <c r="D1350" s="172" t="s">
        <v>103</v>
      </c>
      <c r="E1350" s="172" t="s">
        <v>52</v>
      </c>
      <c r="F1350" s="172" t="s">
        <v>90</v>
      </c>
      <c r="G1350" s="172" t="s">
        <v>84</v>
      </c>
      <c r="H1350" s="177">
        <v>1</v>
      </c>
      <c r="I1350" s="178">
        <v>1621</v>
      </c>
      <c r="J1350" s="176">
        <v>46029</v>
      </c>
      <c r="K1350" s="172" t="s">
        <v>93</v>
      </c>
      <c r="L1350" s="172" t="s">
        <v>94</v>
      </c>
      <c r="M1350" s="179">
        <v>0</v>
      </c>
      <c r="N1350" s="177"/>
      <c r="O1350" s="177"/>
      <c r="P1350" s="180">
        <v>1058.29</v>
      </c>
    </row>
    <row r="1351" spans="1:16" ht="19.5" customHeight="1">
      <c r="A1351" s="172" t="s">
        <v>1051</v>
      </c>
      <c r="B1351" s="176">
        <v>46033</v>
      </c>
      <c r="C1351" s="172" t="s">
        <v>104</v>
      </c>
      <c r="D1351" s="172" t="s">
        <v>105</v>
      </c>
      <c r="E1351" s="172" t="s">
        <v>52</v>
      </c>
      <c r="F1351" s="172" t="s">
        <v>90</v>
      </c>
      <c r="G1351" s="172" t="s">
        <v>84</v>
      </c>
      <c r="H1351" s="177">
        <v>1</v>
      </c>
      <c r="I1351" s="178">
        <v>1621</v>
      </c>
      <c r="J1351" s="176">
        <v>46029</v>
      </c>
      <c r="K1351" s="172" t="s">
        <v>93</v>
      </c>
      <c r="L1351" s="172" t="s">
        <v>94</v>
      </c>
      <c r="M1351" s="179">
        <v>0.43</v>
      </c>
      <c r="N1351" s="177"/>
      <c r="O1351" s="177"/>
      <c r="P1351" s="180">
        <v>-697.03</v>
      </c>
    </row>
    <row r="1352" spans="1:16" ht="19.5" customHeight="1">
      <c r="A1352" s="172" t="s">
        <v>1051</v>
      </c>
      <c r="B1352" s="176">
        <v>46033</v>
      </c>
      <c r="C1352" s="172" t="s">
        <v>81</v>
      </c>
      <c r="D1352" s="172" t="s">
        <v>95</v>
      </c>
      <c r="E1352" s="172" t="s">
        <v>52</v>
      </c>
      <c r="F1352" s="172" t="s">
        <v>90</v>
      </c>
      <c r="G1352" s="172" t="s">
        <v>84</v>
      </c>
      <c r="H1352" s="177">
        <v>1</v>
      </c>
      <c r="I1352" s="178">
        <v>1621</v>
      </c>
      <c r="J1352" s="176">
        <v>46029</v>
      </c>
      <c r="K1352" s="172" t="s">
        <v>93</v>
      </c>
      <c r="L1352" s="172" t="s">
        <v>94</v>
      </c>
      <c r="M1352" s="179">
        <v>0.43</v>
      </c>
      <c r="N1352" s="177"/>
      <c r="O1352" s="177"/>
      <c r="P1352" s="180">
        <v>-15.12</v>
      </c>
    </row>
    <row r="1353" spans="1:16" ht="19.5" customHeight="1">
      <c r="A1353" s="172" t="s">
        <v>1052</v>
      </c>
      <c r="B1353" s="176">
        <v>46033</v>
      </c>
      <c r="C1353" s="172" t="s">
        <v>81</v>
      </c>
      <c r="D1353" s="172" t="s">
        <v>82</v>
      </c>
      <c r="E1353" s="172" t="s">
        <v>53</v>
      </c>
      <c r="F1353" s="172" t="s">
        <v>120</v>
      </c>
      <c r="G1353" s="172" t="s">
        <v>84</v>
      </c>
      <c r="H1353" s="177">
        <v>1</v>
      </c>
      <c r="I1353" s="178">
        <v>0</v>
      </c>
      <c r="J1353" s="176">
        <v>46033</v>
      </c>
      <c r="K1353" s="172" t="s">
        <v>85</v>
      </c>
      <c r="L1353" s="172" t="s">
        <v>85</v>
      </c>
      <c r="M1353" s="179">
        <v>0</v>
      </c>
      <c r="N1353" s="177"/>
      <c r="O1353" s="177"/>
      <c r="P1353" s="180">
        <v>-12.21</v>
      </c>
    </row>
    <row r="1354" spans="1:16" ht="19.5" customHeight="1">
      <c r="A1354" s="172" t="s">
        <v>1053</v>
      </c>
      <c r="B1354" s="176">
        <v>46033</v>
      </c>
      <c r="C1354" s="172" t="s">
        <v>92</v>
      </c>
      <c r="D1354" s="172" t="s">
        <v>24</v>
      </c>
      <c r="E1354" s="172" t="s">
        <v>53</v>
      </c>
      <c r="F1354" s="172" t="s">
        <v>120</v>
      </c>
      <c r="G1354" s="172" t="s">
        <v>84</v>
      </c>
      <c r="H1354" s="177">
        <v>1</v>
      </c>
      <c r="I1354" s="178">
        <v>1845</v>
      </c>
      <c r="J1354" s="176">
        <v>46031</v>
      </c>
      <c r="K1354" s="172" t="s">
        <v>93</v>
      </c>
      <c r="L1354" s="172" t="s">
        <v>94</v>
      </c>
      <c r="M1354" s="179">
        <v>0.43</v>
      </c>
      <c r="N1354" s="177"/>
      <c r="O1354" s="177">
        <v>42</v>
      </c>
      <c r="P1354" s="180">
        <v>-140.5</v>
      </c>
    </row>
    <row r="1355" spans="1:16" ht="19.5" customHeight="1">
      <c r="A1355" s="172" t="s">
        <v>1053</v>
      </c>
      <c r="B1355" s="176">
        <v>46033</v>
      </c>
      <c r="C1355" s="172" t="s">
        <v>100</v>
      </c>
      <c r="D1355" s="172" t="s">
        <v>101</v>
      </c>
      <c r="E1355" s="172" t="s">
        <v>53</v>
      </c>
      <c r="F1355" s="172" t="s">
        <v>120</v>
      </c>
      <c r="G1355" s="172" t="s">
        <v>84</v>
      </c>
      <c r="H1355" s="177">
        <v>1</v>
      </c>
      <c r="I1355" s="178">
        <v>1845</v>
      </c>
      <c r="J1355" s="176">
        <v>46031</v>
      </c>
      <c r="K1355" s="172" t="s">
        <v>93</v>
      </c>
      <c r="L1355" s="172" t="s">
        <v>94</v>
      </c>
      <c r="M1355" s="179">
        <v>0</v>
      </c>
      <c r="N1355" s="177"/>
      <c r="O1355" s="177"/>
      <c r="P1355" s="180">
        <v>642.86</v>
      </c>
    </row>
    <row r="1356" spans="1:16" ht="19.5" customHeight="1">
      <c r="A1356" s="172" t="s">
        <v>1053</v>
      </c>
      <c r="B1356" s="176">
        <v>46033</v>
      </c>
      <c r="C1356" s="172" t="s">
        <v>100</v>
      </c>
      <c r="D1356" s="172" t="s">
        <v>102</v>
      </c>
      <c r="E1356" s="172" t="s">
        <v>53</v>
      </c>
      <c r="F1356" s="172" t="s">
        <v>120</v>
      </c>
      <c r="G1356" s="172" t="s">
        <v>84</v>
      </c>
      <c r="H1356" s="177">
        <v>1</v>
      </c>
      <c r="I1356" s="178">
        <v>1845</v>
      </c>
      <c r="J1356" s="176">
        <v>46031</v>
      </c>
      <c r="K1356" s="172" t="s">
        <v>93</v>
      </c>
      <c r="L1356" s="172" t="s">
        <v>94</v>
      </c>
      <c r="M1356" s="179">
        <v>0</v>
      </c>
      <c r="N1356" s="177"/>
      <c r="O1356" s="177"/>
      <c r="P1356" s="180">
        <v>6.43</v>
      </c>
    </row>
    <row r="1357" spans="1:16" ht="19.5" customHeight="1">
      <c r="A1357" s="172" t="s">
        <v>1053</v>
      </c>
      <c r="B1357" s="176">
        <v>46033</v>
      </c>
      <c r="C1357" s="172" t="s">
        <v>100</v>
      </c>
      <c r="D1357" s="172" t="s">
        <v>103</v>
      </c>
      <c r="E1357" s="172" t="s">
        <v>53</v>
      </c>
      <c r="F1357" s="172" t="s">
        <v>120</v>
      </c>
      <c r="G1357" s="172" t="s">
        <v>84</v>
      </c>
      <c r="H1357" s="177">
        <v>1</v>
      </c>
      <c r="I1357" s="178">
        <v>1845</v>
      </c>
      <c r="J1357" s="176">
        <v>46031</v>
      </c>
      <c r="K1357" s="172" t="s">
        <v>93</v>
      </c>
      <c r="L1357" s="172" t="s">
        <v>94</v>
      </c>
      <c r="M1357" s="179">
        <v>0</v>
      </c>
      <c r="N1357" s="177"/>
      <c r="O1357" s="177"/>
      <c r="P1357" s="180">
        <v>1195.71</v>
      </c>
    </row>
    <row r="1358" spans="1:16" ht="19.5" customHeight="1">
      <c r="A1358" s="172" t="s">
        <v>1053</v>
      </c>
      <c r="B1358" s="176">
        <v>46033</v>
      </c>
      <c r="C1358" s="172" t="s">
        <v>104</v>
      </c>
      <c r="D1358" s="172" t="s">
        <v>105</v>
      </c>
      <c r="E1358" s="172" t="s">
        <v>53</v>
      </c>
      <c r="F1358" s="172" t="s">
        <v>120</v>
      </c>
      <c r="G1358" s="172" t="s">
        <v>84</v>
      </c>
      <c r="H1358" s="177">
        <v>1</v>
      </c>
      <c r="I1358" s="178">
        <v>1845</v>
      </c>
      <c r="J1358" s="176">
        <v>46031</v>
      </c>
      <c r="K1358" s="172" t="s">
        <v>93</v>
      </c>
      <c r="L1358" s="172" t="s">
        <v>94</v>
      </c>
      <c r="M1358" s="179">
        <v>0.43</v>
      </c>
      <c r="N1358" s="177"/>
      <c r="O1358" s="177"/>
      <c r="P1358" s="180">
        <v>-793.35</v>
      </c>
    </row>
    <row r="1359" spans="1:16" ht="19.5" customHeight="1">
      <c r="A1359" s="172" t="s">
        <v>1053</v>
      </c>
      <c r="B1359" s="176">
        <v>46033</v>
      </c>
      <c r="C1359" s="172" t="s">
        <v>81</v>
      </c>
      <c r="D1359" s="172" t="s">
        <v>95</v>
      </c>
      <c r="E1359" s="172" t="s">
        <v>53</v>
      </c>
      <c r="F1359" s="172" t="s">
        <v>120</v>
      </c>
      <c r="G1359" s="172" t="s">
        <v>84</v>
      </c>
      <c r="H1359" s="177">
        <v>1</v>
      </c>
      <c r="I1359" s="178">
        <v>1845</v>
      </c>
      <c r="J1359" s="176">
        <v>46031</v>
      </c>
      <c r="K1359" s="172" t="s">
        <v>93</v>
      </c>
      <c r="L1359" s="172" t="s">
        <v>94</v>
      </c>
      <c r="M1359" s="179">
        <v>0.43</v>
      </c>
      <c r="N1359" s="177"/>
      <c r="O1359" s="177"/>
      <c r="P1359" s="180">
        <v>-19.440000000000001</v>
      </c>
    </row>
    <row r="1360" spans="1:16" ht="19.5" customHeight="1">
      <c r="A1360" s="172" t="s">
        <v>1051</v>
      </c>
      <c r="B1360" s="176">
        <v>46033</v>
      </c>
      <c r="C1360" s="172" t="s">
        <v>81</v>
      </c>
      <c r="D1360" s="172" t="s">
        <v>82</v>
      </c>
      <c r="E1360" s="172" t="s">
        <v>52</v>
      </c>
      <c r="F1360" s="172" t="s">
        <v>90</v>
      </c>
      <c r="G1360" s="172" t="s">
        <v>84</v>
      </c>
      <c r="H1360" s="177">
        <v>1</v>
      </c>
      <c r="I1360" s="178">
        <v>0</v>
      </c>
      <c r="J1360" s="176">
        <v>46029</v>
      </c>
      <c r="K1360" s="172" t="s">
        <v>85</v>
      </c>
      <c r="L1360" s="172" t="s">
        <v>85</v>
      </c>
      <c r="M1360" s="179">
        <v>0</v>
      </c>
      <c r="N1360" s="177"/>
      <c r="O1360" s="177"/>
      <c r="P1360" s="180">
        <v>-10.59</v>
      </c>
    </row>
    <row r="1361" spans="1:16" ht="19.5" customHeight="1">
      <c r="A1361" s="172" t="s">
        <v>1054</v>
      </c>
      <c r="B1361" s="176">
        <v>46033</v>
      </c>
      <c r="C1361" s="172" t="s">
        <v>92</v>
      </c>
      <c r="D1361" s="172" t="s">
        <v>24</v>
      </c>
      <c r="E1361" s="172" t="s">
        <v>53</v>
      </c>
      <c r="F1361" s="172" t="s">
        <v>120</v>
      </c>
      <c r="G1361" s="172" t="s">
        <v>84</v>
      </c>
      <c r="H1361" s="177">
        <v>1</v>
      </c>
      <c r="I1361" s="178">
        <v>1845</v>
      </c>
      <c r="J1361" s="176">
        <v>46029</v>
      </c>
      <c r="K1361" s="172" t="s">
        <v>93</v>
      </c>
      <c r="L1361" s="172" t="s">
        <v>94</v>
      </c>
      <c r="M1361" s="179">
        <v>0.43</v>
      </c>
      <c r="N1361" s="177"/>
      <c r="O1361" s="177">
        <v>43</v>
      </c>
      <c r="P1361" s="180">
        <v>-146.44999999999999</v>
      </c>
    </row>
    <row r="1362" spans="1:16" ht="19.5" customHeight="1">
      <c r="A1362" s="172" t="s">
        <v>1054</v>
      </c>
      <c r="B1362" s="176">
        <v>46033</v>
      </c>
      <c r="C1362" s="172" t="s">
        <v>100</v>
      </c>
      <c r="D1362" s="172" t="s">
        <v>101</v>
      </c>
      <c r="E1362" s="172" t="s">
        <v>53</v>
      </c>
      <c r="F1362" s="172" t="s">
        <v>120</v>
      </c>
      <c r="G1362" s="172" t="s">
        <v>84</v>
      </c>
      <c r="H1362" s="177">
        <v>1</v>
      </c>
      <c r="I1362" s="178">
        <v>1845</v>
      </c>
      <c r="J1362" s="176">
        <v>46029</v>
      </c>
      <c r="K1362" s="172" t="s">
        <v>93</v>
      </c>
      <c r="L1362" s="172" t="s">
        <v>94</v>
      </c>
      <c r="M1362" s="179">
        <v>0</v>
      </c>
      <c r="N1362" s="177"/>
      <c r="O1362" s="177"/>
      <c r="P1362" s="180">
        <v>642.86</v>
      </c>
    </row>
    <row r="1363" spans="1:16" ht="19.5" customHeight="1">
      <c r="A1363" s="172" t="s">
        <v>1054</v>
      </c>
      <c r="B1363" s="176">
        <v>46033</v>
      </c>
      <c r="C1363" s="172" t="s">
        <v>100</v>
      </c>
      <c r="D1363" s="172" t="s">
        <v>102</v>
      </c>
      <c r="E1363" s="172" t="s">
        <v>53</v>
      </c>
      <c r="F1363" s="172" t="s">
        <v>120</v>
      </c>
      <c r="G1363" s="172" t="s">
        <v>84</v>
      </c>
      <c r="H1363" s="177">
        <v>1</v>
      </c>
      <c r="I1363" s="178">
        <v>1845</v>
      </c>
      <c r="J1363" s="176">
        <v>46029</v>
      </c>
      <c r="K1363" s="172" t="s">
        <v>93</v>
      </c>
      <c r="L1363" s="172" t="s">
        <v>94</v>
      </c>
      <c r="M1363" s="179">
        <v>0</v>
      </c>
      <c r="N1363" s="177"/>
      <c r="O1363" s="177"/>
      <c r="P1363" s="180">
        <v>6.43</v>
      </c>
    </row>
    <row r="1364" spans="1:16" ht="19.5" customHeight="1">
      <c r="A1364" s="172" t="s">
        <v>1054</v>
      </c>
      <c r="B1364" s="176">
        <v>46033</v>
      </c>
      <c r="C1364" s="172" t="s">
        <v>100</v>
      </c>
      <c r="D1364" s="172" t="s">
        <v>103</v>
      </c>
      <c r="E1364" s="172" t="s">
        <v>53</v>
      </c>
      <c r="F1364" s="172" t="s">
        <v>120</v>
      </c>
      <c r="G1364" s="172" t="s">
        <v>84</v>
      </c>
      <c r="H1364" s="177">
        <v>1</v>
      </c>
      <c r="I1364" s="178">
        <v>1845</v>
      </c>
      <c r="J1364" s="176">
        <v>46029</v>
      </c>
      <c r="K1364" s="172" t="s">
        <v>93</v>
      </c>
      <c r="L1364" s="172" t="s">
        <v>94</v>
      </c>
      <c r="M1364" s="179">
        <v>0</v>
      </c>
      <c r="N1364" s="177"/>
      <c r="O1364" s="177"/>
      <c r="P1364" s="180">
        <v>1195.71</v>
      </c>
    </row>
    <row r="1365" spans="1:16" ht="19.5" customHeight="1">
      <c r="A1365" s="172" t="s">
        <v>1054</v>
      </c>
      <c r="B1365" s="176">
        <v>46033</v>
      </c>
      <c r="C1365" s="172" t="s">
        <v>104</v>
      </c>
      <c r="D1365" s="172" t="s">
        <v>105</v>
      </c>
      <c r="E1365" s="172" t="s">
        <v>53</v>
      </c>
      <c r="F1365" s="172" t="s">
        <v>120</v>
      </c>
      <c r="G1365" s="172" t="s">
        <v>84</v>
      </c>
      <c r="H1365" s="177">
        <v>1</v>
      </c>
      <c r="I1365" s="178">
        <v>1845</v>
      </c>
      <c r="J1365" s="176">
        <v>46029</v>
      </c>
      <c r="K1365" s="172" t="s">
        <v>93</v>
      </c>
      <c r="L1365" s="172" t="s">
        <v>94</v>
      </c>
      <c r="M1365" s="179">
        <v>0.43</v>
      </c>
      <c r="N1365" s="177"/>
      <c r="O1365" s="177"/>
      <c r="P1365" s="180">
        <v>-793.35</v>
      </c>
    </row>
    <row r="1366" spans="1:16" ht="19.5" customHeight="1">
      <c r="A1366" s="172" t="s">
        <v>1054</v>
      </c>
      <c r="B1366" s="176">
        <v>46033</v>
      </c>
      <c r="C1366" s="172" t="s">
        <v>81</v>
      </c>
      <c r="D1366" s="172" t="s">
        <v>95</v>
      </c>
      <c r="E1366" s="172" t="s">
        <v>53</v>
      </c>
      <c r="F1366" s="172" t="s">
        <v>120</v>
      </c>
      <c r="G1366" s="172" t="s">
        <v>84</v>
      </c>
      <c r="H1366" s="177">
        <v>1</v>
      </c>
      <c r="I1366" s="178">
        <v>1845</v>
      </c>
      <c r="J1366" s="176">
        <v>46029</v>
      </c>
      <c r="K1366" s="172" t="s">
        <v>93</v>
      </c>
      <c r="L1366" s="172" t="s">
        <v>94</v>
      </c>
      <c r="M1366" s="179">
        <v>0.43</v>
      </c>
      <c r="N1366" s="177"/>
      <c r="O1366" s="177"/>
      <c r="P1366" s="180">
        <v>-11.83</v>
      </c>
    </row>
    <row r="1367" spans="1:16" ht="19.5" customHeight="1">
      <c r="A1367" s="172" t="s">
        <v>1053</v>
      </c>
      <c r="B1367" s="176">
        <v>46033</v>
      </c>
      <c r="C1367" s="172" t="s">
        <v>81</v>
      </c>
      <c r="D1367" s="172" t="s">
        <v>82</v>
      </c>
      <c r="E1367" s="172" t="s">
        <v>53</v>
      </c>
      <c r="F1367" s="172" t="s">
        <v>120</v>
      </c>
      <c r="G1367" s="172" t="s">
        <v>84</v>
      </c>
      <c r="H1367" s="177">
        <v>1</v>
      </c>
      <c r="I1367" s="178">
        <v>0</v>
      </c>
      <c r="J1367" s="176">
        <v>46031</v>
      </c>
      <c r="K1367" s="172" t="s">
        <v>85</v>
      </c>
      <c r="L1367" s="172" t="s">
        <v>85</v>
      </c>
      <c r="M1367" s="179">
        <v>0</v>
      </c>
      <c r="N1367" s="177"/>
      <c r="O1367" s="177"/>
      <c r="P1367" s="180">
        <v>-12.21</v>
      </c>
    </row>
    <row r="1368" spans="1:16" ht="19.5" customHeight="1">
      <c r="A1368" s="172" t="s">
        <v>1055</v>
      </c>
      <c r="B1368" s="176">
        <v>46033</v>
      </c>
      <c r="C1368" s="172" t="s">
        <v>92</v>
      </c>
      <c r="D1368" s="172" t="s">
        <v>24</v>
      </c>
      <c r="E1368" s="172" t="s">
        <v>53</v>
      </c>
      <c r="F1368" s="172" t="s">
        <v>120</v>
      </c>
      <c r="G1368" s="172" t="s">
        <v>84</v>
      </c>
      <c r="H1368" s="177">
        <v>1</v>
      </c>
      <c r="I1368" s="178">
        <v>1845</v>
      </c>
      <c r="J1368" s="176">
        <v>46028</v>
      </c>
      <c r="K1368" s="172" t="s">
        <v>93</v>
      </c>
      <c r="L1368" s="172" t="s">
        <v>94</v>
      </c>
      <c r="M1368" s="179">
        <v>0.43</v>
      </c>
      <c r="N1368" s="177"/>
      <c r="O1368" s="177">
        <v>44</v>
      </c>
      <c r="P1368" s="180">
        <v>-149.4</v>
      </c>
    </row>
    <row r="1369" spans="1:16" ht="19.5" customHeight="1">
      <c r="A1369" s="172" t="s">
        <v>1055</v>
      </c>
      <c r="B1369" s="176">
        <v>46033</v>
      </c>
      <c r="C1369" s="172" t="s">
        <v>100</v>
      </c>
      <c r="D1369" s="172" t="s">
        <v>101</v>
      </c>
      <c r="E1369" s="172" t="s">
        <v>53</v>
      </c>
      <c r="F1369" s="172" t="s">
        <v>120</v>
      </c>
      <c r="G1369" s="172" t="s">
        <v>84</v>
      </c>
      <c r="H1369" s="177">
        <v>1</v>
      </c>
      <c r="I1369" s="178">
        <v>1845</v>
      </c>
      <c r="J1369" s="176">
        <v>46028</v>
      </c>
      <c r="K1369" s="172" t="s">
        <v>93</v>
      </c>
      <c r="L1369" s="172" t="s">
        <v>94</v>
      </c>
      <c r="M1369" s="179">
        <v>0</v>
      </c>
      <c r="N1369" s="177"/>
      <c r="O1369" s="177"/>
      <c r="P1369" s="180">
        <v>642.86</v>
      </c>
    </row>
    <row r="1370" spans="1:16" ht="19.5" customHeight="1">
      <c r="A1370" s="172" t="s">
        <v>1055</v>
      </c>
      <c r="B1370" s="176">
        <v>46033</v>
      </c>
      <c r="C1370" s="172" t="s">
        <v>100</v>
      </c>
      <c r="D1370" s="172" t="s">
        <v>102</v>
      </c>
      <c r="E1370" s="172" t="s">
        <v>53</v>
      </c>
      <c r="F1370" s="172" t="s">
        <v>120</v>
      </c>
      <c r="G1370" s="172" t="s">
        <v>84</v>
      </c>
      <c r="H1370" s="177">
        <v>1</v>
      </c>
      <c r="I1370" s="178">
        <v>1845</v>
      </c>
      <c r="J1370" s="176">
        <v>46028</v>
      </c>
      <c r="K1370" s="172" t="s">
        <v>93</v>
      </c>
      <c r="L1370" s="172" t="s">
        <v>94</v>
      </c>
      <c r="M1370" s="179">
        <v>0</v>
      </c>
      <c r="N1370" s="177"/>
      <c r="O1370" s="177"/>
      <c r="P1370" s="180">
        <v>6.43</v>
      </c>
    </row>
    <row r="1371" spans="1:16" ht="19.5" customHeight="1">
      <c r="A1371" s="172" t="s">
        <v>1055</v>
      </c>
      <c r="B1371" s="176">
        <v>46033</v>
      </c>
      <c r="C1371" s="172" t="s">
        <v>100</v>
      </c>
      <c r="D1371" s="172" t="s">
        <v>103</v>
      </c>
      <c r="E1371" s="172" t="s">
        <v>53</v>
      </c>
      <c r="F1371" s="172" t="s">
        <v>120</v>
      </c>
      <c r="G1371" s="172" t="s">
        <v>84</v>
      </c>
      <c r="H1371" s="177">
        <v>1</v>
      </c>
      <c r="I1371" s="178">
        <v>1845</v>
      </c>
      <c r="J1371" s="176">
        <v>46028</v>
      </c>
      <c r="K1371" s="172" t="s">
        <v>93</v>
      </c>
      <c r="L1371" s="172" t="s">
        <v>94</v>
      </c>
      <c r="M1371" s="179">
        <v>0</v>
      </c>
      <c r="N1371" s="177"/>
      <c r="O1371" s="177"/>
      <c r="P1371" s="180">
        <v>1195.71</v>
      </c>
    </row>
    <row r="1372" spans="1:16" ht="19.5" customHeight="1">
      <c r="A1372" s="172" t="s">
        <v>1055</v>
      </c>
      <c r="B1372" s="176">
        <v>46033</v>
      </c>
      <c r="C1372" s="172" t="s">
        <v>104</v>
      </c>
      <c r="D1372" s="172" t="s">
        <v>105</v>
      </c>
      <c r="E1372" s="172" t="s">
        <v>53</v>
      </c>
      <c r="F1372" s="172" t="s">
        <v>120</v>
      </c>
      <c r="G1372" s="172" t="s">
        <v>84</v>
      </c>
      <c r="H1372" s="177">
        <v>1</v>
      </c>
      <c r="I1372" s="178">
        <v>1845</v>
      </c>
      <c r="J1372" s="176">
        <v>46028</v>
      </c>
      <c r="K1372" s="172" t="s">
        <v>93</v>
      </c>
      <c r="L1372" s="172" t="s">
        <v>94</v>
      </c>
      <c r="M1372" s="179">
        <v>0.43</v>
      </c>
      <c r="N1372" s="177"/>
      <c r="O1372" s="177"/>
      <c r="P1372" s="180">
        <v>-793.35</v>
      </c>
    </row>
    <row r="1373" spans="1:16" ht="19.5" customHeight="1">
      <c r="A1373" s="172" t="s">
        <v>1055</v>
      </c>
      <c r="B1373" s="176">
        <v>46033</v>
      </c>
      <c r="C1373" s="172" t="s">
        <v>81</v>
      </c>
      <c r="D1373" s="172" t="s">
        <v>95</v>
      </c>
      <c r="E1373" s="172" t="s">
        <v>53</v>
      </c>
      <c r="F1373" s="172" t="s">
        <v>120</v>
      </c>
      <c r="G1373" s="172" t="s">
        <v>84</v>
      </c>
      <c r="H1373" s="177">
        <v>1</v>
      </c>
      <c r="I1373" s="178">
        <v>1845</v>
      </c>
      <c r="J1373" s="176">
        <v>46028</v>
      </c>
      <c r="K1373" s="172" t="s">
        <v>93</v>
      </c>
      <c r="L1373" s="172" t="s">
        <v>94</v>
      </c>
      <c r="M1373" s="179">
        <v>0.43</v>
      </c>
      <c r="N1373" s="177"/>
      <c r="O1373" s="177"/>
      <c r="P1373" s="180">
        <v>-9.1999999999999993</v>
      </c>
    </row>
    <row r="1374" spans="1:16" ht="19.5" customHeight="1">
      <c r="A1374" s="172" t="s">
        <v>1056</v>
      </c>
      <c r="B1374" s="176">
        <v>46033</v>
      </c>
      <c r="C1374" s="172" t="s">
        <v>92</v>
      </c>
      <c r="D1374" s="172" t="s">
        <v>24</v>
      </c>
      <c r="E1374" s="172" t="s">
        <v>43</v>
      </c>
      <c r="F1374" s="172" t="s">
        <v>125</v>
      </c>
      <c r="G1374" s="172" t="s">
        <v>84</v>
      </c>
      <c r="H1374" s="177">
        <v>1</v>
      </c>
      <c r="I1374" s="178">
        <v>1202</v>
      </c>
      <c r="J1374" s="176">
        <v>46031</v>
      </c>
      <c r="K1374" s="172" t="s">
        <v>93</v>
      </c>
      <c r="L1374" s="172" t="s">
        <v>94</v>
      </c>
      <c r="M1374" s="179">
        <v>0.43</v>
      </c>
      <c r="N1374" s="177"/>
      <c r="O1374" s="177">
        <v>42</v>
      </c>
      <c r="P1374" s="180">
        <v>-107.69</v>
      </c>
    </row>
    <row r="1375" spans="1:16" ht="19.5" customHeight="1">
      <c r="A1375" s="172" t="s">
        <v>1056</v>
      </c>
      <c r="B1375" s="176">
        <v>46033</v>
      </c>
      <c r="C1375" s="172" t="s">
        <v>100</v>
      </c>
      <c r="D1375" s="172" t="s">
        <v>101</v>
      </c>
      <c r="E1375" s="172" t="s">
        <v>43</v>
      </c>
      <c r="F1375" s="172" t="s">
        <v>125</v>
      </c>
      <c r="G1375" s="172" t="s">
        <v>84</v>
      </c>
      <c r="H1375" s="177">
        <v>1</v>
      </c>
      <c r="I1375" s="178">
        <v>1202</v>
      </c>
      <c r="J1375" s="176">
        <v>46031</v>
      </c>
      <c r="K1375" s="172" t="s">
        <v>93</v>
      </c>
      <c r="L1375" s="172" t="s">
        <v>94</v>
      </c>
      <c r="M1375" s="179">
        <v>0</v>
      </c>
      <c r="N1375" s="177"/>
      <c r="O1375" s="177"/>
      <c r="P1375" s="180">
        <v>512.38</v>
      </c>
    </row>
    <row r="1376" spans="1:16" ht="19.5" customHeight="1">
      <c r="A1376" s="172" t="s">
        <v>1056</v>
      </c>
      <c r="B1376" s="176">
        <v>46033</v>
      </c>
      <c r="C1376" s="172" t="s">
        <v>100</v>
      </c>
      <c r="D1376" s="172" t="s">
        <v>102</v>
      </c>
      <c r="E1376" s="172" t="s">
        <v>43</v>
      </c>
      <c r="F1376" s="172" t="s">
        <v>125</v>
      </c>
      <c r="G1376" s="172" t="s">
        <v>84</v>
      </c>
      <c r="H1376" s="177">
        <v>1</v>
      </c>
      <c r="I1376" s="178">
        <v>1202</v>
      </c>
      <c r="J1376" s="176">
        <v>46031</v>
      </c>
      <c r="K1376" s="172" t="s">
        <v>93</v>
      </c>
      <c r="L1376" s="172" t="s">
        <v>94</v>
      </c>
      <c r="M1376" s="179">
        <v>0</v>
      </c>
      <c r="N1376" s="177"/>
      <c r="O1376" s="177"/>
      <c r="P1376" s="180">
        <v>5.12</v>
      </c>
    </row>
    <row r="1377" spans="1:16" ht="19.5" customHeight="1">
      <c r="A1377" s="172" t="s">
        <v>1056</v>
      </c>
      <c r="B1377" s="176">
        <v>46033</v>
      </c>
      <c r="C1377" s="172" t="s">
        <v>100</v>
      </c>
      <c r="D1377" s="172" t="s">
        <v>103</v>
      </c>
      <c r="E1377" s="172" t="s">
        <v>43</v>
      </c>
      <c r="F1377" s="172" t="s">
        <v>125</v>
      </c>
      <c r="G1377" s="172" t="s">
        <v>84</v>
      </c>
      <c r="H1377" s="177">
        <v>1</v>
      </c>
      <c r="I1377" s="178">
        <v>1202</v>
      </c>
      <c r="J1377" s="176">
        <v>46031</v>
      </c>
      <c r="K1377" s="172" t="s">
        <v>93</v>
      </c>
      <c r="L1377" s="172" t="s">
        <v>94</v>
      </c>
      <c r="M1377" s="179">
        <v>0</v>
      </c>
      <c r="N1377" s="177"/>
      <c r="O1377" s="177"/>
      <c r="P1377" s="180">
        <v>684.5</v>
      </c>
    </row>
    <row r="1378" spans="1:16" ht="19.5" customHeight="1">
      <c r="A1378" s="172" t="s">
        <v>1056</v>
      </c>
      <c r="B1378" s="176">
        <v>46033</v>
      </c>
      <c r="C1378" s="172" t="s">
        <v>104</v>
      </c>
      <c r="D1378" s="172" t="s">
        <v>105</v>
      </c>
      <c r="E1378" s="172" t="s">
        <v>43</v>
      </c>
      <c r="F1378" s="172" t="s">
        <v>125</v>
      </c>
      <c r="G1378" s="172" t="s">
        <v>84</v>
      </c>
      <c r="H1378" s="177">
        <v>1</v>
      </c>
      <c r="I1378" s="178">
        <v>1202</v>
      </c>
      <c r="J1378" s="176">
        <v>46031</v>
      </c>
      <c r="K1378" s="172" t="s">
        <v>93</v>
      </c>
      <c r="L1378" s="172" t="s">
        <v>94</v>
      </c>
      <c r="M1378" s="179">
        <v>0.43</v>
      </c>
      <c r="N1378" s="177"/>
      <c r="O1378" s="177"/>
      <c r="P1378" s="180">
        <v>-516.86</v>
      </c>
    </row>
    <row r="1379" spans="1:16" ht="19.5" customHeight="1">
      <c r="A1379" s="172" t="s">
        <v>1056</v>
      </c>
      <c r="B1379" s="176">
        <v>46033</v>
      </c>
      <c r="C1379" s="172" t="s">
        <v>81</v>
      </c>
      <c r="D1379" s="172" t="s">
        <v>95</v>
      </c>
      <c r="E1379" s="172" t="s">
        <v>43</v>
      </c>
      <c r="F1379" s="172" t="s">
        <v>125</v>
      </c>
      <c r="G1379" s="172" t="s">
        <v>84</v>
      </c>
      <c r="H1379" s="177">
        <v>1</v>
      </c>
      <c r="I1379" s="178">
        <v>1202</v>
      </c>
      <c r="J1379" s="176">
        <v>46031</v>
      </c>
      <c r="K1379" s="172" t="s">
        <v>93</v>
      </c>
      <c r="L1379" s="172" t="s">
        <v>94</v>
      </c>
      <c r="M1379" s="179">
        <v>0.43</v>
      </c>
      <c r="N1379" s="177"/>
      <c r="O1379" s="177"/>
      <c r="P1379" s="180">
        <v>-13.85</v>
      </c>
    </row>
    <row r="1380" spans="1:16" ht="19.5" customHeight="1">
      <c r="A1380" s="172" t="s">
        <v>1057</v>
      </c>
      <c r="B1380" s="176">
        <v>46033</v>
      </c>
      <c r="C1380" s="172" t="s">
        <v>81</v>
      </c>
      <c r="D1380" s="172" t="s">
        <v>82</v>
      </c>
      <c r="E1380" s="172" t="s">
        <v>52</v>
      </c>
      <c r="F1380" s="172" t="s">
        <v>90</v>
      </c>
      <c r="G1380" s="172" t="s">
        <v>84</v>
      </c>
      <c r="H1380" s="177">
        <v>1</v>
      </c>
      <c r="I1380" s="178">
        <v>0</v>
      </c>
      <c r="J1380" s="176">
        <v>46033</v>
      </c>
      <c r="K1380" s="172" t="s">
        <v>85</v>
      </c>
      <c r="L1380" s="172" t="s">
        <v>85</v>
      </c>
      <c r="M1380" s="179">
        <v>0</v>
      </c>
      <c r="N1380" s="177"/>
      <c r="O1380" s="177"/>
      <c r="P1380" s="180">
        <v>-10.84</v>
      </c>
    </row>
    <row r="1381" spans="1:16" ht="19.5" customHeight="1">
      <c r="A1381" s="172" t="s">
        <v>1055</v>
      </c>
      <c r="B1381" s="176">
        <v>46033</v>
      </c>
      <c r="C1381" s="172" t="s">
        <v>81</v>
      </c>
      <c r="D1381" s="172" t="s">
        <v>82</v>
      </c>
      <c r="E1381" s="172" t="s">
        <v>53</v>
      </c>
      <c r="F1381" s="172" t="s">
        <v>120</v>
      </c>
      <c r="G1381" s="172" t="s">
        <v>84</v>
      </c>
      <c r="H1381" s="177">
        <v>1</v>
      </c>
      <c r="I1381" s="178">
        <v>0</v>
      </c>
      <c r="J1381" s="176">
        <v>46028</v>
      </c>
      <c r="K1381" s="172" t="s">
        <v>85</v>
      </c>
      <c r="L1381" s="172" t="s">
        <v>85</v>
      </c>
      <c r="M1381" s="179">
        <v>0</v>
      </c>
      <c r="N1381" s="177"/>
      <c r="O1381" s="177"/>
      <c r="P1381" s="180">
        <v>-12.21</v>
      </c>
    </row>
    <row r="1382" spans="1:16" ht="19.5" customHeight="1">
      <c r="A1382" s="172" t="s">
        <v>569</v>
      </c>
      <c r="B1382" s="176">
        <v>46033</v>
      </c>
      <c r="C1382" s="172" t="s">
        <v>92</v>
      </c>
      <c r="D1382" s="172" t="s">
        <v>24</v>
      </c>
      <c r="E1382" s="172" t="s">
        <v>53</v>
      </c>
      <c r="F1382" s="172" t="s">
        <v>120</v>
      </c>
      <c r="G1382" s="172" t="s">
        <v>84</v>
      </c>
      <c r="H1382" s="177">
        <v>1</v>
      </c>
      <c r="I1382" s="178">
        <v>1845</v>
      </c>
      <c r="J1382" s="176">
        <v>46029</v>
      </c>
      <c r="K1382" s="172" t="s">
        <v>93</v>
      </c>
      <c r="L1382" s="172" t="s">
        <v>94</v>
      </c>
      <c r="M1382" s="179">
        <v>0.43</v>
      </c>
      <c r="N1382" s="177"/>
      <c r="O1382" s="177">
        <v>43</v>
      </c>
      <c r="P1382" s="180">
        <v>-146.44999999999999</v>
      </c>
    </row>
    <row r="1383" spans="1:16" ht="19.5" customHeight="1">
      <c r="A1383" s="172" t="s">
        <v>569</v>
      </c>
      <c r="B1383" s="176">
        <v>46033</v>
      </c>
      <c r="C1383" s="172" t="s">
        <v>100</v>
      </c>
      <c r="D1383" s="172" t="s">
        <v>101</v>
      </c>
      <c r="E1383" s="172" t="s">
        <v>53</v>
      </c>
      <c r="F1383" s="172" t="s">
        <v>120</v>
      </c>
      <c r="G1383" s="172" t="s">
        <v>84</v>
      </c>
      <c r="H1383" s="177">
        <v>1</v>
      </c>
      <c r="I1383" s="178">
        <v>1845</v>
      </c>
      <c r="J1383" s="176">
        <v>46029</v>
      </c>
      <c r="K1383" s="172" t="s">
        <v>93</v>
      </c>
      <c r="L1383" s="172" t="s">
        <v>94</v>
      </c>
      <c r="M1383" s="179">
        <v>0</v>
      </c>
      <c r="N1383" s="177"/>
      <c r="O1383" s="177"/>
      <c r="P1383" s="180">
        <v>639.80999999999995</v>
      </c>
    </row>
    <row r="1384" spans="1:16" ht="19.5" customHeight="1">
      <c r="A1384" s="172" t="s">
        <v>569</v>
      </c>
      <c r="B1384" s="176">
        <v>46033</v>
      </c>
      <c r="C1384" s="172" t="s">
        <v>100</v>
      </c>
      <c r="D1384" s="172" t="s">
        <v>102</v>
      </c>
      <c r="E1384" s="172" t="s">
        <v>53</v>
      </c>
      <c r="F1384" s="172" t="s">
        <v>120</v>
      </c>
      <c r="G1384" s="172" t="s">
        <v>84</v>
      </c>
      <c r="H1384" s="177">
        <v>1</v>
      </c>
      <c r="I1384" s="178">
        <v>1845</v>
      </c>
      <c r="J1384" s="176">
        <v>46029</v>
      </c>
      <c r="K1384" s="172" t="s">
        <v>93</v>
      </c>
      <c r="L1384" s="172" t="s">
        <v>94</v>
      </c>
      <c r="M1384" s="179">
        <v>0</v>
      </c>
      <c r="N1384" s="177"/>
      <c r="O1384" s="177"/>
      <c r="P1384" s="180">
        <v>6.4</v>
      </c>
    </row>
    <row r="1385" spans="1:16" ht="19.5" customHeight="1">
      <c r="A1385" s="172" t="s">
        <v>569</v>
      </c>
      <c r="B1385" s="176">
        <v>46033</v>
      </c>
      <c r="C1385" s="172" t="s">
        <v>100</v>
      </c>
      <c r="D1385" s="172" t="s">
        <v>103</v>
      </c>
      <c r="E1385" s="172" t="s">
        <v>53</v>
      </c>
      <c r="F1385" s="172" t="s">
        <v>120</v>
      </c>
      <c r="G1385" s="172" t="s">
        <v>84</v>
      </c>
      <c r="H1385" s="177">
        <v>1</v>
      </c>
      <c r="I1385" s="178">
        <v>1845</v>
      </c>
      <c r="J1385" s="176">
        <v>46029</v>
      </c>
      <c r="K1385" s="172" t="s">
        <v>93</v>
      </c>
      <c r="L1385" s="172" t="s">
        <v>94</v>
      </c>
      <c r="M1385" s="179">
        <v>0</v>
      </c>
      <c r="N1385" s="177"/>
      <c r="O1385" s="177"/>
      <c r="P1385" s="180">
        <v>1198.79</v>
      </c>
    </row>
    <row r="1386" spans="1:16" ht="19.5" customHeight="1">
      <c r="A1386" s="172" t="s">
        <v>569</v>
      </c>
      <c r="B1386" s="176">
        <v>46033</v>
      </c>
      <c r="C1386" s="172" t="s">
        <v>104</v>
      </c>
      <c r="D1386" s="172" t="s">
        <v>105</v>
      </c>
      <c r="E1386" s="172" t="s">
        <v>53</v>
      </c>
      <c r="F1386" s="172" t="s">
        <v>120</v>
      </c>
      <c r="G1386" s="172" t="s">
        <v>84</v>
      </c>
      <c r="H1386" s="177">
        <v>1</v>
      </c>
      <c r="I1386" s="178">
        <v>1845</v>
      </c>
      <c r="J1386" s="176">
        <v>46029</v>
      </c>
      <c r="K1386" s="172" t="s">
        <v>93</v>
      </c>
      <c r="L1386" s="172" t="s">
        <v>94</v>
      </c>
      <c r="M1386" s="179">
        <v>0.43</v>
      </c>
      <c r="N1386" s="177"/>
      <c r="O1386" s="177"/>
      <c r="P1386" s="180">
        <v>-793.35</v>
      </c>
    </row>
    <row r="1387" spans="1:16" ht="19.5" customHeight="1">
      <c r="A1387" s="172" t="s">
        <v>569</v>
      </c>
      <c r="B1387" s="176">
        <v>46033</v>
      </c>
      <c r="C1387" s="172" t="s">
        <v>81</v>
      </c>
      <c r="D1387" s="172" t="s">
        <v>95</v>
      </c>
      <c r="E1387" s="172" t="s">
        <v>53</v>
      </c>
      <c r="F1387" s="172" t="s">
        <v>120</v>
      </c>
      <c r="G1387" s="172" t="s">
        <v>84</v>
      </c>
      <c r="H1387" s="177">
        <v>1</v>
      </c>
      <c r="I1387" s="178">
        <v>1845</v>
      </c>
      <c r="J1387" s="176">
        <v>46029</v>
      </c>
      <c r="K1387" s="172" t="s">
        <v>93</v>
      </c>
      <c r="L1387" s="172" t="s">
        <v>94</v>
      </c>
      <c r="M1387" s="179">
        <v>0.43</v>
      </c>
      <c r="N1387" s="177"/>
      <c r="O1387" s="177"/>
      <c r="P1387" s="180">
        <v>-9.15</v>
      </c>
    </row>
    <row r="1388" spans="1:16" ht="19.5" customHeight="1">
      <c r="A1388" s="172" t="s">
        <v>569</v>
      </c>
      <c r="B1388" s="176">
        <v>46033</v>
      </c>
      <c r="C1388" s="172" t="s">
        <v>166</v>
      </c>
      <c r="D1388" s="172" t="s">
        <v>167</v>
      </c>
      <c r="E1388" s="172" t="s">
        <v>53</v>
      </c>
      <c r="F1388" s="172" t="s">
        <v>120</v>
      </c>
      <c r="G1388" s="172" t="s">
        <v>84</v>
      </c>
      <c r="H1388" s="177">
        <v>1</v>
      </c>
      <c r="I1388" s="178">
        <v>-1845</v>
      </c>
      <c r="J1388" s="176">
        <v>46029</v>
      </c>
      <c r="K1388" s="172" t="s">
        <v>93</v>
      </c>
      <c r="L1388" s="172" t="s">
        <v>94</v>
      </c>
      <c r="M1388" s="179">
        <v>0</v>
      </c>
      <c r="N1388" s="177"/>
      <c r="O1388" s="177"/>
      <c r="P1388" s="180">
        <v>-639.80999999999995</v>
      </c>
    </row>
    <row r="1389" spans="1:16" ht="19.5" customHeight="1">
      <c r="A1389" s="172" t="s">
        <v>569</v>
      </c>
      <c r="B1389" s="176">
        <v>46033</v>
      </c>
      <c r="C1389" s="172" t="s">
        <v>166</v>
      </c>
      <c r="D1389" s="172" t="s">
        <v>102</v>
      </c>
      <c r="E1389" s="172" t="s">
        <v>53</v>
      </c>
      <c r="F1389" s="172" t="s">
        <v>120</v>
      </c>
      <c r="G1389" s="172" t="s">
        <v>84</v>
      </c>
      <c r="H1389" s="177">
        <v>1</v>
      </c>
      <c r="I1389" s="178">
        <v>-1845</v>
      </c>
      <c r="J1389" s="176">
        <v>46029</v>
      </c>
      <c r="K1389" s="172" t="s">
        <v>93</v>
      </c>
      <c r="L1389" s="172" t="s">
        <v>94</v>
      </c>
      <c r="M1389" s="179">
        <v>0</v>
      </c>
      <c r="N1389" s="177"/>
      <c r="O1389" s="177"/>
      <c r="P1389" s="180">
        <v>-6.4</v>
      </c>
    </row>
    <row r="1390" spans="1:16" ht="19.5" customHeight="1">
      <c r="A1390" s="172" t="s">
        <v>569</v>
      </c>
      <c r="B1390" s="176">
        <v>46033</v>
      </c>
      <c r="C1390" s="172" t="s">
        <v>166</v>
      </c>
      <c r="D1390" s="172" t="s">
        <v>103</v>
      </c>
      <c r="E1390" s="172" t="s">
        <v>53</v>
      </c>
      <c r="F1390" s="172" t="s">
        <v>120</v>
      </c>
      <c r="G1390" s="172" t="s">
        <v>84</v>
      </c>
      <c r="H1390" s="177">
        <v>1</v>
      </c>
      <c r="I1390" s="178">
        <v>-1845</v>
      </c>
      <c r="J1390" s="176">
        <v>46029</v>
      </c>
      <c r="K1390" s="172" t="s">
        <v>93</v>
      </c>
      <c r="L1390" s="172" t="s">
        <v>94</v>
      </c>
      <c r="M1390" s="179">
        <v>0</v>
      </c>
      <c r="N1390" s="177"/>
      <c r="O1390" s="177"/>
      <c r="P1390" s="180">
        <v>-1198.79</v>
      </c>
    </row>
    <row r="1391" spans="1:16" ht="19.5" customHeight="1">
      <c r="A1391" s="172" t="s">
        <v>569</v>
      </c>
      <c r="B1391" s="176">
        <v>46033</v>
      </c>
      <c r="C1391" s="172" t="s">
        <v>104</v>
      </c>
      <c r="D1391" s="172" t="s">
        <v>168</v>
      </c>
      <c r="E1391" s="172" t="s">
        <v>53</v>
      </c>
      <c r="F1391" s="172" t="s">
        <v>120</v>
      </c>
      <c r="G1391" s="172" t="s">
        <v>84</v>
      </c>
      <c r="H1391" s="177">
        <v>1</v>
      </c>
      <c r="I1391" s="178">
        <v>-1845</v>
      </c>
      <c r="J1391" s="176">
        <v>46029</v>
      </c>
      <c r="K1391" s="172" t="s">
        <v>93</v>
      </c>
      <c r="L1391" s="172" t="s">
        <v>94</v>
      </c>
      <c r="M1391" s="179">
        <v>0.43</v>
      </c>
      <c r="N1391" s="177"/>
      <c r="O1391" s="177"/>
      <c r="P1391" s="180">
        <v>793.35</v>
      </c>
    </row>
    <row r="1392" spans="1:16" ht="19.5" customHeight="1">
      <c r="A1392" s="172" t="s">
        <v>1058</v>
      </c>
      <c r="B1392" s="176">
        <v>46033</v>
      </c>
      <c r="C1392" s="172" t="s">
        <v>81</v>
      </c>
      <c r="D1392" s="172" t="s">
        <v>82</v>
      </c>
      <c r="E1392" s="172" t="s">
        <v>53</v>
      </c>
      <c r="F1392" s="172" t="s">
        <v>120</v>
      </c>
      <c r="G1392" s="172" t="s">
        <v>84</v>
      </c>
      <c r="H1392" s="177">
        <v>1</v>
      </c>
      <c r="I1392" s="178">
        <v>0</v>
      </c>
      <c r="J1392" s="176">
        <v>46033</v>
      </c>
      <c r="K1392" s="172" t="s">
        <v>85</v>
      </c>
      <c r="L1392" s="172" t="s">
        <v>85</v>
      </c>
      <c r="M1392" s="179">
        <v>0</v>
      </c>
      <c r="N1392" s="177"/>
      <c r="O1392" s="177"/>
      <c r="P1392" s="180">
        <v>-12.21</v>
      </c>
    </row>
    <row r="1393" spans="1:16" ht="19.5" customHeight="1">
      <c r="A1393" s="172" t="s">
        <v>1059</v>
      </c>
      <c r="B1393" s="176">
        <v>46033</v>
      </c>
      <c r="C1393" s="172" t="s">
        <v>92</v>
      </c>
      <c r="D1393" s="172" t="s">
        <v>24</v>
      </c>
      <c r="E1393" s="172" t="s">
        <v>53</v>
      </c>
      <c r="F1393" s="172" t="s">
        <v>120</v>
      </c>
      <c r="G1393" s="172" t="s">
        <v>84</v>
      </c>
      <c r="H1393" s="177">
        <v>1</v>
      </c>
      <c r="I1393" s="178">
        <v>1845</v>
      </c>
      <c r="J1393" s="176">
        <v>46024</v>
      </c>
      <c r="K1393" s="172" t="s">
        <v>93</v>
      </c>
      <c r="L1393" s="172" t="s">
        <v>94</v>
      </c>
      <c r="M1393" s="179">
        <v>0.43</v>
      </c>
      <c r="N1393" s="177"/>
      <c r="O1393" s="177">
        <v>42</v>
      </c>
      <c r="P1393" s="180">
        <v>-140.5</v>
      </c>
    </row>
    <row r="1394" spans="1:16" ht="19.5" customHeight="1">
      <c r="A1394" s="172" t="s">
        <v>1059</v>
      </c>
      <c r="B1394" s="176">
        <v>46033</v>
      </c>
      <c r="C1394" s="172" t="s">
        <v>100</v>
      </c>
      <c r="D1394" s="172" t="s">
        <v>101</v>
      </c>
      <c r="E1394" s="172" t="s">
        <v>53</v>
      </c>
      <c r="F1394" s="172" t="s">
        <v>120</v>
      </c>
      <c r="G1394" s="172" t="s">
        <v>84</v>
      </c>
      <c r="H1394" s="177">
        <v>1</v>
      </c>
      <c r="I1394" s="178">
        <v>1845</v>
      </c>
      <c r="J1394" s="176">
        <v>46024</v>
      </c>
      <c r="K1394" s="172" t="s">
        <v>93</v>
      </c>
      <c r="L1394" s="172" t="s">
        <v>94</v>
      </c>
      <c r="M1394" s="179">
        <v>0</v>
      </c>
      <c r="N1394" s="177"/>
      <c r="O1394" s="177"/>
      <c r="P1394" s="180">
        <v>642.25</v>
      </c>
    </row>
    <row r="1395" spans="1:16" ht="19.5" customHeight="1">
      <c r="A1395" s="172" t="s">
        <v>1059</v>
      </c>
      <c r="B1395" s="176">
        <v>46033</v>
      </c>
      <c r="C1395" s="172" t="s">
        <v>100</v>
      </c>
      <c r="D1395" s="172" t="s">
        <v>102</v>
      </c>
      <c r="E1395" s="172" t="s">
        <v>53</v>
      </c>
      <c r="F1395" s="172" t="s">
        <v>120</v>
      </c>
      <c r="G1395" s="172" t="s">
        <v>84</v>
      </c>
      <c r="H1395" s="177">
        <v>1</v>
      </c>
      <c r="I1395" s="178">
        <v>1845</v>
      </c>
      <c r="J1395" s="176">
        <v>46024</v>
      </c>
      <c r="K1395" s="172" t="s">
        <v>93</v>
      </c>
      <c r="L1395" s="172" t="s">
        <v>94</v>
      </c>
      <c r="M1395" s="179">
        <v>0</v>
      </c>
      <c r="N1395" s="177"/>
      <c r="O1395" s="177"/>
      <c r="P1395" s="180">
        <v>6.42</v>
      </c>
    </row>
    <row r="1396" spans="1:16" ht="19.5" customHeight="1">
      <c r="A1396" s="172" t="s">
        <v>1059</v>
      </c>
      <c r="B1396" s="176">
        <v>46033</v>
      </c>
      <c r="C1396" s="172" t="s">
        <v>100</v>
      </c>
      <c r="D1396" s="172" t="s">
        <v>103</v>
      </c>
      <c r="E1396" s="172" t="s">
        <v>53</v>
      </c>
      <c r="F1396" s="172" t="s">
        <v>120</v>
      </c>
      <c r="G1396" s="172" t="s">
        <v>84</v>
      </c>
      <c r="H1396" s="177">
        <v>1</v>
      </c>
      <c r="I1396" s="178">
        <v>1845</v>
      </c>
      <c r="J1396" s="176">
        <v>46024</v>
      </c>
      <c r="K1396" s="172" t="s">
        <v>93</v>
      </c>
      <c r="L1396" s="172" t="s">
        <v>94</v>
      </c>
      <c r="M1396" s="179">
        <v>0</v>
      </c>
      <c r="N1396" s="177"/>
      <c r="O1396" s="177"/>
      <c r="P1396" s="180">
        <v>1196.33</v>
      </c>
    </row>
    <row r="1397" spans="1:16" ht="19.5" customHeight="1">
      <c r="A1397" s="172" t="s">
        <v>1059</v>
      </c>
      <c r="B1397" s="176">
        <v>46033</v>
      </c>
      <c r="C1397" s="172" t="s">
        <v>104</v>
      </c>
      <c r="D1397" s="172" t="s">
        <v>105</v>
      </c>
      <c r="E1397" s="172" t="s">
        <v>53</v>
      </c>
      <c r="F1397" s="172" t="s">
        <v>120</v>
      </c>
      <c r="G1397" s="172" t="s">
        <v>84</v>
      </c>
      <c r="H1397" s="177">
        <v>1</v>
      </c>
      <c r="I1397" s="178">
        <v>1845</v>
      </c>
      <c r="J1397" s="176">
        <v>46024</v>
      </c>
      <c r="K1397" s="172" t="s">
        <v>93</v>
      </c>
      <c r="L1397" s="172" t="s">
        <v>94</v>
      </c>
      <c r="M1397" s="179">
        <v>0.43</v>
      </c>
      <c r="N1397" s="177"/>
      <c r="O1397" s="177"/>
      <c r="P1397" s="180">
        <v>-793.35</v>
      </c>
    </row>
    <row r="1398" spans="1:16" ht="19.5" customHeight="1">
      <c r="A1398" s="172" t="s">
        <v>1059</v>
      </c>
      <c r="B1398" s="176">
        <v>46033</v>
      </c>
      <c r="C1398" s="172" t="s">
        <v>81</v>
      </c>
      <c r="D1398" s="172" t="s">
        <v>95</v>
      </c>
      <c r="E1398" s="172" t="s">
        <v>53</v>
      </c>
      <c r="F1398" s="172" t="s">
        <v>120</v>
      </c>
      <c r="G1398" s="172" t="s">
        <v>84</v>
      </c>
      <c r="H1398" s="177">
        <v>1</v>
      </c>
      <c r="I1398" s="178">
        <v>1845</v>
      </c>
      <c r="J1398" s="176">
        <v>46024</v>
      </c>
      <c r="K1398" s="172" t="s">
        <v>93</v>
      </c>
      <c r="L1398" s="172" t="s">
        <v>94</v>
      </c>
      <c r="M1398" s="179">
        <v>0.43</v>
      </c>
      <c r="N1398" s="177"/>
      <c r="O1398" s="177"/>
      <c r="P1398" s="180">
        <v>-8.68</v>
      </c>
    </row>
    <row r="1399" spans="1:16" ht="19.5" customHeight="1">
      <c r="A1399" s="172" t="s">
        <v>1060</v>
      </c>
      <c r="B1399" s="176">
        <v>46033</v>
      </c>
      <c r="C1399" s="172" t="s">
        <v>92</v>
      </c>
      <c r="D1399" s="172" t="s">
        <v>24</v>
      </c>
      <c r="E1399" s="172" t="s">
        <v>43</v>
      </c>
      <c r="F1399" s="172" t="s">
        <v>125</v>
      </c>
      <c r="G1399" s="172" t="s">
        <v>84</v>
      </c>
      <c r="H1399" s="177">
        <v>1</v>
      </c>
      <c r="I1399" s="178">
        <v>1202</v>
      </c>
      <c r="J1399" s="176">
        <v>46030</v>
      </c>
      <c r="K1399" s="172" t="s">
        <v>93</v>
      </c>
      <c r="L1399" s="172" t="s">
        <v>94</v>
      </c>
      <c r="M1399" s="179">
        <v>0.43</v>
      </c>
      <c r="N1399" s="177"/>
      <c r="O1399" s="177">
        <v>42</v>
      </c>
      <c r="P1399" s="180">
        <v>-107.69</v>
      </c>
    </row>
    <row r="1400" spans="1:16" ht="19.5" customHeight="1">
      <c r="A1400" s="172" t="s">
        <v>1060</v>
      </c>
      <c r="B1400" s="176">
        <v>46033</v>
      </c>
      <c r="C1400" s="172" t="s">
        <v>100</v>
      </c>
      <c r="D1400" s="172" t="s">
        <v>101</v>
      </c>
      <c r="E1400" s="172" t="s">
        <v>43</v>
      </c>
      <c r="F1400" s="172" t="s">
        <v>125</v>
      </c>
      <c r="G1400" s="172" t="s">
        <v>84</v>
      </c>
      <c r="H1400" s="177">
        <v>1</v>
      </c>
      <c r="I1400" s="178">
        <v>1202</v>
      </c>
      <c r="J1400" s="176">
        <v>46030</v>
      </c>
      <c r="K1400" s="172" t="s">
        <v>93</v>
      </c>
      <c r="L1400" s="172" t="s">
        <v>94</v>
      </c>
      <c r="M1400" s="179">
        <v>0</v>
      </c>
      <c r="N1400" s="177"/>
      <c r="O1400" s="177"/>
      <c r="P1400" s="180">
        <v>459.05</v>
      </c>
    </row>
    <row r="1401" spans="1:16" ht="19.5" customHeight="1">
      <c r="A1401" s="172" t="s">
        <v>1060</v>
      </c>
      <c r="B1401" s="176">
        <v>46033</v>
      </c>
      <c r="C1401" s="172" t="s">
        <v>100</v>
      </c>
      <c r="D1401" s="172" t="s">
        <v>102</v>
      </c>
      <c r="E1401" s="172" t="s">
        <v>43</v>
      </c>
      <c r="F1401" s="172" t="s">
        <v>125</v>
      </c>
      <c r="G1401" s="172" t="s">
        <v>84</v>
      </c>
      <c r="H1401" s="177">
        <v>1</v>
      </c>
      <c r="I1401" s="178">
        <v>1202</v>
      </c>
      <c r="J1401" s="176">
        <v>46030</v>
      </c>
      <c r="K1401" s="172" t="s">
        <v>93</v>
      </c>
      <c r="L1401" s="172" t="s">
        <v>94</v>
      </c>
      <c r="M1401" s="179">
        <v>0</v>
      </c>
      <c r="N1401" s="177"/>
      <c r="O1401" s="177"/>
      <c r="P1401" s="180">
        <v>4.59</v>
      </c>
    </row>
    <row r="1402" spans="1:16" ht="19.5" customHeight="1">
      <c r="A1402" s="172" t="s">
        <v>1060</v>
      </c>
      <c r="B1402" s="176">
        <v>46033</v>
      </c>
      <c r="C1402" s="172" t="s">
        <v>100</v>
      </c>
      <c r="D1402" s="172" t="s">
        <v>103</v>
      </c>
      <c r="E1402" s="172" t="s">
        <v>43</v>
      </c>
      <c r="F1402" s="172" t="s">
        <v>125</v>
      </c>
      <c r="G1402" s="172" t="s">
        <v>84</v>
      </c>
      <c r="H1402" s="177">
        <v>1</v>
      </c>
      <c r="I1402" s="178">
        <v>1202</v>
      </c>
      <c r="J1402" s="176">
        <v>46030</v>
      </c>
      <c r="K1402" s="172" t="s">
        <v>93</v>
      </c>
      <c r="L1402" s="172" t="s">
        <v>94</v>
      </c>
      <c r="M1402" s="179">
        <v>0</v>
      </c>
      <c r="N1402" s="177"/>
      <c r="O1402" s="177"/>
      <c r="P1402" s="180">
        <v>738.36</v>
      </c>
    </row>
    <row r="1403" spans="1:16" ht="19.5" customHeight="1">
      <c r="A1403" s="172" t="s">
        <v>1060</v>
      </c>
      <c r="B1403" s="176">
        <v>46033</v>
      </c>
      <c r="C1403" s="172" t="s">
        <v>104</v>
      </c>
      <c r="D1403" s="172" t="s">
        <v>105</v>
      </c>
      <c r="E1403" s="172" t="s">
        <v>43</v>
      </c>
      <c r="F1403" s="172" t="s">
        <v>125</v>
      </c>
      <c r="G1403" s="172" t="s">
        <v>84</v>
      </c>
      <c r="H1403" s="177">
        <v>1</v>
      </c>
      <c r="I1403" s="178">
        <v>1202</v>
      </c>
      <c r="J1403" s="176">
        <v>46030</v>
      </c>
      <c r="K1403" s="172" t="s">
        <v>93</v>
      </c>
      <c r="L1403" s="172" t="s">
        <v>94</v>
      </c>
      <c r="M1403" s="179">
        <v>0.43</v>
      </c>
      <c r="N1403" s="177"/>
      <c r="O1403" s="177"/>
      <c r="P1403" s="180">
        <v>-516.86</v>
      </c>
    </row>
    <row r="1404" spans="1:16" ht="19.5" customHeight="1">
      <c r="A1404" s="172" t="s">
        <v>898</v>
      </c>
      <c r="B1404" s="176">
        <v>46033</v>
      </c>
      <c r="C1404" s="172" t="s">
        <v>81</v>
      </c>
      <c r="D1404" s="172" t="s">
        <v>82</v>
      </c>
      <c r="E1404" s="172" t="s">
        <v>53</v>
      </c>
      <c r="F1404" s="172" t="s">
        <v>120</v>
      </c>
      <c r="G1404" s="172" t="s">
        <v>84</v>
      </c>
      <c r="H1404" s="177">
        <v>1</v>
      </c>
      <c r="I1404" s="178">
        <v>0</v>
      </c>
      <c r="J1404" s="176">
        <v>46029</v>
      </c>
      <c r="K1404" s="172" t="s">
        <v>85</v>
      </c>
      <c r="L1404" s="172" t="s">
        <v>85</v>
      </c>
      <c r="M1404" s="179">
        <v>0</v>
      </c>
      <c r="N1404" s="177"/>
      <c r="O1404" s="177"/>
      <c r="P1404" s="180">
        <v>12.16</v>
      </c>
    </row>
    <row r="1405" spans="1:16" ht="19.5" customHeight="1">
      <c r="A1405" s="172" t="s">
        <v>1061</v>
      </c>
      <c r="B1405" s="176">
        <v>46033</v>
      </c>
      <c r="C1405" s="172" t="s">
        <v>92</v>
      </c>
      <c r="D1405" s="172" t="s">
        <v>24</v>
      </c>
      <c r="E1405" s="172" t="s">
        <v>42</v>
      </c>
      <c r="F1405" s="172" t="s">
        <v>89</v>
      </c>
      <c r="G1405" s="172" t="s">
        <v>84</v>
      </c>
      <c r="H1405" s="177">
        <v>1</v>
      </c>
      <c r="I1405" s="178">
        <v>1600</v>
      </c>
      <c r="J1405" s="176">
        <v>46031</v>
      </c>
      <c r="K1405" s="172" t="s">
        <v>93</v>
      </c>
      <c r="L1405" s="172" t="s">
        <v>94</v>
      </c>
      <c r="M1405" s="179">
        <v>0.43</v>
      </c>
      <c r="N1405" s="177"/>
      <c r="O1405" s="177">
        <v>42</v>
      </c>
      <c r="P1405" s="180">
        <v>-119.03</v>
      </c>
    </row>
    <row r="1406" spans="1:16" ht="19.5" customHeight="1">
      <c r="A1406" s="172" t="s">
        <v>1061</v>
      </c>
      <c r="B1406" s="176">
        <v>46033</v>
      </c>
      <c r="C1406" s="172" t="s">
        <v>100</v>
      </c>
      <c r="D1406" s="172" t="s">
        <v>101</v>
      </c>
      <c r="E1406" s="172" t="s">
        <v>42</v>
      </c>
      <c r="F1406" s="172" t="s">
        <v>89</v>
      </c>
      <c r="G1406" s="172" t="s">
        <v>84</v>
      </c>
      <c r="H1406" s="177">
        <v>1</v>
      </c>
      <c r="I1406" s="178">
        <v>1600</v>
      </c>
      <c r="J1406" s="176">
        <v>46031</v>
      </c>
      <c r="K1406" s="172" t="s">
        <v>93</v>
      </c>
      <c r="L1406" s="172" t="s">
        <v>94</v>
      </c>
      <c r="M1406" s="179">
        <v>0</v>
      </c>
      <c r="N1406" s="177"/>
      <c r="O1406" s="177"/>
      <c r="P1406" s="180">
        <v>560.41999999999996</v>
      </c>
    </row>
    <row r="1407" spans="1:16" ht="19.5" customHeight="1">
      <c r="A1407" s="172" t="s">
        <v>1061</v>
      </c>
      <c r="B1407" s="176">
        <v>46033</v>
      </c>
      <c r="C1407" s="172" t="s">
        <v>100</v>
      </c>
      <c r="D1407" s="172" t="s">
        <v>102</v>
      </c>
      <c r="E1407" s="172" t="s">
        <v>42</v>
      </c>
      <c r="F1407" s="172" t="s">
        <v>89</v>
      </c>
      <c r="G1407" s="172" t="s">
        <v>84</v>
      </c>
      <c r="H1407" s="177">
        <v>1</v>
      </c>
      <c r="I1407" s="178">
        <v>1600</v>
      </c>
      <c r="J1407" s="176">
        <v>46031</v>
      </c>
      <c r="K1407" s="172" t="s">
        <v>93</v>
      </c>
      <c r="L1407" s="172" t="s">
        <v>94</v>
      </c>
      <c r="M1407" s="179">
        <v>0</v>
      </c>
      <c r="N1407" s="177"/>
      <c r="O1407" s="177"/>
      <c r="P1407" s="180">
        <v>5.6</v>
      </c>
    </row>
    <row r="1408" spans="1:16" ht="19.5" customHeight="1">
      <c r="A1408" s="172" t="s">
        <v>1061</v>
      </c>
      <c r="B1408" s="176">
        <v>46033</v>
      </c>
      <c r="C1408" s="172" t="s">
        <v>100</v>
      </c>
      <c r="D1408" s="172" t="s">
        <v>103</v>
      </c>
      <c r="E1408" s="172" t="s">
        <v>42</v>
      </c>
      <c r="F1408" s="172" t="s">
        <v>89</v>
      </c>
      <c r="G1408" s="172" t="s">
        <v>84</v>
      </c>
      <c r="H1408" s="177">
        <v>1</v>
      </c>
      <c r="I1408" s="178">
        <v>1600</v>
      </c>
      <c r="J1408" s="176">
        <v>46031</v>
      </c>
      <c r="K1408" s="172" t="s">
        <v>93</v>
      </c>
      <c r="L1408" s="172" t="s">
        <v>94</v>
      </c>
      <c r="M1408" s="179">
        <v>0</v>
      </c>
      <c r="N1408" s="177"/>
      <c r="O1408" s="177"/>
      <c r="P1408" s="180">
        <v>1033.98</v>
      </c>
    </row>
    <row r="1409" spans="1:16" ht="19.5" customHeight="1">
      <c r="A1409" s="172" t="s">
        <v>1061</v>
      </c>
      <c r="B1409" s="176">
        <v>46033</v>
      </c>
      <c r="C1409" s="172" t="s">
        <v>104</v>
      </c>
      <c r="D1409" s="172" t="s">
        <v>105</v>
      </c>
      <c r="E1409" s="172" t="s">
        <v>42</v>
      </c>
      <c r="F1409" s="172" t="s">
        <v>89</v>
      </c>
      <c r="G1409" s="172" t="s">
        <v>84</v>
      </c>
      <c r="H1409" s="177">
        <v>1</v>
      </c>
      <c r="I1409" s="178">
        <v>1600</v>
      </c>
      <c r="J1409" s="176">
        <v>46031</v>
      </c>
      <c r="K1409" s="172" t="s">
        <v>93</v>
      </c>
      <c r="L1409" s="172" t="s">
        <v>94</v>
      </c>
      <c r="M1409" s="179">
        <v>0.43</v>
      </c>
      <c r="N1409" s="177"/>
      <c r="O1409" s="177"/>
      <c r="P1409" s="180">
        <v>-688</v>
      </c>
    </row>
    <row r="1410" spans="1:16" ht="19.5" customHeight="1">
      <c r="A1410" s="172" t="s">
        <v>1061</v>
      </c>
      <c r="B1410" s="176">
        <v>46033</v>
      </c>
      <c r="C1410" s="172" t="s">
        <v>81</v>
      </c>
      <c r="D1410" s="172" t="s">
        <v>95</v>
      </c>
      <c r="E1410" s="172" t="s">
        <v>42</v>
      </c>
      <c r="F1410" s="172" t="s">
        <v>89</v>
      </c>
      <c r="G1410" s="172" t="s">
        <v>84</v>
      </c>
      <c r="H1410" s="177">
        <v>1</v>
      </c>
      <c r="I1410" s="178">
        <v>1600</v>
      </c>
      <c r="J1410" s="176">
        <v>46031</v>
      </c>
      <c r="K1410" s="172" t="s">
        <v>93</v>
      </c>
      <c r="L1410" s="172" t="s">
        <v>94</v>
      </c>
      <c r="M1410" s="179">
        <v>0.43</v>
      </c>
      <c r="N1410" s="177"/>
      <c r="O1410" s="177"/>
      <c r="P1410" s="180">
        <v>-8.6</v>
      </c>
    </row>
    <row r="1411" spans="1:16" ht="19.5" customHeight="1">
      <c r="A1411" s="172" t="s">
        <v>1060</v>
      </c>
      <c r="B1411" s="176">
        <v>46033</v>
      </c>
      <c r="C1411" s="172" t="s">
        <v>81</v>
      </c>
      <c r="D1411" s="172" t="s">
        <v>82</v>
      </c>
      <c r="E1411" s="172" t="s">
        <v>43</v>
      </c>
      <c r="F1411" s="172" t="s">
        <v>125</v>
      </c>
      <c r="G1411" s="172" t="s">
        <v>84</v>
      </c>
      <c r="H1411" s="177">
        <v>1</v>
      </c>
      <c r="I1411" s="178">
        <v>0</v>
      </c>
      <c r="J1411" s="176">
        <v>46030</v>
      </c>
      <c r="K1411" s="172" t="s">
        <v>85</v>
      </c>
      <c r="L1411" s="172" t="s">
        <v>85</v>
      </c>
      <c r="M1411" s="179">
        <v>0</v>
      </c>
      <c r="N1411" s="177"/>
      <c r="O1411" s="177"/>
      <c r="P1411" s="180">
        <v>-8.7200000000000006</v>
      </c>
    </row>
    <row r="1412" spans="1:16" ht="19.5" customHeight="1">
      <c r="A1412" s="172" t="s">
        <v>1061</v>
      </c>
      <c r="B1412" s="176">
        <v>46033</v>
      </c>
      <c r="C1412" s="172" t="s">
        <v>81</v>
      </c>
      <c r="D1412" s="172" t="s">
        <v>82</v>
      </c>
      <c r="E1412" s="172" t="s">
        <v>42</v>
      </c>
      <c r="F1412" s="172" t="s">
        <v>89</v>
      </c>
      <c r="G1412" s="172" t="s">
        <v>84</v>
      </c>
      <c r="H1412" s="177">
        <v>1</v>
      </c>
      <c r="I1412" s="178">
        <v>0</v>
      </c>
      <c r="J1412" s="176">
        <v>46031</v>
      </c>
      <c r="K1412" s="172" t="s">
        <v>85</v>
      </c>
      <c r="L1412" s="172" t="s">
        <v>85</v>
      </c>
      <c r="M1412" s="179">
        <v>0</v>
      </c>
      <c r="N1412" s="177"/>
      <c r="O1412" s="177"/>
      <c r="P1412" s="180">
        <v>-10.65</v>
      </c>
    </row>
    <row r="1413" spans="1:16" ht="19.5" customHeight="1">
      <c r="A1413" s="172" t="s">
        <v>1062</v>
      </c>
      <c r="B1413" s="176">
        <v>46033</v>
      </c>
      <c r="C1413" s="172" t="s">
        <v>92</v>
      </c>
      <c r="D1413" s="172" t="s">
        <v>24</v>
      </c>
      <c r="E1413" s="172" t="s">
        <v>42</v>
      </c>
      <c r="F1413" s="172" t="s">
        <v>89</v>
      </c>
      <c r="G1413" s="172" t="s">
        <v>84</v>
      </c>
      <c r="H1413" s="177">
        <v>1</v>
      </c>
      <c r="I1413" s="178">
        <v>1600</v>
      </c>
      <c r="J1413" s="176">
        <v>46030</v>
      </c>
      <c r="K1413" s="172" t="s">
        <v>93</v>
      </c>
      <c r="L1413" s="172" t="s">
        <v>94</v>
      </c>
      <c r="M1413" s="179">
        <v>0.43</v>
      </c>
      <c r="N1413" s="177"/>
      <c r="O1413" s="177">
        <v>42</v>
      </c>
      <c r="P1413" s="180">
        <v>-119.03</v>
      </c>
    </row>
    <row r="1414" spans="1:16" ht="19.5" customHeight="1">
      <c r="A1414" s="172" t="s">
        <v>1062</v>
      </c>
      <c r="B1414" s="176">
        <v>46033</v>
      </c>
      <c r="C1414" s="172" t="s">
        <v>100</v>
      </c>
      <c r="D1414" s="172" t="s">
        <v>101</v>
      </c>
      <c r="E1414" s="172" t="s">
        <v>42</v>
      </c>
      <c r="F1414" s="172" t="s">
        <v>89</v>
      </c>
      <c r="G1414" s="172" t="s">
        <v>84</v>
      </c>
      <c r="H1414" s="177">
        <v>1</v>
      </c>
      <c r="I1414" s="178">
        <v>1600</v>
      </c>
      <c r="J1414" s="176">
        <v>46030</v>
      </c>
      <c r="K1414" s="172" t="s">
        <v>93</v>
      </c>
      <c r="L1414" s="172" t="s">
        <v>94</v>
      </c>
      <c r="M1414" s="179">
        <v>0</v>
      </c>
      <c r="N1414" s="177"/>
      <c r="O1414" s="177"/>
      <c r="P1414" s="180">
        <v>625.95000000000005</v>
      </c>
    </row>
    <row r="1415" spans="1:16" ht="19.5" customHeight="1">
      <c r="A1415" s="172" t="s">
        <v>1062</v>
      </c>
      <c r="B1415" s="176">
        <v>46033</v>
      </c>
      <c r="C1415" s="172" t="s">
        <v>100</v>
      </c>
      <c r="D1415" s="172" t="s">
        <v>102</v>
      </c>
      <c r="E1415" s="172" t="s">
        <v>42</v>
      </c>
      <c r="F1415" s="172" t="s">
        <v>89</v>
      </c>
      <c r="G1415" s="172" t="s">
        <v>84</v>
      </c>
      <c r="H1415" s="177">
        <v>1</v>
      </c>
      <c r="I1415" s="178">
        <v>1600</v>
      </c>
      <c r="J1415" s="176">
        <v>46030</v>
      </c>
      <c r="K1415" s="172" t="s">
        <v>93</v>
      </c>
      <c r="L1415" s="172" t="s">
        <v>94</v>
      </c>
      <c r="M1415" s="179">
        <v>0</v>
      </c>
      <c r="N1415" s="177"/>
      <c r="O1415" s="177"/>
      <c r="P1415" s="180">
        <v>6.26</v>
      </c>
    </row>
    <row r="1416" spans="1:16" ht="19.5" customHeight="1">
      <c r="A1416" s="172" t="s">
        <v>1062</v>
      </c>
      <c r="B1416" s="176">
        <v>46033</v>
      </c>
      <c r="C1416" s="172" t="s">
        <v>100</v>
      </c>
      <c r="D1416" s="172" t="s">
        <v>103</v>
      </c>
      <c r="E1416" s="172" t="s">
        <v>42</v>
      </c>
      <c r="F1416" s="172" t="s">
        <v>89</v>
      </c>
      <c r="G1416" s="172" t="s">
        <v>84</v>
      </c>
      <c r="H1416" s="177">
        <v>1</v>
      </c>
      <c r="I1416" s="178">
        <v>1600</v>
      </c>
      <c r="J1416" s="176">
        <v>46030</v>
      </c>
      <c r="K1416" s="172" t="s">
        <v>93</v>
      </c>
      <c r="L1416" s="172" t="s">
        <v>94</v>
      </c>
      <c r="M1416" s="179">
        <v>0</v>
      </c>
      <c r="N1416" s="177"/>
      <c r="O1416" s="177"/>
      <c r="P1416" s="180">
        <v>967.79</v>
      </c>
    </row>
    <row r="1417" spans="1:16" ht="19.5" customHeight="1">
      <c r="A1417" s="172" t="s">
        <v>1062</v>
      </c>
      <c r="B1417" s="176">
        <v>46033</v>
      </c>
      <c r="C1417" s="172" t="s">
        <v>104</v>
      </c>
      <c r="D1417" s="172" t="s">
        <v>105</v>
      </c>
      <c r="E1417" s="172" t="s">
        <v>42</v>
      </c>
      <c r="F1417" s="172" t="s">
        <v>89</v>
      </c>
      <c r="G1417" s="172" t="s">
        <v>84</v>
      </c>
      <c r="H1417" s="177">
        <v>1</v>
      </c>
      <c r="I1417" s="178">
        <v>1600</v>
      </c>
      <c r="J1417" s="176">
        <v>46030</v>
      </c>
      <c r="K1417" s="172" t="s">
        <v>93</v>
      </c>
      <c r="L1417" s="172" t="s">
        <v>94</v>
      </c>
      <c r="M1417" s="179">
        <v>0.43</v>
      </c>
      <c r="N1417" s="177"/>
      <c r="O1417" s="177"/>
      <c r="P1417" s="180">
        <v>-688</v>
      </c>
    </row>
    <row r="1418" spans="1:16" ht="19.5" customHeight="1">
      <c r="A1418" s="172" t="s">
        <v>1062</v>
      </c>
      <c r="B1418" s="176">
        <v>46033</v>
      </c>
      <c r="C1418" s="172" t="s">
        <v>81</v>
      </c>
      <c r="D1418" s="172" t="s">
        <v>95</v>
      </c>
      <c r="E1418" s="172" t="s">
        <v>42</v>
      </c>
      <c r="F1418" s="172" t="s">
        <v>89</v>
      </c>
      <c r="G1418" s="172" t="s">
        <v>84</v>
      </c>
      <c r="H1418" s="177">
        <v>1</v>
      </c>
      <c r="I1418" s="178">
        <v>1600</v>
      </c>
      <c r="J1418" s="176">
        <v>46030</v>
      </c>
      <c r="K1418" s="172" t="s">
        <v>93</v>
      </c>
      <c r="L1418" s="172" t="s">
        <v>94</v>
      </c>
      <c r="M1418" s="179">
        <v>0.43</v>
      </c>
      <c r="N1418" s="177"/>
      <c r="O1418" s="177"/>
      <c r="P1418" s="180">
        <v>-8.86</v>
      </c>
    </row>
    <row r="1419" spans="1:16" ht="19.5" customHeight="1">
      <c r="A1419" s="172" t="s">
        <v>1062</v>
      </c>
      <c r="B1419" s="176">
        <v>46033</v>
      </c>
      <c r="C1419" s="172" t="s">
        <v>81</v>
      </c>
      <c r="D1419" s="172" t="s">
        <v>82</v>
      </c>
      <c r="E1419" s="172" t="s">
        <v>42</v>
      </c>
      <c r="F1419" s="172" t="s">
        <v>89</v>
      </c>
      <c r="G1419" s="172" t="s">
        <v>84</v>
      </c>
      <c r="H1419" s="177">
        <v>1</v>
      </c>
      <c r="I1419" s="178">
        <v>0</v>
      </c>
      <c r="J1419" s="176">
        <v>46030</v>
      </c>
      <c r="K1419" s="172" t="s">
        <v>85</v>
      </c>
      <c r="L1419" s="172" t="s">
        <v>85</v>
      </c>
      <c r="M1419" s="179">
        <v>0</v>
      </c>
      <c r="N1419" s="177"/>
      <c r="O1419" s="177"/>
      <c r="P1419" s="180">
        <v>-11.89</v>
      </c>
    </row>
    <row r="1420" spans="1:16" ht="19.5" customHeight="1">
      <c r="A1420" s="172" t="s">
        <v>1063</v>
      </c>
      <c r="B1420" s="176">
        <v>46033</v>
      </c>
      <c r="C1420" s="172" t="s">
        <v>81</v>
      </c>
      <c r="D1420" s="172" t="s">
        <v>82</v>
      </c>
      <c r="E1420" s="172" t="s">
        <v>52</v>
      </c>
      <c r="F1420" s="172" t="s">
        <v>90</v>
      </c>
      <c r="G1420" s="172" t="s">
        <v>84</v>
      </c>
      <c r="H1420" s="177">
        <v>1</v>
      </c>
      <c r="I1420" s="178">
        <v>0</v>
      </c>
      <c r="J1420" s="176">
        <v>46033</v>
      </c>
      <c r="K1420" s="172" t="s">
        <v>85</v>
      </c>
      <c r="L1420" s="172" t="s">
        <v>85</v>
      </c>
      <c r="M1420" s="179">
        <v>0</v>
      </c>
      <c r="N1420" s="177"/>
      <c r="O1420" s="177"/>
      <c r="P1420" s="180">
        <v>-5.78</v>
      </c>
    </row>
    <row r="1421" spans="1:16" ht="19.5" customHeight="1">
      <c r="A1421" s="172" t="s">
        <v>1064</v>
      </c>
      <c r="B1421" s="176">
        <v>46033</v>
      </c>
      <c r="C1421" s="172" t="s">
        <v>92</v>
      </c>
      <c r="D1421" s="172" t="s">
        <v>24</v>
      </c>
      <c r="E1421" s="172" t="s">
        <v>40</v>
      </c>
      <c r="F1421" s="172" t="s">
        <v>197</v>
      </c>
      <c r="G1421" s="172" t="s">
        <v>84</v>
      </c>
      <c r="H1421" s="177">
        <v>1</v>
      </c>
      <c r="I1421" s="178">
        <v>0</v>
      </c>
      <c r="J1421" s="176">
        <v>46026</v>
      </c>
      <c r="K1421" s="172" t="s">
        <v>93</v>
      </c>
      <c r="L1421" s="172" t="s">
        <v>94</v>
      </c>
      <c r="M1421" s="179">
        <v>0</v>
      </c>
      <c r="N1421" s="177"/>
      <c r="O1421" s="177">
        <v>46</v>
      </c>
      <c r="P1421" s="180">
        <v>-46.77</v>
      </c>
    </row>
    <row r="1422" spans="1:16" ht="19.5" customHeight="1">
      <c r="A1422" s="172" t="s">
        <v>1064</v>
      </c>
      <c r="B1422" s="176">
        <v>46033</v>
      </c>
      <c r="C1422" s="172" t="s">
        <v>81</v>
      </c>
      <c r="D1422" s="172" t="s">
        <v>95</v>
      </c>
      <c r="E1422" s="172" t="s">
        <v>40</v>
      </c>
      <c r="F1422" s="172" t="s">
        <v>197</v>
      </c>
      <c r="G1422" s="172" t="s">
        <v>84</v>
      </c>
      <c r="H1422" s="177">
        <v>1</v>
      </c>
      <c r="I1422" s="178">
        <v>0</v>
      </c>
      <c r="J1422" s="176">
        <v>46026</v>
      </c>
      <c r="K1422" s="172" t="s">
        <v>93</v>
      </c>
      <c r="L1422" s="172" t="s">
        <v>94</v>
      </c>
      <c r="M1422" s="179">
        <v>0</v>
      </c>
      <c r="N1422" s="177"/>
      <c r="O1422" s="177"/>
      <c r="P1422" s="180">
        <v>-8.2799999999999994</v>
      </c>
    </row>
    <row r="1423" spans="1:16" ht="19.5" customHeight="1">
      <c r="A1423" s="172" t="s">
        <v>1065</v>
      </c>
      <c r="B1423" s="176">
        <v>46033</v>
      </c>
      <c r="C1423" s="172" t="s">
        <v>81</v>
      </c>
      <c r="D1423" s="172" t="s">
        <v>82</v>
      </c>
      <c r="E1423" s="172" t="s">
        <v>52</v>
      </c>
      <c r="F1423" s="172" t="s">
        <v>90</v>
      </c>
      <c r="G1423" s="172" t="s">
        <v>84</v>
      </c>
      <c r="H1423" s="177">
        <v>1</v>
      </c>
      <c r="I1423" s="178">
        <v>0</v>
      </c>
      <c r="J1423" s="176">
        <v>46033</v>
      </c>
      <c r="K1423" s="172" t="s">
        <v>85</v>
      </c>
      <c r="L1423" s="172" t="s">
        <v>85</v>
      </c>
      <c r="M1423" s="179">
        <v>0</v>
      </c>
      <c r="N1423" s="177"/>
      <c r="O1423" s="177"/>
      <c r="P1423" s="180">
        <v>-10.59</v>
      </c>
    </row>
    <row r="1424" spans="1:16" ht="19.5" customHeight="1">
      <c r="A1424" s="172" t="s">
        <v>1064</v>
      </c>
      <c r="B1424" s="176">
        <v>46033</v>
      </c>
      <c r="C1424" s="172" t="s">
        <v>92</v>
      </c>
      <c r="D1424" s="172" t="s">
        <v>96</v>
      </c>
      <c r="E1424" s="172" t="s">
        <v>40</v>
      </c>
      <c r="F1424" s="172" t="s">
        <v>197</v>
      </c>
      <c r="G1424" s="172" t="s">
        <v>84</v>
      </c>
      <c r="H1424" s="177">
        <v>1</v>
      </c>
      <c r="I1424" s="178">
        <v>0</v>
      </c>
      <c r="J1424" s="176">
        <v>46026</v>
      </c>
      <c r="K1424" s="172" t="s">
        <v>93</v>
      </c>
      <c r="L1424" s="172" t="s">
        <v>94</v>
      </c>
      <c r="M1424" s="179">
        <v>0</v>
      </c>
      <c r="N1424" s="177"/>
      <c r="O1424" s="177"/>
      <c r="P1424" s="180">
        <v>0</v>
      </c>
    </row>
    <row r="1425" spans="1:16" ht="19.5" customHeight="1">
      <c r="A1425" s="172" t="s">
        <v>1064</v>
      </c>
      <c r="B1425" s="176">
        <v>46033</v>
      </c>
      <c r="C1425" s="172" t="s">
        <v>92</v>
      </c>
      <c r="D1425" s="172" t="s">
        <v>97</v>
      </c>
      <c r="E1425" s="172" t="s">
        <v>40</v>
      </c>
      <c r="F1425" s="172" t="s">
        <v>197</v>
      </c>
      <c r="G1425" s="172" t="s">
        <v>84</v>
      </c>
      <c r="H1425" s="177">
        <v>1</v>
      </c>
      <c r="I1425" s="178">
        <v>0</v>
      </c>
      <c r="J1425" s="176">
        <v>46026</v>
      </c>
      <c r="K1425" s="172" t="s">
        <v>93</v>
      </c>
      <c r="L1425" s="172" t="s">
        <v>94</v>
      </c>
      <c r="M1425" s="179">
        <v>0</v>
      </c>
      <c r="N1425" s="177"/>
      <c r="O1425" s="177"/>
      <c r="P1425" s="180">
        <v>-46.77</v>
      </c>
    </row>
    <row r="1426" spans="1:16" ht="19.5" customHeight="1">
      <c r="A1426" s="172" t="s">
        <v>1064</v>
      </c>
      <c r="B1426" s="176">
        <v>46033</v>
      </c>
      <c r="C1426" s="172" t="s">
        <v>81</v>
      </c>
      <c r="D1426" s="172" t="s">
        <v>98</v>
      </c>
      <c r="E1426" s="172" t="s">
        <v>40</v>
      </c>
      <c r="F1426" s="172" t="s">
        <v>197</v>
      </c>
      <c r="G1426" s="172" t="s">
        <v>84</v>
      </c>
      <c r="H1426" s="177">
        <v>1</v>
      </c>
      <c r="I1426" s="178">
        <v>0</v>
      </c>
      <c r="J1426" s="176">
        <v>46026</v>
      </c>
      <c r="K1426" s="172" t="s">
        <v>93</v>
      </c>
      <c r="L1426" s="172" t="s">
        <v>94</v>
      </c>
      <c r="M1426" s="179">
        <v>0</v>
      </c>
      <c r="N1426" s="177"/>
      <c r="O1426" s="177"/>
      <c r="P1426" s="180">
        <v>-15</v>
      </c>
    </row>
    <row r="1427" spans="1:16" ht="19.5" customHeight="1">
      <c r="A1427" s="172" t="s">
        <v>1066</v>
      </c>
      <c r="B1427" s="176">
        <v>46033</v>
      </c>
      <c r="C1427" s="172" t="s">
        <v>81</v>
      </c>
      <c r="D1427" s="172" t="s">
        <v>82</v>
      </c>
      <c r="E1427" s="172" t="s">
        <v>41</v>
      </c>
      <c r="F1427" s="172" t="s">
        <v>83</v>
      </c>
      <c r="G1427" s="172" t="s">
        <v>84</v>
      </c>
      <c r="H1427" s="177">
        <v>1</v>
      </c>
      <c r="I1427" s="178">
        <v>0</v>
      </c>
      <c r="J1427" s="176">
        <v>46033</v>
      </c>
      <c r="K1427" s="172" t="s">
        <v>85</v>
      </c>
      <c r="L1427" s="172" t="s">
        <v>85</v>
      </c>
      <c r="M1427" s="179">
        <v>0</v>
      </c>
      <c r="N1427" s="177"/>
      <c r="O1427" s="177"/>
      <c r="P1427" s="180">
        <v>-11.58</v>
      </c>
    </row>
    <row r="1428" spans="1:16" ht="19.5" customHeight="1">
      <c r="A1428" s="172" t="s">
        <v>1067</v>
      </c>
      <c r="B1428" s="176">
        <v>46033</v>
      </c>
      <c r="C1428" s="172" t="s">
        <v>92</v>
      </c>
      <c r="D1428" s="172" t="s">
        <v>24</v>
      </c>
      <c r="E1428" s="172" t="s">
        <v>43</v>
      </c>
      <c r="F1428" s="172" t="s">
        <v>125</v>
      </c>
      <c r="G1428" s="172" t="s">
        <v>84</v>
      </c>
      <c r="H1428" s="177">
        <v>1</v>
      </c>
      <c r="I1428" s="178">
        <v>1202</v>
      </c>
      <c r="J1428" s="176">
        <v>46031</v>
      </c>
      <c r="K1428" s="172" t="s">
        <v>93</v>
      </c>
      <c r="L1428" s="172" t="s">
        <v>94</v>
      </c>
      <c r="M1428" s="179">
        <v>0.43</v>
      </c>
      <c r="N1428" s="177"/>
      <c r="O1428" s="177">
        <v>42</v>
      </c>
      <c r="P1428" s="180">
        <v>-107.69</v>
      </c>
    </row>
    <row r="1429" spans="1:16" ht="19.5" customHeight="1">
      <c r="A1429" s="172" t="s">
        <v>1067</v>
      </c>
      <c r="B1429" s="176">
        <v>46033</v>
      </c>
      <c r="C1429" s="172" t="s">
        <v>100</v>
      </c>
      <c r="D1429" s="172" t="s">
        <v>101</v>
      </c>
      <c r="E1429" s="172" t="s">
        <v>43</v>
      </c>
      <c r="F1429" s="172" t="s">
        <v>125</v>
      </c>
      <c r="G1429" s="172" t="s">
        <v>84</v>
      </c>
      <c r="H1429" s="177">
        <v>1</v>
      </c>
      <c r="I1429" s="178">
        <v>1202</v>
      </c>
      <c r="J1429" s="176">
        <v>46031</v>
      </c>
      <c r="K1429" s="172" t="s">
        <v>93</v>
      </c>
      <c r="L1429" s="172" t="s">
        <v>94</v>
      </c>
      <c r="M1429" s="179">
        <v>0</v>
      </c>
      <c r="N1429" s="177"/>
      <c r="O1429" s="177"/>
      <c r="P1429" s="180">
        <v>485.71</v>
      </c>
    </row>
    <row r="1430" spans="1:16" ht="19.5" customHeight="1">
      <c r="A1430" s="172" t="s">
        <v>1067</v>
      </c>
      <c r="B1430" s="176">
        <v>46033</v>
      </c>
      <c r="C1430" s="172" t="s">
        <v>100</v>
      </c>
      <c r="D1430" s="172" t="s">
        <v>102</v>
      </c>
      <c r="E1430" s="172" t="s">
        <v>43</v>
      </c>
      <c r="F1430" s="172" t="s">
        <v>125</v>
      </c>
      <c r="G1430" s="172" t="s">
        <v>84</v>
      </c>
      <c r="H1430" s="177">
        <v>1</v>
      </c>
      <c r="I1430" s="178">
        <v>1202</v>
      </c>
      <c r="J1430" s="176">
        <v>46031</v>
      </c>
      <c r="K1430" s="172" t="s">
        <v>93</v>
      </c>
      <c r="L1430" s="172" t="s">
        <v>94</v>
      </c>
      <c r="M1430" s="179">
        <v>0</v>
      </c>
      <c r="N1430" s="177"/>
      <c r="O1430" s="177"/>
      <c r="P1430" s="180">
        <v>4.8600000000000003</v>
      </c>
    </row>
    <row r="1431" spans="1:16" ht="19.5" customHeight="1">
      <c r="A1431" s="172" t="s">
        <v>1067</v>
      </c>
      <c r="B1431" s="176">
        <v>46033</v>
      </c>
      <c r="C1431" s="172" t="s">
        <v>100</v>
      </c>
      <c r="D1431" s="172" t="s">
        <v>103</v>
      </c>
      <c r="E1431" s="172" t="s">
        <v>43</v>
      </c>
      <c r="F1431" s="172" t="s">
        <v>125</v>
      </c>
      <c r="G1431" s="172" t="s">
        <v>84</v>
      </c>
      <c r="H1431" s="177">
        <v>1</v>
      </c>
      <c r="I1431" s="178">
        <v>1202</v>
      </c>
      <c r="J1431" s="176">
        <v>46031</v>
      </c>
      <c r="K1431" s="172" t="s">
        <v>93</v>
      </c>
      <c r="L1431" s="172" t="s">
        <v>94</v>
      </c>
      <c r="M1431" s="179">
        <v>0</v>
      </c>
      <c r="N1431" s="177"/>
      <c r="O1431" s="177"/>
      <c r="P1431" s="180">
        <v>711.43</v>
      </c>
    </row>
    <row r="1432" spans="1:16" ht="19.5" customHeight="1">
      <c r="A1432" s="172" t="s">
        <v>1067</v>
      </c>
      <c r="B1432" s="176">
        <v>46033</v>
      </c>
      <c r="C1432" s="172" t="s">
        <v>104</v>
      </c>
      <c r="D1432" s="172" t="s">
        <v>105</v>
      </c>
      <c r="E1432" s="172" t="s">
        <v>43</v>
      </c>
      <c r="F1432" s="172" t="s">
        <v>125</v>
      </c>
      <c r="G1432" s="172" t="s">
        <v>84</v>
      </c>
      <c r="H1432" s="177">
        <v>1</v>
      </c>
      <c r="I1432" s="178">
        <v>1202</v>
      </c>
      <c r="J1432" s="176">
        <v>46031</v>
      </c>
      <c r="K1432" s="172" t="s">
        <v>93</v>
      </c>
      <c r="L1432" s="172" t="s">
        <v>94</v>
      </c>
      <c r="M1432" s="179">
        <v>0.43</v>
      </c>
      <c r="N1432" s="177"/>
      <c r="O1432" s="177"/>
      <c r="P1432" s="180">
        <v>-516.86</v>
      </c>
    </row>
    <row r="1433" spans="1:16" ht="19.5" customHeight="1">
      <c r="A1433" s="172" t="s">
        <v>1067</v>
      </c>
      <c r="B1433" s="176">
        <v>46033</v>
      </c>
      <c r="C1433" s="172" t="s">
        <v>81</v>
      </c>
      <c r="D1433" s="172" t="s">
        <v>95</v>
      </c>
      <c r="E1433" s="172" t="s">
        <v>43</v>
      </c>
      <c r="F1433" s="172" t="s">
        <v>125</v>
      </c>
      <c r="G1433" s="172" t="s">
        <v>84</v>
      </c>
      <c r="H1433" s="177">
        <v>1</v>
      </c>
      <c r="I1433" s="178">
        <v>1202</v>
      </c>
      <c r="J1433" s="176">
        <v>46031</v>
      </c>
      <c r="K1433" s="172" t="s">
        <v>93</v>
      </c>
      <c r="L1433" s="172" t="s">
        <v>94</v>
      </c>
      <c r="M1433" s="179">
        <v>0.43</v>
      </c>
      <c r="N1433" s="177"/>
      <c r="O1433" s="177"/>
      <c r="P1433" s="180">
        <v>-12.91</v>
      </c>
    </row>
    <row r="1434" spans="1:16" ht="19.5" customHeight="1">
      <c r="A1434" s="172" t="s">
        <v>514</v>
      </c>
      <c r="B1434" s="176">
        <v>46033</v>
      </c>
      <c r="C1434" s="172" t="s">
        <v>166</v>
      </c>
      <c r="D1434" s="172" t="s">
        <v>167</v>
      </c>
      <c r="E1434" s="172" t="s">
        <v>53</v>
      </c>
      <c r="F1434" s="172" t="s">
        <v>120</v>
      </c>
      <c r="G1434" s="172" t="s">
        <v>84</v>
      </c>
      <c r="H1434" s="177">
        <v>1</v>
      </c>
      <c r="I1434" s="178">
        <v>-1845</v>
      </c>
      <c r="J1434" s="176">
        <v>46031</v>
      </c>
      <c r="K1434" s="172" t="s">
        <v>93</v>
      </c>
      <c r="L1434" s="172" t="s">
        <v>94</v>
      </c>
      <c r="M1434" s="179">
        <v>0</v>
      </c>
      <c r="N1434" s="177"/>
      <c r="O1434" s="177"/>
      <c r="P1434" s="180">
        <v>-642.86</v>
      </c>
    </row>
    <row r="1435" spans="1:16" ht="19.5" customHeight="1">
      <c r="A1435" s="172" t="s">
        <v>514</v>
      </c>
      <c r="B1435" s="176">
        <v>46033</v>
      </c>
      <c r="C1435" s="172" t="s">
        <v>166</v>
      </c>
      <c r="D1435" s="172" t="s">
        <v>102</v>
      </c>
      <c r="E1435" s="172" t="s">
        <v>53</v>
      </c>
      <c r="F1435" s="172" t="s">
        <v>120</v>
      </c>
      <c r="G1435" s="172" t="s">
        <v>84</v>
      </c>
      <c r="H1435" s="177">
        <v>1</v>
      </c>
      <c r="I1435" s="178">
        <v>-1845</v>
      </c>
      <c r="J1435" s="176">
        <v>46031</v>
      </c>
      <c r="K1435" s="172" t="s">
        <v>93</v>
      </c>
      <c r="L1435" s="172" t="s">
        <v>94</v>
      </c>
      <c r="M1435" s="179">
        <v>0</v>
      </c>
      <c r="N1435" s="177"/>
      <c r="O1435" s="177"/>
      <c r="P1435" s="180">
        <v>-6.43</v>
      </c>
    </row>
    <row r="1436" spans="1:16" ht="19.5" customHeight="1">
      <c r="A1436" s="172" t="s">
        <v>514</v>
      </c>
      <c r="B1436" s="176">
        <v>46033</v>
      </c>
      <c r="C1436" s="172" t="s">
        <v>166</v>
      </c>
      <c r="D1436" s="172" t="s">
        <v>103</v>
      </c>
      <c r="E1436" s="172" t="s">
        <v>53</v>
      </c>
      <c r="F1436" s="172" t="s">
        <v>120</v>
      </c>
      <c r="G1436" s="172" t="s">
        <v>84</v>
      </c>
      <c r="H1436" s="177">
        <v>1</v>
      </c>
      <c r="I1436" s="178">
        <v>-1845</v>
      </c>
      <c r="J1436" s="176">
        <v>46031</v>
      </c>
      <c r="K1436" s="172" t="s">
        <v>93</v>
      </c>
      <c r="L1436" s="172" t="s">
        <v>94</v>
      </c>
      <c r="M1436" s="179">
        <v>0</v>
      </c>
      <c r="N1436" s="177"/>
      <c r="O1436" s="177"/>
      <c r="P1436" s="180">
        <v>-1195.71</v>
      </c>
    </row>
    <row r="1437" spans="1:16" ht="19.5" customHeight="1">
      <c r="A1437" s="172" t="s">
        <v>514</v>
      </c>
      <c r="B1437" s="176">
        <v>46033</v>
      </c>
      <c r="C1437" s="172" t="s">
        <v>104</v>
      </c>
      <c r="D1437" s="172" t="s">
        <v>168</v>
      </c>
      <c r="E1437" s="172" t="s">
        <v>53</v>
      </c>
      <c r="F1437" s="172" t="s">
        <v>120</v>
      </c>
      <c r="G1437" s="172" t="s">
        <v>84</v>
      </c>
      <c r="H1437" s="177">
        <v>1</v>
      </c>
      <c r="I1437" s="178">
        <v>-1845</v>
      </c>
      <c r="J1437" s="176">
        <v>46031</v>
      </c>
      <c r="K1437" s="172" t="s">
        <v>93</v>
      </c>
      <c r="L1437" s="172" t="s">
        <v>94</v>
      </c>
      <c r="M1437" s="179">
        <v>0.43</v>
      </c>
      <c r="N1437" s="177"/>
      <c r="O1437" s="177"/>
      <c r="P1437" s="180">
        <v>793.35</v>
      </c>
    </row>
    <row r="1438" spans="1:16" ht="19.5" customHeight="1">
      <c r="A1438" s="172" t="s">
        <v>514</v>
      </c>
      <c r="B1438" s="176">
        <v>46033</v>
      </c>
      <c r="C1438" s="172" t="s">
        <v>81</v>
      </c>
      <c r="D1438" s="172" t="s">
        <v>82</v>
      </c>
      <c r="E1438" s="172" t="s">
        <v>53</v>
      </c>
      <c r="F1438" s="172" t="s">
        <v>120</v>
      </c>
      <c r="G1438" s="172" t="s">
        <v>84</v>
      </c>
      <c r="H1438" s="177">
        <v>1</v>
      </c>
      <c r="I1438" s="178">
        <v>0</v>
      </c>
      <c r="J1438" s="176">
        <v>46031</v>
      </c>
      <c r="K1438" s="172" t="s">
        <v>85</v>
      </c>
      <c r="L1438" s="172" t="s">
        <v>85</v>
      </c>
      <c r="M1438" s="179">
        <v>0</v>
      </c>
      <c r="N1438" s="177"/>
      <c r="O1438" s="177"/>
      <c r="P1438" s="180">
        <v>12.21</v>
      </c>
    </row>
    <row r="1439" spans="1:16" ht="19.5" customHeight="1">
      <c r="A1439" s="172" t="s">
        <v>1068</v>
      </c>
      <c r="B1439" s="176">
        <v>46033</v>
      </c>
      <c r="C1439" s="172" t="s">
        <v>92</v>
      </c>
      <c r="D1439" s="172" t="s">
        <v>24</v>
      </c>
      <c r="E1439" s="172" t="s">
        <v>41</v>
      </c>
      <c r="F1439" s="172" t="s">
        <v>83</v>
      </c>
      <c r="G1439" s="172" t="s">
        <v>84</v>
      </c>
      <c r="H1439" s="177">
        <v>1</v>
      </c>
      <c r="I1439" s="178">
        <v>1600</v>
      </c>
      <c r="J1439" s="176">
        <v>46031</v>
      </c>
      <c r="K1439" s="172" t="s">
        <v>93</v>
      </c>
      <c r="L1439" s="172" t="s">
        <v>94</v>
      </c>
      <c r="M1439" s="179">
        <v>0.43</v>
      </c>
      <c r="N1439" s="177"/>
      <c r="O1439" s="177">
        <v>42</v>
      </c>
      <c r="P1439" s="180">
        <v>-119.03</v>
      </c>
    </row>
    <row r="1440" spans="1:16" ht="19.5" customHeight="1">
      <c r="A1440" s="172" t="s">
        <v>1068</v>
      </c>
      <c r="B1440" s="176">
        <v>46033</v>
      </c>
      <c r="C1440" s="172" t="s">
        <v>100</v>
      </c>
      <c r="D1440" s="172" t="s">
        <v>101</v>
      </c>
      <c r="E1440" s="172" t="s">
        <v>41</v>
      </c>
      <c r="F1440" s="172" t="s">
        <v>83</v>
      </c>
      <c r="G1440" s="172" t="s">
        <v>84</v>
      </c>
      <c r="H1440" s="177">
        <v>1</v>
      </c>
      <c r="I1440" s="178">
        <v>1600</v>
      </c>
      <c r="J1440" s="176">
        <v>46031</v>
      </c>
      <c r="K1440" s="172" t="s">
        <v>93</v>
      </c>
      <c r="L1440" s="172" t="s">
        <v>94</v>
      </c>
      <c r="M1440" s="179">
        <v>0</v>
      </c>
      <c r="N1440" s="177"/>
      <c r="O1440" s="177"/>
      <c r="P1440" s="180">
        <v>549.52</v>
      </c>
    </row>
    <row r="1441" spans="1:16" ht="19.5" customHeight="1">
      <c r="A1441" s="172" t="s">
        <v>1068</v>
      </c>
      <c r="B1441" s="176">
        <v>46033</v>
      </c>
      <c r="C1441" s="172" t="s">
        <v>100</v>
      </c>
      <c r="D1441" s="172" t="s">
        <v>102</v>
      </c>
      <c r="E1441" s="172" t="s">
        <v>41</v>
      </c>
      <c r="F1441" s="172" t="s">
        <v>83</v>
      </c>
      <c r="G1441" s="172" t="s">
        <v>84</v>
      </c>
      <c r="H1441" s="177">
        <v>1</v>
      </c>
      <c r="I1441" s="178">
        <v>1600</v>
      </c>
      <c r="J1441" s="176">
        <v>46031</v>
      </c>
      <c r="K1441" s="172" t="s">
        <v>93</v>
      </c>
      <c r="L1441" s="172" t="s">
        <v>94</v>
      </c>
      <c r="M1441" s="179">
        <v>0</v>
      </c>
      <c r="N1441" s="177"/>
      <c r="O1441" s="177"/>
      <c r="P1441" s="180">
        <v>5.5</v>
      </c>
    </row>
    <row r="1442" spans="1:16" ht="19.5" customHeight="1">
      <c r="A1442" s="172" t="s">
        <v>1068</v>
      </c>
      <c r="B1442" s="176">
        <v>46033</v>
      </c>
      <c r="C1442" s="172" t="s">
        <v>100</v>
      </c>
      <c r="D1442" s="172" t="s">
        <v>103</v>
      </c>
      <c r="E1442" s="172" t="s">
        <v>41</v>
      </c>
      <c r="F1442" s="172" t="s">
        <v>83</v>
      </c>
      <c r="G1442" s="172" t="s">
        <v>84</v>
      </c>
      <c r="H1442" s="177">
        <v>1</v>
      </c>
      <c r="I1442" s="178">
        <v>1600</v>
      </c>
      <c r="J1442" s="176">
        <v>46031</v>
      </c>
      <c r="K1442" s="172" t="s">
        <v>93</v>
      </c>
      <c r="L1442" s="172" t="s">
        <v>94</v>
      </c>
      <c r="M1442" s="179">
        <v>0</v>
      </c>
      <c r="N1442" s="177"/>
      <c r="O1442" s="177"/>
      <c r="P1442" s="180">
        <v>1044.98</v>
      </c>
    </row>
    <row r="1443" spans="1:16" ht="19.5" customHeight="1">
      <c r="A1443" s="172" t="s">
        <v>1068</v>
      </c>
      <c r="B1443" s="176">
        <v>46033</v>
      </c>
      <c r="C1443" s="172" t="s">
        <v>104</v>
      </c>
      <c r="D1443" s="172" t="s">
        <v>105</v>
      </c>
      <c r="E1443" s="172" t="s">
        <v>41</v>
      </c>
      <c r="F1443" s="172" t="s">
        <v>83</v>
      </c>
      <c r="G1443" s="172" t="s">
        <v>84</v>
      </c>
      <c r="H1443" s="177">
        <v>1</v>
      </c>
      <c r="I1443" s="178">
        <v>1600</v>
      </c>
      <c r="J1443" s="176">
        <v>46031</v>
      </c>
      <c r="K1443" s="172" t="s">
        <v>93</v>
      </c>
      <c r="L1443" s="172" t="s">
        <v>94</v>
      </c>
      <c r="M1443" s="179">
        <v>0.43</v>
      </c>
      <c r="N1443" s="177"/>
      <c r="O1443" s="177"/>
      <c r="P1443" s="180">
        <v>-688</v>
      </c>
    </row>
    <row r="1444" spans="1:16" ht="19.5" customHeight="1">
      <c r="A1444" s="172" t="s">
        <v>1068</v>
      </c>
      <c r="B1444" s="176">
        <v>46033</v>
      </c>
      <c r="C1444" s="172" t="s">
        <v>81</v>
      </c>
      <c r="D1444" s="172" t="s">
        <v>95</v>
      </c>
      <c r="E1444" s="172" t="s">
        <v>41</v>
      </c>
      <c r="F1444" s="172" t="s">
        <v>83</v>
      </c>
      <c r="G1444" s="172" t="s">
        <v>84</v>
      </c>
      <c r="H1444" s="177">
        <v>1</v>
      </c>
      <c r="I1444" s="178">
        <v>1600</v>
      </c>
      <c r="J1444" s="176">
        <v>46031</v>
      </c>
      <c r="K1444" s="172" t="s">
        <v>93</v>
      </c>
      <c r="L1444" s="172" t="s">
        <v>94</v>
      </c>
      <c r="M1444" s="179">
        <v>0.43</v>
      </c>
      <c r="N1444" s="177"/>
      <c r="O1444" s="177"/>
      <c r="P1444" s="180">
        <v>-10.01</v>
      </c>
    </row>
    <row r="1445" spans="1:16" ht="19.5" customHeight="1">
      <c r="A1445" s="172" t="s">
        <v>1069</v>
      </c>
      <c r="B1445" s="176">
        <v>46033</v>
      </c>
      <c r="C1445" s="172" t="s">
        <v>92</v>
      </c>
      <c r="D1445" s="172" t="s">
        <v>24</v>
      </c>
      <c r="E1445" s="172" t="s">
        <v>42</v>
      </c>
      <c r="F1445" s="172" t="s">
        <v>89</v>
      </c>
      <c r="G1445" s="172" t="s">
        <v>84</v>
      </c>
      <c r="H1445" s="177">
        <v>1</v>
      </c>
      <c r="I1445" s="178">
        <v>1600</v>
      </c>
      <c r="J1445" s="176">
        <v>46030</v>
      </c>
      <c r="K1445" s="172" t="s">
        <v>93</v>
      </c>
      <c r="L1445" s="172" t="s">
        <v>94</v>
      </c>
      <c r="M1445" s="179">
        <v>0.43</v>
      </c>
      <c r="N1445" s="177"/>
      <c r="O1445" s="177">
        <v>42</v>
      </c>
      <c r="P1445" s="180">
        <v>-119.03</v>
      </c>
    </row>
    <row r="1446" spans="1:16" ht="19.5" customHeight="1">
      <c r="A1446" s="172" t="s">
        <v>1069</v>
      </c>
      <c r="B1446" s="176">
        <v>46033</v>
      </c>
      <c r="C1446" s="172" t="s">
        <v>100</v>
      </c>
      <c r="D1446" s="172" t="s">
        <v>101</v>
      </c>
      <c r="E1446" s="172" t="s">
        <v>42</v>
      </c>
      <c r="F1446" s="172" t="s">
        <v>89</v>
      </c>
      <c r="G1446" s="172" t="s">
        <v>84</v>
      </c>
      <c r="H1446" s="177">
        <v>1</v>
      </c>
      <c r="I1446" s="178">
        <v>1600</v>
      </c>
      <c r="J1446" s="176">
        <v>46030</v>
      </c>
      <c r="K1446" s="172" t="s">
        <v>93</v>
      </c>
      <c r="L1446" s="172" t="s">
        <v>94</v>
      </c>
      <c r="M1446" s="179">
        <v>0</v>
      </c>
      <c r="N1446" s="177"/>
      <c r="O1446" s="177"/>
      <c r="P1446" s="180">
        <v>609.52</v>
      </c>
    </row>
    <row r="1447" spans="1:16" ht="19.5" customHeight="1">
      <c r="A1447" s="172" t="s">
        <v>1069</v>
      </c>
      <c r="B1447" s="176">
        <v>46033</v>
      </c>
      <c r="C1447" s="172" t="s">
        <v>100</v>
      </c>
      <c r="D1447" s="172" t="s">
        <v>102</v>
      </c>
      <c r="E1447" s="172" t="s">
        <v>42</v>
      </c>
      <c r="F1447" s="172" t="s">
        <v>89</v>
      </c>
      <c r="G1447" s="172" t="s">
        <v>84</v>
      </c>
      <c r="H1447" s="177">
        <v>1</v>
      </c>
      <c r="I1447" s="178">
        <v>1600</v>
      </c>
      <c r="J1447" s="176">
        <v>46030</v>
      </c>
      <c r="K1447" s="172" t="s">
        <v>93</v>
      </c>
      <c r="L1447" s="172" t="s">
        <v>94</v>
      </c>
      <c r="M1447" s="179">
        <v>0</v>
      </c>
      <c r="N1447" s="177"/>
      <c r="O1447" s="177"/>
      <c r="P1447" s="180">
        <v>0</v>
      </c>
    </row>
    <row r="1448" spans="1:16" ht="19.5" customHeight="1">
      <c r="A1448" s="172" t="s">
        <v>1069</v>
      </c>
      <c r="B1448" s="176">
        <v>46033</v>
      </c>
      <c r="C1448" s="172" t="s">
        <v>100</v>
      </c>
      <c r="D1448" s="172" t="s">
        <v>103</v>
      </c>
      <c r="E1448" s="172" t="s">
        <v>42</v>
      </c>
      <c r="F1448" s="172" t="s">
        <v>89</v>
      </c>
      <c r="G1448" s="172" t="s">
        <v>84</v>
      </c>
      <c r="H1448" s="177">
        <v>1</v>
      </c>
      <c r="I1448" s="178">
        <v>1600</v>
      </c>
      <c r="J1448" s="176">
        <v>46030</v>
      </c>
      <c r="K1448" s="172" t="s">
        <v>93</v>
      </c>
      <c r="L1448" s="172" t="s">
        <v>94</v>
      </c>
      <c r="M1448" s="179">
        <v>0</v>
      </c>
      <c r="N1448" s="177"/>
      <c r="O1448" s="177"/>
      <c r="P1448" s="180">
        <v>990.48</v>
      </c>
    </row>
    <row r="1449" spans="1:16" ht="19.5" customHeight="1">
      <c r="A1449" s="172" t="s">
        <v>1069</v>
      </c>
      <c r="B1449" s="176">
        <v>46033</v>
      </c>
      <c r="C1449" s="172" t="s">
        <v>104</v>
      </c>
      <c r="D1449" s="172" t="s">
        <v>105</v>
      </c>
      <c r="E1449" s="172" t="s">
        <v>42</v>
      </c>
      <c r="F1449" s="172" t="s">
        <v>89</v>
      </c>
      <c r="G1449" s="172" t="s">
        <v>84</v>
      </c>
      <c r="H1449" s="177">
        <v>1</v>
      </c>
      <c r="I1449" s="178">
        <v>1600</v>
      </c>
      <c r="J1449" s="176">
        <v>46030</v>
      </c>
      <c r="K1449" s="172" t="s">
        <v>93</v>
      </c>
      <c r="L1449" s="172" t="s">
        <v>94</v>
      </c>
      <c r="M1449" s="179">
        <v>0.43</v>
      </c>
      <c r="N1449" s="177"/>
      <c r="O1449" s="177"/>
      <c r="P1449" s="180">
        <v>-688</v>
      </c>
    </row>
    <row r="1450" spans="1:16" ht="19.5" customHeight="1">
      <c r="A1450" s="172" t="s">
        <v>1069</v>
      </c>
      <c r="B1450" s="176">
        <v>46033</v>
      </c>
      <c r="C1450" s="172" t="s">
        <v>81</v>
      </c>
      <c r="D1450" s="172" t="s">
        <v>95</v>
      </c>
      <c r="E1450" s="172" t="s">
        <v>42</v>
      </c>
      <c r="F1450" s="172" t="s">
        <v>89</v>
      </c>
      <c r="G1450" s="172" t="s">
        <v>84</v>
      </c>
      <c r="H1450" s="177">
        <v>1</v>
      </c>
      <c r="I1450" s="178">
        <v>1600</v>
      </c>
      <c r="J1450" s="176">
        <v>46030</v>
      </c>
      <c r="K1450" s="172" t="s">
        <v>93</v>
      </c>
      <c r="L1450" s="172" t="s">
        <v>94</v>
      </c>
      <c r="M1450" s="179">
        <v>0.43</v>
      </c>
      <c r="N1450" s="177"/>
      <c r="O1450" s="177"/>
      <c r="P1450" s="180">
        <v>-8.2899999999999991</v>
      </c>
    </row>
    <row r="1451" spans="1:16" ht="19.5" customHeight="1">
      <c r="A1451" s="172" t="s">
        <v>1070</v>
      </c>
      <c r="B1451" s="176">
        <v>46033</v>
      </c>
      <c r="C1451" s="172" t="s">
        <v>81</v>
      </c>
      <c r="D1451" s="172" t="s">
        <v>82</v>
      </c>
      <c r="E1451" s="172" t="s">
        <v>41</v>
      </c>
      <c r="F1451" s="172" t="s">
        <v>83</v>
      </c>
      <c r="G1451" s="172" t="s">
        <v>84</v>
      </c>
      <c r="H1451" s="177">
        <v>1</v>
      </c>
      <c r="I1451" s="178">
        <v>0</v>
      </c>
      <c r="J1451" s="176">
        <v>46033</v>
      </c>
      <c r="K1451" s="172" t="s">
        <v>85</v>
      </c>
      <c r="L1451" s="172" t="s">
        <v>85</v>
      </c>
      <c r="M1451" s="179">
        <v>0</v>
      </c>
      <c r="N1451" s="177"/>
      <c r="O1451" s="177"/>
      <c r="P1451" s="180">
        <v>-3.57</v>
      </c>
    </row>
    <row r="1452" spans="1:16" ht="19.5" customHeight="1">
      <c r="A1452" s="172" t="s">
        <v>1071</v>
      </c>
      <c r="B1452" s="176">
        <v>46033</v>
      </c>
      <c r="C1452" s="172" t="s">
        <v>81</v>
      </c>
      <c r="D1452" s="172" t="s">
        <v>82</v>
      </c>
      <c r="E1452" s="172" t="s">
        <v>52</v>
      </c>
      <c r="F1452" s="172" t="s">
        <v>90</v>
      </c>
      <c r="G1452" s="172" t="s">
        <v>84</v>
      </c>
      <c r="H1452" s="177">
        <v>1</v>
      </c>
      <c r="I1452" s="178">
        <v>0</v>
      </c>
      <c r="J1452" s="176">
        <v>46033</v>
      </c>
      <c r="K1452" s="172" t="s">
        <v>85</v>
      </c>
      <c r="L1452" s="172" t="s">
        <v>85</v>
      </c>
      <c r="M1452" s="179">
        <v>0</v>
      </c>
      <c r="N1452" s="177"/>
      <c r="O1452" s="177"/>
      <c r="P1452" s="180">
        <v>-10.58</v>
      </c>
    </row>
    <row r="1453" spans="1:16" ht="19.5" customHeight="1">
      <c r="A1453" s="172" t="s">
        <v>142</v>
      </c>
      <c r="B1453" s="176">
        <v>46033</v>
      </c>
      <c r="C1453" s="172" t="s">
        <v>109</v>
      </c>
      <c r="D1453" s="172" t="s">
        <v>143</v>
      </c>
      <c r="E1453" s="172" t="s">
        <v>85</v>
      </c>
      <c r="F1453" s="172" t="s">
        <v>85</v>
      </c>
      <c r="G1453" s="172" t="s">
        <v>85</v>
      </c>
      <c r="H1453" s="177">
        <v>0</v>
      </c>
      <c r="I1453" s="178">
        <v>0</v>
      </c>
      <c r="J1453" s="176">
        <v>46033</v>
      </c>
      <c r="K1453" s="172" t="s">
        <v>85</v>
      </c>
      <c r="L1453" s="172" t="s">
        <v>85</v>
      </c>
      <c r="M1453" s="179">
        <v>0</v>
      </c>
      <c r="N1453" s="177"/>
      <c r="O1453" s="177"/>
      <c r="P1453" s="180">
        <v>-3144.2</v>
      </c>
    </row>
    <row r="1454" spans="1:16" ht="19.5" customHeight="1">
      <c r="A1454" s="172" t="s">
        <v>411</v>
      </c>
      <c r="B1454" s="176">
        <v>46033</v>
      </c>
      <c r="C1454" s="172" t="s">
        <v>109</v>
      </c>
      <c r="D1454" s="172" t="s">
        <v>139</v>
      </c>
      <c r="E1454" s="172" t="s">
        <v>85</v>
      </c>
      <c r="F1454" s="172" t="s">
        <v>85</v>
      </c>
      <c r="G1454" s="172" t="s">
        <v>85</v>
      </c>
      <c r="H1454" s="177">
        <v>0</v>
      </c>
      <c r="I1454" s="178">
        <v>0</v>
      </c>
      <c r="J1454" s="176">
        <v>46033</v>
      </c>
      <c r="K1454" s="172" t="s">
        <v>85</v>
      </c>
      <c r="L1454" s="172" t="s">
        <v>85</v>
      </c>
      <c r="M1454" s="179">
        <v>0</v>
      </c>
      <c r="N1454" s="177"/>
      <c r="O1454" s="177"/>
      <c r="P1454" s="180">
        <v>-300.44</v>
      </c>
    </row>
    <row r="1455" spans="1:16" ht="19.5" customHeight="1">
      <c r="A1455" s="172" t="s">
        <v>412</v>
      </c>
      <c r="B1455" s="176">
        <v>46033</v>
      </c>
      <c r="C1455" s="172" t="s">
        <v>109</v>
      </c>
      <c r="D1455" s="172" t="s">
        <v>139</v>
      </c>
      <c r="E1455" s="172" t="s">
        <v>85</v>
      </c>
      <c r="F1455" s="172" t="s">
        <v>85</v>
      </c>
      <c r="G1455" s="172" t="s">
        <v>85</v>
      </c>
      <c r="H1455" s="177">
        <v>0</v>
      </c>
      <c r="I1455" s="178">
        <v>0</v>
      </c>
      <c r="J1455" s="176">
        <v>46033</v>
      </c>
      <c r="K1455" s="172" t="s">
        <v>85</v>
      </c>
      <c r="L1455" s="172" t="s">
        <v>85</v>
      </c>
      <c r="M1455" s="179">
        <v>0</v>
      </c>
      <c r="N1455" s="177"/>
      <c r="O1455" s="177"/>
      <c r="P1455" s="180">
        <v>-310.11</v>
      </c>
    </row>
    <row r="1456" spans="1:16" ht="19.5" customHeight="1">
      <c r="A1456" s="172" t="s">
        <v>144</v>
      </c>
      <c r="B1456" s="176">
        <v>46033</v>
      </c>
      <c r="C1456" s="172" t="s">
        <v>109</v>
      </c>
      <c r="D1456" s="172" t="s">
        <v>139</v>
      </c>
      <c r="E1456" s="172" t="s">
        <v>85</v>
      </c>
      <c r="F1456" s="172" t="s">
        <v>85</v>
      </c>
      <c r="G1456" s="172" t="s">
        <v>85</v>
      </c>
      <c r="H1456" s="177">
        <v>0</v>
      </c>
      <c r="I1456" s="178">
        <v>0</v>
      </c>
      <c r="J1456" s="176">
        <v>46033</v>
      </c>
      <c r="K1456" s="172" t="s">
        <v>85</v>
      </c>
      <c r="L1456" s="172" t="s">
        <v>85</v>
      </c>
      <c r="M1456" s="179">
        <v>0</v>
      </c>
      <c r="N1456" s="177"/>
      <c r="O1456" s="177"/>
      <c r="P1456" s="180">
        <v>-1444.38</v>
      </c>
    </row>
    <row r="1457" spans="1:16" ht="19.5" customHeight="1">
      <c r="A1457" s="172" t="s">
        <v>138</v>
      </c>
      <c r="B1457" s="176">
        <v>46033</v>
      </c>
      <c r="C1457" s="172" t="s">
        <v>109</v>
      </c>
      <c r="D1457" s="172" t="s">
        <v>139</v>
      </c>
      <c r="E1457" s="172" t="s">
        <v>85</v>
      </c>
      <c r="F1457" s="172" t="s">
        <v>85</v>
      </c>
      <c r="G1457" s="172" t="s">
        <v>85</v>
      </c>
      <c r="H1457" s="177">
        <v>0</v>
      </c>
      <c r="I1457" s="178">
        <v>0</v>
      </c>
      <c r="J1457" s="176">
        <v>46033</v>
      </c>
      <c r="K1457" s="172" t="s">
        <v>85</v>
      </c>
      <c r="L1457" s="172" t="s">
        <v>85</v>
      </c>
      <c r="M1457" s="179">
        <v>0</v>
      </c>
      <c r="N1457" s="177"/>
      <c r="O1457" s="177"/>
      <c r="P1457" s="180">
        <v>-1146.5999999999999</v>
      </c>
    </row>
    <row r="1458" spans="1:16" ht="19.5" customHeight="1">
      <c r="A1458" s="172" t="s">
        <v>410</v>
      </c>
      <c r="B1458" s="176">
        <v>46033</v>
      </c>
      <c r="C1458" s="172" t="s">
        <v>109</v>
      </c>
      <c r="D1458" s="172" t="s">
        <v>139</v>
      </c>
      <c r="E1458" s="172" t="s">
        <v>85</v>
      </c>
      <c r="F1458" s="172" t="s">
        <v>85</v>
      </c>
      <c r="G1458" s="172" t="s">
        <v>85</v>
      </c>
      <c r="H1458" s="177">
        <v>0</v>
      </c>
      <c r="I1458" s="178">
        <v>0</v>
      </c>
      <c r="J1458" s="176">
        <v>46033</v>
      </c>
      <c r="K1458" s="172" t="s">
        <v>85</v>
      </c>
      <c r="L1458" s="172" t="s">
        <v>85</v>
      </c>
      <c r="M1458" s="179">
        <v>0</v>
      </c>
      <c r="N1458" s="177"/>
      <c r="O1458" s="177"/>
      <c r="P1458" s="180">
        <v>-1184.6099999999999</v>
      </c>
    </row>
    <row r="1459" spans="1:16" ht="19.5" customHeight="1">
      <c r="A1459" s="172" t="s">
        <v>145</v>
      </c>
      <c r="B1459" s="176">
        <v>46033</v>
      </c>
      <c r="C1459" s="172" t="s">
        <v>109</v>
      </c>
      <c r="D1459" s="172" t="s">
        <v>139</v>
      </c>
      <c r="E1459" s="172" t="s">
        <v>85</v>
      </c>
      <c r="F1459" s="172" t="s">
        <v>85</v>
      </c>
      <c r="G1459" s="172" t="s">
        <v>85</v>
      </c>
      <c r="H1459" s="177">
        <v>0</v>
      </c>
      <c r="I1459" s="178">
        <v>0</v>
      </c>
      <c r="J1459" s="176">
        <v>46033</v>
      </c>
      <c r="K1459" s="172" t="s">
        <v>85</v>
      </c>
      <c r="L1459" s="172" t="s">
        <v>85</v>
      </c>
      <c r="M1459" s="179">
        <v>0</v>
      </c>
      <c r="N1459" s="177"/>
      <c r="O1459" s="177"/>
      <c r="P1459" s="180">
        <v>-301.39999999999998</v>
      </c>
    </row>
    <row r="1460" spans="1:16" ht="19.5" customHeight="1">
      <c r="A1460" s="172" t="s">
        <v>140</v>
      </c>
      <c r="B1460" s="176">
        <v>46033</v>
      </c>
      <c r="C1460" s="172" t="s">
        <v>109</v>
      </c>
      <c r="D1460" s="172" t="s">
        <v>139</v>
      </c>
      <c r="E1460" s="172" t="s">
        <v>85</v>
      </c>
      <c r="F1460" s="172" t="s">
        <v>85</v>
      </c>
      <c r="G1460" s="172" t="s">
        <v>85</v>
      </c>
      <c r="H1460" s="177">
        <v>0</v>
      </c>
      <c r="I1460" s="178">
        <v>0</v>
      </c>
      <c r="J1460" s="176">
        <v>46033</v>
      </c>
      <c r="K1460" s="172" t="s">
        <v>85</v>
      </c>
      <c r="L1460" s="172" t="s">
        <v>85</v>
      </c>
      <c r="M1460" s="179">
        <v>0</v>
      </c>
      <c r="N1460" s="177"/>
      <c r="O1460" s="177"/>
      <c r="P1460" s="180">
        <v>-290.67</v>
      </c>
    </row>
    <row r="1461" spans="1:16" ht="19.5" customHeight="1">
      <c r="A1461" s="172" t="s">
        <v>146</v>
      </c>
      <c r="B1461" s="176">
        <v>46033</v>
      </c>
      <c r="C1461" s="172" t="s">
        <v>109</v>
      </c>
      <c r="D1461" s="172" t="s">
        <v>139</v>
      </c>
      <c r="E1461" s="172" t="s">
        <v>85</v>
      </c>
      <c r="F1461" s="172" t="s">
        <v>85</v>
      </c>
      <c r="G1461" s="172" t="s">
        <v>85</v>
      </c>
      <c r="H1461" s="177">
        <v>0</v>
      </c>
      <c r="I1461" s="178">
        <v>0</v>
      </c>
      <c r="J1461" s="176">
        <v>46033</v>
      </c>
      <c r="K1461" s="172" t="s">
        <v>85</v>
      </c>
      <c r="L1461" s="172" t="s">
        <v>85</v>
      </c>
      <c r="M1461" s="179">
        <v>0</v>
      </c>
      <c r="N1461" s="177"/>
      <c r="O1461" s="177"/>
      <c r="P1461" s="180">
        <v>-320.33999999999997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FDA24B-A3D6-4804-9332-00FC02887478}">
  <dimension ref="A1:P488"/>
  <sheetViews>
    <sheetView workbookViewId="0">
      <selection activeCell="C7" sqref="C7"/>
    </sheetView>
  </sheetViews>
  <sheetFormatPr defaultRowHeight="14.5"/>
  <cols>
    <col min="1" max="2" width="20.7265625" customWidth="1"/>
    <col min="3" max="4" width="32.7265625" customWidth="1"/>
    <col min="5" max="6" width="20.7265625" customWidth="1"/>
    <col min="7" max="7" width="32.7265625" customWidth="1"/>
    <col min="8" max="15" width="20.7265625" customWidth="1"/>
    <col min="16" max="16" width="20.7265625" style="173" customWidth="1"/>
  </cols>
  <sheetData>
    <row r="1" spans="1:16" ht="19.5" customHeight="1">
      <c r="A1" s="172" t="s">
        <v>633</v>
      </c>
    </row>
    <row r="2" spans="1:16" ht="78.75" customHeight="1">
      <c r="A2" s="174" t="s">
        <v>64</v>
      </c>
      <c r="B2" s="174" t="s">
        <v>65</v>
      </c>
      <c r="C2" s="174" t="s">
        <v>66</v>
      </c>
      <c r="D2" s="174" t="s">
        <v>67</v>
      </c>
      <c r="E2" s="174" t="s">
        <v>68</v>
      </c>
      <c r="F2" s="174" t="s">
        <v>69</v>
      </c>
      <c r="G2" s="174" t="s">
        <v>70</v>
      </c>
      <c r="H2" s="174" t="s">
        <v>71</v>
      </c>
      <c r="I2" s="174" t="s">
        <v>72</v>
      </c>
      <c r="J2" s="174" t="s">
        <v>73</v>
      </c>
      <c r="K2" s="174" t="s">
        <v>74</v>
      </c>
      <c r="L2" s="174" t="s">
        <v>75</v>
      </c>
      <c r="M2" s="174" t="s">
        <v>76</v>
      </c>
      <c r="N2" s="174" t="s">
        <v>77</v>
      </c>
      <c r="O2" s="174" t="s">
        <v>78</v>
      </c>
      <c r="P2" s="175" t="s">
        <v>79</v>
      </c>
    </row>
    <row r="3" spans="1:16" ht="19.5" customHeight="1">
      <c r="A3" s="172" t="s">
        <v>634</v>
      </c>
      <c r="B3" s="176">
        <v>46023</v>
      </c>
      <c r="C3" s="172" t="s">
        <v>81</v>
      </c>
      <c r="D3" s="172" t="s">
        <v>82</v>
      </c>
      <c r="E3" s="172" t="s">
        <v>53</v>
      </c>
      <c r="F3" s="172" t="s">
        <v>120</v>
      </c>
      <c r="G3" s="172" t="s">
        <v>84</v>
      </c>
      <c r="H3" s="177">
        <v>1</v>
      </c>
      <c r="I3" s="178">
        <v>0</v>
      </c>
      <c r="J3" s="176">
        <v>46023</v>
      </c>
      <c r="K3" s="172" t="s">
        <v>85</v>
      </c>
      <c r="L3" s="172" t="s">
        <v>85</v>
      </c>
      <c r="M3" s="179">
        <v>0</v>
      </c>
      <c r="N3" s="177"/>
      <c r="O3" s="177"/>
      <c r="P3" s="180">
        <v>-12.21</v>
      </c>
    </row>
    <row r="4" spans="1:16" ht="19.5" customHeight="1">
      <c r="A4" s="172" t="s">
        <v>85</v>
      </c>
      <c r="B4" s="176">
        <v>46023</v>
      </c>
      <c r="C4" s="172" t="s">
        <v>109</v>
      </c>
      <c r="D4" s="172" t="s">
        <v>110</v>
      </c>
      <c r="E4" s="172" t="s">
        <v>85</v>
      </c>
      <c r="F4" s="172" t="s">
        <v>85</v>
      </c>
      <c r="G4" s="172" t="s">
        <v>635</v>
      </c>
      <c r="H4" s="177">
        <v>0</v>
      </c>
      <c r="I4" s="178">
        <v>0</v>
      </c>
      <c r="J4" s="176">
        <v>46023</v>
      </c>
      <c r="K4" s="172" t="s">
        <v>85</v>
      </c>
      <c r="L4" s="172" t="s">
        <v>85</v>
      </c>
      <c r="M4" s="179">
        <v>0</v>
      </c>
      <c r="N4" s="177"/>
      <c r="O4" s="177"/>
      <c r="P4" s="180">
        <v>-150</v>
      </c>
    </row>
    <row r="5" spans="1:16" ht="19.5" customHeight="1">
      <c r="A5" s="172" t="s">
        <v>636</v>
      </c>
      <c r="B5" s="176">
        <v>46023</v>
      </c>
      <c r="C5" s="172" t="s">
        <v>81</v>
      </c>
      <c r="D5" s="172" t="s">
        <v>82</v>
      </c>
      <c r="E5" s="172" t="s">
        <v>41</v>
      </c>
      <c r="F5" s="172" t="s">
        <v>83</v>
      </c>
      <c r="G5" s="172" t="s">
        <v>84</v>
      </c>
      <c r="H5" s="177">
        <v>1</v>
      </c>
      <c r="I5" s="178">
        <v>0</v>
      </c>
      <c r="J5" s="176">
        <v>46023</v>
      </c>
      <c r="K5" s="172" t="s">
        <v>85</v>
      </c>
      <c r="L5" s="172" t="s">
        <v>85</v>
      </c>
      <c r="M5" s="179">
        <v>0</v>
      </c>
      <c r="N5" s="177"/>
      <c r="O5" s="177"/>
      <c r="P5" s="180">
        <v>-10.44</v>
      </c>
    </row>
    <row r="6" spans="1:16" ht="19.5" customHeight="1">
      <c r="A6" s="172" t="s">
        <v>637</v>
      </c>
      <c r="B6" s="176">
        <v>46023</v>
      </c>
      <c r="C6" s="172" t="s">
        <v>92</v>
      </c>
      <c r="D6" s="172" t="s">
        <v>24</v>
      </c>
      <c r="E6" s="172" t="s">
        <v>52</v>
      </c>
      <c r="F6" s="172" t="s">
        <v>90</v>
      </c>
      <c r="G6" s="172" t="s">
        <v>84</v>
      </c>
      <c r="H6" s="177">
        <v>1</v>
      </c>
      <c r="I6" s="178">
        <v>0</v>
      </c>
      <c r="J6" s="176">
        <v>46015</v>
      </c>
      <c r="K6" s="172" t="s">
        <v>93</v>
      </c>
      <c r="L6" s="172" t="s">
        <v>94</v>
      </c>
      <c r="M6" s="179">
        <v>0</v>
      </c>
      <c r="N6" s="177"/>
      <c r="O6" s="177">
        <v>43</v>
      </c>
      <c r="P6" s="180">
        <v>-56</v>
      </c>
    </row>
    <row r="7" spans="1:16" ht="19.5" customHeight="1">
      <c r="A7" s="172" t="s">
        <v>637</v>
      </c>
      <c r="B7" s="176">
        <v>46023</v>
      </c>
      <c r="C7" s="172" t="s">
        <v>81</v>
      </c>
      <c r="D7" s="172" t="s">
        <v>95</v>
      </c>
      <c r="E7" s="172" t="s">
        <v>52</v>
      </c>
      <c r="F7" s="172" t="s">
        <v>90</v>
      </c>
      <c r="G7" s="172" t="s">
        <v>84</v>
      </c>
      <c r="H7" s="177">
        <v>1</v>
      </c>
      <c r="I7" s="178">
        <v>0</v>
      </c>
      <c r="J7" s="176">
        <v>46015</v>
      </c>
      <c r="K7" s="172" t="s">
        <v>93</v>
      </c>
      <c r="L7" s="172" t="s">
        <v>94</v>
      </c>
      <c r="M7" s="179">
        <v>0</v>
      </c>
      <c r="N7" s="177"/>
      <c r="O7" s="177"/>
      <c r="P7" s="180">
        <v>-17.3</v>
      </c>
    </row>
    <row r="8" spans="1:16" ht="19.5" customHeight="1">
      <c r="A8" s="172" t="s">
        <v>637</v>
      </c>
      <c r="B8" s="176">
        <v>46023</v>
      </c>
      <c r="C8" s="172" t="s">
        <v>92</v>
      </c>
      <c r="D8" s="172" t="s">
        <v>96</v>
      </c>
      <c r="E8" s="172" t="s">
        <v>52</v>
      </c>
      <c r="F8" s="172" t="s">
        <v>90</v>
      </c>
      <c r="G8" s="172" t="s">
        <v>84</v>
      </c>
      <c r="H8" s="177">
        <v>1</v>
      </c>
      <c r="I8" s="178">
        <v>0</v>
      </c>
      <c r="J8" s="176">
        <v>46015</v>
      </c>
      <c r="K8" s="172" t="s">
        <v>93</v>
      </c>
      <c r="L8" s="172" t="s">
        <v>94</v>
      </c>
      <c r="M8" s="179">
        <v>0</v>
      </c>
      <c r="N8" s="177"/>
      <c r="O8" s="177"/>
      <c r="P8" s="180">
        <v>0</v>
      </c>
    </row>
    <row r="9" spans="1:16" ht="19.5" customHeight="1">
      <c r="A9" s="172" t="s">
        <v>637</v>
      </c>
      <c r="B9" s="176">
        <v>46023</v>
      </c>
      <c r="C9" s="172" t="s">
        <v>92</v>
      </c>
      <c r="D9" s="172" t="s">
        <v>97</v>
      </c>
      <c r="E9" s="172" t="s">
        <v>52</v>
      </c>
      <c r="F9" s="172" t="s">
        <v>90</v>
      </c>
      <c r="G9" s="172" t="s">
        <v>84</v>
      </c>
      <c r="H9" s="177">
        <v>1</v>
      </c>
      <c r="I9" s="178">
        <v>0</v>
      </c>
      <c r="J9" s="176">
        <v>46015</v>
      </c>
      <c r="K9" s="172" t="s">
        <v>93</v>
      </c>
      <c r="L9" s="172" t="s">
        <v>94</v>
      </c>
      <c r="M9" s="179">
        <v>0</v>
      </c>
      <c r="N9" s="177"/>
      <c r="O9" s="177"/>
      <c r="P9" s="180">
        <v>-56</v>
      </c>
    </row>
    <row r="10" spans="1:16" ht="19.5" customHeight="1">
      <c r="A10" s="172" t="s">
        <v>637</v>
      </c>
      <c r="B10" s="176">
        <v>46023</v>
      </c>
      <c r="C10" s="172" t="s">
        <v>81</v>
      </c>
      <c r="D10" s="172" t="s">
        <v>98</v>
      </c>
      <c r="E10" s="172" t="s">
        <v>52</v>
      </c>
      <c r="F10" s="172" t="s">
        <v>90</v>
      </c>
      <c r="G10" s="172" t="s">
        <v>84</v>
      </c>
      <c r="H10" s="177">
        <v>1</v>
      </c>
      <c r="I10" s="178">
        <v>0</v>
      </c>
      <c r="J10" s="176">
        <v>46015</v>
      </c>
      <c r="K10" s="172" t="s">
        <v>93</v>
      </c>
      <c r="L10" s="172" t="s">
        <v>94</v>
      </c>
      <c r="M10" s="179">
        <v>0</v>
      </c>
      <c r="N10" s="177"/>
      <c r="O10" s="177"/>
      <c r="P10" s="180">
        <v>-15</v>
      </c>
    </row>
    <row r="11" spans="1:16" ht="19.5" customHeight="1">
      <c r="A11" s="172" t="s">
        <v>638</v>
      </c>
      <c r="B11" s="176">
        <v>46023</v>
      </c>
      <c r="C11" s="172" t="s">
        <v>81</v>
      </c>
      <c r="D11" s="172" t="s">
        <v>82</v>
      </c>
      <c r="E11" s="172" t="s">
        <v>53</v>
      </c>
      <c r="F11" s="172" t="s">
        <v>120</v>
      </c>
      <c r="G11" s="172" t="s">
        <v>84</v>
      </c>
      <c r="H11" s="177">
        <v>1</v>
      </c>
      <c r="I11" s="178">
        <v>0</v>
      </c>
      <c r="J11" s="176">
        <v>46023</v>
      </c>
      <c r="K11" s="172" t="s">
        <v>85</v>
      </c>
      <c r="L11" s="172" t="s">
        <v>85</v>
      </c>
      <c r="M11" s="179">
        <v>0</v>
      </c>
      <c r="N11" s="177"/>
      <c r="O11" s="177"/>
      <c r="P11" s="180">
        <v>-12.21</v>
      </c>
    </row>
    <row r="12" spans="1:16" ht="19.5" customHeight="1">
      <c r="A12" s="172" t="s">
        <v>639</v>
      </c>
      <c r="B12" s="176">
        <v>46023</v>
      </c>
      <c r="C12" s="172" t="s">
        <v>81</v>
      </c>
      <c r="D12" s="172" t="s">
        <v>82</v>
      </c>
      <c r="E12" s="172" t="s">
        <v>53</v>
      </c>
      <c r="F12" s="172" t="s">
        <v>120</v>
      </c>
      <c r="G12" s="172" t="s">
        <v>84</v>
      </c>
      <c r="H12" s="177">
        <v>1</v>
      </c>
      <c r="I12" s="178">
        <v>0</v>
      </c>
      <c r="J12" s="176">
        <v>46023</v>
      </c>
      <c r="K12" s="172" t="s">
        <v>85</v>
      </c>
      <c r="L12" s="172" t="s">
        <v>85</v>
      </c>
      <c r="M12" s="179">
        <v>0</v>
      </c>
      <c r="N12" s="177"/>
      <c r="O12" s="177"/>
      <c r="P12" s="180">
        <v>-10.58</v>
      </c>
    </row>
    <row r="13" spans="1:16" ht="19.5" customHeight="1">
      <c r="A13" s="172" t="s">
        <v>640</v>
      </c>
      <c r="B13" s="176">
        <v>46023</v>
      </c>
      <c r="C13" s="172" t="s">
        <v>92</v>
      </c>
      <c r="D13" s="172" t="s">
        <v>96</v>
      </c>
      <c r="E13" s="172" t="s">
        <v>42</v>
      </c>
      <c r="F13" s="172" t="s">
        <v>89</v>
      </c>
      <c r="G13" s="172" t="s">
        <v>84</v>
      </c>
      <c r="H13" s="177">
        <v>1</v>
      </c>
      <c r="I13" s="178">
        <v>0</v>
      </c>
      <c r="J13" s="176">
        <v>46009</v>
      </c>
      <c r="K13" s="172" t="s">
        <v>93</v>
      </c>
      <c r="L13" s="172" t="s">
        <v>94</v>
      </c>
      <c r="M13" s="179">
        <v>0</v>
      </c>
      <c r="N13" s="177"/>
      <c r="O13" s="177"/>
      <c r="P13" s="180">
        <v>0</v>
      </c>
    </row>
    <row r="14" spans="1:16" ht="19.5" customHeight="1">
      <c r="A14" s="172" t="s">
        <v>640</v>
      </c>
      <c r="B14" s="176">
        <v>46023</v>
      </c>
      <c r="C14" s="172" t="s">
        <v>92</v>
      </c>
      <c r="D14" s="172" t="s">
        <v>97</v>
      </c>
      <c r="E14" s="172" t="s">
        <v>42</v>
      </c>
      <c r="F14" s="172" t="s">
        <v>89</v>
      </c>
      <c r="G14" s="172" t="s">
        <v>84</v>
      </c>
      <c r="H14" s="177">
        <v>1</v>
      </c>
      <c r="I14" s="178">
        <v>0</v>
      </c>
      <c r="J14" s="176">
        <v>46009</v>
      </c>
      <c r="K14" s="172" t="s">
        <v>93</v>
      </c>
      <c r="L14" s="172" t="s">
        <v>94</v>
      </c>
      <c r="M14" s="179">
        <v>0</v>
      </c>
      <c r="N14" s="177"/>
      <c r="O14" s="177"/>
      <c r="P14" s="180">
        <v>-46.77</v>
      </c>
    </row>
    <row r="15" spans="1:16" ht="19.5" customHeight="1">
      <c r="A15" s="172" t="s">
        <v>640</v>
      </c>
      <c r="B15" s="176">
        <v>46023</v>
      </c>
      <c r="C15" s="172" t="s">
        <v>81</v>
      </c>
      <c r="D15" s="172" t="s">
        <v>98</v>
      </c>
      <c r="E15" s="172" t="s">
        <v>42</v>
      </c>
      <c r="F15" s="172" t="s">
        <v>89</v>
      </c>
      <c r="G15" s="172" t="s">
        <v>84</v>
      </c>
      <c r="H15" s="177">
        <v>1</v>
      </c>
      <c r="I15" s="178">
        <v>0</v>
      </c>
      <c r="J15" s="176">
        <v>46009</v>
      </c>
      <c r="K15" s="172" t="s">
        <v>93</v>
      </c>
      <c r="L15" s="172" t="s">
        <v>94</v>
      </c>
      <c r="M15" s="179">
        <v>0</v>
      </c>
      <c r="N15" s="177"/>
      <c r="O15" s="177"/>
      <c r="P15" s="180">
        <v>-15</v>
      </c>
    </row>
    <row r="16" spans="1:16" ht="19.5" customHeight="1">
      <c r="A16" s="172" t="s">
        <v>640</v>
      </c>
      <c r="B16" s="176">
        <v>46023</v>
      </c>
      <c r="C16" s="172" t="s">
        <v>92</v>
      </c>
      <c r="D16" s="172" t="s">
        <v>24</v>
      </c>
      <c r="E16" s="172" t="s">
        <v>42</v>
      </c>
      <c r="F16" s="172" t="s">
        <v>89</v>
      </c>
      <c r="G16" s="172" t="s">
        <v>84</v>
      </c>
      <c r="H16" s="177">
        <v>1</v>
      </c>
      <c r="I16" s="178">
        <v>0</v>
      </c>
      <c r="J16" s="176">
        <v>46009</v>
      </c>
      <c r="K16" s="172" t="s">
        <v>93</v>
      </c>
      <c r="L16" s="172" t="s">
        <v>94</v>
      </c>
      <c r="M16" s="179">
        <v>0</v>
      </c>
      <c r="N16" s="177"/>
      <c r="O16" s="177">
        <v>43</v>
      </c>
      <c r="P16" s="180">
        <v>-46.77</v>
      </c>
    </row>
    <row r="17" spans="1:16" ht="19.5" customHeight="1">
      <c r="A17" s="172" t="s">
        <v>640</v>
      </c>
      <c r="B17" s="176">
        <v>46023</v>
      </c>
      <c r="C17" s="172" t="s">
        <v>81</v>
      </c>
      <c r="D17" s="172" t="s">
        <v>95</v>
      </c>
      <c r="E17" s="172" t="s">
        <v>42</v>
      </c>
      <c r="F17" s="172" t="s">
        <v>89</v>
      </c>
      <c r="G17" s="172" t="s">
        <v>84</v>
      </c>
      <c r="H17" s="177">
        <v>1</v>
      </c>
      <c r="I17" s="178">
        <v>0</v>
      </c>
      <c r="J17" s="176">
        <v>46009</v>
      </c>
      <c r="K17" s="172" t="s">
        <v>93</v>
      </c>
      <c r="L17" s="172" t="s">
        <v>94</v>
      </c>
      <c r="M17" s="179">
        <v>0</v>
      </c>
      <c r="N17" s="177"/>
      <c r="O17" s="177"/>
      <c r="P17" s="180">
        <v>-8.11</v>
      </c>
    </row>
    <row r="18" spans="1:16" ht="19.5" customHeight="1">
      <c r="A18" s="172" t="s">
        <v>641</v>
      </c>
      <c r="B18" s="176">
        <v>46023</v>
      </c>
      <c r="C18" s="172" t="s">
        <v>81</v>
      </c>
      <c r="D18" s="172" t="s">
        <v>82</v>
      </c>
      <c r="E18" s="172" t="s">
        <v>53</v>
      </c>
      <c r="F18" s="172" t="s">
        <v>120</v>
      </c>
      <c r="G18" s="172" t="s">
        <v>84</v>
      </c>
      <c r="H18" s="177">
        <v>1</v>
      </c>
      <c r="I18" s="178">
        <v>0</v>
      </c>
      <c r="J18" s="176">
        <v>46023</v>
      </c>
      <c r="K18" s="172" t="s">
        <v>85</v>
      </c>
      <c r="L18" s="172" t="s">
        <v>85</v>
      </c>
      <c r="M18" s="179">
        <v>0</v>
      </c>
      <c r="N18" s="177"/>
      <c r="O18" s="177"/>
      <c r="P18" s="180">
        <v>-12.16</v>
      </c>
    </row>
    <row r="19" spans="1:16" ht="19.5" customHeight="1">
      <c r="A19" s="172" t="s">
        <v>642</v>
      </c>
      <c r="B19" s="176">
        <v>46023</v>
      </c>
      <c r="C19" s="172" t="s">
        <v>81</v>
      </c>
      <c r="D19" s="172" t="s">
        <v>82</v>
      </c>
      <c r="E19" s="172" t="s">
        <v>53</v>
      </c>
      <c r="F19" s="172" t="s">
        <v>120</v>
      </c>
      <c r="G19" s="172" t="s">
        <v>84</v>
      </c>
      <c r="H19" s="177">
        <v>1</v>
      </c>
      <c r="I19" s="178">
        <v>0</v>
      </c>
      <c r="J19" s="176">
        <v>46023</v>
      </c>
      <c r="K19" s="172" t="s">
        <v>85</v>
      </c>
      <c r="L19" s="172" t="s">
        <v>85</v>
      </c>
      <c r="M19" s="179">
        <v>0</v>
      </c>
      <c r="N19" s="177"/>
      <c r="O19" s="177"/>
      <c r="P19" s="180">
        <v>-12.16</v>
      </c>
    </row>
    <row r="20" spans="1:16" ht="19.5" customHeight="1">
      <c r="A20" s="172" t="s">
        <v>643</v>
      </c>
      <c r="B20" s="176">
        <v>46023</v>
      </c>
      <c r="C20" s="172" t="s">
        <v>92</v>
      </c>
      <c r="D20" s="172" t="s">
        <v>24</v>
      </c>
      <c r="E20" s="172" t="s">
        <v>52</v>
      </c>
      <c r="F20" s="172" t="s">
        <v>90</v>
      </c>
      <c r="G20" s="172" t="s">
        <v>84</v>
      </c>
      <c r="H20" s="177">
        <v>1</v>
      </c>
      <c r="I20" s="178">
        <v>0</v>
      </c>
      <c r="J20" s="176">
        <v>45999</v>
      </c>
      <c r="K20" s="172" t="s">
        <v>93</v>
      </c>
      <c r="L20" s="172" t="s">
        <v>94</v>
      </c>
      <c r="M20" s="179">
        <v>0</v>
      </c>
      <c r="N20" s="177"/>
      <c r="O20" s="177"/>
      <c r="P20" s="180">
        <v>-56</v>
      </c>
    </row>
    <row r="21" spans="1:16" ht="19.5" customHeight="1">
      <c r="A21" s="172" t="s">
        <v>643</v>
      </c>
      <c r="B21" s="176">
        <v>46023</v>
      </c>
      <c r="C21" s="172" t="s">
        <v>81</v>
      </c>
      <c r="D21" s="172" t="s">
        <v>95</v>
      </c>
      <c r="E21" s="172" t="s">
        <v>52</v>
      </c>
      <c r="F21" s="172" t="s">
        <v>90</v>
      </c>
      <c r="G21" s="172" t="s">
        <v>84</v>
      </c>
      <c r="H21" s="177">
        <v>1</v>
      </c>
      <c r="I21" s="178">
        <v>0</v>
      </c>
      <c r="J21" s="176">
        <v>45999</v>
      </c>
      <c r="K21" s="172" t="s">
        <v>93</v>
      </c>
      <c r="L21" s="172" t="s">
        <v>94</v>
      </c>
      <c r="M21" s="179">
        <v>0</v>
      </c>
      <c r="N21" s="177"/>
      <c r="O21" s="177"/>
      <c r="P21" s="180">
        <v>-7.52</v>
      </c>
    </row>
    <row r="22" spans="1:16" ht="19.5" customHeight="1">
      <c r="A22" s="172" t="s">
        <v>643</v>
      </c>
      <c r="B22" s="176">
        <v>46023</v>
      </c>
      <c r="C22" s="172" t="s">
        <v>92</v>
      </c>
      <c r="D22" s="172" t="s">
        <v>96</v>
      </c>
      <c r="E22" s="172" t="s">
        <v>52</v>
      </c>
      <c r="F22" s="172" t="s">
        <v>90</v>
      </c>
      <c r="G22" s="172" t="s">
        <v>84</v>
      </c>
      <c r="H22" s="177">
        <v>1</v>
      </c>
      <c r="I22" s="178">
        <v>0</v>
      </c>
      <c r="J22" s="176">
        <v>45999</v>
      </c>
      <c r="K22" s="172" t="s">
        <v>93</v>
      </c>
      <c r="L22" s="172" t="s">
        <v>94</v>
      </c>
      <c r="M22" s="179">
        <v>0</v>
      </c>
      <c r="N22" s="177"/>
      <c r="O22" s="177"/>
      <c r="P22" s="180">
        <v>0</v>
      </c>
    </row>
    <row r="23" spans="1:16" ht="19.5" customHeight="1">
      <c r="A23" s="172" t="s">
        <v>643</v>
      </c>
      <c r="B23" s="176">
        <v>46023</v>
      </c>
      <c r="C23" s="172" t="s">
        <v>92</v>
      </c>
      <c r="D23" s="172" t="s">
        <v>97</v>
      </c>
      <c r="E23" s="172" t="s">
        <v>52</v>
      </c>
      <c r="F23" s="172" t="s">
        <v>90</v>
      </c>
      <c r="G23" s="172" t="s">
        <v>84</v>
      </c>
      <c r="H23" s="177">
        <v>1</v>
      </c>
      <c r="I23" s="178">
        <v>0</v>
      </c>
      <c r="J23" s="176">
        <v>45999</v>
      </c>
      <c r="K23" s="172" t="s">
        <v>93</v>
      </c>
      <c r="L23" s="172" t="s">
        <v>94</v>
      </c>
      <c r="M23" s="179">
        <v>0</v>
      </c>
      <c r="N23" s="177"/>
      <c r="O23" s="177"/>
      <c r="P23" s="180">
        <v>-56</v>
      </c>
    </row>
    <row r="24" spans="1:16" ht="19.5" customHeight="1">
      <c r="A24" s="172" t="s">
        <v>643</v>
      </c>
      <c r="B24" s="176">
        <v>46023</v>
      </c>
      <c r="C24" s="172" t="s">
        <v>81</v>
      </c>
      <c r="D24" s="172" t="s">
        <v>98</v>
      </c>
      <c r="E24" s="172" t="s">
        <v>52</v>
      </c>
      <c r="F24" s="172" t="s">
        <v>90</v>
      </c>
      <c r="G24" s="172" t="s">
        <v>84</v>
      </c>
      <c r="H24" s="177">
        <v>1</v>
      </c>
      <c r="I24" s="178">
        <v>0</v>
      </c>
      <c r="J24" s="176">
        <v>45999</v>
      </c>
      <c r="K24" s="172" t="s">
        <v>93</v>
      </c>
      <c r="L24" s="172" t="s">
        <v>94</v>
      </c>
      <c r="M24" s="179">
        <v>0</v>
      </c>
      <c r="N24" s="177"/>
      <c r="O24" s="177"/>
      <c r="P24" s="180">
        <v>-15</v>
      </c>
    </row>
    <row r="25" spans="1:16" ht="19.5" customHeight="1">
      <c r="A25" s="172" t="s">
        <v>644</v>
      </c>
      <c r="B25" s="176">
        <v>46023</v>
      </c>
      <c r="C25" s="172" t="s">
        <v>81</v>
      </c>
      <c r="D25" s="172" t="s">
        <v>82</v>
      </c>
      <c r="E25" s="172" t="s">
        <v>52</v>
      </c>
      <c r="F25" s="172" t="s">
        <v>90</v>
      </c>
      <c r="G25" s="172" t="s">
        <v>84</v>
      </c>
      <c r="H25" s="177">
        <v>1</v>
      </c>
      <c r="I25" s="178">
        <v>0</v>
      </c>
      <c r="J25" s="176">
        <v>46023</v>
      </c>
      <c r="K25" s="172" t="s">
        <v>85</v>
      </c>
      <c r="L25" s="172" t="s">
        <v>85</v>
      </c>
      <c r="M25" s="179">
        <v>0</v>
      </c>
      <c r="N25" s="177"/>
      <c r="O25" s="177"/>
      <c r="P25" s="180">
        <v>-10.59</v>
      </c>
    </row>
    <row r="26" spans="1:16" ht="19.5" customHeight="1">
      <c r="A26" s="172" t="s">
        <v>645</v>
      </c>
      <c r="B26" s="176">
        <v>46023</v>
      </c>
      <c r="C26" s="172" t="s">
        <v>81</v>
      </c>
      <c r="D26" s="172" t="s">
        <v>82</v>
      </c>
      <c r="E26" s="172" t="s">
        <v>52</v>
      </c>
      <c r="F26" s="172" t="s">
        <v>90</v>
      </c>
      <c r="G26" s="172" t="s">
        <v>84</v>
      </c>
      <c r="H26" s="177">
        <v>1</v>
      </c>
      <c r="I26" s="178">
        <v>0</v>
      </c>
      <c r="J26" s="176">
        <v>46023</v>
      </c>
      <c r="K26" s="172" t="s">
        <v>85</v>
      </c>
      <c r="L26" s="172" t="s">
        <v>85</v>
      </c>
      <c r="M26" s="179">
        <v>0</v>
      </c>
      <c r="N26" s="177"/>
      <c r="O26" s="177"/>
      <c r="P26" s="180">
        <v>-10.54</v>
      </c>
    </row>
    <row r="27" spans="1:16" ht="19.5" customHeight="1">
      <c r="A27" s="172" t="s">
        <v>646</v>
      </c>
      <c r="B27" s="176">
        <v>46023</v>
      </c>
      <c r="C27" s="172" t="s">
        <v>81</v>
      </c>
      <c r="D27" s="172" t="s">
        <v>82</v>
      </c>
      <c r="E27" s="172" t="s">
        <v>52</v>
      </c>
      <c r="F27" s="172" t="s">
        <v>90</v>
      </c>
      <c r="G27" s="172" t="s">
        <v>84</v>
      </c>
      <c r="H27" s="177">
        <v>1</v>
      </c>
      <c r="I27" s="178">
        <v>0</v>
      </c>
      <c r="J27" s="176">
        <v>46023</v>
      </c>
      <c r="K27" s="172" t="s">
        <v>85</v>
      </c>
      <c r="L27" s="172" t="s">
        <v>85</v>
      </c>
      <c r="M27" s="179">
        <v>0</v>
      </c>
      <c r="N27" s="177"/>
      <c r="O27" s="177"/>
      <c r="P27" s="180">
        <v>-5.95</v>
      </c>
    </row>
    <row r="28" spans="1:16" ht="19.5" customHeight="1">
      <c r="A28" s="172" t="s">
        <v>647</v>
      </c>
      <c r="B28" s="176">
        <v>46023</v>
      </c>
      <c r="C28" s="172" t="s">
        <v>81</v>
      </c>
      <c r="D28" s="172" t="s">
        <v>82</v>
      </c>
      <c r="E28" s="172" t="s">
        <v>38</v>
      </c>
      <c r="F28" s="172" t="s">
        <v>87</v>
      </c>
      <c r="G28" s="172" t="s">
        <v>84</v>
      </c>
      <c r="H28" s="177">
        <v>1</v>
      </c>
      <c r="I28" s="178">
        <v>0</v>
      </c>
      <c r="J28" s="176">
        <v>46023</v>
      </c>
      <c r="K28" s="172" t="s">
        <v>85</v>
      </c>
      <c r="L28" s="172" t="s">
        <v>85</v>
      </c>
      <c r="M28" s="179">
        <v>0</v>
      </c>
      <c r="N28" s="177"/>
      <c r="O28" s="177"/>
      <c r="P28" s="180">
        <v>-6.2</v>
      </c>
    </row>
    <row r="29" spans="1:16" ht="19.5" customHeight="1">
      <c r="A29" s="172" t="s">
        <v>138</v>
      </c>
      <c r="B29" s="176">
        <v>46023</v>
      </c>
      <c r="C29" s="172" t="s">
        <v>109</v>
      </c>
      <c r="D29" s="172" t="s">
        <v>139</v>
      </c>
      <c r="E29" s="172" t="s">
        <v>85</v>
      </c>
      <c r="F29" s="172" t="s">
        <v>85</v>
      </c>
      <c r="G29" s="172" t="s">
        <v>85</v>
      </c>
      <c r="H29" s="177">
        <v>0</v>
      </c>
      <c r="I29" s="178">
        <v>0</v>
      </c>
      <c r="J29" s="176">
        <v>46023</v>
      </c>
      <c r="K29" s="172" t="s">
        <v>85</v>
      </c>
      <c r="L29" s="172" t="s">
        <v>85</v>
      </c>
      <c r="M29" s="179">
        <v>0</v>
      </c>
      <c r="N29" s="177"/>
      <c r="O29" s="177"/>
      <c r="P29" s="180">
        <v>-2137.7199999999998</v>
      </c>
    </row>
    <row r="30" spans="1:16" ht="19.5" customHeight="1">
      <c r="A30" s="172" t="s">
        <v>144</v>
      </c>
      <c r="B30" s="176">
        <v>46023</v>
      </c>
      <c r="C30" s="172" t="s">
        <v>109</v>
      </c>
      <c r="D30" s="172" t="s">
        <v>139</v>
      </c>
      <c r="E30" s="172" t="s">
        <v>85</v>
      </c>
      <c r="F30" s="172" t="s">
        <v>85</v>
      </c>
      <c r="G30" s="172" t="s">
        <v>85</v>
      </c>
      <c r="H30" s="177">
        <v>0</v>
      </c>
      <c r="I30" s="178">
        <v>0</v>
      </c>
      <c r="J30" s="176">
        <v>46023</v>
      </c>
      <c r="K30" s="172" t="s">
        <v>85</v>
      </c>
      <c r="L30" s="172" t="s">
        <v>85</v>
      </c>
      <c r="M30" s="179">
        <v>0</v>
      </c>
      <c r="N30" s="177"/>
      <c r="O30" s="177"/>
      <c r="P30" s="180">
        <v>-2167.4</v>
      </c>
    </row>
    <row r="31" spans="1:16" ht="19.5" customHeight="1">
      <c r="A31" s="172" t="s">
        <v>410</v>
      </c>
      <c r="B31" s="176">
        <v>46023</v>
      </c>
      <c r="C31" s="172" t="s">
        <v>109</v>
      </c>
      <c r="D31" s="172" t="s">
        <v>139</v>
      </c>
      <c r="E31" s="172" t="s">
        <v>85</v>
      </c>
      <c r="F31" s="172" t="s">
        <v>85</v>
      </c>
      <c r="G31" s="172" t="s">
        <v>85</v>
      </c>
      <c r="H31" s="177">
        <v>0</v>
      </c>
      <c r="I31" s="178">
        <v>0</v>
      </c>
      <c r="J31" s="176">
        <v>46023</v>
      </c>
      <c r="K31" s="172" t="s">
        <v>85</v>
      </c>
      <c r="L31" s="172" t="s">
        <v>85</v>
      </c>
      <c r="M31" s="179">
        <v>0</v>
      </c>
      <c r="N31" s="177"/>
      <c r="O31" s="177"/>
      <c r="P31" s="180">
        <v>-1127.55</v>
      </c>
    </row>
    <row r="32" spans="1:16" ht="19.5" customHeight="1">
      <c r="A32" s="172" t="s">
        <v>142</v>
      </c>
      <c r="B32" s="176">
        <v>46023</v>
      </c>
      <c r="C32" s="172" t="s">
        <v>109</v>
      </c>
      <c r="D32" s="172" t="s">
        <v>143</v>
      </c>
      <c r="E32" s="172" t="s">
        <v>85</v>
      </c>
      <c r="F32" s="172" t="s">
        <v>85</v>
      </c>
      <c r="G32" s="172" t="s">
        <v>85</v>
      </c>
      <c r="H32" s="177">
        <v>0</v>
      </c>
      <c r="I32" s="178">
        <v>0</v>
      </c>
      <c r="J32" s="176">
        <v>46023</v>
      </c>
      <c r="K32" s="172" t="s">
        <v>85</v>
      </c>
      <c r="L32" s="172" t="s">
        <v>85</v>
      </c>
      <c r="M32" s="179">
        <v>0</v>
      </c>
      <c r="N32" s="177"/>
      <c r="O32" s="177"/>
      <c r="P32" s="180">
        <v>-1591.2</v>
      </c>
    </row>
    <row r="33" spans="1:16" ht="19.5" customHeight="1">
      <c r="A33" s="172" t="s">
        <v>648</v>
      </c>
      <c r="B33" s="176">
        <v>46024</v>
      </c>
      <c r="C33" s="172" t="s">
        <v>81</v>
      </c>
      <c r="D33" s="172" t="s">
        <v>82</v>
      </c>
      <c r="E33" s="172" t="s">
        <v>43</v>
      </c>
      <c r="F33" s="172" t="s">
        <v>125</v>
      </c>
      <c r="G33" s="172" t="s">
        <v>84</v>
      </c>
      <c r="H33" s="177">
        <v>1</v>
      </c>
      <c r="I33" s="178">
        <v>0</v>
      </c>
      <c r="J33" s="176">
        <v>46024</v>
      </c>
      <c r="K33" s="172" t="s">
        <v>85</v>
      </c>
      <c r="L33" s="172" t="s">
        <v>85</v>
      </c>
      <c r="M33" s="179">
        <v>0</v>
      </c>
      <c r="N33" s="177"/>
      <c r="O33" s="177"/>
      <c r="P33" s="180">
        <v>-4.22</v>
      </c>
    </row>
    <row r="34" spans="1:16" ht="19.5" customHeight="1">
      <c r="A34" s="172" t="s">
        <v>649</v>
      </c>
      <c r="B34" s="176">
        <v>46024</v>
      </c>
      <c r="C34" s="172" t="s">
        <v>81</v>
      </c>
      <c r="D34" s="172" t="s">
        <v>82</v>
      </c>
      <c r="E34" s="172" t="s">
        <v>53</v>
      </c>
      <c r="F34" s="172" t="s">
        <v>120</v>
      </c>
      <c r="G34" s="172" t="s">
        <v>84</v>
      </c>
      <c r="H34" s="177">
        <v>1</v>
      </c>
      <c r="I34" s="178">
        <v>0</v>
      </c>
      <c r="J34" s="176">
        <v>46024</v>
      </c>
      <c r="K34" s="172" t="s">
        <v>85</v>
      </c>
      <c r="L34" s="172" t="s">
        <v>85</v>
      </c>
      <c r="M34" s="179">
        <v>0</v>
      </c>
      <c r="N34" s="177"/>
      <c r="O34" s="177"/>
      <c r="P34" s="180">
        <v>-12.21</v>
      </c>
    </row>
    <row r="35" spans="1:16" ht="19.5" customHeight="1">
      <c r="A35" s="172" t="s">
        <v>650</v>
      </c>
      <c r="B35" s="176">
        <v>46024</v>
      </c>
      <c r="C35" s="172" t="s">
        <v>81</v>
      </c>
      <c r="D35" s="172" t="s">
        <v>82</v>
      </c>
      <c r="E35" s="172" t="s">
        <v>52</v>
      </c>
      <c r="F35" s="172" t="s">
        <v>90</v>
      </c>
      <c r="G35" s="172" t="s">
        <v>84</v>
      </c>
      <c r="H35" s="177">
        <v>1</v>
      </c>
      <c r="I35" s="178">
        <v>0</v>
      </c>
      <c r="J35" s="176">
        <v>46024</v>
      </c>
      <c r="K35" s="172" t="s">
        <v>85</v>
      </c>
      <c r="L35" s="172" t="s">
        <v>85</v>
      </c>
      <c r="M35" s="179">
        <v>0</v>
      </c>
      <c r="N35" s="177"/>
      <c r="O35" s="177"/>
      <c r="P35" s="180">
        <v>-10.59</v>
      </c>
    </row>
    <row r="36" spans="1:16" ht="19.5" customHeight="1">
      <c r="A36" s="172" t="s">
        <v>651</v>
      </c>
      <c r="B36" s="176">
        <v>46024</v>
      </c>
      <c r="C36" s="172" t="s">
        <v>92</v>
      </c>
      <c r="D36" s="172" t="s">
        <v>24</v>
      </c>
      <c r="E36" s="172" t="s">
        <v>53</v>
      </c>
      <c r="F36" s="172" t="s">
        <v>120</v>
      </c>
      <c r="G36" s="172" t="s">
        <v>84</v>
      </c>
      <c r="H36" s="177">
        <v>1</v>
      </c>
      <c r="I36" s="178">
        <v>0</v>
      </c>
      <c r="J36" s="176">
        <v>46014</v>
      </c>
      <c r="K36" s="172" t="s">
        <v>93</v>
      </c>
      <c r="L36" s="172" t="s">
        <v>94</v>
      </c>
      <c r="M36" s="179">
        <v>0</v>
      </c>
      <c r="N36" s="177"/>
      <c r="O36" s="177">
        <v>43</v>
      </c>
      <c r="P36" s="180">
        <v>-56</v>
      </c>
    </row>
    <row r="37" spans="1:16" ht="19.5" customHeight="1">
      <c r="A37" s="172" t="s">
        <v>651</v>
      </c>
      <c r="B37" s="176">
        <v>46024</v>
      </c>
      <c r="C37" s="172" t="s">
        <v>81</v>
      </c>
      <c r="D37" s="172" t="s">
        <v>95</v>
      </c>
      <c r="E37" s="172" t="s">
        <v>53</v>
      </c>
      <c r="F37" s="172" t="s">
        <v>120</v>
      </c>
      <c r="G37" s="172" t="s">
        <v>84</v>
      </c>
      <c r="H37" s="177">
        <v>1</v>
      </c>
      <c r="I37" s="178">
        <v>0</v>
      </c>
      <c r="J37" s="176">
        <v>46014</v>
      </c>
      <c r="K37" s="172" t="s">
        <v>93</v>
      </c>
      <c r="L37" s="172" t="s">
        <v>94</v>
      </c>
      <c r="M37" s="179">
        <v>0</v>
      </c>
      <c r="N37" s="177"/>
      <c r="O37" s="177"/>
      <c r="P37" s="180">
        <v>-11.68</v>
      </c>
    </row>
    <row r="38" spans="1:16" ht="19.5" customHeight="1">
      <c r="A38" s="172" t="s">
        <v>651</v>
      </c>
      <c r="B38" s="176">
        <v>46024</v>
      </c>
      <c r="C38" s="172" t="s">
        <v>92</v>
      </c>
      <c r="D38" s="172" t="s">
        <v>96</v>
      </c>
      <c r="E38" s="172" t="s">
        <v>53</v>
      </c>
      <c r="F38" s="172" t="s">
        <v>120</v>
      </c>
      <c r="G38" s="172" t="s">
        <v>84</v>
      </c>
      <c r="H38" s="177">
        <v>1</v>
      </c>
      <c r="I38" s="178">
        <v>0</v>
      </c>
      <c r="J38" s="176">
        <v>46014</v>
      </c>
      <c r="K38" s="172" t="s">
        <v>93</v>
      </c>
      <c r="L38" s="172" t="s">
        <v>94</v>
      </c>
      <c r="M38" s="179">
        <v>0</v>
      </c>
      <c r="N38" s="177"/>
      <c r="O38" s="177"/>
      <c r="P38" s="180">
        <v>0</v>
      </c>
    </row>
    <row r="39" spans="1:16" ht="19.5" customHeight="1">
      <c r="A39" s="172" t="s">
        <v>651</v>
      </c>
      <c r="B39" s="176">
        <v>46024</v>
      </c>
      <c r="C39" s="172" t="s">
        <v>92</v>
      </c>
      <c r="D39" s="172" t="s">
        <v>97</v>
      </c>
      <c r="E39" s="172" t="s">
        <v>53</v>
      </c>
      <c r="F39" s="172" t="s">
        <v>120</v>
      </c>
      <c r="G39" s="172" t="s">
        <v>84</v>
      </c>
      <c r="H39" s="177">
        <v>1</v>
      </c>
      <c r="I39" s="178">
        <v>0</v>
      </c>
      <c r="J39" s="176">
        <v>46014</v>
      </c>
      <c r="K39" s="172" t="s">
        <v>93</v>
      </c>
      <c r="L39" s="172" t="s">
        <v>94</v>
      </c>
      <c r="M39" s="179">
        <v>0</v>
      </c>
      <c r="N39" s="177"/>
      <c r="O39" s="177"/>
      <c r="P39" s="180">
        <v>-56</v>
      </c>
    </row>
    <row r="40" spans="1:16" ht="19.5" customHeight="1">
      <c r="A40" s="172" t="s">
        <v>651</v>
      </c>
      <c r="B40" s="176">
        <v>46024</v>
      </c>
      <c r="C40" s="172" t="s">
        <v>81</v>
      </c>
      <c r="D40" s="172" t="s">
        <v>98</v>
      </c>
      <c r="E40" s="172" t="s">
        <v>53</v>
      </c>
      <c r="F40" s="172" t="s">
        <v>120</v>
      </c>
      <c r="G40" s="172" t="s">
        <v>84</v>
      </c>
      <c r="H40" s="177">
        <v>1</v>
      </c>
      <c r="I40" s="178">
        <v>0</v>
      </c>
      <c r="J40" s="176">
        <v>46014</v>
      </c>
      <c r="K40" s="172" t="s">
        <v>93</v>
      </c>
      <c r="L40" s="172" t="s">
        <v>94</v>
      </c>
      <c r="M40" s="179">
        <v>0</v>
      </c>
      <c r="N40" s="177"/>
      <c r="O40" s="177"/>
      <c r="P40" s="180">
        <v>-15</v>
      </c>
    </row>
    <row r="41" spans="1:16" ht="19.5" customHeight="1">
      <c r="A41" s="172" t="s">
        <v>652</v>
      </c>
      <c r="B41" s="176">
        <v>46024</v>
      </c>
      <c r="C41" s="172" t="s">
        <v>92</v>
      </c>
      <c r="D41" s="172" t="s">
        <v>24</v>
      </c>
      <c r="E41" s="172" t="s">
        <v>52</v>
      </c>
      <c r="F41" s="172" t="s">
        <v>90</v>
      </c>
      <c r="G41" s="172" t="s">
        <v>84</v>
      </c>
      <c r="H41" s="177">
        <v>1</v>
      </c>
      <c r="I41" s="178">
        <v>1621</v>
      </c>
      <c r="J41" s="176">
        <v>46011</v>
      </c>
      <c r="K41" s="172" t="s">
        <v>93</v>
      </c>
      <c r="L41" s="172" t="s">
        <v>94</v>
      </c>
      <c r="M41" s="179">
        <v>0.43</v>
      </c>
      <c r="N41" s="177"/>
      <c r="O41" s="177">
        <v>44</v>
      </c>
      <c r="P41" s="180">
        <v>-142.34</v>
      </c>
    </row>
    <row r="42" spans="1:16" ht="19.5" customHeight="1">
      <c r="A42" s="172" t="s">
        <v>652</v>
      </c>
      <c r="B42" s="176">
        <v>46024</v>
      </c>
      <c r="C42" s="172" t="s">
        <v>100</v>
      </c>
      <c r="D42" s="172" t="s">
        <v>101</v>
      </c>
      <c r="E42" s="172" t="s">
        <v>52</v>
      </c>
      <c r="F42" s="172" t="s">
        <v>90</v>
      </c>
      <c r="G42" s="172" t="s">
        <v>84</v>
      </c>
      <c r="H42" s="177">
        <v>1</v>
      </c>
      <c r="I42" s="178">
        <v>1621</v>
      </c>
      <c r="J42" s="176">
        <v>46011</v>
      </c>
      <c r="K42" s="172" t="s">
        <v>93</v>
      </c>
      <c r="L42" s="172" t="s">
        <v>94</v>
      </c>
      <c r="M42" s="179">
        <v>0</v>
      </c>
      <c r="N42" s="177"/>
      <c r="O42" s="177"/>
      <c r="P42" s="180">
        <v>557.14</v>
      </c>
    </row>
    <row r="43" spans="1:16" ht="19.5" customHeight="1">
      <c r="A43" s="172" t="s">
        <v>652</v>
      </c>
      <c r="B43" s="176">
        <v>46024</v>
      </c>
      <c r="C43" s="172" t="s">
        <v>100</v>
      </c>
      <c r="D43" s="172" t="s">
        <v>102</v>
      </c>
      <c r="E43" s="172" t="s">
        <v>52</v>
      </c>
      <c r="F43" s="172" t="s">
        <v>90</v>
      </c>
      <c r="G43" s="172" t="s">
        <v>84</v>
      </c>
      <c r="H43" s="177">
        <v>1</v>
      </c>
      <c r="I43" s="178">
        <v>1621</v>
      </c>
      <c r="J43" s="176">
        <v>46011</v>
      </c>
      <c r="K43" s="172" t="s">
        <v>93</v>
      </c>
      <c r="L43" s="172" t="s">
        <v>94</v>
      </c>
      <c r="M43" s="179">
        <v>0</v>
      </c>
      <c r="N43" s="177"/>
      <c r="O43" s="177"/>
      <c r="P43" s="180">
        <v>5.57</v>
      </c>
    </row>
    <row r="44" spans="1:16" ht="19.5" customHeight="1">
      <c r="A44" s="172" t="s">
        <v>652</v>
      </c>
      <c r="B44" s="176">
        <v>46024</v>
      </c>
      <c r="C44" s="172" t="s">
        <v>100</v>
      </c>
      <c r="D44" s="172" t="s">
        <v>103</v>
      </c>
      <c r="E44" s="172" t="s">
        <v>52</v>
      </c>
      <c r="F44" s="172" t="s">
        <v>90</v>
      </c>
      <c r="G44" s="172" t="s">
        <v>84</v>
      </c>
      <c r="H44" s="177">
        <v>1</v>
      </c>
      <c r="I44" s="178">
        <v>1621</v>
      </c>
      <c r="J44" s="176">
        <v>46011</v>
      </c>
      <c r="K44" s="172" t="s">
        <v>93</v>
      </c>
      <c r="L44" s="172" t="s">
        <v>94</v>
      </c>
      <c r="M44" s="179">
        <v>0</v>
      </c>
      <c r="N44" s="177"/>
      <c r="O44" s="177"/>
      <c r="P44" s="180">
        <v>1058.29</v>
      </c>
    </row>
    <row r="45" spans="1:16" ht="19.5" customHeight="1">
      <c r="A45" s="172" t="s">
        <v>652</v>
      </c>
      <c r="B45" s="176">
        <v>46024</v>
      </c>
      <c r="C45" s="172" t="s">
        <v>104</v>
      </c>
      <c r="D45" s="172" t="s">
        <v>105</v>
      </c>
      <c r="E45" s="172" t="s">
        <v>52</v>
      </c>
      <c r="F45" s="172" t="s">
        <v>90</v>
      </c>
      <c r="G45" s="172" t="s">
        <v>84</v>
      </c>
      <c r="H45" s="177">
        <v>1</v>
      </c>
      <c r="I45" s="178">
        <v>1621</v>
      </c>
      <c r="J45" s="176">
        <v>46011</v>
      </c>
      <c r="K45" s="172" t="s">
        <v>93</v>
      </c>
      <c r="L45" s="172" t="s">
        <v>94</v>
      </c>
      <c r="M45" s="179">
        <v>0.43</v>
      </c>
      <c r="N45" s="177"/>
      <c r="O45" s="177"/>
      <c r="P45" s="180">
        <v>-697.03</v>
      </c>
    </row>
    <row r="46" spans="1:16" ht="19.5" customHeight="1">
      <c r="A46" s="172" t="s">
        <v>652</v>
      </c>
      <c r="B46" s="176">
        <v>46024</v>
      </c>
      <c r="C46" s="172" t="s">
        <v>81</v>
      </c>
      <c r="D46" s="172" t="s">
        <v>95</v>
      </c>
      <c r="E46" s="172" t="s">
        <v>52</v>
      </c>
      <c r="F46" s="172" t="s">
        <v>90</v>
      </c>
      <c r="G46" s="172" t="s">
        <v>84</v>
      </c>
      <c r="H46" s="177">
        <v>1</v>
      </c>
      <c r="I46" s="178">
        <v>1621</v>
      </c>
      <c r="J46" s="176">
        <v>46011</v>
      </c>
      <c r="K46" s="172" t="s">
        <v>93</v>
      </c>
      <c r="L46" s="172" t="s">
        <v>94</v>
      </c>
      <c r="M46" s="179">
        <v>0.43</v>
      </c>
      <c r="N46" s="177"/>
      <c r="O46" s="177"/>
      <c r="P46" s="180">
        <v>-8.8800000000000008</v>
      </c>
    </row>
    <row r="47" spans="1:16" ht="19.5" customHeight="1">
      <c r="A47" s="172" t="s">
        <v>652</v>
      </c>
      <c r="B47" s="176">
        <v>46024</v>
      </c>
      <c r="C47" s="172" t="s">
        <v>81</v>
      </c>
      <c r="D47" s="172" t="s">
        <v>82</v>
      </c>
      <c r="E47" s="172" t="s">
        <v>52</v>
      </c>
      <c r="F47" s="172" t="s">
        <v>90</v>
      </c>
      <c r="G47" s="172" t="s">
        <v>84</v>
      </c>
      <c r="H47" s="177">
        <v>1</v>
      </c>
      <c r="I47" s="178">
        <v>0</v>
      </c>
      <c r="J47" s="176">
        <v>46011</v>
      </c>
      <c r="K47" s="172" t="s">
        <v>85</v>
      </c>
      <c r="L47" s="172" t="s">
        <v>85</v>
      </c>
      <c r="M47" s="179">
        <v>0</v>
      </c>
      <c r="N47" s="177"/>
      <c r="O47" s="177"/>
      <c r="P47" s="180">
        <v>-10.59</v>
      </c>
    </row>
    <row r="48" spans="1:16" ht="19.5" customHeight="1">
      <c r="A48" s="172" t="s">
        <v>653</v>
      </c>
      <c r="B48" s="176">
        <v>46024</v>
      </c>
      <c r="C48" s="172" t="s">
        <v>92</v>
      </c>
      <c r="D48" s="172" t="s">
        <v>24</v>
      </c>
      <c r="E48" s="172" t="s">
        <v>53</v>
      </c>
      <c r="F48" s="172" t="s">
        <v>120</v>
      </c>
      <c r="G48" s="172" t="s">
        <v>84</v>
      </c>
      <c r="H48" s="177">
        <v>1</v>
      </c>
      <c r="I48" s="178">
        <v>1621</v>
      </c>
      <c r="J48" s="176">
        <v>46014</v>
      </c>
      <c r="K48" s="172" t="s">
        <v>93</v>
      </c>
      <c r="L48" s="172" t="s">
        <v>94</v>
      </c>
      <c r="M48" s="179">
        <v>0.43</v>
      </c>
      <c r="N48" s="177"/>
      <c r="O48" s="177">
        <v>43</v>
      </c>
      <c r="P48" s="180">
        <v>-138.22999999999999</v>
      </c>
    </row>
    <row r="49" spans="1:16" ht="19.5" customHeight="1">
      <c r="A49" s="172" t="s">
        <v>653</v>
      </c>
      <c r="B49" s="176">
        <v>46024</v>
      </c>
      <c r="C49" s="172" t="s">
        <v>100</v>
      </c>
      <c r="D49" s="172" t="s">
        <v>101</v>
      </c>
      <c r="E49" s="172" t="s">
        <v>53</v>
      </c>
      <c r="F49" s="172" t="s">
        <v>120</v>
      </c>
      <c r="G49" s="172" t="s">
        <v>84</v>
      </c>
      <c r="H49" s="177">
        <v>1</v>
      </c>
      <c r="I49" s="178">
        <v>1621</v>
      </c>
      <c r="J49" s="176">
        <v>46014</v>
      </c>
      <c r="K49" s="172" t="s">
        <v>93</v>
      </c>
      <c r="L49" s="172" t="s">
        <v>94</v>
      </c>
      <c r="M49" s="179">
        <v>0</v>
      </c>
      <c r="N49" s="177"/>
      <c r="O49" s="177"/>
      <c r="P49" s="180">
        <v>557.14</v>
      </c>
    </row>
    <row r="50" spans="1:16" ht="19.5" customHeight="1">
      <c r="A50" s="172" t="s">
        <v>653</v>
      </c>
      <c r="B50" s="176">
        <v>46024</v>
      </c>
      <c r="C50" s="172" t="s">
        <v>100</v>
      </c>
      <c r="D50" s="172" t="s">
        <v>102</v>
      </c>
      <c r="E50" s="172" t="s">
        <v>53</v>
      </c>
      <c r="F50" s="172" t="s">
        <v>120</v>
      </c>
      <c r="G50" s="172" t="s">
        <v>84</v>
      </c>
      <c r="H50" s="177">
        <v>1</v>
      </c>
      <c r="I50" s="178">
        <v>1621</v>
      </c>
      <c r="J50" s="176">
        <v>46014</v>
      </c>
      <c r="K50" s="172" t="s">
        <v>93</v>
      </c>
      <c r="L50" s="172" t="s">
        <v>94</v>
      </c>
      <c r="M50" s="179">
        <v>0</v>
      </c>
      <c r="N50" s="177"/>
      <c r="O50" s="177"/>
      <c r="P50" s="180">
        <v>5.57</v>
      </c>
    </row>
    <row r="51" spans="1:16" ht="19.5" customHeight="1">
      <c r="A51" s="172" t="s">
        <v>653</v>
      </c>
      <c r="B51" s="176">
        <v>46024</v>
      </c>
      <c r="C51" s="172" t="s">
        <v>100</v>
      </c>
      <c r="D51" s="172" t="s">
        <v>103</v>
      </c>
      <c r="E51" s="172" t="s">
        <v>53</v>
      </c>
      <c r="F51" s="172" t="s">
        <v>120</v>
      </c>
      <c r="G51" s="172" t="s">
        <v>84</v>
      </c>
      <c r="H51" s="177">
        <v>1</v>
      </c>
      <c r="I51" s="178">
        <v>1621</v>
      </c>
      <c r="J51" s="176">
        <v>46014</v>
      </c>
      <c r="K51" s="172" t="s">
        <v>93</v>
      </c>
      <c r="L51" s="172" t="s">
        <v>94</v>
      </c>
      <c r="M51" s="179">
        <v>0</v>
      </c>
      <c r="N51" s="177"/>
      <c r="O51" s="177"/>
      <c r="P51" s="180">
        <v>1058.29</v>
      </c>
    </row>
    <row r="52" spans="1:16" ht="19.5" customHeight="1">
      <c r="A52" s="172" t="s">
        <v>653</v>
      </c>
      <c r="B52" s="176">
        <v>46024</v>
      </c>
      <c r="C52" s="172" t="s">
        <v>104</v>
      </c>
      <c r="D52" s="172" t="s">
        <v>105</v>
      </c>
      <c r="E52" s="172" t="s">
        <v>53</v>
      </c>
      <c r="F52" s="172" t="s">
        <v>120</v>
      </c>
      <c r="G52" s="172" t="s">
        <v>84</v>
      </c>
      <c r="H52" s="177">
        <v>1</v>
      </c>
      <c r="I52" s="178">
        <v>1621</v>
      </c>
      <c r="J52" s="176">
        <v>46014</v>
      </c>
      <c r="K52" s="172" t="s">
        <v>93</v>
      </c>
      <c r="L52" s="172" t="s">
        <v>94</v>
      </c>
      <c r="M52" s="179">
        <v>0.43</v>
      </c>
      <c r="N52" s="177"/>
      <c r="O52" s="177"/>
      <c r="P52" s="180">
        <v>-697.03</v>
      </c>
    </row>
    <row r="53" spans="1:16" ht="19.5" customHeight="1">
      <c r="A53" s="172" t="s">
        <v>653</v>
      </c>
      <c r="B53" s="176">
        <v>46024</v>
      </c>
      <c r="C53" s="172" t="s">
        <v>81</v>
      </c>
      <c r="D53" s="172" t="s">
        <v>95</v>
      </c>
      <c r="E53" s="172" t="s">
        <v>53</v>
      </c>
      <c r="F53" s="172" t="s">
        <v>120</v>
      </c>
      <c r="G53" s="172" t="s">
        <v>84</v>
      </c>
      <c r="H53" s="177">
        <v>1</v>
      </c>
      <c r="I53" s="178">
        <v>1621</v>
      </c>
      <c r="J53" s="176">
        <v>46014</v>
      </c>
      <c r="K53" s="172" t="s">
        <v>93</v>
      </c>
      <c r="L53" s="172" t="s">
        <v>94</v>
      </c>
      <c r="M53" s="179">
        <v>0.43</v>
      </c>
      <c r="N53" s="177"/>
      <c r="O53" s="177"/>
      <c r="P53" s="180">
        <v>-7.4</v>
      </c>
    </row>
    <row r="54" spans="1:16" ht="19.5" customHeight="1">
      <c r="A54" s="172" t="s">
        <v>654</v>
      </c>
      <c r="B54" s="176">
        <v>46024</v>
      </c>
      <c r="C54" s="172" t="s">
        <v>92</v>
      </c>
      <c r="D54" s="172" t="s">
        <v>24</v>
      </c>
      <c r="E54" s="172" t="s">
        <v>41</v>
      </c>
      <c r="F54" s="172" t="s">
        <v>83</v>
      </c>
      <c r="G54" s="172" t="s">
        <v>84</v>
      </c>
      <c r="H54" s="177">
        <v>1</v>
      </c>
      <c r="I54" s="178">
        <v>1600</v>
      </c>
      <c r="J54" s="176">
        <v>46021</v>
      </c>
      <c r="K54" s="172" t="s">
        <v>93</v>
      </c>
      <c r="L54" s="172" t="s">
        <v>94</v>
      </c>
      <c r="M54" s="179">
        <v>0.43</v>
      </c>
      <c r="N54" s="177"/>
      <c r="O54" s="177">
        <v>40</v>
      </c>
      <c r="P54" s="180">
        <v>-110.26</v>
      </c>
    </row>
    <row r="55" spans="1:16" ht="19.5" customHeight="1">
      <c r="A55" s="172" t="s">
        <v>654</v>
      </c>
      <c r="B55" s="176">
        <v>46024</v>
      </c>
      <c r="C55" s="172" t="s">
        <v>100</v>
      </c>
      <c r="D55" s="172" t="s">
        <v>101</v>
      </c>
      <c r="E55" s="172" t="s">
        <v>41</v>
      </c>
      <c r="F55" s="172" t="s">
        <v>83</v>
      </c>
      <c r="G55" s="172" t="s">
        <v>84</v>
      </c>
      <c r="H55" s="177">
        <v>1</v>
      </c>
      <c r="I55" s="178">
        <v>1600</v>
      </c>
      <c r="J55" s="176">
        <v>46021</v>
      </c>
      <c r="K55" s="172" t="s">
        <v>93</v>
      </c>
      <c r="L55" s="172" t="s">
        <v>94</v>
      </c>
      <c r="M55" s="179">
        <v>0</v>
      </c>
      <c r="N55" s="177"/>
      <c r="O55" s="177"/>
      <c r="P55" s="180">
        <v>549.52</v>
      </c>
    </row>
    <row r="56" spans="1:16" ht="19.5" customHeight="1">
      <c r="A56" s="172" t="s">
        <v>654</v>
      </c>
      <c r="B56" s="176">
        <v>46024</v>
      </c>
      <c r="C56" s="172" t="s">
        <v>100</v>
      </c>
      <c r="D56" s="172" t="s">
        <v>102</v>
      </c>
      <c r="E56" s="172" t="s">
        <v>41</v>
      </c>
      <c r="F56" s="172" t="s">
        <v>83</v>
      </c>
      <c r="G56" s="172" t="s">
        <v>84</v>
      </c>
      <c r="H56" s="177">
        <v>1</v>
      </c>
      <c r="I56" s="178">
        <v>1600</v>
      </c>
      <c r="J56" s="176">
        <v>46021</v>
      </c>
      <c r="K56" s="172" t="s">
        <v>93</v>
      </c>
      <c r="L56" s="172" t="s">
        <v>94</v>
      </c>
      <c r="M56" s="179">
        <v>0</v>
      </c>
      <c r="N56" s="177"/>
      <c r="O56" s="177"/>
      <c r="P56" s="180">
        <v>5.5</v>
      </c>
    </row>
    <row r="57" spans="1:16" ht="19.5" customHeight="1">
      <c r="A57" s="172" t="s">
        <v>654</v>
      </c>
      <c r="B57" s="176">
        <v>46024</v>
      </c>
      <c r="C57" s="172" t="s">
        <v>100</v>
      </c>
      <c r="D57" s="172" t="s">
        <v>103</v>
      </c>
      <c r="E57" s="172" t="s">
        <v>41</v>
      </c>
      <c r="F57" s="172" t="s">
        <v>83</v>
      </c>
      <c r="G57" s="172" t="s">
        <v>84</v>
      </c>
      <c r="H57" s="177">
        <v>1</v>
      </c>
      <c r="I57" s="178">
        <v>1600</v>
      </c>
      <c r="J57" s="176">
        <v>46021</v>
      </c>
      <c r="K57" s="172" t="s">
        <v>93</v>
      </c>
      <c r="L57" s="172" t="s">
        <v>94</v>
      </c>
      <c r="M57" s="179">
        <v>0</v>
      </c>
      <c r="N57" s="177"/>
      <c r="O57" s="177"/>
      <c r="P57" s="180">
        <v>1044.98</v>
      </c>
    </row>
    <row r="58" spans="1:16" ht="19.5" customHeight="1">
      <c r="A58" s="172" t="s">
        <v>654</v>
      </c>
      <c r="B58" s="176">
        <v>46024</v>
      </c>
      <c r="C58" s="172" t="s">
        <v>104</v>
      </c>
      <c r="D58" s="172" t="s">
        <v>105</v>
      </c>
      <c r="E58" s="172" t="s">
        <v>41</v>
      </c>
      <c r="F58" s="172" t="s">
        <v>83</v>
      </c>
      <c r="G58" s="172" t="s">
        <v>84</v>
      </c>
      <c r="H58" s="177">
        <v>1</v>
      </c>
      <c r="I58" s="178">
        <v>1600</v>
      </c>
      <c r="J58" s="176">
        <v>46021</v>
      </c>
      <c r="K58" s="172" t="s">
        <v>93</v>
      </c>
      <c r="L58" s="172" t="s">
        <v>94</v>
      </c>
      <c r="M58" s="179">
        <v>0.43</v>
      </c>
      <c r="N58" s="177"/>
      <c r="O58" s="177"/>
      <c r="P58" s="180">
        <v>-688</v>
      </c>
    </row>
    <row r="59" spans="1:16" ht="19.5" customHeight="1">
      <c r="A59" s="172" t="s">
        <v>654</v>
      </c>
      <c r="B59" s="176">
        <v>46024</v>
      </c>
      <c r="C59" s="172" t="s">
        <v>81</v>
      </c>
      <c r="D59" s="172" t="s">
        <v>95</v>
      </c>
      <c r="E59" s="172" t="s">
        <v>41</v>
      </c>
      <c r="F59" s="172" t="s">
        <v>83</v>
      </c>
      <c r="G59" s="172" t="s">
        <v>84</v>
      </c>
      <c r="H59" s="177">
        <v>1</v>
      </c>
      <c r="I59" s="178">
        <v>1600</v>
      </c>
      <c r="J59" s="176">
        <v>46021</v>
      </c>
      <c r="K59" s="172" t="s">
        <v>93</v>
      </c>
      <c r="L59" s="172" t="s">
        <v>94</v>
      </c>
      <c r="M59" s="179">
        <v>0.43</v>
      </c>
      <c r="N59" s="177"/>
      <c r="O59" s="177"/>
      <c r="P59" s="180">
        <v>-14.71</v>
      </c>
    </row>
    <row r="60" spans="1:16" ht="19.5" customHeight="1">
      <c r="A60" s="172" t="s">
        <v>653</v>
      </c>
      <c r="B60" s="176">
        <v>46024</v>
      </c>
      <c r="C60" s="172" t="s">
        <v>81</v>
      </c>
      <c r="D60" s="172" t="s">
        <v>82</v>
      </c>
      <c r="E60" s="172" t="s">
        <v>53</v>
      </c>
      <c r="F60" s="172" t="s">
        <v>120</v>
      </c>
      <c r="G60" s="172" t="s">
        <v>84</v>
      </c>
      <c r="H60" s="177">
        <v>1</v>
      </c>
      <c r="I60" s="178">
        <v>0</v>
      </c>
      <c r="J60" s="176">
        <v>46014</v>
      </c>
      <c r="K60" s="172" t="s">
        <v>85</v>
      </c>
      <c r="L60" s="172" t="s">
        <v>85</v>
      </c>
      <c r="M60" s="179">
        <v>0</v>
      </c>
      <c r="N60" s="177"/>
      <c r="O60" s="177"/>
      <c r="P60" s="180">
        <v>-10.59</v>
      </c>
    </row>
    <row r="61" spans="1:16" ht="19.5" customHeight="1">
      <c r="A61" s="172" t="s">
        <v>655</v>
      </c>
      <c r="B61" s="176">
        <v>46024</v>
      </c>
      <c r="C61" s="172" t="s">
        <v>92</v>
      </c>
      <c r="D61" s="172" t="s">
        <v>24</v>
      </c>
      <c r="E61" s="172" t="s">
        <v>52</v>
      </c>
      <c r="F61" s="172" t="s">
        <v>90</v>
      </c>
      <c r="G61" s="172" t="s">
        <v>84</v>
      </c>
      <c r="H61" s="177">
        <v>1</v>
      </c>
      <c r="I61" s="178">
        <v>1621</v>
      </c>
      <c r="J61" s="176">
        <v>46012</v>
      </c>
      <c r="K61" s="172" t="s">
        <v>93</v>
      </c>
      <c r="L61" s="172" t="s">
        <v>94</v>
      </c>
      <c r="M61" s="179">
        <v>0.43</v>
      </c>
      <c r="N61" s="177"/>
      <c r="O61" s="177">
        <v>43</v>
      </c>
      <c r="P61" s="180">
        <v>-138.22999999999999</v>
      </c>
    </row>
    <row r="62" spans="1:16" ht="19.5" customHeight="1">
      <c r="A62" s="172" t="s">
        <v>655</v>
      </c>
      <c r="B62" s="176">
        <v>46024</v>
      </c>
      <c r="C62" s="172" t="s">
        <v>100</v>
      </c>
      <c r="D62" s="172" t="s">
        <v>101</v>
      </c>
      <c r="E62" s="172" t="s">
        <v>52</v>
      </c>
      <c r="F62" s="172" t="s">
        <v>90</v>
      </c>
      <c r="G62" s="172" t="s">
        <v>84</v>
      </c>
      <c r="H62" s="177">
        <v>1</v>
      </c>
      <c r="I62" s="178">
        <v>1621</v>
      </c>
      <c r="J62" s="176">
        <v>46012</v>
      </c>
      <c r="K62" s="172" t="s">
        <v>93</v>
      </c>
      <c r="L62" s="172" t="s">
        <v>94</v>
      </c>
      <c r="M62" s="179">
        <v>0</v>
      </c>
      <c r="N62" s="177"/>
      <c r="O62" s="177"/>
      <c r="P62" s="180">
        <v>556.61</v>
      </c>
    </row>
    <row r="63" spans="1:16" ht="19.5" customHeight="1">
      <c r="A63" s="172" t="s">
        <v>655</v>
      </c>
      <c r="B63" s="176">
        <v>46024</v>
      </c>
      <c r="C63" s="172" t="s">
        <v>100</v>
      </c>
      <c r="D63" s="172" t="s">
        <v>102</v>
      </c>
      <c r="E63" s="172" t="s">
        <v>52</v>
      </c>
      <c r="F63" s="172" t="s">
        <v>90</v>
      </c>
      <c r="G63" s="172" t="s">
        <v>84</v>
      </c>
      <c r="H63" s="177">
        <v>1</v>
      </c>
      <c r="I63" s="178">
        <v>1621</v>
      </c>
      <c r="J63" s="176">
        <v>46012</v>
      </c>
      <c r="K63" s="172" t="s">
        <v>93</v>
      </c>
      <c r="L63" s="172" t="s">
        <v>94</v>
      </c>
      <c r="M63" s="179">
        <v>0</v>
      </c>
      <c r="N63" s="177"/>
      <c r="O63" s="177"/>
      <c r="P63" s="180">
        <v>5.57</v>
      </c>
    </row>
    <row r="64" spans="1:16" ht="19.5" customHeight="1">
      <c r="A64" s="172" t="s">
        <v>655</v>
      </c>
      <c r="B64" s="176">
        <v>46024</v>
      </c>
      <c r="C64" s="172" t="s">
        <v>100</v>
      </c>
      <c r="D64" s="172" t="s">
        <v>103</v>
      </c>
      <c r="E64" s="172" t="s">
        <v>52</v>
      </c>
      <c r="F64" s="172" t="s">
        <v>90</v>
      </c>
      <c r="G64" s="172" t="s">
        <v>84</v>
      </c>
      <c r="H64" s="177">
        <v>1</v>
      </c>
      <c r="I64" s="178">
        <v>1621</v>
      </c>
      <c r="J64" s="176">
        <v>46012</v>
      </c>
      <c r="K64" s="172" t="s">
        <v>93</v>
      </c>
      <c r="L64" s="172" t="s">
        <v>94</v>
      </c>
      <c r="M64" s="179">
        <v>0</v>
      </c>
      <c r="N64" s="177"/>
      <c r="O64" s="177"/>
      <c r="P64" s="180">
        <v>1058.82</v>
      </c>
    </row>
    <row r="65" spans="1:16" ht="19.5" customHeight="1">
      <c r="A65" s="172" t="s">
        <v>655</v>
      </c>
      <c r="B65" s="176">
        <v>46024</v>
      </c>
      <c r="C65" s="172" t="s">
        <v>104</v>
      </c>
      <c r="D65" s="172" t="s">
        <v>105</v>
      </c>
      <c r="E65" s="172" t="s">
        <v>52</v>
      </c>
      <c r="F65" s="172" t="s">
        <v>90</v>
      </c>
      <c r="G65" s="172" t="s">
        <v>84</v>
      </c>
      <c r="H65" s="177">
        <v>1</v>
      </c>
      <c r="I65" s="178">
        <v>1621</v>
      </c>
      <c r="J65" s="176">
        <v>46012</v>
      </c>
      <c r="K65" s="172" t="s">
        <v>93</v>
      </c>
      <c r="L65" s="172" t="s">
        <v>94</v>
      </c>
      <c r="M65" s="179">
        <v>0.43</v>
      </c>
      <c r="N65" s="177"/>
      <c r="O65" s="177"/>
      <c r="P65" s="180">
        <v>-697.03</v>
      </c>
    </row>
    <row r="66" spans="1:16" ht="19.5" customHeight="1">
      <c r="A66" s="172" t="s">
        <v>655</v>
      </c>
      <c r="B66" s="176">
        <v>46024</v>
      </c>
      <c r="C66" s="172" t="s">
        <v>81</v>
      </c>
      <c r="D66" s="172" t="s">
        <v>95</v>
      </c>
      <c r="E66" s="172" t="s">
        <v>52</v>
      </c>
      <c r="F66" s="172" t="s">
        <v>90</v>
      </c>
      <c r="G66" s="172" t="s">
        <v>84</v>
      </c>
      <c r="H66" s="177">
        <v>1</v>
      </c>
      <c r="I66" s="178">
        <v>1621</v>
      </c>
      <c r="J66" s="176">
        <v>46012</v>
      </c>
      <c r="K66" s="172" t="s">
        <v>93</v>
      </c>
      <c r="L66" s="172" t="s">
        <v>94</v>
      </c>
      <c r="M66" s="179">
        <v>0.43</v>
      </c>
      <c r="N66" s="177"/>
      <c r="O66" s="177"/>
      <c r="P66" s="180">
        <v>-8.42</v>
      </c>
    </row>
    <row r="67" spans="1:16" ht="19.5" customHeight="1">
      <c r="A67" s="172" t="s">
        <v>655</v>
      </c>
      <c r="B67" s="176">
        <v>46024</v>
      </c>
      <c r="C67" s="172" t="s">
        <v>81</v>
      </c>
      <c r="D67" s="172" t="s">
        <v>82</v>
      </c>
      <c r="E67" s="172" t="s">
        <v>52</v>
      </c>
      <c r="F67" s="172" t="s">
        <v>90</v>
      </c>
      <c r="G67" s="172" t="s">
        <v>84</v>
      </c>
      <c r="H67" s="177">
        <v>1</v>
      </c>
      <c r="I67" s="178">
        <v>0</v>
      </c>
      <c r="J67" s="176">
        <v>46012</v>
      </c>
      <c r="K67" s="172" t="s">
        <v>85</v>
      </c>
      <c r="L67" s="172" t="s">
        <v>85</v>
      </c>
      <c r="M67" s="179">
        <v>0</v>
      </c>
      <c r="N67" s="177"/>
      <c r="O67" s="177"/>
      <c r="P67" s="180">
        <v>-10.58</v>
      </c>
    </row>
    <row r="68" spans="1:16" ht="19.5" customHeight="1">
      <c r="A68" s="172" t="s">
        <v>85</v>
      </c>
      <c r="B68" s="176">
        <v>46024</v>
      </c>
      <c r="C68" s="172" t="s">
        <v>109</v>
      </c>
      <c r="D68" s="172" t="s">
        <v>110</v>
      </c>
      <c r="E68" s="172" t="s">
        <v>85</v>
      </c>
      <c r="F68" s="172" t="s">
        <v>85</v>
      </c>
      <c r="G68" s="172" t="s">
        <v>656</v>
      </c>
      <c r="H68" s="177">
        <v>0</v>
      </c>
      <c r="I68" s="178">
        <v>0</v>
      </c>
      <c r="J68" s="176">
        <v>46024</v>
      </c>
      <c r="K68" s="172" t="s">
        <v>85</v>
      </c>
      <c r="L68" s="172" t="s">
        <v>85</v>
      </c>
      <c r="M68" s="179">
        <v>0</v>
      </c>
      <c r="N68" s="177"/>
      <c r="O68" s="177"/>
      <c r="P68" s="180">
        <v>-150</v>
      </c>
    </row>
    <row r="69" spans="1:16" ht="19.5" customHeight="1">
      <c r="A69" s="172" t="s">
        <v>657</v>
      </c>
      <c r="B69" s="176">
        <v>46024</v>
      </c>
      <c r="C69" s="172" t="s">
        <v>92</v>
      </c>
      <c r="D69" s="172" t="s">
        <v>24</v>
      </c>
      <c r="E69" s="172" t="s">
        <v>41</v>
      </c>
      <c r="F69" s="172" t="s">
        <v>83</v>
      </c>
      <c r="G69" s="172" t="s">
        <v>84</v>
      </c>
      <c r="H69" s="177">
        <v>1</v>
      </c>
      <c r="I69" s="178">
        <v>1600</v>
      </c>
      <c r="J69" s="176">
        <v>46014</v>
      </c>
      <c r="K69" s="172" t="s">
        <v>93</v>
      </c>
      <c r="L69" s="172" t="s">
        <v>94</v>
      </c>
      <c r="M69" s="179">
        <v>0.43</v>
      </c>
      <c r="N69" s="177"/>
      <c r="O69" s="177">
        <v>43</v>
      </c>
      <c r="P69" s="180">
        <v>-122.83</v>
      </c>
    </row>
    <row r="70" spans="1:16" ht="19.5" customHeight="1">
      <c r="A70" s="172" t="s">
        <v>657</v>
      </c>
      <c r="B70" s="176">
        <v>46024</v>
      </c>
      <c r="C70" s="172" t="s">
        <v>100</v>
      </c>
      <c r="D70" s="172" t="s">
        <v>101</v>
      </c>
      <c r="E70" s="172" t="s">
        <v>41</v>
      </c>
      <c r="F70" s="172" t="s">
        <v>83</v>
      </c>
      <c r="G70" s="172" t="s">
        <v>84</v>
      </c>
      <c r="H70" s="177">
        <v>1</v>
      </c>
      <c r="I70" s="178">
        <v>1600</v>
      </c>
      <c r="J70" s="176">
        <v>46014</v>
      </c>
      <c r="K70" s="172" t="s">
        <v>93</v>
      </c>
      <c r="L70" s="172" t="s">
        <v>94</v>
      </c>
      <c r="M70" s="179">
        <v>0</v>
      </c>
      <c r="N70" s="177"/>
      <c r="O70" s="177"/>
      <c r="P70" s="180">
        <v>552.38</v>
      </c>
    </row>
    <row r="71" spans="1:16" ht="19.5" customHeight="1">
      <c r="A71" s="172" t="s">
        <v>657</v>
      </c>
      <c r="B71" s="176">
        <v>46024</v>
      </c>
      <c r="C71" s="172" t="s">
        <v>100</v>
      </c>
      <c r="D71" s="172" t="s">
        <v>102</v>
      </c>
      <c r="E71" s="172" t="s">
        <v>41</v>
      </c>
      <c r="F71" s="172" t="s">
        <v>83</v>
      </c>
      <c r="G71" s="172" t="s">
        <v>84</v>
      </c>
      <c r="H71" s="177">
        <v>1</v>
      </c>
      <c r="I71" s="178">
        <v>1600</v>
      </c>
      <c r="J71" s="176">
        <v>46014</v>
      </c>
      <c r="K71" s="172" t="s">
        <v>93</v>
      </c>
      <c r="L71" s="172" t="s">
        <v>94</v>
      </c>
      <c r="M71" s="179">
        <v>0</v>
      </c>
      <c r="N71" s="177"/>
      <c r="O71" s="177"/>
      <c r="P71" s="180">
        <v>5.52</v>
      </c>
    </row>
    <row r="72" spans="1:16" ht="19.5" customHeight="1">
      <c r="A72" s="172" t="s">
        <v>657</v>
      </c>
      <c r="B72" s="176">
        <v>46024</v>
      </c>
      <c r="C72" s="172" t="s">
        <v>100</v>
      </c>
      <c r="D72" s="172" t="s">
        <v>103</v>
      </c>
      <c r="E72" s="172" t="s">
        <v>41</v>
      </c>
      <c r="F72" s="172" t="s">
        <v>83</v>
      </c>
      <c r="G72" s="172" t="s">
        <v>84</v>
      </c>
      <c r="H72" s="177">
        <v>1</v>
      </c>
      <c r="I72" s="178">
        <v>1600</v>
      </c>
      <c r="J72" s="176">
        <v>46014</v>
      </c>
      <c r="K72" s="172" t="s">
        <v>93</v>
      </c>
      <c r="L72" s="172" t="s">
        <v>94</v>
      </c>
      <c r="M72" s="179">
        <v>0</v>
      </c>
      <c r="N72" s="177"/>
      <c r="O72" s="177"/>
      <c r="P72" s="180">
        <v>1042.0999999999999</v>
      </c>
    </row>
    <row r="73" spans="1:16" ht="19.5" customHeight="1">
      <c r="A73" s="172" t="s">
        <v>657</v>
      </c>
      <c r="B73" s="176">
        <v>46024</v>
      </c>
      <c r="C73" s="172" t="s">
        <v>104</v>
      </c>
      <c r="D73" s="172" t="s">
        <v>105</v>
      </c>
      <c r="E73" s="172" t="s">
        <v>41</v>
      </c>
      <c r="F73" s="172" t="s">
        <v>83</v>
      </c>
      <c r="G73" s="172" t="s">
        <v>84</v>
      </c>
      <c r="H73" s="177">
        <v>1</v>
      </c>
      <c r="I73" s="178">
        <v>1600</v>
      </c>
      <c r="J73" s="176">
        <v>46014</v>
      </c>
      <c r="K73" s="172" t="s">
        <v>93</v>
      </c>
      <c r="L73" s="172" t="s">
        <v>94</v>
      </c>
      <c r="M73" s="179">
        <v>0.43</v>
      </c>
      <c r="N73" s="177"/>
      <c r="O73" s="177"/>
      <c r="P73" s="180">
        <v>-688</v>
      </c>
    </row>
    <row r="74" spans="1:16" ht="19.5" customHeight="1">
      <c r="A74" s="172" t="s">
        <v>658</v>
      </c>
      <c r="B74" s="176">
        <v>46024</v>
      </c>
      <c r="C74" s="172" t="s">
        <v>81</v>
      </c>
      <c r="D74" s="172" t="s">
        <v>82</v>
      </c>
      <c r="E74" s="172" t="s">
        <v>39</v>
      </c>
      <c r="F74" s="172" t="s">
        <v>117</v>
      </c>
      <c r="G74" s="172" t="s">
        <v>84</v>
      </c>
      <c r="H74" s="177">
        <v>1</v>
      </c>
      <c r="I74" s="178">
        <v>0</v>
      </c>
      <c r="J74" s="176">
        <v>46024</v>
      </c>
      <c r="K74" s="172" t="s">
        <v>85</v>
      </c>
      <c r="L74" s="172" t="s">
        <v>85</v>
      </c>
      <c r="M74" s="179">
        <v>0</v>
      </c>
      <c r="N74" s="177"/>
      <c r="O74" s="177"/>
      <c r="P74" s="180">
        <v>-15.8</v>
      </c>
    </row>
    <row r="75" spans="1:16" ht="19.5" customHeight="1">
      <c r="A75" s="172" t="s">
        <v>659</v>
      </c>
      <c r="B75" s="176">
        <v>46024</v>
      </c>
      <c r="C75" s="172" t="s">
        <v>81</v>
      </c>
      <c r="D75" s="172" t="s">
        <v>82</v>
      </c>
      <c r="E75" s="172" t="s">
        <v>53</v>
      </c>
      <c r="F75" s="172" t="s">
        <v>120</v>
      </c>
      <c r="G75" s="172" t="s">
        <v>84</v>
      </c>
      <c r="H75" s="177">
        <v>1</v>
      </c>
      <c r="I75" s="178">
        <v>0</v>
      </c>
      <c r="J75" s="176">
        <v>46024</v>
      </c>
      <c r="K75" s="172" t="s">
        <v>85</v>
      </c>
      <c r="L75" s="172" t="s">
        <v>85</v>
      </c>
      <c r="M75" s="179">
        <v>0</v>
      </c>
      <c r="N75" s="177"/>
      <c r="O75" s="177"/>
      <c r="P75" s="180">
        <v>-12.2</v>
      </c>
    </row>
    <row r="76" spans="1:16" ht="19.5" customHeight="1">
      <c r="A76" s="172" t="s">
        <v>660</v>
      </c>
      <c r="B76" s="176">
        <v>46024</v>
      </c>
      <c r="C76" s="172" t="s">
        <v>81</v>
      </c>
      <c r="D76" s="172" t="s">
        <v>82</v>
      </c>
      <c r="E76" s="172" t="s">
        <v>41</v>
      </c>
      <c r="F76" s="172" t="s">
        <v>83</v>
      </c>
      <c r="G76" s="172" t="s">
        <v>84</v>
      </c>
      <c r="H76" s="177">
        <v>1</v>
      </c>
      <c r="I76" s="178">
        <v>0</v>
      </c>
      <c r="J76" s="176">
        <v>46024</v>
      </c>
      <c r="K76" s="172" t="s">
        <v>85</v>
      </c>
      <c r="L76" s="172" t="s">
        <v>85</v>
      </c>
      <c r="M76" s="179">
        <v>0</v>
      </c>
      <c r="N76" s="177"/>
      <c r="O76" s="177"/>
      <c r="P76" s="180">
        <v>-10.44</v>
      </c>
    </row>
    <row r="77" spans="1:16" ht="19.5" customHeight="1">
      <c r="A77" s="172" t="s">
        <v>661</v>
      </c>
      <c r="B77" s="176">
        <v>46024</v>
      </c>
      <c r="C77" s="172" t="s">
        <v>81</v>
      </c>
      <c r="D77" s="172" t="s">
        <v>82</v>
      </c>
      <c r="E77" s="172" t="s">
        <v>53</v>
      </c>
      <c r="F77" s="172" t="s">
        <v>120</v>
      </c>
      <c r="G77" s="172" t="s">
        <v>84</v>
      </c>
      <c r="H77" s="177">
        <v>1</v>
      </c>
      <c r="I77" s="178">
        <v>0</v>
      </c>
      <c r="J77" s="176">
        <v>46024</v>
      </c>
      <c r="K77" s="172" t="s">
        <v>85</v>
      </c>
      <c r="L77" s="172" t="s">
        <v>85</v>
      </c>
      <c r="M77" s="179">
        <v>0</v>
      </c>
      <c r="N77" s="177"/>
      <c r="O77" s="177"/>
      <c r="P77" s="180">
        <v>-3.77</v>
      </c>
    </row>
    <row r="78" spans="1:16" ht="19.5" customHeight="1">
      <c r="A78" s="172" t="s">
        <v>662</v>
      </c>
      <c r="B78" s="176">
        <v>46024</v>
      </c>
      <c r="C78" s="172" t="s">
        <v>81</v>
      </c>
      <c r="D78" s="172" t="s">
        <v>82</v>
      </c>
      <c r="E78" s="172" t="s">
        <v>53</v>
      </c>
      <c r="F78" s="172" t="s">
        <v>120</v>
      </c>
      <c r="G78" s="172" t="s">
        <v>84</v>
      </c>
      <c r="H78" s="177">
        <v>1</v>
      </c>
      <c r="I78" s="178">
        <v>0</v>
      </c>
      <c r="J78" s="176">
        <v>46024</v>
      </c>
      <c r="K78" s="172" t="s">
        <v>85</v>
      </c>
      <c r="L78" s="172" t="s">
        <v>85</v>
      </c>
      <c r="M78" s="179">
        <v>0</v>
      </c>
      <c r="N78" s="177"/>
      <c r="O78" s="177"/>
      <c r="P78" s="180">
        <v>-12.21</v>
      </c>
    </row>
    <row r="79" spans="1:16" ht="19.5" customHeight="1">
      <c r="A79" s="172" t="s">
        <v>663</v>
      </c>
      <c r="B79" s="176">
        <v>46024</v>
      </c>
      <c r="C79" s="172" t="s">
        <v>81</v>
      </c>
      <c r="D79" s="172" t="s">
        <v>82</v>
      </c>
      <c r="E79" s="172" t="s">
        <v>52</v>
      </c>
      <c r="F79" s="172" t="s">
        <v>90</v>
      </c>
      <c r="G79" s="172" t="s">
        <v>84</v>
      </c>
      <c r="H79" s="177">
        <v>1</v>
      </c>
      <c r="I79" s="178">
        <v>0</v>
      </c>
      <c r="J79" s="176">
        <v>46024</v>
      </c>
      <c r="K79" s="172" t="s">
        <v>85</v>
      </c>
      <c r="L79" s="172" t="s">
        <v>85</v>
      </c>
      <c r="M79" s="179">
        <v>0</v>
      </c>
      <c r="N79" s="177"/>
      <c r="O79" s="177"/>
      <c r="P79" s="180">
        <v>-3.31</v>
      </c>
    </row>
    <row r="80" spans="1:16" ht="19.5" customHeight="1">
      <c r="A80" s="172" t="s">
        <v>664</v>
      </c>
      <c r="B80" s="176">
        <v>46024</v>
      </c>
      <c r="C80" s="172" t="s">
        <v>81</v>
      </c>
      <c r="D80" s="172" t="s">
        <v>82</v>
      </c>
      <c r="E80" s="172" t="s">
        <v>53</v>
      </c>
      <c r="F80" s="172" t="s">
        <v>120</v>
      </c>
      <c r="G80" s="172" t="s">
        <v>84</v>
      </c>
      <c r="H80" s="177">
        <v>1</v>
      </c>
      <c r="I80" s="178">
        <v>0</v>
      </c>
      <c r="J80" s="176">
        <v>46024</v>
      </c>
      <c r="K80" s="172" t="s">
        <v>85</v>
      </c>
      <c r="L80" s="172" t="s">
        <v>85</v>
      </c>
      <c r="M80" s="179">
        <v>0</v>
      </c>
      <c r="N80" s="177"/>
      <c r="O80" s="177"/>
      <c r="P80" s="180">
        <v>-12.21</v>
      </c>
    </row>
    <row r="81" spans="1:16" ht="19.5" customHeight="1">
      <c r="A81" s="172" t="s">
        <v>665</v>
      </c>
      <c r="B81" s="176">
        <v>46024</v>
      </c>
      <c r="C81" s="172" t="s">
        <v>92</v>
      </c>
      <c r="D81" s="172" t="s">
        <v>96</v>
      </c>
      <c r="E81" s="172" t="s">
        <v>52</v>
      </c>
      <c r="F81" s="172" t="s">
        <v>90</v>
      </c>
      <c r="G81" s="172" t="s">
        <v>84</v>
      </c>
      <c r="H81" s="177">
        <v>1</v>
      </c>
      <c r="I81" s="178">
        <v>0</v>
      </c>
      <c r="J81" s="176">
        <v>46019</v>
      </c>
      <c r="K81" s="172" t="s">
        <v>93</v>
      </c>
      <c r="L81" s="172" t="s">
        <v>94</v>
      </c>
      <c r="M81" s="179">
        <v>0</v>
      </c>
      <c r="N81" s="177"/>
      <c r="O81" s="177"/>
      <c r="P81" s="180">
        <v>0</v>
      </c>
    </row>
    <row r="82" spans="1:16" ht="19.5" customHeight="1">
      <c r="A82" s="172" t="s">
        <v>665</v>
      </c>
      <c r="B82" s="176">
        <v>46024</v>
      </c>
      <c r="C82" s="172" t="s">
        <v>92</v>
      </c>
      <c r="D82" s="172" t="s">
        <v>97</v>
      </c>
      <c r="E82" s="172" t="s">
        <v>52</v>
      </c>
      <c r="F82" s="172" t="s">
        <v>90</v>
      </c>
      <c r="G82" s="172" t="s">
        <v>84</v>
      </c>
      <c r="H82" s="177">
        <v>1</v>
      </c>
      <c r="I82" s="178">
        <v>0</v>
      </c>
      <c r="J82" s="176">
        <v>46019</v>
      </c>
      <c r="K82" s="172" t="s">
        <v>93</v>
      </c>
      <c r="L82" s="172" t="s">
        <v>94</v>
      </c>
      <c r="M82" s="179">
        <v>0</v>
      </c>
      <c r="N82" s="177"/>
      <c r="O82" s="177"/>
      <c r="P82" s="180">
        <v>-56</v>
      </c>
    </row>
    <row r="83" spans="1:16" ht="19.5" customHeight="1">
      <c r="A83" s="172" t="s">
        <v>665</v>
      </c>
      <c r="B83" s="176">
        <v>46024</v>
      </c>
      <c r="C83" s="172" t="s">
        <v>81</v>
      </c>
      <c r="D83" s="172" t="s">
        <v>98</v>
      </c>
      <c r="E83" s="172" t="s">
        <v>52</v>
      </c>
      <c r="F83" s="172" t="s">
        <v>90</v>
      </c>
      <c r="G83" s="172" t="s">
        <v>84</v>
      </c>
      <c r="H83" s="177">
        <v>1</v>
      </c>
      <c r="I83" s="178">
        <v>0</v>
      </c>
      <c r="J83" s="176">
        <v>46019</v>
      </c>
      <c r="K83" s="172" t="s">
        <v>93</v>
      </c>
      <c r="L83" s="172" t="s">
        <v>94</v>
      </c>
      <c r="M83" s="179">
        <v>0</v>
      </c>
      <c r="N83" s="177"/>
      <c r="O83" s="177"/>
      <c r="P83" s="180">
        <v>-15</v>
      </c>
    </row>
    <row r="84" spans="1:16" ht="19.5" customHeight="1">
      <c r="A84" s="172" t="s">
        <v>665</v>
      </c>
      <c r="B84" s="176">
        <v>46024</v>
      </c>
      <c r="C84" s="172" t="s">
        <v>92</v>
      </c>
      <c r="D84" s="172" t="s">
        <v>24</v>
      </c>
      <c r="E84" s="172" t="s">
        <v>52</v>
      </c>
      <c r="F84" s="172" t="s">
        <v>90</v>
      </c>
      <c r="G84" s="172" t="s">
        <v>84</v>
      </c>
      <c r="H84" s="177">
        <v>1</v>
      </c>
      <c r="I84" s="178">
        <v>0</v>
      </c>
      <c r="J84" s="176">
        <v>46019</v>
      </c>
      <c r="K84" s="172" t="s">
        <v>93</v>
      </c>
      <c r="L84" s="172" t="s">
        <v>94</v>
      </c>
      <c r="M84" s="179">
        <v>0</v>
      </c>
      <c r="N84" s="177"/>
      <c r="O84" s="177">
        <v>41</v>
      </c>
      <c r="P84" s="180">
        <v>-56</v>
      </c>
    </row>
    <row r="85" spans="1:16" ht="19.5" customHeight="1">
      <c r="A85" s="172" t="s">
        <v>665</v>
      </c>
      <c r="B85" s="176">
        <v>46024</v>
      </c>
      <c r="C85" s="172" t="s">
        <v>81</v>
      </c>
      <c r="D85" s="172" t="s">
        <v>95</v>
      </c>
      <c r="E85" s="172" t="s">
        <v>52</v>
      </c>
      <c r="F85" s="172" t="s">
        <v>90</v>
      </c>
      <c r="G85" s="172" t="s">
        <v>84</v>
      </c>
      <c r="H85" s="177">
        <v>1</v>
      </c>
      <c r="I85" s="178">
        <v>0</v>
      </c>
      <c r="J85" s="176">
        <v>46019</v>
      </c>
      <c r="K85" s="172" t="s">
        <v>93</v>
      </c>
      <c r="L85" s="172" t="s">
        <v>94</v>
      </c>
      <c r="M85" s="179">
        <v>0</v>
      </c>
      <c r="N85" s="177"/>
      <c r="O85" s="177"/>
      <c r="P85" s="180">
        <v>-13.78</v>
      </c>
    </row>
    <row r="86" spans="1:16" ht="19.5" customHeight="1">
      <c r="A86" s="172" t="s">
        <v>666</v>
      </c>
      <c r="B86" s="176">
        <v>46024</v>
      </c>
      <c r="C86" s="172" t="s">
        <v>81</v>
      </c>
      <c r="D86" s="172" t="s">
        <v>82</v>
      </c>
      <c r="E86" s="172" t="s">
        <v>52</v>
      </c>
      <c r="F86" s="172" t="s">
        <v>90</v>
      </c>
      <c r="G86" s="172" t="s">
        <v>84</v>
      </c>
      <c r="H86" s="177">
        <v>1</v>
      </c>
      <c r="I86" s="178">
        <v>0</v>
      </c>
      <c r="J86" s="176">
        <v>46024</v>
      </c>
      <c r="K86" s="172" t="s">
        <v>85</v>
      </c>
      <c r="L86" s="172" t="s">
        <v>85</v>
      </c>
      <c r="M86" s="179">
        <v>0</v>
      </c>
      <c r="N86" s="177"/>
      <c r="O86" s="177"/>
      <c r="P86" s="180">
        <v>-10.59</v>
      </c>
    </row>
    <row r="87" spans="1:16" ht="19.5" customHeight="1">
      <c r="A87" s="172" t="s">
        <v>667</v>
      </c>
      <c r="B87" s="176">
        <v>46024</v>
      </c>
      <c r="C87" s="172" t="s">
        <v>92</v>
      </c>
      <c r="D87" s="172" t="s">
        <v>24</v>
      </c>
      <c r="E87" s="172" t="s">
        <v>53</v>
      </c>
      <c r="F87" s="172" t="s">
        <v>120</v>
      </c>
      <c r="G87" s="172" t="s">
        <v>84</v>
      </c>
      <c r="H87" s="177">
        <v>1</v>
      </c>
      <c r="I87" s="178">
        <v>0</v>
      </c>
      <c r="J87" s="176">
        <v>46019</v>
      </c>
      <c r="K87" s="172" t="s">
        <v>93</v>
      </c>
      <c r="L87" s="172" t="s">
        <v>94</v>
      </c>
      <c r="M87" s="179">
        <v>0</v>
      </c>
      <c r="N87" s="177"/>
      <c r="O87" s="177">
        <v>41</v>
      </c>
      <c r="P87" s="180">
        <v>-56</v>
      </c>
    </row>
    <row r="88" spans="1:16" ht="19.5" customHeight="1">
      <c r="A88" s="172" t="s">
        <v>667</v>
      </c>
      <c r="B88" s="176">
        <v>46024</v>
      </c>
      <c r="C88" s="172" t="s">
        <v>81</v>
      </c>
      <c r="D88" s="172" t="s">
        <v>95</v>
      </c>
      <c r="E88" s="172" t="s">
        <v>53</v>
      </c>
      <c r="F88" s="172" t="s">
        <v>120</v>
      </c>
      <c r="G88" s="172" t="s">
        <v>84</v>
      </c>
      <c r="H88" s="177">
        <v>1</v>
      </c>
      <c r="I88" s="178">
        <v>0</v>
      </c>
      <c r="J88" s="176">
        <v>46019</v>
      </c>
      <c r="K88" s="172" t="s">
        <v>93</v>
      </c>
      <c r="L88" s="172" t="s">
        <v>94</v>
      </c>
      <c r="M88" s="179">
        <v>0</v>
      </c>
      <c r="N88" s="177"/>
      <c r="O88" s="177"/>
      <c r="P88" s="180">
        <v>-8.16</v>
      </c>
    </row>
    <row r="89" spans="1:16" ht="19.5" customHeight="1">
      <c r="A89" s="172" t="s">
        <v>667</v>
      </c>
      <c r="B89" s="176">
        <v>46024</v>
      </c>
      <c r="C89" s="172" t="s">
        <v>92</v>
      </c>
      <c r="D89" s="172" t="s">
        <v>96</v>
      </c>
      <c r="E89" s="172" t="s">
        <v>53</v>
      </c>
      <c r="F89" s="172" t="s">
        <v>120</v>
      </c>
      <c r="G89" s="172" t="s">
        <v>84</v>
      </c>
      <c r="H89" s="177">
        <v>1</v>
      </c>
      <c r="I89" s="178">
        <v>0</v>
      </c>
      <c r="J89" s="176">
        <v>46019</v>
      </c>
      <c r="K89" s="172" t="s">
        <v>93</v>
      </c>
      <c r="L89" s="172" t="s">
        <v>94</v>
      </c>
      <c r="M89" s="179">
        <v>0</v>
      </c>
      <c r="N89" s="177"/>
      <c r="O89" s="177"/>
      <c r="P89" s="180">
        <v>0</v>
      </c>
    </row>
    <row r="90" spans="1:16" ht="19.5" customHeight="1">
      <c r="A90" s="172" t="s">
        <v>667</v>
      </c>
      <c r="B90" s="176">
        <v>46024</v>
      </c>
      <c r="C90" s="172" t="s">
        <v>92</v>
      </c>
      <c r="D90" s="172" t="s">
        <v>97</v>
      </c>
      <c r="E90" s="172" t="s">
        <v>53</v>
      </c>
      <c r="F90" s="172" t="s">
        <v>120</v>
      </c>
      <c r="G90" s="172" t="s">
        <v>84</v>
      </c>
      <c r="H90" s="177">
        <v>1</v>
      </c>
      <c r="I90" s="178">
        <v>0</v>
      </c>
      <c r="J90" s="176">
        <v>46019</v>
      </c>
      <c r="K90" s="172" t="s">
        <v>93</v>
      </c>
      <c r="L90" s="172" t="s">
        <v>94</v>
      </c>
      <c r="M90" s="179">
        <v>0</v>
      </c>
      <c r="N90" s="177"/>
      <c r="O90" s="177"/>
      <c r="P90" s="180">
        <v>-56</v>
      </c>
    </row>
    <row r="91" spans="1:16" ht="19.5" customHeight="1">
      <c r="A91" s="172" t="s">
        <v>667</v>
      </c>
      <c r="B91" s="176">
        <v>46024</v>
      </c>
      <c r="C91" s="172" t="s">
        <v>81</v>
      </c>
      <c r="D91" s="172" t="s">
        <v>98</v>
      </c>
      <c r="E91" s="172" t="s">
        <v>53</v>
      </c>
      <c r="F91" s="172" t="s">
        <v>120</v>
      </c>
      <c r="G91" s="172" t="s">
        <v>84</v>
      </c>
      <c r="H91" s="177">
        <v>1</v>
      </c>
      <c r="I91" s="178">
        <v>0</v>
      </c>
      <c r="J91" s="176">
        <v>46019</v>
      </c>
      <c r="K91" s="172" t="s">
        <v>93</v>
      </c>
      <c r="L91" s="172" t="s">
        <v>94</v>
      </c>
      <c r="M91" s="179">
        <v>0</v>
      </c>
      <c r="N91" s="177"/>
      <c r="O91" s="177"/>
      <c r="P91" s="180">
        <v>-15</v>
      </c>
    </row>
    <row r="92" spans="1:16" ht="19.5" customHeight="1">
      <c r="A92" s="172" t="s">
        <v>668</v>
      </c>
      <c r="B92" s="176">
        <v>46024</v>
      </c>
      <c r="C92" s="172" t="s">
        <v>92</v>
      </c>
      <c r="D92" s="172" t="s">
        <v>24</v>
      </c>
      <c r="E92" s="172" t="s">
        <v>53</v>
      </c>
      <c r="F92" s="172" t="s">
        <v>120</v>
      </c>
      <c r="G92" s="172" t="s">
        <v>84</v>
      </c>
      <c r="H92" s="177">
        <v>1</v>
      </c>
      <c r="I92" s="178">
        <v>1621</v>
      </c>
      <c r="J92" s="176">
        <v>46017</v>
      </c>
      <c r="K92" s="172" t="s">
        <v>93</v>
      </c>
      <c r="L92" s="172" t="s">
        <v>94</v>
      </c>
      <c r="M92" s="179">
        <v>0.43</v>
      </c>
      <c r="N92" s="177"/>
      <c r="O92" s="177">
        <v>43</v>
      </c>
      <c r="P92" s="180">
        <v>-138.22999999999999</v>
      </c>
    </row>
    <row r="93" spans="1:16" ht="19.5" customHeight="1">
      <c r="A93" s="172" t="s">
        <v>668</v>
      </c>
      <c r="B93" s="176">
        <v>46024</v>
      </c>
      <c r="C93" s="172" t="s">
        <v>100</v>
      </c>
      <c r="D93" s="172" t="s">
        <v>101</v>
      </c>
      <c r="E93" s="172" t="s">
        <v>53</v>
      </c>
      <c r="F93" s="172" t="s">
        <v>120</v>
      </c>
      <c r="G93" s="172" t="s">
        <v>84</v>
      </c>
      <c r="H93" s="177">
        <v>1</v>
      </c>
      <c r="I93" s="178">
        <v>1621</v>
      </c>
      <c r="J93" s="176">
        <v>46017</v>
      </c>
      <c r="K93" s="172" t="s">
        <v>93</v>
      </c>
      <c r="L93" s="172" t="s">
        <v>94</v>
      </c>
      <c r="M93" s="179">
        <v>0</v>
      </c>
      <c r="N93" s="177"/>
      <c r="O93" s="177"/>
      <c r="P93" s="180">
        <v>575.64</v>
      </c>
    </row>
    <row r="94" spans="1:16" ht="19.5" customHeight="1">
      <c r="A94" s="172" t="s">
        <v>668</v>
      </c>
      <c r="B94" s="176">
        <v>46024</v>
      </c>
      <c r="C94" s="172" t="s">
        <v>100</v>
      </c>
      <c r="D94" s="172" t="s">
        <v>102</v>
      </c>
      <c r="E94" s="172" t="s">
        <v>53</v>
      </c>
      <c r="F94" s="172" t="s">
        <v>120</v>
      </c>
      <c r="G94" s="172" t="s">
        <v>84</v>
      </c>
      <c r="H94" s="177">
        <v>1</v>
      </c>
      <c r="I94" s="178">
        <v>1621</v>
      </c>
      <c r="J94" s="176">
        <v>46017</v>
      </c>
      <c r="K94" s="172" t="s">
        <v>93</v>
      </c>
      <c r="L94" s="172" t="s">
        <v>94</v>
      </c>
      <c r="M94" s="179">
        <v>0</v>
      </c>
      <c r="N94" s="177"/>
      <c r="O94" s="177"/>
      <c r="P94" s="180">
        <v>5.76</v>
      </c>
    </row>
    <row r="95" spans="1:16" ht="19.5" customHeight="1">
      <c r="A95" s="172" t="s">
        <v>668</v>
      </c>
      <c r="B95" s="176">
        <v>46024</v>
      </c>
      <c r="C95" s="172" t="s">
        <v>100</v>
      </c>
      <c r="D95" s="172" t="s">
        <v>103</v>
      </c>
      <c r="E95" s="172" t="s">
        <v>53</v>
      </c>
      <c r="F95" s="172" t="s">
        <v>120</v>
      </c>
      <c r="G95" s="172" t="s">
        <v>84</v>
      </c>
      <c r="H95" s="177">
        <v>1</v>
      </c>
      <c r="I95" s="178">
        <v>1621</v>
      </c>
      <c r="J95" s="176">
        <v>46017</v>
      </c>
      <c r="K95" s="172" t="s">
        <v>93</v>
      </c>
      <c r="L95" s="172" t="s">
        <v>94</v>
      </c>
      <c r="M95" s="179">
        <v>0</v>
      </c>
      <c r="N95" s="177"/>
      <c r="O95" s="177"/>
      <c r="P95" s="180">
        <v>1039.5999999999999</v>
      </c>
    </row>
    <row r="96" spans="1:16" ht="19.5" customHeight="1">
      <c r="A96" s="172" t="s">
        <v>668</v>
      </c>
      <c r="B96" s="176">
        <v>46024</v>
      </c>
      <c r="C96" s="172" t="s">
        <v>104</v>
      </c>
      <c r="D96" s="172" t="s">
        <v>105</v>
      </c>
      <c r="E96" s="172" t="s">
        <v>53</v>
      </c>
      <c r="F96" s="172" t="s">
        <v>120</v>
      </c>
      <c r="G96" s="172" t="s">
        <v>84</v>
      </c>
      <c r="H96" s="177">
        <v>1</v>
      </c>
      <c r="I96" s="178">
        <v>1621</v>
      </c>
      <c r="J96" s="176">
        <v>46017</v>
      </c>
      <c r="K96" s="172" t="s">
        <v>93</v>
      </c>
      <c r="L96" s="172" t="s">
        <v>94</v>
      </c>
      <c r="M96" s="179">
        <v>0.43</v>
      </c>
      <c r="N96" s="177"/>
      <c r="O96" s="177"/>
      <c r="P96" s="180">
        <v>-697.03</v>
      </c>
    </row>
    <row r="97" spans="1:16" ht="19.5" customHeight="1">
      <c r="A97" s="172" t="s">
        <v>668</v>
      </c>
      <c r="B97" s="176">
        <v>46024</v>
      </c>
      <c r="C97" s="172" t="s">
        <v>81</v>
      </c>
      <c r="D97" s="172" t="s">
        <v>95</v>
      </c>
      <c r="E97" s="172" t="s">
        <v>53</v>
      </c>
      <c r="F97" s="172" t="s">
        <v>120</v>
      </c>
      <c r="G97" s="172" t="s">
        <v>84</v>
      </c>
      <c r="H97" s="177">
        <v>1</v>
      </c>
      <c r="I97" s="178">
        <v>1621</v>
      </c>
      <c r="J97" s="176">
        <v>46017</v>
      </c>
      <c r="K97" s="172" t="s">
        <v>93</v>
      </c>
      <c r="L97" s="172" t="s">
        <v>94</v>
      </c>
      <c r="M97" s="179">
        <v>0.43</v>
      </c>
      <c r="N97" s="177"/>
      <c r="O97" s="177"/>
      <c r="P97" s="180">
        <v>-8.86</v>
      </c>
    </row>
    <row r="98" spans="1:16" ht="19.5" customHeight="1">
      <c r="A98" s="172" t="s">
        <v>669</v>
      </c>
      <c r="B98" s="176">
        <v>46024</v>
      </c>
      <c r="C98" s="172" t="s">
        <v>81</v>
      </c>
      <c r="D98" s="172" t="s">
        <v>82</v>
      </c>
      <c r="E98" s="172" t="s">
        <v>53</v>
      </c>
      <c r="F98" s="172" t="s">
        <v>120</v>
      </c>
      <c r="G98" s="172" t="s">
        <v>84</v>
      </c>
      <c r="H98" s="177">
        <v>1</v>
      </c>
      <c r="I98" s="178">
        <v>0</v>
      </c>
      <c r="J98" s="176">
        <v>46024</v>
      </c>
      <c r="K98" s="172" t="s">
        <v>85</v>
      </c>
      <c r="L98" s="172" t="s">
        <v>85</v>
      </c>
      <c r="M98" s="179">
        <v>0</v>
      </c>
      <c r="N98" s="177"/>
      <c r="O98" s="177"/>
      <c r="P98" s="180">
        <v>-6.6</v>
      </c>
    </row>
    <row r="99" spans="1:16" ht="19.5" customHeight="1">
      <c r="A99" s="172" t="s">
        <v>670</v>
      </c>
      <c r="B99" s="176">
        <v>46024</v>
      </c>
      <c r="C99" s="172" t="s">
        <v>92</v>
      </c>
      <c r="D99" s="172" t="s">
        <v>24</v>
      </c>
      <c r="E99" s="172" t="s">
        <v>53</v>
      </c>
      <c r="F99" s="172" t="s">
        <v>120</v>
      </c>
      <c r="G99" s="172" t="s">
        <v>84</v>
      </c>
      <c r="H99" s="177">
        <v>1</v>
      </c>
      <c r="I99" s="178">
        <v>1621</v>
      </c>
      <c r="J99" s="176">
        <v>46014</v>
      </c>
      <c r="K99" s="172" t="s">
        <v>93</v>
      </c>
      <c r="L99" s="172" t="s">
        <v>94</v>
      </c>
      <c r="M99" s="179">
        <v>0.43</v>
      </c>
      <c r="N99" s="177"/>
      <c r="O99" s="177">
        <v>43</v>
      </c>
      <c r="P99" s="180">
        <v>-138.22999999999999</v>
      </c>
    </row>
    <row r="100" spans="1:16" ht="19.5" customHeight="1">
      <c r="A100" s="172" t="s">
        <v>670</v>
      </c>
      <c r="B100" s="176">
        <v>46024</v>
      </c>
      <c r="C100" s="172" t="s">
        <v>100</v>
      </c>
      <c r="D100" s="172" t="s">
        <v>101</v>
      </c>
      <c r="E100" s="172" t="s">
        <v>53</v>
      </c>
      <c r="F100" s="172" t="s">
        <v>120</v>
      </c>
      <c r="G100" s="172" t="s">
        <v>84</v>
      </c>
      <c r="H100" s="177">
        <v>1</v>
      </c>
      <c r="I100" s="178">
        <v>1621</v>
      </c>
      <c r="J100" s="176">
        <v>46014</v>
      </c>
      <c r="K100" s="172" t="s">
        <v>93</v>
      </c>
      <c r="L100" s="172" t="s">
        <v>94</v>
      </c>
      <c r="M100" s="179">
        <v>0</v>
      </c>
      <c r="N100" s="177"/>
      <c r="O100" s="177"/>
      <c r="P100" s="180">
        <v>557.14</v>
      </c>
    </row>
    <row r="101" spans="1:16" ht="19.5" customHeight="1">
      <c r="A101" s="172" t="s">
        <v>670</v>
      </c>
      <c r="B101" s="176">
        <v>46024</v>
      </c>
      <c r="C101" s="172" t="s">
        <v>100</v>
      </c>
      <c r="D101" s="172" t="s">
        <v>102</v>
      </c>
      <c r="E101" s="172" t="s">
        <v>53</v>
      </c>
      <c r="F101" s="172" t="s">
        <v>120</v>
      </c>
      <c r="G101" s="172" t="s">
        <v>84</v>
      </c>
      <c r="H101" s="177">
        <v>1</v>
      </c>
      <c r="I101" s="178">
        <v>1621</v>
      </c>
      <c r="J101" s="176">
        <v>46014</v>
      </c>
      <c r="K101" s="172" t="s">
        <v>93</v>
      </c>
      <c r="L101" s="172" t="s">
        <v>94</v>
      </c>
      <c r="M101" s="179">
        <v>0</v>
      </c>
      <c r="N101" s="177"/>
      <c r="O101" s="177"/>
      <c r="P101" s="180">
        <v>5.57</v>
      </c>
    </row>
    <row r="102" spans="1:16" ht="19.5" customHeight="1">
      <c r="A102" s="172" t="s">
        <v>670</v>
      </c>
      <c r="B102" s="176">
        <v>46024</v>
      </c>
      <c r="C102" s="172" t="s">
        <v>100</v>
      </c>
      <c r="D102" s="172" t="s">
        <v>103</v>
      </c>
      <c r="E102" s="172" t="s">
        <v>53</v>
      </c>
      <c r="F102" s="172" t="s">
        <v>120</v>
      </c>
      <c r="G102" s="172" t="s">
        <v>84</v>
      </c>
      <c r="H102" s="177">
        <v>1</v>
      </c>
      <c r="I102" s="178">
        <v>1621</v>
      </c>
      <c r="J102" s="176">
        <v>46014</v>
      </c>
      <c r="K102" s="172" t="s">
        <v>93</v>
      </c>
      <c r="L102" s="172" t="s">
        <v>94</v>
      </c>
      <c r="M102" s="179">
        <v>0</v>
      </c>
      <c r="N102" s="177"/>
      <c r="O102" s="177"/>
      <c r="P102" s="180">
        <v>1058.29</v>
      </c>
    </row>
    <row r="103" spans="1:16" ht="19.5" customHeight="1">
      <c r="A103" s="172" t="s">
        <v>670</v>
      </c>
      <c r="B103" s="176">
        <v>46024</v>
      </c>
      <c r="C103" s="172" t="s">
        <v>104</v>
      </c>
      <c r="D103" s="172" t="s">
        <v>105</v>
      </c>
      <c r="E103" s="172" t="s">
        <v>53</v>
      </c>
      <c r="F103" s="172" t="s">
        <v>120</v>
      </c>
      <c r="G103" s="172" t="s">
        <v>84</v>
      </c>
      <c r="H103" s="177">
        <v>1</v>
      </c>
      <c r="I103" s="178">
        <v>1621</v>
      </c>
      <c r="J103" s="176">
        <v>46014</v>
      </c>
      <c r="K103" s="172" t="s">
        <v>93</v>
      </c>
      <c r="L103" s="172" t="s">
        <v>94</v>
      </c>
      <c r="M103" s="179">
        <v>0.43</v>
      </c>
      <c r="N103" s="177"/>
      <c r="O103" s="177"/>
      <c r="P103" s="180">
        <v>-697.03</v>
      </c>
    </row>
    <row r="104" spans="1:16" ht="19.5" customHeight="1">
      <c r="A104" s="172" t="s">
        <v>671</v>
      </c>
      <c r="B104" s="176">
        <v>46024</v>
      </c>
      <c r="C104" s="172" t="s">
        <v>81</v>
      </c>
      <c r="D104" s="172" t="s">
        <v>82</v>
      </c>
      <c r="E104" s="172" t="s">
        <v>42</v>
      </c>
      <c r="F104" s="172" t="s">
        <v>89</v>
      </c>
      <c r="G104" s="172" t="s">
        <v>84</v>
      </c>
      <c r="H104" s="177">
        <v>1</v>
      </c>
      <c r="I104" s="178">
        <v>0</v>
      </c>
      <c r="J104" s="176">
        <v>46021</v>
      </c>
      <c r="K104" s="172" t="s">
        <v>85</v>
      </c>
      <c r="L104" s="172" t="s">
        <v>85</v>
      </c>
      <c r="M104" s="179">
        <v>0</v>
      </c>
      <c r="N104" s="177"/>
      <c r="O104" s="177"/>
      <c r="P104" s="180">
        <v>12.63</v>
      </c>
    </row>
    <row r="105" spans="1:16" ht="19.5" customHeight="1">
      <c r="A105" s="172" t="s">
        <v>672</v>
      </c>
      <c r="B105" s="176">
        <v>46024</v>
      </c>
      <c r="C105" s="172" t="s">
        <v>92</v>
      </c>
      <c r="D105" s="172" t="s">
        <v>24</v>
      </c>
      <c r="E105" s="172" t="s">
        <v>52</v>
      </c>
      <c r="F105" s="172" t="s">
        <v>90</v>
      </c>
      <c r="G105" s="172" t="s">
        <v>84</v>
      </c>
      <c r="H105" s="177">
        <v>1</v>
      </c>
      <c r="I105" s="178">
        <v>1621</v>
      </c>
      <c r="J105" s="176">
        <v>46008</v>
      </c>
      <c r="K105" s="172" t="s">
        <v>93</v>
      </c>
      <c r="L105" s="172" t="s">
        <v>94</v>
      </c>
      <c r="M105" s="179">
        <v>0.43</v>
      </c>
      <c r="N105" s="177"/>
      <c r="O105" s="177">
        <v>45</v>
      </c>
      <c r="P105" s="180">
        <v>-146.44999999999999</v>
      </c>
    </row>
    <row r="106" spans="1:16" ht="19.5" customHeight="1">
      <c r="A106" s="172" t="s">
        <v>672</v>
      </c>
      <c r="B106" s="176">
        <v>46024</v>
      </c>
      <c r="C106" s="172" t="s">
        <v>100</v>
      </c>
      <c r="D106" s="172" t="s">
        <v>101</v>
      </c>
      <c r="E106" s="172" t="s">
        <v>52</v>
      </c>
      <c r="F106" s="172" t="s">
        <v>90</v>
      </c>
      <c r="G106" s="172" t="s">
        <v>84</v>
      </c>
      <c r="H106" s="177">
        <v>1</v>
      </c>
      <c r="I106" s="178">
        <v>1621</v>
      </c>
      <c r="J106" s="176">
        <v>46008</v>
      </c>
      <c r="K106" s="172" t="s">
        <v>93</v>
      </c>
      <c r="L106" s="172" t="s">
        <v>94</v>
      </c>
      <c r="M106" s="179">
        <v>0</v>
      </c>
      <c r="N106" s="177"/>
      <c r="O106" s="177"/>
      <c r="P106" s="180">
        <v>557.14</v>
      </c>
    </row>
    <row r="107" spans="1:16" ht="19.5" customHeight="1">
      <c r="A107" s="172" t="s">
        <v>672</v>
      </c>
      <c r="B107" s="176">
        <v>46024</v>
      </c>
      <c r="C107" s="172" t="s">
        <v>100</v>
      </c>
      <c r="D107" s="172" t="s">
        <v>102</v>
      </c>
      <c r="E107" s="172" t="s">
        <v>52</v>
      </c>
      <c r="F107" s="172" t="s">
        <v>90</v>
      </c>
      <c r="G107" s="172" t="s">
        <v>84</v>
      </c>
      <c r="H107" s="177">
        <v>1</v>
      </c>
      <c r="I107" s="178">
        <v>1621</v>
      </c>
      <c r="J107" s="176">
        <v>46008</v>
      </c>
      <c r="K107" s="172" t="s">
        <v>93</v>
      </c>
      <c r="L107" s="172" t="s">
        <v>94</v>
      </c>
      <c r="M107" s="179">
        <v>0</v>
      </c>
      <c r="N107" s="177"/>
      <c r="O107" s="177"/>
      <c r="P107" s="180">
        <v>5.57</v>
      </c>
    </row>
    <row r="108" spans="1:16" ht="19.5" customHeight="1">
      <c r="A108" s="172" t="s">
        <v>672</v>
      </c>
      <c r="B108" s="176">
        <v>46024</v>
      </c>
      <c r="C108" s="172" t="s">
        <v>100</v>
      </c>
      <c r="D108" s="172" t="s">
        <v>103</v>
      </c>
      <c r="E108" s="172" t="s">
        <v>52</v>
      </c>
      <c r="F108" s="172" t="s">
        <v>90</v>
      </c>
      <c r="G108" s="172" t="s">
        <v>84</v>
      </c>
      <c r="H108" s="177">
        <v>1</v>
      </c>
      <c r="I108" s="178">
        <v>1621</v>
      </c>
      <c r="J108" s="176">
        <v>46008</v>
      </c>
      <c r="K108" s="172" t="s">
        <v>93</v>
      </c>
      <c r="L108" s="172" t="s">
        <v>94</v>
      </c>
      <c r="M108" s="179">
        <v>0</v>
      </c>
      <c r="N108" s="177"/>
      <c r="O108" s="177"/>
      <c r="P108" s="180">
        <v>1058.29</v>
      </c>
    </row>
    <row r="109" spans="1:16" ht="19.5" customHeight="1">
      <c r="A109" s="172" t="s">
        <v>672</v>
      </c>
      <c r="B109" s="176">
        <v>46024</v>
      </c>
      <c r="C109" s="172" t="s">
        <v>104</v>
      </c>
      <c r="D109" s="172" t="s">
        <v>105</v>
      </c>
      <c r="E109" s="172" t="s">
        <v>52</v>
      </c>
      <c r="F109" s="172" t="s">
        <v>90</v>
      </c>
      <c r="G109" s="172" t="s">
        <v>84</v>
      </c>
      <c r="H109" s="177">
        <v>1</v>
      </c>
      <c r="I109" s="178">
        <v>1621</v>
      </c>
      <c r="J109" s="176">
        <v>46008</v>
      </c>
      <c r="K109" s="172" t="s">
        <v>93</v>
      </c>
      <c r="L109" s="172" t="s">
        <v>94</v>
      </c>
      <c r="M109" s="179">
        <v>0.43</v>
      </c>
      <c r="N109" s="177"/>
      <c r="O109" s="177"/>
      <c r="P109" s="180">
        <v>-697.03</v>
      </c>
    </row>
    <row r="110" spans="1:16" ht="19.5" customHeight="1">
      <c r="A110" s="172" t="s">
        <v>672</v>
      </c>
      <c r="B110" s="176">
        <v>46024</v>
      </c>
      <c r="C110" s="172" t="s">
        <v>81</v>
      </c>
      <c r="D110" s="172" t="s">
        <v>95</v>
      </c>
      <c r="E110" s="172" t="s">
        <v>52</v>
      </c>
      <c r="F110" s="172" t="s">
        <v>90</v>
      </c>
      <c r="G110" s="172" t="s">
        <v>84</v>
      </c>
      <c r="H110" s="177">
        <v>1</v>
      </c>
      <c r="I110" s="178">
        <v>1621</v>
      </c>
      <c r="J110" s="176">
        <v>46008</v>
      </c>
      <c r="K110" s="172" t="s">
        <v>93</v>
      </c>
      <c r="L110" s="172" t="s">
        <v>94</v>
      </c>
      <c r="M110" s="179">
        <v>0.43</v>
      </c>
      <c r="N110" s="177"/>
      <c r="O110" s="177"/>
      <c r="P110" s="180">
        <v>-9.14</v>
      </c>
    </row>
    <row r="111" spans="1:16" ht="19.5" customHeight="1">
      <c r="A111" s="172" t="s">
        <v>672</v>
      </c>
      <c r="B111" s="176">
        <v>46024</v>
      </c>
      <c r="C111" s="172" t="s">
        <v>81</v>
      </c>
      <c r="D111" s="172" t="s">
        <v>82</v>
      </c>
      <c r="E111" s="172" t="s">
        <v>52</v>
      </c>
      <c r="F111" s="172" t="s">
        <v>90</v>
      </c>
      <c r="G111" s="172" t="s">
        <v>84</v>
      </c>
      <c r="H111" s="177">
        <v>1</v>
      </c>
      <c r="I111" s="178">
        <v>0</v>
      </c>
      <c r="J111" s="176">
        <v>46008</v>
      </c>
      <c r="K111" s="172" t="s">
        <v>85</v>
      </c>
      <c r="L111" s="172" t="s">
        <v>85</v>
      </c>
      <c r="M111" s="179">
        <v>0</v>
      </c>
      <c r="N111" s="177"/>
      <c r="O111" s="177"/>
      <c r="P111" s="180">
        <v>-10.59</v>
      </c>
    </row>
    <row r="112" spans="1:16" ht="19.5" customHeight="1">
      <c r="A112" s="172" t="s">
        <v>673</v>
      </c>
      <c r="B112" s="176">
        <v>46024</v>
      </c>
      <c r="C112" s="172" t="s">
        <v>92</v>
      </c>
      <c r="D112" s="172" t="s">
        <v>24</v>
      </c>
      <c r="E112" s="172" t="s">
        <v>41</v>
      </c>
      <c r="F112" s="172" t="s">
        <v>83</v>
      </c>
      <c r="G112" s="172" t="s">
        <v>84</v>
      </c>
      <c r="H112" s="177">
        <v>1</v>
      </c>
      <c r="I112" s="178">
        <v>1600</v>
      </c>
      <c r="J112" s="176">
        <v>46020</v>
      </c>
      <c r="K112" s="172" t="s">
        <v>93</v>
      </c>
      <c r="L112" s="172" t="s">
        <v>94</v>
      </c>
      <c r="M112" s="179">
        <v>0.43</v>
      </c>
      <c r="N112" s="177"/>
      <c r="O112" s="177">
        <v>41</v>
      </c>
      <c r="P112" s="180">
        <v>-115.23</v>
      </c>
    </row>
    <row r="113" spans="1:16" ht="19.5" customHeight="1">
      <c r="A113" s="172" t="s">
        <v>673</v>
      </c>
      <c r="B113" s="176">
        <v>46024</v>
      </c>
      <c r="C113" s="172" t="s">
        <v>100</v>
      </c>
      <c r="D113" s="172" t="s">
        <v>101</v>
      </c>
      <c r="E113" s="172" t="s">
        <v>41</v>
      </c>
      <c r="F113" s="172" t="s">
        <v>83</v>
      </c>
      <c r="G113" s="172" t="s">
        <v>84</v>
      </c>
      <c r="H113" s="177">
        <v>1</v>
      </c>
      <c r="I113" s="178">
        <v>1600</v>
      </c>
      <c r="J113" s="176">
        <v>46020</v>
      </c>
      <c r="K113" s="172" t="s">
        <v>93</v>
      </c>
      <c r="L113" s="172" t="s">
        <v>94</v>
      </c>
      <c r="M113" s="179">
        <v>0</v>
      </c>
      <c r="N113" s="177"/>
      <c r="O113" s="177"/>
      <c r="P113" s="180">
        <v>549.52</v>
      </c>
    </row>
    <row r="114" spans="1:16" ht="19.5" customHeight="1">
      <c r="A114" s="172" t="s">
        <v>673</v>
      </c>
      <c r="B114" s="176">
        <v>46024</v>
      </c>
      <c r="C114" s="172" t="s">
        <v>100</v>
      </c>
      <c r="D114" s="172" t="s">
        <v>102</v>
      </c>
      <c r="E114" s="172" t="s">
        <v>41</v>
      </c>
      <c r="F114" s="172" t="s">
        <v>83</v>
      </c>
      <c r="G114" s="172" t="s">
        <v>84</v>
      </c>
      <c r="H114" s="177">
        <v>1</v>
      </c>
      <c r="I114" s="178">
        <v>1600</v>
      </c>
      <c r="J114" s="176">
        <v>46020</v>
      </c>
      <c r="K114" s="172" t="s">
        <v>93</v>
      </c>
      <c r="L114" s="172" t="s">
        <v>94</v>
      </c>
      <c r="M114" s="179">
        <v>0</v>
      </c>
      <c r="N114" s="177"/>
      <c r="O114" s="177"/>
      <c r="P114" s="180">
        <v>5.5</v>
      </c>
    </row>
    <row r="115" spans="1:16" ht="19.5" customHeight="1">
      <c r="A115" s="172" t="s">
        <v>673</v>
      </c>
      <c r="B115" s="176">
        <v>46024</v>
      </c>
      <c r="C115" s="172" t="s">
        <v>100</v>
      </c>
      <c r="D115" s="172" t="s">
        <v>103</v>
      </c>
      <c r="E115" s="172" t="s">
        <v>41</v>
      </c>
      <c r="F115" s="172" t="s">
        <v>83</v>
      </c>
      <c r="G115" s="172" t="s">
        <v>84</v>
      </c>
      <c r="H115" s="177">
        <v>1</v>
      </c>
      <c r="I115" s="178">
        <v>1600</v>
      </c>
      <c r="J115" s="176">
        <v>46020</v>
      </c>
      <c r="K115" s="172" t="s">
        <v>93</v>
      </c>
      <c r="L115" s="172" t="s">
        <v>94</v>
      </c>
      <c r="M115" s="179">
        <v>0</v>
      </c>
      <c r="N115" s="177"/>
      <c r="O115" s="177"/>
      <c r="P115" s="180">
        <v>1044.98</v>
      </c>
    </row>
    <row r="116" spans="1:16" ht="19.5" customHeight="1">
      <c r="A116" s="172" t="s">
        <v>673</v>
      </c>
      <c r="B116" s="176">
        <v>46024</v>
      </c>
      <c r="C116" s="172" t="s">
        <v>104</v>
      </c>
      <c r="D116" s="172" t="s">
        <v>105</v>
      </c>
      <c r="E116" s="172" t="s">
        <v>41</v>
      </c>
      <c r="F116" s="172" t="s">
        <v>83</v>
      </c>
      <c r="G116" s="172" t="s">
        <v>84</v>
      </c>
      <c r="H116" s="177">
        <v>1</v>
      </c>
      <c r="I116" s="178">
        <v>1600</v>
      </c>
      <c r="J116" s="176">
        <v>46020</v>
      </c>
      <c r="K116" s="172" t="s">
        <v>93</v>
      </c>
      <c r="L116" s="172" t="s">
        <v>94</v>
      </c>
      <c r="M116" s="179">
        <v>0.43</v>
      </c>
      <c r="N116" s="177"/>
      <c r="O116" s="177"/>
      <c r="P116" s="180">
        <v>-688</v>
      </c>
    </row>
    <row r="117" spans="1:16" ht="19.5" customHeight="1">
      <c r="A117" s="172" t="s">
        <v>673</v>
      </c>
      <c r="B117" s="176">
        <v>46024</v>
      </c>
      <c r="C117" s="172" t="s">
        <v>81</v>
      </c>
      <c r="D117" s="172" t="s">
        <v>95</v>
      </c>
      <c r="E117" s="172" t="s">
        <v>41</v>
      </c>
      <c r="F117" s="172" t="s">
        <v>83</v>
      </c>
      <c r="G117" s="172" t="s">
        <v>84</v>
      </c>
      <c r="H117" s="177">
        <v>1</v>
      </c>
      <c r="I117" s="178">
        <v>1600</v>
      </c>
      <c r="J117" s="176">
        <v>46020</v>
      </c>
      <c r="K117" s="172" t="s">
        <v>93</v>
      </c>
      <c r="L117" s="172" t="s">
        <v>94</v>
      </c>
      <c r="M117" s="179">
        <v>0.43</v>
      </c>
      <c r="N117" s="177"/>
      <c r="O117" s="177"/>
      <c r="P117" s="180">
        <v>-10.73</v>
      </c>
    </row>
    <row r="118" spans="1:16" ht="19.5" customHeight="1">
      <c r="A118" s="172" t="s">
        <v>673</v>
      </c>
      <c r="B118" s="176">
        <v>46024</v>
      </c>
      <c r="C118" s="172" t="s">
        <v>81</v>
      </c>
      <c r="D118" s="172" t="s">
        <v>82</v>
      </c>
      <c r="E118" s="172" t="s">
        <v>41</v>
      </c>
      <c r="F118" s="172" t="s">
        <v>83</v>
      </c>
      <c r="G118" s="172" t="s">
        <v>84</v>
      </c>
      <c r="H118" s="177">
        <v>1</v>
      </c>
      <c r="I118" s="178">
        <v>0</v>
      </c>
      <c r="J118" s="176">
        <v>46020</v>
      </c>
      <c r="K118" s="172" t="s">
        <v>85</v>
      </c>
      <c r="L118" s="172" t="s">
        <v>85</v>
      </c>
      <c r="M118" s="179">
        <v>0</v>
      </c>
      <c r="N118" s="177"/>
      <c r="O118" s="177"/>
      <c r="P118" s="180">
        <v>-10.44</v>
      </c>
    </row>
    <row r="119" spans="1:16" ht="19.5" customHeight="1">
      <c r="A119" s="172" t="s">
        <v>674</v>
      </c>
      <c r="B119" s="176">
        <v>46024</v>
      </c>
      <c r="C119" s="172" t="s">
        <v>81</v>
      </c>
      <c r="D119" s="172" t="s">
        <v>82</v>
      </c>
      <c r="E119" s="172" t="s">
        <v>52</v>
      </c>
      <c r="F119" s="172" t="s">
        <v>90</v>
      </c>
      <c r="G119" s="172" t="s">
        <v>84</v>
      </c>
      <c r="H119" s="177">
        <v>1</v>
      </c>
      <c r="I119" s="178">
        <v>0</v>
      </c>
      <c r="J119" s="176">
        <v>46024</v>
      </c>
      <c r="K119" s="172" t="s">
        <v>85</v>
      </c>
      <c r="L119" s="172" t="s">
        <v>85</v>
      </c>
      <c r="M119" s="179">
        <v>0</v>
      </c>
      <c r="N119" s="177"/>
      <c r="O119" s="177"/>
      <c r="P119" s="180">
        <v>-10.59</v>
      </c>
    </row>
    <row r="120" spans="1:16" ht="19.5" customHeight="1">
      <c r="A120" s="172" t="s">
        <v>675</v>
      </c>
      <c r="B120" s="176">
        <v>46024</v>
      </c>
      <c r="C120" s="172" t="s">
        <v>92</v>
      </c>
      <c r="D120" s="172" t="s">
        <v>24</v>
      </c>
      <c r="E120" s="172" t="s">
        <v>41</v>
      </c>
      <c r="F120" s="172" t="s">
        <v>83</v>
      </c>
      <c r="G120" s="172" t="s">
        <v>84</v>
      </c>
      <c r="H120" s="177">
        <v>1</v>
      </c>
      <c r="I120" s="178">
        <v>0</v>
      </c>
      <c r="J120" s="176">
        <v>46013</v>
      </c>
      <c r="K120" s="172" t="s">
        <v>93</v>
      </c>
      <c r="L120" s="172" t="s">
        <v>94</v>
      </c>
      <c r="M120" s="179">
        <v>0</v>
      </c>
      <c r="N120" s="177"/>
      <c r="O120" s="177">
        <v>43</v>
      </c>
      <c r="P120" s="180">
        <v>-46.77</v>
      </c>
    </row>
    <row r="121" spans="1:16" ht="19.5" customHeight="1">
      <c r="A121" s="172" t="s">
        <v>675</v>
      </c>
      <c r="B121" s="176">
        <v>46024</v>
      </c>
      <c r="C121" s="172" t="s">
        <v>81</v>
      </c>
      <c r="D121" s="172" t="s">
        <v>95</v>
      </c>
      <c r="E121" s="172" t="s">
        <v>41</v>
      </c>
      <c r="F121" s="172" t="s">
        <v>83</v>
      </c>
      <c r="G121" s="172" t="s">
        <v>84</v>
      </c>
      <c r="H121" s="177">
        <v>1</v>
      </c>
      <c r="I121" s="178">
        <v>0</v>
      </c>
      <c r="J121" s="176">
        <v>46013</v>
      </c>
      <c r="K121" s="172" t="s">
        <v>93</v>
      </c>
      <c r="L121" s="172" t="s">
        <v>94</v>
      </c>
      <c r="M121" s="179">
        <v>0</v>
      </c>
      <c r="N121" s="177"/>
      <c r="O121" s="177"/>
      <c r="P121" s="180">
        <v>-15.61</v>
      </c>
    </row>
    <row r="122" spans="1:16" ht="19.5" customHeight="1">
      <c r="A122" s="172" t="s">
        <v>675</v>
      </c>
      <c r="B122" s="176">
        <v>46024</v>
      </c>
      <c r="C122" s="172" t="s">
        <v>92</v>
      </c>
      <c r="D122" s="172" t="s">
        <v>96</v>
      </c>
      <c r="E122" s="172" t="s">
        <v>41</v>
      </c>
      <c r="F122" s="172" t="s">
        <v>83</v>
      </c>
      <c r="G122" s="172" t="s">
        <v>84</v>
      </c>
      <c r="H122" s="177">
        <v>1</v>
      </c>
      <c r="I122" s="178">
        <v>0</v>
      </c>
      <c r="J122" s="176">
        <v>46013</v>
      </c>
      <c r="K122" s="172" t="s">
        <v>93</v>
      </c>
      <c r="L122" s="172" t="s">
        <v>94</v>
      </c>
      <c r="M122" s="179">
        <v>0</v>
      </c>
      <c r="N122" s="177"/>
      <c r="O122" s="177"/>
      <c r="P122" s="180">
        <v>0</v>
      </c>
    </row>
    <row r="123" spans="1:16" ht="19.5" customHeight="1">
      <c r="A123" s="172" t="s">
        <v>675</v>
      </c>
      <c r="B123" s="176">
        <v>46024</v>
      </c>
      <c r="C123" s="172" t="s">
        <v>92</v>
      </c>
      <c r="D123" s="172" t="s">
        <v>97</v>
      </c>
      <c r="E123" s="172" t="s">
        <v>41</v>
      </c>
      <c r="F123" s="172" t="s">
        <v>83</v>
      </c>
      <c r="G123" s="172" t="s">
        <v>84</v>
      </c>
      <c r="H123" s="177">
        <v>1</v>
      </c>
      <c r="I123" s="178">
        <v>0</v>
      </c>
      <c r="J123" s="176">
        <v>46013</v>
      </c>
      <c r="K123" s="172" t="s">
        <v>93</v>
      </c>
      <c r="L123" s="172" t="s">
        <v>94</v>
      </c>
      <c r="M123" s="179">
        <v>0</v>
      </c>
      <c r="N123" s="177"/>
      <c r="O123" s="177"/>
      <c r="P123" s="180">
        <v>-46.77</v>
      </c>
    </row>
    <row r="124" spans="1:16" ht="19.5" customHeight="1">
      <c r="A124" s="172" t="s">
        <v>675</v>
      </c>
      <c r="B124" s="176">
        <v>46024</v>
      </c>
      <c r="C124" s="172" t="s">
        <v>81</v>
      </c>
      <c r="D124" s="172" t="s">
        <v>98</v>
      </c>
      <c r="E124" s="172" t="s">
        <v>41</v>
      </c>
      <c r="F124" s="172" t="s">
        <v>83</v>
      </c>
      <c r="G124" s="172" t="s">
        <v>84</v>
      </c>
      <c r="H124" s="177">
        <v>1</v>
      </c>
      <c r="I124" s="178">
        <v>0</v>
      </c>
      <c r="J124" s="176">
        <v>46013</v>
      </c>
      <c r="K124" s="172" t="s">
        <v>93</v>
      </c>
      <c r="L124" s="172" t="s">
        <v>94</v>
      </c>
      <c r="M124" s="179">
        <v>0</v>
      </c>
      <c r="N124" s="177"/>
      <c r="O124" s="177"/>
      <c r="P124" s="180">
        <v>-15</v>
      </c>
    </row>
    <row r="125" spans="1:16" ht="19.5" customHeight="1">
      <c r="A125" s="172" t="s">
        <v>676</v>
      </c>
      <c r="B125" s="176">
        <v>46024</v>
      </c>
      <c r="C125" s="172" t="s">
        <v>92</v>
      </c>
      <c r="D125" s="172" t="s">
        <v>24</v>
      </c>
      <c r="E125" s="172" t="s">
        <v>53</v>
      </c>
      <c r="F125" s="172" t="s">
        <v>120</v>
      </c>
      <c r="G125" s="172" t="s">
        <v>84</v>
      </c>
      <c r="H125" s="177">
        <v>1</v>
      </c>
      <c r="I125" s="178">
        <v>0</v>
      </c>
      <c r="J125" s="176">
        <v>46013</v>
      </c>
      <c r="K125" s="172" t="s">
        <v>93</v>
      </c>
      <c r="L125" s="172" t="s">
        <v>94</v>
      </c>
      <c r="M125" s="179">
        <v>0</v>
      </c>
      <c r="N125" s="177"/>
      <c r="O125" s="177">
        <v>43</v>
      </c>
      <c r="P125" s="180">
        <v>-56</v>
      </c>
    </row>
    <row r="126" spans="1:16" ht="19.5" customHeight="1">
      <c r="A126" s="172" t="s">
        <v>676</v>
      </c>
      <c r="B126" s="176">
        <v>46024</v>
      </c>
      <c r="C126" s="172" t="s">
        <v>81</v>
      </c>
      <c r="D126" s="172" t="s">
        <v>95</v>
      </c>
      <c r="E126" s="172" t="s">
        <v>53</v>
      </c>
      <c r="F126" s="172" t="s">
        <v>120</v>
      </c>
      <c r="G126" s="172" t="s">
        <v>84</v>
      </c>
      <c r="H126" s="177">
        <v>1</v>
      </c>
      <c r="I126" s="178">
        <v>0</v>
      </c>
      <c r="J126" s="176">
        <v>46013</v>
      </c>
      <c r="K126" s="172" t="s">
        <v>93</v>
      </c>
      <c r="L126" s="172" t="s">
        <v>94</v>
      </c>
      <c r="M126" s="179">
        <v>0</v>
      </c>
      <c r="N126" s="177"/>
      <c r="O126" s="177"/>
      <c r="P126" s="180">
        <v>-12.88</v>
      </c>
    </row>
    <row r="127" spans="1:16" ht="19.5" customHeight="1">
      <c r="A127" s="172" t="s">
        <v>676</v>
      </c>
      <c r="B127" s="176">
        <v>46024</v>
      </c>
      <c r="C127" s="172" t="s">
        <v>92</v>
      </c>
      <c r="D127" s="172" t="s">
        <v>96</v>
      </c>
      <c r="E127" s="172" t="s">
        <v>53</v>
      </c>
      <c r="F127" s="172" t="s">
        <v>120</v>
      </c>
      <c r="G127" s="172" t="s">
        <v>84</v>
      </c>
      <c r="H127" s="177">
        <v>1</v>
      </c>
      <c r="I127" s="178">
        <v>0</v>
      </c>
      <c r="J127" s="176">
        <v>46013</v>
      </c>
      <c r="K127" s="172" t="s">
        <v>93</v>
      </c>
      <c r="L127" s="172" t="s">
        <v>94</v>
      </c>
      <c r="M127" s="179">
        <v>0</v>
      </c>
      <c r="N127" s="177"/>
      <c r="O127" s="177"/>
      <c r="P127" s="180">
        <v>0</v>
      </c>
    </row>
    <row r="128" spans="1:16" ht="19.5" customHeight="1">
      <c r="A128" s="172" t="s">
        <v>676</v>
      </c>
      <c r="B128" s="176">
        <v>46024</v>
      </c>
      <c r="C128" s="172" t="s">
        <v>92</v>
      </c>
      <c r="D128" s="172" t="s">
        <v>97</v>
      </c>
      <c r="E128" s="172" t="s">
        <v>53</v>
      </c>
      <c r="F128" s="172" t="s">
        <v>120</v>
      </c>
      <c r="G128" s="172" t="s">
        <v>84</v>
      </c>
      <c r="H128" s="177">
        <v>1</v>
      </c>
      <c r="I128" s="178">
        <v>0</v>
      </c>
      <c r="J128" s="176">
        <v>46013</v>
      </c>
      <c r="K128" s="172" t="s">
        <v>93</v>
      </c>
      <c r="L128" s="172" t="s">
        <v>94</v>
      </c>
      <c r="M128" s="179">
        <v>0</v>
      </c>
      <c r="N128" s="177"/>
      <c r="O128" s="177"/>
      <c r="P128" s="180">
        <v>-56</v>
      </c>
    </row>
    <row r="129" spans="1:16" ht="19.5" customHeight="1">
      <c r="A129" s="172" t="s">
        <v>676</v>
      </c>
      <c r="B129" s="176">
        <v>46024</v>
      </c>
      <c r="C129" s="172" t="s">
        <v>81</v>
      </c>
      <c r="D129" s="172" t="s">
        <v>98</v>
      </c>
      <c r="E129" s="172" t="s">
        <v>53</v>
      </c>
      <c r="F129" s="172" t="s">
        <v>120</v>
      </c>
      <c r="G129" s="172" t="s">
        <v>84</v>
      </c>
      <c r="H129" s="177">
        <v>1</v>
      </c>
      <c r="I129" s="178">
        <v>0</v>
      </c>
      <c r="J129" s="176">
        <v>46013</v>
      </c>
      <c r="K129" s="172" t="s">
        <v>93</v>
      </c>
      <c r="L129" s="172" t="s">
        <v>94</v>
      </c>
      <c r="M129" s="179">
        <v>0</v>
      </c>
      <c r="N129" s="177"/>
      <c r="O129" s="177"/>
      <c r="P129" s="180">
        <v>-15</v>
      </c>
    </row>
    <row r="130" spans="1:16" ht="19.5" customHeight="1">
      <c r="A130" s="172" t="s">
        <v>677</v>
      </c>
      <c r="B130" s="176">
        <v>46024</v>
      </c>
      <c r="C130" s="172" t="s">
        <v>92</v>
      </c>
      <c r="D130" s="172" t="s">
        <v>24</v>
      </c>
      <c r="E130" s="172" t="s">
        <v>52</v>
      </c>
      <c r="F130" s="172" t="s">
        <v>90</v>
      </c>
      <c r="G130" s="172" t="s">
        <v>84</v>
      </c>
      <c r="H130" s="177">
        <v>1</v>
      </c>
      <c r="I130" s="178">
        <v>1621</v>
      </c>
      <c r="J130" s="176">
        <v>46023</v>
      </c>
      <c r="K130" s="172" t="s">
        <v>93</v>
      </c>
      <c r="L130" s="172" t="s">
        <v>94</v>
      </c>
      <c r="M130" s="179">
        <v>0.43</v>
      </c>
      <c r="N130" s="177"/>
      <c r="O130" s="177">
        <v>43</v>
      </c>
      <c r="P130" s="180">
        <v>-138.22999999999999</v>
      </c>
    </row>
    <row r="131" spans="1:16" ht="19.5" customHeight="1">
      <c r="A131" s="172" t="s">
        <v>677</v>
      </c>
      <c r="B131" s="176">
        <v>46024</v>
      </c>
      <c r="C131" s="172" t="s">
        <v>100</v>
      </c>
      <c r="D131" s="172" t="s">
        <v>101</v>
      </c>
      <c r="E131" s="172" t="s">
        <v>52</v>
      </c>
      <c r="F131" s="172" t="s">
        <v>90</v>
      </c>
      <c r="G131" s="172" t="s">
        <v>84</v>
      </c>
      <c r="H131" s="177">
        <v>1</v>
      </c>
      <c r="I131" s="178">
        <v>1621</v>
      </c>
      <c r="J131" s="176">
        <v>46023</v>
      </c>
      <c r="K131" s="172" t="s">
        <v>93</v>
      </c>
      <c r="L131" s="172" t="s">
        <v>94</v>
      </c>
      <c r="M131" s="179">
        <v>0</v>
      </c>
      <c r="N131" s="177"/>
      <c r="O131" s="177"/>
      <c r="P131" s="180">
        <v>557.14</v>
      </c>
    </row>
    <row r="132" spans="1:16" ht="19.5" customHeight="1">
      <c r="A132" s="172" t="s">
        <v>677</v>
      </c>
      <c r="B132" s="176">
        <v>46024</v>
      </c>
      <c r="C132" s="172" t="s">
        <v>100</v>
      </c>
      <c r="D132" s="172" t="s">
        <v>102</v>
      </c>
      <c r="E132" s="172" t="s">
        <v>52</v>
      </c>
      <c r="F132" s="172" t="s">
        <v>90</v>
      </c>
      <c r="G132" s="172" t="s">
        <v>84</v>
      </c>
      <c r="H132" s="177">
        <v>1</v>
      </c>
      <c r="I132" s="178">
        <v>1621</v>
      </c>
      <c r="J132" s="176">
        <v>46023</v>
      </c>
      <c r="K132" s="172" t="s">
        <v>93</v>
      </c>
      <c r="L132" s="172" t="s">
        <v>94</v>
      </c>
      <c r="M132" s="179">
        <v>0</v>
      </c>
      <c r="N132" s="177"/>
      <c r="O132" s="177"/>
      <c r="P132" s="180">
        <v>5.57</v>
      </c>
    </row>
    <row r="133" spans="1:16" ht="19.5" customHeight="1">
      <c r="A133" s="172" t="s">
        <v>677</v>
      </c>
      <c r="B133" s="176">
        <v>46024</v>
      </c>
      <c r="C133" s="172" t="s">
        <v>100</v>
      </c>
      <c r="D133" s="172" t="s">
        <v>103</v>
      </c>
      <c r="E133" s="172" t="s">
        <v>52</v>
      </c>
      <c r="F133" s="172" t="s">
        <v>90</v>
      </c>
      <c r="G133" s="172" t="s">
        <v>84</v>
      </c>
      <c r="H133" s="177">
        <v>1</v>
      </c>
      <c r="I133" s="178">
        <v>1621</v>
      </c>
      <c r="J133" s="176">
        <v>46023</v>
      </c>
      <c r="K133" s="172" t="s">
        <v>93</v>
      </c>
      <c r="L133" s="172" t="s">
        <v>94</v>
      </c>
      <c r="M133" s="179">
        <v>0</v>
      </c>
      <c r="N133" s="177"/>
      <c r="O133" s="177"/>
      <c r="P133" s="180">
        <v>1058.29</v>
      </c>
    </row>
    <row r="134" spans="1:16" ht="19.5" customHeight="1">
      <c r="A134" s="172" t="s">
        <v>677</v>
      </c>
      <c r="B134" s="176">
        <v>46024</v>
      </c>
      <c r="C134" s="172" t="s">
        <v>104</v>
      </c>
      <c r="D134" s="172" t="s">
        <v>105</v>
      </c>
      <c r="E134" s="172" t="s">
        <v>52</v>
      </c>
      <c r="F134" s="172" t="s">
        <v>90</v>
      </c>
      <c r="G134" s="172" t="s">
        <v>84</v>
      </c>
      <c r="H134" s="177">
        <v>1</v>
      </c>
      <c r="I134" s="178">
        <v>1621</v>
      </c>
      <c r="J134" s="176">
        <v>46023</v>
      </c>
      <c r="K134" s="172" t="s">
        <v>93</v>
      </c>
      <c r="L134" s="172" t="s">
        <v>94</v>
      </c>
      <c r="M134" s="179">
        <v>0.43</v>
      </c>
      <c r="N134" s="177"/>
      <c r="O134" s="177"/>
      <c r="P134" s="180">
        <v>-697.03</v>
      </c>
    </row>
    <row r="135" spans="1:16" ht="19.5" customHeight="1">
      <c r="A135" s="172" t="s">
        <v>677</v>
      </c>
      <c r="B135" s="176">
        <v>46024</v>
      </c>
      <c r="C135" s="172" t="s">
        <v>81</v>
      </c>
      <c r="D135" s="172" t="s">
        <v>95</v>
      </c>
      <c r="E135" s="172" t="s">
        <v>52</v>
      </c>
      <c r="F135" s="172" t="s">
        <v>90</v>
      </c>
      <c r="G135" s="172" t="s">
        <v>84</v>
      </c>
      <c r="H135" s="177">
        <v>1</v>
      </c>
      <c r="I135" s="178">
        <v>1621</v>
      </c>
      <c r="J135" s="176">
        <v>46023</v>
      </c>
      <c r="K135" s="172" t="s">
        <v>93</v>
      </c>
      <c r="L135" s="172" t="s">
        <v>94</v>
      </c>
      <c r="M135" s="179">
        <v>0.43</v>
      </c>
      <c r="N135" s="177"/>
      <c r="O135" s="177"/>
      <c r="P135" s="180">
        <v>-6.96</v>
      </c>
    </row>
    <row r="136" spans="1:16" ht="19.5" customHeight="1">
      <c r="A136" s="172" t="s">
        <v>678</v>
      </c>
      <c r="B136" s="176">
        <v>46024</v>
      </c>
      <c r="C136" s="172" t="s">
        <v>81</v>
      </c>
      <c r="D136" s="172" t="s">
        <v>82</v>
      </c>
      <c r="E136" s="172" t="s">
        <v>52</v>
      </c>
      <c r="F136" s="172" t="s">
        <v>90</v>
      </c>
      <c r="G136" s="172" t="s">
        <v>84</v>
      </c>
      <c r="H136" s="177">
        <v>1</v>
      </c>
      <c r="I136" s="178">
        <v>0</v>
      </c>
      <c r="J136" s="176">
        <v>46024</v>
      </c>
      <c r="K136" s="172" t="s">
        <v>85</v>
      </c>
      <c r="L136" s="172" t="s">
        <v>85</v>
      </c>
      <c r="M136" s="179">
        <v>0</v>
      </c>
      <c r="N136" s="177"/>
      <c r="O136" s="177"/>
      <c r="P136" s="180">
        <v>-4.72</v>
      </c>
    </row>
    <row r="137" spans="1:16" ht="19.5" customHeight="1">
      <c r="A137" s="172" t="s">
        <v>679</v>
      </c>
      <c r="B137" s="176">
        <v>46024</v>
      </c>
      <c r="C137" s="172" t="s">
        <v>81</v>
      </c>
      <c r="D137" s="172" t="s">
        <v>82</v>
      </c>
      <c r="E137" s="172" t="s">
        <v>52</v>
      </c>
      <c r="F137" s="172" t="s">
        <v>90</v>
      </c>
      <c r="G137" s="172" t="s">
        <v>84</v>
      </c>
      <c r="H137" s="177">
        <v>1</v>
      </c>
      <c r="I137" s="178">
        <v>0</v>
      </c>
      <c r="J137" s="176">
        <v>46024</v>
      </c>
      <c r="K137" s="172" t="s">
        <v>85</v>
      </c>
      <c r="L137" s="172" t="s">
        <v>85</v>
      </c>
      <c r="M137" s="179">
        <v>0</v>
      </c>
      <c r="N137" s="177"/>
      <c r="O137" s="177"/>
      <c r="P137" s="180">
        <v>-10.59</v>
      </c>
    </row>
    <row r="138" spans="1:16" ht="19.5" customHeight="1">
      <c r="A138" s="172" t="s">
        <v>677</v>
      </c>
      <c r="B138" s="176">
        <v>46024</v>
      </c>
      <c r="C138" s="172" t="s">
        <v>81</v>
      </c>
      <c r="D138" s="172" t="s">
        <v>82</v>
      </c>
      <c r="E138" s="172" t="s">
        <v>52</v>
      </c>
      <c r="F138" s="172" t="s">
        <v>90</v>
      </c>
      <c r="G138" s="172" t="s">
        <v>84</v>
      </c>
      <c r="H138" s="177">
        <v>1</v>
      </c>
      <c r="I138" s="178">
        <v>0</v>
      </c>
      <c r="J138" s="176">
        <v>46023</v>
      </c>
      <c r="K138" s="172" t="s">
        <v>85</v>
      </c>
      <c r="L138" s="172" t="s">
        <v>85</v>
      </c>
      <c r="M138" s="179">
        <v>0</v>
      </c>
      <c r="N138" s="177"/>
      <c r="O138" s="177"/>
      <c r="P138" s="180">
        <v>-10.59</v>
      </c>
    </row>
    <row r="139" spans="1:16" ht="19.5" customHeight="1">
      <c r="A139" s="172" t="s">
        <v>680</v>
      </c>
      <c r="B139" s="176">
        <v>46024</v>
      </c>
      <c r="C139" s="172" t="s">
        <v>81</v>
      </c>
      <c r="D139" s="172" t="s">
        <v>82</v>
      </c>
      <c r="E139" s="172" t="s">
        <v>41</v>
      </c>
      <c r="F139" s="172" t="s">
        <v>83</v>
      </c>
      <c r="G139" s="172" t="s">
        <v>84</v>
      </c>
      <c r="H139" s="177">
        <v>1</v>
      </c>
      <c r="I139" s="178">
        <v>0</v>
      </c>
      <c r="J139" s="176">
        <v>46024</v>
      </c>
      <c r="K139" s="172" t="s">
        <v>85</v>
      </c>
      <c r="L139" s="172" t="s">
        <v>85</v>
      </c>
      <c r="M139" s="179">
        <v>0</v>
      </c>
      <c r="N139" s="177"/>
      <c r="O139" s="177"/>
      <c r="P139" s="180">
        <v>-6.23</v>
      </c>
    </row>
    <row r="140" spans="1:16" ht="19.5" customHeight="1">
      <c r="A140" s="172" t="s">
        <v>681</v>
      </c>
      <c r="B140" s="176">
        <v>46024</v>
      </c>
      <c r="C140" s="172" t="s">
        <v>81</v>
      </c>
      <c r="D140" s="172" t="s">
        <v>82</v>
      </c>
      <c r="E140" s="172" t="s">
        <v>41</v>
      </c>
      <c r="F140" s="172" t="s">
        <v>83</v>
      </c>
      <c r="G140" s="172" t="s">
        <v>84</v>
      </c>
      <c r="H140" s="177">
        <v>1</v>
      </c>
      <c r="I140" s="178">
        <v>0</v>
      </c>
      <c r="J140" s="176">
        <v>46024</v>
      </c>
      <c r="K140" s="172" t="s">
        <v>85</v>
      </c>
      <c r="L140" s="172" t="s">
        <v>85</v>
      </c>
      <c r="M140" s="179">
        <v>0</v>
      </c>
      <c r="N140" s="177"/>
      <c r="O140" s="177"/>
      <c r="P140" s="180">
        <v>-10.44</v>
      </c>
    </row>
    <row r="141" spans="1:16" ht="19.5" customHeight="1">
      <c r="A141" s="172" t="s">
        <v>682</v>
      </c>
      <c r="B141" s="176">
        <v>46024</v>
      </c>
      <c r="C141" s="172" t="s">
        <v>81</v>
      </c>
      <c r="D141" s="172" t="s">
        <v>82</v>
      </c>
      <c r="E141" s="172" t="s">
        <v>53</v>
      </c>
      <c r="F141" s="172" t="s">
        <v>120</v>
      </c>
      <c r="G141" s="172" t="s">
        <v>84</v>
      </c>
      <c r="H141" s="177">
        <v>1</v>
      </c>
      <c r="I141" s="178">
        <v>0</v>
      </c>
      <c r="J141" s="176">
        <v>46024</v>
      </c>
      <c r="K141" s="172" t="s">
        <v>85</v>
      </c>
      <c r="L141" s="172" t="s">
        <v>85</v>
      </c>
      <c r="M141" s="179">
        <v>0</v>
      </c>
      <c r="N141" s="177"/>
      <c r="O141" s="177"/>
      <c r="P141" s="180">
        <v>-12.21</v>
      </c>
    </row>
    <row r="142" spans="1:16" ht="19.5" customHeight="1">
      <c r="A142" s="172" t="s">
        <v>683</v>
      </c>
      <c r="B142" s="176">
        <v>46024</v>
      </c>
      <c r="C142" s="172" t="s">
        <v>81</v>
      </c>
      <c r="D142" s="172" t="s">
        <v>82</v>
      </c>
      <c r="E142" s="172" t="s">
        <v>52</v>
      </c>
      <c r="F142" s="172" t="s">
        <v>90</v>
      </c>
      <c r="G142" s="172" t="s">
        <v>84</v>
      </c>
      <c r="H142" s="177">
        <v>1</v>
      </c>
      <c r="I142" s="178">
        <v>0</v>
      </c>
      <c r="J142" s="176">
        <v>46024</v>
      </c>
      <c r="K142" s="172" t="s">
        <v>85</v>
      </c>
      <c r="L142" s="172" t="s">
        <v>85</v>
      </c>
      <c r="M142" s="179">
        <v>0</v>
      </c>
      <c r="N142" s="177"/>
      <c r="O142" s="177"/>
      <c r="P142" s="180">
        <v>-10.59</v>
      </c>
    </row>
    <row r="143" spans="1:16" ht="19.5" customHeight="1">
      <c r="A143" s="172" t="s">
        <v>144</v>
      </c>
      <c r="B143" s="176">
        <v>46024</v>
      </c>
      <c r="C143" s="172" t="s">
        <v>109</v>
      </c>
      <c r="D143" s="172" t="s">
        <v>139</v>
      </c>
      <c r="E143" s="172" t="s">
        <v>85</v>
      </c>
      <c r="F143" s="172" t="s">
        <v>85</v>
      </c>
      <c r="G143" s="172" t="s">
        <v>85</v>
      </c>
      <c r="H143" s="177">
        <v>0</v>
      </c>
      <c r="I143" s="178">
        <v>0</v>
      </c>
      <c r="J143" s="176">
        <v>46024</v>
      </c>
      <c r="K143" s="172" t="s">
        <v>85</v>
      </c>
      <c r="L143" s="172" t="s">
        <v>85</v>
      </c>
      <c r="M143" s="179">
        <v>0</v>
      </c>
      <c r="N143" s="177"/>
      <c r="O143" s="177"/>
      <c r="P143" s="180">
        <v>-2189.0700000000002</v>
      </c>
    </row>
    <row r="144" spans="1:16" ht="19.5" customHeight="1">
      <c r="A144" s="172" t="s">
        <v>410</v>
      </c>
      <c r="B144" s="176">
        <v>46024</v>
      </c>
      <c r="C144" s="172" t="s">
        <v>109</v>
      </c>
      <c r="D144" s="172" t="s">
        <v>139</v>
      </c>
      <c r="E144" s="172" t="s">
        <v>85</v>
      </c>
      <c r="F144" s="172" t="s">
        <v>85</v>
      </c>
      <c r="G144" s="172" t="s">
        <v>85</v>
      </c>
      <c r="H144" s="177">
        <v>0</v>
      </c>
      <c r="I144" s="178">
        <v>0</v>
      </c>
      <c r="J144" s="176">
        <v>46024</v>
      </c>
      <c r="K144" s="172" t="s">
        <v>85</v>
      </c>
      <c r="L144" s="172" t="s">
        <v>85</v>
      </c>
      <c r="M144" s="179">
        <v>0</v>
      </c>
      <c r="N144" s="177"/>
      <c r="O144" s="177"/>
      <c r="P144" s="180">
        <v>-1145.8599999999999</v>
      </c>
    </row>
    <row r="145" spans="1:16" ht="19.5" customHeight="1">
      <c r="A145" s="172" t="s">
        <v>138</v>
      </c>
      <c r="B145" s="176">
        <v>46024</v>
      </c>
      <c r="C145" s="172" t="s">
        <v>109</v>
      </c>
      <c r="D145" s="172" t="s">
        <v>139</v>
      </c>
      <c r="E145" s="172" t="s">
        <v>85</v>
      </c>
      <c r="F145" s="172" t="s">
        <v>85</v>
      </c>
      <c r="G145" s="172" t="s">
        <v>85</v>
      </c>
      <c r="H145" s="177">
        <v>0</v>
      </c>
      <c r="I145" s="178">
        <v>0</v>
      </c>
      <c r="J145" s="176">
        <v>46024</v>
      </c>
      <c r="K145" s="172" t="s">
        <v>85</v>
      </c>
      <c r="L145" s="172" t="s">
        <v>85</v>
      </c>
      <c r="M145" s="179">
        <v>0</v>
      </c>
      <c r="N145" s="177"/>
      <c r="O145" s="177"/>
      <c r="P145" s="180">
        <v>-2196.27</v>
      </c>
    </row>
    <row r="146" spans="1:16" ht="19.5" customHeight="1">
      <c r="A146" s="172" t="s">
        <v>142</v>
      </c>
      <c r="B146" s="176">
        <v>46024</v>
      </c>
      <c r="C146" s="172" t="s">
        <v>109</v>
      </c>
      <c r="D146" s="172" t="s">
        <v>143</v>
      </c>
      <c r="E146" s="172" t="s">
        <v>85</v>
      </c>
      <c r="F146" s="172" t="s">
        <v>85</v>
      </c>
      <c r="G146" s="172" t="s">
        <v>85</v>
      </c>
      <c r="H146" s="177">
        <v>0</v>
      </c>
      <c r="I146" s="178">
        <v>0</v>
      </c>
      <c r="J146" s="176">
        <v>46024</v>
      </c>
      <c r="K146" s="172" t="s">
        <v>85</v>
      </c>
      <c r="L146" s="172" t="s">
        <v>85</v>
      </c>
      <c r="M146" s="179">
        <v>0</v>
      </c>
      <c r="N146" s="177"/>
      <c r="O146" s="177"/>
      <c r="P146" s="180">
        <v>-4539.76</v>
      </c>
    </row>
    <row r="147" spans="1:16" ht="19.5" customHeight="1">
      <c r="A147" s="172" t="s">
        <v>684</v>
      </c>
      <c r="B147" s="176">
        <v>46025</v>
      </c>
      <c r="C147" s="172" t="s">
        <v>81</v>
      </c>
      <c r="D147" s="172" t="s">
        <v>82</v>
      </c>
      <c r="E147" s="172" t="s">
        <v>53</v>
      </c>
      <c r="F147" s="172" t="s">
        <v>120</v>
      </c>
      <c r="G147" s="172" t="s">
        <v>84</v>
      </c>
      <c r="H147" s="177">
        <v>1</v>
      </c>
      <c r="I147" s="178">
        <v>0</v>
      </c>
      <c r="J147" s="176">
        <v>46017</v>
      </c>
      <c r="K147" s="172" t="s">
        <v>85</v>
      </c>
      <c r="L147" s="172" t="s">
        <v>85</v>
      </c>
      <c r="M147" s="179">
        <v>0</v>
      </c>
      <c r="N147" s="177"/>
      <c r="O147" s="177"/>
      <c r="P147" s="180">
        <v>10.59</v>
      </c>
    </row>
    <row r="148" spans="1:16" ht="19.5" customHeight="1">
      <c r="A148" s="172" t="s">
        <v>685</v>
      </c>
      <c r="B148" s="176">
        <v>46025</v>
      </c>
      <c r="C148" s="172" t="s">
        <v>92</v>
      </c>
      <c r="D148" s="172" t="s">
        <v>24</v>
      </c>
      <c r="E148" s="172" t="s">
        <v>41</v>
      </c>
      <c r="F148" s="172" t="s">
        <v>83</v>
      </c>
      <c r="G148" s="172" t="s">
        <v>84</v>
      </c>
      <c r="H148" s="177">
        <v>1</v>
      </c>
      <c r="I148" s="178">
        <v>1600</v>
      </c>
      <c r="J148" s="176">
        <v>46020</v>
      </c>
      <c r="K148" s="172" t="s">
        <v>93</v>
      </c>
      <c r="L148" s="172" t="s">
        <v>94</v>
      </c>
      <c r="M148" s="179">
        <v>0.43</v>
      </c>
      <c r="N148" s="177"/>
      <c r="O148" s="177">
        <v>41</v>
      </c>
      <c r="P148" s="180">
        <v>-115.23</v>
      </c>
    </row>
    <row r="149" spans="1:16" ht="19.5" customHeight="1">
      <c r="A149" s="172" t="s">
        <v>685</v>
      </c>
      <c r="B149" s="176">
        <v>46025</v>
      </c>
      <c r="C149" s="172" t="s">
        <v>100</v>
      </c>
      <c r="D149" s="172" t="s">
        <v>101</v>
      </c>
      <c r="E149" s="172" t="s">
        <v>41</v>
      </c>
      <c r="F149" s="172" t="s">
        <v>83</v>
      </c>
      <c r="G149" s="172" t="s">
        <v>84</v>
      </c>
      <c r="H149" s="177">
        <v>1</v>
      </c>
      <c r="I149" s="178">
        <v>1600</v>
      </c>
      <c r="J149" s="176">
        <v>46020</v>
      </c>
      <c r="K149" s="172" t="s">
        <v>93</v>
      </c>
      <c r="L149" s="172" t="s">
        <v>94</v>
      </c>
      <c r="M149" s="179">
        <v>0</v>
      </c>
      <c r="N149" s="177"/>
      <c r="O149" s="177"/>
      <c r="P149" s="180">
        <v>552.38</v>
      </c>
    </row>
    <row r="150" spans="1:16" ht="19.5" customHeight="1">
      <c r="A150" s="172" t="s">
        <v>685</v>
      </c>
      <c r="B150" s="176">
        <v>46025</v>
      </c>
      <c r="C150" s="172" t="s">
        <v>100</v>
      </c>
      <c r="D150" s="172" t="s">
        <v>102</v>
      </c>
      <c r="E150" s="172" t="s">
        <v>41</v>
      </c>
      <c r="F150" s="172" t="s">
        <v>83</v>
      </c>
      <c r="G150" s="172" t="s">
        <v>84</v>
      </c>
      <c r="H150" s="177">
        <v>1</v>
      </c>
      <c r="I150" s="178">
        <v>1600</v>
      </c>
      <c r="J150" s="176">
        <v>46020</v>
      </c>
      <c r="K150" s="172" t="s">
        <v>93</v>
      </c>
      <c r="L150" s="172" t="s">
        <v>94</v>
      </c>
      <c r="M150" s="179">
        <v>0</v>
      </c>
      <c r="N150" s="177"/>
      <c r="O150" s="177"/>
      <c r="P150" s="180">
        <v>5.52</v>
      </c>
    </row>
    <row r="151" spans="1:16" ht="19.5" customHeight="1">
      <c r="A151" s="172" t="s">
        <v>685</v>
      </c>
      <c r="B151" s="176">
        <v>46025</v>
      </c>
      <c r="C151" s="172" t="s">
        <v>100</v>
      </c>
      <c r="D151" s="172" t="s">
        <v>103</v>
      </c>
      <c r="E151" s="172" t="s">
        <v>41</v>
      </c>
      <c r="F151" s="172" t="s">
        <v>83</v>
      </c>
      <c r="G151" s="172" t="s">
        <v>84</v>
      </c>
      <c r="H151" s="177">
        <v>1</v>
      </c>
      <c r="I151" s="178">
        <v>1600</v>
      </c>
      <c r="J151" s="176">
        <v>46020</v>
      </c>
      <c r="K151" s="172" t="s">
        <v>93</v>
      </c>
      <c r="L151" s="172" t="s">
        <v>94</v>
      </c>
      <c r="M151" s="179">
        <v>0</v>
      </c>
      <c r="N151" s="177"/>
      <c r="O151" s="177"/>
      <c r="P151" s="180">
        <v>1042.0999999999999</v>
      </c>
    </row>
    <row r="152" spans="1:16" ht="19.5" customHeight="1">
      <c r="A152" s="172" t="s">
        <v>685</v>
      </c>
      <c r="B152" s="176">
        <v>46025</v>
      </c>
      <c r="C152" s="172" t="s">
        <v>104</v>
      </c>
      <c r="D152" s="172" t="s">
        <v>105</v>
      </c>
      <c r="E152" s="172" t="s">
        <v>41</v>
      </c>
      <c r="F152" s="172" t="s">
        <v>83</v>
      </c>
      <c r="G152" s="172" t="s">
        <v>84</v>
      </c>
      <c r="H152" s="177">
        <v>1</v>
      </c>
      <c r="I152" s="178">
        <v>1600</v>
      </c>
      <c r="J152" s="176">
        <v>46020</v>
      </c>
      <c r="K152" s="172" t="s">
        <v>93</v>
      </c>
      <c r="L152" s="172" t="s">
        <v>94</v>
      </c>
      <c r="M152" s="179">
        <v>0.43</v>
      </c>
      <c r="N152" s="177"/>
      <c r="O152" s="177"/>
      <c r="P152" s="180">
        <v>-688</v>
      </c>
    </row>
    <row r="153" spans="1:16" ht="19.5" customHeight="1">
      <c r="A153" s="172" t="s">
        <v>685</v>
      </c>
      <c r="B153" s="176">
        <v>46025</v>
      </c>
      <c r="C153" s="172" t="s">
        <v>81</v>
      </c>
      <c r="D153" s="172" t="s">
        <v>95</v>
      </c>
      <c r="E153" s="172" t="s">
        <v>41</v>
      </c>
      <c r="F153" s="172" t="s">
        <v>83</v>
      </c>
      <c r="G153" s="172" t="s">
        <v>84</v>
      </c>
      <c r="H153" s="177">
        <v>1</v>
      </c>
      <c r="I153" s="178">
        <v>1600</v>
      </c>
      <c r="J153" s="176">
        <v>46020</v>
      </c>
      <c r="K153" s="172" t="s">
        <v>93</v>
      </c>
      <c r="L153" s="172" t="s">
        <v>94</v>
      </c>
      <c r="M153" s="179">
        <v>0.43</v>
      </c>
      <c r="N153" s="177"/>
      <c r="O153" s="177"/>
      <c r="P153" s="180">
        <v>-7.46</v>
      </c>
    </row>
    <row r="154" spans="1:16" ht="19.5" customHeight="1">
      <c r="A154" s="172" t="s">
        <v>685</v>
      </c>
      <c r="B154" s="176">
        <v>46025</v>
      </c>
      <c r="C154" s="172" t="s">
        <v>81</v>
      </c>
      <c r="D154" s="172" t="s">
        <v>82</v>
      </c>
      <c r="E154" s="172" t="s">
        <v>41</v>
      </c>
      <c r="F154" s="172" t="s">
        <v>83</v>
      </c>
      <c r="G154" s="172" t="s">
        <v>84</v>
      </c>
      <c r="H154" s="177">
        <v>1</v>
      </c>
      <c r="I154" s="178">
        <v>0</v>
      </c>
      <c r="J154" s="176">
        <v>46020</v>
      </c>
      <c r="K154" s="172" t="s">
        <v>85</v>
      </c>
      <c r="L154" s="172" t="s">
        <v>85</v>
      </c>
      <c r="M154" s="179">
        <v>0</v>
      </c>
      <c r="N154" s="177"/>
      <c r="O154" s="177"/>
      <c r="P154" s="180">
        <v>-10.5</v>
      </c>
    </row>
    <row r="155" spans="1:16" ht="19.5" customHeight="1">
      <c r="A155" s="172" t="s">
        <v>686</v>
      </c>
      <c r="B155" s="176">
        <v>46025</v>
      </c>
      <c r="C155" s="172" t="s">
        <v>81</v>
      </c>
      <c r="D155" s="172" t="s">
        <v>82</v>
      </c>
      <c r="E155" s="172" t="s">
        <v>53</v>
      </c>
      <c r="F155" s="172" t="s">
        <v>120</v>
      </c>
      <c r="G155" s="172" t="s">
        <v>84</v>
      </c>
      <c r="H155" s="177">
        <v>1</v>
      </c>
      <c r="I155" s="178">
        <v>0</v>
      </c>
      <c r="J155" s="176">
        <v>46025</v>
      </c>
      <c r="K155" s="172" t="s">
        <v>85</v>
      </c>
      <c r="L155" s="172" t="s">
        <v>85</v>
      </c>
      <c r="M155" s="179">
        <v>0</v>
      </c>
      <c r="N155" s="177"/>
      <c r="O155" s="177"/>
      <c r="P155" s="180">
        <v>-12.21</v>
      </c>
    </row>
    <row r="156" spans="1:16" ht="19.5" customHeight="1">
      <c r="A156" s="172" t="s">
        <v>687</v>
      </c>
      <c r="B156" s="176">
        <v>46025</v>
      </c>
      <c r="C156" s="172" t="s">
        <v>81</v>
      </c>
      <c r="D156" s="172" t="s">
        <v>82</v>
      </c>
      <c r="E156" s="172" t="s">
        <v>41</v>
      </c>
      <c r="F156" s="172" t="s">
        <v>83</v>
      </c>
      <c r="G156" s="172" t="s">
        <v>84</v>
      </c>
      <c r="H156" s="177">
        <v>1</v>
      </c>
      <c r="I156" s="178">
        <v>0</v>
      </c>
      <c r="J156" s="176">
        <v>46025</v>
      </c>
      <c r="K156" s="172" t="s">
        <v>85</v>
      </c>
      <c r="L156" s="172" t="s">
        <v>85</v>
      </c>
      <c r="M156" s="179">
        <v>0</v>
      </c>
      <c r="N156" s="177"/>
      <c r="O156" s="177"/>
      <c r="P156" s="180">
        <v>-10.44</v>
      </c>
    </row>
    <row r="157" spans="1:16" ht="19.5" customHeight="1">
      <c r="A157" s="172" t="s">
        <v>85</v>
      </c>
      <c r="B157" s="176">
        <v>46025</v>
      </c>
      <c r="C157" s="172" t="s">
        <v>109</v>
      </c>
      <c r="D157" s="172" t="s">
        <v>110</v>
      </c>
      <c r="E157" s="172" t="s">
        <v>85</v>
      </c>
      <c r="F157" s="172" t="s">
        <v>85</v>
      </c>
      <c r="G157" s="172" t="s">
        <v>688</v>
      </c>
      <c r="H157" s="177">
        <v>0</v>
      </c>
      <c r="I157" s="178">
        <v>0</v>
      </c>
      <c r="J157" s="176">
        <v>46025</v>
      </c>
      <c r="K157" s="172" t="s">
        <v>85</v>
      </c>
      <c r="L157" s="172" t="s">
        <v>85</v>
      </c>
      <c r="M157" s="179">
        <v>0</v>
      </c>
      <c r="N157" s="177"/>
      <c r="O157" s="177"/>
      <c r="P157" s="180">
        <v>-150</v>
      </c>
    </row>
    <row r="158" spans="1:16" ht="19.5" customHeight="1">
      <c r="A158" s="172" t="s">
        <v>689</v>
      </c>
      <c r="B158" s="176">
        <v>46025</v>
      </c>
      <c r="C158" s="172" t="s">
        <v>92</v>
      </c>
      <c r="D158" s="172" t="s">
        <v>24</v>
      </c>
      <c r="E158" s="172" t="s">
        <v>52</v>
      </c>
      <c r="F158" s="172" t="s">
        <v>90</v>
      </c>
      <c r="G158" s="172" t="s">
        <v>84</v>
      </c>
      <c r="H158" s="177">
        <v>1</v>
      </c>
      <c r="I158" s="178">
        <v>1621</v>
      </c>
      <c r="J158" s="176">
        <v>46021</v>
      </c>
      <c r="K158" s="172" t="s">
        <v>93</v>
      </c>
      <c r="L158" s="172" t="s">
        <v>94</v>
      </c>
      <c r="M158" s="179">
        <v>0.43</v>
      </c>
      <c r="N158" s="177"/>
      <c r="O158" s="177">
        <v>40</v>
      </c>
      <c r="P158" s="180">
        <v>-125.9</v>
      </c>
    </row>
    <row r="159" spans="1:16" ht="19.5" customHeight="1">
      <c r="A159" s="172" t="s">
        <v>689</v>
      </c>
      <c r="B159" s="176">
        <v>46025</v>
      </c>
      <c r="C159" s="172" t="s">
        <v>100</v>
      </c>
      <c r="D159" s="172" t="s">
        <v>101</v>
      </c>
      <c r="E159" s="172" t="s">
        <v>52</v>
      </c>
      <c r="F159" s="172" t="s">
        <v>90</v>
      </c>
      <c r="G159" s="172" t="s">
        <v>84</v>
      </c>
      <c r="H159" s="177">
        <v>1</v>
      </c>
      <c r="I159" s="178">
        <v>1621</v>
      </c>
      <c r="J159" s="176">
        <v>46021</v>
      </c>
      <c r="K159" s="172" t="s">
        <v>93</v>
      </c>
      <c r="L159" s="172" t="s">
        <v>94</v>
      </c>
      <c r="M159" s="179">
        <v>0</v>
      </c>
      <c r="N159" s="177"/>
      <c r="O159" s="177"/>
      <c r="P159" s="180">
        <v>556.61</v>
      </c>
    </row>
    <row r="160" spans="1:16" ht="19.5" customHeight="1">
      <c r="A160" s="172" t="s">
        <v>689</v>
      </c>
      <c r="B160" s="176">
        <v>46025</v>
      </c>
      <c r="C160" s="172" t="s">
        <v>100</v>
      </c>
      <c r="D160" s="172" t="s">
        <v>102</v>
      </c>
      <c r="E160" s="172" t="s">
        <v>52</v>
      </c>
      <c r="F160" s="172" t="s">
        <v>90</v>
      </c>
      <c r="G160" s="172" t="s">
        <v>84</v>
      </c>
      <c r="H160" s="177">
        <v>1</v>
      </c>
      <c r="I160" s="178">
        <v>1621</v>
      </c>
      <c r="J160" s="176">
        <v>46021</v>
      </c>
      <c r="K160" s="172" t="s">
        <v>93</v>
      </c>
      <c r="L160" s="172" t="s">
        <v>94</v>
      </c>
      <c r="M160" s="179">
        <v>0</v>
      </c>
      <c r="N160" s="177"/>
      <c r="O160" s="177"/>
      <c r="P160" s="180">
        <v>5.57</v>
      </c>
    </row>
    <row r="161" spans="1:16" ht="19.5" customHeight="1">
      <c r="A161" s="172" t="s">
        <v>689</v>
      </c>
      <c r="B161" s="176">
        <v>46025</v>
      </c>
      <c r="C161" s="172" t="s">
        <v>100</v>
      </c>
      <c r="D161" s="172" t="s">
        <v>103</v>
      </c>
      <c r="E161" s="172" t="s">
        <v>52</v>
      </c>
      <c r="F161" s="172" t="s">
        <v>90</v>
      </c>
      <c r="G161" s="172" t="s">
        <v>84</v>
      </c>
      <c r="H161" s="177">
        <v>1</v>
      </c>
      <c r="I161" s="178">
        <v>1621</v>
      </c>
      <c r="J161" s="176">
        <v>46021</v>
      </c>
      <c r="K161" s="172" t="s">
        <v>93</v>
      </c>
      <c r="L161" s="172" t="s">
        <v>94</v>
      </c>
      <c r="M161" s="179">
        <v>0</v>
      </c>
      <c r="N161" s="177"/>
      <c r="O161" s="177"/>
      <c r="P161" s="180">
        <v>1058.82</v>
      </c>
    </row>
    <row r="162" spans="1:16" ht="19.5" customHeight="1">
      <c r="A162" s="172" t="s">
        <v>689</v>
      </c>
      <c r="B162" s="176">
        <v>46025</v>
      </c>
      <c r="C162" s="172" t="s">
        <v>104</v>
      </c>
      <c r="D162" s="172" t="s">
        <v>105</v>
      </c>
      <c r="E162" s="172" t="s">
        <v>52</v>
      </c>
      <c r="F162" s="172" t="s">
        <v>90</v>
      </c>
      <c r="G162" s="172" t="s">
        <v>84</v>
      </c>
      <c r="H162" s="177">
        <v>1</v>
      </c>
      <c r="I162" s="178">
        <v>1621</v>
      </c>
      <c r="J162" s="176">
        <v>46021</v>
      </c>
      <c r="K162" s="172" t="s">
        <v>93</v>
      </c>
      <c r="L162" s="172" t="s">
        <v>94</v>
      </c>
      <c r="M162" s="179">
        <v>0.43</v>
      </c>
      <c r="N162" s="177"/>
      <c r="O162" s="177"/>
      <c r="P162" s="180">
        <v>-697.03</v>
      </c>
    </row>
    <row r="163" spans="1:16" ht="19.5" customHeight="1">
      <c r="A163" s="172" t="s">
        <v>689</v>
      </c>
      <c r="B163" s="176">
        <v>46025</v>
      </c>
      <c r="C163" s="172" t="s">
        <v>81</v>
      </c>
      <c r="D163" s="172" t="s">
        <v>95</v>
      </c>
      <c r="E163" s="172" t="s">
        <v>52</v>
      </c>
      <c r="F163" s="172" t="s">
        <v>90</v>
      </c>
      <c r="G163" s="172" t="s">
        <v>84</v>
      </c>
      <c r="H163" s="177">
        <v>1</v>
      </c>
      <c r="I163" s="178">
        <v>1621</v>
      </c>
      <c r="J163" s="176">
        <v>46021</v>
      </c>
      <c r="K163" s="172" t="s">
        <v>93</v>
      </c>
      <c r="L163" s="172" t="s">
        <v>94</v>
      </c>
      <c r="M163" s="179">
        <v>0.43</v>
      </c>
      <c r="N163" s="177"/>
      <c r="O163" s="177"/>
      <c r="P163" s="180">
        <v>-12.08</v>
      </c>
    </row>
    <row r="164" spans="1:16" ht="19.5" customHeight="1">
      <c r="A164" s="172" t="s">
        <v>690</v>
      </c>
      <c r="B164" s="176">
        <v>46025</v>
      </c>
      <c r="C164" s="172" t="s">
        <v>81</v>
      </c>
      <c r="D164" s="172" t="s">
        <v>82</v>
      </c>
      <c r="E164" s="172" t="s">
        <v>42</v>
      </c>
      <c r="F164" s="172" t="s">
        <v>89</v>
      </c>
      <c r="G164" s="172" t="s">
        <v>84</v>
      </c>
      <c r="H164" s="177">
        <v>1</v>
      </c>
      <c r="I164" s="178">
        <v>0</v>
      </c>
      <c r="J164" s="176">
        <v>46025</v>
      </c>
      <c r="K164" s="172" t="s">
        <v>85</v>
      </c>
      <c r="L164" s="172" t="s">
        <v>85</v>
      </c>
      <c r="M164" s="179">
        <v>0</v>
      </c>
      <c r="N164" s="177"/>
      <c r="O164" s="177"/>
      <c r="P164" s="180">
        <v>-10.48</v>
      </c>
    </row>
    <row r="165" spans="1:16" ht="19.5" customHeight="1">
      <c r="A165" s="172" t="s">
        <v>690</v>
      </c>
      <c r="B165" s="176">
        <v>46025</v>
      </c>
      <c r="C165" s="172" t="s">
        <v>81</v>
      </c>
      <c r="D165" s="172" t="s">
        <v>82</v>
      </c>
      <c r="E165" s="172" t="s">
        <v>52</v>
      </c>
      <c r="F165" s="172" t="s">
        <v>90</v>
      </c>
      <c r="G165" s="172" t="s">
        <v>84</v>
      </c>
      <c r="H165" s="177">
        <v>1</v>
      </c>
      <c r="I165" s="178">
        <v>0</v>
      </c>
      <c r="J165" s="176">
        <v>46025</v>
      </c>
      <c r="K165" s="172" t="s">
        <v>85</v>
      </c>
      <c r="L165" s="172" t="s">
        <v>85</v>
      </c>
      <c r="M165" s="179">
        <v>0</v>
      </c>
      <c r="N165" s="177"/>
      <c r="O165" s="177"/>
      <c r="P165" s="180">
        <v>-7.12</v>
      </c>
    </row>
    <row r="166" spans="1:16" ht="19.5" customHeight="1">
      <c r="A166" s="172" t="s">
        <v>691</v>
      </c>
      <c r="B166" s="176">
        <v>46025</v>
      </c>
      <c r="C166" s="172" t="s">
        <v>166</v>
      </c>
      <c r="D166" s="172" t="s">
        <v>167</v>
      </c>
      <c r="E166" s="172" t="s">
        <v>41</v>
      </c>
      <c r="F166" s="172" t="s">
        <v>83</v>
      </c>
      <c r="G166" s="172" t="s">
        <v>84</v>
      </c>
      <c r="H166" s="177">
        <v>1</v>
      </c>
      <c r="I166" s="178">
        <v>-1600</v>
      </c>
      <c r="J166" s="176">
        <v>46012</v>
      </c>
      <c r="K166" s="172" t="s">
        <v>93</v>
      </c>
      <c r="L166" s="172" t="s">
        <v>94</v>
      </c>
      <c r="M166" s="179">
        <v>0</v>
      </c>
      <c r="N166" s="177"/>
      <c r="O166" s="177"/>
      <c r="P166" s="180">
        <v>-608.94000000000005</v>
      </c>
    </row>
    <row r="167" spans="1:16" ht="19.5" customHeight="1">
      <c r="A167" s="172" t="s">
        <v>691</v>
      </c>
      <c r="B167" s="176">
        <v>46025</v>
      </c>
      <c r="C167" s="172" t="s">
        <v>166</v>
      </c>
      <c r="D167" s="172" t="s">
        <v>102</v>
      </c>
      <c r="E167" s="172" t="s">
        <v>41</v>
      </c>
      <c r="F167" s="172" t="s">
        <v>83</v>
      </c>
      <c r="G167" s="172" t="s">
        <v>84</v>
      </c>
      <c r="H167" s="177">
        <v>1</v>
      </c>
      <c r="I167" s="178">
        <v>-1600</v>
      </c>
      <c r="J167" s="176">
        <v>46012</v>
      </c>
      <c r="K167" s="172" t="s">
        <v>93</v>
      </c>
      <c r="L167" s="172" t="s">
        <v>94</v>
      </c>
      <c r="M167" s="179">
        <v>0</v>
      </c>
      <c r="N167" s="177"/>
      <c r="O167" s="177"/>
      <c r="P167" s="180">
        <v>0</v>
      </c>
    </row>
    <row r="168" spans="1:16" ht="19.5" customHeight="1">
      <c r="A168" s="172" t="s">
        <v>691</v>
      </c>
      <c r="B168" s="176">
        <v>46025</v>
      </c>
      <c r="C168" s="172" t="s">
        <v>166</v>
      </c>
      <c r="D168" s="172" t="s">
        <v>103</v>
      </c>
      <c r="E168" s="172" t="s">
        <v>41</v>
      </c>
      <c r="F168" s="172" t="s">
        <v>83</v>
      </c>
      <c r="G168" s="172" t="s">
        <v>84</v>
      </c>
      <c r="H168" s="177">
        <v>1</v>
      </c>
      <c r="I168" s="178">
        <v>-1600</v>
      </c>
      <c r="J168" s="176">
        <v>46012</v>
      </c>
      <c r="K168" s="172" t="s">
        <v>93</v>
      </c>
      <c r="L168" s="172" t="s">
        <v>94</v>
      </c>
      <c r="M168" s="179">
        <v>0</v>
      </c>
      <c r="N168" s="177"/>
      <c r="O168" s="177"/>
      <c r="P168" s="180">
        <v>-991.06</v>
      </c>
    </row>
    <row r="169" spans="1:16" ht="19.5" customHeight="1">
      <c r="A169" s="172" t="s">
        <v>691</v>
      </c>
      <c r="B169" s="176">
        <v>46025</v>
      </c>
      <c r="C169" s="172" t="s">
        <v>104</v>
      </c>
      <c r="D169" s="172" t="s">
        <v>168</v>
      </c>
      <c r="E169" s="172" t="s">
        <v>41</v>
      </c>
      <c r="F169" s="172" t="s">
        <v>83</v>
      </c>
      <c r="G169" s="172" t="s">
        <v>84</v>
      </c>
      <c r="H169" s="177">
        <v>1</v>
      </c>
      <c r="I169" s="178">
        <v>-1600</v>
      </c>
      <c r="J169" s="176">
        <v>46012</v>
      </c>
      <c r="K169" s="172" t="s">
        <v>93</v>
      </c>
      <c r="L169" s="172" t="s">
        <v>94</v>
      </c>
      <c r="M169" s="179">
        <v>0.43</v>
      </c>
      <c r="N169" s="177"/>
      <c r="O169" s="177"/>
      <c r="P169" s="180">
        <v>688</v>
      </c>
    </row>
    <row r="170" spans="1:16" ht="19.5" customHeight="1">
      <c r="A170" s="172" t="s">
        <v>692</v>
      </c>
      <c r="B170" s="176">
        <v>46025</v>
      </c>
      <c r="C170" s="172" t="s">
        <v>92</v>
      </c>
      <c r="D170" s="172" t="s">
        <v>24</v>
      </c>
      <c r="E170" s="172" t="s">
        <v>53</v>
      </c>
      <c r="F170" s="172" t="s">
        <v>120</v>
      </c>
      <c r="G170" s="172" t="s">
        <v>84</v>
      </c>
      <c r="H170" s="177">
        <v>1</v>
      </c>
      <c r="I170" s="178">
        <v>1845</v>
      </c>
      <c r="J170" s="176">
        <v>46020</v>
      </c>
      <c r="K170" s="172" t="s">
        <v>93</v>
      </c>
      <c r="L170" s="172" t="s">
        <v>94</v>
      </c>
      <c r="M170" s="179">
        <v>0.43</v>
      </c>
      <c r="N170" s="177"/>
      <c r="O170" s="177">
        <v>41</v>
      </c>
      <c r="P170" s="180">
        <v>-136.06</v>
      </c>
    </row>
    <row r="171" spans="1:16" ht="19.5" customHeight="1">
      <c r="A171" s="172" t="s">
        <v>692</v>
      </c>
      <c r="B171" s="176">
        <v>46025</v>
      </c>
      <c r="C171" s="172" t="s">
        <v>100</v>
      </c>
      <c r="D171" s="172" t="s">
        <v>101</v>
      </c>
      <c r="E171" s="172" t="s">
        <v>53</v>
      </c>
      <c r="F171" s="172" t="s">
        <v>120</v>
      </c>
      <c r="G171" s="172" t="s">
        <v>84</v>
      </c>
      <c r="H171" s="177">
        <v>1</v>
      </c>
      <c r="I171" s="178">
        <v>1845</v>
      </c>
      <c r="J171" s="176">
        <v>46020</v>
      </c>
      <c r="K171" s="172" t="s">
        <v>93</v>
      </c>
      <c r="L171" s="172" t="s">
        <v>94</v>
      </c>
      <c r="M171" s="179">
        <v>0</v>
      </c>
      <c r="N171" s="177"/>
      <c r="O171" s="177"/>
      <c r="P171" s="180">
        <v>644.76</v>
      </c>
    </row>
    <row r="172" spans="1:16" ht="19.5" customHeight="1">
      <c r="A172" s="172" t="s">
        <v>692</v>
      </c>
      <c r="B172" s="176">
        <v>46025</v>
      </c>
      <c r="C172" s="172" t="s">
        <v>100</v>
      </c>
      <c r="D172" s="172" t="s">
        <v>102</v>
      </c>
      <c r="E172" s="172" t="s">
        <v>53</v>
      </c>
      <c r="F172" s="172" t="s">
        <v>120</v>
      </c>
      <c r="G172" s="172" t="s">
        <v>84</v>
      </c>
      <c r="H172" s="177">
        <v>1</v>
      </c>
      <c r="I172" s="178">
        <v>1845</v>
      </c>
      <c r="J172" s="176">
        <v>46020</v>
      </c>
      <c r="K172" s="172" t="s">
        <v>93</v>
      </c>
      <c r="L172" s="172" t="s">
        <v>94</v>
      </c>
      <c r="M172" s="179">
        <v>0</v>
      </c>
      <c r="N172" s="177"/>
      <c r="O172" s="177"/>
      <c r="P172" s="180">
        <v>6.45</v>
      </c>
    </row>
    <row r="173" spans="1:16" ht="19.5" customHeight="1">
      <c r="A173" s="172" t="s">
        <v>692</v>
      </c>
      <c r="B173" s="176">
        <v>46025</v>
      </c>
      <c r="C173" s="172" t="s">
        <v>100</v>
      </c>
      <c r="D173" s="172" t="s">
        <v>103</v>
      </c>
      <c r="E173" s="172" t="s">
        <v>53</v>
      </c>
      <c r="F173" s="172" t="s">
        <v>120</v>
      </c>
      <c r="G173" s="172" t="s">
        <v>84</v>
      </c>
      <c r="H173" s="177">
        <v>1</v>
      </c>
      <c r="I173" s="178">
        <v>1845</v>
      </c>
      <c r="J173" s="176">
        <v>46020</v>
      </c>
      <c r="K173" s="172" t="s">
        <v>93</v>
      </c>
      <c r="L173" s="172" t="s">
        <v>94</v>
      </c>
      <c r="M173" s="179">
        <v>0</v>
      </c>
      <c r="N173" s="177"/>
      <c r="O173" s="177"/>
      <c r="P173" s="180">
        <v>1193.79</v>
      </c>
    </row>
    <row r="174" spans="1:16" ht="19.5" customHeight="1">
      <c r="A174" s="172" t="s">
        <v>692</v>
      </c>
      <c r="B174" s="176">
        <v>46025</v>
      </c>
      <c r="C174" s="172" t="s">
        <v>104</v>
      </c>
      <c r="D174" s="172" t="s">
        <v>105</v>
      </c>
      <c r="E174" s="172" t="s">
        <v>53</v>
      </c>
      <c r="F174" s="172" t="s">
        <v>120</v>
      </c>
      <c r="G174" s="172" t="s">
        <v>84</v>
      </c>
      <c r="H174" s="177">
        <v>1</v>
      </c>
      <c r="I174" s="178">
        <v>1845</v>
      </c>
      <c r="J174" s="176">
        <v>46020</v>
      </c>
      <c r="K174" s="172" t="s">
        <v>93</v>
      </c>
      <c r="L174" s="172" t="s">
        <v>94</v>
      </c>
      <c r="M174" s="179">
        <v>0.43</v>
      </c>
      <c r="N174" s="177"/>
      <c r="O174" s="177"/>
      <c r="P174" s="180">
        <v>-793.35</v>
      </c>
    </row>
    <row r="175" spans="1:16" ht="19.5" customHeight="1">
      <c r="A175" s="172" t="s">
        <v>692</v>
      </c>
      <c r="B175" s="176">
        <v>46025</v>
      </c>
      <c r="C175" s="172" t="s">
        <v>81</v>
      </c>
      <c r="D175" s="172" t="s">
        <v>95</v>
      </c>
      <c r="E175" s="172" t="s">
        <v>53</v>
      </c>
      <c r="F175" s="172" t="s">
        <v>120</v>
      </c>
      <c r="G175" s="172" t="s">
        <v>84</v>
      </c>
      <c r="H175" s="177">
        <v>1</v>
      </c>
      <c r="I175" s="178">
        <v>1845</v>
      </c>
      <c r="J175" s="176">
        <v>46020</v>
      </c>
      <c r="K175" s="172" t="s">
        <v>93</v>
      </c>
      <c r="L175" s="172" t="s">
        <v>94</v>
      </c>
      <c r="M175" s="179">
        <v>0.43</v>
      </c>
      <c r="N175" s="177"/>
      <c r="O175" s="177"/>
      <c r="P175" s="180">
        <v>-16.190000000000001</v>
      </c>
    </row>
    <row r="176" spans="1:16" ht="19.5" customHeight="1">
      <c r="A176" s="172" t="s">
        <v>691</v>
      </c>
      <c r="B176" s="176">
        <v>46025</v>
      </c>
      <c r="C176" s="172" t="s">
        <v>81</v>
      </c>
      <c r="D176" s="172" t="s">
        <v>82</v>
      </c>
      <c r="E176" s="172" t="s">
        <v>41</v>
      </c>
      <c r="F176" s="172" t="s">
        <v>83</v>
      </c>
      <c r="G176" s="172" t="s">
        <v>84</v>
      </c>
      <c r="H176" s="177">
        <v>1</v>
      </c>
      <c r="I176" s="178">
        <v>0</v>
      </c>
      <c r="J176" s="176">
        <v>46012</v>
      </c>
      <c r="K176" s="172" t="s">
        <v>85</v>
      </c>
      <c r="L176" s="172" t="s">
        <v>85</v>
      </c>
      <c r="M176" s="179">
        <v>0</v>
      </c>
      <c r="N176" s="177"/>
      <c r="O176" s="177"/>
      <c r="P176" s="180">
        <v>2.62</v>
      </c>
    </row>
    <row r="177" spans="1:16" ht="19.5" customHeight="1">
      <c r="A177" s="172" t="s">
        <v>693</v>
      </c>
      <c r="B177" s="176">
        <v>46025</v>
      </c>
      <c r="C177" s="172" t="s">
        <v>92</v>
      </c>
      <c r="D177" s="172" t="s">
        <v>272</v>
      </c>
      <c r="E177" s="172" t="s">
        <v>53</v>
      </c>
      <c r="F177" s="172" t="s">
        <v>120</v>
      </c>
      <c r="G177" s="172" t="s">
        <v>84</v>
      </c>
      <c r="H177" s="177">
        <v>1</v>
      </c>
      <c r="I177" s="178">
        <v>0</v>
      </c>
      <c r="J177" s="176">
        <v>46014</v>
      </c>
      <c r="K177" s="172" t="s">
        <v>93</v>
      </c>
      <c r="L177" s="172" t="s">
        <v>94</v>
      </c>
      <c r="M177" s="179">
        <v>0</v>
      </c>
      <c r="N177" s="177"/>
      <c r="O177" s="177"/>
      <c r="P177" s="180">
        <v>0</v>
      </c>
    </row>
    <row r="178" spans="1:16" ht="19.5" customHeight="1">
      <c r="A178" s="172" t="s">
        <v>693</v>
      </c>
      <c r="B178" s="176">
        <v>46025</v>
      </c>
      <c r="C178" s="172" t="s">
        <v>92</v>
      </c>
      <c r="D178" s="172" t="s">
        <v>97</v>
      </c>
      <c r="E178" s="172" t="s">
        <v>53</v>
      </c>
      <c r="F178" s="172" t="s">
        <v>120</v>
      </c>
      <c r="G178" s="172" t="s">
        <v>84</v>
      </c>
      <c r="H178" s="177">
        <v>1</v>
      </c>
      <c r="I178" s="178">
        <v>0</v>
      </c>
      <c r="J178" s="176">
        <v>46014</v>
      </c>
      <c r="K178" s="172" t="s">
        <v>93</v>
      </c>
      <c r="L178" s="172" t="s">
        <v>94</v>
      </c>
      <c r="M178" s="179">
        <v>0</v>
      </c>
      <c r="N178" s="177"/>
      <c r="O178" s="177"/>
      <c r="P178" s="180">
        <v>-56</v>
      </c>
    </row>
    <row r="179" spans="1:16" ht="19.5" customHeight="1">
      <c r="A179" s="172" t="s">
        <v>693</v>
      </c>
      <c r="B179" s="176">
        <v>46025</v>
      </c>
      <c r="C179" s="172" t="s">
        <v>81</v>
      </c>
      <c r="D179" s="172" t="s">
        <v>98</v>
      </c>
      <c r="E179" s="172" t="s">
        <v>53</v>
      </c>
      <c r="F179" s="172" t="s">
        <v>120</v>
      </c>
      <c r="G179" s="172" t="s">
        <v>84</v>
      </c>
      <c r="H179" s="177">
        <v>1</v>
      </c>
      <c r="I179" s="178">
        <v>0</v>
      </c>
      <c r="J179" s="176">
        <v>46014</v>
      </c>
      <c r="K179" s="172" t="s">
        <v>93</v>
      </c>
      <c r="L179" s="172" t="s">
        <v>94</v>
      </c>
      <c r="M179" s="179">
        <v>0</v>
      </c>
      <c r="N179" s="177"/>
      <c r="O179" s="177"/>
      <c r="P179" s="180">
        <v>-15</v>
      </c>
    </row>
    <row r="180" spans="1:16" ht="19.5" customHeight="1">
      <c r="A180" s="172" t="s">
        <v>694</v>
      </c>
      <c r="B180" s="176">
        <v>46025</v>
      </c>
      <c r="C180" s="172" t="s">
        <v>92</v>
      </c>
      <c r="D180" s="172" t="s">
        <v>24</v>
      </c>
      <c r="E180" s="172" t="s">
        <v>53</v>
      </c>
      <c r="F180" s="172" t="s">
        <v>120</v>
      </c>
      <c r="G180" s="172" t="s">
        <v>84</v>
      </c>
      <c r="H180" s="177">
        <v>1</v>
      </c>
      <c r="I180" s="178">
        <v>1621</v>
      </c>
      <c r="J180" s="176">
        <v>46012</v>
      </c>
      <c r="K180" s="172" t="s">
        <v>93</v>
      </c>
      <c r="L180" s="172" t="s">
        <v>94</v>
      </c>
      <c r="M180" s="179">
        <v>0.43</v>
      </c>
      <c r="N180" s="177"/>
      <c r="O180" s="177">
        <v>43</v>
      </c>
      <c r="P180" s="180">
        <v>-138.22999999999999</v>
      </c>
    </row>
    <row r="181" spans="1:16" ht="19.5" customHeight="1">
      <c r="A181" s="172" t="s">
        <v>694</v>
      </c>
      <c r="B181" s="176">
        <v>46025</v>
      </c>
      <c r="C181" s="172" t="s">
        <v>100</v>
      </c>
      <c r="D181" s="172" t="s">
        <v>101</v>
      </c>
      <c r="E181" s="172" t="s">
        <v>53</v>
      </c>
      <c r="F181" s="172" t="s">
        <v>120</v>
      </c>
      <c r="G181" s="172" t="s">
        <v>84</v>
      </c>
      <c r="H181" s="177">
        <v>1</v>
      </c>
      <c r="I181" s="178">
        <v>1621</v>
      </c>
      <c r="J181" s="176">
        <v>46012</v>
      </c>
      <c r="K181" s="172" t="s">
        <v>93</v>
      </c>
      <c r="L181" s="172" t="s">
        <v>94</v>
      </c>
      <c r="M181" s="179">
        <v>0</v>
      </c>
      <c r="N181" s="177"/>
      <c r="O181" s="177"/>
      <c r="P181" s="180">
        <v>632.38</v>
      </c>
    </row>
    <row r="182" spans="1:16" ht="19.5" customHeight="1">
      <c r="A182" s="172" t="s">
        <v>694</v>
      </c>
      <c r="B182" s="176">
        <v>46025</v>
      </c>
      <c r="C182" s="172" t="s">
        <v>100</v>
      </c>
      <c r="D182" s="172" t="s">
        <v>102</v>
      </c>
      <c r="E182" s="172" t="s">
        <v>53</v>
      </c>
      <c r="F182" s="172" t="s">
        <v>120</v>
      </c>
      <c r="G182" s="172" t="s">
        <v>84</v>
      </c>
      <c r="H182" s="177">
        <v>1</v>
      </c>
      <c r="I182" s="178">
        <v>1621</v>
      </c>
      <c r="J182" s="176">
        <v>46012</v>
      </c>
      <c r="K182" s="172" t="s">
        <v>93</v>
      </c>
      <c r="L182" s="172" t="s">
        <v>94</v>
      </c>
      <c r="M182" s="179">
        <v>0</v>
      </c>
      <c r="N182" s="177"/>
      <c r="O182" s="177"/>
      <c r="P182" s="180">
        <v>0</v>
      </c>
    </row>
    <row r="183" spans="1:16" ht="19.5" customHeight="1">
      <c r="A183" s="172" t="s">
        <v>694</v>
      </c>
      <c r="B183" s="176">
        <v>46025</v>
      </c>
      <c r="C183" s="172" t="s">
        <v>100</v>
      </c>
      <c r="D183" s="172" t="s">
        <v>103</v>
      </c>
      <c r="E183" s="172" t="s">
        <v>53</v>
      </c>
      <c r="F183" s="172" t="s">
        <v>120</v>
      </c>
      <c r="G183" s="172" t="s">
        <v>84</v>
      </c>
      <c r="H183" s="177">
        <v>1</v>
      </c>
      <c r="I183" s="178">
        <v>1621</v>
      </c>
      <c r="J183" s="176">
        <v>46012</v>
      </c>
      <c r="K183" s="172" t="s">
        <v>93</v>
      </c>
      <c r="L183" s="172" t="s">
        <v>94</v>
      </c>
      <c r="M183" s="179">
        <v>0</v>
      </c>
      <c r="N183" s="177"/>
      <c r="O183" s="177"/>
      <c r="P183" s="180">
        <v>988.62</v>
      </c>
    </row>
    <row r="184" spans="1:16" ht="19.5" customHeight="1">
      <c r="A184" s="172" t="s">
        <v>694</v>
      </c>
      <c r="B184" s="176">
        <v>46025</v>
      </c>
      <c r="C184" s="172" t="s">
        <v>104</v>
      </c>
      <c r="D184" s="172" t="s">
        <v>105</v>
      </c>
      <c r="E184" s="172" t="s">
        <v>53</v>
      </c>
      <c r="F184" s="172" t="s">
        <v>120</v>
      </c>
      <c r="G184" s="172" t="s">
        <v>84</v>
      </c>
      <c r="H184" s="177">
        <v>1</v>
      </c>
      <c r="I184" s="178">
        <v>1621</v>
      </c>
      <c r="J184" s="176">
        <v>46012</v>
      </c>
      <c r="K184" s="172" t="s">
        <v>93</v>
      </c>
      <c r="L184" s="172" t="s">
        <v>94</v>
      </c>
      <c r="M184" s="179">
        <v>0.43</v>
      </c>
      <c r="N184" s="177"/>
      <c r="O184" s="177"/>
      <c r="P184" s="180">
        <v>-697.03</v>
      </c>
    </row>
    <row r="185" spans="1:16" ht="19.5" customHeight="1">
      <c r="A185" s="172" t="s">
        <v>694</v>
      </c>
      <c r="B185" s="176">
        <v>46025</v>
      </c>
      <c r="C185" s="172" t="s">
        <v>81</v>
      </c>
      <c r="D185" s="172" t="s">
        <v>95</v>
      </c>
      <c r="E185" s="172" t="s">
        <v>53</v>
      </c>
      <c r="F185" s="172" t="s">
        <v>120</v>
      </c>
      <c r="G185" s="172" t="s">
        <v>84</v>
      </c>
      <c r="H185" s="177">
        <v>1</v>
      </c>
      <c r="I185" s="178">
        <v>1621</v>
      </c>
      <c r="J185" s="176">
        <v>46012</v>
      </c>
      <c r="K185" s="172" t="s">
        <v>93</v>
      </c>
      <c r="L185" s="172" t="s">
        <v>94</v>
      </c>
      <c r="M185" s="179">
        <v>0.43</v>
      </c>
      <c r="N185" s="177"/>
      <c r="O185" s="177"/>
      <c r="P185" s="180">
        <v>-10.98</v>
      </c>
    </row>
    <row r="186" spans="1:16" ht="19.5" customHeight="1">
      <c r="A186" s="172" t="s">
        <v>695</v>
      </c>
      <c r="B186" s="176">
        <v>46025</v>
      </c>
      <c r="C186" s="172" t="s">
        <v>92</v>
      </c>
      <c r="D186" s="172" t="s">
        <v>24</v>
      </c>
      <c r="E186" s="172" t="s">
        <v>53</v>
      </c>
      <c r="F186" s="172" t="s">
        <v>120</v>
      </c>
      <c r="G186" s="172" t="s">
        <v>84</v>
      </c>
      <c r="H186" s="177">
        <v>1</v>
      </c>
      <c r="I186" s="178">
        <v>1845</v>
      </c>
      <c r="J186" s="176">
        <v>46019</v>
      </c>
      <c r="K186" s="172" t="s">
        <v>93</v>
      </c>
      <c r="L186" s="172" t="s">
        <v>94</v>
      </c>
      <c r="M186" s="179">
        <v>0.43</v>
      </c>
      <c r="N186" s="177"/>
      <c r="O186" s="177">
        <v>41</v>
      </c>
      <c r="P186" s="180">
        <v>-136.06</v>
      </c>
    </row>
    <row r="187" spans="1:16" ht="19.5" customHeight="1">
      <c r="A187" s="172" t="s">
        <v>695</v>
      </c>
      <c r="B187" s="176">
        <v>46025</v>
      </c>
      <c r="C187" s="172" t="s">
        <v>100</v>
      </c>
      <c r="D187" s="172" t="s">
        <v>101</v>
      </c>
      <c r="E187" s="172" t="s">
        <v>53</v>
      </c>
      <c r="F187" s="172" t="s">
        <v>120</v>
      </c>
      <c r="G187" s="172" t="s">
        <v>84</v>
      </c>
      <c r="H187" s="177">
        <v>1</v>
      </c>
      <c r="I187" s="178">
        <v>1845</v>
      </c>
      <c r="J187" s="176">
        <v>46019</v>
      </c>
      <c r="K187" s="172" t="s">
        <v>93</v>
      </c>
      <c r="L187" s="172" t="s">
        <v>94</v>
      </c>
      <c r="M187" s="179">
        <v>0</v>
      </c>
      <c r="N187" s="177"/>
      <c r="O187" s="177"/>
      <c r="P187" s="180">
        <v>642.86</v>
      </c>
    </row>
    <row r="188" spans="1:16" ht="19.5" customHeight="1">
      <c r="A188" s="172" t="s">
        <v>695</v>
      </c>
      <c r="B188" s="176">
        <v>46025</v>
      </c>
      <c r="C188" s="172" t="s">
        <v>100</v>
      </c>
      <c r="D188" s="172" t="s">
        <v>102</v>
      </c>
      <c r="E188" s="172" t="s">
        <v>53</v>
      </c>
      <c r="F188" s="172" t="s">
        <v>120</v>
      </c>
      <c r="G188" s="172" t="s">
        <v>84</v>
      </c>
      <c r="H188" s="177">
        <v>1</v>
      </c>
      <c r="I188" s="178">
        <v>1845</v>
      </c>
      <c r="J188" s="176">
        <v>46019</v>
      </c>
      <c r="K188" s="172" t="s">
        <v>93</v>
      </c>
      <c r="L188" s="172" t="s">
        <v>94</v>
      </c>
      <c r="M188" s="179">
        <v>0</v>
      </c>
      <c r="N188" s="177"/>
      <c r="O188" s="177"/>
      <c r="P188" s="180">
        <v>6.43</v>
      </c>
    </row>
    <row r="189" spans="1:16" ht="19.5" customHeight="1">
      <c r="A189" s="172" t="s">
        <v>695</v>
      </c>
      <c r="B189" s="176">
        <v>46025</v>
      </c>
      <c r="C189" s="172" t="s">
        <v>100</v>
      </c>
      <c r="D189" s="172" t="s">
        <v>103</v>
      </c>
      <c r="E189" s="172" t="s">
        <v>53</v>
      </c>
      <c r="F189" s="172" t="s">
        <v>120</v>
      </c>
      <c r="G189" s="172" t="s">
        <v>84</v>
      </c>
      <c r="H189" s="177">
        <v>1</v>
      </c>
      <c r="I189" s="178">
        <v>1845</v>
      </c>
      <c r="J189" s="176">
        <v>46019</v>
      </c>
      <c r="K189" s="172" t="s">
        <v>93</v>
      </c>
      <c r="L189" s="172" t="s">
        <v>94</v>
      </c>
      <c r="M189" s="179">
        <v>0</v>
      </c>
      <c r="N189" s="177"/>
      <c r="O189" s="177"/>
      <c r="P189" s="180">
        <v>1195.71</v>
      </c>
    </row>
    <row r="190" spans="1:16" ht="19.5" customHeight="1">
      <c r="A190" s="172" t="s">
        <v>695</v>
      </c>
      <c r="B190" s="176">
        <v>46025</v>
      </c>
      <c r="C190" s="172" t="s">
        <v>104</v>
      </c>
      <c r="D190" s="172" t="s">
        <v>105</v>
      </c>
      <c r="E190" s="172" t="s">
        <v>53</v>
      </c>
      <c r="F190" s="172" t="s">
        <v>120</v>
      </c>
      <c r="G190" s="172" t="s">
        <v>84</v>
      </c>
      <c r="H190" s="177">
        <v>1</v>
      </c>
      <c r="I190" s="178">
        <v>1845</v>
      </c>
      <c r="J190" s="176">
        <v>46019</v>
      </c>
      <c r="K190" s="172" t="s">
        <v>93</v>
      </c>
      <c r="L190" s="172" t="s">
        <v>94</v>
      </c>
      <c r="M190" s="179">
        <v>0.43</v>
      </c>
      <c r="N190" s="177"/>
      <c r="O190" s="177"/>
      <c r="P190" s="180">
        <v>-793.35</v>
      </c>
    </row>
    <row r="191" spans="1:16" ht="19.5" customHeight="1">
      <c r="A191" s="172" t="s">
        <v>695</v>
      </c>
      <c r="B191" s="176">
        <v>46025</v>
      </c>
      <c r="C191" s="172" t="s">
        <v>81</v>
      </c>
      <c r="D191" s="172" t="s">
        <v>95</v>
      </c>
      <c r="E191" s="172" t="s">
        <v>53</v>
      </c>
      <c r="F191" s="172" t="s">
        <v>120</v>
      </c>
      <c r="G191" s="172" t="s">
        <v>84</v>
      </c>
      <c r="H191" s="177">
        <v>1</v>
      </c>
      <c r="I191" s="178">
        <v>1845</v>
      </c>
      <c r="J191" s="176">
        <v>46019</v>
      </c>
      <c r="K191" s="172" t="s">
        <v>93</v>
      </c>
      <c r="L191" s="172" t="s">
        <v>94</v>
      </c>
      <c r="M191" s="179">
        <v>0.43</v>
      </c>
      <c r="N191" s="177"/>
      <c r="O191" s="177"/>
      <c r="P191" s="180">
        <v>-16.489999999999998</v>
      </c>
    </row>
    <row r="192" spans="1:16" ht="19.5" customHeight="1">
      <c r="A192" s="172" t="s">
        <v>696</v>
      </c>
      <c r="B192" s="176">
        <v>46025</v>
      </c>
      <c r="C192" s="172" t="s">
        <v>92</v>
      </c>
      <c r="D192" s="172" t="s">
        <v>24</v>
      </c>
      <c r="E192" s="172" t="s">
        <v>52</v>
      </c>
      <c r="F192" s="172" t="s">
        <v>90</v>
      </c>
      <c r="G192" s="172" t="s">
        <v>84</v>
      </c>
      <c r="H192" s="177">
        <v>1</v>
      </c>
      <c r="I192" s="178">
        <v>1621</v>
      </c>
      <c r="J192" s="176">
        <v>46021</v>
      </c>
      <c r="K192" s="172" t="s">
        <v>93</v>
      </c>
      <c r="L192" s="172" t="s">
        <v>94</v>
      </c>
      <c r="M192" s="179">
        <v>0.43</v>
      </c>
      <c r="N192" s="177"/>
      <c r="O192" s="177">
        <v>40</v>
      </c>
      <c r="P192" s="180">
        <v>-125.9</v>
      </c>
    </row>
    <row r="193" spans="1:16" ht="19.5" customHeight="1">
      <c r="A193" s="172" t="s">
        <v>696</v>
      </c>
      <c r="B193" s="176">
        <v>46025</v>
      </c>
      <c r="C193" s="172" t="s">
        <v>100</v>
      </c>
      <c r="D193" s="172" t="s">
        <v>101</v>
      </c>
      <c r="E193" s="172" t="s">
        <v>52</v>
      </c>
      <c r="F193" s="172" t="s">
        <v>90</v>
      </c>
      <c r="G193" s="172" t="s">
        <v>84</v>
      </c>
      <c r="H193" s="177">
        <v>1</v>
      </c>
      <c r="I193" s="178">
        <v>1621</v>
      </c>
      <c r="J193" s="176">
        <v>46021</v>
      </c>
      <c r="K193" s="172" t="s">
        <v>93</v>
      </c>
      <c r="L193" s="172" t="s">
        <v>94</v>
      </c>
      <c r="M193" s="179">
        <v>0</v>
      </c>
      <c r="N193" s="177"/>
      <c r="O193" s="177"/>
      <c r="P193" s="180">
        <v>617.14</v>
      </c>
    </row>
    <row r="194" spans="1:16" ht="19.5" customHeight="1">
      <c r="A194" s="172" t="s">
        <v>696</v>
      </c>
      <c r="B194" s="176">
        <v>46025</v>
      </c>
      <c r="C194" s="172" t="s">
        <v>100</v>
      </c>
      <c r="D194" s="172" t="s">
        <v>102</v>
      </c>
      <c r="E194" s="172" t="s">
        <v>52</v>
      </c>
      <c r="F194" s="172" t="s">
        <v>90</v>
      </c>
      <c r="G194" s="172" t="s">
        <v>84</v>
      </c>
      <c r="H194" s="177">
        <v>1</v>
      </c>
      <c r="I194" s="178">
        <v>1621</v>
      </c>
      <c r="J194" s="176">
        <v>46021</v>
      </c>
      <c r="K194" s="172" t="s">
        <v>93</v>
      </c>
      <c r="L194" s="172" t="s">
        <v>94</v>
      </c>
      <c r="M194" s="179">
        <v>0</v>
      </c>
      <c r="N194" s="177"/>
      <c r="O194" s="177"/>
      <c r="P194" s="180">
        <v>0</v>
      </c>
    </row>
    <row r="195" spans="1:16" ht="19.5" customHeight="1">
      <c r="A195" s="172" t="s">
        <v>696</v>
      </c>
      <c r="B195" s="176">
        <v>46025</v>
      </c>
      <c r="C195" s="172" t="s">
        <v>100</v>
      </c>
      <c r="D195" s="172" t="s">
        <v>103</v>
      </c>
      <c r="E195" s="172" t="s">
        <v>52</v>
      </c>
      <c r="F195" s="172" t="s">
        <v>90</v>
      </c>
      <c r="G195" s="172" t="s">
        <v>84</v>
      </c>
      <c r="H195" s="177">
        <v>1</v>
      </c>
      <c r="I195" s="178">
        <v>1621</v>
      </c>
      <c r="J195" s="176">
        <v>46021</v>
      </c>
      <c r="K195" s="172" t="s">
        <v>93</v>
      </c>
      <c r="L195" s="172" t="s">
        <v>94</v>
      </c>
      <c r="M195" s="179">
        <v>0</v>
      </c>
      <c r="N195" s="177"/>
      <c r="O195" s="177"/>
      <c r="P195" s="180">
        <v>1003.86</v>
      </c>
    </row>
    <row r="196" spans="1:16" ht="19.5" customHeight="1">
      <c r="A196" s="172" t="s">
        <v>696</v>
      </c>
      <c r="B196" s="176">
        <v>46025</v>
      </c>
      <c r="C196" s="172" t="s">
        <v>104</v>
      </c>
      <c r="D196" s="172" t="s">
        <v>105</v>
      </c>
      <c r="E196" s="172" t="s">
        <v>52</v>
      </c>
      <c r="F196" s="172" t="s">
        <v>90</v>
      </c>
      <c r="G196" s="172" t="s">
        <v>84</v>
      </c>
      <c r="H196" s="177">
        <v>1</v>
      </c>
      <c r="I196" s="178">
        <v>1621</v>
      </c>
      <c r="J196" s="176">
        <v>46021</v>
      </c>
      <c r="K196" s="172" t="s">
        <v>93</v>
      </c>
      <c r="L196" s="172" t="s">
        <v>94</v>
      </c>
      <c r="M196" s="179">
        <v>0.43</v>
      </c>
      <c r="N196" s="177"/>
      <c r="O196" s="177"/>
      <c r="P196" s="180">
        <v>-697.03</v>
      </c>
    </row>
    <row r="197" spans="1:16" ht="19.5" customHeight="1">
      <c r="A197" s="172" t="s">
        <v>696</v>
      </c>
      <c r="B197" s="176">
        <v>46025</v>
      </c>
      <c r="C197" s="172" t="s">
        <v>81</v>
      </c>
      <c r="D197" s="172" t="s">
        <v>95</v>
      </c>
      <c r="E197" s="172" t="s">
        <v>52</v>
      </c>
      <c r="F197" s="172" t="s">
        <v>90</v>
      </c>
      <c r="G197" s="172" t="s">
        <v>84</v>
      </c>
      <c r="H197" s="177">
        <v>1</v>
      </c>
      <c r="I197" s="178">
        <v>1621</v>
      </c>
      <c r="J197" s="176">
        <v>46021</v>
      </c>
      <c r="K197" s="172" t="s">
        <v>93</v>
      </c>
      <c r="L197" s="172" t="s">
        <v>94</v>
      </c>
      <c r="M197" s="179">
        <v>0.43</v>
      </c>
      <c r="N197" s="177"/>
      <c r="O197" s="177"/>
      <c r="P197" s="180">
        <v>-8.52</v>
      </c>
    </row>
    <row r="198" spans="1:16" ht="19.5" customHeight="1">
      <c r="A198" s="172" t="s">
        <v>697</v>
      </c>
      <c r="B198" s="176">
        <v>46025</v>
      </c>
      <c r="C198" s="172" t="s">
        <v>81</v>
      </c>
      <c r="D198" s="172" t="s">
        <v>82</v>
      </c>
      <c r="E198" s="172" t="s">
        <v>53</v>
      </c>
      <c r="F198" s="172" t="s">
        <v>120</v>
      </c>
      <c r="G198" s="172" t="s">
        <v>84</v>
      </c>
      <c r="H198" s="177">
        <v>1</v>
      </c>
      <c r="I198" s="178">
        <v>0</v>
      </c>
      <c r="J198" s="176">
        <v>46025</v>
      </c>
      <c r="K198" s="172" t="s">
        <v>85</v>
      </c>
      <c r="L198" s="172" t="s">
        <v>85</v>
      </c>
      <c r="M198" s="179">
        <v>0</v>
      </c>
      <c r="N198" s="177"/>
      <c r="O198" s="177"/>
      <c r="P198" s="180">
        <v>-12.21</v>
      </c>
    </row>
    <row r="199" spans="1:16" ht="19.5" customHeight="1">
      <c r="A199" s="172" t="s">
        <v>698</v>
      </c>
      <c r="B199" s="176">
        <v>46025</v>
      </c>
      <c r="C199" s="172" t="s">
        <v>92</v>
      </c>
      <c r="D199" s="172" t="s">
        <v>24</v>
      </c>
      <c r="E199" s="172" t="s">
        <v>53</v>
      </c>
      <c r="F199" s="172" t="s">
        <v>120</v>
      </c>
      <c r="G199" s="172" t="s">
        <v>84</v>
      </c>
      <c r="H199" s="177">
        <v>1</v>
      </c>
      <c r="I199" s="178">
        <v>0</v>
      </c>
      <c r="J199" s="176">
        <v>46016</v>
      </c>
      <c r="K199" s="172" t="s">
        <v>93</v>
      </c>
      <c r="L199" s="172" t="s">
        <v>94</v>
      </c>
      <c r="M199" s="179">
        <v>0</v>
      </c>
      <c r="N199" s="177"/>
      <c r="O199" s="177">
        <v>43</v>
      </c>
      <c r="P199" s="180">
        <v>-56</v>
      </c>
    </row>
    <row r="200" spans="1:16" ht="19.5" customHeight="1">
      <c r="A200" s="172" t="s">
        <v>698</v>
      </c>
      <c r="B200" s="176">
        <v>46025</v>
      </c>
      <c r="C200" s="172" t="s">
        <v>92</v>
      </c>
      <c r="D200" s="172" t="s">
        <v>96</v>
      </c>
      <c r="E200" s="172" t="s">
        <v>53</v>
      </c>
      <c r="F200" s="172" t="s">
        <v>120</v>
      </c>
      <c r="G200" s="172" t="s">
        <v>84</v>
      </c>
      <c r="H200" s="177">
        <v>1</v>
      </c>
      <c r="I200" s="178">
        <v>0</v>
      </c>
      <c r="J200" s="176">
        <v>46016</v>
      </c>
      <c r="K200" s="172" t="s">
        <v>93</v>
      </c>
      <c r="L200" s="172" t="s">
        <v>94</v>
      </c>
      <c r="M200" s="179">
        <v>0</v>
      </c>
      <c r="N200" s="177"/>
      <c r="O200" s="177"/>
      <c r="P200" s="180">
        <v>0</v>
      </c>
    </row>
    <row r="201" spans="1:16" ht="19.5" customHeight="1">
      <c r="A201" s="172" t="s">
        <v>698</v>
      </c>
      <c r="B201" s="176">
        <v>46025</v>
      </c>
      <c r="C201" s="172" t="s">
        <v>92</v>
      </c>
      <c r="D201" s="172" t="s">
        <v>97</v>
      </c>
      <c r="E201" s="172" t="s">
        <v>53</v>
      </c>
      <c r="F201" s="172" t="s">
        <v>120</v>
      </c>
      <c r="G201" s="172" t="s">
        <v>84</v>
      </c>
      <c r="H201" s="177">
        <v>1</v>
      </c>
      <c r="I201" s="178">
        <v>0</v>
      </c>
      <c r="J201" s="176">
        <v>46016</v>
      </c>
      <c r="K201" s="172" t="s">
        <v>93</v>
      </c>
      <c r="L201" s="172" t="s">
        <v>94</v>
      </c>
      <c r="M201" s="179">
        <v>0</v>
      </c>
      <c r="N201" s="177"/>
      <c r="O201" s="177"/>
      <c r="P201" s="180">
        <v>-56</v>
      </c>
    </row>
    <row r="202" spans="1:16" ht="19.5" customHeight="1">
      <c r="A202" s="172" t="s">
        <v>699</v>
      </c>
      <c r="B202" s="176">
        <v>46025</v>
      </c>
      <c r="C202" s="172" t="s">
        <v>81</v>
      </c>
      <c r="D202" s="172" t="s">
        <v>82</v>
      </c>
      <c r="E202" s="172" t="s">
        <v>52</v>
      </c>
      <c r="F202" s="172" t="s">
        <v>90</v>
      </c>
      <c r="G202" s="172" t="s">
        <v>84</v>
      </c>
      <c r="H202" s="177">
        <v>2</v>
      </c>
      <c r="I202" s="178">
        <v>0</v>
      </c>
      <c r="J202" s="176">
        <v>46025</v>
      </c>
      <c r="K202" s="172" t="s">
        <v>85</v>
      </c>
      <c r="L202" s="172" t="s">
        <v>85</v>
      </c>
      <c r="M202" s="179">
        <v>0</v>
      </c>
      <c r="N202" s="177"/>
      <c r="O202" s="177"/>
      <c r="P202" s="180">
        <v>-21.16</v>
      </c>
    </row>
    <row r="203" spans="1:16" ht="19.5" customHeight="1">
      <c r="A203" s="172" t="s">
        <v>700</v>
      </c>
      <c r="B203" s="176">
        <v>46025</v>
      </c>
      <c r="C203" s="172" t="s">
        <v>92</v>
      </c>
      <c r="D203" s="172" t="s">
        <v>24</v>
      </c>
      <c r="E203" s="172" t="s">
        <v>53</v>
      </c>
      <c r="F203" s="172" t="s">
        <v>120</v>
      </c>
      <c r="G203" s="172" t="s">
        <v>84</v>
      </c>
      <c r="H203" s="177">
        <v>1</v>
      </c>
      <c r="I203" s="178">
        <v>1845</v>
      </c>
      <c r="J203" s="176">
        <v>46023</v>
      </c>
      <c r="K203" s="172" t="s">
        <v>93</v>
      </c>
      <c r="L203" s="172" t="s">
        <v>94</v>
      </c>
      <c r="M203" s="179">
        <v>0.43</v>
      </c>
      <c r="N203" s="177"/>
      <c r="O203" s="177">
        <v>43</v>
      </c>
      <c r="P203" s="180">
        <v>-144.94999999999999</v>
      </c>
    </row>
    <row r="204" spans="1:16" ht="19.5" customHeight="1">
      <c r="A204" s="172" t="s">
        <v>700</v>
      </c>
      <c r="B204" s="176">
        <v>46025</v>
      </c>
      <c r="C204" s="172" t="s">
        <v>100</v>
      </c>
      <c r="D204" s="172" t="s">
        <v>101</v>
      </c>
      <c r="E204" s="172" t="s">
        <v>53</v>
      </c>
      <c r="F204" s="172" t="s">
        <v>120</v>
      </c>
      <c r="G204" s="172" t="s">
        <v>84</v>
      </c>
      <c r="H204" s="177">
        <v>1</v>
      </c>
      <c r="I204" s="178">
        <v>1845</v>
      </c>
      <c r="J204" s="176">
        <v>46023</v>
      </c>
      <c r="K204" s="172" t="s">
        <v>93</v>
      </c>
      <c r="L204" s="172" t="s">
        <v>94</v>
      </c>
      <c r="M204" s="179">
        <v>0</v>
      </c>
      <c r="N204" s="177"/>
      <c r="O204" s="177"/>
      <c r="P204" s="180">
        <v>642.86</v>
      </c>
    </row>
    <row r="205" spans="1:16" ht="19.5" customHeight="1">
      <c r="A205" s="172" t="s">
        <v>700</v>
      </c>
      <c r="B205" s="176">
        <v>46025</v>
      </c>
      <c r="C205" s="172" t="s">
        <v>100</v>
      </c>
      <c r="D205" s="172" t="s">
        <v>102</v>
      </c>
      <c r="E205" s="172" t="s">
        <v>53</v>
      </c>
      <c r="F205" s="172" t="s">
        <v>120</v>
      </c>
      <c r="G205" s="172" t="s">
        <v>84</v>
      </c>
      <c r="H205" s="177">
        <v>1</v>
      </c>
      <c r="I205" s="178">
        <v>1845</v>
      </c>
      <c r="J205" s="176">
        <v>46023</v>
      </c>
      <c r="K205" s="172" t="s">
        <v>93</v>
      </c>
      <c r="L205" s="172" t="s">
        <v>94</v>
      </c>
      <c r="M205" s="179">
        <v>0</v>
      </c>
      <c r="N205" s="177"/>
      <c r="O205" s="177"/>
      <c r="P205" s="180">
        <v>6.43</v>
      </c>
    </row>
    <row r="206" spans="1:16" ht="19.5" customHeight="1">
      <c r="A206" s="172" t="s">
        <v>700</v>
      </c>
      <c r="B206" s="176">
        <v>46025</v>
      </c>
      <c r="C206" s="172" t="s">
        <v>100</v>
      </c>
      <c r="D206" s="172" t="s">
        <v>103</v>
      </c>
      <c r="E206" s="172" t="s">
        <v>53</v>
      </c>
      <c r="F206" s="172" t="s">
        <v>120</v>
      </c>
      <c r="G206" s="172" t="s">
        <v>84</v>
      </c>
      <c r="H206" s="177">
        <v>1</v>
      </c>
      <c r="I206" s="178">
        <v>1845</v>
      </c>
      <c r="J206" s="176">
        <v>46023</v>
      </c>
      <c r="K206" s="172" t="s">
        <v>93</v>
      </c>
      <c r="L206" s="172" t="s">
        <v>94</v>
      </c>
      <c r="M206" s="179">
        <v>0</v>
      </c>
      <c r="N206" s="177"/>
      <c r="O206" s="177"/>
      <c r="P206" s="180">
        <v>1195.71</v>
      </c>
    </row>
    <row r="207" spans="1:16" ht="19.5" customHeight="1">
      <c r="A207" s="172" t="s">
        <v>700</v>
      </c>
      <c r="B207" s="176">
        <v>46025</v>
      </c>
      <c r="C207" s="172" t="s">
        <v>104</v>
      </c>
      <c r="D207" s="172" t="s">
        <v>105</v>
      </c>
      <c r="E207" s="172" t="s">
        <v>53</v>
      </c>
      <c r="F207" s="172" t="s">
        <v>120</v>
      </c>
      <c r="G207" s="172" t="s">
        <v>84</v>
      </c>
      <c r="H207" s="177">
        <v>1</v>
      </c>
      <c r="I207" s="178">
        <v>1845</v>
      </c>
      <c r="J207" s="176">
        <v>46023</v>
      </c>
      <c r="K207" s="172" t="s">
        <v>93</v>
      </c>
      <c r="L207" s="172" t="s">
        <v>94</v>
      </c>
      <c r="M207" s="179">
        <v>0.43</v>
      </c>
      <c r="N207" s="177"/>
      <c r="O207" s="177"/>
      <c r="P207" s="180">
        <v>-793.35</v>
      </c>
    </row>
    <row r="208" spans="1:16" ht="19.5" customHeight="1">
      <c r="A208" s="172" t="s">
        <v>700</v>
      </c>
      <c r="B208" s="176">
        <v>46025</v>
      </c>
      <c r="C208" s="172" t="s">
        <v>81</v>
      </c>
      <c r="D208" s="172" t="s">
        <v>95</v>
      </c>
      <c r="E208" s="172" t="s">
        <v>53</v>
      </c>
      <c r="F208" s="172" t="s">
        <v>120</v>
      </c>
      <c r="G208" s="172" t="s">
        <v>84</v>
      </c>
      <c r="H208" s="177">
        <v>1</v>
      </c>
      <c r="I208" s="178">
        <v>1845</v>
      </c>
      <c r="J208" s="176">
        <v>46023</v>
      </c>
      <c r="K208" s="172" t="s">
        <v>93</v>
      </c>
      <c r="L208" s="172" t="s">
        <v>94</v>
      </c>
      <c r="M208" s="179">
        <v>0.43</v>
      </c>
      <c r="N208" s="177"/>
      <c r="O208" s="177"/>
      <c r="P208" s="180">
        <v>-12.42</v>
      </c>
    </row>
    <row r="209" spans="1:16" ht="19.5" customHeight="1">
      <c r="A209" s="172" t="s">
        <v>701</v>
      </c>
      <c r="B209" s="176">
        <v>46025</v>
      </c>
      <c r="C209" s="172" t="s">
        <v>92</v>
      </c>
      <c r="D209" s="172" t="s">
        <v>24</v>
      </c>
      <c r="E209" s="172" t="s">
        <v>43</v>
      </c>
      <c r="F209" s="172" t="s">
        <v>125</v>
      </c>
      <c r="G209" s="172" t="s">
        <v>84</v>
      </c>
      <c r="H209" s="177">
        <v>1</v>
      </c>
      <c r="I209" s="178">
        <v>1202</v>
      </c>
      <c r="J209" s="176">
        <v>46022</v>
      </c>
      <c r="K209" s="172" t="s">
        <v>93</v>
      </c>
      <c r="L209" s="172" t="s">
        <v>94</v>
      </c>
      <c r="M209" s="179">
        <v>0.43</v>
      </c>
      <c r="N209" s="177"/>
      <c r="O209" s="177">
        <v>41</v>
      </c>
      <c r="P209" s="180">
        <v>-104.48</v>
      </c>
    </row>
    <row r="210" spans="1:16" ht="19.5" customHeight="1">
      <c r="A210" s="172" t="s">
        <v>701</v>
      </c>
      <c r="B210" s="176">
        <v>46025</v>
      </c>
      <c r="C210" s="172" t="s">
        <v>100</v>
      </c>
      <c r="D210" s="172" t="s">
        <v>101</v>
      </c>
      <c r="E210" s="172" t="s">
        <v>43</v>
      </c>
      <c r="F210" s="172" t="s">
        <v>125</v>
      </c>
      <c r="G210" s="172" t="s">
        <v>84</v>
      </c>
      <c r="H210" s="177">
        <v>1</v>
      </c>
      <c r="I210" s="178">
        <v>1202</v>
      </c>
      <c r="J210" s="176">
        <v>46022</v>
      </c>
      <c r="K210" s="172" t="s">
        <v>93</v>
      </c>
      <c r="L210" s="172" t="s">
        <v>94</v>
      </c>
      <c r="M210" s="179">
        <v>0</v>
      </c>
      <c r="N210" s="177"/>
      <c r="O210" s="177"/>
      <c r="P210" s="180">
        <v>631.42999999999995</v>
      </c>
    </row>
    <row r="211" spans="1:16" ht="19.5" customHeight="1">
      <c r="A211" s="172" t="s">
        <v>701</v>
      </c>
      <c r="B211" s="176">
        <v>46025</v>
      </c>
      <c r="C211" s="172" t="s">
        <v>100</v>
      </c>
      <c r="D211" s="172" t="s">
        <v>102</v>
      </c>
      <c r="E211" s="172" t="s">
        <v>43</v>
      </c>
      <c r="F211" s="172" t="s">
        <v>125</v>
      </c>
      <c r="G211" s="172" t="s">
        <v>84</v>
      </c>
      <c r="H211" s="177">
        <v>1</v>
      </c>
      <c r="I211" s="178">
        <v>1202</v>
      </c>
      <c r="J211" s="176">
        <v>46022</v>
      </c>
      <c r="K211" s="172" t="s">
        <v>93</v>
      </c>
      <c r="L211" s="172" t="s">
        <v>94</v>
      </c>
      <c r="M211" s="179">
        <v>0</v>
      </c>
      <c r="N211" s="177"/>
      <c r="O211" s="177"/>
      <c r="P211" s="180">
        <v>6.31</v>
      </c>
    </row>
    <row r="212" spans="1:16" ht="19.5" customHeight="1">
      <c r="A212" s="172" t="s">
        <v>701</v>
      </c>
      <c r="B212" s="176">
        <v>46025</v>
      </c>
      <c r="C212" s="172" t="s">
        <v>100</v>
      </c>
      <c r="D212" s="172" t="s">
        <v>103</v>
      </c>
      <c r="E212" s="172" t="s">
        <v>43</v>
      </c>
      <c r="F212" s="172" t="s">
        <v>125</v>
      </c>
      <c r="G212" s="172" t="s">
        <v>84</v>
      </c>
      <c r="H212" s="177">
        <v>1</v>
      </c>
      <c r="I212" s="178">
        <v>1202</v>
      </c>
      <c r="J212" s="176">
        <v>46022</v>
      </c>
      <c r="K212" s="172" t="s">
        <v>93</v>
      </c>
      <c r="L212" s="172" t="s">
        <v>94</v>
      </c>
      <c r="M212" s="179">
        <v>0</v>
      </c>
      <c r="N212" s="177"/>
      <c r="O212" s="177"/>
      <c r="P212" s="180">
        <v>564.26</v>
      </c>
    </row>
    <row r="213" spans="1:16" ht="19.5" customHeight="1">
      <c r="A213" s="172" t="s">
        <v>701</v>
      </c>
      <c r="B213" s="176">
        <v>46025</v>
      </c>
      <c r="C213" s="172" t="s">
        <v>104</v>
      </c>
      <c r="D213" s="172" t="s">
        <v>105</v>
      </c>
      <c r="E213" s="172" t="s">
        <v>43</v>
      </c>
      <c r="F213" s="172" t="s">
        <v>125</v>
      </c>
      <c r="G213" s="172" t="s">
        <v>84</v>
      </c>
      <c r="H213" s="177">
        <v>1</v>
      </c>
      <c r="I213" s="178">
        <v>1202</v>
      </c>
      <c r="J213" s="176">
        <v>46022</v>
      </c>
      <c r="K213" s="172" t="s">
        <v>93</v>
      </c>
      <c r="L213" s="172" t="s">
        <v>94</v>
      </c>
      <c r="M213" s="179">
        <v>0.43</v>
      </c>
      <c r="N213" s="177"/>
      <c r="O213" s="177"/>
      <c r="P213" s="180">
        <v>-516.86</v>
      </c>
    </row>
    <row r="214" spans="1:16" ht="19.5" customHeight="1">
      <c r="A214" s="172" t="s">
        <v>701</v>
      </c>
      <c r="B214" s="176">
        <v>46025</v>
      </c>
      <c r="C214" s="172" t="s">
        <v>81</v>
      </c>
      <c r="D214" s="172" t="s">
        <v>95</v>
      </c>
      <c r="E214" s="172" t="s">
        <v>43</v>
      </c>
      <c r="F214" s="172" t="s">
        <v>125</v>
      </c>
      <c r="G214" s="172" t="s">
        <v>84</v>
      </c>
      <c r="H214" s="177">
        <v>1</v>
      </c>
      <c r="I214" s="178">
        <v>1202</v>
      </c>
      <c r="J214" s="176">
        <v>46022</v>
      </c>
      <c r="K214" s="172" t="s">
        <v>93</v>
      </c>
      <c r="L214" s="172" t="s">
        <v>94</v>
      </c>
      <c r="M214" s="179">
        <v>0.43</v>
      </c>
      <c r="N214" s="177"/>
      <c r="O214" s="177"/>
      <c r="P214" s="180">
        <v>-8.56</v>
      </c>
    </row>
    <row r="215" spans="1:16" ht="19.5" customHeight="1">
      <c r="A215" s="172" t="s">
        <v>702</v>
      </c>
      <c r="B215" s="176">
        <v>46025</v>
      </c>
      <c r="C215" s="172" t="s">
        <v>92</v>
      </c>
      <c r="D215" s="172" t="s">
        <v>24</v>
      </c>
      <c r="E215" s="172" t="s">
        <v>52</v>
      </c>
      <c r="F215" s="172" t="s">
        <v>90</v>
      </c>
      <c r="G215" s="172" t="s">
        <v>84</v>
      </c>
      <c r="H215" s="177">
        <v>1</v>
      </c>
      <c r="I215" s="178">
        <v>1621</v>
      </c>
      <c r="J215" s="176">
        <v>46024</v>
      </c>
      <c r="K215" s="172" t="s">
        <v>93</v>
      </c>
      <c r="L215" s="172" t="s">
        <v>94</v>
      </c>
      <c r="M215" s="179">
        <v>0.43</v>
      </c>
      <c r="N215" s="177"/>
      <c r="O215" s="177">
        <v>42</v>
      </c>
      <c r="P215" s="180">
        <v>-134.12</v>
      </c>
    </row>
    <row r="216" spans="1:16" ht="19.5" customHeight="1">
      <c r="A216" s="172" t="s">
        <v>702</v>
      </c>
      <c r="B216" s="176">
        <v>46025</v>
      </c>
      <c r="C216" s="172" t="s">
        <v>100</v>
      </c>
      <c r="D216" s="172" t="s">
        <v>101</v>
      </c>
      <c r="E216" s="172" t="s">
        <v>52</v>
      </c>
      <c r="F216" s="172" t="s">
        <v>90</v>
      </c>
      <c r="G216" s="172" t="s">
        <v>84</v>
      </c>
      <c r="H216" s="177">
        <v>1</v>
      </c>
      <c r="I216" s="178">
        <v>1621</v>
      </c>
      <c r="J216" s="176">
        <v>46024</v>
      </c>
      <c r="K216" s="172" t="s">
        <v>93</v>
      </c>
      <c r="L216" s="172" t="s">
        <v>94</v>
      </c>
      <c r="M216" s="179">
        <v>0</v>
      </c>
      <c r="N216" s="177"/>
      <c r="O216" s="177"/>
      <c r="P216" s="180">
        <v>557.14</v>
      </c>
    </row>
    <row r="217" spans="1:16" ht="19.5" customHeight="1">
      <c r="A217" s="172" t="s">
        <v>702</v>
      </c>
      <c r="B217" s="176">
        <v>46025</v>
      </c>
      <c r="C217" s="172" t="s">
        <v>100</v>
      </c>
      <c r="D217" s="172" t="s">
        <v>102</v>
      </c>
      <c r="E217" s="172" t="s">
        <v>52</v>
      </c>
      <c r="F217" s="172" t="s">
        <v>90</v>
      </c>
      <c r="G217" s="172" t="s">
        <v>84</v>
      </c>
      <c r="H217" s="177">
        <v>1</v>
      </c>
      <c r="I217" s="178">
        <v>1621</v>
      </c>
      <c r="J217" s="176">
        <v>46024</v>
      </c>
      <c r="K217" s="172" t="s">
        <v>93</v>
      </c>
      <c r="L217" s="172" t="s">
        <v>94</v>
      </c>
      <c r="M217" s="179">
        <v>0</v>
      </c>
      <c r="N217" s="177"/>
      <c r="O217" s="177"/>
      <c r="P217" s="180">
        <v>5.57</v>
      </c>
    </row>
    <row r="218" spans="1:16" ht="19.5" customHeight="1">
      <c r="A218" s="172" t="s">
        <v>702</v>
      </c>
      <c r="B218" s="176">
        <v>46025</v>
      </c>
      <c r="C218" s="172" t="s">
        <v>100</v>
      </c>
      <c r="D218" s="172" t="s">
        <v>103</v>
      </c>
      <c r="E218" s="172" t="s">
        <v>52</v>
      </c>
      <c r="F218" s="172" t="s">
        <v>90</v>
      </c>
      <c r="G218" s="172" t="s">
        <v>84</v>
      </c>
      <c r="H218" s="177">
        <v>1</v>
      </c>
      <c r="I218" s="178">
        <v>1621</v>
      </c>
      <c r="J218" s="176">
        <v>46024</v>
      </c>
      <c r="K218" s="172" t="s">
        <v>93</v>
      </c>
      <c r="L218" s="172" t="s">
        <v>94</v>
      </c>
      <c r="M218" s="179">
        <v>0</v>
      </c>
      <c r="N218" s="177"/>
      <c r="O218" s="177"/>
      <c r="P218" s="180">
        <v>1058.29</v>
      </c>
    </row>
    <row r="219" spans="1:16" ht="19.5" customHeight="1">
      <c r="A219" s="172" t="s">
        <v>702</v>
      </c>
      <c r="B219" s="176">
        <v>46025</v>
      </c>
      <c r="C219" s="172" t="s">
        <v>104</v>
      </c>
      <c r="D219" s="172" t="s">
        <v>105</v>
      </c>
      <c r="E219" s="172" t="s">
        <v>52</v>
      </c>
      <c r="F219" s="172" t="s">
        <v>90</v>
      </c>
      <c r="G219" s="172" t="s">
        <v>84</v>
      </c>
      <c r="H219" s="177">
        <v>1</v>
      </c>
      <c r="I219" s="178">
        <v>1621</v>
      </c>
      <c r="J219" s="176">
        <v>46024</v>
      </c>
      <c r="K219" s="172" t="s">
        <v>93</v>
      </c>
      <c r="L219" s="172" t="s">
        <v>94</v>
      </c>
      <c r="M219" s="179">
        <v>0.43</v>
      </c>
      <c r="N219" s="177"/>
      <c r="O219" s="177"/>
      <c r="P219" s="180">
        <v>-697.03</v>
      </c>
    </row>
    <row r="220" spans="1:16" ht="19.5" customHeight="1">
      <c r="A220" s="172" t="s">
        <v>702</v>
      </c>
      <c r="B220" s="176">
        <v>46025</v>
      </c>
      <c r="C220" s="172" t="s">
        <v>81</v>
      </c>
      <c r="D220" s="172" t="s">
        <v>95</v>
      </c>
      <c r="E220" s="172" t="s">
        <v>52</v>
      </c>
      <c r="F220" s="172" t="s">
        <v>90</v>
      </c>
      <c r="G220" s="172" t="s">
        <v>84</v>
      </c>
      <c r="H220" s="177">
        <v>1</v>
      </c>
      <c r="I220" s="178">
        <v>1621</v>
      </c>
      <c r="J220" s="176">
        <v>46024</v>
      </c>
      <c r="K220" s="172" t="s">
        <v>93</v>
      </c>
      <c r="L220" s="172" t="s">
        <v>94</v>
      </c>
      <c r="M220" s="179">
        <v>0.43</v>
      </c>
      <c r="N220" s="177"/>
      <c r="O220" s="177"/>
      <c r="P220" s="180">
        <v>-8.0500000000000007</v>
      </c>
    </row>
    <row r="221" spans="1:16" ht="19.5" customHeight="1">
      <c r="A221" s="172" t="s">
        <v>703</v>
      </c>
      <c r="B221" s="176">
        <v>46025</v>
      </c>
      <c r="C221" s="172" t="s">
        <v>92</v>
      </c>
      <c r="D221" s="172" t="s">
        <v>24</v>
      </c>
      <c r="E221" s="172" t="s">
        <v>53</v>
      </c>
      <c r="F221" s="172" t="s">
        <v>120</v>
      </c>
      <c r="G221" s="172" t="s">
        <v>84</v>
      </c>
      <c r="H221" s="177">
        <v>1</v>
      </c>
      <c r="I221" s="178">
        <v>1845</v>
      </c>
      <c r="J221" s="176">
        <v>46022</v>
      </c>
      <c r="K221" s="172" t="s">
        <v>93</v>
      </c>
      <c r="L221" s="172" t="s">
        <v>94</v>
      </c>
      <c r="M221" s="179">
        <v>0.43</v>
      </c>
      <c r="N221" s="177"/>
      <c r="O221" s="177">
        <v>41</v>
      </c>
      <c r="P221" s="180">
        <v>-136.06</v>
      </c>
    </row>
    <row r="222" spans="1:16" ht="19.5" customHeight="1">
      <c r="A222" s="172" t="s">
        <v>703</v>
      </c>
      <c r="B222" s="176">
        <v>46025</v>
      </c>
      <c r="C222" s="172" t="s">
        <v>100</v>
      </c>
      <c r="D222" s="172" t="s">
        <v>101</v>
      </c>
      <c r="E222" s="172" t="s">
        <v>53</v>
      </c>
      <c r="F222" s="172" t="s">
        <v>120</v>
      </c>
      <c r="G222" s="172" t="s">
        <v>84</v>
      </c>
      <c r="H222" s="177">
        <v>1</v>
      </c>
      <c r="I222" s="178">
        <v>1845</v>
      </c>
      <c r="J222" s="176">
        <v>46022</v>
      </c>
      <c r="K222" s="172" t="s">
        <v>93</v>
      </c>
      <c r="L222" s="172" t="s">
        <v>94</v>
      </c>
      <c r="M222" s="179">
        <v>0</v>
      </c>
      <c r="N222" s="177"/>
      <c r="O222" s="177"/>
      <c r="P222" s="180">
        <v>642.86</v>
      </c>
    </row>
    <row r="223" spans="1:16" ht="19.5" customHeight="1">
      <c r="A223" s="172" t="s">
        <v>703</v>
      </c>
      <c r="B223" s="176">
        <v>46025</v>
      </c>
      <c r="C223" s="172" t="s">
        <v>100</v>
      </c>
      <c r="D223" s="172" t="s">
        <v>102</v>
      </c>
      <c r="E223" s="172" t="s">
        <v>53</v>
      </c>
      <c r="F223" s="172" t="s">
        <v>120</v>
      </c>
      <c r="G223" s="172" t="s">
        <v>84</v>
      </c>
      <c r="H223" s="177">
        <v>1</v>
      </c>
      <c r="I223" s="178">
        <v>1845</v>
      </c>
      <c r="J223" s="176">
        <v>46022</v>
      </c>
      <c r="K223" s="172" t="s">
        <v>93</v>
      </c>
      <c r="L223" s="172" t="s">
        <v>94</v>
      </c>
      <c r="M223" s="179">
        <v>0</v>
      </c>
      <c r="N223" s="177"/>
      <c r="O223" s="177"/>
      <c r="P223" s="180">
        <v>6.43</v>
      </c>
    </row>
    <row r="224" spans="1:16" ht="19.5" customHeight="1">
      <c r="A224" s="172" t="s">
        <v>703</v>
      </c>
      <c r="B224" s="176">
        <v>46025</v>
      </c>
      <c r="C224" s="172" t="s">
        <v>100</v>
      </c>
      <c r="D224" s="172" t="s">
        <v>103</v>
      </c>
      <c r="E224" s="172" t="s">
        <v>53</v>
      </c>
      <c r="F224" s="172" t="s">
        <v>120</v>
      </c>
      <c r="G224" s="172" t="s">
        <v>84</v>
      </c>
      <c r="H224" s="177">
        <v>1</v>
      </c>
      <c r="I224" s="178">
        <v>1845</v>
      </c>
      <c r="J224" s="176">
        <v>46022</v>
      </c>
      <c r="K224" s="172" t="s">
        <v>93</v>
      </c>
      <c r="L224" s="172" t="s">
        <v>94</v>
      </c>
      <c r="M224" s="179">
        <v>0</v>
      </c>
      <c r="N224" s="177"/>
      <c r="O224" s="177"/>
      <c r="P224" s="180">
        <v>1195.71</v>
      </c>
    </row>
    <row r="225" spans="1:16" ht="19.5" customHeight="1">
      <c r="A225" s="172" t="s">
        <v>703</v>
      </c>
      <c r="B225" s="176">
        <v>46025</v>
      </c>
      <c r="C225" s="172" t="s">
        <v>104</v>
      </c>
      <c r="D225" s="172" t="s">
        <v>105</v>
      </c>
      <c r="E225" s="172" t="s">
        <v>53</v>
      </c>
      <c r="F225" s="172" t="s">
        <v>120</v>
      </c>
      <c r="G225" s="172" t="s">
        <v>84</v>
      </c>
      <c r="H225" s="177">
        <v>1</v>
      </c>
      <c r="I225" s="178">
        <v>1845</v>
      </c>
      <c r="J225" s="176">
        <v>46022</v>
      </c>
      <c r="K225" s="172" t="s">
        <v>93</v>
      </c>
      <c r="L225" s="172" t="s">
        <v>94</v>
      </c>
      <c r="M225" s="179">
        <v>0.43</v>
      </c>
      <c r="N225" s="177"/>
      <c r="O225" s="177"/>
      <c r="P225" s="180">
        <v>-793.35</v>
      </c>
    </row>
    <row r="226" spans="1:16" ht="19.5" customHeight="1">
      <c r="A226" s="172" t="s">
        <v>703</v>
      </c>
      <c r="B226" s="176">
        <v>46025</v>
      </c>
      <c r="C226" s="172" t="s">
        <v>81</v>
      </c>
      <c r="D226" s="172" t="s">
        <v>95</v>
      </c>
      <c r="E226" s="172" t="s">
        <v>53</v>
      </c>
      <c r="F226" s="172" t="s">
        <v>120</v>
      </c>
      <c r="G226" s="172" t="s">
        <v>84</v>
      </c>
      <c r="H226" s="177">
        <v>1</v>
      </c>
      <c r="I226" s="178">
        <v>1845</v>
      </c>
      <c r="J226" s="176">
        <v>46022</v>
      </c>
      <c r="K226" s="172" t="s">
        <v>93</v>
      </c>
      <c r="L226" s="172" t="s">
        <v>94</v>
      </c>
      <c r="M226" s="179">
        <v>0.43</v>
      </c>
      <c r="N226" s="177"/>
      <c r="O226" s="177"/>
      <c r="P226" s="180">
        <v>-8.06</v>
      </c>
    </row>
    <row r="227" spans="1:16" ht="19.5" customHeight="1">
      <c r="A227" s="172" t="s">
        <v>704</v>
      </c>
      <c r="B227" s="176">
        <v>46025</v>
      </c>
      <c r="C227" s="172" t="s">
        <v>81</v>
      </c>
      <c r="D227" s="172" t="s">
        <v>82</v>
      </c>
      <c r="E227" s="172" t="s">
        <v>53</v>
      </c>
      <c r="F227" s="172" t="s">
        <v>120</v>
      </c>
      <c r="G227" s="172" t="s">
        <v>84</v>
      </c>
      <c r="H227" s="177">
        <v>1</v>
      </c>
      <c r="I227" s="178">
        <v>0</v>
      </c>
      <c r="J227" s="176">
        <v>46025</v>
      </c>
      <c r="K227" s="172" t="s">
        <v>85</v>
      </c>
      <c r="L227" s="172" t="s">
        <v>85</v>
      </c>
      <c r="M227" s="179">
        <v>0</v>
      </c>
      <c r="N227" s="177"/>
      <c r="O227" s="177"/>
      <c r="P227" s="180">
        <v>-12.21</v>
      </c>
    </row>
    <row r="228" spans="1:16" ht="19.5" customHeight="1">
      <c r="A228" s="172" t="s">
        <v>703</v>
      </c>
      <c r="B228" s="176">
        <v>46025</v>
      </c>
      <c r="C228" s="172" t="s">
        <v>81</v>
      </c>
      <c r="D228" s="172" t="s">
        <v>82</v>
      </c>
      <c r="E228" s="172" t="s">
        <v>53</v>
      </c>
      <c r="F228" s="172" t="s">
        <v>120</v>
      </c>
      <c r="G228" s="172" t="s">
        <v>84</v>
      </c>
      <c r="H228" s="177">
        <v>1</v>
      </c>
      <c r="I228" s="178">
        <v>0</v>
      </c>
      <c r="J228" s="176">
        <v>46022</v>
      </c>
      <c r="K228" s="172" t="s">
        <v>85</v>
      </c>
      <c r="L228" s="172" t="s">
        <v>85</v>
      </c>
      <c r="M228" s="179">
        <v>0</v>
      </c>
      <c r="N228" s="177"/>
      <c r="O228" s="177"/>
      <c r="P228" s="180">
        <v>-12.21</v>
      </c>
    </row>
    <row r="229" spans="1:16" ht="19.5" customHeight="1">
      <c r="A229" s="172" t="s">
        <v>705</v>
      </c>
      <c r="B229" s="176">
        <v>46025</v>
      </c>
      <c r="C229" s="172" t="s">
        <v>92</v>
      </c>
      <c r="D229" s="172" t="s">
        <v>24</v>
      </c>
      <c r="E229" s="172" t="s">
        <v>53</v>
      </c>
      <c r="F229" s="172" t="s">
        <v>120</v>
      </c>
      <c r="G229" s="172" t="s">
        <v>84</v>
      </c>
      <c r="H229" s="177">
        <v>1</v>
      </c>
      <c r="I229" s="178">
        <v>1845</v>
      </c>
      <c r="J229" s="176">
        <v>46022</v>
      </c>
      <c r="K229" s="172" t="s">
        <v>93</v>
      </c>
      <c r="L229" s="172" t="s">
        <v>94</v>
      </c>
      <c r="M229" s="179">
        <v>0.43</v>
      </c>
      <c r="N229" s="177"/>
      <c r="O229" s="177">
        <v>41</v>
      </c>
      <c r="P229" s="180">
        <v>-136.06</v>
      </c>
    </row>
    <row r="230" spans="1:16" ht="19.5" customHeight="1">
      <c r="A230" s="172" t="s">
        <v>705</v>
      </c>
      <c r="B230" s="176">
        <v>46025</v>
      </c>
      <c r="C230" s="172" t="s">
        <v>100</v>
      </c>
      <c r="D230" s="172" t="s">
        <v>101</v>
      </c>
      <c r="E230" s="172" t="s">
        <v>53</v>
      </c>
      <c r="F230" s="172" t="s">
        <v>120</v>
      </c>
      <c r="G230" s="172" t="s">
        <v>84</v>
      </c>
      <c r="H230" s="177">
        <v>1</v>
      </c>
      <c r="I230" s="178">
        <v>1845</v>
      </c>
      <c r="J230" s="176">
        <v>46022</v>
      </c>
      <c r="K230" s="172" t="s">
        <v>93</v>
      </c>
      <c r="L230" s="172" t="s">
        <v>94</v>
      </c>
      <c r="M230" s="179">
        <v>0</v>
      </c>
      <c r="N230" s="177"/>
      <c r="O230" s="177"/>
      <c r="P230" s="180">
        <v>642.86</v>
      </c>
    </row>
    <row r="231" spans="1:16" ht="19.5" customHeight="1">
      <c r="A231" s="172" t="s">
        <v>705</v>
      </c>
      <c r="B231" s="176">
        <v>46025</v>
      </c>
      <c r="C231" s="172" t="s">
        <v>100</v>
      </c>
      <c r="D231" s="172" t="s">
        <v>102</v>
      </c>
      <c r="E231" s="172" t="s">
        <v>53</v>
      </c>
      <c r="F231" s="172" t="s">
        <v>120</v>
      </c>
      <c r="G231" s="172" t="s">
        <v>84</v>
      </c>
      <c r="H231" s="177">
        <v>1</v>
      </c>
      <c r="I231" s="178">
        <v>1845</v>
      </c>
      <c r="J231" s="176">
        <v>46022</v>
      </c>
      <c r="K231" s="172" t="s">
        <v>93</v>
      </c>
      <c r="L231" s="172" t="s">
        <v>94</v>
      </c>
      <c r="M231" s="179">
        <v>0</v>
      </c>
      <c r="N231" s="177"/>
      <c r="O231" s="177"/>
      <c r="P231" s="180">
        <v>6.43</v>
      </c>
    </row>
    <row r="232" spans="1:16" ht="19.5" customHeight="1">
      <c r="A232" s="172" t="s">
        <v>705</v>
      </c>
      <c r="B232" s="176">
        <v>46025</v>
      </c>
      <c r="C232" s="172" t="s">
        <v>100</v>
      </c>
      <c r="D232" s="172" t="s">
        <v>103</v>
      </c>
      <c r="E232" s="172" t="s">
        <v>53</v>
      </c>
      <c r="F232" s="172" t="s">
        <v>120</v>
      </c>
      <c r="G232" s="172" t="s">
        <v>84</v>
      </c>
      <c r="H232" s="177">
        <v>1</v>
      </c>
      <c r="I232" s="178">
        <v>1845</v>
      </c>
      <c r="J232" s="176">
        <v>46022</v>
      </c>
      <c r="K232" s="172" t="s">
        <v>93</v>
      </c>
      <c r="L232" s="172" t="s">
        <v>94</v>
      </c>
      <c r="M232" s="179">
        <v>0</v>
      </c>
      <c r="N232" s="177"/>
      <c r="O232" s="177"/>
      <c r="P232" s="180">
        <v>1195.71</v>
      </c>
    </row>
    <row r="233" spans="1:16" ht="19.5" customHeight="1">
      <c r="A233" s="172" t="s">
        <v>705</v>
      </c>
      <c r="B233" s="176">
        <v>46025</v>
      </c>
      <c r="C233" s="172" t="s">
        <v>104</v>
      </c>
      <c r="D233" s="172" t="s">
        <v>105</v>
      </c>
      <c r="E233" s="172" t="s">
        <v>53</v>
      </c>
      <c r="F233" s="172" t="s">
        <v>120</v>
      </c>
      <c r="G233" s="172" t="s">
        <v>84</v>
      </c>
      <c r="H233" s="177">
        <v>1</v>
      </c>
      <c r="I233" s="178">
        <v>1845</v>
      </c>
      <c r="J233" s="176">
        <v>46022</v>
      </c>
      <c r="K233" s="172" t="s">
        <v>93</v>
      </c>
      <c r="L233" s="172" t="s">
        <v>94</v>
      </c>
      <c r="M233" s="179">
        <v>0.43</v>
      </c>
      <c r="N233" s="177"/>
      <c r="O233" s="177"/>
      <c r="P233" s="180">
        <v>-793.35</v>
      </c>
    </row>
    <row r="234" spans="1:16" ht="19.5" customHeight="1">
      <c r="A234" s="172" t="s">
        <v>705</v>
      </c>
      <c r="B234" s="176">
        <v>46025</v>
      </c>
      <c r="C234" s="172" t="s">
        <v>81</v>
      </c>
      <c r="D234" s="172" t="s">
        <v>95</v>
      </c>
      <c r="E234" s="172" t="s">
        <v>53</v>
      </c>
      <c r="F234" s="172" t="s">
        <v>120</v>
      </c>
      <c r="G234" s="172" t="s">
        <v>84</v>
      </c>
      <c r="H234" s="177">
        <v>1</v>
      </c>
      <c r="I234" s="178">
        <v>1845</v>
      </c>
      <c r="J234" s="176">
        <v>46022</v>
      </c>
      <c r="K234" s="172" t="s">
        <v>93</v>
      </c>
      <c r="L234" s="172" t="s">
        <v>94</v>
      </c>
      <c r="M234" s="179">
        <v>0.43</v>
      </c>
      <c r="N234" s="177"/>
      <c r="O234" s="177"/>
      <c r="P234" s="180">
        <v>-10.06</v>
      </c>
    </row>
    <row r="235" spans="1:16" ht="19.5" customHeight="1">
      <c r="A235" s="172" t="s">
        <v>705</v>
      </c>
      <c r="B235" s="176">
        <v>46025</v>
      </c>
      <c r="C235" s="172" t="s">
        <v>81</v>
      </c>
      <c r="D235" s="172" t="s">
        <v>82</v>
      </c>
      <c r="E235" s="172" t="s">
        <v>53</v>
      </c>
      <c r="F235" s="172" t="s">
        <v>120</v>
      </c>
      <c r="G235" s="172" t="s">
        <v>84</v>
      </c>
      <c r="H235" s="177">
        <v>1</v>
      </c>
      <c r="I235" s="178">
        <v>0</v>
      </c>
      <c r="J235" s="176">
        <v>46022</v>
      </c>
      <c r="K235" s="172" t="s">
        <v>85</v>
      </c>
      <c r="L235" s="172" t="s">
        <v>85</v>
      </c>
      <c r="M235" s="179">
        <v>0</v>
      </c>
      <c r="N235" s="177"/>
      <c r="O235" s="177"/>
      <c r="P235" s="180">
        <v>-12.21</v>
      </c>
    </row>
    <row r="236" spans="1:16" ht="19.5" customHeight="1">
      <c r="A236" s="172" t="s">
        <v>706</v>
      </c>
      <c r="B236" s="176">
        <v>46025</v>
      </c>
      <c r="C236" s="172" t="s">
        <v>81</v>
      </c>
      <c r="D236" s="172" t="s">
        <v>82</v>
      </c>
      <c r="E236" s="172" t="s">
        <v>52</v>
      </c>
      <c r="F236" s="172" t="s">
        <v>90</v>
      </c>
      <c r="G236" s="172" t="s">
        <v>84</v>
      </c>
      <c r="H236" s="177">
        <v>1</v>
      </c>
      <c r="I236" s="178">
        <v>0</v>
      </c>
      <c r="J236" s="176">
        <v>46025</v>
      </c>
      <c r="K236" s="172" t="s">
        <v>85</v>
      </c>
      <c r="L236" s="172" t="s">
        <v>85</v>
      </c>
      <c r="M236" s="179">
        <v>0</v>
      </c>
      <c r="N236" s="177"/>
      <c r="O236" s="177"/>
      <c r="P236" s="180">
        <v>-4.1399999999999997</v>
      </c>
    </row>
    <row r="237" spans="1:16" ht="19.5" customHeight="1">
      <c r="A237" s="172" t="s">
        <v>707</v>
      </c>
      <c r="B237" s="176">
        <v>46025</v>
      </c>
      <c r="C237" s="172" t="s">
        <v>92</v>
      </c>
      <c r="D237" s="172" t="s">
        <v>24</v>
      </c>
      <c r="E237" s="172" t="s">
        <v>53</v>
      </c>
      <c r="F237" s="172" t="s">
        <v>120</v>
      </c>
      <c r="G237" s="172" t="s">
        <v>84</v>
      </c>
      <c r="H237" s="177">
        <v>1</v>
      </c>
      <c r="I237" s="178">
        <v>1845</v>
      </c>
      <c r="J237" s="176">
        <v>46021</v>
      </c>
      <c r="K237" s="172" t="s">
        <v>93</v>
      </c>
      <c r="L237" s="172" t="s">
        <v>94</v>
      </c>
      <c r="M237" s="179">
        <v>0.43</v>
      </c>
      <c r="N237" s="177"/>
      <c r="O237" s="177">
        <v>40</v>
      </c>
      <c r="P237" s="180">
        <v>-131.61000000000001</v>
      </c>
    </row>
    <row r="238" spans="1:16" ht="19.5" customHeight="1">
      <c r="A238" s="172" t="s">
        <v>707</v>
      </c>
      <c r="B238" s="176">
        <v>46025</v>
      </c>
      <c r="C238" s="172" t="s">
        <v>100</v>
      </c>
      <c r="D238" s="172" t="s">
        <v>101</v>
      </c>
      <c r="E238" s="172" t="s">
        <v>53</v>
      </c>
      <c r="F238" s="172" t="s">
        <v>120</v>
      </c>
      <c r="G238" s="172" t="s">
        <v>84</v>
      </c>
      <c r="H238" s="177">
        <v>1</v>
      </c>
      <c r="I238" s="178">
        <v>1845</v>
      </c>
      <c r="J238" s="176">
        <v>46021</v>
      </c>
      <c r="K238" s="172" t="s">
        <v>93</v>
      </c>
      <c r="L238" s="172" t="s">
        <v>94</v>
      </c>
      <c r="M238" s="179">
        <v>0</v>
      </c>
      <c r="N238" s="177"/>
      <c r="O238" s="177"/>
      <c r="P238" s="180">
        <v>642.86</v>
      </c>
    </row>
    <row r="239" spans="1:16" ht="19.5" customHeight="1">
      <c r="A239" s="172" t="s">
        <v>707</v>
      </c>
      <c r="B239" s="176">
        <v>46025</v>
      </c>
      <c r="C239" s="172" t="s">
        <v>100</v>
      </c>
      <c r="D239" s="172" t="s">
        <v>102</v>
      </c>
      <c r="E239" s="172" t="s">
        <v>53</v>
      </c>
      <c r="F239" s="172" t="s">
        <v>120</v>
      </c>
      <c r="G239" s="172" t="s">
        <v>84</v>
      </c>
      <c r="H239" s="177">
        <v>1</v>
      </c>
      <c r="I239" s="178">
        <v>1845</v>
      </c>
      <c r="J239" s="176">
        <v>46021</v>
      </c>
      <c r="K239" s="172" t="s">
        <v>93</v>
      </c>
      <c r="L239" s="172" t="s">
        <v>94</v>
      </c>
      <c r="M239" s="179">
        <v>0</v>
      </c>
      <c r="N239" s="177"/>
      <c r="O239" s="177"/>
      <c r="P239" s="180">
        <v>6.43</v>
      </c>
    </row>
    <row r="240" spans="1:16" ht="19.5" customHeight="1">
      <c r="A240" s="172" t="s">
        <v>707</v>
      </c>
      <c r="B240" s="176">
        <v>46025</v>
      </c>
      <c r="C240" s="172" t="s">
        <v>100</v>
      </c>
      <c r="D240" s="172" t="s">
        <v>103</v>
      </c>
      <c r="E240" s="172" t="s">
        <v>53</v>
      </c>
      <c r="F240" s="172" t="s">
        <v>120</v>
      </c>
      <c r="G240" s="172" t="s">
        <v>84</v>
      </c>
      <c r="H240" s="177">
        <v>1</v>
      </c>
      <c r="I240" s="178">
        <v>1845</v>
      </c>
      <c r="J240" s="176">
        <v>46021</v>
      </c>
      <c r="K240" s="172" t="s">
        <v>93</v>
      </c>
      <c r="L240" s="172" t="s">
        <v>94</v>
      </c>
      <c r="M240" s="179">
        <v>0</v>
      </c>
      <c r="N240" s="177"/>
      <c r="O240" s="177"/>
      <c r="P240" s="180">
        <v>1195.71</v>
      </c>
    </row>
    <row r="241" spans="1:16" ht="19.5" customHeight="1">
      <c r="A241" s="172" t="s">
        <v>707</v>
      </c>
      <c r="B241" s="176">
        <v>46025</v>
      </c>
      <c r="C241" s="172" t="s">
        <v>104</v>
      </c>
      <c r="D241" s="172" t="s">
        <v>105</v>
      </c>
      <c r="E241" s="172" t="s">
        <v>53</v>
      </c>
      <c r="F241" s="172" t="s">
        <v>120</v>
      </c>
      <c r="G241" s="172" t="s">
        <v>84</v>
      </c>
      <c r="H241" s="177">
        <v>1</v>
      </c>
      <c r="I241" s="178">
        <v>1845</v>
      </c>
      <c r="J241" s="176">
        <v>46021</v>
      </c>
      <c r="K241" s="172" t="s">
        <v>93</v>
      </c>
      <c r="L241" s="172" t="s">
        <v>94</v>
      </c>
      <c r="M241" s="179">
        <v>0.43</v>
      </c>
      <c r="N241" s="177"/>
      <c r="O241" s="177"/>
      <c r="P241" s="180">
        <v>-793.35</v>
      </c>
    </row>
    <row r="242" spans="1:16" ht="19.5" customHeight="1">
      <c r="A242" s="172" t="s">
        <v>707</v>
      </c>
      <c r="B242" s="176">
        <v>46025</v>
      </c>
      <c r="C242" s="172" t="s">
        <v>81</v>
      </c>
      <c r="D242" s="172" t="s">
        <v>95</v>
      </c>
      <c r="E242" s="172" t="s">
        <v>53</v>
      </c>
      <c r="F242" s="172" t="s">
        <v>120</v>
      </c>
      <c r="G242" s="172" t="s">
        <v>84</v>
      </c>
      <c r="H242" s="177">
        <v>1</v>
      </c>
      <c r="I242" s="178">
        <v>1845</v>
      </c>
      <c r="J242" s="176">
        <v>46021</v>
      </c>
      <c r="K242" s="172" t="s">
        <v>93</v>
      </c>
      <c r="L242" s="172" t="s">
        <v>94</v>
      </c>
      <c r="M242" s="179">
        <v>0.43</v>
      </c>
      <c r="N242" s="177"/>
      <c r="O242" s="177"/>
      <c r="P242" s="180">
        <v>-17.52</v>
      </c>
    </row>
    <row r="243" spans="1:16" ht="19.5" customHeight="1">
      <c r="A243" s="172" t="s">
        <v>708</v>
      </c>
      <c r="B243" s="176">
        <v>46025</v>
      </c>
      <c r="C243" s="172" t="s">
        <v>92</v>
      </c>
      <c r="D243" s="172" t="s">
        <v>24</v>
      </c>
      <c r="E243" s="172" t="s">
        <v>53</v>
      </c>
      <c r="F243" s="172" t="s">
        <v>120</v>
      </c>
      <c r="G243" s="172" t="s">
        <v>84</v>
      </c>
      <c r="H243" s="177">
        <v>1</v>
      </c>
      <c r="I243" s="178">
        <v>1845</v>
      </c>
      <c r="J243" s="176">
        <v>46021</v>
      </c>
      <c r="K243" s="172" t="s">
        <v>93</v>
      </c>
      <c r="L243" s="172" t="s">
        <v>94</v>
      </c>
      <c r="M243" s="179">
        <v>0.43</v>
      </c>
      <c r="N243" s="177"/>
      <c r="O243" s="177">
        <v>40</v>
      </c>
      <c r="P243" s="180">
        <v>-131.61000000000001</v>
      </c>
    </row>
    <row r="244" spans="1:16" ht="19.5" customHeight="1">
      <c r="A244" s="172" t="s">
        <v>708</v>
      </c>
      <c r="B244" s="176">
        <v>46025</v>
      </c>
      <c r="C244" s="172" t="s">
        <v>100</v>
      </c>
      <c r="D244" s="172" t="s">
        <v>101</v>
      </c>
      <c r="E244" s="172" t="s">
        <v>53</v>
      </c>
      <c r="F244" s="172" t="s">
        <v>120</v>
      </c>
      <c r="G244" s="172" t="s">
        <v>84</v>
      </c>
      <c r="H244" s="177">
        <v>1</v>
      </c>
      <c r="I244" s="178">
        <v>1845</v>
      </c>
      <c r="J244" s="176">
        <v>46021</v>
      </c>
      <c r="K244" s="172" t="s">
        <v>93</v>
      </c>
      <c r="L244" s="172" t="s">
        <v>94</v>
      </c>
      <c r="M244" s="179">
        <v>0</v>
      </c>
      <c r="N244" s="177"/>
      <c r="O244" s="177"/>
      <c r="P244" s="180">
        <v>702.86</v>
      </c>
    </row>
    <row r="245" spans="1:16" ht="19.5" customHeight="1">
      <c r="A245" s="172" t="s">
        <v>708</v>
      </c>
      <c r="B245" s="176">
        <v>46025</v>
      </c>
      <c r="C245" s="172" t="s">
        <v>100</v>
      </c>
      <c r="D245" s="172" t="s">
        <v>102</v>
      </c>
      <c r="E245" s="172" t="s">
        <v>53</v>
      </c>
      <c r="F245" s="172" t="s">
        <v>120</v>
      </c>
      <c r="G245" s="172" t="s">
        <v>84</v>
      </c>
      <c r="H245" s="177">
        <v>1</v>
      </c>
      <c r="I245" s="178">
        <v>1845</v>
      </c>
      <c r="J245" s="176">
        <v>46021</v>
      </c>
      <c r="K245" s="172" t="s">
        <v>93</v>
      </c>
      <c r="L245" s="172" t="s">
        <v>94</v>
      </c>
      <c r="M245" s="179">
        <v>0</v>
      </c>
      <c r="N245" s="177"/>
      <c r="O245" s="177"/>
      <c r="P245" s="180">
        <v>0</v>
      </c>
    </row>
    <row r="246" spans="1:16" ht="19.5" customHeight="1">
      <c r="A246" s="172" t="s">
        <v>708</v>
      </c>
      <c r="B246" s="176">
        <v>46025</v>
      </c>
      <c r="C246" s="172" t="s">
        <v>100</v>
      </c>
      <c r="D246" s="172" t="s">
        <v>103</v>
      </c>
      <c r="E246" s="172" t="s">
        <v>53</v>
      </c>
      <c r="F246" s="172" t="s">
        <v>120</v>
      </c>
      <c r="G246" s="172" t="s">
        <v>84</v>
      </c>
      <c r="H246" s="177">
        <v>1</v>
      </c>
      <c r="I246" s="178">
        <v>1845</v>
      </c>
      <c r="J246" s="176">
        <v>46021</v>
      </c>
      <c r="K246" s="172" t="s">
        <v>93</v>
      </c>
      <c r="L246" s="172" t="s">
        <v>94</v>
      </c>
      <c r="M246" s="179">
        <v>0</v>
      </c>
      <c r="N246" s="177"/>
      <c r="O246" s="177"/>
      <c r="P246" s="180">
        <v>1142.1400000000001</v>
      </c>
    </row>
    <row r="247" spans="1:16" ht="19.5" customHeight="1">
      <c r="A247" s="172" t="s">
        <v>708</v>
      </c>
      <c r="B247" s="176">
        <v>46025</v>
      </c>
      <c r="C247" s="172" t="s">
        <v>104</v>
      </c>
      <c r="D247" s="172" t="s">
        <v>105</v>
      </c>
      <c r="E247" s="172" t="s">
        <v>53</v>
      </c>
      <c r="F247" s="172" t="s">
        <v>120</v>
      </c>
      <c r="G247" s="172" t="s">
        <v>84</v>
      </c>
      <c r="H247" s="177">
        <v>1</v>
      </c>
      <c r="I247" s="178">
        <v>1845</v>
      </c>
      <c r="J247" s="176">
        <v>46021</v>
      </c>
      <c r="K247" s="172" t="s">
        <v>93</v>
      </c>
      <c r="L247" s="172" t="s">
        <v>94</v>
      </c>
      <c r="M247" s="179">
        <v>0.43</v>
      </c>
      <c r="N247" s="177"/>
      <c r="O247" s="177"/>
      <c r="P247" s="180">
        <v>-793.35</v>
      </c>
    </row>
    <row r="248" spans="1:16" ht="19.5" customHeight="1">
      <c r="A248" s="172" t="s">
        <v>707</v>
      </c>
      <c r="B248" s="176">
        <v>46025</v>
      </c>
      <c r="C248" s="172" t="s">
        <v>81</v>
      </c>
      <c r="D248" s="172" t="s">
        <v>82</v>
      </c>
      <c r="E248" s="172" t="s">
        <v>53</v>
      </c>
      <c r="F248" s="172" t="s">
        <v>120</v>
      </c>
      <c r="G248" s="172" t="s">
        <v>84</v>
      </c>
      <c r="H248" s="177">
        <v>1</v>
      </c>
      <c r="I248" s="178">
        <v>0</v>
      </c>
      <c r="J248" s="176">
        <v>46021</v>
      </c>
      <c r="K248" s="172" t="s">
        <v>85</v>
      </c>
      <c r="L248" s="172" t="s">
        <v>85</v>
      </c>
      <c r="M248" s="179">
        <v>0</v>
      </c>
      <c r="N248" s="177"/>
      <c r="O248" s="177"/>
      <c r="P248" s="180">
        <v>-12.21</v>
      </c>
    </row>
    <row r="249" spans="1:16" ht="19.5" customHeight="1">
      <c r="A249" s="172" t="s">
        <v>709</v>
      </c>
      <c r="B249" s="176">
        <v>46025</v>
      </c>
      <c r="C249" s="172" t="s">
        <v>81</v>
      </c>
      <c r="D249" s="172" t="s">
        <v>82</v>
      </c>
      <c r="E249" s="172" t="s">
        <v>53</v>
      </c>
      <c r="F249" s="172" t="s">
        <v>120</v>
      </c>
      <c r="G249" s="172" t="s">
        <v>84</v>
      </c>
      <c r="H249" s="177">
        <v>1</v>
      </c>
      <c r="I249" s="178">
        <v>0</v>
      </c>
      <c r="J249" s="176">
        <v>46025</v>
      </c>
      <c r="K249" s="172" t="s">
        <v>85</v>
      </c>
      <c r="L249" s="172" t="s">
        <v>85</v>
      </c>
      <c r="M249" s="179">
        <v>0</v>
      </c>
      <c r="N249" s="177"/>
      <c r="O249" s="177"/>
      <c r="P249" s="180">
        <v>-12.34</v>
      </c>
    </row>
    <row r="250" spans="1:16" ht="19.5" customHeight="1">
      <c r="A250" s="172" t="s">
        <v>710</v>
      </c>
      <c r="B250" s="176">
        <v>46025</v>
      </c>
      <c r="C250" s="172" t="s">
        <v>81</v>
      </c>
      <c r="D250" s="172" t="s">
        <v>82</v>
      </c>
      <c r="E250" s="172" t="s">
        <v>53</v>
      </c>
      <c r="F250" s="172" t="s">
        <v>120</v>
      </c>
      <c r="G250" s="172" t="s">
        <v>84</v>
      </c>
      <c r="H250" s="177">
        <v>1</v>
      </c>
      <c r="I250" s="178">
        <v>0</v>
      </c>
      <c r="J250" s="176">
        <v>46025</v>
      </c>
      <c r="K250" s="172" t="s">
        <v>85</v>
      </c>
      <c r="L250" s="172" t="s">
        <v>85</v>
      </c>
      <c r="M250" s="179">
        <v>0</v>
      </c>
      <c r="N250" s="177"/>
      <c r="O250" s="177"/>
      <c r="P250" s="180">
        <v>-12.2</v>
      </c>
    </row>
    <row r="251" spans="1:16" ht="19.5" customHeight="1">
      <c r="A251" s="172" t="s">
        <v>711</v>
      </c>
      <c r="B251" s="176">
        <v>46025</v>
      </c>
      <c r="C251" s="172" t="s">
        <v>92</v>
      </c>
      <c r="D251" s="172" t="s">
        <v>24</v>
      </c>
      <c r="E251" s="172" t="s">
        <v>53</v>
      </c>
      <c r="F251" s="172" t="s">
        <v>120</v>
      </c>
      <c r="G251" s="172" t="s">
        <v>84</v>
      </c>
      <c r="H251" s="177">
        <v>1</v>
      </c>
      <c r="I251" s="178">
        <v>1845</v>
      </c>
      <c r="J251" s="176">
        <v>46022</v>
      </c>
      <c r="K251" s="172" t="s">
        <v>93</v>
      </c>
      <c r="L251" s="172" t="s">
        <v>94</v>
      </c>
      <c r="M251" s="179">
        <v>0.43</v>
      </c>
      <c r="N251" s="177"/>
      <c r="O251" s="177">
        <v>41</v>
      </c>
      <c r="P251" s="180">
        <v>-136.06</v>
      </c>
    </row>
    <row r="252" spans="1:16" ht="19.5" customHeight="1">
      <c r="A252" s="172" t="s">
        <v>711</v>
      </c>
      <c r="B252" s="176">
        <v>46025</v>
      </c>
      <c r="C252" s="172" t="s">
        <v>100</v>
      </c>
      <c r="D252" s="172" t="s">
        <v>101</v>
      </c>
      <c r="E252" s="172" t="s">
        <v>53</v>
      </c>
      <c r="F252" s="172" t="s">
        <v>120</v>
      </c>
      <c r="G252" s="172" t="s">
        <v>84</v>
      </c>
      <c r="H252" s="177">
        <v>1</v>
      </c>
      <c r="I252" s="178">
        <v>1845</v>
      </c>
      <c r="J252" s="176">
        <v>46022</v>
      </c>
      <c r="K252" s="172" t="s">
        <v>93</v>
      </c>
      <c r="L252" s="172" t="s">
        <v>94</v>
      </c>
      <c r="M252" s="179">
        <v>0</v>
      </c>
      <c r="N252" s="177"/>
      <c r="O252" s="177"/>
      <c r="P252" s="180">
        <v>639.80999999999995</v>
      </c>
    </row>
    <row r="253" spans="1:16" ht="19.5" customHeight="1">
      <c r="A253" s="172" t="s">
        <v>711</v>
      </c>
      <c r="B253" s="176">
        <v>46025</v>
      </c>
      <c r="C253" s="172" t="s">
        <v>100</v>
      </c>
      <c r="D253" s="172" t="s">
        <v>102</v>
      </c>
      <c r="E253" s="172" t="s">
        <v>53</v>
      </c>
      <c r="F253" s="172" t="s">
        <v>120</v>
      </c>
      <c r="G253" s="172" t="s">
        <v>84</v>
      </c>
      <c r="H253" s="177">
        <v>1</v>
      </c>
      <c r="I253" s="178">
        <v>1845</v>
      </c>
      <c r="J253" s="176">
        <v>46022</v>
      </c>
      <c r="K253" s="172" t="s">
        <v>93</v>
      </c>
      <c r="L253" s="172" t="s">
        <v>94</v>
      </c>
      <c r="M253" s="179">
        <v>0</v>
      </c>
      <c r="N253" s="177"/>
      <c r="O253" s="177"/>
      <c r="P253" s="180">
        <v>6.4</v>
      </c>
    </row>
    <row r="254" spans="1:16" ht="19.5" customHeight="1">
      <c r="A254" s="172" t="s">
        <v>711</v>
      </c>
      <c r="B254" s="176">
        <v>46025</v>
      </c>
      <c r="C254" s="172" t="s">
        <v>100</v>
      </c>
      <c r="D254" s="172" t="s">
        <v>103</v>
      </c>
      <c r="E254" s="172" t="s">
        <v>53</v>
      </c>
      <c r="F254" s="172" t="s">
        <v>120</v>
      </c>
      <c r="G254" s="172" t="s">
        <v>84</v>
      </c>
      <c r="H254" s="177">
        <v>1</v>
      </c>
      <c r="I254" s="178">
        <v>1845</v>
      </c>
      <c r="J254" s="176">
        <v>46022</v>
      </c>
      <c r="K254" s="172" t="s">
        <v>93</v>
      </c>
      <c r="L254" s="172" t="s">
        <v>94</v>
      </c>
      <c r="M254" s="179">
        <v>0</v>
      </c>
      <c r="N254" s="177"/>
      <c r="O254" s="177"/>
      <c r="P254" s="180">
        <v>1198.79</v>
      </c>
    </row>
    <row r="255" spans="1:16" ht="19.5" customHeight="1">
      <c r="A255" s="172" t="s">
        <v>711</v>
      </c>
      <c r="B255" s="176">
        <v>46025</v>
      </c>
      <c r="C255" s="172" t="s">
        <v>104</v>
      </c>
      <c r="D255" s="172" t="s">
        <v>105</v>
      </c>
      <c r="E255" s="172" t="s">
        <v>53</v>
      </c>
      <c r="F255" s="172" t="s">
        <v>120</v>
      </c>
      <c r="G255" s="172" t="s">
        <v>84</v>
      </c>
      <c r="H255" s="177">
        <v>1</v>
      </c>
      <c r="I255" s="178">
        <v>1845</v>
      </c>
      <c r="J255" s="176">
        <v>46022</v>
      </c>
      <c r="K255" s="172" t="s">
        <v>93</v>
      </c>
      <c r="L255" s="172" t="s">
        <v>94</v>
      </c>
      <c r="M255" s="179">
        <v>0.43</v>
      </c>
      <c r="N255" s="177"/>
      <c r="O255" s="177"/>
      <c r="P255" s="180">
        <v>-793.35</v>
      </c>
    </row>
    <row r="256" spans="1:16" ht="19.5" customHeight="1">
      <c r="A256" s="172" t="s">
        <v>711</v>
      </c>
      <c r="B256" s="176">
        <v>46025</v>
      </c>
      <c r="C256" s="172" t="s">
        <v>81</v>
      </c>
      <c r="D256" s="172" t="s">
        <v>95</v>
      </c>
      <c r="E256" s="172" t="s">
        <v>53</v>
      </c>
      <c r="F256" s="172" t="s">
        <v>120</v>
      </c>
      <c r="G256" s="172" t="s">
        <v>84</v>
      </c>
      <c r="H256" s="177">
        <v>1</v>
      </c>
      <c r="I256" s="178">
        <v>1845</v>
      </c>
      <c r="J256" s="176">
        <v>46022</v>
      </c>
      <c r="K256" s="172" t="s">
        <v>93</v>
      </c>
      <c r="L256" s="172" t="s">
        <v>94</v>
      </c>
      <c r="M256" s="179">
        <v>0.43</v>
      </c>
      <c r="N256" s="177"/>
      <c r="O256" s="177"/>
      <c r="P256" s="180">
        <v>-10.3</v>
      </c>
    </row>
    <row r="257" spans="1:16" ht="19.5" customHeight="1">
      <c r="A257" s="172" t="s">
        <v>712</v>
      </c>
      <c r="B257" s="176">
        <v>46025</v>
      </c>
      <c r="C257" s="172" t="s">
        <v>92</v>
      </c>
      <c r="D257" s="172" t="s">
        <v>24</v>
      </c>
      <c r="E257" s="172" t="s">
        <v>53</v>
      </c>
      <c r="F257" s="172" t="s">
        <v>120</v>
      </c>
      <c r="G257" s="172" t="s">
        <v>84</v>
      </c>
      <c r="H257" s="177">
        <v>1</v>
      </c>
      <c r="I257" s="178">
        <v>1845</v>
      </c>
      <c r="J257" s="176">
        <v>46023</v>
      </c>
      <c r="K257" s="172" t="s">
        <v>93</v>
      </c>
      <c r="L257" s="172" t="s">
        <v>94</v>
      </c>
      <c r="M257" s="179">
        <v>0.43</v>
      </c>
      <c r="N257" s="177"/>
      <c r="O257" s="177">
        <v>43</v>
      </c>
      <c r="P257" s="180">
        <v>-144.94999999999999</v>
      </c>
    </row>
    <row r="258" spans="1:16" ht="19.5" customHeight="1">
      <c r="A258" s="172" t="s">
        <v>712</v>
      </c>
      <c r="B258" s="176">
        <v>46025</v>
      </c>
      <c r="C258" s="172" t="s">
        <v>100</v>
      </c>
      <c r="D258" s="172" t="s">
        <v>101</v>
      </c>
      <c r="E258" s="172" t="s">
        <v>53</v>
      </c>
      <c r="F258" s="172" t="s">
        <v>120</v>
      </c>
      <c r="G258" s="172" t="s">
        <v>84</v>
      </c>
      <c r="H258" s="177">
        <v>1</v>
      </c>
      <c r="I258" s="178">
        <v>1845</v>
      </c>
      <c r="J258" s="176">
        <v>46023</v>
      </c>
      <c r="K258" s="172" t="s">
        <v>93</v>
      </c>
      <c r="L258" s="172" t="s">
        <v>94</v>
      </c>
      <c r="M258" s="179">
        <v>0</v>
      </c>
      <c r="N258" s="177"/>
      <c r="O258" s="177"/>
      <c r="P258" s="180">
        <v>642.86</v>
      </c>
    </row>
    <row r="259" spans="1:16" ht="19.5" customHeight="1">
      <c r="A259" s="172" t="s">
        <v>712</v>
      </c>
      <c r="B259" s="176">
        <v>46025</v>
      </c>
      <c r="C259" s="172" t="s">
        <v>100</v>
      </c>
      <c r="D259" s="172" t="s">
        <v>102</v>
      </c>
      <c r="E259" s="172" t="s">
        <v>53</v>
      </c>
      <c r="F259" s="172" t="s">
        <v>120</v>
      </c>
      <c r="G259" s="172" t="s">
        <v>84</v>
      </c>
      <c r="H259" s="177">
        <v>1</v>
      </c>
      <c r="I259" s="178">
        <v>1845</v>
      </c>
      <c r="J259" s="176">
        <v>46023</v>
      </c>
      <c r="K259" s="172" t="s">
        <v>93</v>
      </c>
      <c r="L259" s="172" t="s">
        <v>94</v>
      </c>
      <c r="M259" s="179">
        <v>0</v>
      </c>
      <c r="N259" s="177"/>
      <c r="O259" s="177"/>
      <c r="P259" s="180">
        <v>6.43</v>
      </c>
    </row>
    <row r="260" spans="1:16" ht="19.5" customHeight="1">
      <c r="A260" s="172" t="s">
        <v>712</v>
      </c>
      <c r="B260" s="176">
        <v>46025</v>
      </c>
      <c r="C260" s="172" t="s">
        <v>100</v>
      </c>
      <c r="D260" s="172" t="s">
        <v>103</v>
      </c>
      <c r="E260" s="172" t="s">
        <v>53</v>
      </c>
      <c r="F260" s="172" t="s">
        <v>120</v>
      </c>
      <c r="G260" s="172" t="s">
        <v>84</v>
      </c>
      <c r="H260" s="177">
        <v>1</v>
      </c>
      <c r="I260" s="178">
        <v>1845</v>
      </c>
      <c r="J260" s="176">
        <v>46023</v>
      </c>
      <c r="K260" s="172" t="s">
        <v>93</v>
      </c>
      <c r="L260" s="172" t="s">
        <v>94</v>
      </c>
      <c r="M260" s="179">
        <v>0</v>
      </c>
      <c r="N260" s="177"/>
      <c r="O260" s="177"/>
      <c r="P260" s="180">
        <v>1195.71</v>
      </c>
    </row>
    <row r="261" spans="1:16" ht="19.5" customHeight="1">
      <c r="A261" s="172" t="s">
        <v>712</v>
      </c>
      <c r="B261" s="176">
        <v>46025</v>
      </c>
      <c r="C261" s="172" t="s">
        <v>104</v>
      </c>
      <c r="D261" s="172" t="s">
        <v>105</v>
      </c>
      <c r="E261" s="172" t="s">
        <v>53</v>
      </c>
      <c r="F261" s="172" t="s">
        <v>120</v>
      </c>
      <c r="G261" s="172" t="s">
        <v>84</v>
      </c>
      <c r="H261" s="177">
        <v>1</v>
      </c>
      <c r="I261" s="178">
        <v>1845</v>
      </c>
      <c r="J261" s="176">
        <v>46023</v>
      </c>
      <c r="K261" s="172" t="s">
        <v>93</v>
      </c>
      <c r="L261" s="172" t="s">
        <v>94</v>
      </c>
      <c r="M261" s="179">
        <v>0.43</v>
      </c>
      <c r="N261" s="177"/>
      <c r="O261" s="177"/>
      <c r="P261" s="180">
        <v>-793.35</v>
      </c>
    </row>
    <row r="262" spans="1:16" ht="19.5" customHeight="1">
      <c r="A262" s="172" t="s">
        <v>712</v>
      </c>
      <c r="B262" s="176">
        <v>46025</v>
      </c>
      <c r="C262" s="172" t="s">
        <v>81</v>
      </c>
      <c r="D262" s="172" t="s">
        <v>95</v>
      </c>
      <c r="E262" s="172" t="s">
        <v>53</v>
      </c>
      <c r="F262" s="172" t="s">
        <v>120</v>
      </c>
      <c r="G262" s="172" t="s">
        <v>84</v>
      </c>
      <c r="H262" s="177">
        <v>1</v>
      </c>
      <c r="I262" s="178">
        <v>1845</v>
      </c>
      <c r="J262" s="176">
        <v>46023</v>
      </c>
      <c r="K262" s="172" t="s">
        <v>93</v>
      </c>
      <c r="L262" s="172" t="s">
        <v>94</v>
      </c>
      <c r="M262" s="179">
        <v>0.43</v>
      </c>
      <c r="N262" s="177"/>
      <c r="O262" s="177"/>
      <c r="P262" s="180">
        <v>-11.75</v>
      </c>
    </row>
    <row r="263" spans="1:16" ht="19.5" customHeight="1">
      <c r="A263" s="172" t="s">
        <v>712</v>
      </c>
      <c r="B263" s="176">
        <v>46025</v>
      </c>
      <c r="C263" s="172" t="s">
        <v>81</v>
      </c>
      <c r="D263" s="172" t="s">
        <v>82</v>
      </c>
      <c r="E263" s="172" t="s">
        <v>53</v>
      </c>
      <c r="F263" s="172" t="s">
        <v>120</v>
      </c>
      <c r="G263" s="172" t="s">
        <v>84</v>
      </c>
      <c r="H263" s="177">
        <v>1</v>
      </c>
      <c r="I263" s="178">
        <v>0</v>
      </c>
      <c r="J263" s="176">
        <v>46023</v>
      </c>
      <c r="K263" s="172" t="s">
        <v>85</v>
      </c>
      <c r="L263" s="172" t="s">
        <v>85</v>
      </c>
      <c r="M263" s="179">
        <v>0</v>
      </c>
      <c r="N263" s="177"/>
      <c r="O263" s="177"/>
      <c r="P263" s="180">
        <v>-12.21</v>
      </c>
    </row>
    <row r="264" spans="1:16" ht="19.5" customHeight="1">
      <c r="A264" s="172" t="s">
        <v>713</v>
      </c>
      <c r="B264" s="176">
        <v>46025</v>
      </c>
      <c r="C264" s="172" t="s">
        <v>92</v>
      </c>
      <c r="D264" s="172" t="s">
        <v>24</v>
      </c>
      <c r="E264" s="172" t="s">
        <v>52</v>
      </c>
      <c r="F264" s="172" t="s">
        <v>90</v>
      </c>
      <c r="G264" s="172" t="s">
        <v>84</v>
      </c>
      <c r="H264" s="177">
        <v>1</v>
      </c>
      <c r="I264" s="178">
        <v>1621</v>
      </c>
      <c r="J264" s="176">
        <v>46011</v>
      </c>
      <c r="K264" s="172" t="s">
        <v>93</v>
      </c>
      <c r="L264" s="172" t="s">
        <v>94</v>
      </c>
      <c r="M264" s="179">
        <v>0.43</v>
      </c>
      <c r="N264" s="177"/>
      <c r="O264" s="177">
        <v>44</v>
      </c>
      <c r="P264" s="180">
        <v>-142.34</v>
      </c>
    </row>
    <row r="265" spans="1:16" ht="19.5" customHeight="1">
      <c r="A265" s="172" t="s">
        <v>713</v>
      </c>
      <c r="B265" s="176">
        <v>46025</v>
      </c>
      <c r="C265" s="172" t="s">
        <v>100</v>
      </c>
      <c r="D265" s="172" t="s">
        <v>101</v>
      </c>
      <c r="E265" s="172" t="s">
        <v>52</v>
      </c>
      <c r="F265" s="172" t="s">
        <v>90</v>
      </c>
      <c r="G265" s="172" t="s">
        <v>84</v>
      </c>
      <c r="H265" s="177">
        <v>1</v>
      </c>
      <c r="I265" s="178">
        <v>1621</v>
      </c>
      <c r="J265" s="176">
        <v>46011</v>
      </c>
      <c r="K265" s="172" t="s">
        <v>93</v>
      </c>
      <c r="L265" s="172" t="s">
        <v>94</v>
      </c>
      <c r="M265" s="179">
        <v>0</v>
      </c>
      <c r="N265" s="177"/>
      <c r="O265" s="177"/>
      <c r="P265" s="180">
        <v>614.22</v>
      </c>
    </row>
    <row r="266" spans="1:16" ht="19.5" customHeight="1">
      <c r="A266" s="172" t="s">
        <v>713</v>
      </c>
      <c r="B266" s="176">
        <v>46025</v>
      </c>
      <c r="C266" s="172" t="s">
        <v>100</v>
      </c>
      <c r="D266" s="172" t="s">
        <v>102</v>
      </c>
      <c r="E266" s="172" t="s">
        <v>52</v>
      </c>
      <c r="F266" s="172" t="s">
        <v>90</v>
      </c>
      <c r="G266" s="172" t="s">
        <v>84</v>
      </c>
      <c r="H266" s="177">
        <v>1</v>
      </c>
      <c r="I266" s="178">
        <v>1621</v>
      </c>
      <c r="J266" s="176">
        <v>46011</v>
      </c>
      <c r="K266" s="172" t="s">
        <v>93</v>
      </c>
      <c r="L266" s="172" t="s">
        <v>94</v>
      </c>
      <c r="M266" s="179">
        <v>0</v>
      </c>
      <c r="N266" s="177"/>
      <c r="O266" s="177"/>
      <c r="P266" s="180">
        <v>0</v>
      </c>
    </row>
    <row r="267" spans="1:16" ht="19.5" customHeight="1">
      <c r="A267" s="172" t="s">
        <v>713</v>
      </c>
      <c r="B267" s="176">
        <v>46025</v>
      </c>
      <c r="C267" s="172" t="s">
        <v>100</v>
      </c>
      <c r="D267" s="172" t="s">
        <v>103</v>
      </c>
      <c r="E267" s="172" t="s">
        <v>52</v>
      </c>
      <c r="F267" s="172" t="s">
        <v>90</v>
      </c>
      <c r="G267" s="172" t="s">
        <v>84</v>
      </c>
      <c r="H267" s="177">
        <v>1</v>
      </c>
      <c r="I267" s="178">
        <v>1621</v>
      </c>
      <c r="J267" s="176">
        <v>46011</v>
      </c>
      <c r="K267" s="172" t="s">
        <v>93</v>
      </c>
      <c r="L267" s="172" t="s">
        <v>94</v>
      </c>
      <c r="M267" s="179">
        <v>0</v>
      </c>
      <c r="N267" s="177"/>
      <c r="O267" s="177"/>
      <c r="P267" s="180">
        <v>1006.78</v>
      </c>
    </row>
    <row r="268" spans="1:16" ht="19.5" customHeight="1">
      <c r="A268" s="172" t="s">
        <v>713</v>
      </c>
      <c r="B268" s="176">
        <v>46025</v>
      </c>
      <c r="C268" s="172" t="s">
        <v>104</v>
      </c>
      <c r="D268" s="172" t="s">
        <v>105</v>
      </c>
      <c r="E268" s="172" t="s">
        <v>52</v>
      </c>
      <c r="F268" s="172" t="s">
        <v>90</v>
      </c>
      <c r="G268" s="172" t="s">
        <v>84</v>
      </c>
      <c r="H268" s="177">
        <v>1</v>
      </c>
      <c r="I268" s="178">
        <v>1621</v>
      </c>
      <c r="J268" s="176">
        <v>46011</v>
      </c>
      <c r="K268" s="172" t="s">
        <v>93</v>
      </c>
      <c r="L268" s="172" t="s">
        <v>94</v>
      </c>
      <c r="M268" s="179">
        <v>0.43</v>
      </c>
      <c r="N268" s="177"/>
      <c r="O268" s="177"/>
      <c r="P268" s="180">
        <v>-697.03</v>
      </c>
    </row>
    <row r="269" spans="1:16" ht="19.5" customHeight="1">
      <c r="A269" s="172" t="s">
        <v>713</v>
      </c>
      <c r="B269" s="176">
        <v>46025</v>
      </c>
      <c r="C269" s="172" t="s">
        <v>81</v>
      </c>
      <c r="D269" s="172" t="s">
        <v>95</v>
      </c>
      <c r="E269" s="172" t="s">
        <v>52</v>
      </c>
      <c r="F269" s="172" t="s">
        <v>90</v>
      </c>
      <c r="G269" s="172" t="s">
        <v>84</v>
      </c>
      <c r="H269" s="177">
        <v>1</v>
      </c>
      <c r="I269" s="178">
        <v>1621</v>
      </c>
      <c r="J269" s="176">
        <v>46011</v>
      </c>
      <c r="K269" s="172" t="s">
        <v>93</v>
      </c>
      <c r="L269" s="172" t="s">
        <v>94</v>
      </c>
      <c r="M269" s="179">
        <v>0.43</v>
      </c>
      <c r="N269" s="177"/>
      <c r="O269" s="177"/>
      <c r="P269" s="180">
        <v>-8.14</v>
      </c>
    </row>
    <row r="270" spans="1:16" ht="19.5" customHeight="1">
      <c r="A270" s="172" t="s">
        <v>714</v>
      </c>
      <c r="B270" s="176">
        <v>46025</v>
      </c>
      <c r="C270" s="172" t="s">
        <v>92</v>
      </c>
      <c r="D270" s="172" t="s">
        <v>24</v>
      </c>
      <c r="E270" s="172" t="s">
        <v>53</v>
      </c>
      <c r="F270" s="172" t="s">
        <v>120</v>
      </c>
      <c r="G270" s="172" t="s">
        <v>84</v>
      </c>
      <c r="H270" s="177">
        <v>1</v>
      </c>
      <c r="I270" s="178">
        <v>0</v>
      </c>
      <c r="J270" s="176">
        <v>46016</v>
      </c>
      <c r="K270" s="172" t="s">
        <v>93</v>
      </c>
      <c r="L270" s="172" t="s">
        <v>94</v>
      </c>
      <c r="M270" s="179">
        <v>0</v>
      </c>
      <c r="N270" s="177"/>
      <c r="O270" s="177">
        <v>43</v>
      </c>
      <c r="P270" s="180">
        <v>-56</v>
      </c>
    </row>
    <row r="271" spans="1:16" ht="19.5" customHeight="1">
      <c r="A271" s="172" t="s">
        <v>714</v>
      </c>
      <c r="B271" s="176">
        <v>46025</v>
      </c>
      <c r="C271" s="172" t="s">
        <v>81</v>
      </c>
      <c r="D271" s="172" t="s">
        <v>95</v>
      </c>
      <c r="E271" s="172" t="s">
        <v>53</v>
      </c>
      <c r="F271" s="172" t="s">
        <v>120</v>
      </c>
      <c r="G271" s="172" t="s">
        <v>84</v>
      </c>
      <c r="H271" s="177">
        <v>1</v>
      </c>
      <c r="I271" s="178">
        <v>0</v>
      </c>
      <c r="J271" s="176">
        <v>46016</v>
      </c>
      <c r="K271" s="172" t="s">
        <v>93</v>
      </c>
      <c r="L271" s="172" t="s">
        <v>94</v>
      </c>
      <c r="M271" s="179">
        <v>0</v>
      </c>
      <c r="N271" s="177"/>
      <c r="O271" s="177"/>
      <c r="P271" s="180">
        <v>-6.74</v>
      </c>
    </row>
    <row r="272" spans="1:16" ht="19.5" customHeight="1">
      <c r="A272" s="172" t="s">
        <v>714</v>
      </c>
      <c r="B272" s="176">
        <v>46025</v>
      </c>
      <c r="C272" s="172" t="s">
        <v>92</v>
      </c>
      <c r="D272" s="172" t="s">
        <v>96</v>
      </c>
      <c r="E272" s="172" t="s">
        <v>53</v>
      </c>
      <c r="F272" s="172" t="s">
        <v>120</v>
      </c>
      <c r="G272" s="172" t="s">
        <v>84</v>
      </c>
      <c r="H272" s="177">
        <v>1</v>
      </c>
      <c r="I272" s="178">
        <v>0</v>
      </c>
      <c r="J272" s="176">
        <v>46016</v>
      </c>
      <c r="K272" s="172" t="s">
        <v>93</v>
      </c>
      <c r="L272" s="172" t="s">
        <v>94</v>
      </c>
      <c r="M272" s="179">
        <v>0</v>
      </c>
      <c r="N272" s="177"/>
      <c r="O272" s="177"/>
      <c r="P272" s="180">
        <v>0</v>
      </c>
    </row>
    <row r="273" spans="1:16" ht="19.5" customHeight="1">
      <c r="A273" s="172" t="s">
        <v>714</v>
      </c>
      <c r="B273" s="176">
        <v>46025</v>
      </c>
      <c r="C273" s="172" t="s">
        <v>92</v>
      </c>
      <c r="D273" s="172" t="s">
        <v>97</v>
      </c>
      <c r="E273" s="172" t="s">
        <v>53</v>
      </c>
      <c r="F273" s="172" t="s">
        <v>120</v>
      </c>
      <c r="G273" s="172" t="s">
        <v>84</v>
      </c>
      <c r="H273" s="177">
        <v>1</v>
      </c>
      <c r="I273" s="178">
        <v>0</v>
      </c>
      <c r="J273" s="176">
        <v>46016</v>
      </c>
      <c r="K273" s="172" t="s">
        <v>93</v>
      </c>
      <c r="L273" s="172" t="s">
        <v>94</v>
      </c>
      <c r="M273" s="179">
        <v>0</v>
      </c>
      <c r="N273" s="177"/>
      <c r="O273" s="177"/>
      <c r="P273" s="180">
        <v>-56</v>
      </c>
    </row>
    <row r="274" spans="1:16" ht="19.5" customHeight="1">
      <c r="A274" s="172" t="s">
        <v>714</v>
      </c>
      <c r="B274" s="176">
        <v>46025</v>
      </c>
      <c r="C274" s="172" t="s">
        <v>81</v>
      </c>
      <c r="D274" s="172" t="s">
        <v>98</v>
      </c>
      <c r="E274" s="172" t="s">
        <v>53</v>
      </c>
      <c r="F274" s="172" t="s">
        <v>120</v>
      </c>
      <c r="G274" s="172" t="s">
        <v>84</v>
      </c>
      <c r="H274" s="177">
        <v>1</v>
      </c>
      <c r="I274" s="178">
        <v>0</v>
      </c>
      <c r="J274" s="176">
        <v>46016</v>
      </c>
      <c r="K274" s="172" t="s">
        <v>93</v>
      </c>
      <c r="L274" s="172" t="s">
        <v>94</v>
      </c>
      <c r="M274" s="179">
        <v>0</v>
      </c>
      <c r="N274" s="177"/>
      <c r="O274" s="177"/>
      <c r="P274" s="180">
        <v>-15</v>
      </c>
    </row>
    <row r="275" spans="1:16" ht="19.5" customHeight="1">
      <c r="A275" s="172" t="s">
        <v>715</v>
      </c>
      <c r="B275" s="176">
        <v>46025</v>
      </c>
      <c r="C275" s="172" t="s">
        <v>92</v>
      </c>
      <c r="D275" s="172" t="s">
        <v>24</v>
      </c>
      <c r="E275" s="172" t="s">
        <v>53</v>
      </c>
      <c r="F275" s="172" t="s">
        <v>120</v>
      </c>
      <c r="G275" s="172" t="s">
        <v>84</v>
      </c>
      <c r="H275" s="177">
        <v>1</v>
      </c>
      <c r="I275" s="178">
        <v>1845</v>
      </c>
      <c r="J275" s="176">
        <v>46023</v>
      </c>
      <c r="K275" s="172" t="s">
        <v>93</v>
      </c>
      <c r="L275" s="172" t="s">
        <v>94</v>
      </c>
      <c r="M275" s="179">
        <v>0.43</v>
      </c>
      <c r="N275" s="177"/>
      <c r="O275" s="177">
        <v>43</v>
      </c>
      <c r="P275" s="180">
        <v>-144.94999999999999</v>
      </c>
    </row>
    <row r="276" spans="1:16" ht="19.5" customHeight="1">
      <c r="A276" s="172" t="s">
        <v>715</v>
      </c>
      <c r="B276" s="176">
        <v>46025</v>
      </c>
      <c r="C276" s="172" t="s">
        <v>100</v>
      </c>
      <c r="D276" s="172" t="s">
        <v>101</v>
      </c>
      <c r="E276" s="172" t="s">
        <v>53</v>
      </c>
      <c r="F276" s="172" t="s">
        <v>120</v>
      </c>
      <c r="G276" s="172" t="s">
        <v>84</v>
      </c>
      <c r="H276" s="177">
        <v>1</v>
      </c>
      <c r="I276" s="178">
        <v>1845</v>
      </c>
      <c r="J276" s="176">
        <v>46023</v>
      </c>
      <c r="K276" s="172" t="s">
        <v>93</v>
      </c>
      <c r="L276" s="172" t="s">
        <v>94</v>
      </c>
      <c r="M276" s="179">
        <v>0</v>
      </c>
      <c r="N276" s="177"/>
      <c r="O276" s="177"/>
      <c r="P276" s="180">
        <v>639.80999999999995</v>
      </c>
    </row>
    <row r="277" spans="1:16" ht="19.5" customHeight="1">
      <c r="A277" s="172" t="s">
        <v>715</v>
      </c>
      <c r="B277" s="176">
        <v>46025</v>
      </c>
      <c r="C277" s="172" t="s">
        <v>100</v>
      </c>
      <c r="D277" s="172" t="s">
        <v>102</v>
      </c>
      <c r="E277" s="172" t="s">
        <v>53</v>
      </c>
      <c r="F277" s="172" t="s">
        <v>120</v>
      </c>
      <c r="G277" s="172" t="s">
        <v>84</v>
      </c>
      <c r="H277" s="177">
        <v>1</v>
      </c>
      <c r="I277" s="178">
        <v>1845</v>
      </c>
      <c r="J277" s="176">
        <v>46023</v>
      </c>
      <c r="K277" s="172" t="s">
        <v>93</v>
      </c>
      <c r="L277" s="172" t="s">
        <v>94</v>
      </c>
      <c r="M277" s="179">
        <v>0</v>
      </c>
      <c r="N277" s="177"/>
      <c r="O277" s="177"/>
      <c r="P277" s="180">
        <v>6.4</v>
      </c>
    </row>
    <row r="278" spans="1:16" ht="19.5" customHeight="1">
      <c r="A278" s="172" t="s">
        <v>715</v>
      </c>
      <c r="B278" s="176">
        <v>46025</v>
      </c>
      <c r="C278" s="172" t="s">
        <v>100</v>
      </c>
      <c r="D278" s="172" t="s">
        <v>103</v>
      </c>
      <c r="E278" s="172" t="s">
        <v>53</v>
      </c>
      <c r="F278" s="172" t="s">
        <v>120</v>
      </c>
      <c r="G278" s="172" t="s">
        <v>84</v>
      </c>
      <c r="H278" s="177">
        <v>1</v>
      </c>
      <c r="I278" s="178">
        <v>1845</v>
      </c>
      <c r="J278" s="176">
        <v>46023</v>
      </c>
      <c r="K278" s="172" t="s">
        <v>93</v>
      </c>
      <c r="L278" s="172" t="s">
        <v>94</v>
      </c>
      <c r="M278" s="179">
        <v>0</v>
      </c>
      <c r="N278" s="177"/>
      <c r="O278" s="177"/>
      <c r="P278" s="180">
        <v>1198.79</v>
      </c>
    </row>
    <row r="279" spans="1:16" ht="19.5" customHeight="1">
      <c r="A279" s="172" t="s">
        <v>715</v>
      </c>
      <c r="B279" s="176">
        <v>46025</v>
      </c>
      <c r="C279" s="172" t="s">
        <v>104</v>
      </c>
      <c r="D279" s="172" t="s">
        <v>105</v>
      </c>
      <c r="E279" s="172" t="s">
        <v>53</v>
      </c>
      <c r="F279" s="172" t="s">
        <v>120</v>
      </c>
      <c r="G279" s="172" t="s">
        <v>84</v>
      </c>
      <c r="H279" s="177">
        <v>1</v>
      </c>
      <c r="I279" s="178">
        <v>1845</v>
      </c>
      <c r="J279" s="176">
        <v>46023</v>
      </c>
      <c r="K279" s="172" t="s">
        <v>93</v>
      </c>
      <c r="L279" s="172" t="s">
        <v>94</v>
      </c>
      <c r="M279" s="179">
        <v>0.43</v>
      </c>
      <c r="N279" s="177"/>
      <c r="O279" s="177"/>
      <c r="P279" s="180">
        <v>-793.35</v>
      </c>
    </row>
    <row r="280" spans="1:16" ht="19.5" customHeight="1">
      <c r="A280" s="172" t="s">
        <v>715</v>
      </c>
      <c r="B280" s="176">
        <v>46025</v>
      </c>
      <c r="C280" s="172" t="s">
        <v>81</v>
      </c>
      <c r="D280" s="172" t="s">
        <v>95</v>
      </c>
      <c r="E280" s="172" t="s">
        <v>53</v>
      </c>
      <c r="F280" s="172" t="s">
        <v>120</v>
      </c>
      <c r="G280" s="172" t="s">
        <v>84</v>
      </c>
      <c r="H280" s="177">
        <v>1</v>
      </c>
      <c r="I280" s="178">
        <v>1845</v>
      </c>
      <c r="J280" s="176">
        <v>46023</v>
      </c>
      <c r="K280" s="172" t="s">
        <v>93</v>
      </c>
      <c r="L280" s="172" t="s">
        <v>94</v>
      </c>
      <c r="M280" s="179">
        <v>0.43</v>
      </c>
      <c r="N280" s="177"/>
      <c r="O280" s="177"/>
      <c r="P280" s="180">
        <v>-14.33</v>
      </c>
    </row>
    <row r="281" spans="1:16" ht="19.5" customHeight="1">
      <c r="A281" s="172" t="s">
        <v>716</v>
      </c>
      <c r="B281" s="176">
        <v>46025</v>
      </c>
      <c r="C281" s="172" t="s">
        <v>92</v>
      </c>
      <c r="D281" s="172" t="s">
        <v>24</v>
      </c>
      <c r="E281" s="172" t="s">
        <v>52</v>
      </c>
      <c r="F281" s="172" t="s">
        <v>90</v>
      </c>
      <c r="G281" s="172" t="s">
        <v>84</v>
      </c>
      <c r="H281" s="177">
        <v>1</v>
      </c>
      <c r="I281" s="178">
        <v>1621</v>
      </c>
      <c r="J281" s="176">
        <v>46023</v>
      </c>
      <c r="K281" s="172" t="s">
        <v>93</v>
      </c>
      <c r="L281" s="172" t="s">
        <v>94</v>
      </c>
      <c r="M281" s="179">
        <v>0.43</v>
      </c>
      <c r="N281" s="177"/>
      <c r="O281" s="177">
        <v>43</v>
      </c>
      <c r="P281" s="180">
        <v>-138.22999999999999</v>
      </c>
    </row>
    <row r="282" spans="1:16" ht="19.5" customHeight="1">
      <c r="A282" s="172" t="s">
        <v>716</v>
      </c>
      <c r="B282" s="176">
        <v>46025</v>
      </c>
      <c r="C282" s="172" t="s">
        <v>100</v>
      </c>
      <c r="D282" s="172" t="s">
        <v>101</v>
      </c>
      <c r="E282" s="172" t="s">
        <v>52</v>
      </c>
      <c r="F282" s="172" t="s">
        <v>90</v>
      </c>
      <c r="G282" s="172" t="s">
        <v>84</v>
      </c>
      <c r="H282" s="177">
        <v>1</v>
      </c>
      <c r="I282" s="178">
        <v>1621</v>
      </c>
      <c r="J282" s="176">
        <v>46023</v>
      </c>
      <c r="K282" s="172" t="s">
        <v>93</v>
      </c>
      <c r="L282" s="172" t="s">
        <v>94</v>
      </c>
      <c r="M282" s="179">
        <v>0</v>
      </c>
      <c r="N282" s="177"/>
      <c r="O282" s="177"/>
      <c r="P282" s="180">
        <v>554.5</v>
      </c>
    </row>
    <row r="283" spans="1:16" ht="19.5" customHeight="1">
      <c r="A283" s="172" t="s">
        <v>716</v>
      </c>
      <c r="B283" s="176">
        <v>46025</v>
      </c>
      <c r="C283" s="172" t="s">
        <v>100</v>
      </c>
      <c r="D283" s="172" t="s">
        <v>102</v>
      </c>
      <c r="E283" s="172" t="s">
        <v>52</v>
      </c>
      <c r="F283" s="172" t="s">
        <v>90</v>
      </c>
      <c r="G283" s="172" t="s">
        <v>84</v>
      </c>
      <c r="H283" s="177">
        <v>1</v>
      </c>
      <c r="I283" s="178">
        <v>1621</v>
      </c>
      <c r="J283" s="176">
        <v>46023</v>
      </c>
      <c r="K283" s="172" t="s">
        <v>93</v>
      </c>
      <c r="L283" s="172" t="s">
        <v>94</v>
      </c>
      <c r="M283" s="179">
        <v>0</v>
      </c>
      <c r="N283" s="177"/>
      <c r="O283" s="177"/>
      <c r="P283" s="180">
        <v>5.55</v>
      </c>
    </row>
    <row r="284" spans="1:16" ht="19.5" customHeight="1">
      <c r="A284" s="172" t="s">
        <v>716</v>
      </c>
      <c r="B284" s="176">
        <v>46025</v>
      </c>
      <c r="C284" s="172" t="s">
        <v>100</v>
      </c>
      <c r="D284" s="172" t="s">
        <v>103</v>
      </c>
      <c r="E284" s="172" t="s">
        <v>52</v>
      </c>
      <c r="F284" s="172" t="s">
        <v>90</v>
      </c>
      <c r="G284" s="172" t="s">
        <v>84</v>
      </c>
      <c r="H284" s="177">
        <v>1</v>
      </c>
      <c r="I284" s="178">
        <v>1621</v>
      </c>
      <c r="J284" s="176">
        <v>46023</v>
      </c>
      <c r="K284" s="172" t="s">
        <v>93</v>
      </c>
      <c r="L284" s="172" t="s">
        <v>94</v>
      </c>
      <c r="M284" s="179">
        <v>0</v>
      </c>
      <c r="N284" s="177"/>
      <c r="O284" s="177"/>
      <c r="P284" s="180">
        <v>1060.95</v>
      </c>
    </row>
    <row r="285" spans="1:16" ht="19.5" customHeight="1">
      <c r="A285" s="172" t="s">
        <v>716</v>
      </c>
      <c r="B285" s="176">
        <v>46025</v>
      </c>
      <c r="C285" s="172" t="s">
        <v>104</v>
      </c>
      <c r="D285" s="172" t="s">
        <v>105</v>
      </c>
      <c r="E285" s="172" t="s">
        <v>52</v>
      </c>
      <c r="F285" s="172" t="s">
        <v>90</v>
      </c>
      <c r="G285" s="172" t="s">
        <v>84</v>
      </c>
      <c r="H285" s="177">
        <v>1</v>
      </c>
      <c r="I285" s="178">
        <v>1621</v>
      </c>
      <c r="J285" s="176">
        <v>46023</v>
      </c>
      <c r="K285" s="172" t="s">
        <v>93</v>
      </c>
      <c r="L285" s="172" t="s">
        <v>94</v>
      </c>
      <c r="M285" s="179">
        <v>0.43</v>
      </c>
      <c r="N285" s="177"/>
      <c r="O285" s="177"/>
      <c r="P285" s="180">
        <v>-697.03</v>
      </c>
    </row>
    <row r="286" spans="1:16" ht="19.5" customHeight="1">
      <c r="A286" s="172" t="s">
        <v>716</v>
      </c>
      <c r="B286" s="176">
        <v>46025</v>
      </c>
      <c r="C286" s="172" t="s">
        <v>81</v>
      </c>
      <c r="D286" s="172" t="s">
        <v>95</v>
      </c>
      <c r="E286" s="172" t="s">
        <v>52</v>
      </c>
      <c r="F286" s="172" t="s">
        <v>90</v>
      </c>
      <c r="G286" s="172" t="s">
        <v>84</v>
      </c>
      <c r="H286" s="177">
        <v>1</v>
      </c>
      <c r="I286" s="178">
        <v>1621</v>
      </c>
      <c r="J286" s="176">
        <v>46023</v>
      </c>
      <c r="K286" s="172" t="s">
        <v>93</v>
      </c>
      <c r="L286" s="172" t="s">
        <v>94</v>
      </c>
      <c r="M286" s="179">
        <v>0.43</v>
      </c>
      <c r="N286" s="177"/>
      <c r="O286" s="177"/>
      <c r="P286" s="180">
        <v>-8.4499999999999993</v>
      </c>
    </row>
    <row r="287" spans="1:16" ht="19.5" customHeight="1">
      <c r="A287" s="172" t="s">
        <v>717</v>
      </c>
      <c r="B287" s="176">
        <v>46025</v>
      </c>
      <c r="C287" s="172" t="s">
        <v>81</v>
      </c>
      <c r="D287" s="172" t="s">
        <v>82</v>
      </c>
      <c r="E287" s="172" t="s">
        <v>53</v>
      </c>
      <c r="F287" s="172" t="s">
        <v>120</v>
      </c>
      <c r="G287" s="172" t="s">
        <v>84</v>
      </c>
      <c r="H287" s="177">
        <v>1</v>
      </c>
      <c r="I287" s="178">
        <v>0</v>
      </c>
      <c r="J287" s="176">
        <v>46025</v>
      </c>
      <c r="K287" s="172" t="s">
        <v>85</v>
      </c>
      <c r="L287" s="172" t="s">
        <v>85</v>
      </c>
      <c r="M287" s="179">
        <v>0</v>
      </c>
      <c r="N287" s="177"/>
      <c r="O287" s="177"/>
      <c r="P287" s="180">
        <v>-12.21</v>
      </c>
    </row>
    <row r="288" spans="1:16" ht="19.5" customHeight="1">
      <c r="A288" s="172" t="s">
        <v>718</v>
      </c>
      <c r="B288" s="176">
        <v>46025</v>
      </c>
      <c r="C288" s="172" t="s">
        <v>81</v>
      </c>
      <c r="D288" s="172" t="s">
        <v>82</v>
      </c>
      <c r="E288" s="172" t="s">
        <v>53</v>
      </c>
      <c r="F288" s="172" t="s">
        <v>120</v>
      </c>
      <c r="G288" s="172" t="s">
        <v>84</v>
      </c>
      <c r="H288" s="177">
        <v>1</v>
      </c>
      <c r="I288" s="178">
        <v>0</v>
      </c>
      <c r="J288" s="176">
        <v>46025</v>
      </c>
      <c r="K288" s="172" t="s">
        <v>85</v>
      </c>
      <c r="L288" s="172" t="s">
        <v>85</v>
      </c>
      <c r="M288" s="179">
        <v>0</v>
      </c>
      <c r="N288" s="177"/>
      <c r="O288" s="177"/>
      <c r="P288" s="180">
        <v>-3.77</v>
      </c>
    </row>
    <row r="289" spans="1:16" ht="19.5" customHeight="1">
      <c r="A289" s="172" t="s">
        <v>249</v>
      </c>
      <c r="B289" s="176">
        <v>46025</v>
      </c>
      <c r="C289" s="172" t="s">
        <v>81</v>
      </c>
      <c r="D289" s="172" t="s">
        <v>82</v>
      </c>
      <c r="E289" s="172" t="s">
        <v>43</v>
      </c>
      <c r="F289" s="172" t="s">
        <v>125</v>
      </c>
      <c r="G289" s="172" t="s">
        <v>84</v>
      </c>
      <c r="H289" s="177">
        <v>1</v>
      </c>
      <c r="I289" s="178">
        <v>0</v>
      </c>
      <c r="J289" s="176">
        <v>46025</v>
      </c>
      <c r="K289" s="172" t="s">
        <v>85</v>
      </c>
      <c r="L289" s="172" t="s">
        <v>85</v>
      </c>
      <c r="M289" s="179">
        <v>0</v>
      </c>
      <c r="N289" s="177"/>
      <c r="O289" s="177"/>
      <c r="P289" s="180">
        <v>-7.96</v>
      </c>
    </row>
    <row r="290" spans="1:16" ht="19.5" customHeight="1">
      <c r="A290" s="172" t="s">
        <v>719</v>
      </c>
      <c r="B290" s="176">
        <v>46025</v>
      </c>
      <c r="C290" s="172" t="s">
        <v>81</v>
      </c>
      <c r="D290" s="172" t="s">
        <v>82</v>
      </c>
      <c r="E290" s="172" t="s">
        <v>43</v>
      </c>
      <c r="F290" s="172" t="s">
        <v>125</v>
      </c>
      <c r="G290" s="172" t="s">
        <v>84</v>
      </c>
      <c r="H290" s="177">
        <v>1</v>
      </c>
      <c r="I290" s="178">
        <v>0</v>
      </c>
      <c r="J290" s="176">
        <v>46025</v>
      </c>
      <c r="K290" s="172" t="s">
        <v>85</v>
      </c>
      <c r="L290" s="172" t="s">
        <v>85</v>
      </c>
      <c r="M290" s="179">
        <v>0</v>
      </c>
      <c r="N290" s="177"/>
      <c r="O290" s="177"/>
      <c r="P290" s="180">
        <v>-8.5399999999999991</v>
      </c>
    </row>
    <row r="291" spans="1:16" ht="19.5" customHeight="1">
      <c r="A291" s="172" t="s">
        <v>720</v>
      </c>
      <c r="B291" s="176">
        <v>46025</v>
      </c>
      <c r="C291" s="172" t="s">
        <v>81</v>
      </c>
      <c r="D291" s="172" t="s">
        <v>82</v>
      </c>
      <c r="E291" s="172" t="s">
        <v>52</v>
      </c>
      <c r="F291" s="172" t="s">
        <v>90</v>
      </c>
      <c r="G291" s="172" t="s">
        <v>84</v>
      </c>
      <c r="H291" s="177">
        <v>1</v>
      </c>
      <c r="I291" s="178">
        <v>0</v>
      </c>
      <c r="J291" s="176">
        <v>46025</v>
      </c>
      <c r="K291" s="172" t="s">
        <v>85</v>
      </c>
      <c r="L291" s="172" t="s">
        <v>85</v>
      </c>
      <c r="M291" s="179">
        <v>0</v>
      </c>
      <c r="N291" s="177"/>
      <c r="O291" s="177"/>
      <c r="P291" s="180">
        <v>-10.58</v>
      </c>
    </row>
    <row r="292" spans="1:16" ht="19.5" customHeight="1">
      <c r="A292" s="172" t="s">
        <v>142</v>
      </c>
      <c r="B292" s="176">
        <v>46025</v>
      </c>
      <c r="C292" s="172" t="s">
        <v>109</v>
      </c>
      <c r="D292" s="172" t="s">
        <v>143</v>
      </c>
      <c r="E292" s="172" t="s">
        <v>85</v>
      </c>
      <c r="F292" s="172" t="s">
        <v>85</v>
      </c>
      <c r="G292" s="172" t="s">
        <v>85</v>
      </c>
      <c r="H292" s="177">
        <v>0</v>
      </c>
      <c r="I292" s="178">
        <v>0</v>
      </c>
      <c r="J292" s="176">
        <v>46025</v>
      </c>
      <c r="K292" s="172" t="s">
        <v>85</v>
      </c>
      <c r="L292" s="172" t="s">
        <v>85</v>
      </c>
      <c r="M292" s="179">
        <v>0</v>
      </c>
      <c r="N292" s="177"/>
      <c r="O292" s="177"/>
      <c r="P292" s="180">
        <v>-3526.32</v>
      </c>
    </row>
    <row r="293" spans="1:16" ht="19.5" customHeight="1">
      <c r="A293" s="172" t="s">
        <v>144</v>
      </c>
      <c r="B293" s="176">
        <v>46025</v>
      </c>
      <c r="C293" s="172" t="s">
        <v>109</v>
      </c>
      <c r="D293" s="172" t="s">
        <v>139</v>
      </c>
      <c r="E293" s="172" t="s">
        <v>85</v>
      </c>
      <c r="F293" s="172" t="s">
        <v>85</v>
      </c>
      <c r="G293" s="172" t="s">
        <v>85</v>
      </c>
      <c r="H293" s="177">
        <v>0</v>
      </c>
      <c r="I293" s="178">
        <v>0</v>
      </c>
      <c r="J293" s="176">
        <v>46025</v>
      </c>
      <c r="K293" s="172" t="s">
        <v>85</v>
      </c>
      <c r="L293" s="172" t="s">
        <v>85</v>
      </c>
      <c r="M293" s="179">
        <v>0</v>
      </c>
      <c r="N293" s="177"/>
      <c r="O293" s="177"/>
      <c r="P293" s="180">
        <v>-2168.1799999999998</v>
      </c>
    </row>
    <row r="294" spans="1:16" ht="19.5" customHeight="1">
      <c r="A294" s="172" t="s">
        <v>138</v>
      </c>
      <c r="B294" s="176">
        <v>46025</v>
      </c>
      <c r="C294" s="172" t="s">
        <v>109</v>
      </c>
      <c r="D294" s="172" t="s">
        <v>139</v>
      </c>
      <c r="E294" s="172" t="s">
        <v>85</v>
      </c>
      <c r="F294" s="172" t="s">
        <v>85</v>
      </c>
      <c r="G294" s="172" t="s">
        <v>85</v>
      </c>
      <c r="H294" s="177">
        <v>0</v>
      </c>
      <c r="I294" s="178">
        <v>0</v>
      </c>
      <c r="J294" s="176">
        <v>46025</v>
      </c>
      <c r="K294" s="172" t="s">
        <v>85</v>
      </c>
      <c r="L294" s="172" t="s">
        <v>85</v>
      </c>
      <c r="M294" s="179">
        <v>0</v>
      </c>
      <c r="N294" s="177"/>
      <c r="O294" s="177"/>
      <c r="P294" s="180">
        <v>-2194.5300000000002</v>
      </c>
    </row>
    <row r="295" spans="1:16" ht="19.5" customHeight="1">
      <c r="A295" s="172" t="s">
        <v>410</v>
      </c>
      <c r="B295" s="176">
        <v>46025</v>
      </c>
      <c r="C295" s="172" t="s">
        <v>109</v>
      </c>
      <c r="D295" s="172" t="s">
        <v>139</v>
      </c>
      <c r="E295" s="172" t="s">
        <v>85</v>
      </c>
      <c r="F295" s="172" t="s">
        <v>85</v>
      </c>
      <c r="G295" s="172" t="s">
        <v>85</v>
      </c>
      <c r="H295" s="177">
        <v>0</v>
      </c>
      <c r="I295" s="178">
        <v>0</v>
      </c>
      <c r="J295" s="176">
        <v>46025</v>
      </c>
      <c r="K295" s="172" t="s">
        <v>85</v>
      </c>
      <c r="L295" s="172" t="s">
        <v>85</v>
      </c>
      <c r="M295" s="179">
        <v>0</v>
      </c>
      <c r="N295" s="177"/>
      <c r="O295" s="177"/>
      <c r="P295" s="180">
        <v>-1137.83</v>
      </c>
    </row>
    <row r="296" spans="1:16" ht="19.5" customHeight="1">
      <c r="A296" s="172" t="s">
        <v>721</v>
      </c>
      <c r="B296" s="176">
        <v>46026</v>
      </c>
      <c r="C296" s="172" t="s">
        <v>92</v>
      </c>
      <c r="D296" s="172" t="s">
        <v>24</v>
      </c>
      <c r="E296" s="172" t="s">
        <v>53</v>
      </c>
      <c r="F296" s="172" t="s">
        <v>120</v>
      </c>
      <c r="G296" s="172" t="s">
        <v>84</v>
      </c>
      <c r="H296" s="177">
        <v>1</v>
      </c>
      <c r="I296" s="178">
        <v>0</v>
      </c>
      <c r="J296" s="176">
        <v>46006</v>
      </c>
      <c r="K296" s="172" t="s">
        <v>93</v>
      </c>
      <c r="L296" s="172" t="s">
        <v>94</v>
      </c>
      <c r="M296" s="179">
        <v>0</v>
      </c>
      <c r="N296" s="177"/>
      <c r="O296" s="177">
        <v>46</v>
      </c>
      <c r="P296" s="180">
        <v>-56</v>
      </c>
    </row>
    <row r="297" spans="1:16" ht="19.5" customHeight="1">
      <c r="A297" s="172" t="s">
        <v>721</v>
      </c>
      <c r="B297" s="176">
        <v>46026</v>
      </c>
      <c r="C297" s="172" t="s">
        <v>81</v>
      </c>
      <c r="D297" s="172" t="s">
        <v>95</v>
      </c>
      <c r="E297" s="172" t="s">
        <v>53</v>
      </c>
      <c r="F297" s="172" t="s">
        <v>120</v>
      </c>
      <c r="G297" s="172" t="s">
        <v>84</v>
      </c>
      <c r="H297" s="177">
        <v>1</v>
      </c>
      <c r="I297" s="178">
        <v>0</v>
      </c>
      <c r="J297" s="176">
        <v>46006</v>
      </c>
      <c r="K297" s="172" t="s">
        <v>93</v>
      </c>
      <c r="L297" s="172" t="s">
        <v>94</v>
      </c>
      <c r="M297" s="179">
        <v>0</v>
      </c>
      <c r="N297" s="177"/>
      <c r="O297" s="177"/>
      <c r="P297" s="180">
        <v>-14.84</v>
      </c>
    </row>
    <row r="298" spans="1:16" ht="19.5" customHeight="1">
      <c r="A298" s="172" t="s">
        <v>721</v>
      </c>
      <c r="B298" s="176">
        <v>46026</v>
      </c>
      <c r="C298" s="172" t="s">
        <v>92</v>
      </c>
      <c r="D298" s="172" t="s">
        <v>96</v>
      </c>
      <c r="E298" s="172" t="s">
        <v>53</v>
      </c>
      <c r="F298" s="172" t="s">
        <v>120</v>
      </c>
      <c r="G298" s="172" t="s">
        <v>84</v>
      </c>
      <c r="H298" s="177">
        <v>1</v>
      </c>
      <c r="I298" s="178">
        <v>0</v>
      </c>
      <c r="J298" s="176">
        <v>46006</v>
      </c>
      <c r="K298" s="172" t="s">
        <v>93</v>
      </c>
      <c r="L298" s="172" t="s">
        <v>94</v>
      </c>
      <c r="M298" s="179">
        <v>0</v>
      </c>
      <c r="N298" s="177"/>
      <c r="O298" s="177"/>
      <c r="P298" s="180">
        <v>0</v>
      </c>
    </row>
    <row r="299" spans="1:16" ht="19.5" customHeight="1">
      <c r="A299" s="172" t="s">
        <v>721</v>
      </c>
      <c r="B299" s="176">
        <v>46026</v>
      </c>
      <c r="C299" s="172" t="s">
        <v>92</v>
      </c>
      <c r="D299" s="172" t="s">
        <v>97</v>
      </c>
      <c r="E299" s="172" t="s">
        <v>53</v>
      </c>
      <c r="F299" s="172" t="s">
        <v>120</v>
      </c>
      <c r="G299" s="172" t="s">
        <v>84</v>
      </c>
      <c r="H299" s="177">
        <v>1</v>
      </c>
      <c r="I299" s="178">
        <v>0</v>
      </c>
      <c r="J299" s="176">
        <v>46006</v>
      </c>
      <c r="K299" s="172" t="s">
        <v>93</v>
      </c>
      <c r="L299" s="172" t="s">
        <v>94</v>
      </c>
      <c r="M299" s="179">
        <v>0</v>
      </c>
      <c r="N299" s="177"/>
      <c r="O299" s="177"/>
      <c r="P299" s="180">
        <v>-56</v>
      </c>
    </row>
    <row r="300" spans="1:16" ht="19.5" customHeight="1">
      <c r="A300" s="172" t="s">
        <v>721</v>
      </c>
      <c r="B300" s="176">
        <v>46026</v>
      </c>
      <c r="C300" s="172" t="s">
        <v>81</v>
      </c>
      <c r="D300" s="172" t="s">
        <v>98</v>
      </c>
      <c r="E300" s="172" t="s">
        <v>53</v>
      </c>
      <c r="F300" s="172" t="s">
        <v>120</v>
      </c>
      <c r="G300" s="172" t="s">
        <v>84</v>
      </c>
      <c r="H300" s="177">
        <v>1</v>
      </c>
      <c r="I300" s="178">
        <v>0</v>
      </c>
      <c r="J300" s="176">
        <v>46006</v>
      </c>
      <c r="K300" s="172" t="s">
        <v>93</v>
      </c>
      <c r="L300" s="172" t="s">
        <v>94</v>
      </c>
      <c r="M300" s="179">
        <v>0</v>
      </c>
      <c r="N300" s="177"/>
      <c r="O300" s="177"/>
      <c r="P300" s="180">
        <v>-15</v>
      </c>
    </row>
    <row r="301" spans="1:16" ht="19.5" customHeight="1">
      <c r="A301" s="172" t="s">
        <v>722</v>
      </c>
      <c r="B301" s="176">
        <v>46026</v>
      </c>
      <c r="C301" s="172" t="s">
        <v>81</v>
      </c>
      <c r="D301" s="172" t="s">
        <v>82</v>
      </c>
      <c r="E301" s="172" t="s">
        <v>41</v>
      </c>
      <c r="F301" s="172" t="s">
        <v>83</v>
      </c>
      <c r="G301" s="172" t="s">
        <v>84</v>
      </c>
      <c r="H301" s="177">
        <v>1</v>
      </c>
      <c r="I301" s="178">
        <v>0</v>
      </c>
      <c r="J301" s="176">
        <v>46026</v>
      </c>
      <c r="K301" s="172" t="s">
        <v>85</v>
      </c>
      <c r="L301" s="172" t="s">
        <v>85</v>
      </c>
      <c r="M301" s="179">
        <v>0</v>
      </c>
      <c r="N301" s="177"/>
      <c r="O301" s="177"/>
      <c r="P301" s="180">
        <v>-10.51</v>
      </c>
    </row>
    <row r="302" spans="1:16" ht="19.5" customHeight="1">
      <c r="A302" s="172" t="s">
        <v>723</v>
      </c>
      <c r="B302" s="176">
        <v>46026</v>
      </c>
      <c r="C302" s="172" t="s">
        <v>92</v>
      </c>
      <c r="D302" s="172" t="s">
        <v>24</v>
      </c>
      <c r="E302" s="172" t="s">
        <v>42</v>
      </c>
      <c r="F302" s="172" t="s">
        <v>89</v>
      </c>
      <c r="G302" s="172" t="s">
        <v>84</v>
      </c>
      <c r="H302" s="177">
        <v>1</v>
      </c>
      <c r="I302" s="178">
        <v>0</v>
      </c>
      <c r="J302" s="176">
        <v>46012</v>
      </c>
      <c r="K302" s="172" t="s">
        <v>93</v>
      </c>
      <c r="L302" s="172" t="s">
        <v>94</v>
      </c>
      <c r="M302" s="179">
        <v>0</v>
      </c>
      <c r="N302" s="177"/>
      <c r="O302" s="177">
        <v>43</v>
      </c>
      <c r="P302" s="180">
        <v>-46.77</v>
      </c>
    </row>
    <row r="303" spans="1:16" ht="19.5" customHeight="1">
      <c r="A303" s="172" t="s">
        <v>723</v>
      </c>
      <c r="B303" s="176">
        <v>46026</v>
      </c>
      <c r="C303" s="172" t="s">
        <v>92</v>
      </c>
      <c r="D303" s="172" t="s">
        <v>96</v>
      </c>
      <c r="E303" s="172" t="s">
        <v>42</v>
      </c>
      <c r="F303" s="172" t="s">
        <v>89</v>
      </c>
      <c r="G303" s="172" t="s">
        <v>84</v>
      </c>
      <c r="H303" s="177">
        <v>1</v>
      </c>
      <c r="I303" s="178">
        <v>0</v>
      </c>
      <c r="J303" s="176">
        <v>46012</v>
      </c>
      <c r="K303" s="172" t="s">
        <v>93</v>
      </c>
      <c r="L303" s="172" t="s">
        <v>94</v>
      </c>
      <c r="M303" s="179">
        <v>0</v>
      </c>
      <c r="N303" s="177"/>
      <c r="O303" s="177"/>
      <c r="P303" s="180">
        <v>0</v>
      </c>
    </row>
    <row r="304" spans="1:16" ht="19.5" customHeight="1">
      <c r="A304" s="172" t="s">
        <v>723</v>
      </c>
      <c r="B304" s="176">
        <v>46026</v>
      </c>
      <c r="C304" s="172" t="s">
        <v>92</v>
      </c>
      <c r="D304" s="172" t="s">
        <v>97</v>
      </c>
      <c r="E304" s="172" t="s">
        <v>42</v>
      </c>
      <c r="F304" s="172" t="s">
        <v>89</v>
      </c>
      <c r="G304" s="172" t="s">
        <v>84</v>
      </c>
      <c r="H304" s="177">
        <v>1</v>
      </c>
      <c r="I304" s="178">
        <v>0</v>
      </c>
      <c r="J304" s="176">
        <v>46012</v>
      </c>
      <c r="K304" s="172" t="s">
        <v>93</v>
      </c>
      <c r="L304" s="172" t="s">
        <v>94</v>
      </c>
      <c r="M304" s="179">
        <v>0</v>
      </c>
      <c r="N304" s="177"/>
      <c r="O304" s="177"/>
      <c r="P304" s="180">
        <v>-46.77</v>
      </c>
    </row>
    <row r="305" spans="1:16" ht="19.5" customHeight="1">
      <c r="A305" s="172" t="s">
        <v>723</v>
      </c>
      <c r="B305" s="176">
        <v>46026</v>
      </c>
      <c r="C305" s="172" t="s">
        <v>81</v>
      </c>
      <c r="D305" s="172" t="s">
        <v>98</v>
      </c>
      <c r="E305" s="172" t="s">
        <v>42</v>
      </c>
      <c r="F305" s="172" t="s">
        <v>89</v>
      </c>
      <c r="G305" s="172" t="s">
        <v>84</v>
      </c>
      <c r="H305" s="177">
        <v>1</v>
      </c>
      <c r="I305" s="178">
        <v>0</v>
      </c>
      <c r="J305" s="176">
        <v>46012</v>
      </c>
      <c r="K305" s="172" t="s">
        <v>93</v>
      </c>
      <c r="L305" s="172" t="s">
        <v>94</v>
      </c>
      <c r="M305" s="179">
        <v>0</v>
      </c>
      <c r="N305" s="177"/>
      <c r="O305" s="177"/>
      <c r="P305" s="180">
        <v>-15</v>
      </c>
    </row>
    <row r="306" spans="1:16" ht="19.5" customHeight="1">
      <c r="A306" s="172" t="s">
        <v>724</v>
      </c>
      <c r="B306" s="176">
        <v>46026</v>
      </c>
      <c r="C306" s="172" t="s">
        <v>92</v>
      </c>
      <c r="D306" s="172" t="s">
        <v>24</v>
      </c>
      <c r="E306" s="172" t="s">
        <v>53</v>
      </c>
      <c r="F306" s="172" t="s">
        <v>120</v>
      </c>
      <c r="G306" s="172" t="s">
        <v>84</v>
      </c>
      <c r="H306" s="177">
        <v>1</v>
      </c>
      <c r="I306" s="178">
        <v>1621</v>
      </c>
      <c r="J306" s="176">
        <v>46018</v>
      </c>
      <c r="K306" s="172" t="s">
        <v>93</v>
      </c>
      <c r="L306" s="172" t="s">
        <v>94</v>
      </c>
      <c r="M306" s="179">
        <v>0.43</v>
      </c>
      <c r="N306" s="177"/>
      <c r="O306" s="177">
        <v>42</v>
      </c>
      <c r="P306" s="180">
        <v>-134.12</v>
      </c>
    </row>
    <row r="307" spans="1:16" ht="19.5" customHeight="1">
      <c r="A307" s="172" t="s">
        <v>724</v>
      </c>
      <c r="B307" s="176">
        <v>46026</v>
      </c>
      <c r="C307" s="172" t="s">
        <v>100</v>
      </c>
      <c r="D307" s="172" t="s">
        <v>101</v>
      </c>
      <c r="E307" s="172" t="s">
        <v>53</v>
      </c>
      <c r="F307" s="172" t="s">
        <v>120</v>
      </c>
      <c r="G307" s="172" t="s">
        <v>84</v>
      </c>
      <c r="H307" s="177">
        <v>1</v>
      </c>
      <c r="I307" s="178">
        <v>1621</v>
      </c>
      <c r="J307" s="176">
        <v>46018</v>
      </c>
      <c r="K307" s="172" t="s">
        <v>93</v>
      </c>
      <c r="L307" s="172" t="s">
        <v>94</v>
      </c>
      <c r="M307" s="179">
        <v>0</v>
      </c>
      <c r="N307" s="177"/>
      <c r="O307" s="177"/>
      <c r="P307" s="180">
        <v>563.80999999999995</v>
      </c>
    </row>
    <row r="308" spans="1:16" ht="19.5" customHeight="1">
      <c r="A308" s="172" t="s">
        <v>724</v>
      </c>
      <c r="B308" s="176">
        <v>46026</v>
      </c>
      <c r="C308" s="172" t="s">
        <v>100</v>
      </c>
      <c r="D308" s="172" t="s">
        <v>102</v>
      </c>
      <c r="E308" s="172" t="s">
        <v>53</v>
      </c>
      <c r="F308" s="172" t="s">
        <v>120</v>
      </c>
      <c r="G308" s="172" t="s">
        <v>84</v>
      </c>
      <c r="H308" s="177">
        <v>1</v>
      </c>
      <c r="I308" s="178">
        <v>1621</v>
      </c>
      <c r="J308" s="176">
        <v>46018</v>
      </c>
      <c r="K308" s="172" t="s">
        <v>93</v>
      </c>
      <c r="L308" s="172" t="s">
        <v>94</v>
      </c>
      <c r="M308" s="179">
        <v>0</v>
      </c>
      <c r="N308" s="177"/>
      <c r="O308" s="177"/>
      <c r="P308" s="180">
        <v>5.64</v>
      </c>
    </row>
    <row r="309" spans="1:16" ht="19.5" customHeight="1">
      <c r="A309" s="172" t="s">
        <v>724</v>
      </c>
      <c r="B309" s="176">
        <v>46026</v>
      </c>
      <c r="C309" s="172" t="s">
        <v>100</v>
      </c>
      <c r="D309" s="172" t="s">
        <v>103</v>
      </c>
      <c r="E309" s="172" t="s">
        <v>53</v>
      </c>
      <c r="F309" s="172" t="s">
        <v>120</v>
      </c>
      <c r="G309" s="172" t="s">
        <v>84</v>
      </c>
      <c r="H309" s="177">
        <v>1</v>
      </c>
      <c r="I309" s="178">
        <v>1621</v>
      </c>
      <c r="J309" s="176">
        <v>46018</v>
      </c>
      <c r="K309" s="172" t="s">
        <v>93</v>
      </c>
      <c r="L309" s="172" t="s">
        <v>94</v>
      </c>
      <c r="M309" s="179">
        <v>0</v>
      </c>
      <c r="N309" s="177"/>
      <c r="O309" s="177"/>
      <c r="P309" s="180">
        <v>1051.55</v>
      </c>
    </row>
    <row r="310" spans="1:16" ht="19.5" customHeight="1">
      <c r="A310" s="172" t="s">
        <v>724</v>
      </c>
      <c r="B310" s="176">
        <v>46026</v>
      </c>
      <c r="C310" s="172" t="s">
        <v>104</v>
      </c>
      <c r="D310" s="172" t="s">
        <v>105</v>
      </c>
      <c r="E310" s="172" t="s">
        <v>53</v>
      </c>
      <c r="F310" s="172" t="s">
        <v>120</v>
      </c>
      <c r="G310" s="172" t="s">
        <v>84</v>
      </c>
      <c r="H310" s="177">
        <v>1</v>
      </c>
      <c r="I310" s="178">
        <v>1621</v>
      </c>
      <c r="J310" s="176">
        <v>46018</v>
      </c>
      <c r="K310" s="172" t="s">
        <v>93</v>
      </c>
      <c r="L310" s="172" t="s">
        <v>94</v>
      </c>
      <c r="M310" s="179">
        <v>0.43</v>
      </c>
      <c r="N310" s="177"/>
      <c r="O310" s="177"/>
      <c r="P310" s="180">
        <v>-697.03</v>
      </c>
    </row>
    <row r="311" spans="1:16" ht="19.5" customHeight="1">
      <c r="A311" s="172" t="s">
        <v>724</v>
      </c>
      <c r="B311" s="176">
        <v>46026</v>
      </c>
      <c r="C311" s="172" t="s">
        <v>81</v>
      </c>
      <c r="D311" s="172" t="s">
        <v>95</v>
      </c>
      <c r="E311" s="172" t="s">
        <v>53</v>
      </c>
      <c r="F311" s="172" t="s">
        <v>120</v>
      </c>
      <c r="G311" s="172" t="s">
        <v>84</v>
      </c>
      <c r="H311" s="177">
        <v>1</v>
      </c>
      <c r="I311" s="178">
        <v>1621</v>
      </c>
      <c r="J311" s="176">
        <v>46018</v>
      </c>
      <c r="K311" s="172" t="s">
        <v>93</v>
      </c>
      <c r="L311" s="172" t="s">
        <v>94</v>
      </c>
      <c r="M311" s="179">
        <v>0.43</v>
      </c>
      <c r="N311" s="177"/>
      <c r="O311" s="177"/>
      <c r="P311" s="180">
        <v>-12.84</v>
      </c>
    </row>
    <row r="312" spans="1:16" ht="19.5" customHeight="1">
      <c r="A312" s="172" t="s">
        <v>725</v>
      </c>
      <c r="B312" s="176">
        <v>46026</v>
      </c>
      <c r="C312" s="172" t="s">
        <v>92</v>
      </c>
      <c r="D312" s="172" t="s">
        <v>24</v>
      </c>
      <c r="E312" s="172" t="s">
        <v>53</v>
      </c>
      <c r="F312" s="172" t="s">
        <v>120</v>
      </c>
      <c r="G312" s="172" t="s">
        <v>84</v>
      </c>
      <c r="H312" s="177">
        <v>1</v>
      </c>
      <c r="I312" s="178">
        <v>0</v>
      </c>
      <c r="J312" s="176">
        <v>46015</v>
      </c>
      <c r="K312" s="172" t="s">
        <v>93</v>
      </c>
      <c r="L312" s="172" t="s">
        <v>94</v>
      </c>
      <c r="M312" s="179">
        <v>0</v>
      </c>
      <c r="N312" s="177"/>
      <c r="O312" s="177">
        <v>43</v>
      </c>
      <c r="P312" s="180">
        <v>-56</v>
      </c>
    </row>
    <row r="313" spans="1:16" ht="19.5" customHeight="1">
      <c r="A313" s="172" t="s">
        <v>725</v>
      </c>
      <c r="B313" s="176">
        <v>46026</v>
      </c>
      <c r="C313" s="172" t="s">
        <v>81</v>
      </c>
      <c r="D313" s="172" t="s">
        <v>95</v>
      </c>
      <c r="E313" s="172" t="s">
        <v>53</v>
      </c>
      <c r="F313" s="172" t="s">
        <v>120</v>
      </c>
      <c r="G313" s="172" t="s">
        <v>84</v>
      </c>
      <c r="H313" s="177">
        <v>1</v>
      </c>
      <c r="I313" s="178">
        <v>0</v>
      </c>
      <c r="J313" s="176">
        <v>46015</v>
      </c>
      <c r="K313" s="172" t="s">
        <v>93</v>
      </c>
      <c r="L313" s="172" t="s">
        <v>94</v>
      </c>
      <c r="M313" s="179">
        <v>0</v>
      </c>
      <c r="N313" s="177"/>
      <c r="O313" s="177"/>
      <c r="P313" s="180">
        <v>-9.09</v>
      </c>
    </row>
    <row r="314" spans="1:16" ht="19.5" customHeight="1">
      <c r="A314" s="172" t="s">
        <v>726</v>
      </c>
      <c r="B314" s="176">
        <v>46026</v>
      </c>
      <c r="C314" s="172" t="s">
        <v>92</v>
      </c>
      <c r="D314" s="172" t="s">
        <v>272</v>
      </c>
      <c r="E314" s="172" t="s">
        <v>53</v>
      </c>
      <c r="F314" s="172" t="s">
        <v>120</v>
      </c>
      <c r="G314" s="172" t="s">
        <v>84</v>
      </c>
      <c r="H314" s="177">
        <v>1</v>
      </c>
      <c r="I314" s="178">
        <v>0</v>
      </c>
      <c r="J314" s="176">
        <v>46014</v>
      </c>
      <c r="K314" s="172" t="s">
        <v>93</v>
      </c>
      <c r="L314" s="172" t="s">
        <v>94</v>
      </c>
      <c r="M314" s="179">
        <v>0</v>
      </c>
      <c r="N314" s="177"/>
      <c r="O314" s="177"/>
      <c r="P314" s="180">
        <v>0</v>
      </c>
    </row>
    <row r="315" spans="1:16" ht="19.5" customHeight="1">
      <c r="A315" s="172" t="s">
        <v>726</v>
      </c>
      <c r="B315" s="176">
        <v>46026</v>
      </c>
      <c r="C315" s="172" t="s">
        <v>92</v>
      </c>
      <c r="D315" s="172" t="s">
        <v>97</v>
      </c>
      <c r="E315" s="172" t="s">
        <v>53</v>
      </c>
      <c r="F315" s="172" t="s">
        <v>120</v>
      </c>
      <c r="G315" s="172" t="s">
        <v>84</v>
      </c>
      <c r="H315" s="177">
        <v>1</v>
      </c>
      <c r="I315" s="178">
        <v>0</v>
      </c>
      <c r="J315" s="176">
        <v>46014</v>
      </c>
      <c r="K315" s="172" t="s">
        <v>93</v>
      </c>
      <c r="L315" s="172" t="s">
        <v>94</v>
      </c>
      <c r="M315" s="179">
        <v>0</v>
      </c>
      <c r="N315" s="177"/>
      <c r="O315" s="177"/>
      <c r="P315" s="180">
        <v>-56</v>
      </c>
    </row>
    <row r="316" spans="1:16" ht="19.5" customHeight="1">
      <c r="A316" s="172" t="s">
        <v>726</v>
      </c>
      <c r="B316" s="176">
        <v>46026</v>
      </c>
      <c r="C316" s="172" t="s">
        <v>81</v>
      </c>
      <c r="D316" s="172" t="s">
        <v>98</v>
      </c>
      <c r="E316" s="172" t="s">
        <v>53</v>
      </c>
      <c r="F316" s="172" t="s">
        <v>120</v>
      </c>
      <c r="G316" s="172" t="s">
        <v>84</v>
      </c>
      <c r="H316" s="177">
        <v>1</v>
      </c>
      <c r="I316" s="178">
        <v>0</v>
      </c>
      <c r="J316" s="176">
        <v>46014</v>
      </c>
      <c r="K316" s="172" t="s">
        <v>93</v>
      </c>
      <c r="L316" s="172" t="s">
        <v>94</v>
      </c>
      <c r="M316" s="179">
        <v>0</v>
      </c>
      <c r="N316" s="177"/>
      <c r="O316" s="177"/>
      <c r="P316" s="180">
        <v>-15</v>
      </c>
    </row>
    <row r="317" spans="1:16" ht="19.5" customHeight="1">
      <c r="A317" s="172" t="s">
        <v>725</v>
      </c>
      <c r="B317" s="176">
        <v>46026</v>
      </c>
      <c r="C317" s="172" t="s">
        <v>92</v>
      </c>
      <c r="D317" s="172" t="s">
        <v>96</v>
      </c>
      <c r="E317" s="172" t="s">
        <v>53</v>
      </c>
      <c r="F317" s="172" t="s">
        <v>120</v>
      </c>
      <c r="G317" s="172" t="s">
        <v>84</v>
      </c>
      <c r="H317" s="177">
        <v>1</v>
      </c>
      <c r="I317" s="178">
        <v>0</v>
      </c>
      <c r="J317" s="176">
        <v>46015</v>
      </c>
      <c r="K317" s="172" t="s">
        <v>93</v>
      </c>
      <c r="L317" s="172" t="s">
        <v>94</v>
      </c>
      <c r="M317" s="179">
        <v>0</v>
      </c>
      <c r="N317" s="177"/>
      <c r="O317" s="177"/>
      <c r="P317" s="180">
        <v>0</v>
      </c>
    </row>
    <row r="318" spans="1:16" ht="19.5" customHeight="1">
      <c r="A318" s="172" t="s">
        <v>725</v>
      </c>
      <c r="B318" s="176">
        <v>46026</v>
      </c>
      <c r="C318" s="172" t="s">
        <v>92</v>
      </c>
      <c r="D318" s="172" t="s">
        <v>97</v>
      </c>
      <c r="E318" s="172" t="s">
        <v>53</v>
      </c>
      <c r="F318" s="172" t="s">
        <v>120</v>
      </c>
      <c r="G318" s="172" t="s">
        <v>84</v>
      </c>
      <c r="H318" s="177">
        <v>1</v>
      </c>
      <c r="I318" s="178">
        <v>0</v>
      </c>
      <c r="J318" s="176">
        <v>46015</v>
      </c>
      <c r="K318" s="172" t="s">
        <v>93</v>
      </c>
      <c r="L318" s="172" t="s">
        <v>94</v>
      </c>
      <c r="M318" s="179">
        <v>0</v>
      </c>
      <c r="N318" s="177"/>
      <c r="O318" s="177"/>
      <c r="P318" s="180">
        <v>-56</v>
      </c>
    </row>
    <row r="319" spans="1:16" ht="19.5" customHeight="1">
      <c r="A319" s="172" t="s">
        <v>725</v>
      </c>
      <c r="B319" s="176">
        <v>46026</v>
      </c>
      <c r="C319" s="172" t="s">
        <v>81</v>
      </c>
      <c r="D319" s="172" t="s">
        <v>98</v>
      </c>
      <c r="E319" s="172" t="s">
        <v>53</v>
      </c>
      <c r="F319" s="172" t="s">
        <v>120</v>
      </c>
      <c r="G319" s="172" t="s">
        <v>84</v>
      </c>
      <c r="H319" s="177">
        <v>1</v>
      </c>
      <c r="I319" s="178">
        <v>0</v>
      </c>
      <c r="J319" s="176">
        <v>46015</v>
      </c>
      <c r="K319" s="172" t="s">
        <v>93</v>
      </c>
      <c r="L319" s="172" t="s">
        <v>94</v>
      </c>
      <c r="M319" s="179">
        <v>0</v>
      </c>
      <c r="N319" s="177"/>
      <c r="O319" s="177"/>
      <c r="P319" s="180">
        <v>-15</v>
      </c>
    </row>
    <row r="320" spans="1:16" ht="19.5" customHeight="1">
      <c r="A320" s="172" t="s">
        <v>724</v>
      </c>
      <c r="B320" s="176">
        <v>46026</v>
      </c>
      <c r="C320" s="172" t="s">
        <v>81</v>
      </c>
      <c r="D320" s="172" t="s">
        <v>82</v>
      </c>
      <c r="E320" s="172" t="s">
        <v>53</v>
      </c>
      <c r="F320" s="172" t="s">
        <v>120</v>
      </c>
      <c r="G320" s="172" t="s">
        <v>84</v>
      </c>
      <c r="H320" s="177">
        <v>1</v>
      </c>
      <c r="I320" s="178">
        <v>0</v>
      </c>
      <c r="J320" s="176">
        <v>46018</v>
      </c>
      <c r="K320" s="172" t="s">
        <v>85</v>
      </c>
      <c r="L320" s="172" t="s">
        <v>85</v>
      </c>
      <c r="M320" s="179">
        <v>0</v>
      </c>
      <c r="N320" s="177"/>
      <c r="O320" s="177"/>
      <c r="P320" s="180">
        <v>-10.71</v>
      </c>
    </row>
    <row r="321" spans="1:16" ht="19.5" customHeight="1">
      <c r="A321" s="172" t="s">
        <v>727</v>
      </c>
      <c r="B321" s="176">
        <v>46026</v>
      </c>
      <c r="C321" s="172" t="s">
        <v>81</v>
      </c>
      <c r="D321" s="172" t="s">
        <v>82</v>
      </c>
      <c r="E321" s="172" t="s">
        <v>41</v>
      </c>
      <c r="F321" s="172" t="s">
        <v>83</v>
      </c>
      <c r="G321" s="172" t="s">
        <v>84</v>
      </c>
      <c r="H321" s="177">
        <v>1</v>
      </c>
      <c r="I321" s="178">
        <v>0</v>
      </c>
      <c r="J321" s="176">
        <v>46026</v>
      </c>
      <c r="K321" s="172" t="s">
        <v>85</v>
      </c>
      <c r="L321" s="172" t="s">
        <v>85</v>
      </c>
      <c r="M321" s="179">
        <v>0</v>
      </c>
      <c r="N321" s="177"/>
      <c r="O321" s="177"/>
      <c r="P321" s="180">
        <v>-10.51</v>
      </c>
    </row>
    <row r="322" spans="1:16" ht="19.5" customHeight="1">
      <c r="A322" s="172" t="s">
        <v>728</v>
      </c>
      <c r="B322" s="176">
        <v>46026</v>
      </c>
      <c r="C322" s="172" t="s">
        <v>81</v>
      </c>
      <c r="D322" s="172" t="s">
        <v>82</v>
      </c>
      <c r="E322" s="172" t="s">
        <v>52</v>
      </c>
      <c r="F322" s="172" t="s">
        <v>90</v>
      </c>
      <c r="G322" s="172" t="s">
        <v>84</v>
      </c>
      <c r="H322" s="177">
        <v>1</v>
      </c>
      <c r="I322" s="178">
        <v>0</v>
      </c>
      <c r="J322" s="176">
        <v>46026</v>
      </c>
      <c r="K322" s="172" t="s">
        <v>85</v>
      </c>
      <c r="L322" s="172" t="s">
        <v>85</v>
      </c>
      <c r="M322" s="179">
        <v>0</v>
      </c>
      <c r="N322" s="177"/>
      <c r="O322" s="177"/>
      <c r="P322" s="180">
        <v>-4.38</v>
      </c>
    </row>
    <row r="323" spans="1:16" ht="19.5" customHeight="1">
      <c r="A323" s="172" t="s">
        <v>85</v>
      </c>
      <c r="B323" s="176">
        <v>46026</v>
      </c>
      <c r="C323" s="172" t="s">
        <v>109</v>
      </c>
      <c r="D323" s="172" t="s">
        <v>110</v>
      </c>
      <c r="E323" s="172" t="s">
        <v>85</v>
      </c>
      <c r="F323" s="172" t="s">
        <v>85</v>
      </c>
      <c r="G323" s="172" t="s">
        <v>729</v>
      </c>
      <c r="H323" s="177">
        <v>0</v>
      </c>
      <c r="I323" s="178">
        <v>0</v>
      </c>
      <c r="J323" s="176">
        <v>46026</v>
      </c>
      <c r="K323" s="172" t="s">
        <v>85</v>
      </c>
      <c r="L323" s="172" t="s">
        <v>85</v>
      </c>
      <c r="M323" s="179">
        <v>0</v>
      </c>
      <c r="N323" s="177"/>
      <c r="O323" s="177"/>
      <c r="P323" s="180">
        <v>-150</v>
      </c>
    </row>
    <row r="324" spans="1:16" ht="19.5" customHeight="1">
      <c r="A324" s="172" t="s">
        <v>730</v>
      </c>
      <c r="B324" s="176">
        <v>46026</v>
      </c>
      <c r="C324" s="172" t="s">
        <v>81</v>
      </c>
      <c r="D324" s="172" t="s">
        <v>82</v>
      </c>
      <c r="E324" s="172" t="s">
        <v>53</v>
      </c>
      <c r="F324" s="172" t="s">
        <v>120</v>
      </c>
      <c r="G324" s="172" t="s">
        <v>84</v>
      </c>
      <c r="H324" s="177">
        <v>1</v>
      </c>
      <c r="I324" s="178">
        <v>0</v>
      </c>
      <c r="J324" s="176">
        <v>46026</v>
      </c>
      <c r="K324" s="172" t="s">
        <v>85</v>
      </c>
      <c r="L324" s="172" t="s">
        <v>85</v>
      </c>
      <c r="M324" s="179">
        <v>0</v>
      </c>
      <c r="N324" s="177"/>
      <c r="O324" s="177"/>
      <c r="P324" s="180">
        <v>-12.21</v>
      </c>
    </row>
    <row r="325" spans="1:16" ht="19.5" customHeight="1">
      <c r="A325" s="172" t="s">
        <v>731</v>
      </c>
      <c r="B325" s="176">
        <v>46026</v>
      </c>
      <c r="C325" s="172" t="s">
        <v>92</v>
      </c>
      <c r="D325" s="172" t="s">
        <v>24</v>
      </c>
      <c r="E325" s="172" t="s">
        <v>53</v>
      </c>
      <c r="F325" s="172" t="s">
        <v>120</v>
      </c>
      <c r="G325" s="172" t="s">
        <v>84</v>
      </c>
      <c r="H325" s="177">
        <v>1</v>
      </c>
      <c r="I325" s="178">
        <v>1845</v>
      </c>
      <c r="J325" s="176">
        <v>46024</v>
      </c>
      <c r="K325" s="172" t="s">
        <v>93</v>
      </c>
      <c r="L325" s="172" t="s">
        <v>94</v>
      </c>
      <c r="M325" s="179">
        <v>0.43</v>
      </c>
      <c r="N325" s="177"/>
      <c r="O325" s="177">
        <v>42</v>
      </c>
      <c r="P325" s="180">
        <v>-140.5</v>
      </c>
    </row>
    <row r="326" spans="1:16" ht="19.5" customHeight="1">
      <c r="A326" s="172" t="s">
        <v>731</v>
      </c>
      <c r="B326" s="176">
        <v>46026</v>
      </c>
      <c r="C326" s="172" t="s">
        <v>100</v>
      </c>
      <c r="D326" s="172" t="s">
        <v>101</v>
      </c>
      <c r="E326" s="172" t="s">
        <v>53</v>
      </c>
      <c r="F326" s="172" t="s">
        <v>120</v>
      </c>
      <c r="G326" s="172" t="s">
        <v>84</v>
      </c>
      <c r="H326" s="177">
        <v>1</v>
      </c>
      <c r="I326" s="178">
        <v>1845</v>
      </c>
      <c r="J326" s="176">
        <v>46024</v>
      </c>
      <c r="K326" s="172" t="s">
        <v>93</v>
      </c>
      <c r="L326" s="172" t="s">
        <v>94</v>
      </c>
      <c r="M326" s="179">
        <v>0</v>
      </c>
      <c r="N326" s="177"/>
      <c r="O326" s="177"/>
      <c r="P326" s="180">
        <v>642.86</v>
      </c>
    </row>
    <row r="327" spans="1:16" ht="19.5" customHeight="1">
      <c r="A327" s="172" t="s">
        <v>731</v>
      </c>
      <c r="B327" s="176">
        <v>46026</v>
      </c>
      <c r="C327" s="172" t="s">
        <v>100</v>
      </c>
      <c r="D327" s="172" t="s">
        <v>102</v>
      </c>
      <c r="E327" s="172" t="s">
        <v>53</v>
      </c>
      <c r="F327" s="172" t="s">
        <v>120</v>
      </c>
      <c r="G327" s="172" t="s">
        <v>84</v>
      </c>
      <c r="H327" s="177">
        <v>1</v>
      </c>
      <c r="I327" s="178">
        <v>1845</v>
      </c>
      <c r="J327" s="176">
        <v>46024</v>
      </c>
      <c r="K327" s="172" t="s">
        <v>93</v>
      </c>
      <c r="L327" s="172" t="s">
        <v>94</v>
      </c>
      <c r="M327" s="179">
        <v>0</v>
      </c>
      <c r="N327" s="177"/>
      <c r="O327" s="177"/>
      <c r="P327" s="180">
        <v>6.43</v>
      </c>
    </row>
    <row r="328" spans="1:16" ht="19.5" customHeight="1">
      <c r="A328" s="172" t="s">
        <v>731</v>
      </c>
      <c r="B328" s="176">
        <v>46026</v>
      </c>
      <c r="C328" s="172" t="s">
        <v>100</v>
      </c>
      <c r="D328" s="172" t="s">
        <v>103</v>
      </c>
      <c r="E328" s="172" t="s">
        <v>53</v>
      </c>
      <c r="F328" s="172" t="s">
        <v>120</v>
      </c>
      <c r="G328" s="172" t="s">
        <v>84</v>
      </c>
      <c r="H328" s="177">
        <v>1</v>
      </c>
      <c r="I328" s="178">
        <v>1845</v>
      </c>
      <c r="J328" s="176">
        <v>46024</v>
      </c>
      <c r="K328" s="172" t="s">
        <v>93</v>
      </c>
      <c r="L328" s="172" t="s">
        <v>94</v>
      </c>
      <c r="M328" s="179">
        <v>0</v>
      </c>
      <c r="N328" s="177"/>
      <c r="O328" s="177"/>
      <c r="P328" s="180">
        <v>1195.71</v>
      </c>
    </row>
    <row r="329" spans="1:16" ht="19.5" customHeight="1">
      <c r="A329" s="172" t="s">
        <v>731</v>
      </c>
      <c r="B329" s="176">
        <v>46026</v>
      </c>
      <c r="C329" s="172" t="s">
        <v>104</v>
      </c>
      <c r="D329" s="172" t="s">
        <v>105</v>
      </c>
      <c r="E329" s="172" t="s">
        <v>53</v>
      </c>
      <c r="F329" s="172" t="s">
        <v>120</v>
      </c>
      <c r="G329" s="172" t="s">
        <v>84</v>
      </c>
      <c r="H329" s="177">
        <v>1</v>
      </c>
      <c r="I329" s="178">
        <v>1845</v>
      </c>
      <c r="J329" s="176">
        <v>46024</v>
      </c>
      <c r="K329" s="172" t="s">
        <v>93</v>
      </c>
      <c r="L329" s="172" t="s">
        <v>94</v>
      </c>
      <c r="M329" s="179">
        <v>0.43</v>
      </c>
      <c r="N329" s="177"/>
      <c r="O329" s="177"/>
      <c r="P329" s="180">
        <v>-793.35</v>
      </c>
    </row>
    <row r="330" spans="1:16" ht="19.5" customHeight="1">
      <c r="A330" s="172" t="s">
        <v>731</v>
      </c>
      <c r="B330" s="176">
        <v>46026</v>
      </c>
      <c r="C330" s="172" t="s">
        <v>81</v>
      </c>
      <c r="D330" s="172" t="s">
        <v>95</v>
      </c>
      <c r="E330" s="172" t="s">
        <v>53</v>
      </c>
      <c r="F330" s="172" t="s">
        <v>120</v>
      </c>
      <c r="G330" s="172" t="s">
        <v>84</v>
      </c>
      <c r="H330" s="177">
        <v>1</v>
      </c>
      <c r="I330" s="178">
        <v>1845</v>
      </c>
      <c r="J330" s="176">
        <v>46024</v>
      </c>
      <c r="K330" s="172" t="s">
        <v>93</v>
      </c>
      <c r="L330" s="172" t="s">
        <v>94</v>
      </c>
      <c r="M330" s="179">
        <v>0.43</v>
      </c>
      <c r="N330" s="177"/>
      <c r="O330" s="177"/>
      <c r="P330" s="180">
        <v>-11.68</v>
      </c>
    </row>
    <row r="331" spans="1:16" ht="19.5" customHeight="1">
      <c r="A331" s="172" t="s">
        <v>732</v>
      </c>
      <c r="B331" s="176">
        <v>46026</v>
      </c>
      <c r="C331" s="172" t="s">
        <v>81</v>
      </c>
      <c r="D331" s="172" t="s">
        <v>82</v>
      </c>
      <c r="E331" s="172" t="s">
        <v>52</v>
      </c>
      <c r="F331" s="172" t="s">
        <v>90</v>
      </c>
      <c r="G331" s="172" t="s">
        <v>84</v>
      </c>
      <c r="H331" s="177">
        <v>1</v>
      </c>
      <c r="I331" s="178">
        <v>0</v>
      </c>
      <c r="J331" s="176">
        <v>46026</v>
      </c>
      <c r="K331" s="172" t="s">
        <v>85</v>
      </c>
      <c r="L331" s="172" t="s">
        <v>85</v>
      </c>
      <c r="M331" s="179">
        <v>0</v>
      </c>
      <c r="N331" s="177"/>
      <c r="O331" s="177"/>
      <c r="P331" s="180">
        <v>-10.59</v>
      </c>
    </row>
    <row r="332" spans="1:16" ht="19.5" customHeight="1">
      <c r="A332" s="172" t="s">
        <v>731</v>
      </c>
      <c r="B332" s="176">
        <v>46026</v>
      </c>
      <c r="C332" s="172" t="s">
        <v>81</v>
      </c>
      <c r="D332" s="172" t="s">
        <v>82</v>
      </c>
      <c r="E332" s="172" t="s">
        <v>53</v>
      </c>
      <c r="F332" s="172" t="s">
        <v>120</v>
      </c>
      <c r="G332" s="172" t="s">
        <v>84</v>
      </c>
      <c r="H332" s="177">
        <v>1</v>
      </c>
      <c r="I332" s="178">
        <v>0</v>
      </c>
      <c r="J332" s="176">
        <v>46024</v>
      </c>
      <c r="K332" s="172" t="s">
        <v>85</v>
      </c>
      <c r="L332" s="172" t="s">
        <v>85</v>
      </c>
      <c r="M332" s="179">
        <v>0</v>
      </c>
      <c r="N332" s="177"/>
      <c r="O332" s="177"/>
      <c r="P332" s="180">
        <v>-12.21</v>
      </c>
    </row>
    <row r="333" spans="1:16" ht="19.5" customHeight="1">
      <c r="A333" s="172" t="s">
        <v>733</v>
      </c>
      <c r="B333" s="176">
        <v>46026</v>
      </c>
      <c r="C333" s="172" t="s">
        <v>92</v>
      </c>
      <c r="D333" s="172" t="s">
        <v>24</v>
      </c>
      <c r="E333" s="172" t="s">
        <v>39</v>
      </c>
      <c r="F333" s="172" t="s">
        <v>117</v>
      </c>
      <c r="G333" s="172" t="s">
        <v>84</v>
      </c>
      <c r="H333" s="177">
        <v>1</v>
      </c>
      <c r="I333" s="178">
        <v>1650</v>
      </c>
      <c r="J333" s="176">
        <v>46020</v>
      </c>
      <c r="K333" s="172" t="s">
        <v>93</v>
      </c>
      <c r="L333" s="172" t="s">
        <v>94</v>
      </c>
      <c r="M333" s="179">
        <v>0.43</v>
      </c>
      <c r="N333" s="177"/>
      <c r="O333" s="177">
        <v>41</v>
      </c>
      <c r="P333" s="180">
        <v>-116.58</v>
      </c>
    </row>
    <row r="334" spans="1:16" ht="19.5" customHeight="1">
      <c r="A334" s="172" t="s">
        <v>733</v>
      </c>
      <c r="B334" s="176">
        <v>46026</v>
      </c>
      <c r="C334" s="172" t="s">
        <v>100</v>
      </c>
      <c r="D334" s="172" t="s">
        <v>101</v>
      </c>
      <c r="E334" s="172" t="s">
        <v>39</v>
      </c>
      <c r="F334" s="172" t="s">
        <v>117</v>
      </c>
      <c r="G334" s="172" t="s">
        <v>84</v>
      </c>
      <c r="H334" s="177">
        <v>1</v>
      </c>
      <c r="I334" s="178">
        <v>1650</v>
      </c>
      <c r="J334" s="176">
        <v>46020</v>
      </c>
      <c r="K334" s="172" t="s">
        <v>93</v>
      </c>
      <c r="L334" s="172" t="s">
        <v>94</v>
      </c>
      <c r="M334" s="179">
        <v>0</v>
      </c>
      <c r="N334" s="177"/>
      <c r="O334" s="177"/>
      <c r="P334" s="180">
        <v>913.33</v>
      </c>
    </row>
    <row r="335" spans="1:16" ht="19.5" customHeight="1">
      <c r="A335" s="172" t="s">
        <v>733</v>
      </c>
      <c r="B335" s="176">
        <v>46026</v>
      </c>
      <c r="C335" s="172" t="s">
        <v>100</v>
      </c>
      <c r="D335" s="172" t="s">
        <v>102</v>
      </c>
      <c r="E335" s="172" t="s">
        <v>39</v>
      </c>
      <c r="F335" s="172" t="s">
        <v>117</v>
      </c>
      <c r="G335" s="172" t="s">
        <v>84</v>
      </c>
      <c r="H335" s="177">
        <v>1</v>
      </c>
      <c r="I335" s="178">
        <v>1650</v>
      </c>
      <c r="J335" s="176">
        <v>46020</v>
      </c>
      <c r="K335" s="172" t="s">
        <v>93</v>
      </c>
      <c r="L335" s="172" t="s">
        <v>94</v>
      </c>
      <c r="M335" s="179">
        <v>0</v>
      </c>
      <c r="N335" s="177"/>
      <c r="O335" s="177"/>
      <c r="P335" s="180">
        <v>0</v>
      </c>
    </row>
    <row r="336" spans="1:16" ht="19.5" customHeight="1">
      <c r="A336" s="172" t="s">
        <v>733</v>
      </c>
      <c r="B336" s="176">
        <v>46026</v>
      </c>
      <c r="C336" s="172" t="s">
        <v>100</v>
      </c>
      <c r="D336" s="172" t="s">
        <v>103</v>
      </c>
      <c r="E336" s="172" t="s">
        <v>39</v>
      </c>
      <c r="F336" s="172" t="s">
        <v>117</v>
      </c>
      <c r="G336" s="172" t="s">
        <v>84</v>
      </c>
      <c r="H336" s="177">
        <v>1</v>
      </c>
      <c r="I336" s="178">
        <v>1650</v>
      </c>
      <c r="J336" s="176">
        <v>46020</v>
      </c>
      <c r="K336" s="172" t="s">
        <v>93</v>
      </c>
      <c r="L336" s="172" t="s">
        <v>94</v>
      </c>
      <c r="M336" s="179">
        <v>0</v>
      </c>
      <c r="N336" s="177"/>
      <c r="O336" s="177"/>
      <c r="P336" s="180">
        <v>736.67</v>
      </c>
    </row>
    <row r="337" spans="1:16" ht="19.5" customHeight="1">
      <c r="A337" s="172" t="s">
        <v>733</v>
      </c>
      <c r="B337" s="176">
        <v>46026</v>
      </c>
      <c r="C337" s="172" t="s">
        <v>104</v>
      </c>
      <c r="D337" s="172" t="s">
        <v>105</v>
      </c>
      <c r="E337" s="172" t="s">
        <v>39</v>
      </c>
      <c r="F337" s="172" t="s">
        <v>117</v>
      </c>
      <c r="G337" s="172" t="s">
        <v>84</v>
      </c>
      <c r="H337" s="177">
        <v>1</v>
      </c>
      <c r="I337" s="178">
        <v>1650</v>
      </c>
      <c r="J337" s="176">
        <v>46020</v>
      </c>
      <c r="K337" s="172" t="s">
        <v>93</v>
      </c>
      <c r="L337" s="172" t="s">
        <v>94</v>
      </c>
      <c r="M337" s="179">
        <v>0.43</v>
      </c>
      <c r="N337" s="177"/>
      <c r="O337" s="177"/>
      <c r="P337" s="180">
        <v>-709.5</v>
      </c>
    </row>
    <row r="338" spans="1:16" ht="19.5" customHeight="1">
      <c r="A338" s="172" t="s">
        <v>733</v>
      </c>
      <c r="B338" s="176">
        <v>46026</v>
      </c>
      <c r="C338" s="172" t="s">
        <v>81</v>
      </c>
      <c r="D338" s="172" t="s">
        <v>95</v>
      </c>
      <c r="E338" s="172" t="s">
        <v>39</v>
      </c>
      <c r="F338" s="172" t="s">
        <v>117</v>
      </c>
      <c r="G338" s="172" t="s">
        <v>84</v>
      </c>
      <c r="H338" s="177">
        <v>1</v>
      </c>
      <c r="I338" s="178">
        <v>1650</v>
      </c>
      <c r="J338" s="176">
        <v>46020</v>
      </c>
      <c r="K338" s="172" t="s">
        <v>93</v>
      </c>
      <c r="L338" s="172" t="s">
        <v>94</v>
      </c>
      <c r="M338" s="179">
        <v>0.43</v>
      </c>
      <c r="N338" s="177"/>
      <c r="O338" s="177"/>
      <c r="P338" s="180">
        <v>-12.73</v>
      </c>
    </row>
    <row r="339" spans="1:16" ht="19.5" customHeight="1">
      <c r="A339" s="172" t="s">
        <v>734</v>
      </c>
      <c r="B339" s="176">
        <v>46026</v>
      </c>
      <c r="C339" s="172" t="s">
        <v>92</v>
      </c>
      <c r="D339" s="172" t="s">
        <v>24</v>
      </c>
      <c r="E339" s="172" t="s">
        <v>41</v>
      </c>
      <c r="F339" s="172" t="s">
        <v>83</v>
      </c>
      <c r="G339" s="172" t="s">
        <v>84</v>
      </c>
      <c r="H339" s="177">
        <v>1</v>
      </c>
      <c r="I339" s="178">
        <v>1600</v>
      </c>
      <c r="J339" s="176">
        <v>46019</v>
      </c>
      <c r="K339" s="172" t="s">
        <v>93</v>
      </c>
      <c r="L339" s="172" t="s">
        <v>94</v>
      </c>
      <c r="M339" s="179">
        <v>0.43</v>
      </c>
      <c r="N339" s="177"/>
      <c r="O339" s="177">
        <v>41</v>
      </c>
      <c r="P339" s="180">
        <v>-115.23</v>
      </c>
    </row>
    <row r="340" spans="1:16" ht="19.5" customHeight="1">
      <c r="A340" s="172" t="s">
        <v>734</v>
      </c>
      <c r="B340" s="176">
        <v>46026</v>
      </c>
      <c r="C340" s="172" t="s">
        <v>100</v>
      </c>
      <c r="D340" s="172" t="s">
        <v>101</v>
      </c>
      <c r="E340" s="172" t="s">
        <v>41</v>
      </c>
      <c r="F340" s="172" t="s">
        <v>83</v>
      </c>
      <c r="G340" s="172" t="s">
        <v>84</v>
      </c>
      <c r="H340" s="177">
        <v>1</v>
      </c>
      <c r="I340" s="178">
        <v>1600</v>
      </c>
      <c r="J340" s="176">
        <v>46019</v>
      </c>
      <c r="K340" s="172" t="s">
        <v>93</v>
      </c>
      <c r="L340" s="172" t="s">
        <v>94</v>
      </c>
      <c r="M340" s="179">
        <v>0</v>
      </c>
      <c r="N340" s="177"/>
      <c r="O340" s="177"/>
      <c r="P340" s="180">
        <v>549.52</v>
      </c>
    </row>
    <row r="341" spans="1:16" ht="19.5" customHeight="1">
      <c r="A341" s="172" t="s">
        <v>734</v>
      </c>
      <c r="B341" s="176">
        <v>46026</v>
      </c>
      <c r="C341" s="172" t="s">
        <v>100</v>
      </c>
      <c r="D341" s="172" t="s">
        <v>102</v>
      </c>
      <c r="E341" s="172" t="s">
        <v>41</v>
      </c>
      <c r="F341" s="172" t="s">
        <v>83</v>
      </c>
      <c r="G341" s="172" t="s">
        <v>84</v>
      </c>
      <c r="H341" s="177">
        <v>1</v>
      </c>
      <c r="I341" s="178">
        <v>1600</v>
      </c>
      <c r="J341" s="176">
        <v>46019</v>
      </c>
      <c r="K341" s="172" t="s">
        <v>93</v>
      </c>
      <c r="L341" s="172" t="s">
        <v>94</v>
      </c>
      <c r="M341" s="179">
        <v>0</v>
      </c>
      <c r="N341" s="177"/>
      <c r="O341" s="177"/>
      <c r="P341" s="180">
        <v>5.5</v>
      </c>
    </row>
    <row r="342" spans="1:16" ht="19.5" customHeight="1">
      <c r="A342" s="172" t="s">
        <v>734</v>
      </c>
      <c r="B342" s="176">
        <v>46026</v>
      </c>
      <c r="C342" s="172" t="s">
        <v>100</v>
      </c>
      <c r="D342" s="172" t="s">
        <v>103</v>
      </c>
      <c r="E342" s="172" t="s">
        <v>41</v>
      </c>
      <c r="F342" s="172" t="s">
        <v>83</v>
      </c>
      <c r="G342" s="172" t="s">
        <v>84</v>
      </c>
      <c r="H342" s="177">
        <v>1</v>
      </c>
      <c r="I342" s="178">
        <v>1600</v>
      </c>
      <c r="J342" s="176">
        <v>46019</v>
      </c>
      <c r="K342" s="172" t="s">
        <v>93</v>
      </c>
      <c r="L342" s="172" t="s">
        <v>94</v>
      </c>
      <c r="M342" s="179">
        <v>0</v>
      </c>
      <c r="N342" s="177"/>
      <c r="O342" s="177"/>
      <c r="P342" s="180">
        <v>1044.98</v>
      </c>
    </row>
    <row r="343" spans="1:16" ht="19.5" customHeight="1">
      <c r="A343" s="172" t="s">
        <v>734</v>
      </c>
      <c r="B343" s="176">
        <v>46026</v>
      </c>
      <c r="C343" s="172" t="s">
        <v>104</v>
      </c>
      <c r="D343" s="172" t="s">
        <v>105</v>
      </c>
      <c r="E343" s="172" t="s">
        <v>41</v>
      </c>
      <c r="F343" s="172" t="s">
        <v>83</v>
      </c>
      <c r="G343" s="172" t="s">
        <v>84</v>
      </c>
      <c r="H343" s="177">
        <v>1</v>
      </c>
      <c r="I343" s="178">
        <v>1600</v>
      </c>
      <c r="J343" s="176">
        <v>46019</v>
      </c>
      <c r="K343" s="172" t="s">
        <v>93</v>
      </c>
      <c r="L343" s="172" t="s">
        <v>94</v>
      </c>
      <c r="M343" s="179">
        <v>0.43</v>
      </c>
      <c r="N343" s="177"/>
      <c r="O343" s="177"/>
      <c r="P343" s="180">
        <v>-688</v>
      </c>
    </row>
    <row r="344" spans="1:16" ht="19.5" customHeight="1">
      <c r="A344" s="172" t="s">
        <v>735</v>
      </c>
      <c r="B344" s="176">
        <v>46026</v>
      </c>
      <c r="C344" s="172" t="s">
        <v>81</v>
      </c>
      <c r="D344" s="172" t="s">
        <v>82</v>
      </c>
      <c r="E344" s="172" t="s">
        <v>52</v>
      </c>
      <c r="F344" s="172" t="s">
        <v>90</v>
      </c>
      <c r="G344" s="172" t="s">
        <v>84</v>
      </c>
      <c r="H344" s="177">
        <v>1</v>
      </c>
      <c r="I344" s="178">
        <v>0</v>
      </c>
      <c r="J344" s="176">
        <v>46026</v>
      </c>
      <c r="K344" s="172" t="s">
        <v>85</v>
      </c>
      <c r="L344" s="172" t="s">
        <v>85</v>
      </c>
      <c r="M344" s="179">
        <v>0</v>
      </c>
      <c r="N344" s="177"/>
      <c r="O344" s="177"/>
      <c r="P344" s="180">
        <v>-8.89</v>
      </c>
    </row>
    <row r="345" spans="1:16" ht="19.5" customHeight="1">
      <c r="A345" s="172" t="s">
        <v>736</v>
      </c>
      <c r="B345" s="176">
        <v>46026</v>
      </c>
      <c r="C345" s="172" t="s">
        <v>92</v>
      </c>
      <c r="D345" s="172" t="s">
        <v>24</v>
      </c>
      <c r="E345" s="172" t="s">
        <v>53</v>
      </c>
      <c r="F345" s="172" t="s">
        <v>120</v>
      </c>
      <c r="G345" s="172" t="s">
        <v>84</v>
      </c>
      <c r="H345" s="177">
        <v>1</v>
      </c>
      <c r="I345" s="178">
        <v>1845</v>
      </c>
      <c r="J345" s="176">
        <v>46023</v>
      </c>
      <c r="K345" s="172" t="s">
        <v>93</v>
      </c>
      <c r="L345" s="172" t="s">
        <v>94</v>
      </c>
      <c r="M345" s="179">
        <v>0.43</v>
      </c>
      <c r="N345" s="177"/>
      <c r="O345" s="177">
        <v>43</v>
      </c>
      <c r="P345" s="180">
        <v>-144.94999999999999</v>
      </c>
    </row>
    <row r="346" spans="1:16" ht="19.5" customHeight="1">
      <c r="A346" s="172" t="s">
        <v>736</v>
      </c>
      <c r="B346" s="176">
        <v>46026</v>
      </c>
      <c r="C346" s="172" t="s">
        <v>100</v>
      </c>
      <c r="D346" s="172" t="s">
        <v>101</v>
      </c>
      <c r="E346" s="172" t="s">
        <v>53</v>
      </c>
      <c r="F346" s="172" t="s">
        <v>120</v>
      </c>
      <c r="G346" s="172" t="s">
        <v>84</v>
      </c>
      <c r="H346" s="177">
        <v>1</v>
      </c>
      <c r="I346" s="178">
        <v>1845</v>
      </c>
      <c r="J346" s="176">
        <v>46023</v>
      </c>
      <c r="K346" s="172" t="s">
        <v>93</v>
      </c>
      <c r="L346" s="172" t="s">
        <v>94</v>
      </c>
      <c r="M346" s="179">
        <v>0</v>
      </c>
      <c r="N346" s="177"/>
      <c r="O346" s="177"/>
      <c r="P346" s="180">
        <v>642.86</v>
      </c>
    </row>
    <row r="347" spans="1:16" ht="19.5" customHeight="1">
      <c r="A347" s="172" t="s">
        <v>736</v>
      </c>
      <c r="B347" s="176">
        <v>46026</v>
      </c>
      <c r="C347" s="172" t="s">
        <v>100</v>
      </c>
      <c r="D347" s="172" t="s">
        <v>102</v>
      </c>
      <c r="E347" s="172" t="s">
        <v>53</v>
      </c>
      <c r="F347" s="172" t="s">
        <v>120</v>
      </c>
      <c r="G347" s="172" t="s">
        <v>84</v>
      </c>
      <c r="H347" s="177">
        <v>1</v>
      </c>
      <c r="I347" s="178">
        <v>1845</v>
      </c>
      <c r="J347" s="176">
        <v>46023</v>
      </c>
      <c r="K347" s="172" t="s">
        <v>93</v>
      </c>
      <c r="L347" s="172" t="s">
        <v>94</v>
      </c>
      <c r="M347" s="179">
        <v>0</v>
      </c>
      <c r="N347" s="177"/>
      <c r="O347" s="177"/>
      <c r="P347" s="180">
        <v>6.43</v>
      </c>
    </row>
    <row r="348" spans="1:16" ht="19.5" customHeight="1">
      <c r="A348" s="172" t="s">
        <v>736</v>
      </c>
      <c r="B348" s="176">
        <v>46026</v>
      </c>
      <c r="C348" s="172" t="s">
        <v>100</v>
      </c>
      <c r="D348" s="172" t="s">
        <v>103</v>
      </c>
      <c r="E348" s="172" t="s">
        <v>53</v>
      </c>
      <c r="F348" s="172" t="s">
        <v>120</v>
      </c>
      <c r="G348" s="172" t="s">
        <v>84</v>
      </c>
      <c r="H348" s="177">
        <v>1</v>
      </c>
      <c r="I348" s="178">
        <v>1845</v>
      </c>
      <c r="J348" s="176">
        <v>46023</v>
      </c>
      <c r="K348" s="172" t="s">
        <v>93</v>
      </c>
      <c r="L348" s="172" t="s">
        <v>94</v>
      </c>
      <c r="M348" s="179">
        <v>0</v>
      </c>
      <c r="N348" s="177"/>
      <c r="O348" s="177"/>
      <c r="P348" s="180">
        <v>1195.71</v>
      </c>
    </row>
    <row r="349" spans="1:16" ht="19.5" customHeight="1">
      <c r="A349" s="172" t="s">
        <v>736</v>
      </c>
      <c r="B349" s="176">
        <v>46026</v>
      </c>
      <c r="C349" s="172" t="s">
        <v>104</v>
      </c>
      <c r="D349" s="172" t="s">
        <v>105</v>
      </c>
      <c r="E349" s="172" t="s">
        <v>53</v>
      </c>
      <c r="F349" s="172" t="s">
        <v>120</v>
      </c>
      <c r="G349" s="172" t="s">
        <v>84</v>
      </c>
      <c r="H349" s="177">
        <v>1</v>
      </c>
      <c r="I349" s="178">
        <v>1845</v>
      </c>
      <c r="J349" s="176">
        <v>46023</v>
      </c>
      <c r="K349" s="172" t="s">
        <v>93</v>
      </c>
      <c r="L349" s="172" t="s">
        <v>94</v>
      </c>
      <c r="M349" s="179">
        <v>0.43</v>
      </c>
      <c r="N349" s="177"/>
      <c r="O349" s="177"/>
      <c r="P349" s="180">
        <v>-793.35</v>
      </c>
    </row>
    <row r="350" spans="1:16" ht="19.5" customHeight="1">
      <c r="A350" s="172" t="s">
        <v>737</v>
      </c>
      <c r="B350" s="176">
        <v>46026</v>
      </c>
      <c r="C350" s="172" t="s">
        <v>81</v>
      </c>
      <c r="D350" s="172" t="s">
        <v>82</v>
      </c>
      <c r="E350" s="172" t="s">
        <v>41</v>
      </c>
      <c r="F350" s="172" t="s">
        <v>83</v>
      </c>
      <c r="G350" s="172" t="s">
        <v>84</v>
      </c>
      <c r="H350" s="177">
        <v>1</v>
      </c>
      <c r="I350" s="178">
        <v>0</v>
      </c>
      <c r="J350" s="176">
        <v>46026</v>
      </c>
      <c r="K350" s="172" t="s">
        <v>85</v>
      </c>
      <c r="L350" s="172" t="s">
        <v>85</v>
      </c>
      <c r="M350" s="179">
        <v>0</v>
      </c>
      <c r="N350" s="177"/>
      <c r="O350" s="177"/>
      <c r="P350" s="180">
        <v>-10.43</v>
      </c>
    </row>
    <row r="351" spans="1:16" ht="19.5" customHeight="1">
      <c r="A351" s="172" t="s">
        <v>738</v>
      </c>
      <c r="B351" s="176">
        <v>46026</v>
      </c>
      <c r="C351" s="172" t="s">
        <v>92</v>
      </c>
      <c r="D351" s="172" t="s">
        <v>24</v>
      </c>
      <c r="E351" s="172" t="s">
        <v>53</v>
      </c>
      <c r="F351" s="172" t="s">
        <v>120</v>
      </c>
      <c r="G351" s="172" t="s">
        <v>84</v>
      </c>
      <c r="H351" s="177">
        <v>1</v>
      </c>
      <c r="I351" s="178">
        <v>1845</v>
      </c>
      <c r="J351" s="176">
        <v>46024</v>
      </c>
      <c r="K351" s="172" t="s">
        <v>93</v>
      </c>
      <c r="L351" s="172" t="s">
        <v>94</v>
      </c>
      <c r="M351" s="179">
        <v>0.43</v>
      </c>
      <c r="N351" s="177"/>
      <c r="O351" s="177">
        <v>42</v>
      </c>
      <c r="P351" s="180">
        <v>-140.5</v>
      </c>
    </row>
    <row r="352" spans="1:16" ht="19.5" customHeight="1">
      <c r="A352" s="172" t="s">
        <v>738</v>
      </c>
      <c r="B352" s="176">
        <v>46026</v>
      </c>
      <c r="C352" s="172" t="s">
        <v>100</v>
      </c>
      <c r="D352" s="172" t="s">
        <v>101</v>
      </c>
      <c r="E352" s="172" t="s">
        <v>53</v>
      </c>
      <c r="F352" s="172" t="s">
        <v>120</v>
      </c>
      <c r="G352" s="172" t="s">
        <v>84</v>
      </c>
      <c r="H352" s="177">
        <v>1</v>
      </c>
      <c r="I352" s="178">
        <v>1845</v>
      </c>
      <c r="J352" s="176">
        <v>46024</v>
      </c>
      <c r="K352" s="172" t="s">
        <v>93</v>
      </c>
      <c r="L352" s="172" t="s">
        <v>94</v>
      </c>
      <c r="M352" s="179">
        <v>0</v>
      </c>
      <c r="N352" s="177"/>
      <c r="O352" s="177"/>
      <c r="P352" s="180">
        <v>642.86</v>
      </c>
    </row>
    <row r="353" spans="1:16" ht="19.5" customHeight="1">
      <c r="A353" s="172" t="s">
        <v>738</v>
      </c>
      <c r="B353" s="176">
        <v>46026</v>
      </c>
      <c r="C353" s="172" t="s">
        <v>100</v>
      </c>
      <c r="D353" s="172" t="s">
        <v>102</v>
      </c>
      <c r="E353" s="172" t="s">
        <v>53</v>
      </c>
      <c r="F353" s="172" t="s">
        <v>120</v>
      </c>
      <c r="G353" s="172" t="s">
        <v>84</v>
      </c>
      <c r="H353" s="177">
        <v>1</v>
      </c>
      <c r="I353" s="178">
        <v>1845</v>
      </c>
      <c r="J353" s="176">
        <v>46024</v>
      </c>
      <c r="K353" s="172" t="s">
        <v>93</v>
      </c>
      <c r="L353" s="172" t="s">
        <v>94</v>
      </c>
      <c r="M353" s="179">
        <v>0</v>
      </c>
      <c r="N353" s="177"/>
      <c r="O353" s="177"/>
      <c r="P353" s="180">
        <v>6.43</v>
      </c>
    </row>
    <row r="354" spans="1:16" ht="19.5" customHeight="1">
      <c r="A354" s="172" t="s">
        <v>738</v>
      </c>
      <c r="B354" s="176">
        <v>46026</v>
      </c>
      <c r="C354" s="172" t="s">
        <v>100</v>
      </c>
      <c r="D354" s="172" t="s">
        <v>103</v>
      </c>
      <c r="E354" s="172" t="s">
        <v>53</v>
      </c>
      <c r="F354" s="172" t="s">
        <v>120</v>
      </c>
      <c r="G354" s="172" t="s">
        <v>84</v>
      </c>
      <c r="H354" s="177">
        <v>1</v>
      </c>
      <c r="I354" s="178">
        <v>1845</v>
      </c>
      <c r="J354" s="176">
        <v>46024</v>
      </c>
      <c r="K354" s="172" t="s">
        <v>93</v>
      </c>
      <c r="L354" s="172" t="s">
        <v>94</v>
      </c>
      <c r="M354" s="179">
        <v>0</v>
      </c>
      <c r="N354" s="177"/>
      <c r="O354" s="177"/>
      <c r="P354" s="180">
        <v>1195.71</v>
      </c>
    </row>
    <row r="355" spans="1:16" ht="19.5" customHeight="1">
      <c r="A355" s="172" t="s">
        <v>738</v>
      </c>
      <c r="B355" s="176">
        <v>46026</v>
      </c>
      <c r="C355" s="172" t="s">
        <v>104</v>
      </c>
      <c r="D355" s="172" t="s">
        <v>105</v>
      </c>
      <c r="E355" s="172" t="s">
        <v>53</v>
      </c>
      <c r="F355" s="172" t="s">
        <v>120</v>
      </c>
      <c r="G355" s="172" t="s">
        <v>84</v>
      </c>
      <c r="H355" s="177">
        <v>1</v>
      </c>
      <c r="I355" s="178">
        <v>1845</v>
      </c>
      <c r="J355" s="176">
        <v>46024</v>
      </c>
      <c r="K355" s="172" t="s">
        <v>93</v>
      </c>
      <c r="L355" s="172" t="s">
        <v>94</v>
      </c>
      <c r="M355" s="179">
        <v>0.43</v>
      </c>
      <c r="N355" s="177"/>
      <c r="O355" s="177"/>
      <c r="P355" s="180">
        <v>-793.35</v>
      </c>
    </row>
    <row r="356" spans="1:16" ht="19.5" customHeight="1">
      <c r="A356" s="172" t="s">
        <v>738</v>
      </c>
      <c r="B356" s="176">
        <v>46026</v>
      </c>
      <c r="C356" s="172" t="s">
        <v>81</v>
      </c>
      <c r="D356" s="172" t="s">
        <v>95</v>
      </c>
      <c r="E356" s="172" t="s">
        <v>53</v>
      </c>
      <c r="F356" s="172" t="s">
        <v>120</v>
      </c>
      <c r="G356" s="172" t="s">
        <v>84</v>
      </c>
      <c r="H356" s="177">
        <v>1</v>
      </c>
      <c r="I356" s="178">
        <v>1845</v>
      </c>
      <c r="J356" s="176">
        <v>46024</v>
      </c>
      <c r="K356" s="172" t="s">
        <v>93</v>
      </c>
      <c r="L356" s="172" t="s">
        <v>94</v>
      </c>
      <c r="M356" s="179">
        <v>0.43</v>
      </c>
      <c r="N356" s="177"/>
      <c r="O356" s="177"/>
      <c r="P356" s="180">
        <v>-9.9</v>
      </c>
    </row>
    <row r="357" spans="1:16" ht="19.5" customHeight="1">
      <c r="A357" s="172" t="s">
        <v>739</v>
      </c>
      <c r="B357" s="176">
        <v>46026</v>
      </c>
      <c r="C357" s="172" t="s">
        <v>92</v>
      </c>
      <c r="D357" s="172" t="s">
        <v>24</v>
      </c>
      <c r="E357" s="172" t="s">
        <v>53</v>
      </c>
      <c r="F357" s="172" t="s">
        <v>120</v>
      </c>
      <c r="G357" s="172" t="s">
        <v>84</v>
      </c>
      <c r="H357" s="177">
        <v>1</v>
      </c>
      <c r="I357" s="178">
        <v>1621</v>
      </c>
      <c r="J357" s="176">
        <v>46015</v>
      </c>
      <c r="K357" s="172" t="s">
        <v>93</v>
      </c>
      <c r="L357" s="172" t="s">
        <v>94</v>
      </c>
      <c r="M357" s="179">
        <v>0.43</v>
      </c>
      <c r="N357" s="177"/>
      <c r="O357" s="177">
        <v>43</v>
      </c>
      <c r="P357" s="180">
        <v>-138.22999999999999</v>
      </c>
    </row>
    <row r="358" spans="1:16" ht="19.5" customHeight="1">
      <c r="A358" s="172" t="s">
        <v>739</v>
      </c>
      <c r="B358" s="176">
        <v>46026</v>
      </c>
      <c r="C358" s="172" t="s">
        <v>100</v>
      </c>
      <c r="D358" s="172" t="s">
        <v>101</v>
      </c>
      <c r="E358" s="172" t="s">
        <v>53</v>
      </c>
      <c r="F358" s="172" t="s">
        <v>120</v>
      </c>
      <c r="G358" s="172" t="s">
        <v>84</v>
      </c>
      <c r="H358" s="177">
        <v>1</v>
      </c>
      <c r="I358" s="178">
        <v>1621</v>
      </c>
      <c r="J358" s="176">
        <v>46015</v>
      </c>
      <c r="K358" s="172" t="s">
        <v>93</v>
      </c>
      <c r="L358" s="172" t="s">
        <v>94</v>
      </c>
      <c r="M358" s="179">
        <v>0</v>
      </c>
      <c r="N358" s="177"/>
      <c r="O358" s="177"/>
      <c r="P358" s="180">
        <v>585</v>
      </c>
    </row>
    <row r="359" spans="1:16" ht="19.5" customHeight="1">
      <c r="A359" s="172" t="s">
        <v>739</v>
      </c>
      <c r="B359" s="176">
        <v>46026</v>
      </c>
      <c r="C359" s="172" t="s">
        <v>100</v>
      </c>
      <c r="D359" s="172" t="s">
        <v>102</v>
      </c>
      <c r="E359" s="172" t="s">
        <v>53</v>
      </c>
      <c r="F359" s="172" t="s">
        <v>120</v>
      </c>
      <c r="G359" s="172" t="s">
        <v>84</v>
      </c>
      <c r="H359" s="177">
        <v>1</v>
      </c>
      <c r="I359" s="178">
        <v>1621</v>
      </c>
      <c r="J359" s="176">
        <v>46015</v>
      </c>
      <c r="K359" s="172" t="s">
        <v>93</v>
      </c>
      <c r="L359" s="172" t="s">
        <v>94</v>
      </c>
      <c r="M359" s="179">
        <v>0</v>
      </c>
      <c r="N359" s="177"/>
      <c r="O359" s="177"/>
      <c r="P359" s="180">
        <v>0</v>
      </c>
    </row>
    <row r="360" spans="1:16" ht="19.5" customHeight="1">
      <c r="A360" s="172" t="s">
        <v>739</v>
      </c>
      <c r="B360" s="176">
        <v>46026</v>
      </c>
      <c r="C360" s="172" t="s">
        <v>100</v>
      </c>
      <c r="D360" s="172" t="s">
        <v>103</v>
      </c>
      <c r="E360" s="172" t="s">
        <v>53</v>
      </c>
      <c r="F360" s="172" t="s">
        <v>120</v>
      </c>
      <c r="G360" s="172" t="s">
        <v>84</v>
      </c>
      <c r="H360" s="177">
        <v>1</v>
      </c>
      <c r="I360" s="178">
        <v>1621</v>
      </c>
      <c r="J360" s="176">
        <v>46015</v>
      </c>
      <c r="K360" s="172" t="s">
        <v>93</v>
      </c>
      <c r="L360" s="172" t="s">
        <v>94</v>
      </c>
      <c r="M360" s="179">
        <v>0</v>
      </c>
      <c r="N360" s="177"/>
      <c r="O360" s="177"/>
      <c r="P360" s="180">
        <v>1036</v>
      </c>
    </row>
    <row r="361" spans="1:16" ht="19.5" customHeight="1">
      <c r="A361" s="172" t="s">
        <v>739</v>
      </c>
      <c r="B361" s="176">
        <v>46026</v>
      </c>
      <c r="C361" s="172" t="s">
        <v>104</v>
      </c>
      <c r="D361" s="172" t="s">
        <v>105</v>
      </c>
      <c r="E361" s="172" t="s">
        <v>53</v>
      </c>
      <c r="F361" s="172" t="s">
        <v>120</v>
      </c>
      <c r="G361" s="172" t="s">
        <v>84</v>
      </c>
      <c r="H361" s="177">
        <v>1</v>
      </c>
      <c r="I361" s="178">
        <v>1621</v>
      </c>
      <c r="J361" s="176">
        <v>46015</v>
      </c>
      <c r="K361" s="172" t="s">
        <v>93</v>
      </c>
      <c r="L361" s="172" t="s">
        <v>94</v>
      </c>
      <c r="M361" s="179">
        <v>0.43</v>
      </c>
      <c r="N361" s="177"/>
      <c r="O361" s="177"/>
      <c r="P361" s="180">
        <v>-697.03</v>
      </c>
    </row>
    <row r="362" spans="1:16" ht="19.5" customHeight="1">
      <c r="A362" s="172" t="s">
        <v>740</v>
      </c>
      <c r="B362" s="176">
        <v>46026</v>
      </c>
      <c r="C362" s="172" t="s">
        <v>81</v>
      </c>
      <c r="D362" s="172" t="s">
        <v>82</v>
      </c>
      <c r="E362" s="172" t="s">
        <v>52</v>
      </c>
      <c r="F362" s="172" t="s">
        <v>90</v>
      </c>
      <c r="G362" s="172" t="s">
        <v>84</v>
      </c>
      <c r="H362" s="177">
        <v>1</v>
      </c>
      <c r="I362" s="178">
        <v>0</v>
      </c>
      <c r="J362" s="176">
        <v>46026</v>
      </c>
      <c r="K362" s="172" t="s">
        <v>85</v>
      </c>
      <c r="L362" s="172" t="s">
        <v>85</v>
      </c>
      <c r="M362" s="179">
        <v>0</v>
      </c>
      <c r="N362" s="177"/>
      <c r="O362" s="177"/>
      <c r="P362" s="180">
        <v>-10.58</v>
      </c>
    </row>
    <row r="363" spans="1:16" ht="19.5" customHeight="1">
      <c r="A363" s="172" t="s">
        <v>741</v>
      </c>
      <c r="B363" s="176">
        <v>46026</v>
      </c>
      <c r="C363" s="172" t="s">
        <v>92</v>
      </c>
      <c r="D363" s="172" t="s">
        <v>24</v>
      </c>
      <c r="E363" s="172" t="s">
        <v>42</v>
      </c>
      <c r="F363" s="172" t="s">
        <v>89</v>
      </c>
      <c r="G363" s="172" t="s">
        <v>84</v>
      </c>
      <c r="H363" s="177">
        <v>1</v>
      </c>
      <c r="I363" s="178">
        <v>1600</v>
      </c>
      <c r="J363" s="176">
        <v>46016</v>
      </c>
      <c r="K363" s="172" t="s">
        <v>93</v>
      </c>
      <c r="L363" s="172" t="s">
        <v>94</v>
      </c>
      <c r="M363" s="179">
        <v>0.43</v>
      </c>
      <c r="N363" s="177"/>
      <c r="O363" s="177">
        <v>43</v>
      </c>
      <c r="P363" s="180">
        <v>-122.83</v>
      </c>
    </row>
    <row r="364" spans="1:16" ht="19.5" customHeight="1">
      <c r="A364" s="172" t="s">
        <v>741</v>
      </c>
      <c r="B364" s="176">
        <v>46026</v>
      </c>
      <c r="C364" s="172" t="s">
        <v>100</v>
      </c>
      <c r="D364" s="172" t="s">
        <v>101</v>
      </c>
      <c r="E364" s="172" t="s">
        <v>42</v>
      </c>
      <c r="F364" s="172" t="s">
        <v>89</v>
      </c>
      <c r="G364" s="172" t="s">
        <v>84</v>
      </c>
      <c r="H364" s="177">
        <v>1</v>
      </c>
      <c r="I364" s="178">
        <v>1600</v>
      </c>
      <c r="J364" s="176">
        <v>46016</v>
      </c>
      <c r="K364" s="172" t="s">
        <v>93</v>
      </c>
      <c r="L364" s="172" t="s">
        <v>94</v>
      </c>
      <c r="M364" s="179">
        <v>0</v>
      </c>
      <c r="N364" s="177"/>
      <c r="O364" s="177"/>
      <c r="P364" s="180">
        <v>571.42999999999995</v>
      </c>
    </row>
    <row r="365" spans="1:16" ht="19.5" customHeight="1">
      <c r="A365" s="172" t="s">
        <v>741</v>
      </c>
      <c r="B365" s="176">
        <v>46026</v>
      </c>
      <c r="C365" s="172" t="s">
        <v>100</v>
      </c>
      <c r="D365" s="172" t="s">
        <v>102</v>
      </c>
      <c r="E365" s="172" t="s">
        <v>42</v>
      </c>
      <c r="F365" s="172" t="s">
        <v>89</v>
      </c>
      <c r="G365" s="172" t="s">
        <v>84</v>
      </c>
      <c r="H365" s="177">
        <v>1</v>
      </c>
      <c r="I365" s="178">
        <v>1600</v>
      </c>
      <c r="J365" s="176">
        <v>46016</v>
      </c>
      <c r="K365" s="172" t="s">
        <v>93</v>
      </c>
      <c r="L365" s="172" t="s">
        <v>94</v>
      </c>
      <c r="M365" s="179">
        <v>0</v>
      </c>
      <c r="N365" s="177"/>
      <c r="O365" s="177"/>
      <c r="P365" s="180">
        <v>5.71</v>
      </c>
    </row>
    <row r="366" spans="1:16" ht="19.5" customHeight="1">
      <c r="A366" s="172" t="s">
        <v>741</v>
      </c>
      <c r="B366" s="176">
        <v>46026</v>
      </c>
      <c r="C366" s="172" t="s">
        <v>100</v>
      </c>
      <c r="D366" s="172" t="s">
        <v>103</v>
      </c>
      <c r="E366" s="172" t="s">
        <v>42</v>
      </c>
      <c r="F366" s="172" t="s">
        <v>89</v>
      </c>
      <c r="G366" s="172" t="s">
        <v>84</v>
      </c>
      <c r="H366" s="177">
        <v>1</v>
      </c>
      <c r="I366" s="178">
        <v>1600</v>
      </c>
      <c r="J366" s="176">
        <v>46016</v>
      </c>
      <c r="K366" s="172" t="s">
        <v>93</v>
      </c>
      <c r="L366" s="172" t="s">
        <v>94</v>
      </c>
      <c r="M366" s="179">
        <v>0</v>
      </c>
      <c r="N366" s="177"/>
      <c r="O366" s="177"/>
      <c r="P366" s="180">
        <v>1022.86</v>
      </c>
    </row>
    <row r="367" spans="1:16" ht="19.5" customHeight="1">
      <c r="A367" s="172" t="s">
        <v>741</v>
      </c>
      <c r="B367" s="176">
        <v>46026</v>
      </c>
      <c r="C367" s="172" t="s">
        <v>104</v>
      </c>
      <c r="D367" s="172" t="s">
        <v>105</v>
      </c>
      <c r="E367" s="172" t="s">
        <v>42</v>
      </c>
      <c r="F367" s="172" t="s">
        <v>89</v>
      </c>
      <c r="G367" s="172" t="s">
        <v>84</v>
      </c>
      <c r="H367" s="177">
        <v>1</v>
      </c>
      <c r="I367" s="178">
        <v>1600</v>
      </c>
      <c r="J367" s="176">
        <v>46016</v>
      </c>
      <c r="K367" s="172" t="s">
        <v>93</v>
      </c>
      <c r="L367" s="172" t="s">
        <v>94</v>
      </c>
      <c r="M367" s="179">
        <v>0.43</v>
      </c>
      <c r="N367" s="177"/>
      <c r="O367" s="177"/>
      <c r="P367" s="180">
        <v>-688</v>
      </c>
    </row>
    <row r="368" spans="1:16" ht="19.5" customHeight="1">
      <c r="A368" s="172" t="s">
        <v>742</v>
      </c>
      <c r="B368" s="176">
        <v>46026</v>
      </c>
      <c r="C368" s="172" t="s">
        <v>92</v>
      </c>
      <c r="D368" s="172" t="s">
        <v>24</v>
      </c>
      <c r="E368" s="172" t="s">
        <v>53</v>
      </c>
      <c r="F368" s="172" t="s">
        <v>120</v>
      </c>
      <c r="G368" s="172" t="s">
        <v>84</v>
      </c>
      <c r="H368" s="177">
        <v>1</v>
      </c>
      <c r="I368" s="178">
        <v>1845</v>
      </c>
      <c r="J368" s="176">
        <v>46020</v>
      </c>
      <c r="K368" s="172" t="s">
        <v>93</v>
      </c>
      <c r="L368" s="172" t="s">
        <v>94</v>
      </c>
      <c r="M368" s="179">
        <v>0.43</v>
      </c>
      <c r="N368" s="177"/>
      <c r="O368" s="177">
        <v>41</v>
      </c>
      <c r="P368" s="180">
        <v>-136.06</v>
      </c>
    </row>
    <row r="369" spans="1:16" ht="19.5" customHeight="1">
      <c r="A369" s="172" t="s">
        <v>742</v>
      </c>
      <c r="B369" s="176">
        <v>46026</v>
      </c>
      <c r="C369" s="172" t="s">
        <v>100</v>
      </c>
      <c r="D369" s="172" t="s">
        <v>101</v>
      </c>
      <c r="E369" s="172" t="s">
        <v>53</v>
      </c>
      <c r="F369" s="172" t="s">
        <v>120</v>
      </c>
      <c r="G369" s="172" t="s">
        <v>84</v>
      </c>
      <c r="H369" s="177">
        <v>1</v>
      </c>
      <c r="I369" s="178">
        <v>1845</v>
      </c>
      <c r="J369" s="176">
        <v>46020</v>
      </c>
      <c r="K369" s="172" t="s">
        <v>93</v>
      </c>
      <c r="L369" s="172" t="s">
        <v>94</v>
      </c>
      <c r="M369" s="179">
        <v>0</v>
      </c>
      <c r="N369" s="177"/>
      <c r="O369" s="177"/>
      <c r="P369" s="180">
        <v>642.86</v>
      </c>
    </row>
    <row r="370" spans="1:16" ht="19.5" customHeight="1">
      <c r="A370" s="172" t="s">
        <v>742</v>
      </c>
      <c r="B370" s="176">
        <v>46026</v>
      </c>
      <c r="C370" s="172" t="s">
        <v>100</v>
      </c>
      <c r="D370" s="172" t="s">
        <v>102</v>
      </c>
      <c r="E370" s="172" t="s">
        <v>53</v>
      </c>
      <c r="F370" s="172" t="s">
        <v>120</v>
      </c>
      <c r="G370" s="172" t="s">
        <v>84</v>
      </c>
      <c r="H370" s="177">
        <v>1</v>
      </c>
      <c r="I370" s="178">
        <v>1845</v>
      </c>
      <c r="J370" s="176">
        <v>46020</v>
      </c>
      <c r="K370" s="172" t="s">
        <v>93</v>
      </c>
      <c r="L370" s="172" t="s">
        <v>94</v>
      </c>
      <c r="M370" s="179">
        <v>0</v>
      </c>
      <c r="N370" s="177"/>
      <c r="O370" s="177"/>
      <c r="P370" s="180">
        <v>6.43</v>
      </c>
    </row>
    <row r="371" spans="1:16" ht="19.5" customHeight="1">
      <c r="A371" s="172" t="s">
        <v>742</v>
      </c>
      <c r="B371" s="176">
        <v>46026</v>
      </c>
      <c r="C371" s="172" t="s">
        <v>100</v>
      </c>
      <c r="D371" s="172" t="s">
        <v>103</v>
      </c>
      <c r="E371" s="172" t="s">
        <v>53</v>
      </c>
      <c r="F371" s="172" t="s">
        <v>120</v>
      </c>
      <c r="G371" s="172" t="s">
        <v>84</v>
      </c>
      <c r="H371" s="177">
        <v>1</v>
      </c>
      <c r="I371" s="178">
        <v>1845</v>
      </c>
      <c r="J371" s="176">
        <v>46020</v>
      </c>
      <c r="K371" s="172" t="s">
        <v>93</v>
      </c>
      <c r="L371" s="172" t="s">
        <v>94</v>
      </c>
      <c r="M371" s="179">
        <v>0</v>
      </c>
      <c r="N371" s="177"/>
      <c r="O371" s="177"/>
      <c r="P371" s="180">
        <v>1195.71</v>
      </c>
    </row>
    <row r="372" spans="1:16" ht="19.5" customHeight="1">
      <c r="A372" s="172" t="s">
        <v>742</v>
      </c>
      <c r="B372" s="176">
        <v>46026</v>
      </c>
      <c r="C372" s="172" t="s">
        <v>104</v>
      </c>
      <c r="D372" s="172" t="s">
        <v>105</v>
      </c>
      <c r="E372" s="172" t="s">
        <v>53</v>
      </c>
      <c r="F372" s="172" t="s">
        <v>120</v>
      </c>
      <c r="G372" s="172" t="s">
        <v>84</v>
      </c>
      <c r="H372" s="177">
        <v>1</v>
      </c>
      <c r="I372" s="178">
        <v>1845</v>
      </c>
      <c r="J372" s="176">
        <v>46020</v>
      </c>
      <c r="K372" s="172" t="s">
        <v>93</v>
      </c>
      <c r="L372" s="172" t="s">
        <v>94</v>
      </c>
      <c r="M372" s="179">
        <v>0.43</v>
      </c>
      <c r="N372" s="177"/>
      <c r="O372" s="177"/>
      <c r="P372" s="180">
        <v>-793.35</v>
      </c>
    </row>
    <row r="373" spans="1:16" ht="19.5" customHeight="1">
      <c r="A373" s="172" t="s">
        <v>742</v>
      </c>
      <c r="B373" s="176">
        <v>46026</v>
      </c>
      <c r="C373" s="172" t="s">
        <v>81</v>
      </c>
      <c r="D373" s="172" t="s">
        <v>95</v>
      </c>
      <c r="E373" s="172" t="s">
        <v>53</v>
      </c>
      <c r="F373" s="172" t="s">
        <v>120</v>
      </c>
      <c r="G373" s="172" t="s">
        <v>84</v>
      </c>
      <c r="H373" s="177">
        <v>1</v>
      </c>
      <c r="I373" s="178">
        <v>1845</v>
      </c>
      <c r="J373" s="176">
        <v>46020</v>
      </c>
      <c r="K373" s="172" t="s">
        <v>93</v>
      </c>
      <c r="L373" s="172" t="s">
        <v>94</v>
      </c>
      <c r="M373" s="179">
        <v>0.43</v>
      </c>
      <c r="N373" s="177"/>
      <c r="O373" s="177"/>
      <c r="P373" s="180">
        <v>-12.9</v>
      </c>
    </row>
    <row r="374" spans="1:16" ht="19.5" customHeight="1">
      <c r="A374" s="172" t="s">
        <v>742</v>
      </c>
      <c r="B374" s="176">
        <v>46026</v>
      </c>
      <c r="C374" s="172" t="s">
        <v>81</v>
      </c>
      <c r="D374" s="172" t="s">
        <v>82</v>
      </c>
      <c r="E374" s="172" t="s">
        <v>53</v>
      </c>
      <c r="F374" s="172" t="s">
        <v>120</v>
      </c>
      <c r="G374" s="172" t="s">
        <v>84</v>
      </c>
      <c r="H374" s="177">
        <v>1</v>
      </c>
      <c r="I374" s="178">
        <v>0</v>
      </c>
      <c r="J374" s="176">
        <v>46020</v>
      </c>
      <c r="K374" s="172" t="s">
        <v>85</v>
      </c>
      <c r="L374" s="172" t="s">
        <v>85</v>
      </c>
      <c r="M374" s="179">
        <v>0</v>
      </c>
      <c r="N374" s="177"/>
      <c r="O374" s="177"/>
      <c r="P374" s="180">
        <v>-12.21</v>
      </c>
    </row>
    <row r="375" spans="1:16" ht="19.5" customHeight="1">
      <c r="A375" s="172" t="s">
        <v>743</v>
      </c>
      <c r="B375" s="176">
        <v>46026</v>
      </c>
      <c r="C375" s="172" t="s">
        <v>81</v>
      </c>
      <c r="D375" s="172" t="s">
        <v>82</v>
      </c>
      <c r="E375" s="172" t="s">
        <v>52</v>
      </c>
      <c r="F375" s="172" t="s">
        <v>90</v>
      </c>
      <c r="G375" s="172" t="s">
        <v>84</v>
      </c>
      <c r="H375" s="177">
        <v>1</v>
      </c>
      <c r="I375" s="178">
        <v>0</v>
      </c>
      <c r="J375" s="176">
        <v>46026</v>
      </c>
      <c r="K375" s="172" t="s">
        <v>85</v>
      </c>
      <c r="L375" s="172" t="s">
        <v>85</v>
      </c>
      <c r="M375" s="179">
        <v>0</v>
      </c>
      <c r="N375" s="177"/>
      <c r="O375" s="177"/>
      <c r="P375" s="180">
        <v>-10.84</v>
      </c>
    </row>
    <row r="376" spans="1:16" ht="19.5" customHeight="1">
      <c r="A376" s="172" t="s">
        <v>744</v>
      </c>
      <c r="B376" s="176">
        <v>46026</v>
      </c>
      <c r="C376" s="172" t="s">
        <v>92</v>
      </c>
      <c r="D376" s="172" t="s">
        <v>24</v>
      </c>
      <c r="E376" s="172" t="s">
        <v>38</v>
      </c>
      <c r="F376" s="172" t="s">
        <v>87</v>
      </c>
      <c r="G376" s="172" t="s">
        <v>84</v>
      </c>
      <c r="H376" s="177">
        <v>1</v>
      </c>
      <c r="I376" s="178">
        <v>1650</v>
      </c>
      <c r="J376" s="176">
        <v>46023</v>
      </c>
      <c r="K376" s="172" t="s">
        <v>93</v>
      </c>
      <c r="L376" s="172" t="s">
        <v>94</v>
      </c>
      <c r="M376" s="179">
        <v>0.43</v>
      </c>
      <c r="N376" s="177"/>
      <c r="O376" s="177">
        <v>43</v>
      </c>
      <c r="P376" s="180">
        <v>-124.33</v>
      </c>
    </row>
    <row r="377" spans="1:16" ht="19.5" customHeight="1">
      <c r="A377" s="172" t="s">
        <v>744</v>
      </c>
      <c r="B377" s="176">
        <v>46026</v>
      </c>
      <c r="C377" s="172" t="s">
        <v>100</v>
      </c>
      <c r="D377" s="172" t="s">
        <v>101</v>
      </c>
      <c r="E377" s="172" t="s">
        <v>38</v>
      </c>
      <c r="F377" s="172" t="s">
        <v>87</v>
      </c>
      <c r="G377" s="172" t="s">
        <v>84</v>
      </c>
      <c r="H377" s="177">
        <v>1</v>
      </c>
      <c r="I377" s="178">
        <v>1650</v>
      </c>
      <c r="J377" s="176">
        <v>46023</v>
      </c>
      <c r="K377" s="172" t="s">
        <v>93</v>
      </c>
      <c r="L377" s="172" t="s">
        <v>94</v>
      </c>
      <c r="M377" s="179">
        <v>0</v>
      </c>
      <c r="N377" s="177"/>
      <c r="O377" s="177"/>
      <c r="P377" s="180">
        <v>922.86</v>
      </c>
    </row>
    <row r="378" spans="1:16" ht="19.5" customHeight="1">
      <c r="A378" s="172" t="s">
        <v>744</v>
      </c>
      <c r="B378" s="176">
        <v>46026</v>
      </c>
      <c r="C378" s="172" t="s">
        <v>100</v>
      </c>
      <c r="D378" s="172" t="s">
        <v>102</v>
      </c>
      <c r="E378" s="172" t="s">
        <v>38</v>
      </c>
      <c r="F378" s="172" t="s">
        <v>87</v>
      </c>
      <c r="G378" s="172" t="s">
        <v>84</v>
      </c>
      <c r="H378" s="177">
        <v>1</v>
      </c>
      <c r="I378" s="178">
        <v>1650</v>
      </c>
      <c r="J378" s="176">
        <v>46023</v>
      </c>
      <c r="K378" s="172" t="s">
        <v>93</v>
      </c>
      <c r="L378" s="172" t="s">
        <v>94</v>
      </c>
      <c r="M378" s="179">
        <v>0</v>
      </c>
      <c r="N378" s="177"/>
      <c r="O378" s="177"/>
      <c r="P378" s="180">
        <v>0</v>
      </c>
    </row>
    <row r="379" spans="1:16" ht="19.5" customHeight="1">
      <c r="A379" s="172" t="s">
        <v>744</v>
      </c>
      <c r="B379" s="176">
        <v>46026</v>
      </c>
      <c r="C379" s="172" t="s">
        <v>100</v>
      </c>
      <c r="D379" s="172" t="s">
        <v>103</v>
      </c>
      <c r="E379" s="172" t="s">
        <v>38</v>
      </c>
      <c r="F379" s="172" t="s">
        <v>87</v>
      </c>
      <c r="G379" s="172" t="s">
        <v>84</v>
      </c>
      <c r="H379" s="177">
        <v>1</v>
      </c>
      <c r="I379" s="178">
        <v>1650</v>
      </c>
      <c r="J379" s="176">
        <v>46023</v>
      </c>
      <c r="K379" s="172" t="s">
        <v>93</v>
      </c>
      <c r="L379" s="172" t="s">
        <v>94</v>
      </c>
      <c r="M379" s="179">
        <v>0</v>
      </c>
      <c r="N379" s="177"/>
      <c r="O379" s="177"/>
      <c r="P379" s="180">
        <v>727.14</v>
      </c>
    </row>
    <row r="380" spans="1:16" ht="19.5" customHeight="1">
      <c r="A380" s="172" t="s">
        <v>744</v>
      </c>
      <c r="B380" s="176">
        <v>46026</v>
      </c>
      <c r="C380" s="172" t="s">
        <v>104</v>
      </c>
      <c r="D380" s="172" t="s">
        <v>105</v>
      </c>
      <c r="E380" s="172" t="s">
        <v>38</v>
      </c>
      <c r="F380" s="172" t="s">
        <v>87</v>
      </c>
      <c r="G380" s="172" t="s">
        <v>84</v>
      </c>
      <c r="H380" s="177">
        <v>1</v>
      </c>
      <c r="I380" s="178">
        <v>1650</v>
      </c>
      <c r="J380" s="176">
        <v>46023</v>
      </c>
      <c r="K380" s="172" t="s">
        <v>93</v>
      </c>
      <c r="L380" s="172" t="s">
        <v>94</v>
      </c>
      <c r="M380" s="179">
        <v>0.43</v>
      </c>
      <c r="N380" s="177"/>
      <c r="O380" s="177"/>
      <c r="P380" s="180">
        <v>-709.5</v>
      </c>
    </row>
    <row r="381" spans="1:16" ht="19.5" customHeight="1">
      <c r="A381" s="172" t="s">
        <v>744</v>
      </c>
      <c r="B381" s="176">
        <v>46026</v>
      </c>
      <c r="C381" s="172" t="s">
        <v>81</v>
      </c>
      <c r="D381" s="172" t="s">
        <v>95</v>
      </c>
      <c r="E381" s="172" t="s">
        <v>38</v>
      </c>
      <c r="F381" s="172" t="s">
        <v>87</v>
      </c>
      <c r="G381" s="172" t="s">
        <v>84</v>
      </c>
      <c r="H381" s="177">
        <v>1</v>
      </c>
      <c r="I381" s="178">
        <v>1650</v>
      </c>
      <c r="J381" s="176">
        <v>46023</v>
      </c>
      <c r="K381" s="172" t="s">
        <v>93</v>
      </c>
      <c r="L381" s="172" t="s">
        <v>94</v>
      </c>
      <c r="M381" s="179">
        <v>0.43</v>
      </c>
      <c r="N381" s="177"/>
      <c r="O381" s="177"/>
      <c r="P381" s="180">
        <v>-9.44</v>
      </c>
    </row>
    <row r="382" spans="1:16" ht="19.5" customHeight="1">
      <c r="A382" s="172" t="s">
        <v>745</v>
      </c>
      <c r="B382" s="176">
        <v>46026</v>
      </c>
      <c r="C382" s="172" t="s">
        <v>81</v>
      </c>
      <c r="D382" s="172" t="s">
        <v>82</v>
      </c>
      <c r="E382" s="172" t="s">
        <v>53</v>
      </c>
      <c r="F382" s="172" t="s">
        <v>120</v>
      </c>
      <c r="G382" s="172" t="s">
        <v>84</v>
      </c>
      <c r="H382" s="177">
        <v>1</v>
      </c>
      <c r="I382" s="178">
        <v>0</v>
      </c>
      <c r="J382" s="176">
        <v>46026</v>
      </c>
      <c r="K382" s="172" t="s">
        <v>85</v>
      </c>
      <c r="L382" s="172" t="s">
        <v>85</v>
      </c>
      <c r="M382" s="179">
        <v>0</v>
      </c>
      <c r="N382" s="177"/>
      <c r="O382" s="177"/>
      <c r="P382" s="180">
        <v>-12.21</v>
      </c>
    </row>
    <row r="383" spans="1:16" ht="19.5" customHeight="1">
      <c r="A383" s="172" t="s">
        <v>746</v>
      </c>
      <c r="B383" s="176">
        <v>46026</v>
      </c>
      <c r="C383" s="172" t="s">
        <v>92</v>
      </c>
      <c r="D383" s="172" t="s">
        <v>24</v>
      </c>
      <c r="E383" s="172" t="s">
        <v>53</v>
      </c>
      <c r="F383" s="172" t="s">
        <v>120</v>
      </c>
      <c r="G383" s="172" t="s">
        <v>84</v>
      </c>
      <c r="H383" s="177">
        <v>1</v>
      </c>
      <c r="I383" s="178">
        <v>1845</v>
      </c>
      <c r="J383" s="176">
        <v>46024</v>
      </c>
      <c r="K383" s="172" t="s">
        <v>93</v>
      </c>
      <c r="L383" s="172" t="s">
        <v>94</v>
      </c>
      <c r="M383" s="179">
        <v>0.43</v>
      </c>
      <c r="N383" s="177"/>
      <c r="O383" s="177">
        <v>42</v>
      </c>
      <c r="P383" s="180">
        <v>-140.5</v>
      </c>
    </row>
    <row r="384" spans="1:16" ht="19.5" customHeight="1">
      <c r="A384" s="172" t="s">
        <v>746</v>
      </c>
      <c r="B384" s="176">
        <v>46026</v>
      </c>
      <c r="C384" s="172" t="s">
        <v>100</v>
      </c>
      <c r="D384" s="172" t="s">
        <v>101</v>
      </c>
      <c r="E384" s="172" t="s">
        <v>53</v>
      </c>
      <c r="F384" s="172" t="s">
        <v>120</v>
      </c>
      <c r="G384" s="172" t="s">
        <v>84</v>
      </c>
      <c r="H384" s="177">
        <v>1</v>
      </c>
      <c r="I384" s="178">
        <v>1845</v>
      </c>
      <c r="J384" s="176">
        <v>46024</v>
      </c>
      <c r="K384" s="172" t="s">
        <v>93</v>
      </c>
      <c r="L384" s="172" t="s">
        <v>94</v>
      </c>
      <c r="M384" s="179">
        <v>0</v>
      </c>
      <c r="N384" s="177"/>
      <c r="O384" s="177"/>
      <c r="P384" s="180">
        <v>641.63</v>
      </c>
    </row>
    <row r="385" spans="1:16" ht="19.5" customHeight="1">
      <c r="A385" s="172" t="s">
        <v>746</v>
      </c>
      <c r="B385" s="176">
        <v>46026</v>
      </c>
      <c r="C385" s="172" t="s">
        <v>100</v>
      </c>
      <c r="D385" s="172" t="s">
        <v>102</v>
      </c>
      <c r="E385" s="172" t="s">
        <v>53</v>
      </c>
      <c r="F385" s="172" t="s">
        <v>120</v>
      </c>
      <c r="G385" s="172" t="s">
        <v>84</v>
      </c>
      <c r="H385" s="177">
        <v>1</v>
      </c>
      <c r="I385" s="178">
        <v>1845</v>
      </c>
      <c r="J385" s="176">
        <v>46024</v>
      </c>
      <c r="K385" s="172" t="s">
        <v>93</v>
      </c>
      <c r="L385" s="172" t="s">
        <v>94</v>
      </c>
      <c r="M385" s="179">
        <v>0</v>
      </c>
      <c r="N385" s="177"/>
      <c r="O385" s="177"/>
      <c r="P385" s="180">
        <v>6.42</v>
      </c>
    </row>
    <row r="386" spans="1:16" ht="19.5" customHeight="1">
      <c r="A386" s="172" t="s">
        <v>746</v>
      </c>
      <c r="B386" s="176">
        <v>46026</v>
      </c>
      <c r="C386" s="172" t="s">
        <v>100</v>
      </c>
      <c r="D386" s="172" t="s">
        <v>103</v>
      </c>
      <c r="E386" s="172" t="s">
        <v>53</v>
      </c>
      <c r="F386" s="172" t="s">
        <v>120</v>
      </c>
      <c r="G386" s="172" t="s">
        <v>84</v>
      </c>
      <c r="H386" s="177">
        <v>1</v>
      </c>
      <c r="I386" s="178">
        <v>1845</v>
      </c>
      <c r="J386" s="176">
        <v>46024</v>
      </c>
      <c r="K386" s="172" t="s">
        <v>93</v>
      </c>
      <c r="L386" s="172" t="s">
        <v>94</v>
      </c>
      <c r="M386" s="179">
        <v>0</v>
      </c>
      <c r="N386" s="177"/>
      <c r="O386" s="177"/>
      <c r="P386" s="180">
        <v>1196.95</v>
      </c>
    </row>
    <row r="387" spans="1:16" ht="19.5" customHeight="1">
      <c r="A387" s="172" t="s">
        <v>746</v>
      </c>
      <c r="B387" s="176">
        <v>46026</v>
      </c>
      <c r="C387" s="172" t="s">
        <v>104</v>
      </c>
      <c r="D387" s="172" t="s">
        <v>105</v>
      </c>
      <c r="E387" s="172" t="s">
        <v>53</v>
      </c>
      <c r="F387" s="172" t="s">
        <v>120</v>
      </c>
      <c r="G387" s="172" t="s">
        <v>84</v>
      </c>
      <c r="H387" s="177">
        <v>1</v>
      </c>
      <c r="I387" s="178">
        <v>1845</v>
      </c>
      <c r="J387" s="176">
        <v>46024</v>
      </c>
      <c r="K387" s="172" t="s">
        <v>93</v>
      </c>
      <c r="L387" s="172" t="s">
        <v>94</v>
      </c>
      <c r="M387" s="179">
        <v>0.43</v>
      </c>
      <c r="N387" s="177"/>
      <c r="O387" s="177"/>
      <c r="P387" s="180">
        <v>-793.35</v>
      </c>
    </row>
    <row r="388" spans="1:16" ht="19.5" customHeight="1">
      <c r="A388" s="172" t="s">
        <v>746</v>
      </c>
      <c r="B388" s="176">
        <v>46026</v>
      </c>
      <c r="C388" s="172" t="s">
        <v>81</v>
      </c>
      <c r="D388" s="172" t="s">
        <v>95</v>
      </c>
      <c r="E388" s="172" t="s">
        <v>53</v>
      </c>
      <c r="F388" s="172" t="s">
        <v>120</v>
      </c>
      <c r="G388" s="172" t="s">
        <v>84</v>
      </c>
      <c r="H388" s="177">
        <v>1</v>
      </c>
      <c r="I388" s="178">
        <v>1845</v>
      </c>
      <c r="J388" s="176">
        <v>46024</v>
      </c>
      <c r="K388" s="172" t="s">
        <v>93</v>
      </c>
      <c r="L388" s="172" t="s">
        <v>94</v>
      </c>
      <c r="M388" s="179">
        <v>0.43</v>
      </c>
      <c r="N388" s="177"/>
      <c r="O388" s="177"/>
      <c r="P388" s="180">
        <v>-25</v>
      </c>
    </row>
    <row r="389" spans="1:16" ht="19.5" customHeight="1">
      <c r="A389" s="172" t="s">
        <v>746</v>
      </c>
      <c r="B389" s="176">
        <v>46026</v>
      </c>
      <c r="C389" s="172" t="s">
        <v>81</v>
      </c>
      <c r="D389" s="172" t="s">
        <v>82</v>
      </c>
      <c r="E389" s="172" t="s">
        <v>53</v>
      </c>
      <c r="F389" s="172" t="s">
        <v>120</v>
      </c>
      <c r="G389" s="172" t="s">
        <v>84</v>
      </c>
      <c r="H389" s="177">
        <v>1</v>
      </c>
      <c r="I389" s="178">
        <v>0</v>
      </c>
      <c r="J389" s="176">
        <v>46024</v>
      </c>
      <c r="K389" s="172" t="s">
        <v>85</v>
      </c>
      <c r="L389" s="172" t="s">
        <v>85</v>
      </c>
      <c r="M389" s="179">
        <v>0</v>
      </c>
      <c r="N389" s="177"/>
      <c r="O389" s="177"/>
      <c r="P389" s="180">
        <v>-12.19</v>
      </c>
    </row>
    <row r="390" spans="1:16" ht="19.5" customHeight="1">
      <c r="A390" s="172" t="s">
        <v>747</v>
      </c>
      <c r="B390" s="176">
        <v>46026</v>
      </c>
      <c r="C390" s="172" t="s">
        <v>92</v>
      </c>
      <c r="D390" s="172" t="s">
        <v>24</v>
      </c>
      <c r="E390" s="172" t="s">
        <v>52</v>
      </c>
      <c r="F390" s="172" t="s">
        <v>90</v>
      </c>
      <c r="G390" s="172" t="s">
        <v>84</v>
      </c>
      <c r="H390" s="177">
        <v>1</v>
      </c>
      <c r="I390" s="178">
        <v>0</v>
      </c>
      <c r="J390" s="176">
        <v>46018</v>
      </c>
      <c r="K390" s="172" t="s">
        <v>93</v>
      </c>
      <c r="L390" s="172" t="s">
        <v>94</v>
      </c>
      <c r="M390" s="179">
        <v>0</v>
      </c>
      <c r="N390" s="177"/>
      <c r="O390" s="177">
        <v>42</v>
      </c>
      <c r="P390" s="180">
        <v>-56</v>
      </c>
    </row>
    <row r="391" spans="1:16" ht="19.5" customHeight="1">
      <c r="A391" s="172" t="s">
        <v>747</v>
      </c>
      <c r="B391" s="176">
        <v>46026</v>
      </c>
      <c r="C391" s="172" t="s">
        <v>81</v>
      </c>
      <c r="D391" s="172" t="s">
        <v>95</v>
      </c>
      <c r="E391" s="172" t="s">
        <v>52</v>
      </c>
      <c r="F391" s="172" t="s">
        <v>90</v>
      </c>
      <c r="G391" s="172" t="s">
        <v>84</v>
      </c>
      <c r="H391" s="177">
        <v>1</v>
      </c>
      <c r="I391" s="178">
        <v>0</v>
      </c>
      <c r="J391" s="176">
        <v>46018</v>
      </c>
      <c r="K391" s="172" t="s">
        <v>93</v>
      </c>
      <c r="L391" s="172" t="s">
        <v>94</v>
      </c>
      <c r="M391" s="179">
        <v>0</v>
      </c>
      <c r="N391" s="177"/>
      <c r="O391" s="177"/>
      <c r="P391" s="180">
        <v>-8.33</v>
      </c>
    </row>
    <row r="392" spans="1:16" ht="19.5" customHeight="1">
      <c r="A392" s="172" t="s">
        <v>747</v>
      </c>
      <c r="B392" s="176">
        <v>46026</v>
      </c>
      <c r="C392" s="172" t="s">
        <v>92</v>
      </c>
      <c r="D392" s="172" t="s">
        <v>96</v>
      </c>
      <c r="E392" s="172" t="s">
        <v>52</v>
      </c>
      <c r="F392" s="172" t="s">
        <v>90</v>
      </c>
      <c r="G392" s="172" t="s">
        <v>84</v>
      </c>
      <c r="H392" s="177">
        <v>1</v>
      </c>
      <c r="I392" s="178">
        <v>0</v>
      </c>
      <c r="J392" s="176">
        <v>46018</v>
      </c>
      <c r="K392" s="172" t="s">
        <v>93</v>
      </c>
      <c r="L392" s="172" t="s">
        <v>94</v>
      </c>
      <c r="M392" s="179">
        <v>0</v>
      </c>
      <c r="N392" s="177"/>
      <c r="O392" s="177"/>
      <c r="P392" s="180">
        <v>0</v>
      </c>
    </row>
    <row r="393" spans="1:16" ht="19.5" customHeight="1">
      <c r="A393" s="172" t="s">
        <v>747</v>
      </c>
      <c r="B393" s="176">
        <v>46026</v>
      </c>
      <c r="C393" s="172" t="s">
        <v>92</v>
      </c>
      <c r="D393" s="172" t="s">
        <v>97</v>
      </c>
      <c r="E393" s="172" t="s">
        <v>52</v>
      </c>
      <c r="F393" s="172" t="s">
        <v>90</v>
      </c>
      <c r="G393" s="172" t="s">
        <v>84</v>
      </c>
      <c r="H393" s="177">
        <v>1</v>
      </c>
      <c r="I393" s="178">
        <v>0</v>
      </c>
      <c r="J393" s="176">
        <v>46018</v>
      </c>
      <c r="K393" s="172" t="s">
        <v>93</v>
      </c>
      <c r="L393" s="172" t="s">
        <v>94</v>
      </c>
      <c r="M393" s="179">
        <v>0</v>
      </c>
      <c r="N393" s="177"/>
      <c r="O393" s="177"/>
      <c r="P393" s="180">
        <v>-56</v>
      </c>
    </row>
    <row r="394" spans="1:16" ht="19.5" customHeight="1">
      <c r="A394" s="172" t="s">
        <v>747</v>
      </c>
      <c r="B394" s="176">
        <v>46026</v>
      </c>
      <c r="C394" s="172" t="s">
        <v>81</v>
      </c>
      <c r="D394" s="172" t="s">
        <v>98</v>
      </c>
      <c r="E394" s="172" t="s">
        <v>52</v>
      </c>
      <c r="F394" s="172" t="s">
        <v>90</v>
      </c>
      <c r="G394" s="172" t="s">
        <v>84</v>
      </c>
      <c r="H394" s="177">
        <v>1</v>
      </c>
      <c r="I394" s="178">
        <v>0</v>
      </c>
      <c r="J394" s="176">
        <v>46018</v>
      </c>
      <c r="K394" s="172" t="s">
        <v>93</v>
      </c>
      <c r="L394" s="172" t="s">
        <v>94</v>
      </c>
      <c r="M394" s="179">
        <v>0</v>
      </c>
      <c r="N394" s="177"/>
      <c r="O394" s="177"/>
      <c r="P394" s="180">
        <v>-15</v>
      </c>
    </row>
    <row r="395" spans="1:16" ht="19.5" customHeight="1">
      <c r="A395" s="172" t="s">
        <v>748</v>
      </c>
      <c r="B395" s="176">
        <v>46026</v>
      </c>
      <c r="C395" s="172" t="s">
        <v>81</v>
      </c>
      <c r="D395" s="172" t="s">
        <v>82</v>
      </c>
      <c r="E395" s="172" t="s">
        <v>39</v>
      </c>
      <c r="F395" s="172" t="s">
        <v>117</v>
      </c>
      <c r="G395" s="172" t="s">
        <v>84</v>
      </c>
      <c r="H395" s="177">
        <v>1</v>
      </c>
      <c r="I395" s="178">
        <v>0</v>
      </c>
      <c r="J395" s="176">
        <v>46026</v>
      </c>
      <c r="K395" s="172" t="s">
        <v>85</v>
      </c>
      <c r="L395" s="172" t="s">
        <v>85</v>
      </c>
      <c r="M395" s="179">
        <v>0</v>
      </c>
      <c r="N395" s="177"/>
      <c r="O395" s="177"/>
      <c r="P395" s="180">
        <v>-8.94</v>
      </c>
    </row>
    <row r="396" spans="1:16" ht="19.5" customHeight="1">
      <c r="A396" s="172" t="s">
        <v>749</v>
      </c>
      <c r="B396" s="176">
        <v>46026</v>
      </c>
      <c r="C396" s="172" t="s">
        <v>81</v>
      </c>
      <c r="D396" s="172" t="s">
        <v>82</v>
      </c>
      <c r="E396" s="172" t="s">
        <v>42</v>
      </c>
      <c r="F396" s="172" t="s">
        <v>89</v>
      </c>
      <c r="G396" s="172" t="s">
        <v>84</v>
      </c>
      <c r="H396" s="177">
        <v>1</v>
      </c>
      <c r="I396" s="178">
        <v>0</v>
      </c>
      <c r="J396" s="176">
        <v>46026</v>
      </c>
      <c r="K396" s="172" t="s">
        <v>85</v>
      </c>
      <c r="L396" s="172" t="s">
        <v>85</v>
      </c>
      <c r="M396" s="179">
        <v>0</v>
      </c>
      <c r="N396" s="177"/>
      <c r="O396" s="177"/>
      <c r="P396" s="180">
        <v>-5.69</v>
      </c>
    </row>
    <row r="397" spans="1:16" ht="19.5" customHeight="1">
      <c r="A397" s="172" t="s">
        <v>750</v>
      </c>
      <c r="B397" s="176">
        <v>46026</v>
      </c>
      <c r="C397" s="172" t="s">
        <v>81</v>
      </c>
      <c r="D397" s="172" t="s">
        <v>82</v>
      </c>
      <c r="E397" s="172" t="s">
        <v>53</v>
      </c>
      <c r="F397" s="172" t="s">
        <v>120</v>
      </c>
      <c r="G397" s="172" t="s">
        <v>84</v>
      </c>
      <c r="H397" s="177">
        <v>1</v>
      </c>
      <c r="I397" s="178">
        <v>0</v>
      </c>
      <c r="J397" s="176">
        <v>46026</v>
      </c>
      <c r="K397" s="172" t="s">
        <v>85</v>
      </c>
      <c r="L397" s="172" t="s">
        <v>85</v>
      </c>
      <c r="M397" s="179">
        <v>0</v>
      </c>
      <c r="N397" s="177"/>
      <c r="O397" s="177"/>
      <c r="P397" s="180">
        <v>-12.21</v>
      </c>
    </row>
    <row r="398" spans="1:16" ht="19.5" customHeight="1">
      <c r="A398" s="172" t="s">
        <v>456</v>
      </c>
      <c r="B398" s="176">
        <v>46026</v>
      </c>
      <c r="C398" s="172" t="s">
        <v>92</v>
      </c>
      <c r="D398" s="172" t="s">
        <v>24</v>
      </c>
      <c r="E398" s="172" t="s">
        <v>53</v>
      </c>
      <c r="F398" s="172" t="s">
        <v>120</v>
      </c>
      <c r="G398" s="172" t="s">
        <v>84</v>
      </c>
      <c r="H398" s="177">
        <v>1</v>
      </c>
      <c r="I398" s="178">
        <v>1845</v>
      </c>
      <c r="J398" s="176">
        <v>46023</v>
      </c>
      <c r="K398" s="172" t="s">
        <v>93</v>
      </c>
      <c r="L398" s="172" t="s">
        <v>94</v>
      </c>
      <c r="M398" s="179">
        <v>0.43</v>
      </c>
      <c r="N398" s="177"/>
      <c r="O398" s="177">
        <v>43</v>
      </c>
      <c r="P398" s="180">
        <v>-144.94999999999999</v>
      </c>
    </row>
    <row r="399" spans="1:16" ht="19.5" customHeight="1">
      <c r="A399" s="172" t="s">
        <v>456</v>
      </c>
      <c r="B399" s="176">
        <v>46026</v>
      </c>
      <c r="C399" s="172" t="s">
        <v>100</v>
      </c>
      <c r="D399" s="172" t="s">
        <v>101</v>
      </c>
      <c r="E399" s="172" t="s">
        <v>53</v>
      </c>
      <c r="F399" s="172" t="s">
        <v>120</v>
      </c>
      <c r="G399" s="172" t="s">
        <v>84</v>
      </c>
      <c r="H399" s="177">
        <v>1</v>
      </c>
      <c r="I399" s="178">
        <v>1845</v>
      </c>
      <c r="J399" s="176">
        <v>46023</v>
      </c>
      <c r="K399" s="172" t="s">
        <v>93</v>
      </c>
      <c r="L399" s="172" t="s">
        <v>94</v>
      </c>
      <c r="M399" s="179">
        <v>0</v>
      </c>
      <c r="N399" s="177"/>
      <c r="O399" s="177"/>
      <c r="P399" s="180">
        <v>556.71</v>
      </c>
    </row>
    <row r="400" spans="1:16" ht="19.5" customHeight="1">
      <c r="A400" s="172" t="s">
        <v>456</v>
      </c>
      <c r="B400" s="176">
        <v>46026</v>
      </c>
      <c r="C400" s="172" t="s">
        <v>100</v>
      </c>
      <c r="D400" s="172" t="s">
        <v>102</v>
      </c>
      <c r="E400" s="172" t="s">
        <v>53</v>
      </c>
      <c r="F400" s="172" t="s">
        <v>120</v>
      </c>
      <c r="G400" s="172" t="s">
        <v>84</v>
      </c>
      <c r="H400" s="177">
        <v>1</v>
      </c>
      <c r="I400" s="178">
        <v>1845</v>
      </c>
      <c r="J400" s="176">
        <v>46023</v>
      </c>
      <c r="K400" s="172" t="s">
        <v>93</v>
      </c>
      <c r="L400" s="172" t="s">
        <v>94</v>
      </c>
      <c r="M400" s="179">
        <v>0</v>
      </c>
      <c r="N400" s="177"/>
      <c r="O400" s="177"/>
      <c r="P400" s="180">
        <v>5.57</v>
      </c>
    </row>
    <row r="401" spans="1:16" ht="19.5" customHeight="1">
      <c r="A401" s="172" t="s">
        <v>456</v>
      </c>
      <c r="B401" s="176">
        <v>46026</v>
      </c>
      <c r="C401" s="172" t="s">
        <v>100</v>
      </c>
      <c r="D401" s="172" t="s">
        <v>103</v>
      </c>
      <c r="E401" s="172" t="s">
        <v>53</v>
      </c>
      <c r="F401" s="172" t="s">
        <v>120</v>
      </c>
      <c r="G401" s="172" t="s">
        <v>84</v>
      </c>
      <c r="H401" s="177">
        <v>1</v>
      </c>
      <c r="I401" s="178">
        <v>1845</v>
      </c>
      <c r="J401" s="176">
        <v>46023</v>
      </c>
      <c r="K401" s="172" t="s">
        <v>93</v>
      </c>
      <c r="L401" s="172" t="s">
        <v>94</v>
      </c>
      <c r="M401" s="179">
        <v>0</v>
      </c>
      <c r="N401" s="177"/>
      <c r="O401" s="177"/>
      <c r="P401" s="180">
        <v>1282.72</v>
      </c>
    </row>
    <row r="402" spans="1:16" ht="19.5" customHeight="1">
      <c r="A402" s="172" t="s">
        <v>456</v>
      </c>
      <c r="B402" s="176">
        <v>46026</v>
      </c>
      <c r="C402" s="172" t="s">
        <v>104</v>
      </c>
      <c r="D402" s="172" t="s">
        <v>105</v>
      </c>
      <c r="E402" s="172" t="s">
        <v>53</v>
      </c>
      <c r="F402" s="172" t="s">
        <v>120</v>
      </c>
      <c r="G402" s="172" t="s">
        <v>84</v>
      </c>
      <c r="H402" s="177">
        <v>1</v>
      </c>
      <c r="I402" s="178">
        <v>1845</v>
      </c>
      <c r="J402" s="176">
        <v>46023</v>
      </c>
      <c r="K402" s="172" t="s">
        <v>93</v>
      </c>
      <c r="L402" s="172" t="s">
        <v>94</v>
      </c>
      <c r="M402" s="179">
        <v>0.43</v>
      </c>
      <c r="N402" s="177"/>
      <c r="O402" s="177"/>
      <c r="P402" s="180">
        <v>-793.35</v>
      </c>
    </row>
    <row r="403" spans="1:16" ht="19.5" customHeight="1">
      <c r="A403" s="172" t="s">
        <v>751</v>
      </c>
      <c r="B403" s="176">
        <v>46026</v>
      </c>
      <c r="C403" s="172" t="s">
        <v>92</v>
      </c>
      <c r="D403" s="172" t="s">
        <v>24</v>
      </c>
      <c r="E403" s="172" t="s">
        <v>53</v>
      </c>
      <c r="F403" s="172" t="s">
        <v>120</v>
      </c>
      <c r="G403" s="172" t="s">
        <v>84</v>
      </c>
      <c r="H403" s="177">
        <v>1</v>
      </c>
      <c r="I403" s="178">
        <v>1845</v>
      </c>
      <c r="J403" s="176">
        <v>46023</v>
      </c>
      <c r="K403" s="172" t="s">
        <v>93</v>
      </c>
      <c r="L403" s="172" t="s">
        <v>94</v>
      </c>
      <c r="M403" s="179">
        <v>0.43</v>
      </c>
      <c r="N403" s="177"/>
      <c r="O403" s="177">
        <v>43</v>
      </c>
      <c r="P403" s="180">
        <v>-144.94999999999999</v>
      </c>
    </row>
    <row r="404" spans="1:16" ht="19.5" customHeight="1">
      <c r="A404" s="172" t="s">
        <v>751</v>
      </c>
      <c r="B404" s="176">
        <v>46026</v>
      </c>
      <c r="C404" s="172" t="s">
        <v>100</v>
      </c>
      <c r="D404" s="172" t="s">
        <v>101</v>
      </c>
      <c r="E404" s="172" t="s">
        <v>53</v>
      </c>
      <c r="F404" s="172" t="s">
        <v>120</v>
      </c>
      <c r="G404" s="172" t="s">
        <v>84</v>
      </c>
      <c r="H404" s="177">
        <v>1</v>
      </c>
      <c r="I404" s="178">
        <v>1845</v>
      </c>
      <c r="J404" s="176">
        <v>46023</v>
      </c>
      <c r="K404" s="172" t="s">
        <v>93</v>
      </c>
      <c r="L404" s="172" t="s">
        <v>94</v>
      </c>
      <c r="M404" s="179">
        <v>0</v>
      </c>
      <c r="N404" s="177"/>
      <c r="O404" s="177"/>
      <c r="P404" s="180">
        <v>639.80999999999995</v>
      </c>
    </row>
    <row r="405" spans="1:16" ht="19.5" customHeight="1">
      <c r="A405" s="172" t="s">
        <v>751</v>
      </c>
      <c r="B405" s="176">
        <v>46026</v>
      </c>
      <c r="C405" s="172" t="s">
        <v>100</v>
      </c>
      <c r="D405" s="172" t="s">
        <v>102</v>
      </c>
      <c r="E405" s="172" t="s">
        <v>53</v>
      </c>
      <c r="F405" s="172" t="s">
        <v>120</v>
      </c>
      <c r="G405" s="172" t="s">
        <v>84</v>
      </c>
      <c r="H405" s="177">
        <v>1</v>
      </c>
      <c r="I405" s="178">
        <v>1845</v>
      </c>
      <c r="J405" s="176">
        <v>46023</v>
      </c>
      <c r="K405" s="172" t="s">
        <v>93</v>
      </c>
      <c r="L405" s="172" t="s">
        <v>94</v>
      </c>
      <c r="M405" s="179">
        <v>0</v>
      </c>
      <c r="N405" s="177"/>
      <c r="O405" s="177"/>
      <c r="P405" s="180">
        <v>6.4</v>
      </c>
    </row>
    <row r="406" spans="1:16" ht="19.5" customHeight="1">
      <c r="A406" s="172" t="s">
        <v>751</v>
      </c>
      <c r="B406" s="176">
        <v>46026</v>
      </c>
      <c r="C406" s="172" t="s">
        <v>100</v>
      </c>
      <c r="D406" s="172" t="s">
        <v>103</v>
      </c>
      <c r="E406" s="172" t="s">
        <v>53</v>
      </c>
      <c r="F406" s="172" t="s">
        <v>120</v>
      </c>
      <c r="G406" s="172" t="s">
        <v>84</v>
      </c>
      <c r="H406" s="177">
        <v>1</v>
      </c>
      <c r="I406" s="178">
        <v>1845</v>
      </c>
      <c r="J406" s="176">
        <v>46023</v>
      </c>
      <c r="K406" s="172" t="s">
        <v>93</v>
      </c>
      <c r="L406" s="172" t="s">
        <v>94</v>
      </c>
      <c r="M406" s="179">
        <v>0</v>
      </c>
      <c r="N406" s="177"/>
      <c r="O406" s="177"/>
      <c r="P406" s="180">
        <v>1198.79</v>
      </c>
    </row>
    <row r="407" spans="1:16" ht="19.5" customHeight="1">
      <c r="A407" s="172" t="s">
        <v>751</v>
      </c>
      <c r="B407" s="176">
        <v>46026</v>
      </c>
      <c r="C407" s="172" t="s">
        <v>104</v>
      </c>
      <c r="D407" s="172" t="s">
        <v>105</v>
      </c>
      <c r="E407" s="172" t="s">
        <v>53</v>
      </c>
      <c r="F407" s="172" t="s">
        <v>120</v>
      </c>
      <c r="G407" s="172" t="s">
        <v>84</v>
      </c>
      <c r="H407" s="177">
        <v>1</v>
      </c>
      <c r="I407" s="178">
        <v>1845</v>
      </c>
      <c r="J407" s="176">
        <v>46023</v>
      </c>
      <c r="K407" s="172" t="s">
        <v>93</v>
      </c>
      <c r="L407" s="172" t="s">
        <v>94</v>
      </c>
      <c r="M407" s="179">
        <v>0.43</v>
      </c>
      <c r="N407" s="177"/>
      <c r="O407" s="177"/>
      <c r="P407" s="180">
        <v>-793.35</v>
      </c>
    </row>
    <row r="408" spans="1:16" ht="19.5" customHeight="1">
      <c r="A408" s="172" t="s">
        <v>751</v>
      </c>
      <c r="B408" s="176">
        <v>46026</v>
      </c>
      <c r="C408" s="172" t="s">
        <v>81</v>
      </c>
      <c r="D408" s="172" t="s">
        <v>95</v>
      </c>
      <c r="E408" s="172" t="s">
        <v>53</v>
      </c>
      <c r="F408" s="172" t="s">
        <v>120</v>
      </c>
      <c r="G408" s="172" t="s">
        <v>84</v>
      </c>
      <c r="H408" s="177">
        <v>1</v>
      </c>
      <c r="I408" s="178">
        <v>1845</v>
      </c>
      <c r="J408" s="176">
        <v>46023</v>
      </c>
      <c r="K408" s="172" t="s">
        <v>93</v>
      </c>
      <c r="L408" s="172" t="s">
        <v>94</v>
      </c>
      <c r="M408" s="179">
        <v>0.43</v>
      </c>
      <c r="N408" s="177"/>
      <c r="O408" s="177"/>
      <c r="P408" s="180">
        <v>-9.56</v>
      </c>
    </row>
    <row r="409" spans="1:16" ht="19.5" customHeight="1">
      <c r="A409" s="172" t="s">
        <v>752</v>
      </c>
      <c r="B409" s="176">
        <v>46026</v>
      </c>
      <c r="C409" s="172" t="s">
        <v>92</v>
      </c>
      <c r="D409" s="172" t="s">
        <v>24</v>
      </c>
      <c r="E409" s="172" t="s">
        <v>43</v>
      </c>
      <c r="F409" s="172" t="s">
        <v>125</v>
      </c>
      <c r="G409" s="172" t="s">
        <v>84</v>
      </c>
      <c r="H409" s="177">
        <v>1</v>
      </c>
      <c r="I409" s="178">
        <v>0</v>
      </c>
      <c r="J409" s="176">
        <v>46021</v>
      </c>
      <c r="K409" s="172" t="s">
        <v>93</v>
      </c>
      <c r="L409" s="172" t="s">
        <v>94</v>
      </c>
      <c r="M409" s="179">
        <v>0</v>
      </c>
      <c r="N409" s="177"/>
      <c r="O409" s="177">
        <v>40</v>
      </c>
      <c r="P409" s="180">
        <v>-101.27</v>
      </c>
    </row>
    <row r="410" spans="1:16" ht="19.5" customHeight="1">
      <c r="A410" s="172" t="s">
        <v>753</v>
      </c>
      <c r="B410" s="176">
        <v>46026</v>
      </c>
      <c r="C410" s="172" t="s">
        <v>92</v>
      </c>
      <c r="D410" s="172" t="s">
        <v>24</v>
      </c>
      <c r="E410" s="172" t="s">
        <v>53</v>
      </c>
      <c r="F410" s="172" t="s">
        <v>120</v>
      </c>
      <c r="G410" s="172" t="s">
        <v>84</v>
      </c>
      <c r="H410" s="177">
        <v>1</v>
      </c>
      <c r="I410" s="178">
        <v>1845</v>
      </c>
      <c r="J410" s="176">
        <v>46023</v>
      </c>
      <c r="K410" s="172" t="s">
        <v>93</v>
      </c>
      <c r="L410" s="172" t="s">
        <v>94</v>
      </c>
      <c r="M410" s="179">
        <v>0.43</v>
      </c>
      <c r="N410" s="177"/>
      <c r="O410" s="177">
        <v>43</v>
      </c>
      <c r="P410" s="180">
        <v>-144.94999999999999</v>
      </c>
    </row>
    <row r="411" spans="1:16" ht="19.5" customHeight="1">
      <c r="A411" s="172" t="s">
        <v>753</v>
      </c>
      <c r="B411" s="176">
        <v>46026</v>
      </c>
      <c r="C411" s="172" t="s">
        <v>100</v>
      </c>
      <c r="D411" s="172" t="s">
        <v>101</v>
      </c>
      <c r="E411" s="172" t="s">
        <v>53</v>
      </c>
      <c r="F411" s="172" t="s">
        <v>120</v>
      </c>
      <c r="G411" s="172" t="s">
        <v>84</v>
      </c>
      <c r="H411" s="177">
        <v>1</v>
      </c>
      <c r="I411" s="178">
        <v>1845</v>
      </c>
      <c r="J411" s="176">
        <v>46023</v>
      </c>
      <c r="K411" s="172" t="s">
        <v>93</v>
      </c>
      <c r="L411" s="172" t="s">
        <v>94</v>
      </c>
      <c r="M411" s="179">
        <v>0</v>
      </c>
      <c r="N411" s="177"/>
      <c r="O411" s="177"/>
      <c r="P411" s="180">
        <v>642.86</v>
      </c>
    </row>
    <row r="412" spans="1:16" ht="19.5" customHeight="1">
      <c r="A412" s="172" t="s">
        <v>753</v>
      </c>
      <c r="B412" s="176">
        <v>46026</v>
      </c>
      <c r="C412" s="172" t="s">
        <v>100</v>
      </c>
      <c r="D412" s="172" t="s">
        <v>102</v>
      </c>
      <c r="E412" s="172" t="s">
        <v>53</v>
      </c>
      <c r="F412" s="172" t="s">
        <v>120</v>
      </c>
      <c r="G412" s="172" t="s">
        <v>84</v>
      </c>
      <c r="H412" s="177">
        <v>1</v>
      </c>
      <c r="I412" s="178">
        <v>1845</v>
      </c>
      <c r="J412" s="176">
        <v>46023</v>
      </c>
      <c r="K412" s="172" t="s">
        <v>93</v>
      </c>
      <c r="L412" s="172" t="s">
        <v>94</v>
      </c>
      <c r="M412" s="179">
        <v>0</v>
      </c>
      <c r="N412" s="177"/>
      <c r="O412" s="177"/>
      <c r="P412" s="180">
        <v>6.43</v>
      </c>
    </row>
    <row r="413" spans="1:16" ht="19.5" customHeight="1">
      <c r="A413" s="172" t="s">
        <v>753</v>
      </c>
      <c r="B413" s="176">
        <v>46026</v>
      </c>
      <c r="C413" s="172" t="s">
        <v>100</v>
      </c>
      <c r="D413" s="172" t="s">
        <v>103</v>
      </c>
      <c r="E413" s="172" t="s">
        <v>53</v>
      </c>
      <c r="F413" s="172" t="s">
        <v>120</v>
      </c>
      <c r="G413" s="172" t="s">
        <v>84</v>
      </c>
      <c r="H413" s="177">
        <v>1</v>
      </c>
      <c r="I413" s="178">
        <v>1845</v>
      </c>
      <c r="J413" s="176">
        <v>46023</v>
      </c>
      <c r="K413" s="172" t="s">
        <v>93</v>
      </c>
      <c r="L413" s="172" t="s">
        <v>94</v>
      </c>
      <c r="M413" s="179">
        <v>0</v>
      </c>
      <c r="N413" s="177"/>
      <c r="O413" s="177"/>
      <c r="P413" s="180">
        <v>1195.71</v>
      </c>
    </row>
    <row r="414" spans="1:16" ht="19.5" customHeight="1">
      <c r="A414" s="172" t="s">
        <v>753</v>
      </c>
      <c r="B414" s="176">
        <v>46026</v>
      </c>
      <c r="C414" s="172" t="s">
        <v>104</v>
      </c>
      <c r="D414" s="172" t="s">
        <v>105</v>
      </c>
      <c r="E414" s="172" t="s">
        <v>53</v>
      </c>
      <c r="F414" s="172" t="s">
        <v>120</v>
      </c>
      <c r="G414" s="172" t="s">
        <v>84</v>
      </c>
      <c r="H414" s="177">
        <v>1</v>
      </c>
      <c r="I414" s="178">
        <v>1845</v>
      </c>
      <c r="J414" s="176">
        <v>46023</v>
      </c>
      <c r="K414" s="172" t="s">
        <v>93</v>
      </c>
      <c r="L414" s="172" t="s">
        <v>94</v>
      </c>
      <c r="M414" s="179">
        <v>0.43</v>
      </c>
      <c r="N414" s="177"/>
      <c r="O414" s="177"/>
      <c r="P414" s="180">
        <v>-793.35</v>
      </c>
    </row>
    <row r="415" spans="1:16" ht="19.5" customHeight="1">
      <c r="A415" s="172" t="s">
        <v>753</v>
      </c>
      <c r="B415" s="176">
        <v>46026</v>
      </c>
      <c r="C415" s="172" t="s">
        <v>81</v>
      </c>
      <c r="D415" s="172" t="s">
        <v>95</v>
      </c>
      <c r="E415" s="172" t="s">
        <v>53</v>
      </c>
      <c r="F415" s="172" t="s">
        <v>120</v>
      </c>
      <c r="G415" s="172" t="s">
        <v>84</v>
      </c>
      <c r="H415" s="177">
        <v>1</v>
      </c>
      <c r="I415" s="178">
        <v>1845</v>
      </c>
      <c r="J415" s="176">
        <v>46023</v>
      </c>
      <c r="K415" s="172" t="s">
        <v>93</v>
      </c>
      <c r="L415" s="172" t="s">
        <v>94</v>
      </c>
      <c r="M415" s="179">
        <v>0.43</v>
      </c>
      <c r="N415" s="177"/>
      <c r="O415" s="177"/>
      <c r="P415" s="180">
        <v>-21.62</v>
      </c>
    </row>
    <row r="416" spans="1:16" ht="19.5" customHeight="1">
      <c r="A416" s="172" t="s">
        <v>753</v>
      </c>
      <c r="B416" s="176">
        <v>46026</v>
      </c>
      <c r="C416" s="172" t="s">
        <v>81</v>
      </c>
      <c r="D416" s="172" t="s">
        <v>82</v>
      </c>
      <c r="E416" s="172" t="s">
        <v>53</v>
      </c>
      <c r="F416" s="172" t="s">
        <v>120</v>
      </c>
      <c r="G416" s="172" t="s">
        <v>84</v>
      </c>
      <c r="H416" s="177">
        <v>1</v>
      </c>
      <c r="I416" s="178">
        <v>0</v>
      </c>
      <c r="J416" s="176">
        <v>46023</v>
      </c>
      <c r="K416" s="172" t="s">
        <v>85</v>
      </c>
      <c r="L416" s="172" t="s">
        <v>85</v>
      </c>
      <c r="M416" s="179">
        <v>0</v>
      </c>
      <c r="N416" s="177"/>
      <c r="O416" s="177"/>
      <c r="P416" s="180">
        <v>-12.21</v>
      </c>
    </row>
    <row r="417" spans="1:16" ht="19.5" customHeight="1">
      <c r="A417" s="172" t="s">
        <v>754</v>
      </c>
      <c r="B417" s="176">
        <v>46026</v>
      </c>
      <c r="C417" s="172" t="s">
        <v>92</v>
      </c>
      <c r="D417" s="172" t="s">
        <v>24</v>
      </c>
      <c r="E417" s="172" t="s">
        <v>41</v>
      </c>
      <c r="F417" s="172" t="s">
        <v>83</v>
      </c>
      <c r="G417" s="172" t="s">
        <v>84</v>
      </c>
      <c r="H417" s="177">
        <v>1</v>
      </c>
      <c r="I417" s="178">
        <v>1600</v>
      </c>
      <c r="J417" s="176">
        <v>46025</v>
      </c>
      <c r="K417" s="172" t="s">
        <v>93</v>
      </c>
      <c r="L417" s="172" t="s">
        <v>94</v>
      </c>
      <c r="M417" s="179">
        <v>0.43</v>
      </c>
      <c r="N417" s="177"/>
      <c r="O417" s="177">
        <v>44</v>
      </c>
      <c r="P417" s="180">
        <v>-125.38</v>
      </c>
    </row>
    <row r="418" spans="1:16" ht="19.5" customHeight="1">
      <c r="A418" s="172" t="s">
        <v>754</v>
      </c>
      <c r="B418" s="176">
        <v>46026</v>
      </c>
      <c r="C418" s="172" t="s">
        <v>100</v>
      </c>
      <c r="D418" s="172" t="s">
        <v>101</v>
      </c>
      <c r="E418" s="172" t="s">
        <v>41</v>
      </c>
      <c r="F418" s="172" t="s">
        <v>83</v>
      </c>
      <c r="G418" s="172" t="s">
        <v>84</v>
      </c>
      <c r="H418" s="177">
        <v>1</v>
      </c>
      <c r="I418" s="178">
        <v>1600</v>
      </c>
      <c r="J418" s="176">
        <v>46025</v>
      </c>
      <c r="K418" s="172" t="s">
        <v>93</v>
      </c>
      <c r="L418" s="172" t="s">
        <v>94</v>
      </c>
      <c r="M418" s="179">
        <v>0</v>
      </c>
      <c r="N418" s="177"/>
      <c r="O418" s="177"/>
      <c r="P418" s="180">
        <v>549.52</v>
      </c>
    </row>
    <row r="419" spans="1:16" ht="19.5" customHeight="1">
      <c r="A419" s="172" t="s">
        <v>754</v>
      </c>
      <c r="B419" s="176">
        <v>46026</v>
      </c>
      <c r="C419" s="172" t="s">
        <v>100</v>
      </c>
      <c r="D419" s="172" t="s">
        <v>102</v>
      </c>
      <c r="E419" s="172" t="s">
        <v>41</v>
      </c>
      <c r="F419" s="172" t="s">
        <v>83</v>
      </c>
      <c r="G419" s="172" t="s">
        <v>84</v>
      </c>
      <c r="H419" s="177">
        <v>1</v>
      </c>
      <c r="I419" s="178">
        <v>1600</v>
      </c>
      <c r="J419" s="176">
        <v>46025</v>
      </c>
      <c r="K419" s="172" t="s">
        <v>93</v>
      </c>
      <c r="L419" s="172" t="s">
        <v>94</v>
      </c>
      <c r="M419" s="179">
        <v>0</v>
      </c>
      <c r="N419" s="177"/>
      <c r="O419" s="177"/>
      <c r="P419" s="180">
        <v>5.5</v>
      </c>
    </row>
    <row r="420" spans="1:16" ht="19.5" customHeight="1">
      <c r="A420" s="172" t="s">
        <v>754</v>
      </c>
      <c r="B420" s="176">
        <v>46026</v>
      </c>
      <c r="C420" s="172" t="s">
        <v>100</v>
      </c>
      <c r="D420" s="172" t="s">
        <v>103</v>
      </c>
      <c r="E420" s="172" t="s">
        <v>41</v>
      </c>
      <c r="F420" s="172" t="s">
        <v>83</v>
      </c>
      <c r="G420" s="172" t="s">
        <v>84</v>
      </c>
      <c r="H420" s="177">
        <v>1</v>
      </c>
      <c r="I420" s="178">
        <v>1600</v>
      </c>
      <c r="J420" s="176">
        <v>46025</v>
      </c>
      <c r="K420" s="172" t="s">
        <v>93</v>
      </c>
      <c r="L420" s="172" t="s">
        <v>94</v>
      </c>
      <c r="M420" s="179">
        <v>0</v>
      </c>
      <c r="N420" s="177"/>
      <c r="O420" s="177"/>
      <c r="P420" s="180">
        <v>1044.98</v>
      </c>
    </row>
    <row r="421" spans="1:16" ht="19.5" customHeight="1">
      <c r="A421" s="172" t="s">
        <v>754</v>
      </c>
      <c r="B421" s="176">
        <v>46026</v>
      </c>
      <c r="C421" s="172" t="s">
        <v>104</v>
      </c>
      <c r="D421" s="172" t="s">
        <v>105</v>
      </c>
      <c r="E421" s="172" t="s">
        <v>41</v>
      </c>
      <c r="F421" s="172" t="s">
        <v>83</v>
      </c>
      <c r="G421" s="172" t="s">
        <v>84</v>
      </c>
      <c r="H421" s="177">
        <v>1</v>
      </c>
      <c r="I421" s="178">
        <v>1600</v>
      </c>
      <c r="J421" s="176">
        <v>46025</v>
      </c>
      <c r="K421" s="172" t="s">
        <v>93</v>
      </c>
      <c r="L421" s="172" t="s">
        <v>94</v>
      </c>
      <c r="M421" s="179">
        <v>0.43</v>
      </c>
      <c r="N421" s="177"/>
      <c r="O421" s="177"/>
      <c r="P421" s="180">
        <v>-688</v>
      </c>
    </row>
    <row r="422" spans="1:16" ht="19.5" customHeight="1">
      <c r="A422" s="172" t="s">
        <v>754</v>
      </c>
      <c r="B422" s="176">
        <v>46026</v>
      </c>
      <c r="C422" s="172" t="s">
        <v>81</v>
      </c>
      <c r="D422" s="172" t="s">
        <v>95</v>
      </c>
      <c r="E422" s="172" t="s">
        <v>41</v>
      </c>
      <c r="F422" s="172" t="s">
        <v>83</v>
      </c>
      <c r="G422" s="172" t="s">
        <v>84</v>
      </c>
      <c r="H422" s="177">
        <v>1</v>
      </c>
      <c r="I422" s="178">
        <v>1600</v>
      </c>
      <c r="J422" s="176">
        <v>46025</v>
      </c>
      <c r="K422" s="172" t="s">
        <v>93</v>
      </c>
      <c r="L422" s="172" t="s">
        <v>94</v>
      </c>
      <c r="M422" s="179">
        <v>0.43</v>
      </c>
      <c r="N422" s="177"/>
      <c r="O422" s="177"/>
      <c r="P422" s="180">
        <v>-8.16</v>
      </c>
    </row>
    <row r="423" spans="1:16" ht="19.5" customHeight="1">
      <c r="A423" s="172" t="s">
        <v>755</v>
      </c>
      <c r="B423" s="176">
        <v>46026</v>
      </c>
      <c r="C423" s="172" t="s">
        <v>92</v>
      </c>
      <c r="D423" s="172" t="s">
        <v>24</v>
      </c>
      <c r="E423" s="172" t="s">
        <v>52</v>
      </c>
      <c r="F423" s="172" t="s">
        <v>90</v>
      </c>
      <c r="G423" s="172" t="s">
        <v>84</v>
      </c>
      <c r="H423" s="177">
        <v>1</v>
      </c>
      <c r="I423" s="178">
        <v>1621</v>
      </c>
      <c r="J423" s="176">
        <v>46023</v>
      </c>
      <c r="K423" s="172" t="s">
        <v>93</v>
      </c>
      <c r="L423" s="172" t="s">
        <v>94</v>
      </c>
      <c r="M423" s="179">
        <v>0.43</v>
      </c>
      <c r="N423" s="177"/>
      <c r="O423" s="177">
        <v>43</v>
      </c>
      <c r="P423" s="180">
        <v>-138.22999999999999</v>
      </c>
    </row>
    <row r="424" spans="1:16" ht="19.5" customHeight="1">
      <c r="A424" s="172" t="s">
        <v>755</v>
      </c>
      <c r="B424" s="176">
        <v>46026</v>
      </c>
      <c r="C424" s="172" t="s">
        <v>100</v>
      </c>
      <c r="D424" s="172" t="s">
        <v>101</v>
      </c>
      <c r="E424" s="172" t="s">
        <v>52</v>
      </c>
      <c r="F424" s="172" t="s">
        <v>90</v>
      </c>
      <c r="G424" s="172" t="s">
        <v>84</v>
      </c>
      <c r="H424" s="177">
        <v>1</v>
      </c>
      <c r="I424" s="178">
        <v>1621</v>
      </c>
      <c r="J424" s="176">
        <v>46023</v>
      </c>
      <c r="K424" s="172" t="s">
        <v>93</v>
      </c>
      <c r="L424" s="172" t="s">
        <v>94</v>
      </c>
      <c r="M424" s="179">
        <v>0</v>
      </c>
      <c r="N424" s="177"/>
      <c r="O424" s="177"/>
      <c r="P424" s="180">
        <v>617.14</v>
      </c>
    </row>
    <row r="425" spans="1:16" ht="19.5" customHeight="1">
      <c r="A425" s="172" t="s">
        <v>755</v>
      </c>
      <c r="B425" s="176">
        <v>46026</v>
      </c>
      <c r="C425" s="172" t="s">
        <v>100</v>
      </c>
      <c r="D425" s="172" t="s">
        <v>102</v>
      </c>
      <c r="E425" s="172" t="s">
        <v>52</v>
      </c>
      <c r="F425" s="172" t="s">
        <v>90</v>
      </c>
      <c r="G425" s="172" t="s">
        <v>84</v>
      </c>
      <c r="H425" s="177">
        <v>1</v>
      </c>
      <c r="I425" s="178">
        <v>1621</v>
      </c>
      <c r="J425" s="176">
        <v>46023</v>
      </c>
      <c r="K425" s="172" t="s">
        <v>93</v>
      </c>
      <c r="L425" s="172" t="s">
        <v>94</v>
      </c>
      <c r="M425" s="179">
        <v>0</v>
      </c>
      <c r="N425" s="177"/>
      <c r="O425" s="177"/>
      <c r="P425" s="180">
        <v>0</v>
      </c>
    </row>
    <row r="426" spans="1:16" ht="19.5" customHeight="1">
      <c r="A426" s="172" t="s">
        <v>755</v>
      </c>
      <c r="B426" s="176">
        <v>46026</v>
      </c>
      <c r="C426" s="172" t="s">
        <v>100</v>
      </c>
      <c r="D426" s="172" t="s">
        <v>103</v>
      </c>
      <c r="E426" s="172" t="s">
        <v>52</v>
      </c>
      <c r="F426" s="172" t="s">
        <v>90</v>
      </c>
      <c r="G426" s="172" t="s">
        <v>84</v>
      </c>
      <c r="H426" s="177">
        <v>1</v>
      </c>
      <c r="I426" s="178">
        <v>1621</v>
      </c>
      <c r="J426" s="176">
        <v>46023</v>
      </c>
      <c r="K426" s="172" t="s">
        <v>93</v>
      </c>
      <c r="L426" s="172" t="s">
        <v>94</v>
      </c>
      <c r="M426" s="179">
        <v>0</v>
      </c>
      <c r="N426" s="177"/>
      <c r="O426" s="177"/>
      <c r="P426" s="180">
        <v>1003.86</v>
      </c>
    </row>
    <row r="427" spans="1:16" ht="19.5" customHeight="1">
      <c r="A427" s="172" t="s">
        <v>755</v>
      </c>
      <c r="B427" s="176">
        <v>46026</v>
      </c>
      <c r="C427" s="172" t="s">
        <v>104</v>
      </c>
      <c r="D427" s="172" t="s">
        <v>105</v>
      </c>
      <c r="E427" s="172" t="s">
        <v>52</v>
      </c>
      <c r="F427" s="172" t="s">
        <v>90</v>
      </c>
      <c r="G427" s="172" t="s">
        <v>84</v>
      </c>
      <c r="H427" s="177">
        <v>1</v>
      </c>
      <c r="I427" s="178">
        <v>1621</v>
      </c>
      <c r="J427" s="176">
        <v>46023</v>
      </c>
      <c r="K427" s="172" t="s">
        <v>93</v>
      </c>
      <c r="L427" s="172" t="s">
        <v>94</v>
      </c>
      <c r="M427" s="179">
        <v>0.43</v>
      </c>
      <c r="N427" s="177"/>
      <c r="O427" s="177"/>
      <c r="P427" s="180">
        <v>-697.03</v>
      </c>
    </row>
    <row r="428" spans="1:16" ht="19.5" customHeight="1">
      <c r="A428" s="172" t="s">
        <v>755</v>
      </c>
      <c r="B428" s="176">
        <v>46026</v>
      </c>
      <c r="C428" s="172" t="s">
        <v>81</v>
      </c>
      <c r="D428" s="172" t="s">
        <v>95</v>
      </c>
      <c r="E428" s="172" t="s">
        <v>52</v>
      </c>
      <c r="F428" s="172" t="s">
        <v>90</v>
      </c>
      <c r="G428" s="172" t="s">
        <v>84</v>
      </c>
      <c r="H428" s="177">
        <v>1</v>
      </c>
      <c r="I428" s="178">
        <v>1621</v>
      </c>
      <c r="J428" s="176">
        <v>46023</v>
      </c>
      <c r="K428" s="172" t="s">
        <v>93</v>
      </c>
      <c r="L428" s="172" t="s">
        <v>94</v>
      </c>
      <c r="M428" s="179">
        <v>0.43</v>
      </c>
      <c r="N428" s="177"/>
      <c r="O428" s="177"/>
      <c r="P428" s="180">
        <v>-8.3000000000000007</v>
      </c>
    </row>
    <row r="429" spans="1:16" ht="19.5" customHeight="1">
      <c r="A429" s="172" t="s">
        <v>756</v>
      </c>
      <c r="B429" s="176">
        <v>46026</v>
      </c>
      <c r="C429" s="172" t="s">
        <v>92</v>
      </c>
      <c r="D429" s="172" t="s">
        <v>24</v>
      </c>
      <c r="E429" s="172" t="s">
        <v>41</v>
      </c>
      <c r="F429" s="172" t="s">
        <v>83</v>
      </c>
      <c r="G429" s="172" t="s">
        <v>84</v>
      </c>
      <c r="H429" s="177">
        <v>1</v>
      </c>
      <c r="I429" s="178">
        <v>1600</v>
      </c>
      <c r="J429" s="176">
        <v>46019</v>
      </c>
      <c r="K429" s="172" t="s">
        <v>93</v>
      </c>
      <c r="L429" s="172" t="s">
        <v>94</v>
      </c>
      <c r="M429" s="179">
        <v>0.43</v>
      </c>
      <c r="N429" s="177"/>
      <c r="O429" s="177">
        <v>41</v>
      </c>
      <c r="P429" s="180">
        <v>-115.23</v>
      </c>
    </row>
    <row r="430" spans="1:16" ht="19.5" customHeight="1">
      <c r="A430" s="172" t="s">
        <v>756</v>
      </c>
      <c r="B430" s="176">
        <v>46026</v>
      </c>
      <c r="C430" s="172" t="s">
        <v>100</v>
      </c>
      <c r="D430" s="172" t="s">
        <v>101</v>
      </c>
      <c r="E430" s="172" t="s">
        <v>41</v>
      </c>
      <c r="F430" s="172" t="s">
        <v>83</v>
      </c>
      <c r="G430" s="172" t="s">
        <v>84</v>
      </c>
      <c r="H430" s="177">
        <v>1</v>
      </c>
      <c r="I430" s="178">
        <v>1600</v>
      </c>
      <c r="J430" s="176">
        <v>46019</v>
      </c>
      <c r="K430" s="172" t="s">
        <v>93</v>
      </c>
      <c r="L430" s="172" t="s">
        <v>94</v>
      </c>
      <c r="M430" s="179">
        <v>0</v>
      </c>
      <c r="N430" s="177"/>
      <c r="O430" s="177"/>
      <c r="P430" s="180">
        <v>546.91999999999996</v>
      </c>
    </row>
    <row r="431" spans="1:16" ht="19.5" customHeight="1">
      <c r="A431" s="172" t="s">
        <v>756</v>
      </c>
      <c r="B431" s="176">
        <v>46026</v>
      </c>
      <c r="C431" s="172" t="s">
        <v>100</v>
      </c>
      <c r="D431" s="172" t="s">
        <v>102</v>
      </c>
      <c r="E431" s="172" t="s">
        <v>41</v>
      </c>
      <c r="F431" s="172" t="s">
        <v>83</v>
      </c>
      <c r="G431" s="172" t="s">
        <v>84</v>
      </c>
      <c r="H431" s="177">
        <v>1</v>
      </c>
      <c r="I431" s="178">
        <v>1600</v>
      </c>
      <c r="J431" s="176">
        <v>46019</v>
      </c>
      <c r="K431" s="172" t="s">
        <v>93</v>
      </c>
      <c r="L431" s="172" t="s">
        <v>94</v>
      </c>
      <c r="M431" s="179">
        <v>0</v>
      </c>
      <c r="N431" s="177"/>
      <c r="O431" s="177"/>
      <c r="P431" s="180">
        <v>5.47</v>
      </c>
    </row>
    <row r="432" spans="1:16" ht="19.5" customHeight="1">
      <c r="A432" s="172" t="s">
        <v>756</v>
      </c>
      <c r="B432" s="176">
        <v>46026</v>
      </c>
      <c r="C432" s="172" t="s">
        <v>100</v>
      </c>
      <c r="D432" s="172" t="s">
        <v>103</v>
      </c>
      <c r="E432" s="172" t="s">
        <v>41</v>
      </c>
      <c r="F432" s="172" t="s">
        <v>83</v>
      </c>
      <c r="G432" s="172" t="s">
        <v>84</v>
      </c>
      <c r="H432" s="177">
        <v>1</v>
      </c>
      <c r="I432" s="178">
        <v>1600</v>
      </c>
      <c r="J432" s="176">
        <v>46019</v>
      </c>
      <c r="K432" s="172" t="s">
        <v>93</v>
      </c>
      <c r="L432" s="172" t="s">
        <v>94</v>
      </c>
      <c r="M432" s="179">
        <v>0</v>
      </c>
      <c r="N432" s="177"/>
      <c r="O432" s="177"/>
      <c r="P432" s="180">
        <v>1047.6099999999999</v>
      </c>
    </row>
    <row r="433" spans="1:16" ht="19.5" customHeight="1">
      <c r="A433" s="172" t="s">
        <v>756</v>
      </c>
      <c r="B433" s="176">
        <v>46026</v>
      </c>
      <c r="C433" s="172" t="s">
        <v>104</v>
      </c>
      <c r="D433" s="172" t="s">
        <v>105</v>
      </c>
      <c r="E433" s="172" t="s">
        <v>41</v>
      </c>
      <c r="F433" s="172" t="s">
        <v>83</v>
      </c>
      <c r="G433" s="172" t="s">
        <v>84</v>
      </c>
      <c r="H433" s="177">
        <v>1</v>
      </c>
      <c r="I433" s="178">
        <v>1600</v>
      </c>
      <c r="J433" s="176">
        <v>46019</v>
      </c>
      <c r="K433" s="172" t="s">
        <v>93</v>
      </c>
      <c r="L433" s="172" t="s">
        <v>94</v>
      </c>
      <c r="M433" s="179">
        <v>0.43</v>
      </c>
      <c r="N433" s="177"/>
      <c r="O433" s="177"/>
      <c r="P433" s="180">
        <v>-688</v>
      </c>
    </row>
    <row r="434" spans="1:16" ht="19.5" customHeight="1">
      <c r="A434" s="172" t="s">
        <v>756</v>
      </c>
      <c r="B434" s="176">
        <v>46026</v>
      </c>
      <c r="C434" s="172" t="s">
        <v>81</v>
      </c>
      <c r="D434" s="172" t="s">
        <v>95</v>
      </c>
      <c r="E434" s="172" t="s">
        <v>41</v>
      </c>
      <c r="F434" s="172" t="s">
        <v>83</v>
      </c>
      <c r="G434" s="172" t="s">
        <v>84</v>
      </c>
      <c r="H434" s="177">
        <v>1</v>
      </c>
      <c r="I434" s="178">
        <v>1600</v>
      </c>
      <c r="J434" s="176">
        <v>46019</v>
      </c>
      <c r="K434" s="172" t="s">
        <v>93</v>
      </c>
      <c r="L434" s="172" t="s">
        <v>94</v>
      </c>
      <c r="M434" s="179">
        <v>0.43</v>
      </c>
      <c r="N434" s="177"/>
      <c r="O434" s="177"/>
      <c r="P434" s="180">
        <v>-8.89</v>
      </c>
    </row>
    <row r="435" spans="1:16" ht="19.5" customHeight="1">
      <c r="A435" s="172" t="s">
        <v>754</v>
      </c>
      <c r="B435" s="176">
        <v>46026</v>
      </c>
      <c r="C435" s="172" t="s">
        <v>81</v>
      </c>
      <c r="D435" s="172" t="s">
        <v>82</v>
      </c>
      <c r="E435" s="172" t="s">
        <v>41</v>
      </c>
      <c r="F435" s="172" t="s">
        <v>83</v>
      </c>
      <c r="G435" s="172" t="s">
        <v>84</v>
      </c>
      <c r="H435" s="177">
        <v>1</v>
      </c>
      <c r="I435" s="178">
        <v>0</v>
      </c>
      <c r="J435" s="176">
        <v>46025</v>
      </c>
      <c r="K435" s="172" t="s">
        <v>85</v>
      </c>
      <c r="L435" s="172" t="s">
        <v>85</v>
      </c>
      <c r="M435" s="179">
        <v>0</v>
      </c>
      <c r="N435" s="177"/>
      <c r="O435" s="177"/>
      <c r="P435" s="180">
        <v>-10.44</v>
      </c>
    </row>
    <row r="436" spans="1:16" ht="19.5" customHeight="1">
      <c r="A436" s="172" t="s">
        <v>757</v>
      </c>
      <c r="B436" s="176">
        <v>46026</v>
      </c>
      <c r="C436" s="172" t="s">
        <v>92</v>
      </c>
      <c r="D436" s="172" t="s">
        <v>24</v>
      </c>
      <c r="E436" s="172" t="s">
        <v>43</v>
      </c>
      <c r="F436" s="172" t="s">
        <v>125</v>
      </c>
      <c r="G436" s="172" t="s">
        <v>84</v>
      </c>
      <c r="H436" s="177">
        <v>1</v>
      </c>
      <c r="I436" s="178">
        <v>1202</v>
      </c>
      <c r="J436" s="176">
        <v>46025</v>
      </c>
      <c r="K436" s="172" t="s">
        <v>93</v>
      </c>
      <c r="L436" s="172" t="s">
        <v>94</v>
      </c>
      <c r="M436" s="179">
        <v>0.43</v>
      </c>
      <c r="N436" s="177"/>
      <c r="O436" s="177">
        <v>44</v>
      </c>
      <c r="P436" s="180">
        <v>-114.1</v>
      </c>
    </row>
    <row r="437" spans="1:16" ht="19.5" customHeight="1">
      <c r="A437" s="172" t="s">
        <v>757</v>
      </c>
      <c r="B437" s="176">
        <v>46026</v>
      </c>
      <c r="C437" s="172" t="s">
        <v>100</v>
      </c>
      <c r="D437" s="172" t="s">
        <v>101</v>
      </c>
      <c r="E437" s="172" t="s">
        <v>43</v>
      </c>
      <c r="F437" s="172" t="s">
        <v>125</v>
      </c>
      <c r="G437" s="172" t="s">
        <v>84</v>
      </c>
      <c r="H437" s="177">
        <v>1</v>
      </c>
      <c r="I437" s="178">
        <v>1202</v>
      </c>
      <c r="J437" s="176">
        <v>46025</v>
      </c>
      <c r="K437" s="172" t="s">
        <v>93</v>
      </c>
      <c r="L437" s="172" t="s">
        <v>94</v>
      </c>
      <c r="M437" s="179">
        <v>0</v>
      </c>
      <c r="N437" s="177"/>
      <c r="O437" s="177"/>
      <c r="P437" s="180">
        <v>449.29</v>
      </c>
    </row>
    <row r="438" spans="1:16" ht="19.5" customHeight="1">
      <c r="A438" s="172" t="s">
        <v>757</v>
      </c>
      <c r="B438" s="176">
        <v>46026</v>
      </c>
      <c r="C438" s="172" t="s">
        <v>100</v>
      </c>
      <c r="D438" s="172" t="s">
        <v>102</v>
      </c>
      <c r="E438" s="172" t="s">
        <v>43</v>
      </c>
      <c r="F438" s="172" t="s">
        <v>125</v>
      </c>
      <c r="G438" s="172" t="s">
        <v>84</v>
      </c>
      <c r="H438" s="177">
        <v>1</v>
      </c>
      <c r="I438" s="178">
        <v>1202</v>
      </c>
      <c r="J438" s="176">
        <v>46025</v>
      </c>
      <c r="K438" s="172" t="s">
        <v>93</v>
      </c>
      <c r="L438" s="172" t="s">
        <v>94</v>
      </c>
      <c r="M438" s="179">
        <v>0</v>
      </c>
      <c r="N438" s="177"/>
      <c r="O438" s="177"/>
      <c r="P438" s="180">
        <v>4.49</v>
      </c>
    </row>
    <row r="439" spans="1:16" ht="19.5" customHeight="1">
      <c r="A439" s="172" t="s">
        <v>757</v>
      </c>
      <c r="B439" s="176">
        <v>46026</v>
      </c>
      <c r="C439" s="172" t="s">
        <v>100</v>
      </c>
      <c r="D439" s="172" t="s">
        <v>103</v>
      </c>
      <c r="E439" s="172" t="s">
        <v>43</v>
      </c>
      <c r="F439" s="172" t="s">
        <v>125</v>
      </c>
      <c r="G439" s="172" t="s">
        <v>84</v>
      </c>
      <c r="H439" s="177">
        <v>1</v>
      </c>
      <c r="I439" s="178">
        <v>1202</v>
      </c>
      <c r="J439" s="176">
        <v>46025</v>
      </c>
      <c r="K439" s="172" t="s">
        <v>93</v>
      </c>
      <c r="L439" s="172" t="s">
        <v>94</v>
      </c>
      <c r="M439" s="179">
        <v>0</v>
      </c>
      <c r="N439" s="177"/>
      <c r="O439" s="177"/>
      <c r="P439" s="180">
        <v>748.22</v>
      </c>
    </row>
    <row r="440" spans="1:16" ht="19.5" customHeight="1">
      <c r="A440" s="172" t="s">
        <v>757</v>
      </c>
      <c r="B440" s="176">
        <v>46026</v>
      </c>
      <c r="C440" s="172" t="s">
        <v>104</v>
      </c>
      <c r="D440" s="172" t="s">
        <v>105</v>
      </c>
      <c r="E440" s="172" t="s">
        <v>43</v>
      </c>
      <c r="F440" s="172" t="s">
        <v>125</v>
      </c>
      <c r="G440" s="172" t="s">
        <v>84</v>
      </c>
      <c r="H440" s="177">
        <v>1</v>
      </c>
      <c r="I440" s="178">
        <v>1202</v>
      </c>
      <c r="J440" s="176">
        <v>46025</v>
      </c>
      <c r="K440" s="172" t="s">
        <v>93</v>
      </c>
      <c r="L440" s="172" t="s">
        <v>94</v>
      </c>
      <c r="M440" s="179">
        <v>0.43</v>
      </c>
      <c r="N440" s="177"/>
      <c r="O440" s="177"/>
      <c r="P440" s="180">
        <v>-516.86</v>
      </c>
    </row>
    <row r="441" spans="1:16" ht="19.5" customHeight="1">
      <c r="A441" s="172" t="s">
        <v>757</v>
      </c>
      <c r="B441" s="176">
        <v>46026</v>
      </c>
      <c r="C441" s="172" t="s">
        <v>81</v>
      </c>
      <c r="D441" s="172" t="s">
        <v>95</v>
      </c>
      <c r="E441" s="172" t="s">
        <v>43</v>
      </c>
      <c r="F441" s="172" t="s">
        <v>125</v>
      </c>
      <c r="G441" s="172" t="s">
        <v>84</v>
      </c>
      <c r="H441" s="177">
        <v>1</v>
      </c>
      <c r="I441" s="178">
        <v>1202</v>
      </c>
      <c r="J441" s="176">
        <v>46025</v>
      </c>
      <c r="K441" s="172" t="s">
        <v>93</v>
      </c>
      <c r="L441" s="172" t="s">
        <v>94</v>
      </c>
      <c r="M441" s="179">
        <v>0.43</v>
      </c>
      <c r="N441" s="177"/>
      <c r="O441" s="177"/>
      <c r="P441" s="180">
        <v>-7.17</v>
      </c>
    </row>
    <row r="442" spans="1:16" ht="19.5" customHeight="1">
      <c r="A442" s="172" t="s">
        <v>756</v>
      </c>
      <c r="B442" s="176">
        <v>46026</v>
      </c>
      <c r="C442" s="172" t="s">
        <v>81</v>
      </c>
      <c r="D442" s="172" t="s">
        <v>82</v>
      </c>
      <c r="E442" s="172" t="s">
        <v>41</v>
      </c>
      <c r="F442" s="172" t="s">
        <v>83</v>
      </c>
      <c r="G442" s="172" t="s">
        <v>84</v>
      </c>
      <c r="H442" s="177">
        <v>1</v>
      </c>
      <c r="I442" s="178">
        <v>0</v>
      </c>
      <c r="J442" s="176">
        <v>46019</v>
      </c>
      <c r="K442" s="172" t="s">
        <v>85</v>
      </c>
      <c r="L442" s="172" t="s">
        <v>85</v>
      </c>
      <c r="M442" s="179">
        <v>0</v>
      </c>
      <c r="N442" s="177"/>
      <c r="O442" s="177"/>
      <c r="P442" s="180">
        <v>-10.39</v>
      </c>
    </row>
    <row r="443" spans="1:16" ht="19.5" customHeight="1">
      <c r="A443" s="172" t="s">
        <v>758</v>
      </c>
      <c r="B443" s="176">
        <v>46026</v>
      </c>
      <c r="C443" s="172" t="s">
        <v>92</v>
      </c>
      <c r="D443" s="172" t="s">
        <v>24</v>
      </c>
      <c r="E443" s="172" t="s">
        <v>52</v>
      </c>
      <c r="F443" s="172" t="s">
        <v>90</v>
      </c>
      <c r="G443" s="172" t="s">
        <v>84</v>
      </c>
      <c r="H443" s="177">
        <v>1</v>
      </c>
      <c r="I443" s="178">
        <v>1621</v>
      </c>
      <c r="J443" s="176">
        <v>46025</v>
      </c>
      <c r="K443" s="172" t="s">
        <v>93</v>
      </c>
      <c r="L443" s="172" t="s">
        <v>94</v>
      </c>
      <c r="M443" s="179">
        <v>0.43</v>
      </c>
      <c r="N443" s="177"/>
      <c r="O443" s="177">
        <v>44</v>
      </c>
      <c r="P443" s="180">
        <v>-142.34</v>
      </c>
    </row>
    <row r="444" spans="1:16" ht="19.5" customHeight="1">
      <c r="A444" s="172" t="s">
        <v>758</v>
      </c>
      <c r="B444" s="176">
        <v>46026</v>
      </c>
      <c r="C444" s="172" t="s">
        <v>100</v>
      </c>
      <c r="D444" s="172" t="s">
        <v>101</v>
      </c>
      <c r="E444" s="172" t="s">
        <v>52</v>
      </c>
      <c r="F444" s="172" t="s">
        <v>90</v>
      </c>
      <c r="G444" s="172" t="s">
        <v>84</v>
      </c>
      <c r="H444" s="177">
        <v>1</v>
      </c>
      <c r="I444" s="178">
        <v>1621</v>
      </c>
      <c r="J444" s="176">
        <v>46025</v>
      </c>
      <c r="K444" s="172" t="s">
        <v>93</v>
      </c>
      <c r="L444" s="172" t="s">
        <v>94</v>
      </c>
      <c r="M444" s="179">
        <v>0</v>
      </c>
      <c r="N444" s="177"/>
      <c r="O444" s="177"/>
      <c r="P444" s="180">
        <v>614.22</v>
      </c>
    </row>
    <row r="445" spans="1:16" ht="19.5" customHeight="1">
      <c r="A445" s="172" t="s">
        <v>758</v>
      </c>
      <c r="B445" s="176">
        <v>46026</v>
      </c>
      <c r="C445" s="172" t="s">
        <v>100</v>
      </c>
      <c r="D445" s="172" t="s">
        <v>102</v>
      </c>
      <c r="E445" s="172" t="s">
        <v>52</v>
      </c>
      <c r="F445" s="172" t="s">
        <v>90</v>
      </c>
      <c r="G445" s="172" t="s">
        <v>84</v>
      </c>
      <c r="H445" s="177">
        <v>1</v>
      </c>
      <c r="I445" s="178">
        <v>1621</v>
      </c>
      <c r="J445" s="176">
        <v>46025</v>
      </c>
      <c r="K445" s="172" t="s">
        <v>93</v>
      </c>
      <c r="L445" s="172" t="s">
        <v>94</v>
      </c>
      <c r="M445" s="179">
        <v>0</v>
      </c>
      <c r="N445" s="177"/>
      <c r="O445" s="177"/>
      <c r="P445" s="180">
        <v>0</v>
      </c>
    </row>
    <row r="446" spans="1:16" ht="19.5" customHeight="1">
      <c r="A446" s="172" t="s">
        <v>758</v>
      </c>
      <c r="B446" s="176">
        <v>46026</v>
      </c>
      <c r="C446" s="172" t="s">
        <v>100</v>
      </c>
      <c r="D446" s="172" t="s">
        <v>103</v>
      </c>
      <c r="E446" s="172" t="s">
        <v>52</v>
      </c>
      <c r="F446" s="172" t="s">
        <v>90</v>
      </c>
      <c r="G446" s="172" t="s">
        <v>84</v>
      </c>
      <c r="H446" s="177">
        <v>1</v>
      </c>
      <c r="I446" s="178">
        <v>1621</v>
      </c>
      <c r="J446" s="176">
        <v>46025</v>
      </c>
      <c r="K446" s="172" t="s">
        <v>93</v>
      </c>
      <c r="L446" s="172" t="s">
        <v>94</v>
      </c>
      <c r="M446" s="179">
        <v>0</v>
      </c>
      <c r="N446" s="177"/>
      <c r="O446" s="177"/>
      <c r="P446" s="180">
        <v>1006.78</v>
      </c>
    </row>
    <row r="447" spans="1:16" ht="19.5" customHeight="1">
      <c r="A447" s="172" t="s">
        <v>758</v>
      </c>
      <c r="B447" s="176">
        <v>46026</v>
      </c>
      <c r="C447" s="172" t="s">
        <v>104</v>
      </c>
      <c r="D447" s="172" t="s">
        <v>105</v>
      </c>
      <c r="E447" s="172" t="s">
        <v>52</v>
      </c>
      <c r="F447" s="172" t="s">
        <v>90</v>
      </c>
      <c r="G447" s="172" t="s">
        <v>84</v>
      </c>
      <c r="H447" s="177">
        <v>1</v>
      </c>
      <c r="I447" s="178">
        <v>1621</v>
      </c>
      <c r="J447" s="176">
        <v>46025</v>
      </c>
      <c r="K447" s="172" t="s">
        <v>93</v>
      </c>
      <c r="L447" s="172" t="s">
        <v>94</v>
      </c>
      <c r="M447" s="179">
        <v>0.43</v>
      </c>
      <c r="N447" s="177"/>
      <c r="O447" s="177"/>
      <c r="P447" s="180">
        <v>-697.03</v>
      </c>
    </row>
    <row r="448" spans="1:16" ht="19.5" customHeight="1">
      <c r="A448" s="172" t="s">
        <v>758</v>
      </c>
      <c r="B448" s="176">
        <v>46026</v>
      </c>
      <c r="C448" s="172" t="s">
        <v>81</v>
      </c>
      <c r="D448" s="172" t="s">
        <v>95</v>
      </c>
      <c r="E448" s="172" t="s">
        <v>52</v>
      </c>
      <c r="F448" s="172" t="s">
        <v>90</v>
      </c>
      <c r="G448" s="172" t="s">
        <v>84</v>
      </c>
      <c r="H448" s="177">
        <v>1</v>
      </c>
      <c r="I448" s="178">
        <v>1621</v>
      </c>
      <c r="J448" s="176">
        <v>46025</v>
      </c>
      <c r="K448" s="172" t="s">
        <v>93</v>
      </c>
      <c r="L448" s="172" t="s">
        <v>94</v>
      </c>
      <c r="M448" s="179">
        <v>0.43</v>
      </c>
      <c r="N448" s="177"/>
      <c r="O448" s="177"/>
      <c r="P448" s="180">
        <v>-8.52</v>
      </c>
    </row>
    <row r="449" spans="1:16" ht="19.5" customHeight="1">
      <c r="A449" s="172" t="s">
        <v>759</v>
      </c>
      <c r="B449" s="176">
        <v>46026</v>
      </c>
      <c r="C449" s="172" t="s">
        <v>92</v>
      </c>
      <c r="D449" s="172" t="s">
        <v>24</v>
      </c>
      <c r="E449" s="172" t="s">
        <v>42</v>
      </c>
      <c r="F449" s="172" t="s">
        <v>89</v>
      </c>
      <c r="G449" s="172" t="s">
        <v>84</v>
      </c>
      <c r="H449" s="177">
        <v>1</v>
      </c>
      <c r="I449" s="178">
        <v>1600</v>
      </c>
      <c r="J449" s="176">
        <v>46025</v>
      </c>
      <c r="K449" s="172" t="s">
        <v>93</v>
      </c>
      <c r="L449" s="172" t="s">
        <v>94</v>
      </c>
      <c r="M449" s="179">
        <v>0.43</v>
      </c>
      <c r="N449" s="177"/>
      <c r="O449" s="177">
        <v>44</v>
      </c>
      <c r="P449" s="180">
        <v>-126.64</v>
      </c>
    </row>
    <row r="450" spans="1:16" ht="19.5" customHeight="1">
      <c r="A450" s="172" t="s">
        <v>759</v>
      </c>
      <c r="B450" s="176">
        <v>46026</v>
      </c>
      <c r="C450" s="172" t="s">
        <v>100</v>
      </c>
      <c r="D450" s="172" t="s">
        <v>101</v>
      </c>
      <c r="E450" s="172" t="s">
        <v>42</v>
      </c>
      <c r="F450" s="172" t="s">
        <v>89</v>
      </c>
      <c r="G450" s="172" t="s">
        <v>84</v>
      </c>
      <c r="H450" s="177">
        <v>1</v>
      </c>
      <c r="I450" s="178">
        <v>1600</v>
      </c>
      <c r="J450" s="176">
        <v>46025</v>
      </c>
      <c r="K450" s="172" t="s">
        <v>93</v>
      </c>
      <c r="L450" s="172" t="s">
        <v>94</v>
      </c>
      <c r="M450" s="179">
        <v>0</v>
      </c>
      <c r="N450" s="177"/>
      <c r="O450" s="177"/>
      <c r="P450" s="180">
        <v>904.27</v>
      </c>
    </row>
    <row r="451" spans="1:16" ht="19.5" customHeight="1">
      <c r="A451" s="172" t="s">
        <v>759</v>
      </c>
      <c r="B451" s="176">
        <v>46026</v>
      </c>
      <c r="C451" s="172" t="s">
        <v>100</v>
      </c>
      <c r="D451" s="172" t="s">
        <v>102</v>
      </c>
      <c r="E451" s="172" t="s">
        <v>42</v>
      </c>
      <c r="F451" s="172" t="s">
        <v>89</v>
      </c>
      <c r="G451" s="172" t="s">
        <v>84</v>
      </c>
      <c r="H451" s="177">
        <v>1</v>
      </c>
      <c r="I451" s="178">
        <v>1600</v>
      </c>
      <c r="J451" s="176">
        <v>46025</v>
      </c>
      <c r="K451" s="172" t="s">
        <v>93</v>
      </c>
      <c r="L451" s="172" t="s">
        <v>94</v>
      </c>
      <c r="M451" s="179">
        <v>0</v>
      </c>
      <c r="N451" s="177"/>
      <c r="O451" s="177"/>
      <c r="P451" s="180">
        <v>0</v>
      </c>
    </row>
    <row r="452" spans="1:16" ht="19.5" customHeight="1">
      <c r="A452" s="172" t="s">
        <v>759</v>
      </c>
      <c r="B452" s="176">
        <v>46026</v>
      </c>
      <c r="C452" s="172" t="s">
        <v>100</v>
      </c>
      <c r="D452" s="172" t="s">
        <v>103</v>
      </c>
      <c r="E452" s="172" t="s">
        <v>42</v>
      </c>
      <c r="F452" s="172" t="s">
        <v>89</v>
      </c>
      <c r="G452" s="172" t="s">
        <v>84</v>
      </c>
      <c r="H452" s="177">
        <v>1</v>
      </c>
      <c r="I452" s="178">
        <v>1600</v>
      </c>
      <c r="J452" s="176">
        <v>46025</v>
      </c>
      <c r="K452" s="172" t="s">
        <v>93</v>
      </c>
      <c r="L452" s="172" t="s">
        <v>94</v>
      </c>
      <c r="M452" s="179">
        <v>0</v>
      </c>
      <c r="N452" s="177"/>
      <c r="O452" s="177"/>
      <c r="P452" s="180">
        <v>695.73</v>
      </c>
    </row>
    <row r="453" spans="1:16" ht="19.5" customHeight="1">
      <c r="A453" s="172" t="s">
        <v>759</v>
      </c>
      <c r="B453" s="176">
        <v>46026</v>
      </c>
      <c r="C453" s="172" t="s">
        <v>104</v>
      </c>
      <c r="D453" s="172" t="s">
        <v>105</v>
      </c>
      <c r="E453" s="172" t="s">
        <v>42</v>
      </c>
      <c r="F453" s="172" t="s">
        <v>89</v>
      </c>
      <c r="G453" s="172" t="s">
        <v>84</v>
      </c>
      <c r="H453" s="177">
        <v>1</v>
      </c>
      <c r="I453" s="178">
        <v>1600</v>
      </c>
      <c r="J453" s="176">
        <v>46025</v>
      </c>
      <c r="K453" s="172" t="s">
        <v>93</v>
      </c>
      <c r="L453" s="172" t="s">
        <v>94</v>
      </c>
      <c r="M453" s="179">
        <v>0.43</v>
      </c>
      <c r="N453" s="177"/>
      <c r="O453" s="177"/>
      <c r="P453" s="180">
        <v>-688</v>
      </c>
    </row>
    <row r="454" spans="1:16" ht="19.5" customHeight="1">
      <c r="A454" s="172" t="s">
        <v>759</v>
      </c>
      <c r="B454" s="176">
        <v>46026</v>
      </c>
      <c r="C454" s="172" t="s">
        <v>81</v>
      </c>
      <c r="D454" s="172" t="s">
        <v>95</v>
      </c>
      <c r="E454" s="172" t="s">
        <v>42</v>
      </c>
      <c r="F454" s="172" t="s">
        <v>89</v>
      </c>
      <c r="G454" s="172" t="s">
        <v>84</v>
      </c>
      <c r="H454" s="177">
        <v>1</v>
      </c>
      <c r="I454" s="178">
        <v>1600</v>
      </c>
      <c r="J454" s="176">
        <v>46025</v>
      </c>
      <c r="K454" s="172" t="s">
        <v>93</v>
      </c>
      <c r="L454" s="172" t="s">
        <v>94</v>
      </c>
      <c r="M454" s="179">
        <v>0.43</v>
      </c>
      <c r="N454" s="177"/>
      <c r="O454" s="177"/>
      <c r="P454" s="180">
        <v>-8.41</v>
      </c>
    </row>
    <row r="455" spans="1:16" ht="19.5" customHeight="1">
      <c r="A455" s="172" t="s">
        <v>760</v>
      </c>
      <c r="B455" s="176">
        <v>46026</v>
      </c>
      <c r="C455" s="172" t="s">
        <v>81</v>
      </c>
      <c r="D455" s="172" t="s">
        <v>82</v>
      </c>
      <c r="E455" s="172" t="s">
        <v>41</v>
      </c>
      <c r="F455" s="172" t="s">
        <v>83</v>
      </c>
      <c r="G455" s="172" t="s">
        <v>84</v>
      </c>
      <c r="H455" s="177">
        <v>1</v>
      </c>
      <c r="I455" s="178">
        <v>0</v>
      </c>
      <c r="J455" s="176">
        <v>46026</v>
      </c>
      <c r="K455" s="172" t="s">
        <v>85</v>
      </c>
      <c r="L455" s="172" t="s">
        <v>85</v>
      </c>
      <c r="M455" s="179">
        <v>0</v>
      </c>
      <c r="N455" s="177"/>
      <c r="O455" s="177"/>
      <c r="P455" s="180">
        <v>-4.09</v>
      </c>
    </row>
    <row r="456" spans="1:16" ht="19.5" customHeight="1">
      <c r="A456" s="172" t="s">
        <v>761</v>
      </c>
      <c r="B456" s="176">
        <v>46026</v>
      </c>
      <c r="C456" s="172" t="s">
        <v>81</v>
      </c>
      <c r="D456" s="172" t="s">
        <v>82</v>
      </c>
      <c r="E456" s="172" t="s">
        <v>43</v>
      </c>
      <c r="F456" s="172" t="s">
        <v>125</v>
      </c>
      <c r="G456" s="172" t="s">
        <v>84</v>
      </c>
      <c r="H456" s="177">
        <v>1</v>
      </c>
      <c r="I456" s="178">
        <v>0</v>
      </c>
      <c r="J456" s="176">
        <v>46026</v>
      </c>
      <c r="K456" s="172" t="s">
        <v>85</v>
      </c>
      <c r="L456" s="172" t="s">
        <v>85</v>
      </c>
      <c r="M456" s="179">
        <v>0</v>
      </c>
      <c r="N456" s="177"/>
      <c r="O456" s="177"/>
      <c r="P456" s="180">
        <v>-8.69</v>
      </c>
    </row>
    <row r="457" spans="1:16" ht="19.5" customHeight="1">
      <c r="A457" s="172" t="s">
        <v>691</v>
      </c>
      <c r="B457" s="176">
        <v>46026</v>
      </c>
      <c r="C457" s="172" t="s">
        <v>92</v>
      </c>
      <c r="D457" s="172" t="s">
        <v>272</v>
      </c>
      <c r="E457" s="172" t="s">
        <v>41</v>
      </c>
      <c r="F457" s="172" t="s">
        <v>83</v>
      </c>
      <c r="G457" s="172" t="s">
        <v>84</v>
      </c>
      <c r="H457" s="177">
        <v>1</v>
      </c>
      <c r="I457" s="178">
        <v>0</v>
      </c>
      <c r="J457" s="176">
        <v>46012</v>
      </c>
      <c r="K457" s="172" t="s">
        <v>93</v>
      </c>
      <c r="L457" s="172" t="s">
        <v>94</v>
      </c>
      <c r="M457" s="179">
        <v>0</v>
      </c>
      <c r="N457" s="177"/>
      <c r="O457" s="177"/>
      <c r="P457" s="180">
        <v>0</v>
      </c>
    </row>
    <row r="458" spans="1:16" ht="19.5" customHeight="1">
      <c r="A458" s="172" t="s">
        <v>691</v>
      </c>
      <c r="B458" s="176">
        <v>46026</v>
      </c>
      <c r="C458" s="172" t="s">
        <v>92</v>
      </c>
      <c r="D458" s="172" t="s">
        <v>97</v>
      </c>
      <c r="E458" s="172" t="s">
        <v>41</v>
      </c>
      <c r="F458" s="172" t="s">
        <v>83</v>
      </c>
      <c r="G458" s="172" t="s">
        <v>84</v>
      </c>
      <c r="H458" s="177">
        <v>1</v>
      </c>
      <c r="I458" s="178">
        <v>0</v>
      </c>
      <c r="J458" s="176">
        <v>46012</v>
      </c>
      <c r="K458" s="172" t="s">
        <v>93</v>
      </c>
      <c r="L458" s="172" t="s">
        <v>94</v>
      </c>
      <c r="M458" s="179">
        <v>0</v>
      </c>
      <c r="N458" s="177"/>
      <c r="O458" s="177"/>
      <c r="P458" s="180">
        <v>-46.77</v>
      </c>
    </row>
    <row r="459" spans="1:16" ht="19.5" customHeight="1">
      <c r="A459" s="172" t="s">
        <v>691</v>
      </c>
      <c r="B459" s="176">
        <v>46026</v>
      </c>
      <c r="C459" s="172" t="s">
        <v>81</v>
      </c>
      <c r="D459" s="172" t="s">
        <v>98</v>
      </c>
      <c r="E459" s="172" t="s">
        <v>41</v>
      </c>
      <c r="F459" s="172" t="s">
        <v>83</v>
      </c>
      <c r="G459" s="172" t="s">
        <v>84</v>
      </c>
      <c r="H459" s="177">
        <v>1</v>
      </c>
      <c r="I459" s="178">
        <v>0</v>
      </c>
      <c r="J459" s="176">
        <v>46012</v>
      </c>
      <c r="K459" s="172" t="s">
        <v>93</v>
      </c>
      <c r="L459" s="172" t="s">
        <v>94</v>
      </c>
      <c r="M459" s="179">
        <v>0</v>
      </c>
      <c r="N459" s="177"/>
      <c r="O459" s="177"/>
      <c r="P459" s="180">
        <v>-15</v>
      </c>
    </row>
    <row r="460" spans="1:16" ht="19.5" customHeight="1">
      <c r="A460" s="172" t="s">
        <v>762</v>
      </c>
      <c r="B460" s="176">
        <v>46026</v>
      </c>
      <c r="C460" s="172" t="s">
        <v>81</v>
      </c>
      <c r="D460" s="172" t="s">
        <v>82</v>
      </c>
      <c r="E460" s="172" t="s">
        <v>41</v>
      </c>
      <c r="F460" s="172" t="s">
        <v>83</v>
      </c>
      <c r="G460" s="172" t="s">
        <v>84</v>
      </c>
      <c r="H460" s="177">
        <v>1</v>
      </c>
      <c r="I460" s="178">
        <v>0</v>
      </c>
      <c r="J460" s="176">
        <v>46026</v>
      </c>
      <c r="K460" s="172" t="s">
        <v>85</v>
      </c>
      <c r="L460" s="172" t="s">
        <v>85</v>
      </c>
      <c r="M460" s="179">
        <v>0</v>
      </c>
      <c r="N460" s="177"/>
      <c r="O460" s="177"/>
      <c r="P460" s="180">
        <v>-10.39</v>
      </c>
    </row>
    <row r="461" spans="1:16" ht="19.5" customHeight="1">
      <c r="A461" s="172" t="s">
        <v>763</v>
      </c>
      <c r="B461" s="176">
        <v>46026</v>
      </c>
      <c r="C461" s="172" t="s">
        <v>92</v>
      </c>
      <c r="D461" s="172" t="s">
        <v>24</v>
      </c>
      <c r="E461" s="172" t="s">
        <v>53</v>
      </c>
      <c r="F461" s="172" t="s">
        <v>120</v>
      </c>
      <c r="G461" s="172" t="s">
        <v>84</v>
      </c>
      <c r="H461" s="177">
        <v>1</v>
      </c>
      <c r="I461" s="178">
        <v>1845</v>
      </c>
      <c r="J461" s="176">
        <v>46023</v>
      </c>
      <c r="K461" s="172" t="s">
        <v>93</v>
      </c>
      <c r="L461" s="172" t="s">
        <v>94</v>
      </c>
      <c r="M461" s="179">
        <v>0.43</v>
      </c>
      <c r="N461" s="177"/>
      <c r="O461" s="177">
        <v>43</v>
      </c>
      <c r="P461" s="180">
        <v>-144.94999999999999</v>
      </c>
    </row>
    <row r="462" spans="1:16" ht="19.5" customHeight="1">
      <c r="A462" s="172" t="s">
        <v>763</v>
      </c>
      <c r="B462" s="176">
        <v>46026</v>
      </c>
      <c r="C462" s="172" t="s">
        <v>100</v>
      </c>
      <c r="D462" s="172" t="s">
        <v>101</v>
      </c>
      <c r="E462" s="172" t="s">
        <v>53</v>
      </c>
      <c r="F462" s="172" t="s">
        <v>120</v>
      </c>
      <c r="G462" s="172" t="s">
        <v>84</v>
      </c>
      <c r="H462" s="177">
        <v>1</v>
      </c>
      <c r="I462" s="178">
        <v>1845</v>
      </c>
      <c r="J462" s="176">
        <v>46023</v>
      </c>
      <c r="K462" s="172" t="s">
        <v>93</v>
      </c>
      <c r="L462" s="172" t="s">
        <v>94</v>
      </c>
      <c r="M462" s="179">
        <v>0</v>
      </c>
      <c r="N462" s="177"/>
      <c r="O462" s="177"/>
      <c r="P462" s="180">
        <v>642.25</v>
      </c>
    </row>
    <row r="463" spans="1:16" ht="19.5" customHeight="1">
      <c r="A463" s="172" t="s">
        <v>763</v>
      </c>
      <c r="B463" s="176">
        <v>46026</v>
      </c>
      <c r="C463" s="172" t="s">
        <v>100</v>
      </c>
      <c r="D463" s="172" t="s">
        <v>102</v>
      </c>
      <c r="E463" s="172" t="s">
        <v>53</v>
      </c>
      <c r="F463" s="172" t="s">
        <v>120</v>
      </c>
      <c r="G463" s="172" t="s">
        <v>84</v>
      </c>
      <c r="H463" s="177">
        <v>1</v>
      </c>
      <c r="I463" s="178">
        <v>1845</v>
      </c>
      <c r="J463" s="176">
        <v>46023</v>
      </c>
      <c r="K463" s="172" t="s">
        <v>93</v>
      </c>
      <c r="L463" s="172" t="s">
        <v>94</v>
      </c>
      <c r="M463" s="179">
        <v>0</v>
      </c>
      <c r="N463" s="177"/>
      <c r="O463" s="177"/>
      <c r="P463" s="180">
        <v>6.42</v>
      </c>
    </row>
    <row r="464" spans="1:16" ht="19.5" customHeight="1">
      <c r="A464" s="172" t="s">
        <v>763</v>
      </c>
      <c r="B464" s="176">
        <v>46026</v>
      </c>
      <c r="C464" s="172" t="s">
        <v>100</v>
      </c>
      <c r="D464" s="172" t="s">
        <v>103</v>
      </c>
      <c r="E464" s="172" t="s">
        <v>53</v>
      </c>
      <c r="F464" s="172" t="s">
        <v>120</v>
      </c>
      <c r="G464" s="172" t="s">
        <v>84</v>
      </c>
      <c r="H464" s="177">
        <v>1</v>
      </c>
      <c r="I464" s="178">
        <v>1845</v>
      </c>
      <c r="J464" s="176">
        <v>46023</v>
      </c>
      <c r="K464" s="172" t="s">
        <v>93</v>
      </c>
      <c r="L464" s="172" t="s">
        <v>94</v>
      </c>
      <c r="M464" s="179">
        <v>0</v>
      </c>
      <c r="N464" s="177"/>
      <c r="O464" s="177"/>
      <c r="P464" s="180">
        <v>1196.33</v>
      </c>
    </row>
    <row r="465" spans="1:16" ht="19.5" customHeight="1">
      <c r="A465" s="172" t="s">
        <v>763</v>
      </c>
      <c r="B465" s="176">
        <v>46026</v>
      </c>
      <c r="C465" s="172" t="s">
        <v>104</v>
      </c>
      <c r="D465" s="172" t="s">
        <v>105</v>
      </c>
      <c r="E465" s="172" t="s">
        <v>53</v>
      </c>
      <c r="F465" s="172" t="s">
        <v>120</v>
      </c>
      <c r="G465" s="172" t="s">
        <v>84</v>
      </c>
      <c r="H465" s="177">
        <v>1</v>
      </c>
      <c r="I465" s="178">
        <v>1845</v>
      </c>
      <c r="J465" s="176">
        <v>46023</v>
      </c>
      <c r="K465" s="172" t="s">
        <v>93</v>
      </c>
      <c r="L465" s="172" t="s">
        <v>94</v>
      </c>
      <c r="M465" s="179">
        <v>0.43</v>
      </c>
      <c r="N465" s="177"/>
      <c r="O465" s="177"/>
      <c r="P465" s="180">
        <v>-793.35</v>
      </c>
    </row>
    <row r="466" spans="1:16" ht="19.5" customHeight="1">
      <c r="A466" s="172" t="s">
        <v>763</v>
      </c>
      <c r="B466" s="176">
        <v>46026</v>
      </c>
      <c r="C466" s="172" t="s">
        <v>81</v>
      </c>
      <c r="D466" s="172" t="s">
        <v>95</v>
      </c>
      <c r="E466" s="172" t="s">
        <v>53</v>
      </c>
      <c r="F466" s="172" t="s">
        <v>120</v>
      </c>
      <c r="G466" s="172" t="s">
        <v>84</v>
      </c>
      <c r="H466" s="177">
        <v>1</v>
      </c>
      <c r="I466" s="178">
        <v>1845</v>
      </c>
      <c r="J466" s="176">
        <v>46023</v>
      </c>
      <c r="K466" s="172" t="s">
        <v>93</v>
      </c>
      <c r="L466" s="172" t="s">
        <v>94</v>
      </c>
      <c r="M466" s="179">
        <v>0.43</v>
      </c>
      <c r="N466" s="177"/>
      <c r="O466" s="177"/>
      <c r="P466" s="180">
        <v>-21.19</v>
      </c>
    </row>
    <row r="467" spans="1:16" ht="19.5" customHeight="1">
      <c r="A467" s="172" t="s">
        <v>764</v>
      </c>
      <c r="B467" s="176">
        <v>46026</v>
      </c>
      <c r="C467" s="172" t="s">
        <v>92</v>
      </c>
      <c r="D467" s="172" t="s">
        <v>24</v>
      </c>
      <c r="E467" s="172" t="s">
        <v>41</v>
      </c>
      <c r="F467" s="172" t="s">
        <v>83</v>
      </c>
      <c r="G467" s="172" t="s">
        <v>84</v>
      </c>
      <c r="H467" s="177">
        <v>1</v>
      </c>
      <c r="I467" s="178">
        <v>1600</v>
      </c>
      <c r="J467" s="176">
        <v>46020</v>
      </c>
      <c r="K467" s="172" t="s">
        <v>93</v>
      </c>
      <c r="L467" s="172" t="s">
        <v>94</v>
      </c>
      <c r="M467" s="179">
        <v>0.43</v>
      </c>
      <c r="N467" s="177"/>
      <c r="O467" s="177">
        <v>41</v>
      </c>
      <c r="P467" s="180">
        <v>-115.23</v>
      </c>
    </row>
    <row r="468" spans="1:16" ht="19.5" customHeight="1">
      <c r="A468" s="172" t="s">
        <v>764</v>
      </c>
      <c r="B468" s="176">
        <v>46026</v>
      </c>
      <c r="C468" s="172" t="s">
        <v>100</v>
      </c>
      <c r="D468" s="172" t="s">
        <v>101</v>
      </c>
      <c r="E468" s="172" t="s">
        <v>41</v>
      </c>
      <c r="F468" s="172" t="s">
        <v>83</v>
      </c>
      <c r="G468" s="172" t="s">
        <v>84</v>
      </c>
      <c r="H468" s="177">
        <v>1</v>
      </c>
      <c r="I468" s="178">
        <v>1600</v>
      </c>
      <c r="J468" s="176">
        <v>46020</v>
      </c>
      <c r="K468" s="172" t="s">
        <v>93</v>
      </c>
      <c r="L468" s="172" t="s">
        <v>94</v>
      </c>
      <c r="M468" s="179">
        <v>0</v>
      </c>
      <c r="N468" s="177"/>
      <c r="O468" s="177"/>
      <c r="P468" s="180">
        <v>546.91999999999996</v>
      </c>
    </row>
    <row r="469" spans="1:16" ht="19.5" customHeight="1">
      <c r="A469" s="172" t="s">
        <v>764</v>
      </c>
      <c r="B469" s="176">
        <v>46026</v>
      </c>
      <c r="C469" s="172" t="s">
        <v>100</v>
      </c>
      <c r="D469" s="172" t="s">
        <v>102</v>
      </c>
      <c r="E469" s="172" t="s">
        <v>41</v>
      </c>
      <c r="F469" s="172" t="s">
        <v>83</v>
      </c>
      <c r="G469" s="172" t="s">
        <v>84</v>
      </c>
      <c r="H469" s="177">
        <v>1</v>
      </c>
      <c r="I469" s="178">
        <v>1600</v>
      </c>
      <c r="J469" s="176">
        <v>46020</v>
      </c>
      <c r="K469" s="172" t="s">
        <v>93</v>
      </c>
      <c r="L469" s="172" t="s">
        <v>94</v>
      </c>
      <c r="M469" s="179">
        <v>0</v>
      </c>
      <c r="N469" s="177"/>
      <c r="O469" s="177"/>
      <c r="P469" s="180">
        <v>5.47</v>
      </c>
    </row>
    <row r="470" spans="1:16" ht="19.5" customHeight="1">
      <c r="A470" s="172" t="s">
        <v>764</v>
      </c>
      <c r="B470" s="176">
        <v>46026</v>
      </c>
      <c r="C470" s="172" t="s">
        <v>100</v>
      </c>
      <c r="D470" s="172" t="s">
        <v>103</v>
      </c>
      <c r="E470" s="172" t="s">
        <v>41</v>
      </c>
      <c r="F470" s="172" t="s">
        <v>83</v>
      </c>
      <c r="G470" s="172" t="s">
        <v>84</v>
      </c>
      <c r="H470" s="177">
        <v>1</v>
      </c>
      <c r="I470" s="178">
        <v>1600</v>
      </c>
      <c r="J470" s="176">
        <v>46020</v>
      </c>
      <c r="K470" s="172" t="s">
        <v>93</v>
      </c>
      <c r="L470" s="172" t="s">
        <v>94</v>
      </c>
      <c r="M470" s="179">
        <v>0</v>
      </c>
      <c r="N470" s="177"/>
      <c r="O470" s="177"/>
      <c r="P470" s="180">
        <v>1047.6099999999999</v>
      </c>
    </row>
    <row r="471" spans="1:16" ht="19.5" customHeight="1">
      <c r="A471" s="172" t="s">
        <v>764</v>
      </c>
      <c r="B471" s="176">
        <v>46026</v>
      </c>
      <c r="C471" s="172" t="s">
        <v>104</v>
      </c>
      <c r="D471" s="172" t="s">
        <v>105</v>
      </c>
      <c r="E471" s="172" t="s">
        <v>41</v>
      </c>
      <c r="F471" s="172" t="s">
        <v>83</v>
      </c>
      <c r="G471" s="172" t="s">
        <v>84</v>
      </c>
      <c r="H471" s="177">
        <v>1</v>
      </c>
      <c r="I471" s="178">
        <v>1600</v>
      </c>
      <c r="J471" s="176">
        <v>46020</v>
      </c>
      <c r="K471" s="172" t="s">
        <v>93</v>
      </c>
      <c r="L471" s="172" t="s">
        <v>94</v>
      </c>
      <c r="M471" s="179">
        <v>0.43</v>
      </c>
      <c r="N471" s="177"/>
      <c r="O471" s="177"/>
      <c r="P471" s="180">
        <v>-688</v>
      </c>
    </row>
    <row r="472" spans="1:16" ht="19.5" customHeight="1">
      <c r="A472" s="172" t="s">
        <v>764</v>
      </c>
      <c r="B472" s="176">
        <v>46026</v>
      </c>
      <c r="C472" s="172" t="s">
        <v>81</v>
      </c>
      <c r="D472" s="172" t="s">
        <v>95</v>
      </c>
      <c r="E472" s="172" t="s">
        <v>41</v>
      </c>
      <c r="F472" s="172" t="s">
        <v>83</v>
      </c>
      <c r="G472" s="172" t="s">
        <v>84</v>
      </c>
      <c r="H472" s="177">
        <v>1</v>
      </c>
      <c r="I472" s="178">
        <v>1600</v>
      </c>
      <c r="J472" s="176">
        <v>46020</v>
      </c>
      <c r="K472" s="172" t="s">
        <v>93</v>
      </c>
      <c r="L472" s="172" t="s">
        <v>94</v>
      </c>
      <c r="M472" s="179">
        <v>0.43</v>
      </c>
      <c r="N472" s="177"/>
      <c r="O472" s="177"/>
      <c r="P472" s="180">
        <v>-9.7200000000000006</v>
      </c>
    </row>
    <row r="473" spans="1:16" ht="19.5" customHeight="1">
      <c r="A473" s="172" t="s">
        <v>763</v>
      </c>
      <c r="B473" s="176">
        <v>46026</v>
      </c>
      <c r="C473" s="172" t="s">
        <v>81</v>
      </c>
      <c r="D473" s="172" t="s">
        <v>82</v>
      </c>
      <c r="E473" s="172" t="s">
        <v>53</v>
      </c>
      <c r="F473" s="172" t="s">
        <v>120</v>
      </c>
      <c r="G473" s="172" t="s">
        <v>84</v>
      </c>
      <c r="H473" s="177">
        <v>1</v>
      </c>
      <c r="I473" s="178">
        <v>0</v>
      </c>
      <c r="J473" s="176">
        <v>46023</v>
      </c>
      <c r="K473" s="172" t="s">
        <v>85</v>
      </c>
      <c r="L473" s="172" t="s">
        <v>85</v>
      </c>
      <c r="M473" s="179">
        <v>0</v>
      </c>
      <c r="N473" s="177"/>
      <c r="O473" s="177"/>
      <c r="P473" s="180">
        <v>-12.2</v>
      </c>
    </row>
    <row r="474" spans="1:16" ht="19.5" customHeight="1">
      <c r="A474" s="172" t="s">
        <v>682</v>
      </c>
      <c r="B474" s="176">
        <v>46026</v>
      </c>
      <c r="C474" s="172" t="s">
        <v>81</v>
      </c>
      <c r="D474" s="172" t="s">
        <v>82</v>
      </c>
      <c r="E474" s="172" t="s">
        <v>53</v>
      </c>
      <c r="F474" s="172" t="s">
        <v>120</v>
      </c>
      <c r="G474" s="172" t="s">
        <v>84</v>
      </c>
      <c r="H474" s="177">
        <v>1</v>
      </c>
      <c r="I474" s="178">
        <v>0</v>
      </c>
      <c r="J474" s="176">
        <v>46024</v>
      </c>
      <c r="K474" s="172" t="s">
        <v>85</v>
      </c>
      <c r="L474" s="172" t="s">
        <v>85</v>
      </c>
      <c r="M474" s="179">
        <v>0</v>
      </c>
      <c r="N474" s="177"/>
      <c r="O474" s="177"/>
      <c r="P474" s="180">
        <v>12.21</v>
      </c>
    </row>
    <row r="475" spans="1:16" ht="19.5" customHeight="1">
      <c r="A475" s="172" t="s">
        <v>765</v>
      </c>
      <c r="B475" s="176">
        <v>46026</v>
      </c>
      <c r="C475" s="172" t="s">
        <v>81</v>
      </c>
      <c r="D475" s="172" t="s">
        <v>82</v>
      </c>
      <c r="E475" s="172" t="s">
        <v>53</v>
      </c>
      <c r="F475" s="172" t="s">
        <v>120</v>
      </c>
      <c r="G475" s="172" t="s">
        <v>84</v>
      </c>
      <c r="H475" s="177">
        <v>1</v>
      </c>
      <c r="I475" s="178">
        <v>0</v>
      </c>
      <c r="J475" s="176">
        <v>46026</v>
      </c>
      <c r="K475" s="172" t="s">
        <v>85</v>
      </c>
      <c r="L475" s="172" t="s">
        <v>85</v>
      </c>
      <c r="M475" s="179">
        <v>0</v>
      </c>
      <c r="N475" s="177"/>
      <c r="O475" s="177"/>
      <c r="P475" s="180">
        <v>-4.72</v>
      </c>
    </row>
    <row r="476" spans="1:16" ht="19.5" customHeight="1">
      <c r="A476" s="172" t="s">
        <v>764</v>
      </c>
      <c r="B476" s="176">
        <v>46026</v>
      </c>
      <c r="C476" s="172" t="s">
        <v>81</v>
      </c>
      <c r="D476" s="172" t="s">
        <v>82</v>
      </c>
      <c r="E476" s="172" t="s">
        <v>41</v>
      </c>
      <c r="F476" s="172" t="s">
        <v>83</v>
      </c>
      <c r="G476" s="172" t="s">
        <v>84</v>
      </c>
      <c r="H476" s="177">
        <v>1</v>
      </c>
      <c r="I476" s="178">
        <v>0</v>
      </c>
      <c r="J476" s="176">
        <v>46020</v>
      </c>
      <c r="K476" s="172" t="s">
        <v>85</v>
      </c>
      <c r="L476" s="172" t="s">
        <v>85</v>
      </c>
      <c r="M476" s="179">
        <v>0</v>
      </c>
      <c r="N476" s="177"/>
      <c r="O476" s="177"/>
      <c r="P476" s="180">
        <v>-10.39</v>
      </c>
    </row>
    <row r="477" spans="1:16" ht="19.5" customHeight="1">
      <c r="A477" s="172" t="s">
        <v>766</v>
      </c>
      <c r="B477" s="176">
        <v>46026</v>
      </c>
      <c r="C477" s="172" t="s">
        <v>92</v>
      </c>
      <c r="D477" s="172" t="s">
        <v>24</v>
      </c>
      <c r="E477" s="172" t="s">
        <v>52</v>
      </c>
      <c r="F477" s="172" t="s">
        <v>90</v>
      </c>
      <c r="G477" s="172" t="s">
        <v>84</v>
      </c>
      <c r="H477" s="177">
        <v>1</v>
      </c>
      <c r="I477" s="178">
        <v>1621</v>
      </c>
      <c r="J477" s="176">
        <v>46024</v>
      </c>
      <c r="K477" s="172" t="s">
        <v>93</v>
      </c>
      <c r="L477" s="172" t="s">
        <v>94</v>
      </c>
      <c r="M477" s="179">
        <v>0.43</v>
      </c>
      <c r="N477" s="177"/>
      <c r="O477" s="177">
        <v>42</v>
      </c>
      <c r="P477" s="180">
        <v>-134.12</v>
      </c>
    </row>
    <row r="478" spans="1:16" ht="19.5" customHeight="1">
      <c r="A478" s="172" t="s">
        <v>766</v>
      </c>
      <c r="B478" s="176">
        <v>46026</v>
      </c>
      <c r="C478" s="172" t="s">
        <v>100</v>
      </c>
      <c r="D478" s="172" t="s">
        <v>101</v>
      </c>
      <c r="E478" s="172" t="s">
        <v>52</v>
      </c>
      <c r="F478" s="172" t="s">
        <v>90</v>
      </c>
      <c r="G478" s="172" t="s">
        <v>84</v>
      </c>
      <c r="H478" s="177">
        <v>1</v>
      </c>
      <c r="I478" s="178">
        <v>1621</v>
      </c>
      <c r="J478" s="176">
        <v>46024</v>
      </c>
      <c r="K478" s="172" t="s">
        <v>93</v>
      </c>
      <c r="L478" s="172" t="s">
        <v>94</v>
      </c>
      <c r="M478" s="179">
        <v>0</v>
      </c>
      <c r="N478" s="177"/>
      <c r="O478" s="177"/>
      <c r="P478" s="180">
        <v>616.55999999999995</v>
      </c>
    </row>
    <row r="479" spans="1:16" ht="19.5" customHeight="1">
      <c r="A479" s="172" t="s">
        <v>766</v>
      </c>
      <c r="B479" s="176">
        <v>46026</v>
      </c>
      <c r="C479" s="172" t="s">
        <v>100</v>
      </c>
      <c r="D479" s="172" t="s">
        <v>102</v>
      </c>
      <c r="E479" s="172" t="s">
        <v>52</v>
      </c>
      <c r="F479" s="172" t="s">
        <v>90</v>
      </c>
      <c r="G479" s="172" t="s">
        <v>84</v>
      </c>
      <c r="H479" s="177">
        <v>1</v>
      </c>
      <c r="I479" s="178">
        <v>1621</v>
      </c>
      <c r="J479" s="176">
        <v>46024</v>
      </c>
      <c r="K479" s="172" t="s">
        <v>93</v>
      </c>
      <c r="L479" s="172" t="s">
        <v>94</v>
      </c>
      <c r="M479" s="179">
        <v>0</v>
      </c>
      <c r="N479" s="177"/>
      <c r="O479" s="177"/>
      <c r="P479" s="180">
        <v>0</v>
      </c>
    </row>
    <row r="480" spans="1:16" ht="19.5" customHeight="1">
      <c r="A480" s="172" t="s">
        <v>766</v>
      </c>
      <c r="B480" s="176">
        <v>46026</v>
      </c>
      <c r="C480" s="172" t="s">
        <v>100</v>
      </c>
      <c r="D480" s="172" t="s">
        <v>103</v>
      </c>
      <c r="E480" s="172" t="s">
        <v>52</v>
      </c>
      <c r="F480" s="172" t="s">
        <v>90</v>
      </c>
      <c r="G480" s="172" t="s">
        <v>84</v>
      </c>
      <c r="H480" s="177">
        <v>1</v>
      </c>
      <c r="I480" s="178">
        <v>1621</v>
      </c>
      <c r="J480" s="176">
        <v>46024</v>
      </c>
      <c r="K480" s="172" t="s">
        <v>93</v>
      </c>
      <c r="L480" s="172" t="s">
        <v>94</v>
      </c>
      <c r="M480" s="179">
        <v>0</v>
      </c>
      <c r="N480" s="177"/>
      <c r="O480" s="177"/>
      <c r="P480" s="180">
        <v>1004.44</v>
      </c>
    </row>
    <row r="481" spans="1:16" ht="19.5" customHeight="1">
      <c r="A481" s="172" t="s">
        <v>766</v>
      </c>
      <c r="B481" s="176">
        <v>46026</v>
      </c>
      <c r="C481" s="172" t="s">
        <v>104</v>
      </c>
      <c r="D481" s="172" t="s">
        <v>105</v>
      </c>
      <c r="E481" s="172" t="s">
        <v>52</v>
      </c>
      <c r="F481" s="172" t="s">
        <v>90</v>
      </c>
      <c r="G481" s="172" t="s">
        <v>84</v>
      </c>
      <c r="H481" s="177">
        <v>1</v>
      </c>
      <c r="I481" s="178">
        <v>1621</v>
      </c>
      <c r="J481" s="176">
        <v>46024</v>
      </c>
      <c r="K481" s="172" t="s">
        <v>93</v>
      </c>
      <c r="L481" s="172" t="s">
        <v>94</v>
      </c>
      <c r="M481" s="179">
        <v>0.43</v>
      </c>
      <c r="N481" s="177"/>
      <c r="O481" s="177"/>
      <c r="P481" s="180">
        <v>-697.03</v>
      </c>
    </row>
    <row r="482" spans="1:16" ht="19.5" customHeight="1">
      <c r="A482" s="172" t="s">
        <v>766</v>
      </c>
      <c r="B482" s="176">
        <v>46026</v>
      </c>
      <c r="C482" s="172" t="s">
        <v>81</v>
      </c>
      <c r="D482" s="172" t="s">
        <v>95</v>
      </c>
      <c r="E482" s="172" t="s">
        <v>52</v>
      </c>
      <c r="F482" s="172" t="s">
        <v>90</v>
      </c>
      <c r="G482" s="172" t="s">
        <v>84</v>
      </c>
      <c r="H482" s="177">
        <v>1</v>
      </c>
      <c r="I482" s="178">
        <v>1621</v>
      </c>
      <c r="J482" s="176">
        <v>46024</v>
      </c>
      <c r="K482" s="172" t="s">
        <v>93</v>
      </c>
      <c r="L482" s="172" t="s">
        <v>94</v>
      </c>
      <c r="M482" s="179">
        <v>0.43</v>
      </c>
      <c r="N482" s="177"/>
      <c r="O482" s="177"/>
      <c r="P482" s="180">
        <v>-21.24</v>
      </c>
    </row>
    <row r="483" spans="1:16" ht="19.5" customHeight="1">
      <c r="A483" s="172" t="s">
        <v>767</v>
      </c>
      <c r="B483" s="176">
        <v>46026</v>
      </c>
      <c r="C483" s="172" t="s">
        <v>81</v>
      </c>
      <c r="D483" s="172" t="s">
        <v>82</v>
      </c>
      <c r="E483" s="172" t="s">
        <v>42</v>
      </c>
      <c r="F483" s="172" t="s">
        <v>89</v>
      </c>
      <c r="G483" s="172" t="s">
        <v>84</v>
      </c>
      <c r="H483" s="177">
        <v>1</v>
      </c>
      <c r="I483" s="178">
        <v>0</v>
      </c>
      <c r="J483" s="176">
        <v>46026</v>
      </c>
      <c r="K483" s="172" t="s">
        <v>85</v>
      </c>
      <c r="L483" s="172" t="s">
        <v>85</v>
      </c>
      <c r="M483" s="179">
        <v>0</v>
      </c>
      <c r="N483" s="177"/>
      <c r="O483" s="177"/>
      <c r="P483" s="180">
        <v>-15.82</v>
      </c>
    </row>
    <row r="484" spans="1:16" ht="19.5" customHeight="1">
      <c r="A484" s="172" t="s">
        <v>768</v>
      </c>
      <c r="B484" s="176">
        <v>46026</v>
      </c>
      <c r="C484" s="172" t="s">
        <v>81</v>
      </c>
      <c r="D484" s="172" t="s">
        <v>82</v>
      </c>
      <c r="E484" s="172" t="s">
        <v>52</v>
      </c>
      <c r="F484" s="172" t="s">
        <v>90</v>
      </c>
      <c r="G484" s="172" t="s">
        <v>84</v>
      </c>
      <c r="H484" s="177">
        <v>1</v>
      </c>
      <c r="I484" s="178">
        <v>0</v>
      </c>
      <c r="J484" s="176">
        <v>46026</v>
      </c>
      <c r="K484" s="172" t="s">
        <v>85</v>
      </c>
      <c r="L484" s="172" t="s">
        <v>85</v>
      </c>
      <c r="M484" s="179">
        <v>0</v>
      </c>
      <c r="N484" s="177"/>
      <c r="O484" s="177"/>
      <c r="P484" s="180">
        <v>-10.59</v>
      </c>
    </row>
    <row r="485" spans="1:16" ht="19.5" customHeight="1">
      <c r="A485" s="172" t="s">
        <v>142</v>
      </c>
      <c r="B485" s="176">
        <v>46026</v>
      </c>
      <c r="C485" s="172" t="s">
        <v>109</v>
      </c>
      <c r="D485" s="172" t="s">
        <v>143</v>
      </c>
      <c r="E485" s="172" t="s">
        <v>85</v>
      </c>
      <c r="F485" s="172" t="s">
        <v>85</v>
      </c>
      <c r="G485" s="172" t="s">
        <v>85</v>
      </c>
      <c r="H485" s="177">
        <v>0</v>
      </c>
      <c r="I485" s="178">
        <v>0</v>
      </c>
      <c r="J485" s="176">
        <v>46026</v>
      </c>
      <c r="K485" s="172" t="s">
        <v>85</v>
      </c>
      <c r="L485" s="172" t="s">
        <v>85</v>
      </c>
      <c r="M485" s="179">
        <v>0</v>
      </c>
      <c r="N485" s="177"/>
      <c r="O485" s="177"/>
      <c r="P485" s="180">
        <v>-4475.8599999999997</v>
      </c>
    </row>
    <row r="486" spans="1:16" ht="19.5" customHeight="1">
      <c r="A486" s="172" t="s">
        <v>144</v>
      </c>
      <c r="B486" s="176">
        <v>46026</v>
      </c>
      <c r="C486" s="172" t="s">
        <v>109</v>
      </c>
      <c r="D486" s="172" t="s">
        <v>139</v>
      </c>
      <c r="E486" s="172" t="s">
        <v>85</v>
      </c>
      <c r="F486" s="172" t="s">
        <v>85</v>
      </c>
      <c r="G486" s="172" t="s">
        <v>85</v>
      </c>
      <c r="H486" s="177">
        <v>0</v>
      </c>
      <c r="I486" s="178">
        <v>0</v>
      </c>
      <c r="J486" s="176">
        <v>46026</v>
      </c>
      <c r="K486" s="172" t="s">
        <v>85</v>
      </c>
      <c r="L486" s="172" t="s">
        <v>85</v>
      </c>
      <c r="M486" s="179">
        <v>0</v>
      </c>
      <c r="N486" s="177"/>
      <c r="O486" s="177"/>
      <c r="P486" s="180">
        <v>-2217.59</v>
      </c>
    </row>
    <row r="487" spans="1:16" ht="19.5" customHeight="1">
      <c r="A487" s="172" t="s">
        <v>410</v>
      </c>
      <c r="B487" s="176">
        <v>46026</v>
      </c>
      <c r="C487" s="172" t="s">
        <v>109</v>
      </c>
      <c r="D487" s="172" t="s">
        <v>139</v>
      </c>
      <c r="E487" s="172" t="s">
        <v>85</v>
      </c>
      <c r="F487" s="172" t="s">
        <v>85</v>
      </c>
      <c r="G487" s="172" t="s">
        <v>85</v>
      </c>
      <c r="H487" s="177">
        <v>0</v>
      </c>
      <c r="I487" s="178">
        <v>0</v>
      </c>
      <c r="J487" s="176">
        <v>46026</v>
      </c>
      <c r="K487" s="172" t="s">
        <v>85</v>
      </c>
      <c r="L487" s="172" t="s">
        <v>85</v>
      </c>
      <c r="M487" s="179">
        <v>0</v>
      </c>
      <c r="N487" s="177"/>
      <c r="O487" s="177"/>
      <c r="P487" s="180">
        <v>-1158.67</v>
      </c>
    </row>
    <row r="488" spans="1:16" ht="19.5" customHeight="1">
      <c r="A488" s="172" t="s">
        <v>138</v>
      </c>
      <c r="B488" s="176">
        <v>46026</v>
      </c>
      <c r="C488" s="172" t="s">
        <v>109</v>
      </c>
      <c r="D488" s="172" t="s">
        <v>139</v>
      </c>
      <c r="E488" s="172" t="s">
        <v>85</v>
      </c>
      <c r="F488" s="172" t="s">
        <v>85</v>
      </c>
      <c r="G488" s="172" t="s">
        <v>85</v>
      </c>
      <c r="H488" s="177">
        <v>0</v>
      </c>
      <c r="I488" s="178">
        <v>0</v>
      </c>
      <c r="J488" s="176">
        <v>46026</v>
      </c>
      <c r="K488" s="172" t="s">
        <v>85</v>
      </c>
      <c r="L488" s="172" t="s">
        <v>85</v>
      </c>
      <c r="M488" s="179">
        <v>0</v>
      </c>
      <c r="N488" s="177"/>
      <c r="O488" s="177"/>
      <c r="P488" s="180">
        <v>-2199.14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24</vt:i4>
      </vt:variant>
    </vt:vector>
  </HeadingPairs>
  <TitlesOfParts>
    <vt:vector size="24" baseType="lpstr">
      <vt:lpstr>Сводная</vt:lpstr>
      <vt:lpstr>АВС 02-08.02</vt:lpstr>
      <vt:lpstr>АВС ЯНВАРЬ</vt:lpstr>
      <vt:lpstr>АВС 26.01-01.02</vt:lpstr>
      <vt:lpstr>АВС 19-25.01</vt:lpstr>
      <vt:lpstr>АВС 12-18.01</vt:lpstr>
      <vt:lpstr>АВС 05-11.01</vt:lpstr>
      <vt:lpstr>АВС 01-04.01</vt:lpstr>
      <vt:lpstr>Юнит 02-08.02</vt:lpstr>
      <vt:lpstr>Юнит 01.02</vt:lpstr>
      <vt:lpstr>ЯНВАРЬ</vt:lpstr>
      <vt:lpstr>Юнит 26.01-01.02</vt:lpstr>
      <vt:lpstr>Юнит 26-31.01</vt:lpstr>
      <vt:lpstr>Юнит 19-25.01</vt:lpstr>
      <vt:lpstr>Юнит 12-18.01</vt:lpstr>
      <vt:lpstr>Юнит 05-11.01</vt:lpstr>
      <vt:lpstr>Юнит 01-04.01</vt:lpstr>
      <vt:lpstr>Отчет 02-08.02</vt:lpstr>
      <vt:lpstr>Отчет 01.02</vt:lpstr>
      <vt:lpstr>Отчет 26-31.01</vt:lpstr>
      <vt:lpstr>Отчет 19-25.01</vt:lpstr>
      <vt:lpstr>Отчет 12-18.01</vt:lpstr>
      <vt:lpstr>Отчет 05-11.01</vt:lpstr>
      <vt:lpstr>Отчет 01-04.01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Гульнара</dc:creator>
  <cp:lastModifiedBy>Гульнара</cp:lastModifiedBy>
  <dcterms:created xsi:type="dcterms:W3CDTF">2015-06-05T18:19:34Z</dcterms:created>
  <dcterms:modified xsi:type="dcterms:W3CDTF">2026-02-05T07:07:30Z</dcterms:modified>
</cp:coreProperties>
</file>